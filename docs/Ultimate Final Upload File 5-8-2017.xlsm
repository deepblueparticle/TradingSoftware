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766"/>
  <workbookPr codeName="ThisWorkbook"/>
  <mc:AlternateContent xmlns:mc="http://schemas.openxmlformats.org/markup-compatibility/2006">
    <mc:Choice Requires="x15">
      <x15ac:absPath xmlns:x15ac="http://schemas.microsoft.com/office/spreadsheetml/2010/11/ac" url="C:\Users\ADMIN\Desktop\WORK\Upwork\Richard Lichtenstein\"/>
    </mc:Choice>
  </mc:AlternateContent>
  <bookViews>
    <workbookView xWindow="0" yWindow="0" windowWidth="28800" windowHeight="12135" activeTab="1"/>
  </bookViews>
  <sheets>
    <sheet name="Strategy" sheetId="1" r:id="rId1"/>
    <sheet name="Parameters" sheetId="4" r:id="rId2"/>
    <sheet name="Symbols" sheetId="3" r:id="rId3"/>
  </sheets>
  <calcPr calcId="162913"/>
</workbook>
</file>

<file path=xl/calcChain.xml><?xml version="1.0" encoding="utf-8"?>
<calcChain xmlns="http://schemas.openxmlformats.org/spreadsheetml/2006/main">
  <c r="B3" i="4" l="1"/>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2" i="4"/>
  <c r="O283" i="1" l="1"/>
  <c r="O282" i="1" s="1"/>
  <c r="O285" i="1"/>
  <c r="O284" i="1" s="1"/>
  <c r="O287" i="1"/>
  <c r="O286" i="1" s="1"/>
  <c r="O289" i="1"/>
  <c r="O288" i="1" s="1"/>
  <c r="O291" i="1"/>
  <c r="O290" i="1" s="1"/>
  <c r="O293" i="1"/>
  <c r="O292" i="1" s="1"/>
  <c r="O295" i="1"/>
  <c r="O294" i="1" s="1"/>
  <c r="O297" i="1"/>
  <c r="O296" i="1" s="1"/>
  <c r="O299" i="1"/>
  <c r="O298" i="1" s="1"/>
  <c r="O301" i="1"/>
  <c r="O300" i="1" s="1"/>
  <c r="O303" i="1"/>
  <c r="O302" i="1" s="1"/>
  <c r="O305" i="1"/>
  <c r="O304" i="1" s="1"/>
  <c r="O307" i="1"/>
  <c r="O306" i="1" s="1"/>
  <c r="O309" i="1"/>
  <c r="O308" i="1" s="1"/>
  <c r="O311" i="1"/>
  <c r="O310" i="1" s="1"/>
  <c r="O313" i="1"/>
  <c r="O312" i="1" s="1"/>
  <c r="O315" i="1"/>
  <c r="O314" i="1" s="1"/>
  <c r="O317" i="1"/>
  <c r="O316" i="1" s="1"/>
  <c r="O319" i="1"/>
  <c r="O318" i="1" s="1"/>
  <c r="O321" i="1"/>
  <c r="O320" i="1" s="1"/>
  <c r="O323" i="1"/>
  <c r="O322" i="1" s="1"/>
  <c r="O325" i="1"/>
  <c r="O324" i="1" s="1"/>
  <c r="O327" i="1"/>
  <c r="O326" i="1" s="1"/>
  <c r="O329" i="1"/>
  <c r="O328" i="1" s="1"/>
  <c r="O331" i="1"/>
  <c r="O330" i="1" s="1"/>
  <c r="O333" i="1"/>
  <c r="O332" i="1" s="1"/>
  <c r="O335" i="1"/>
  <c r="O334" i="1" s="1"/>
  <c r="O337" i="1"/>
  <c r="O336" i="1" s="1"/>
  <c r="O339" i="1"/>
  <c r="O338" i="1" s="1"/>
  <c r="O341" i="1"/>
  <c r="O340" i="1" s="1"/>
  <c r="O343" i="1"/>
  <c r="O342" i="1" s="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9" i="1"/>
  <c r="O428" i="1" s="1"/>
  <c r="O431" i="1"/>
  <c r="O430" i="1" s="1"/>
  <c r="O433" i="1"/>
  <c r="O432" i="1" s="1"/>
  <c r="O435" i="1"/>
  <c r="O434" i="1" s="1"/>
  <c r="O437" i="1"/>
  <c r="O436" i="1" s="1"/>
  <c r="O439" i="1"/>
  <c r="O438" i="1" s="1"/>
  <c r="O441" i="1"/>
  <c r="O440" i="1" s="1"/>
  <c r="O443" i="1"/>
  <c r="O442" i="1" s="1"/>
  <c r="O445" i="1"/>
  <c r="O444" i="1" s="1"/>
  <c r="O447" i="1"/>
  <c r="O446" i="1" s="1"/>
  <c r="O449" i="1"/>
  <c r="O448" i="1" s="1"/>
  <c r="O451" i="1"/>
  <c r="O450" i="1" s="1"/>
  <c r="O453" i="1"/>
  <c r="O452" i="1" s="1"/>
  <c r="O455" i="1"/>
  <c r="O454" i="1" s="1"/>
  <c r="O457" i="1"/>
  <c r="O456" i="1" s="1"/>
  <c r="O459" i="1"/>
  <c r="O458" i="1" s="1"/>
  <c r="O461" i="1"/>
  <c r="O460" i="1" s="1"/>
  <c r="O463" i="1"/>
  <c r="O462" i="1" s="1"/>
  <c r="O465" i="1"/>
  <c r="O464" i="1" s="1"/>
  <c r="O467" i="1"/>
  <c r="O466" i="1" s="1"/>
  <c r="O469" i="1"/>
  <c r="O468" i="1" s="1"/>
  <c r="O471" i="1"/>
  <c r="O470" i="1" s="1"/>
  <c r="O473" i="1"/>
  <c r="O472" i="1" s="1"/>
  <c r="O475" i="1"/>
  <c r="O474" i="1" s="1"/>
  <c r="O477" i="1"/>
  <c r="O476" i="1" s="1"/>
  <c r="O479" i="1"/>
  <c r="O478" i="1" s="1"/>
  <c r="O481" i="1"/>
  <c r="O480" i="1" s="1"/>
  <c r="O483" i="1"/>
  <c r="O482" i="1" s="1"/>
  <c r="O485" i="1"/>
  <c r="O484" i="1" s="1"/>
  <c r="O487" i="1"/>
  <c r="O486" i="1" s="1"/>
  <c r="O489" i="1"/>
  <c r="O488" i="1" s="1"/>
  <c r="O491" i="1"/>
  <c r="O490" i="1" s="1"/>
  <c r="O493" i="1"/>
  <c r="O492" i="1" s="1"/>
  <c r="O495" i="1"/>
  <c r="O494" i="1" s="1"/>
  <c r="O497" i="1"/>
  <c r="O496" i="1" s="1"/>
  <c r="O499" i="1"/>
  <c r="O498" i="1" s="1"/>
  <c r="O501" i="1"/>
  <c r="O500" i="1" s="1"/>
  <c r="O503" i="1"/>
  <c r="O502" i="1" s="1"/>
  <c r="O505" i="1"/>
  <c r="O504" i="1" s="1"/>
  <c r="O507" i="1"/>
  <c r="O506" i="1" s="1"/>
  <c r="O509" i="1"/>
  <c r="O508" i="1" s="1"/>
  <c r="O511" i="1"/>
  <c r="O510" i="1" s="1"/>
  <c r="O513" i="1"/>
  <c r="O512" i="1" s="1"/>
  <c r="O515" i="1"/>
  <c r="O514" i="1" s="1"/>
  <c r="O517" i="1"/>
  <c r="O516" i="1" s="1"/>
  <c r="O519" i="1"/>
  <c r="O518" i="1" s="1"/>
  <c r="O521" i="1"/>
  <c r="O520" i="1" s="1"/>
  <c r="O523" i="1"/>
  <c r="O522" i="1" s="1"/>
  <c r="O525" i="1"/>
  <c r="O524" i="1" s="1"/>
  <c r="O527" i="1"/>
  <c r="O526" i="1" s="1"/>
  <c r="O529" i="1"/>
  <c r="O528" i="1" s="1"/>
  <c r="O531" i="1"/>
  <c r="O530" i="1" s="1"/>
  <c r="O533" i="1"/>
  <c r="O532" i="1" s="1"/>
  <c r="O535" i="1"/>
  <c r="O534" i="1" s="1"/>
  <c r="O537" i="1"/>
  <c r="O536" i="1" s="1"/>
  <c r="O539" i="1"/>
  <c r="O538" i="1" s="1"/>
  <c r="O541" i="1"/>
  <c r="O540" i="1" s="1"/>
  <c r="O543" i="1"/>
  <c r="O542" i="1" s="1"/>
  <c r="O545" i="1"/>
  <c r="O544" i="1" s="1"/>
  <c r="O547" i="1"/>
  <c r="O546" i="1" s="1"/>
  <c r="O549" i="1"/>
  <c r="O548" i="1" s="1"/>
  <c r="O551" i="1"/>
  <c r="O550" i="1" s="1"/>
  <c r="O553" i="1"/>
  <c r="O552" i="1" s="1"/>
  <c r="O555" i="1"/>
  <c r="O554" i="1" s="1"/>
  <c r="O557" i="1"/>
  <c r="O556" i="1" s="1"/>
  <c r="O559" i="1"/>
  <c r="O558" i="1" s="1"/>
  <c r="O561" i="1"/>
  <c r="O560" i="1" s="1"/>
  <c r="O563" i="1"/>
  <c r="O562" i="1" s="1"/>
  <c r="O565" i="1"/>
  <c r="O564" i="1" s="1"/>
  <c r="O567" i="1"/>
  <c r="O566" i="1" s="1"/>
  <c r="O569" i="1"/>
  <c r="O568" i="1" s="1"/>
  <c r="O571" i="1"/>
  <c r="O570" i="1" s="1"/>
  <c r="O573" i="1"/>
  <c r="O572" i="1" s="1"/>
  <c r="O575" i="1"/>
  <c r="O574" i="1" s="1"/>
  <c r="O577" i="1"/>
  <c r="O576" i="1" s="1"/>
  <c r="O579" i="1"/>
  <c r="O578" i="1" s="1"/>
  <c r="O581" i="1"/>
  <c r="O580" i="1" s="1"/>
  <c r="O583" i="1"/>
  <c r="O582" i="1" s="1"/>
  <c r="O585" i="1"/>
  <c r="O584" i="1" s="1"/>
  <c r="O587" i="1"/>
  <c r="O586" i="1" s="1"/>
  <c r="O589" i="1"/>
  <c r="O588" i="1" s="1"/>
  <c r="O591" i="1"/>
  <c r="O590" i="1" s="1"/>
  <c r="O593" i="1"/>
  <c r="O592" i="1" s="1"/>
  <c r="O595" i="1"/>
  <c r="O594" i="1" s="1"/>
  <c r="O597" i="1"/>
  <c r="O596" i="1" s="1"/>
  <c r="O599" i="1"/>
  <c r="O598" i="1" s="1"/>
  <c r="O601" i="1"/>
  <c r="O600" i="1" s="1"/>
  <c r="O603" i="1"/>
  <c r="O602" i="1" s="1"/>
  <c r="O605" i="1"/>
  <c r="O604" i="1" s="1"/>
  <c r="O607" i="1"/>
  <c r="O606" i="1" s="1"/>
  <c r="O609" i="1"/>
  <c r="O608" i="1" s="1"/>
  <c r="O611" i="1"/>
  <c r="O610" i="1" s="1"/>
  <c r="O613" i="1"/>
  <c r="O612" i="1" s="1"/>
  <c r="O615" i="1"/>
  <c r="O614" i="1" s="1"/>
  <c r="O617" i="1"/>
  <c r="O616" i="1" s="1"/>
  <c r="O619" i="1"/>
  <c r="O618" i="1" s="1"/>
  <c r="O621" i="1"/>
  <c r="O620" i="1" s="1"/>
  <c r="O623" i="1"/>
  <c r="O622" i="1" s="1"/>
  <c r="O625" i="1"/>
  <c r="O624" i="1" s="1"/>
  <c r="O627" i="1"/>
  <c r="O626" i="1" s="1"/>
  <c r="O629" i="1"/>
  <c r="O628" i="1" s="1"/>
  <c r="O631" i="1"/>
  <c r="O630" i="1" s="1"/>
  <c r="O633" i="1"/>
  <c r="O632" i="1" s="1"/>
  <c r="O635" i="1"/>
  <c r="O634" i="1" s="1"/>
  <c r="O637" i="1"/>
  <c r="O636" i="1" s="1"/>
  <c r="O639" i="1"/>
  <c r="O638" i="1" s="1"/>
  <c r="O641" i="1"/>
  <c r="O640" i="1" s="1"/>
  <c r="O643" i="1"/>
  <c r="O642" i="1" s="1"/>
  <c r="O645" i="1"/>
  <c r="O644" i="1" s="1"/>
  <c r="O647" i="1"/>
  <c r="O646" i="1" s="1"/>
  <c r="O649" i="1"/>
  <c r="O648" i="1" s="1"/>
  <c r="O651" i="1"/>
  <c r="O650" i="1" s="1"/>
  <c r="O653" i="1"/>
  <c r="O652" i="1" s="1"/>
  <c r="O655" i="1"/>
  <c r="O654" i="1" s="1"/>
  <c r="O657" i="1"/>
  <c r="O656" i="1" s="1"/>
  <c r="O659" i="1"/>
  <c r="O658" i="1" s="1"/>
  <c r="O661" i="1"/>
  <c r="O660" i="1" s="1"/>
  <c r="O663" i="1"/>
  <c r="O662" i="1" s="1"/>
  <c r="O665" i="1"/>
  <c r="O664" i="1" s="1"/>
  <c r="O667" i="1"/>
  <c r="O666" i="1" s="1"/>
  <c r="O669" i="1"/>
  <c r="O668" i="1" s="1"/>
  <c r="O671" i="1"/>
  <c r="O670" i="1" s="1"/>
  <c r="O673" i="1"/>
  <c r="O672" i="1" s="1"/>
  <c r="O675" i="1"/>
  <c r="O674" i="1" s="1"/>
  <c r="O677" i="1"/>
  <c r="O676" i="1" s="1"/>
  <c r="O679" i="1"/>
  <c r="O678" i="1" s="1"/>
  <c r="O681" i="1"/>
  <c r="O680" i="1" s="1"/>
  <c r="O683" i="1"/>
  <c r="O682" i="1" s="1"/>
  <c r="O685" i="1"/>
  <c r="O684" i="1" s="1"/>
  <c r="O687" i="1"/>
  <c r="O686" i="1" s="1"/>
  <c r="O689" i="1"/>
  <c r="O688" i="1" s="1"/>
  <c r="O691" i="1"/>
  <c r="O690" i="1" s="1"/>
  <c r="O693" i="1"/>
  <c r="O692" i="1" s="1"/>
  <c r="O695" i="1"/>
  <c r="O694" i="1" s="1"/>
  <c r="O697" i="1"/>
  <c r="O696" i="1" s="1"/>
  <c r="O699" i="1"/>
  <c r="O698" i="1" s="1"/>
  <c r="O701" i="1"/>
  <c r="O700" i="1" s="1"/>
  <c r="O703" i="1"/>
  <c r="O702" i="1" s="1"/>
  <c r="O705" i="1"/>
  <c r="O704" i="1" s="1"/>
  <c r="O707" i="1"/>
  <c r="O706" i="1" s="1"/>
  <c r="O709" i="1"/>
  <c r="O708" i="1" s="1"/>
  <c r="O711" i="1"/>
  <c r="O710" i="1" s="1"/>
  <c r="O713" i="1"/>
  <c r="O712" i="1" s="1"/>
  <c r="O715" i="1"/>
  <c r="O714" i="1" s="1"/>
  <c r="O717" i="1"/>
  <c r="O716" i="1" s="1"/>
  <c r="O719" i="1"/>
  <c r="O718" i="1" s="1"/>
  <c r="O721" i="1"/>
  <c r="O720" i="1" s="1"/>
  <c r="O723" i="1"/>
  <c r="O722" i="1" s="1"/>
  <c r="O725" i="1"/>
  <c r="O724" i="1" s="1"/>
  <c r="O727" i="1"/>
  <c r="O726" i="1" s="1"/>
  <c r="O729" i="1"/>
  <c r="O728" i="1" s="1"/>
  <c r="O731" i="1"/>
  <c r="O730" i="1" s="1"/>
  <c r="O733" i="1"/>
  <c r="O732" i="1" s="1"/>
  <c r="O735" i="1"/>
  <c r="O734" i="1" s="1"/>
  <c r="O737" i="1"/>
  <c r="O736" i="1" s="1"/>
  <c r="O739" i="1"/>
  <c r="O738" i="1" s="1"/>
  <c r="O741" i="1"/>
  <c r="O740" i="1" s="1"/>
  <c r="O743" i="1"/>
  <c r="O742" i="1" s="1"/>
  <c r="O745" i="1"/>
  <c r="O744" i="1" s="1"/>
  <c r="O747" i="1"/>
  <c r="O746" i="1" s="1"/>
  <c r="O749" i="1"/>
  <c r="O748" i="1" s="1"/>
  <c r="O751" i="1"/>
  <c r="O750" i="1" s="1"/>
  <c r="O753" i="1"/>
  <c r="O752" i="1" s="1"/>
  <c r="O755" i="1"/>
  <c r="O754" i="1" s="1"/>
  <c r="O757" i="1"/>
  <c r="O756" i="1" s="1"/>
  <c r="O759" i="1"/>
  <c r="O758" i="1" s="1"/>
  <c r="O761" i="1"/>
  <c r="O760" i="1" s="1"/>
  <c r="O763" i="1"/>
  <c r="O762" i="1" s="1"/>
  <c r="O765" i="1"/>
  <c r="O764" i="1" s="1"/>
  <c r="O767" i="1"/>
  <c r="O766" i="1" s="1"/>
  <c r="O769" i="1"/>
  <c r="O768" i="1" s="1"/>
  <c r="O771" i="1"/>
  <c r="O770" i="1" s="1"/>
  <c r="O773" i="1"/>
  <c r="O772" i="1" s="1"/>
  <c r="O775" i="1"/>
  <c r="O774" i="1" s="1"/>
  <c r="O777" i="1"/>
  <c r="O776" i="1" s="1"/>
  <c r="O779" i="1"/>
  <c r="O778" i="1" s="1"/>
  <c r="O781" i="1"/>
  <c r="O780" i="1" s="1"/>
  <c r="O783" i="1"/>
  <c r="O782" i="1" s="1"/>
  <c r="O785" i="1"/>
  <c r="O784" i="1" s="1"/>
  <c r="O787" i="1"/>
  <c r="O786" i="1" s="1"/>
  <c r="O789" i="1"/>
  <c r="O788" i="1" s="1"/>
  <c r="O791" i="1"/>
  <c r="O790" i="1" s="1"/>
  <c r="O793" i="1"/>
  <c r="O792" i="1" s="1"/>
  <c r="O795" i="1"/>
  <c r="O794" i="1" s="1"/>
  <c r="O797" i="1"/>
  <c r="O796" i="1" s="1"/>
  <c r="O799" i="1"/>
  <c r="O798" i="1" s="1"/>
  <c r="O801" i="1"/>
  <c r="O800" i="1" s="1"/>
  <c r="O803" i="1"/>
  <c r="O802" i="1" s="1"/>
  <c r="O805" i="1"/>
  <c r="O804" i="1" s="1"/>
  <c r="O807" i="1"/>
  <c r="O806" i="1" s="1"/>
  <c r="O809" i="1"/>
  <c r="O808" i="1" s="1"/>
  <c r="O811" i="1"/>
  <c r="O810" i="1" s="1"/>
  <c r="O813" i="1"/>
  <c r="O812" i="1" s="1"/>
  <c r="O815" i="1"/>
  <c r="O814" i="1" s="1"/>
  <c r="O817" i="1"/>
  <c r="O816" i="1" s="1"/>
  <c r="O819" i="1"/>
  <c r="O818" i="1" s="1"/>
  <c r="O821" i="1"/>
  <c r="O820" i="1" s="1"/>
  <c r="O823" i="1"/>
  <c r="O822" i="1" s="1"/>
  <c r="O825" i="1"/>
  <c r="O824" i="1" s="1"/>
  <c r="O827" i="1"/>
  <c r="O826" i="1" s="1"/>
  <c r="O829" i="1"/>
  <c r="O828" i="1" s="1"/>
  <c r="O831" i="1"/>
  <c r="O830" i="1" s="1"/>
  <c r="O833" i="1"/>
  <c r="O832" i="1" s="1"/>
  <c r="O835" i="1"/>
  <c r="O834" i="1" s="1"/>
  <c r="O837" i="1"/>
  <c r="O836" i="1" s="1"/>
  <c r="O839" i="1"/>
  <c r="O838" i="1" s="1"/>
  <c r="O841" i="1"/>
  <c r="O840" i="1" s="1"/>
  <c r="O843" i="1"/>
  <c r="O842" i="1" s="1"/>
  <c r="O845" i="1"/>
  <c r="O844" i="1" s="1"/>
  <c r="O847" i="1"/>
  <c r="O846" i="1" s="1"/>
  <c r="O849" i="1"/>
  <c r="O848" i="1" s="1"/>
  <c r="O851" i="1"/>
  <c r="O850" i="1" s="1"/>
  <c r="O853" i="1"/>
  <c r="O852" i="1" s="1"/>
  <c r="O855" i="1"/>
  <c r="O854" i="1" s="1"/>
  <c r="O857" i="1"/>
  <c r="O856" i="1" s="1"/>
  <c r="O859" i="1"/>
  <c r="O858" i="1" s="1"/>
  <c r="O861" i="1"/>
  <c r="O860" i="1" s="1"/>
  <c r="O863" i="1"/>
  <c r="O862" i="1" s="1"/>
  <c r="O865" i="1"/>
  <c r="O864" i="1" s="1"/>
  <c r="O867" i="1"/>
  <c r="O866" i="1" s="1"/>
  <c r="O869" i="1"/>
  <c r="O868" i="1" s="1"/>
  <c r="O871" i="1"/>
  <c r="O870" i="1" s="1"/>
  <c r="O873" i="1"/>
  <c r="O872" i="1" s="1"/>
  <c r="O875" i="1"/>
  <c r="O874" i="1" s="1"/>
  <c r="O877" i="1"/>
  <c r="O876" i="1" s="1"/>
  <c r="O879" i="1"/>
  <c r="O878" i="1" s="1"/>
  <c r="O881" i="1"/>
  <c r="O880" i="1" s="1"/>
  <c r="O883" i="1"/>
  <c r="O882" i="1" s="1"/>
  <c r="O885" i="1"/>
  <c r="O884" i="1" s="1"/>
  <c r="O887" i="1"/>
  <c r="O886" i="1" s="1"/>
  <c r="O889" i="1"/>
  <c r="O888" i="1" s="1"/>
  <c r="O891" i="1"/>
  <c r="O890" i="1" s="1"/>
  <c r="O893" i="1"/>
  <c r="O892" i="1" s="1"/>
  <c r="O895" i="1"/>
  <c r="O894" i="1" s="1"/>
  <c r="O897" i="1"/>
  <c r="O896" i="1" s="1"/>
  <c r="O899" i="1"/>
  <c r="O898" i="1" s="1"/>
  <c r="O901" i="1"/>
  <c r="O900" i="1" s="1"/>
  <c r="O903" i="1"/>
  <c r="O902" i="1" s="1"/>
  <c r="O905" i="1"/>
  <c r="O904" i="1" s="1"/>
  <c r="O907" i="1"/>
  <c r="O906" i="1" s="1"/>
  <c r="O909" i="1"/>
  <c r="O908" i="1" s="1"/>
  <c r="O911" i="1"/>
  <c r="O910" i="1" s="1"/>
  <c r="O913" i="1"/>
  <c r="O912" i="1" s="1"/>
  <c r="O915" i="1"/>
  <c r="O914" i="1" s="1"/>
  <c r="O917" i="1"/>
  <c r="O916" i="1" s="1"/>
  <c r="O919" i="1"/>
  <c r="O918" i="1" s="1"/>
  <c r="O921" i="1"/>
  <c r="O920" i="1" s="1"/>
  <c r="O923" i="1"/>
  <c r="O922" i="1" s="1"/>
  <c r="O925" i="1"/>
  <c r="O924" i="1" s="1"/>
  <c r="O927" i="1"/>
  <c r="O926" i="1" s="1"/>
  <c r="O929" i="1"/>
  <c r="O928" i="1" s="1"/>
  <c r="O931" i="1"/>
  <c r="O930" i="1" s="1"/>
  <c r="O933" i="1"/>
  <c r="O932" i="1" s="1"/>
  <c r="O935" i="1"/>
  <c r="O934" i="1" s="1"/>
  <c r="O937" i="1"/>
  <c r="O936" i="1" s="1"/>
  <c r="O939" i="1"/>
  <c r="O938" i="1" s="1"/>
  <c r="O941" i="1"/>
  <c r="O940" i="1" s="1"/>
  <c r="O943" i="1"/>
  <c r="O942" i="1" s="1"/>
  <c r="O945" i="1"/>
  <c r="O944" i="1" s="1"/>
  <c r="O947" i="1"/>
  <c r="O946" i="1" s="1"/>
  <c r="O949" i="1"/>
  <c r="O948" i="1" s="1"/>
  <c r="O951" i="1"/>
  <c r="O950" i="1" s="1"/>
  <c r="O953" i="1"/>
  <c r="O952" i="1" s="1"/>
  <c r="O955" i="1"/>
  <c r="O954" i="1" s="1"/>
  <c r="O957" i="1"/>
  <c r="O956" i="1" s="1"/>
  <c r="O959" i="1"/>
  <c r="O958" i="1" s="1"/>
  <c r="O961" i="1"/>
  <c r="O960" i="1" s="1"/>
  <c r="O963" i="1"/>
  <c r="O962" i="1" s="1"/>
  <c r="O965" i="1"/>
  <c r="O964" i="1" s="1"/>
  <c r="O967" i="1"/>
  <c r="O966" i="1" s="1"/>
  <c r="O969" i="1"/>
  <c r="O968" i="1" s="1"/>
  <c r="O971" i="1"/>
  <c r="O970" i="1" s="1"/>
  <c r="O973" i="1"/>
  <c r="O972" i="1" s="1"/>
  <c r="O975" i="1"/>
  <c r="O974" i="1" s="1"/>
  <c r="O977" i="1"/>
  <c r="O976" i="1" s="1"/>
  <c r="O979" i="1"/>
  <c r="O978" i="1" s="1"/>
  <c r="O981" i="1"/>
  <c r="O980" i="1" s="1"/>
  <c r="O983" i="1"/>
  <c r="O982" i="1" s="1"/>
  <c r="O985" i="1"/>
  <c r="O984" i="1" s="1"/>
  <c r="O987" i="1"/>
  <c r="O986" i="1" s="1"/>
  <c r="O989" i="1"/>
  <c r="O988" i="1" s="1"/>
  <c r="O991" i="1"/>
  <c r="O990" i="1" s="1"/>
  <c r="O993" i="1"/>
  <c r="O992" i="1" s="1"/>
  <c r="O995" i="1"/>
  <c r="O994" i="1" s="1"/>
  <c r="O997" i="1"/>
  <c r="O996" i="1" s="1"/>
  <c r="O999" i="1"/>
  <c r="O998" i="1" s="1"/>
  <c r="O1001" i="1"/>
  <c r="O1000" i="1" s="1"/>
  <c r="O1003" i="1"/>
  <c r="O1002" i="1" s="1"/>
  <c r="O1005" i="1"/>
  <c r="O1004" i="1" s="1"/>
  <c r="O1007" i="1"/>
  <c r="O1006" i="1" s="1"/>
  <c r="O1009" i="1"/>
  <c r="O1008" i="1" s="1"/>
  <c r="O1011" i="1"/>
  <c r="O1010" i="1" s="1"/>
  <c r="O1013" i="1"/>
  <c r="O1012" i="1" s="1"/>
  <c r="O1015" i="1"/>
  <c r="O1014" i="1" s="1"/>
  <c r="O1017" i="1"/>
  <c r="O1016" i="1" s="1"/>
  <c r="O1019" i="1"/>
  <c r="O1018" i="1" s="1"/>
  <c r="O1021" i="1"/>
  <c r="O1020" i="1" s="1"/>
  <c r="O1023" i="1"/>
  <c r="O1022" i="1" s="1"/>
  <c r="O1025" i="1"/>
  <c r="O1024" i="1" s="1"/>
  <c r="O1027" i="1"/>
  <c r="O1026" i="1" s="1"/>
  <c r="O1029" i="1"/>
  <c r="O1028" i="1" s="1"/>
  <c r="O1031" i="1"/>
  <c r="O1030" i="1" s="1"/>
  <c r="O1033" i="1"/>
  <c r="O1032" i="1" s="1"/>
  <c r="O1035" i="1"/>
  <c r="O1034" i="1" s="1"/>
  <c r="O1037" i="1"/>
  <c r="O1036" i="1" s="1"/>
  <c r="O1039" i="1"/>
  <c r="O1038" i="1" s="1"/>
  <c r="O1041" i="1"/>
  <c r="O1040" i="1" s="1"/>
  <c r="O1043" i="1"/>
  <c r="O1042" i="1" s="1"/>
  <c r="O1045" i="1"/>
  <c r="O1044" i="1" s="1"/>
  <c r="O1047" i="1"/>
  <c r="O1046" i="1" s="1"/>
  <c r="O1049" i="1"/>
  <c r="O1048" i="1" s="1"/>
  <c r="O1051" i="1"/>
  <c r="O1050" i="1" s="1"/>
  <c r="O1053" i="1"/>
  <c r="O1052" i="1" s="1"/>
  <c r="O1055" i="1"/>
  <c r="O1054" i="1" s="1"/>
  <c r="O1057" i="1"/>
  <c r="O1056" i="1" s="1"/>
  <c r="O1059" i="1"/>
  <c r="O1058" i="1" s="1"/>
  <c r="O1061" i="1"/>
  <c r="O1060" i="1" s="1"/>
  <c r="O1063" i="1"/>
  <c r="O1062" i="1" s="1"/>
  <c r="O1065" i="1"/>
  <c r="O1064" i="1" s="1"/>
  <c r="O1067" i="1"/>
  <c r="O1066" i="1" s="1"/>
  <c r="O1069" i="1"/>
  <c r="O1068" i="1" s="1"/>
  <c r="O1071" i="1"/>
  <c r="O1070" i="1" s="1"/>
  <c r="O1073" i="1"/>
  <c r="O1072" i="1" s="1"/>
  <c r="O1075" i="1"/>
  <c r="O1074" i="1" s="1"/>
  <c r="O1077" i="1"/>
  <c r="O1076" i="1" s="1"/>
  <c r="O1079" i="1"/>
  <c r="O1078" i="1" s="1"/>
  <c r="O1081" i="1"/>
  <c r="O1080" i="1" s="1"/>
  <c r="O1083" i="1"/>
  <c r="O1082" i="1" s="1"/>
  <c r="O1085" i="1"/>
  <c r="O1084" i="1" s="1"/>
  <c r="O1087" i="1"/>
  <c r="O1086" i="1" s="1"/>
  <c r="O1089" i="1"/>
  <c r="O1088" i="1" s="1"/>
  <c r="O1091" i="1"/>
  <c r="O1090" i="1" s="1"/>
  <c r="O1093" i="1"/>
  <c r="O1092" i="1" s="1"/>
  <c r="O1095" i="1"/>
  <c r="O1094" i="1" s="1"/>
  <c r="O1097" i="1"/>
  <c r="O1096" i="1" s="1"/>
  <c r="O1099" i="1"/>
  <c r="O1098" i="1" s="1"/>
  <c r="O1101" i="1"/>
  <c r="O1100" i="1" s="1"/>
  <c r="O1103" i="1"/>
  <c r="O1102" i="1" s="1"/>
  <c r="O1105" i="1"/>
  <c r="O1104" i="1" s="1"/>
  <c r="O1107" i="1"/>
  <c r="O1106" i="1" s="1"/>
  <c r="O1109" i="1"/>
  <c r="O1108" i="1" s="1"/>
  <c r="O1111" i="1"/>
  <c r="O1110" i="1" s="1"/>
  <c r="O1113" i="1"/>
  <c r="O1112" i="1" s="1"/>
  <c r="O1115" i="1"/>
  <c r="O1114" i="1" s="1"/>
  <c r="O1117" i="1"/>
  <c r="O1116" i="1" s="1"/>
  <c r="O1119" i="1"/>
  <c r="O1118" i="1" s="1"/>
  <c r="O1121" i="1"/>
  <c r="O1120" i="1" s="1"/>
  <c r="O1123" i="1"/>
  <c r="O1122" i="1" s="1"/>
  <c r="O1125" i="1"/>
  <c r="O1124" i="1" s="1"/>
  <c r="O1127" i="1"/>
  <c r="O1126" i="1" s="1"/>
  <c r="O1129" i="1"/>
  <c r="O1128" i="1" s="1"/>
  <c r="O1131" i="1"/>
  <c r="O1130" i="1" s="1"/>
  <c r="O1133" i="1"/>
  <c r="O1132" i="1" s="1"/>
  <c r="O1135" i="1"/>
  <c r="O1134" i="1" s="1"/>
  <c r="O1137" i="1"/>
  <c r="O1136" i="1" s="1"/>
  <c r="O1139" i="1"/>
  <c r="O1138" i="1" s="1"/>
  <c r="O1141" i="1"/>
  <c r="O1140" i="1" s="1"/>
  <c r="O1143" i="1"/>
  <c r="O1142" i="1" s="1"/>
  <c r="O1145" i="1"/>
  <c r="O1144" i="1" s="1"/>
  <c r="O1147" i="1"/>
  <c r="O1146" i="1" s="1"/>
  <c r="O1149" i="1"/>
  <c r="O1148" i="1" s="1"/>
  <c r="O1151" i="1"/>
  <c r="O1150" i="1" s="1"/>
  <c r="O1153" i="1"/>
  <c r="O1152" i="1" s="1"/>
  <c r="O1155" i="1"/>
  <c r="O1154" i="1" s="1"/>
  <c r="O1157" i="1"/>
  <c r="O1156" i="1" s="1"/>
  <c r="O1159" i="1"/>
  <c r="O1158" i="1" s="1"/>
  <c r="O1161" i="1"/>
  <c r="O1160" i="1" s="1"/>
  <c r="O1163" i="1"/>
  <c r="O1162" i="1" s="1"/>
  <c r="O1165" i="1"/>
  <c r="O1164" i="1" s="1"/>
  <c r="O1167" i="1"/>
  <c r="O1166" i="1" s="1"/>
  <c r="O1169" i="1"/>
  <c r="O1168" i="1" s="1"/>
  <c r="O1171" i="1"/>
  <c r="O1170" i="1" s="1"/>
  <c r="O1173" i="1"/>
  <c r="O1172" i="1" s="1"/>
  <c r="O1175" i="1"/>
  <c r="O1174" i="1" s="1"/>
  <c r="O1177" i="1"/>
  <c r="O1176" i="1" s="1"/>
  <c r="O1179" i="1"/>
  <c r="O1178" i="1" s="1"/>
  <c r="O1181" i="1"/>
  <c r="O1180" i="1" s="1"/>
  <c r="O1183" i="1"/>
  <c r="O1182" i="1" s="1"/>
  <c r="O1185" i="1"/>
  <c r="O1184" i="1" s="1"/>
  <c r="O1187" i="1"/>
  <c r="O1186" i="1" s="1"/>
  <c r="O1189" i="1"/>
  <c r="O1188" i="1" s="1"/>
  <c r="O1191" i="1"/>
  <c r="O1190" i="1" s="1"/>
  <c r="O1193" i="1"/>
  <c r="O1192" i="1" s="1"/>
  <c r="O1195" i="1"/>
  <c r="O1194" i="1" s="1"/>
  <c r="O1197" i="1"/>
  <c r="O1196" i="1" s="1"/>
  <c r="O1199" i="1"/>
  <c r="O1198" i="1" s="1"/>
  <c r="O1201" i="1"/>
  <c r="O1200" i="1" s="1"/>
  <c r="O1203" i="1"/>
  <c r="O1202" i="1" s="1"/>
  <c r="O1205" i="1"/>
  <c r="O1204" i="1" s="1"/>
  <c r="O1207" i="1"/>
  <c r="O1206" i="1" s="1"/>
  <c r="O1209" i="1"/>
  <c r="O1208" i="1" s="1"/>
  <c r="O1211" i="1"/>
  <c r="O1210" i="1" s="1"/>
  <c r="O1213" i="1"/>
  <c r="O1212" i="1" s="1"/>
  <c r="O1215" i="1"/>
  <c r="O1214" i="1" s="1"/>
  <c r="O1217" i="1"/>
  <c r="O1216" i="1" s="1"/>
  <c r="O1219" i="1"/>
  <c r="O1218" i="1" s="1"/>
  <c r="O1221" i="1"/>
  <c r="O1220" i="1" s="1"/>
  <c r="O1223" i="1"/>
  <c r="O1222" i="1" s="1"/>
  <c r="O1225" i="1"/>
  <c r="O1224" i="1" s="1"/>
  <c r="O1227" i="1"/>
  <c r="O1226" i="1" s="1"/>
  <c r="O1229" i="1"/>
  <c r="O1228" i="1" s="1"/>
  <c r="O1231" i="1"/>
  <c r="O1230" i="1" s="1"/>
  <c r="O1233" i="1"/>
  <c r="O1232" i="1" s="1"/>
  <c r="O1235" i="1"/>
  <c r="O1234" i="1" s="1"/>
  <c r="O1237" i="1"/>
  <c r="O1236" i="1" s="1"/>
  <c r="O1239" i="1"/>
  <c r="O1238" i="1" s="1"/>
  <c r="O1241" i="1"/>
  <c r="O1240" i="1" s="1"/>
  <c r="O1243" i="1"/>
  <c r="O1242" i="1" s="1"/>
  <c r="O1245" i="1"/>
  <c r="O1244" i="1" s="1"/>
  <c r="O1247" i="1"/>
  <c r="O1246" i="1" s="1"/>
  <c r="O1249" i="1"/>
  <c r="O1248" i="1" s="1"/>
  <c r="O1251" i="1"/>
  <c r="O1250" i="1" s="1"/>
  <c r="O1253" i="1"/>
  <c r="O1252" i="1" s="1"/>
  <c r="O1255" i="1"/>
  <c r="O1254" i="1" s="1"/>
  <c r="O1257" i="1"/>
  <c r="O1256" i="1" s="1"/>
  <c r="O1259" i="1"/>
  <c r="O1258" i="1" s="1"/>
  <c r="O1261" i="1"/>
  <c r="O1260" i="1" s="1"/>
  <c r="O1263" i="1"/>
  <c r="O1262" i="1" s="1"/>
  <c r="O1265" i="1"/>
  <c r="O1264" i="1" s="1"/>
  <c r="O1267" i="1"/>
  <c r="O1266" i="1" s="1"/>
  <c r="O1269" i="1"/>
  <c r="O1268" i="1" s="1"/>
  <c r="O1271" i="1"/>
  <c r="O1270" i="1" s="1"/>
  <c r="O1273" i="1"/>
  <c r="O1272" i="1" s="1"/>
  <c r="O1275" i="1"/>
  <c r="O1274" i="1" s="1"/>
  <c r="O1277" i="1"/>
  <c r="O1276" i="1" s="1"/>
  <c r="O1279" i="1"/>
  <c r="O1278" i="1" s="1"/>
  <c r="O1281" i="1"/>
  <c r="O1280" i="1" s="1"/>
  <c r="O1283" i="1"/>
  <c r="O1282" i="1" s="1"/>
  <c r="O1285" i="1"/>
  <c r="O1284" i="1" s="1"/>
  <c r="O1287" i="1"/>
  <c r="O1286" i="1" s="1"/>
  <c r="O1289" i="1"/>
  <c r="O1288" i="1" s="1"/>
  <c r="O1291" i="1"/>
  <c r="O1290" i="1" s="1"/>
  <c r="O1293" i="1"/>
  <c r="O1292" i="1" s="1"/>
  <c r="O1295" i="1"/>
  <c r="O1294" i="1" s="1"/>
  <c r="O1297" i="1"/>
  <c r="O1296" i="1" s="1"/>
  <c r="O1299" i="1"/>
  <c r="O1298" i="1" s="1"/>
  <c r="O1301" i="1"/>
  <c r="O1300" i="1" s="1"/>
  <c r="O1303" i="1"/>
  <c r="O1302" i="1" s="1"/>
  <c r="O1305" i="1"/>
  <c r="O1304" i="1" s="1"/>
  <c r="O1307" i="1"/>
  <c r="O1306" i="1" s="1"/>
  <c r="O1309" i="1"/>
  <c r="O1308" i="1" s="1"/>
  <c r="O1311" i="1"/>
  <c r="O1310" i="1" s="1"/>
  <c r="O1313" i="1"/>
  <c r="O1312" i="1" s="1"/>
  <c r="O1315" i="1"/>
  <c r="O1314" i="1" s="1"/>
  <c r="O1317" i="1"/>
  <c r="O1316" i="1" s="1"/>
  <c r="O1319" i="1"/>
  <c r="O1318" i="1" s="1"/>
  <c r="O1321" i="1"/>
  <c r="O1320" i="1" s="1"/>
  <c r="O1323" i="1"/>
  <c r="O1322" i="1" s="1"/>
  <c r="O1325" i="1"/>
  <c r="O1324" i="1" s="1"/>
  <c r="O1327" i="1"/>
  <c r="O1326" i="1" s="1"/>
  <c r="O1329" i="1"/>
  <c r="O1328" i="1" s="1"/>
  <c r="O1331" i="1"/>
  <c r="O1330" i="1" s="1"/>
  <c r="O1333" i="1"/>
  <c r="O1332" i="1" s="1"/>
  <c r="O1335" i="1"/>
  <c r="O1334" i="1" s="1"/>
  <c r="O1337" i="1"/>
  <c r="O1336" i="1" s="1"/>
  <c r="O1339" i="1"/>
  <c r="O1338" i="1" s="1"/>
  <c r="O1341" i="1"/>
  <c r="O1340" i="1" s="1"/>
  <c r="O1343" i="1"/>
  <c r="O1342" i="1" s="1"/>
  <c r="O1345" i="1"/>
  <c r="O1344" i="1" s="1"/>
  <c r="O1347" i="1"/>
  <c r="O1346" i="1" s="1"/>
  <c r="O1349" i="1"/>
  <c r="O1348" i="1" s="1"/>
  <c r="O1351" i="1"/>
  <c r="O1350" i="1" s="1"/>
  <c r="O1353" i="1"/>
  <c r="O1352" i="1" s="1"/>
  <c r="O1355" i="1"/>
  <c r="O1354" i="1" s="1"/>
  <c r="O1357" i="1"/>
  <c r="O1356" i="1" s="1"/>
  <c r="O1359" i="1"/>
  <c r="O1358" i="1" s="1"/>
  <c r="O1361" i="1"/>
  <c r="O1360" i="1" s="1"/>
  <c r="O1363" i="1"/>
  <c r="O1362" i="1" s="1"/>
  <c r="O1365" i="1"/>
  <c r="O1364" i="1" s="1"/>
  <c r="O1367" i="1"/>
  <c r="O1366" i="1" s="1"/>
  <c r="O1369" i="1"/>
  <c r="O1368" i="1" s="1"/>
  <c r="O1371" i="1"/>
  <c r="O1370" i="1" s="1"/>
  <c r="O1373" i="1"/>
  <c r="O1372" i="1" s="1"/>
  <c r="O1375" i="1"/>
  <c r="O1374" i="1" s="1"/>
  <c r="O1377" i="1"/>
  <c r="O1376" i="1" s="1"/>
  <c r="O1379" i="1"/>
  <c r="O1378" i="1" s="1"/>
  <c r="O1381" i="1"/>
  <c r="O1380" i="1" s="1"/>
  <c r="O1383" i="1"/>
  <c r="O1382" i="1" s="1"/>
  <c r="O1385" i="1"/>
  <c r="O1384" i="1" s="1"/>
  <c r="O1387" i="1"/>
  <c r="O1386" i="1" s="1"/>
  <c r="O1389" i="1"/>
  <c r="O1388" i="1" s="1"/>
  <c r="O1391" i="1"/>
  <c r="O1390" i="1" s="1"/>
  <c r="O1393" i="1"/>
  <c r="O1392" i="1" s="1"/>
  <c r="O1395" i="1"/>
  <c r="O1394" i="1" s="1"/>
  <c r="O1397" i="1"/>
  <c r="O1396" i="1" s="1"/>
  <c r="O1399" i="1"/>
  <c r="O1398" i="1" s="1"/>
  <c r="O1401" i="1"/>
  <c r="O1400" i="1" s="1"/>
  <c r="O1403" i="1"/>
  <c r="O1402" i="1" s="1"/>
  <c r="O1405" i="1"/>
  <c r="O1404" i="1" s="1"/>
  <c r="O1407" i="1"/>
  <c r="O1406" i="1" s="1"/>
  <c r="O1409" i="1"/>
  <c r="O1408" i="1" s="1"/>
  <c r="O1411" i="1"/>
  <c r="O1410" i="1" s="1"/>
  <c r="O1413" i="1"/>
  <c r="O1412" i="1" s="1"/>
  <c r="O1415" i="1"/>
  <c r="O1414" i="1" s="1"/>
  <c r="O1417" i="1"/>
  <c r="O1416" i="1" s="1"/>
  <c r="O1419" i="1"/>
  <c r="O1418" i="1" s="1"/>
  <c r="O1421" i="1"/>
  <c r="O1420" i="1" s="1"/>
  <c r="O1423" i="1"/>
  <c r="O1422" i="1" s="1"/>
  <c r="O1425" i="1"/>
  <c r="O1424" i="1" s="1"/>
  <c r="O1427" i="1"/>
  <c r="O1426" i="1" s="1"/>
  <c r="O1429" i="1"/>
  <c r="O1428" i="1" s="1"/>
  <c r="O1431" i="1"/>
  <c r="O1430" i="1" s="1"/>
  <c r="O1433" i="1"/>
  <c r="O1432" i="1" s="1"/>
  <c r="O1435" i="1"/>
  <c r="O1434" i="1" s="1"/>
  <c r="O1437" i="1"/>
  <c r="O1436" i="1" s="1"/>
  <c r="O1439" i="1"/>
  <c r="O1438" i="1" s="1"/>
  <c r="O1441" i="1"/>
  <c r="O1440" i="1" s="1"/>
  <c r="O1443" i="1"/>
  <c r="O1442" i="1" s="1"/>
  <c r="O1445" i="1"/>
  <c r="O1444" i="1" s="1"/>
  <c r="O1447" i="1"/>
  <c r="O1446" i="1" s="1"/>
  <c r="O1449" i="1"/>
  <c r="O1448" i="1" s="1"/>
  <c r="O1451" i="1"/>
  <c r="O1450" i="1" s="1"/>
  <c r="O1453" i="1"/>
  <c r="O1452" i="1" s="1"/>
  <c r="O1455" i="1"/>
  <c r="O1454" i="1" s="1"/>
  <c r="O1457" i="1"/>
  <c r="O1456" i="1" s="1"/>
  <c r="O1459" i="1"/>
  <c r="O1458" i="1" s="1"/>
  <c r="O1461" i="1"/>
  <c r="O1460" i="1" s="1"/>
  <c r="O1463" i="1"/>
  <c r="O1462" i="1" s="1"/>
  <c r="O1465" i="1"/>
  <c r="O1464" i="1" s="1"/>
  <c r="O1467" i="1"/>
  <c r="O1466" i="1" s="1"/>
  <c r="O1469" i="1"/>
  <c r="O1468" i="1" s="1"/>
  <c r="O1471" i="1"/>
  <c r="O1470" i="1" s="1"/>
  <c r="O1473" i="1"/>
  <c r="O1472" i="1" s="1"/>
  <c r="O1475" i="1"/>
  <c r="O1474" i="1" s="1"/>
  <c r="O1477" i="1"/>
  <c r="O1476" i="1" s="1"/>
  <c r="O1479" i="1"/>
  <c r="O1478" i="1" s="1"/>
  <c r="O1481" i="1"/>
  <c r="O1480" i="1" s="1"/>
  <c r="O1483" i="1"/>
  <c r="O1482" i="1" s="1"/>
  <c r="O1485" i="1"/>
  <c r="O1484" i="1" s="1"/>
  <c r="O1487" i="1"/>
  <c r="O1486" i="1" s="1"/>
  <c r="O1489" i="1"/>
  <c r="O1488" i="1" s="1"/>
  <c r="O1491" i="1"/>
  <c r="O1490" i="1" s="1"/>
  <c r="O1493" i="1"/>
  <c r="O1492" i="1" s="1"/>
  <c r="O1495" i="1"/>
  <c r="O1494" i="1" s="1"/>
  <c r="O1497" i="1"/>
  <c r="O1496" i="1" s="1"/>
  <c r="O1499" i="1"/>
  <c r="O1498" i="1" s="1"/>
  <c r="O1501" i="1"/>
  <c r="O1500" i="1" s="1"/>
  <c r="O1503" i="1"/>
  <c r="O1502" i="1" s="1"/>
  <c r="O1505" i="1"/>
  <c r="O1504" i="1" s="1"/>
  <c r="O1507" i="1"/>
  <c r="O1506" i="1" s="1"/>
  <c r="O1509" i="1"/>
  <c r="O1508" i="1" s="1"/>
  <c r="O1511" i="1"/>
  <c r="O1510" i="1" s="1"/>
  <c r="O1513" i="1"/>
  <c r="O1512" i="1" s="1"/>
  <c r="O1515" i="1"/>
  <c r="O1514" i="1" s="1"/>
  <c r="O1517" i="1"/>
  <c r="O1516" i="1" s="1"/>
  <c r="O1519" i="1"/>
  <c r="O1518" i="1" s="1"/>
  <c r="O1521" i="1"/>
  <c r="O1520" i="1" s="1"/>
  <c r="O1523" i="1"/>
  <c r="O1522" i="1" s="1"/>
  <c r="O1525" i="1"/>
  <c r="O1524" i="1" s="1"/>
  <c r="O1527" i="1"/>
  <c r="O1526" i="1" s="1"/>
  <c r="O1529" i="1"/>
  <c r="O1528" i="1" s="1"/>
  <c r="O1531" i="1"/>
  <c r="O1530" i="1" s="1"/>
  <c r="O1533" i="1"/>
  <c r="O1532" i="1" s="1"/>
  <c r="O1535" i="1"/>
  <c r="O1534" i="1" s="1"/>
  <c r="O1537" i="1"/>
  <c r="O1536" i="1" s="1"/>
  <c r="O1539" i="1"/>
  <c r="O1538" i="1" s="1"/>
  <c r="O1541" i="1"/>
  <c r="O1540" i="1" s="1"/>
  <c r="O1543" i="1"/>
  <c r="O1542" i="1" s="1"/>
  <c r="O1545" i="1"/>
  <c r="O1544" i="1" s="1"/>
  <c r="O1547" i="1"/>
  <c r="O1546" i="1" s="1"/>
  <c r="O1549" i="1"/>
  <c r="O1548" i="1" s="1"/>
  <c r="O1551" i="1"/>
  <c r="O1550" i="1" s="1"/>
  <c r="O1553" i="1"/>
  <c r="O1552" i="1" s="1"/>
  <c r="O1555" i="1"/>
  <c r="O1554" i="1" s="1"/>
  <c r="O1557" i="1"/>
  <c r="O1556" i="1" s="1"/>
  <c r="O1559" i="1"/>
  <c r="O1558" i="1" s="1"/>
  <c r="O1561" i="1"/>
  <c r="O1560" i="1" s="1"/>
  <c r="O1563" i="1"/>
  <c r="O1562" i="1" s="1"/>
  <c r="O1565" i="1"/>
  <c r="O1564" i="1" s="1"/>
  <c r="O1567" i="1"/>
  <c r="O1566" i="1" s="1"/>
  <c r="O1569" i="1"/>
  <c r="O1568" i="1" s="1"/>
  <c r="O1571" i="1"/>
  <c r="O1570" i="1" s="1"/>
  <c r="O1573" i="1"/>
  <c r="O1572" i="1" s="1"/>
  <c r="O1575" i="1"/>
  <c r="O1574" i="1" s="1"/>
  <c r="O1577" i="1"/>
  <c r="O1576" i="1" s="1"/>
  <c r="O1579" i="1"/>
  <c r="O1578" i="1" s="1"/>
  <c r="O1581" i="1"/>
  <c r="O1580" i="1" s="1"/>
  <c r="O1583" i="1"/>
  <c r="O1582" i="1" s="1"/>
  <c r="O1585" i="1"/>
  <c r="O1584" i="1" s="1"/>
  <c r="O1587" i="1"/>
  <c r="O1586" i="1" s="1"/>
  <c r="O1589" i="1"/>
  <c r="O1588" i="1" s="1"/>
  <c r="O1591" i="1"/>
  <c r="O1590" i="1" s="1"/>
  <c r="O1593" i="1"/>
  <c r="O1592" i="1" s="1"/>
  <c r="O1595" i="1"/>
  <c r="O1594" i="1" s="1"/>
  <c r="O1597" i="1"/>
  <c r="O1596" i="1" s="1"/>
  <c r="O1599" i="1"/>
  <c r="O1598" i="1" s="1"/>
  <c r="O1601" i="1"/>
  <c r="O1600" i="1" s="1"/>
  <c r="O1603" i="1"/>
  <c r="O1602" i="1" s="1"/>
  <c r="O1605" i="1"/>
  <c r="O1604" i="1" s="1"/>
  <c r="O1607" i="1"/>
  <c r="O1606" i="1" s="1"/>
  <c r="O1609" i="1"/>
  <c r="O1608" i="1" s="1"/>
  <c r="O1611" i="1"/>
  <c r="O1610" i="1" s="1"/>
  <c r="O1613" i="1"/>
  <c r="O1612" i="1" s="1"/>
  <c r="O1615" i="1"/>
  <c r="O1614" i="1" s="1"/>
  <c r="O1617" i="1"/>
  <c r="O1616" i="1" s="1"/>
  <c r="O1619" i="1"/>
  <c r="O1618" i="1" s="1"/>
  <c r="O1621" i="1"/>
  <c r="O1620" i="1" s="1"/>
  <c r="O1623" i="1"/>
  <c r="O1622" i="1" s="1"/>
  <c r="O1625" i="1"/>
  <c r="O1624" i="1" s="1"/>
  <c r="O1627" i="1"/>
  <c r="O1626" i="1" s="1"/>
  <c r="O1629" i="1"/>
  <c r="O1628" i="1" s="1"/>
  <c r="O1631" i="1"/>
  <c r="O1630" i="1" s="1"/>
  <c r="O1633" i="1"/>
  <c r="O1632" i="1" s="1"/>
  <c r="O1635" i="1"/>
  <c r="O1634" i="1" s="1"/>
  <c r="O1637" i="1"/>
  <c r="O1636" i="1" s="1"/>
  <c r="O1639" i="1"/>
  <c r="O1638" i="1" s="1"/>
  <c r="O1641" i="1"/>
  <c r="O1640" i="1" s="1"/>
  <c r="O1643" i="1"/>
  <c r="O1642" i="1" s="1"/>
  <c r="O1645" i="1"/>
  <c r="O1644" i="1" s="1"/>
  <c r="O1647" i="1"/>
  <c r="O1646" i="1" s="1"/>
  <c r="O1649" i="1"/>
  <c r="O1648" i="1" s="1"/>
  <c r="O1651" i="1"/>
  <c r="O1650" i="1" s="1"/>
  <c r="O1653" i="1"/>
  <c r="O1652" i="1" s="1"/>
  <c r="O1655" i="1"/>
  <c r="O1654" i="1" s="1"/>
  <c r="O1657" i="1"/>
  <c r="O1656" i="1" s="1"/>
  <c r="O1659" i="1"/>
  <c r="O1658" i="1" s="1"/>
  <c r="O1661" i="1"/>
  <c r="O1660" i="1" s="1"/>
  <c r="O1663" i="1"/>
  <c r="O1662" i="1" s="1"/>
  <c r="O1665" i="1"/>
  <c r="O1664" i="1" s="1"/>
  <c r="O1667" i="1"/>
  <c r="O1666" i="1" s="1"/>
  <c r="O1669" i="1"/>
  <c r="O1668" i="1" s="1"/>
  <c r="O1671" i="1"/>
  <c r="O1670" i="1" s="1"/>
  <c r="O1673" i="1"/>
  <c r="O1672" i="1" s="1"/>
  <c r="O1675" i="1"/>
  <c r="O1674" i="1" s="1"/>
  <c r="O1677" i="1"/>
  <c r="O1676" i="1" s="1"/>
  <c r="O1679" i="1"/>
  <c r="O1678" i="1" s="1"/>
  <c r="O1681" i="1"/>
  <c r="O1680" i="1" s="1"/>
  <c r="O1683" i="1"/>
  <c r="O1682" i="1" s="1"/>
  <c r="O1685" i="1"/>
  <c r="O1684" i="1" s="1"/>
  <c r="O1687" i="1"/>
  <c r="O1686" i="1" s="1"/>
  <c r="O1689" i="1"/>
  <c r="O1688" i="1" s="1"/>
  <c r="O1691" i="1"/>
  <c r="O1690" i="1" s="1"/>
  <c r="O1693" i="1"/>
  <c r="O1692" i="1" s="1"/>
  <c r="O1695" i="1"/>
  <c r="O1694" i="1" s="1"/>
  <c r="O1697" i="1"/>
  <c r="O1696" i="1" s="1"/>
  <c r="O1699" i="1"/>
  <c r="O1698" i="1" s="1"/>
  <c r="O1701" i="1"/>
  <c r="O1700" i="1" s="1"/>
  <c r="O1703" i="1"/>
  <c r="O1702" i="1" s="1"/>
  <c r="O1705" i="1"/>
  <c r="O1704" i="1" s="1"/>
  <c r="O1707" i="1"/>
  <c r="O1706" i="1" s="1"/>
  <c r="O1709" i="1"/>
  <c r="O1708" i="1" s="1"/>
  <c r="O1711" i="1"/>
  <c r="O1710" i="1" s="1"/>
  <c r="O1713" i="1"/>
  <c r="O1712" i="1" s="1"/>
  <c r="O1715" i="1"/>
  <c r="O1714" i="1" s="1"/>
  <c r="O1717" i="1"/>
  <c r="O1716" i="1" s="1"/>
  <c r="O1719" i="1"/>
  <c r="O1718" i="1" s="1"/>
  <c r="O1721" i="1"/>
  <c r="O1720" i="1" s="1"/>
  <c r="O1723" i="1"/>
  <c r="O1722" i="1" s="1"/>
  <c r="O1725" i="1"/>
  <c r="O1724" i="1" s="1"/>
  <c r="O1727" i="1"/>
  <c r="O1726" i="1" s="1"/>
  <c r="O1729" i="1"/>
  <c r="O1728" i="1" s="1"/>
  <c r="O1731" i="1"/>
  <c r="O1730" i="1" s="1"/>
  <c r="O1733" i="1"/>
  <c r="O1732" i="1" s="1"/>
  <c r="O1735" i="1"/>
  <c r="O1734" i="1" s="1"/>
  <c r="O1737" i="1"/>
  <c r="O1736" i="1" s="1"/>
  <c r="O1739" i="1"/>
  <c r="O1738" i="1" s="1"/>
  <c r="O1741" i="1"/>
  <c r="O1740" i="1" s="1"/>
  <c r="O1743" i="1"/>
  <c r="O1742" i="1" s="1"/>
  <c r="O1745" i="1"/>
  <c r="O1744" i="1" s="1"/>
  <c r="O1747" i="1"/>
  <c r="O1746" i="1" s="1"/>
  <c r="O1749" i="1"/>
  <c r="O1748" i="1" s="1"/>
  <c r="O1751" i="1"/>
  <c r="O1750" i="1" s="1"/>
  <c r="O1753" i="1"/>
  <c r="O1752" i="1" s="1"/>
  <c r="O1755" i="1"/>
  <c r="O1754" i="1" s="1"/>
  <c r="O1757" i="1"/>
  <c r="O1756" i="1" s="1"/>
  <c r="O1759" i="1"/>
  <c r="O1758" i="1" s="1"/>
  <c r="O1761" i="1"/>
  <c r="O1760" i="1" s="1"/>
  <c r="O1763" i="1"/>
  <c r="O1762" i="1" s="1"/>
  <c r="O1765" i="1"/>
  <c r="O1764" i="1" s="1"/>
  <c r="O1767" i="1"/>
  <c r="O1766" i="1" s="1"/>
  <c r="O1769" i="1"/>
  <c r="O1768" i="1" s="1"/>
  <c r="O1771" i="1"/>
  <c r="O1770" i="1" s="1"/>
  <c r="O1773" i="1"/>
  <c r="O1772" i="1" s="1"/>
  <c r="O1775" i="1"/>
  <c r="O1774" i="1" s="1"/>
  <c r="O1777" i="1"/>
  <c r="O1776" i="1" s="1"/>
  <c r="O1779" i="1"/>
  <c r="O1778" i="1" s="1"/>
  <c r="O1781" i="1"/>
  <c r="O1780" i="1" s="1"/>
  <c r="O1783" i="1"/>
  <c r="O1782" i="1" s="1"/>
  <c r="O1785" i="1"/>
  <c r="O1784" i="1" s="1"/>
  <c r="O1787" i="1"/>
  <c r="O1786" i="1" s="1"/>
  <c r="O1789" i="1"/>
  <c r="O1788" i="1" s="1"/>
  <c r="O1791" i="1"/>
  <c r="O1790" i="1" s="1"/>
  <c r="O1793" i="1"/>
  <c r="O1792" i="1" s="1"/>
  <c r="O1795" i="1"/>
  <c r="O1794" i="1" s="1"/>
  <c r="O1797" i="1"/>
  <c r="O1796" i="1" s="1"/>
  <c r="O1799" i="1"/>
  <c r="O1798" i="1" s="1"/>
  <c r="O1801" i="1"/>
  <c r="O1800" i="1" s="1"/>
  <c r="O1803" i="1"/>
  <c r="O1802" i="1" s="1"/>
  <c r="O1805" i="1"/>
  <c r="O1804" i="1" s="1"/>
  <c r="O1807" i="1"/>
  <c r="O1806" i="1" s="1"/>
  <c r="O1809" i="1"/>
  <c r="O1808" i="1" s="1"/>
  <c r="O1811" i="1"/>
  <c r="O1810" i="1" s="1"/>
  <c r="O1813" i="1"/>
  <c r="O1812" i="1" s="1"/>
  <c r="O1815" i="1"/>
  <c r="O1814" i="1" s="1"/>
  <c r="O1817" i="1"/>
  <c r="O1816" i="1" s="1"/>
  <c r="O1819" i="1"/>
  <c r="O1818" i="1" s="1"/>
  <c r="O1821" i="1"/>
  <c r="O1820" i="1" s="1"/>
  <c r="O1823" i="1"/>
  <c r="O1822" i="1" s="1"/>
  <c r="O1825" i="1"/>
  <c r="O1824" i="1" s="1"/>
  <c r="O1827" i="1"/>
  <c r="O1826" i="1" s="1"/>
  <c r="O1829" i="1"/>
  <c r="O1828" i="1" s="1"/>
  <c r="O1831" i="1"/>
  <c r="O1830" i="1" s="1"/>
  <c r="O1833" i="1"/>
  <c r="O1832" i="1" s="1"/>
  <c r="O1835" i="1"/>
  <c r="O1834" i="1" s="1"/>
  <c r="O1837" i="1"/>
  <c r="O1836" i="1" s="1"/>
  <c r="O1839" i="1"/>
  <c r="O1838" i="1" s="1"/>
  <c r="O1841" i="1"/>
  <c r="O1840" i="1" s="1"/>
  <c r="O1843" i="1"/>
  <c r="O1842" i="1" s="1"/>
  <c r="O1845" i="1"/>
  <c r="O1844" i="1" s="1"/>
  <c r="O1847" i="1"/>
  <c r="O1846" i="1" s="1"/>
  <c r="O1849" i="1"/>
  <c r="O1848" i="1" s="1"/>
  <c r="O1851" i="1"/>
  <c r="O1850" i="1" s="1"/>
  <c r="O1853" i="1"/>
  <c r="O1852" i="1" s="1"/>
  <c r="O1855" i="1"/>
  <c r="O1854" i="1" s="1"/>
  <c r="O1857" i="1"/>
  <c r="O1856" i="1" s="1"/>
  <c r="O1859" i="1"/>
  <c r="O1858" i="1" s="1"/>
  <c r="O1861" i="1"/>
  <c r="O1860" i="1" s="1"/>
  <c r="O1863" i="1"/>
  <c r="O1862" i="1" s="1"/>
  <c r="O1865" i="1"/>
  <c r="O1864" i="1" s="1"/>
  <c r="O1867" i="1"/>
  <c r="O1866" i="1" s="1"/>
  <c r="O1869" i="1"/>
  <c r="O1868" i="1" s="1"/>
  <c r="O1871" i="1"/>
  <c r="O1870" i="1" s="1"/>
  <c r="O1873" i="1"/>
  <c r="O1872" i="1" s="1"/>
  <c r="O1875" i="1"/>
  <c r="O1874" i="1" s="1"/>
  <c r="O1877" i="1"/>
  <c r="O1876" i="1" s="1"/>
  <c r="O1879" i="1"/>
  <c r="O1878" i="1" s="1"/>
  <c r="O1881" i="1"/>
  <c r="O1880" i="1" s="1"/>
  <c r="O1883" i="1"/>
  <c r="O1882" i="1" s="1"/>
  <c r="O1885" i="1"/>
  <c r="O1884" i="1" s="1"/>
  <c r="O1887" i="1"/>
  <c r="O1886" i="1" s="1"/>
  <c r="O1889" i="1"/>
  <c r="O1888" i="1" s="1"/>
  <c r="O1891" i="1"/>
  <c r="O1890" i="1" s="1"/>
  <c r="O1893" i="1"/>
  <c r="O1892" i="1" s="1"/>
  <c r="O1895" i="1"/>
  <c r="O1894" i="1" s="1"/>
  <c r="O1897" i="1"/>
  <c r="O1896" i="1" s="1"/>
  <c r="O1899" i="1"/>
  <c r="O1898" i="1" s="1"/>
  <c r="O1901" i="1"/>
  <c r="O1900" i="1" s="1"/>
  <c r="O1903" i="1"/>
  <c r="O1902" i="1" s="1"/>
  <c r="O1905" i="1"/>
  <c r="O1904" i="1" s="1"/>
  <c r="O1907" i="1"/>
  <c r="O1906" i="1" s="1"/>
  <c r="O1909" i="1"/>
  <c r="O1908" i="1" s="1"/>
  <c r="O1911" i="1"/>
  <c r="O1910" i="1" s="1"/>
  <c r="O1913" i="1"/>
  <c r="O1912" i="1" s="1"/>
  <c r="O1915" i="1"/>
  <c r="O1914" i="1" s="1"/>
  <c r="O1917" i="1"/>
  <c r="O1916" i="1" s="1"/>
  <c r="O1919" i="1"/>
  <c r="O1918" i="1" s="1"/>
  <c r="O1921" i="1"/>
  <c r="O1920" i="1" s="1"/>
  <c r="O1923" i="1"/>
  <c r="O1922" i="1" s="1"/>
  <c r="O1925" i="1"/>
  <c r="O1924" i="1" s="1"/>
  <c r="O1927" i="1"/>
  <c r="O1926" i="1" s="1"/>
  <c r="O1929" i="1"/>
  <c r="O1928" i="1" s="1"/>
  <c r="O1931" i="1"/>
  <c r="O1930" i="1" s="1"/>
  <c r="O1933" i="1"/>
  <c r="O1932" i="1" s="1"/>
  <c r="O1935" i="1"/>
  <c r="O1934" i="1" s="1"/>
  <c r="O1937" i="1"/>
  <c r="O1936" i="1" s="1"/>
  <c r="O1939" i="1"/>
  <c r="O1938" i="1" s="1"/>
  <c r="O1941" i="1"/>
  <c r="O1940" i="1" s="1"/>
  <c r="O1943" i="1"/>
  <c r="O1942" i="1" s="1"/>
  <c r="O1945" i="1"/>
  <c r="O1944" i="1" s="1"/>
  <c r="O1947" i="1"/>
  <c r="O1946" i="1" s="1"/>
  <c r="O1949" i="1"/>
  <c r="O1948" i="1" s="1"/>
  <c r="O1951" i="1"/>
  <c r="O1950" i="1" s="1"/>
  <c r="O1953" i="1"/>
  <c r="O1952" i="1" s="1"/>
  <c r="O1955" i="1"/>
  <c r="O1954" i="1" s="1"/>
  <c r="O1957" i="1"/>
  <c r="O1956" i="1" s="1"/>
  <c r="O1959" i="1"/>
  <c r="O1958" i="1" s="1"/>
  <c r="O1961" i="1"/>
  <c r="O1960" i="1" s="1"/>
  <c r="O1963" i="1"/>
  <c r="O1962" i="1" s="1"/>
  <c r="O1965" i="1"/>
  <c r="O1964" i="1" s="1"/>
  <c r="O1967" i="1"/>
  <c r="O1966" i="1" s="1"/>
  <c r="O1969" i="1"/>
  <c r="O1968" i="1" s="1"/>
  <c r="O1971" i="1"/>
  <c r="O1970" i="1" s="1"/>
  <c r="O1973" i="1"/>
  <c r="O1972" i="1" s="1"/>
  <c r="O1975" i="1"/>
  <c r="O1974" i="1" s="1"/>
  <c r="O1977" i="1"/>
  <c r="O1976" i="1" s="1"/>
  <c r="O1979" i="1"/>
  <c r="O1978" i="1" s="1"/>
  <c r="O1981" i="1"/>
  <c r="O1980" i="1" s="1"/>
  <c r="O1983" i="1"/>
  <c r="O1982" i="1" s="1"/>
  <c r="O1985" i="1"/>
  <c r="O1984" i="1" s="1"/>
  <c r="O1987" i="1"/>
  <c r="O1986" i="1" s="1"/>
  <c r="O1989" i="1"/>
  <c r="O1988" i="1" s="1"/>
  <c r="O1991" i="1"/>
  <c r="O1990" i="1" s="1"/>
  <c r="O1993" i="1"/>
  <c r="O1992" i="1" s="1"/>
  <c r="O1995" i="1"/>
  <c r="O1994" i="1" s="1"/>
  <c r="O1997" i="1"/>
  <c r="O1996" i="1" s="1"/>
  <c r="O1999" i="1"/>
  <c r="O1998" i="1" s="1"/>
  <c r="D2" i="3" l="1"/>
  <c r="D8" i="3" l="1"/>
  <c r="D7" i="3"/>
  <c r="D6" i="3"/>
  <c r="D5" i="3"/>
  <c r="D4" i="3"/>
  <c r="E103" i="4"/>
  <c r="E104" i="4" s="1"/>
  <c r="E105" i="4" s="1"/>
  <c r="E106" i="4" s="1"/>
  <c r="E107" i="4" s="1"/>
  <c r="E108" i="4" s="1"/>
  <c r="E109" i="4" s="1"/>
  <c r="E110" i="4" s="1"/>
  <c r="E111" i="4" s="1"/>
  <c r="E112" i="4" s="1"/>
  <c r="E113" i="4" s="1"/>
  <c r="E114" i="4" s="1"/>
  <c r="E115" i="4" s="1"/>
  <c r="E116" i="4" s="1"/>
  <c r="E117" i="4" s="1"/>
  <c r="E118" i="4" s="1"/>
  <c r="E119" i="4" s="1"/>
  <c r="E120" i="4" s="1"/>
  <c r="E121" i="4" s="1"/>
  <c r="E83" i="4"/>
  <c r="E84" i="4" s="1"/>
  <c r="E85" i="4" s="1"/>
  <c r="E86" i="4" s="1"/>
  <c r="E87" i="4" s="1"/>
  <c r="E88" i="4" s="1"/>
  <c r="E89" i="4" s="1"/>
  <c r="E90" i="4" s="1"/>
  <c r="E91" i="4" s="1"/>
  <c r="E92" i="4" s="1"/>
  <c r="E93" i="4" s="1"/>
  <c r="E94" i="4" s="1"/>
  <c r="E95" i="4" s="1"/>
  <c r="E96" i="4" s="1"/>
  <c r="E97" i="4" s="1"/>
  <c r="E98" i="4" s="1"/>
  <c r="E99" i="4" s="1"/>
  <c r="E100" i="4" s="1"/>
  <c r="E101" i="4" s="1"/>
  <c r="E63" i="4"/>
  <c r="E64" i="4" s="1"/>
  <c r="E65" i="4" s="1"/>
  <c r="E66" i="4" s="1"/>
  <c r="E67" i="4" s="1"/>
  <c r="E68" i="4" s="1"/>
  <c r="E69" i="4" s="1"/>
  <c r="E70" i="4" s="1"/>
  <c r="E71" i="4" s="1"/>
  <c r="E72" i="4" s="1"/>
  <c r="E73" i="4" s="1"/>
  <c r="E74" i="4" s="1"/>
  <c r="E75" i="4" s="1"/>
  <c r="E76" i="4" s="1"/>
  <c r="E77" i="4" s="1"/>
  <c r="E78" i="4" s="1"/>
  <c r="E79" i="4" s="1"/>
  <c r="E80" i="4" s="1"/>
  <c r="E81" i="4" s="1"/>
  <c r="E43" i="4"/>
  <c r="E44" i="4" s="1"/>
  <c r="E45" i="4" s="1"/>
  <c r="E46" i="4" s="1"/>
  <c r="E47" i="4" s="1"/>
  <c r="E48" i="4" s="1"/>
  <c r="E49" i="4" s="1"/>
  <c r="E50" i="4" s="1"/>
  <c r="E51" i="4" s="1"/>
  <c r="E52" i="4" s="1"/>
  <c r="E53" i="4" s="1"/>
  <c r="E54" i="4" s="1"/>
  <c r="E55" i="4" s="1"/>
  <c r="E56" i="4" s="1"/>
  <c r="E57" i="4" s="1"/>
  <c r="E58" i="4" s="1"/>
  <c r="E59" i="4" s="1"/>
  <c r="E60" i="4" s="1"/>
  <c r="E61" i="4" s="1"/>
  <c r="E24" i="4"/>
  <c r="E25" i="4" s="1"/>
  <c r="E26" i="4" s="1"/>
  <c r="E27" i="4" s="1"/>
  <c r="E28" i="4" s="1"/>
  <c r="E29" i="4" s="1"/>
  <c r="E30" i="4" s="1"/>
  <c r="E31" i="4" s="1"/>
  <c r="E32" i="4" s="1"/>
  <c r="E33" i="4" s="1"/>
  <c r="E34" i="4" s="1"/>
  <c r="E35" i="4" s="1"/>
  <c r="E36" i="4" s="1"/>
  <c r="E37" i="4" s="1"/>
  <c r="E38" i="4" s="1"/>
  <c r="E39" i="4" s="1"/>
  <c r="E40" i="4" s="1"/>
  <c r="E41" i="4" s="1"/>
  <c r="E23" i="4"/>
  <c r="E4" i="4"/>
  <c r="E5" i="4" s="1"/>
  <c r="E6" i="4" s="1"/>
  <c r="E7" i="4" s="1"/>
  <c r="E8" i="4" s="1"/>
  <c r="E9" i="4" s="1"/>
  <c r="E10" i="4" s="1"/>
  <c r="E11" i="4" s="1"/>
  <c r="E12" i="4" s="1"/>
  <c r="E13" i="4" s="1"/>
  <c r="E14" i="4" s="1"/>
  <c r="E15" i="4" s="1"/>
  <c r="E16" i="4" s="1"/>
  <c r="E17" i="4" s="1"/>
  <c r="E18" i="4" s="1"/>
  <c r="E19" i="4" s="1"/>
  <c r="E20" i="4" s="1"/>
  <c r="E21" i="4" s="1"/>
  <c r="E3" i="4"/>
  <c r="F122" i="4"/>
  <c r="F123" i="4"/>
  <c r="F124" i="4"/>
  <c r="F125" i="4"/>
  <c r="F126" i="4"/>
  <c r="F127" i="4"/>
  <c r="F128" i="4"/>
  <c r="F129" i="4"/>
  <c r="F130" i="4"/>
  <c r="F131" i="4"/>
  <c r="F132" i="4"/>
  <c r="F133" i="4"/>
  <c r="F134" i="4"/>
  <c r="F135" i="4"/>
  <c r="F136" i="4"/>
  <c r="F137" i="4"/>
  <c r="F138" i="4"/>
  <c r="F139" i="4"/>
  <c r="F140" i="4"/>
  <c r="F141" i="4"/>
  <c r="F121" i="4"/>
  <c r="F120" i="4"/>
  <c r="F119" i="4"/>
  <c r="F118" i="4"/>
  <c r="F117" i="4"/>
  <c r="F116" i="4"/>
  <c r="F115" i="4"/>
  <c r="F114" i="4"/>
  <c r="F113" i="4"/>
  <c r="F112" i="4"/>
  <c r="F101" i="4"/>
  <c r="F100" i="4"/>
  <c r="F99" i="4"/>
  <c r="F98" i="4"/>
  <c r="F97" i="4"/>
  <c r="F96" i="4"/>
  <c r="F95" i="4"/>
  <c r="F94" i="4"/>
  <c r="F93" i="4"/>
  <c r="F92" i="4"/>
  <c r="F81" i="4"/>
  <c r="F80" i="4"/>
  <c r="F79" i="4"/>
  <c r="F78" i="4"/>
  <c r="F77" i="4"/>
  <c r="F76" i="4"/>
  <c r="F75" i="4"/>
  <c r="F74" i="4"/>
  <c r="F73" i="4"/>
  <c r="F72" i="4"/>
  <c r="F61" i="4"/>
  <c r="F60" i="4"/>
  <c r="F59" i="4"/>
  <c r="F58" i="4"/>
  <c r="F57" i="4"/>
  <c r="F56" i="4"/>
  <c r="F55" i="4"/>
  <c r="F54" i="4"/>
  <c r="F53" i="4"/>
  <c r="F52" i="4"/>
  <c r="F3"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62" i="4"/>
  <c r="F63" i="4"/>
  <c r="F64" i="4"/>
  <c r="F65" i="4"/>
  <c r="F66" i="4"/>
  <c r="F67" i="4"/>
  <c r="F68" i="4"/>
  <c r="F69" i="4"/>
  <c r="F70" i="4"/>
  <c r="F71" i="4"/>
  <c r="F82" i="4"/>
  <c r="F83" i="4"/>
  <c r="F84" i="4"/>
  <c r="F85" i="4"/>
  <c r="F86" i="4"/>
  <c r="F87" i="4"/>
  <c r="F88" i="4"/>
  <c r="F89" i="4"/>
  <c r="F90" i="4"/>
  <c r="F91" i="4"/>
  <c r="F102" i="4"/>
  <c r="F103" i="4"/>
  <c r="F104" i="4"/>
  <c r="F105" i="4"/>
  <c r="F106" i="4"/>
  <c r="F107" i="4"/>
  <c r="F108" i="4"/>
  <c r="F109" i="4"/>
  <c r="F110" i="4"/>
  <c r="F111" i="4"/>
  <c r="F2" i="4"/>
  <c r="D3" i="3"/>
  <c r="I4" i="1" l="1"/>
  <c r="A2" i="1" l="1"/>
  <c r="A3" i="1" s="1"/>
  <c r="K2" i="1" l="1"/>
  <c r="AC1998" i="1" l="1"/>
  <c r="AC1999" i="1" s="1"/>
  <c r="AC1996" i="1"/>
  <c r="AC1997" i="1" s="1"/>
  <c r="AC1994" i="1"/>
  <c r="AC1995" i="1" s="1"/>
  <c r="AC1992" i="1"/>
  <c r="AC1993" i="1" s="1"/>
  <c r="AC1990" i="1"/>
  <c r="AC1991" i="1" s="1"/>
  <c r="AC1988" i="1"/>
  <c r="AC1989" i="1" s="1"/>
  <c r="AC1986" i="1"/>
  <c r="AC1987" i="1" s="1"/>
  <c r="AC1984" i="1"/>
  <c r="AC1985" i="1" s="1"/>
  <c r="AC1982" i="1"/>
  <c r="AC1983" i="1" s="1"/>
  <c r="AC1980" i="1"/>
  <c r="AC1981" i="1" s="1"/>
  <c r="AC1978" i="1"/>
  <c r="AC1979" i="1" s="1"/>
  <c r="AC1976" i="1"/>
  <c r="AC1977" i="1" s="1"/>
  <c r="AC1974" i="1"/>
  <c r="AC1975" i="1" s="1"/>
  <c r="AC1972" i="1"/>
  <c r="AC1973" i="1" s="1"/>
  <c r="AC1970" i="1"/>
  <c r="AC1971" i="1" s="1"/>
  <c r="AC1968" i="1"/>
  <c r="AC1969" i="1" s="1"/>
  <c r="AC1966" i="1"/>
  <c r="AC1967" i="1" s="1"/>
  <c r="AC1964" i="1"/>
  <c r="AC1965" i="1" s="1"/>
  <c r="AC1962" i="1"/>
  <c r="AC1963" i="1" s="1"/>
  <c r="AC1960" i="1"/>
  <c r="AC1961" i="1" s="1"/>
  <c r="AC1958" i="1"/>
  <c r="AC1959" i="1" s="1"/>
  <c r="AC1956" i="1"/>
  <c r="AC1957" i="1" s="1"/>
  <c r="AC1954" i="1"/>
  <c r="AC1955" i="1" s="1"/>
  <c r="AC1952" i="1"/>
  <c r="AC1953" i="1" s="1"/>
  <c r="AC1950" i="1"/>
  <c r="AC1951" i="1" s="1"/>
  <c r="AC1948" i="1"/>
  <c r="AC1949" i="1" s="1"/>
  <c r="AC1946" i="1"/>
  <c r="AC1947" i="1" s="1"/>
  <c r="AC1944" i="1"/>
  <c r="AC1945" i="1" s="1"/>
  <c r="AC1942" i="1"/>
  <c r="AC1943" i="1" s="1"/>
  <c r="AC1940" i="1"/>
  <c r="AC1941" i="1" s="1"/>
  <c r="AC1938" i="1"/>
  <c r="AC1939" i="1" s="1"/>
  <c r="AC1936" i="1"/>
  <c r="AC1937" i="1" s="1"/>
  <c r="AC1934" i="1"/>
  <c r="AC1935" i="1" s="1"/>
  <c r="AC1932" i="1"/>
  <c r="AC1933" i="1" s="1"/>
  <c r="AC1930" i="1"/>
  <c r="AC1931" i="1" s="1"/>
  <c r="AC1928" i="1"/>
  <c r="AC1929" i="1" s="1"/>
  <c r="AC1926" i="1"/>
  <c r="AC1927" i="1" s="1"/>
  <c r="AC1924" i="1"/>
  <c r="AC1925" i="1" s="1"/>
  <c r="AC1922" i="1"/>
  <c r="AC1923" i="1" s="1"/>
  <c r="AC1920" i="1"/>
  <c r="AC1921" i="1" s="1"/>
  <c r="AC1918" i="1"/>
  <c r="AC1919" i="1" s="1"/>
  <c r="AC1916" i="1"/>
  <c r="AC1917" i="1" s="1"/>
  <c r="AC1914" i="1"/>
  <c r="AC1915" i="1" s="1"/>
  <c r="AC1912" i="1"/>
  <c r="AC1913" i="1" s="1"/>
  <c r="AC1910" i="1"/>
  <c r="AC1911" i="1" s="1"/>
  <c r="AC1908" i="1"/>
  <c r="AC1909" i="1" s="1"/>
  <c r="AC1906" i="1"/>
  <c r="AC1907" i="1" s="1"/>
  <c r="AC1904" i="1"/>
  <c r="AC1905" i="1" s="1"/>
  <c r="AC1902" i="1"/>
  <c r="AC1903" i="1" s="1"/>
  <c r="AC1900" i="1"/>
  <c r="AC1901" i="1" s="1"/>
  <c r="AC1898" i="1"/>
  <c r="AC1899" i="1" s="1"/>
  <c r="AC1896" i="1"/>
  <c r="AC1897" i="1" s="1"/>
  <c r="AC1894" i="1"/>
  <c r="AC1895" i="1" s="1"/>
  <c r="AC1892" i="1"/>
  <c r="AC1893" i="1" s="1"/>
  <c r="AC1890" i="1"/>
  <c r="AC1891" i="1" s="1"/>
  <c r="AC1888" i="1"/>
  <c r="AC1889" i="1" s="1"/>
  <c r="AC1886" i="1"/>
  <c r="AC1887" i="1" s="1"/>
  <c r="AC1884" i="1"/>
  <c r="AC1885" i="1" s="1"/>
  <c r="AC1882" i="1"/>
  <c r="AC1883" i="1" s="1"/>
  <c r="AC1880" i="1"/>
  <c r="AC1881" i="1" s="1"/>
  <c r="AC1878" i="1"/>
  <c r="AC1879" i="1" s="1"/>
  <c r="AC1876" i="1"/>
  <c r="AC1877" i="1" s="1"/>
  <c r="AC1874" i="1"/>
  <c r="AC1875" i="1" s="1"/>
  <c r="AC1872" i="1"/>
  <c r="AC1873" i="1" s="1"/>
  <c r="AC1870" i="1"/>
  <c r="AC1871" i="1" s="1"/>
  <c r="AC1868" i="1"/>
  <c r="AC1869" i="1" s="1"/>
  <c r="AC1866" i="1"/>
  <c r="AC1867" i="1" s="1"/>
  <c r="AC1864" i="1"/>
  <c r="AC1865" i="1" s="1"/>
  <c r="AC1862" i="1"/>
  <c r="AC1863" i="1" s="1"/>
  <c r="AC1860" i="1"/>
  <c r="AC1861" i="1" s="1"/>
  <c r="AC1858" i="1"/>
  <c r="AC1859" i="1" s="1"/>
  <c r="AC1856" i="1"/>
  <c r="AC1857" i="1" s="1"/>
  <c r="AC1854" i="1"/>
  <c r="AC1855" i="1" s="1"/>
  <c r="AC1852" i="1"/>
  <c r="AC1853" i="1" s="1"/>
  <c r="AC1850" i="1"/>
  <c r="AC1851" i="1" s="1"/>
  <c r="AC1848" i="1"/>
  <c r="AC1849" i="1" s="1"/>
  <c r="AC1846" i="1"/>
  <c r="AC1847" i="1" s="1"/>
  <c r="AC1844" i="1"/>
  <c r="AC1845" i="1" s="1"/>
  <c r="AC1842" i="1"/>
  <c r="AC1843" i="1" s="1"/>
  <c r="AC1840" i="1"/>
  <c r="AC1841" i="1" s="1"/>
  <c r="AC1838" i="1"/>
  <c r="AC1839" i="1" s="1"/>
  <c r="AC1836" i="1"/>
  <c r="AC1837" i="1" s="1"/>
  <c r="AC1834" i="1"/>
  <c r="AC1835" i="1" s="1"/>
  <c r="AC1832" i="1"/>
  <c r="AC1833" i="1" s="1"/>
  <c r="AC1830" i="1"/>
  <c r="AC1831" i="1" s="1"/>
  <c r="AC1828" i="1"/>
  <c r="AC1829" i="1" s="1"/>
  <c r="AC1826" i="1"/>
  <c r="AC1827" i="1" s="1"/>
  <c r="AC1824" i="1"/>
  <c r="AC1825" i="1" s="1"/>
  <c r="AC1822" i="1"/>
  <c r="AC1823" i="1" s="1"/>
  <c r="AC1820" i="1"/>
  <c r="AC1821" i="1" s="1"/>
  <c r="AC1818" i="1"/>
  <c r="AC1819" i="1" s="1"/>
  <c r="AC1816" i="1"/>
  <c r="AC1817" i="1" s="1"/>
  <c r="AC1814" i="1"/>
  <c r="AC1815" i="1" s="1"/>
  <c r="AC1812" i="1"/>
  <c r="AC1813" i="1" s="1"/>
  <c r="AC1810" i="1"/>
  <c r="AC1811" i="1" s="1"/>
  <c r="AC1808" i="1"/>
  <c r="AC1809" i="1" s="1"/>
  <c r="AC1806" i="1"/>
  <c r="AC1807" i="1" s="1"/>
  <c r="AC1804" i="1"/>
  <c r="AC1805" i="1" s="1"/>
  <c r="AC1802" i="1"/>
  <c r="AC1803" i="1" s="1"/>
  <c r="AC1800" i="1"/>
  <c r="AC1801" i="1" s="1"/>
  <c r="AC1798" i="1"/>
  <c r="AC1799" i="1" s="1"/>
  <c r="AC1796" i="1"/>
  <c r="AC1797" i="1" s="1"/>
  <c r="AC1794" i="1"/>
  <c r="AC1795" i="1" s="1"/>
  <c r="AC1792" i="1"/>
  <c r="AC1793" i="1" s="1"/>
  <c r="AC1790" i="1"/>
  <c r="AC1791" i="1" s="1"/>
  <c r="AC1788" i="1"/>
  <c r="AC1789" i="1" s="1"/>
  <c r="AC1786" i="1"/>
  <c r="AC1787" i="1" s="1"/>
  <c r="AC1784" i="1"/>
  <c r="AC1785" i="1" s="1"/>
  <c r="AC1782" i="1"/>
  <c r="AC1783" i="1" s="1"/>
  <c r="AC1780" i="1"/>
  <c r="AC1781" i="1" s="1"/>
  <c r="AC1778" i="1"/>
  <c r="AC1779" i="1" s="1"/>
  <c r="AC1776" i="1"/>
  <c r="AC1777" i="1" s="1"/>
  <c r="AC1774" i="1"/>
  <c r="AC1775" i="1" s="1"/>
  <c r="AC1772" i="1"/>
  <c r="AC1773" i="1" s="1"/>
  <c r="AC1770" i="1"/>
  <c r="AC1771" i="1" s="1"/>
  <c r="AC1768" i="1"/>
  <c r="AC1769" i="1" s="1"/>
  <c r="AC1766" i="1"/>
  <c r="AC1767" i="1" s="1"/>
  <c r="AC1764" i="1"/>
  <c r="AC1765" i="1" s="1"/>
  <c r="AC1762" i="1"/>
  <c r="AC1763" i="1" s="1"/>
  <c r="AC1760" i="1"/>
  <c r="AC1761" i="1" s="1"/>
  <c r="AC1758" i="1"/>
  <c r="AC1759" i="1" s="1"/>
  <c r="AC1756" i="1"/>
  <c r="AC1757" i="1" s="1"/>
  <c r="AC1754" i="1"/>
  <c r="AC1755" i="1" s="1"/>
  <c r="AC1752" i="1"/>
  <c r="AC1753" i="1" s="1"/>
  <c r="AC1750" i="1"/>
  <c r="AC1751" i="1" s="1"/>
  <c r="AC1748" i="1"/>
  <c r="AC1749" i="1" s="1"/>
  <c r="AC1746" i="1"/>
  <c r="AC1747" i="1" s="1"/>
  <c r="AC1744" i="1"/>
  <c r="AC1745" i="1" s="1"/>
  <c r="AC1742" i="1"/>
  <c r="AC1743" i="1" s="1"/>
  <c r="AC1740" i="1"/>
  <c r="AC1741" i="1" s="1"/>
  <c r="AC1738" i="1"/>
  <c r="AC1739" i="1" s="1"/>
  <c r="AC1736" i="1"/>
  <c r="AC1737" i="1" s="1"/>
  <c r="AC1734" i="1"/>
  <c r="AC1735" i="1" s="1"/>
  <c r="AC1732" i="1"/>
  <c r="AC1733" i="1" s="1"/>
  <c r="AC1730" i="1"/>
  <c r="AC1731" i="1" s="1"/>
  <c r="AC1728" i="1"/>
  <c r="AC1729" i="1" s="1"/>
  <c r="AC1726" i="1"/>
  <c r="AC1727" i="1" s="1"/>
  <c r="AC1724" i="1"/>
  <c r="AC1725" i="1" s="1"/>
  <c r="AC1722" i="1"/>
  <c r="AC1723" i="1" s="1"/>
  <c r="AC1720" i="1"/>
  <c r="AC1721" i="1" s="1"/>
  <c r="AC1718" i="1"/>
  <c r="AC1719" i="1" s="1"/>
  <c r="AC1716" i="1"/>
  <c r="AC1717" i="1" s="1"/>
  <c r="AC1714" i="1"/>
  <c r="AC1715" i="1" s="1"/>
  <c r="AC1712" i="1"/>
  <c r="AC1713" i="1" s="1"/>
  <c r="AC1710" i="1"/>
  <c r="AC1711" i="1" s="1"/>
  <c r="AC1708" i="1"/>
  <c r="AC1709" i="1" s="1"/>
  <c r="AC1706" i="1"/>
  <c r="AC1707" i="1" s="1"/>
  <c r="AC1704" i="1"/>
  <c r="AC1705" i="1" s="1"/>
  <c r="AC1702" i="1"/>
  <c r="AC1703" i="1" s="1"/>
  <c r="AC1700" i="1"/>
  <c r="AC1701" i="1" s="1"/>
  <c r="AC1698" i="1"/>
  <c r="AC1699" i="1" s="1"/>
  <c r="AC1696" i="1"/>
  <c r="AC1697" i="1" s="1"/>
  <c r="AC1694" i="1"/>
  <c r="AC1695" i="1" s="1"/>
  <c r="AC1692" i="1"/>
  <c r="AC1693" i="1" s="1"/>
  <c r="AC1690" i="1"/>
  <c r="AC1691" i="1" s="1"/>
  <c r="AC1688" i="1"/>
  <c r="AC1689" i="1" s="1"/>
  <c r="AC1686" i="1"/>
  <c r="AC1687" i="1" s="1"/>
  <c r="AC1684" i="1"/>
  <c r="AC1685" i="1" s="1"/>
  <c r="AC1682" i="1"/>
  <c r="AC1683" i="1" s="1"/>
  <c r="AC1680" i="1"/>
  <c r="AC1681" i="1" s="1"/>
  <c r="AC1678" i="1"/>
  <c r="AC1679" i="1" s="1"/>
  <c r="AC1676" i="1"/>
  <c r="AC1677" i="1" s="1"/>
  <c r="AC1674" i="1"/>
  <c r="AC1675" i="1" s="1"/>
  <c r="AC1672" i="1"/>
  <c r="AC1673" i="1" s="1"/>
  <c r="AC1670" i="1"/>
  <c r="AC1671" i="1" s="1"/>
  <c r="AC1668" i="1"/>
  <c r="AC1669" i="1" s="1"/>
  <c r="AC1666" i="1"/>
  <c r="AC1667" i="1" s="1"/>
  <c r="AC1664" i="1"/>
  <c r="AC1665" i="1" s="1"/>
  <c r="AC1662" i="1"/>
  <c r="AC1663" i="1" s="1"/>
  <c r="AC1660" i="1"/>
  <c r="AC1661" i="1" s="1"/>
  <c r="AC1658" i="1"/>
  <c r="AC1659" i="1" s="1"/>
  <c r="AC1656" i="1"/>
  <c r="AC1657" i="1" s="1"/>
  <c r="AC1654" i="1"/>
  <c r="AC1655" i="1" s="1"/>
  <c r="AC1652" i="1"/>
  <c r="AC1653" i="1" s="1"/>
  <c r="AC1650" i="1"/>
  <c r="AC1651" i="1" s="1"/>
  <c r="AC1648" i="1"/>
  <c r="AC1649" i="1" s="1"/>
  <c r="AC1646" i="1"/>
  <c r="AC1647" i="1" s="1"/>
  <c r="AC1644" i="1"/>
  <c r="AC1645" i="1" s="1"/>
  <c r="AC1642" i="1"/>
  <c r="AC1643" i="1" s="1"/>
  <c r="AC1640" i="1"/>
  <c r="AC1641" i="1" s="1"/>
  <c r="AC1638" i="1"/>
  <c r="AC1639" i="1" s="1"/>
  <c r="AC1636" i="1"/>
  <c r="AC1637" i="1" s="1"/>
  <c r="AC1634" i="1"/>
  <c r="AC1635" i="1" s="1"/>
  <c r="AC1632" i="1"/>
  <c r="AC1633" i="1" s="1"/>
  <c r="AC1630" i="1"/>
  <c r="AC1631" i="1" s="1"/>
  <c r="AC1628" i="1"/>
  <c r="AC1629" i="1" s="1"/>
  <c r="AC1626" i="1"/>
  <c r="AC1627" i="1" s="1"/>
  <c r="AC1624" i="1"/>
  <c r="AC1625" i="1" s="1"/>
  <c r="AC1622" i="1"/>
  <c r="AC1623" i="1" s="1"/>
  <c r="AC1620" i="1"/>
  <c r="AC1621" i="1" s="1"/>
  <c r="AC1618" i="1"/>
  <c r="AC1619" i="1" s="1"/>
  <c r="AC1616" i="1"/>
  <c r="AC1617" i="1" s="1"/>
  <c r="AC1614" i="1"/>
  <c r="AC1615" i="1" s="1"/>
  <c r="AC1612" i="1"/>
  <c r="AC1613" i="1" s="1"/>
  <c r="AC1610" i="1"/>
  <c r="AC1611" i="1" s="1"/>
  <c r="AC1608" i="1"/>
  <c r="AC1609" i="1" s="1"/>
  <c r="AC1606" i="1"/>
  <c r="AC1607" i="1" s="1"/>
  <c r="AC1604" i="1"/>
  <c r="AC1605" i="1" s="1"/>
  <c r="AC1602" i="1"/>
  <c r="AC1603" i="1" s="1"/>
  <c r="AC1600" i="1"/>
  <c r="AC1601" i="1" s="1"/>
  <c r="AC1598" i="1"/>
  <c r="AC1599" i="1" s="1"/>
  <c r="AC1596" i="1"/>
  <c r="AC1597" i="1" s="1"/>
  <c r="AC1594" i="1"/>
  <c r="AC1595" i="1" s="1"/>
  <c r="AC1592" i="1"/>
  <c r="AC1593" i="1" s="1"/>
  <c r="AC1590" i="1"/>
  <c r="AC1591" i="1" s="1"/>
  <c r="AC1588" i="1"/>
  <c r="AC1589" i="1" s="1"/>
  <c r="AC1586" i="1"/>
  <c r="AC1587" i="1" s="1"/>
  <c r="AC1584" i="1"/>
  <c r="AC1585" i="1" s="1"/>
  <c r="AC1582" i="1"/>
  <c r="AC1583" i="1" s="1"/>
  <c r="AC1580" i="1"/>
  <c r="AC1581" i="1" s="1"/>
  <c r="AC1578" i="1"/>
  <c r="AC1579" i="1" s="1"/>
  <c r="AC1576" i="1"/>
  <c r="AC1577" i="1" s="1"/>
  <c r="AC1574" i="1"/>
  <c r="AC1575" i="1" s="1"/>
  <c r="AC1572" i="1"/>
  <c r="AC1573" i="1" s="1"/>
  <c r="AC1570" i="1"/>
  <c r="AC1571" i="1" s="1"/>
  <c r="AC1568" i="1"/>
  <c r="AC1569" i="1" s="1"/>
  <c r="AC1566" i="1"/>
  <c r="AC1567" i="1" s="1"/>
  <c r="AC1564" i="1"/>
  <c r="AC1565" i="1" s="1"/>
  <c r="AC1562" i="1"/>
  <c r="AC1563" i="1" s="1"/>
  <c r="AC1560" i="1"/>
  <c r="AC1561" i="1" s="1"/>
  <c r="AC1558" i="1"/>
  <c r="AC1559" i="1" s="1"/>
  <c r="AC1556" i="1"/>
  <c r="AC1557" i="1" s="1"/>
  <c r="AC1554" i="1"/>
  <c r="AC1555" i="1" s="1"/>
  <c r="AC1552" i="1"/>
  <c r="AC1553" i="1" s="1"/>
  <c r="AC1550" i="1"/>
  <c r="AC1551" i="1" s="1"/>
  <c r="AC1548" i="1"/>
  <c r="AC1549" i="1" s="1"/>
  <c r="AC1546" i="1"/>
  <c r="AC1547" i="1" s="1"/>
  <c r="AC1544" i="1"/>
  <c r="AC1545" i="1" s="1"/>
  <c r="AC1542" i="1"/>
  <c r="AC1543" i="1" s="1"/>
  <c r="AC1540" i="1"/>
  <c r="AC1541" i="1" s="1"/>
  <c r="AC1538" i="1"/>
  <c r="AC1539" i="1" s="1"/>
  <c r="AC1536" i="1"/>
  <c r="AC1537" i="1" s="1"/>
  <c r="AC1534" i="1"/>
  <c r="AC1535" i="1" s="1"/>
  <c r="AC1532" i="1"/>
  <c r="AC1533" i="1" s="1"/>
  <c r="AC1530" i="1"/>
  <c r="AC1531" i="1" s="1"/>
  <c r="AC1528" i="1"/>
  <c r="AC1529" i="1" s="1"/>
  <c r="AC1526" i="1"/>
  <c r="AC1527" i="1" s="1"/>
  <c r="AC1524" i="1"/>
  <c r="AC1525" i="1" s="1"/>
  <c r="AC1522" i="1"/>
  <c r="AC1523" i="1" s="1"/>
  <c r="AC1520" i="1"/>
  <c r="AC1521" i="1" s="1"/>
  <c r="AC1518" i="1"/>
  <c r="AC1519" i="1" s="1"/>
  <c r="AC1516" i="1"/>
  <c r="AC1517" i="1" s="1"/>
  <c r="AC1514" i="1"/>
  <c r="AC1515" i="1" s="1"/>
  <c r="AC1512" i="1"/>
  <c r="AC1513" i="1" s="1"/>
  <c r="AC1510" i="1"/>
  <c r="AC1511" i="1" s="1"/>
  <c r="AC1508" i="1"/>
  <c r="AC1509" i="1" s="1"/>
  <c r="AC1506" i="1"/>
  <c r="AC1507" i="1" s="1"/>
  <c r="AC1504" i="1"/>
  <c r="AC1505" i="1" s="1"/>
  <c r="AC1502" i="1"/>
  <c r="AC1503" i="1" s="1"/>
  <c r="AC1500" i="1"/>
  <c r="AC1501" i="1" s="1"/>
  <c r="AC1498" i="1"/>
  <c r="AC1499" i="1" s="1"/>
  <c r="AC1496" i="1"/>
  <c r="AC1497" i="1" s="1"/>
  <c r="AC1494" i="1"/>
  <c r="AC1495" i="1" s="1"/>
  <c r="AC1492" i="1"/>
  <c r="AC1493" i="1" s="1"/>
  <c r="AC1490" i="1"/>
  <c r="AC1491" i="1" s="1"/>
  <c r="AC1488" i="1"/>
  <c r="AC1489" i="1" s="1"/>
  <c r="AC1486" i="1"/>
  <c r="AC1487" i="1" s="1"/>
  <c r="AC1484" i="1"/>
  <c r="AC1485" i="1" s="1"/>
  <c r="AC1482" i="1"/>
  <c r="AC1483" i="1" s="1"/>
  <c r="AC1480" i="1"/>
  <c r="AC1481" i="1" s="1"/>
  <c r="AC1478" i="1"/>
  <c r="AC1479" i="1" s="1"/>
  <c r="AC1476" i="1"/>
  <c r="AC1477" i="1" s="1"/>
  <c r="AC1474" i="1"/>
  <c r="AC1475" i="1" s="1"/>
  <c r="AC1472" i="1"/>
  <c r="AC1473" i="1" s="1"/>
  <c r="AC1470" i="1"/>
  <c r="AC1471" i="1" s="1"/>
  <c r="AC1468" i="1"/>
  <c r="AC1469" i="1" s="1"/>
  <c r="AC1466" i="1"/>
  <c r="AC1467" i="1" s="1"/>
  <c r="AC1464" i="1"/>
  <c r="AC1465" i="1" s="1"/>
  <c r="AC1462" i="1"/>
  <c r="AC1463" i="1" s="1"/>
  <c r="AC1460" i="1"/>
  <c r="AC1461" i="1" s="1"/>
  <c r="AC1458" i="1"/>
  <c r="AC1459" i="1" s="1"/>
  <c r="AC1456" i="1"/>
  <c r="AC1457" i="1" s="1"/>
  <c r="AC1454" i="1"/>
  <c r="AC1455" i="1" s="1"/>
  <c r="AC1452" i="1"/>
  <c r="AC1453" i="1" s="1"/>
  <c r="AC1450" i="1"/>
  <c r="AC1451" i="1" s="1"/>
  <c r="AC1448" i="1"/>
  <c r="AC1449" i="1" s="1"/>
  <c r="AC1446" i="1"/>
  <c r="AC1447" i="1" s="1"/>
  <c r="AC1444" i="1"/>
  <c r="AC1445" i="1" s="1"/>
  <c r="AC1442" i="1"/>
  <c r="AC1443" i="1" s="1"/>
  <c r="AC1440" i="1"/>
  <c r="AC1441" i="1" s="1"/>
  <c r="AC1438" i="1"/>
  <c r="AC1439" i="1" s="1"/>
  <c r="AC1436" i="1"/>
  <c r="AC1437" i="1" s="1"/>
  <c r="AC1434" i="1"/>
  <c r="AC1435" i="1" s="1"/>
  <c r="AC1432" i="1"/>
  <c r="AC1433" i="1" s="1"/>
  <c r="AC1430" i="1"/>
  <c r="AC1431" i="1" s="1"/>
  <c r="AC1428" i="1"/>
  <c r="AC1429" i="1" s="1"/>
  <c r="AC1426" i="1"/>
  <c r="AC1427" i="1" s="1"/>
  <c r="AC1424" i="1"/>
  <c r="AC1425" i="1" s="1"/>
  <c r="AC1422" i="1"/>
  <c r="AC1423" i="1" s="1"/>
  <c r="AC1420" i="1"/>
  <c r="AC1421" i="1" s="1"/>
  <c r="AC1418" i="1"/>
  <c r="AC1419" i="1" s="1"/>
  <c r="AC1416" i="1"/>
  <c r="AC1417" i="1" s="1"/>
  <c r="AC1414" i="1"/>
  <c r="AC1415" i="1" s="1"/>
  <c r="AC1412" i="1"/>
  <c r="AC1413" i="1" s="1"/>
  <c r="AC1410" i="1"/>
  <c r="AC1411" i="1" s="1"/>
  <c r="AC1408" i="1"/>
  <c r="AC1409" i="1" s="1"/>
  <c r="AC1406" i="1"/>
  <c r="AC1407" i="1" s="1"/>
  <c r="AC1404" i="1"/>
  <c r="AC1405" i="1" s="1"/>
  <c r="AC1402" i="1"/>
  <c r="AC1403" i="1" s="1"/>
  <c r="AC1400" i="1"/>
  <c r="AC1401" i="1" s="1"/>
  <c r="AC1398" i="1"/>
  <c r="AC1399" i="1" s="1"/>
  <c r="AC1396" i="1"/>
  <c r="AC1397" i="1" s="1"/>
  <c r="AC1394" i="1"/>
  <c r="AC1395" i="1" s="1"/>
  <c r="AC1392" i="1"/>
  <c r="AC1393" i="1" s="1"/>
  <c r="AC1390" i="1"/>
  <c r="AC1391" i="1" s="1"/>
  <c r="AC1388" i="1"/>
  <c r="AC1389" i="1" s="1"/>
  <c r="AC1386" i="1"/>
  <c r="AC1387" i="1" s="1"/>
  <c r="AC1384" i="1"/>
  <c r="AC1385" i="1" s="1"/>
  <c r="AC1382" i="1"/>
  <c r="AC1383" i="1" s="1"/>
  <c r="AC1380" i="1"/>
  <c r="AC1381" i="1" s="1"/>
  <c r="AC1378" i="1"/>
  <c r="AC1379" i="1" s="1"/>
  <c r="AC1376" i="1"/>
  <c r="AC1377" i="1" s="1"/>
  <c r="AC1374" i="1"/>
  <c r="AC1375" i="1" s="1"/>
  <c r="AC1372" i="1"/>
  <c r="AC1373" i="1" s="1"/>
  <c r="AC1370" i="1"/>
  <c r="AC1371" i="1" s="1"/>
  <c r="AC1368" i="1"/>
  <c r="AC1369" i="1" s="1"/>
  <c r="AC1366" i="1"/>
  <c r="AC1367" i="1" s="1"/>
  <c r="AC1364" i="1"/>
  <c r="AC1365" i="1" s="1"/>
  <c r="AC1362" i="1"/>
  <c r="AC1363" i="1" s="1"/>
  <c r="AC1360" i="1"/>
  <c r="AC1361" i="1" s="1"/>
  <c r="AC1358" i="1"/>
  <c r="AC1359" i="1" s="1"/>
  <c r="AC1356" i="1"/>
  <c r="AC1357" i="1" s="1"/>
  <c r="AC1354" i="1"/>
  <c r="AC1355" i="1" s="1"/>
  <c r="AC1352" i="1"/>
  <c r="AC1353" i="1" s="1"/>
  <c r="AC1350" i="1"/>
  <c r="AC1351" i="1" s="1"/>
  <c r="AC1348" i="1"/>
  <c r="AC1349" i="1" s="1"/>
  <c r="AC1346" i="1"/>
  <c r="AC1347" i="1" s="1"/>
  <c r="AC1344" i="1"/>
  <c r="AC1345" i="1" s="1"/>
  <c r="AC1342" i="1"/>
  <c r="AC1343" i="1" s="1"/>
  <c r="AC1340" i="1"/>
  <c r="AC1341" i="1" s="1"/>
  <c r="AC1338" i="1"/>
  <c r="AC1339" i="1" s="1"/>
  <c r="AC1336" i="1"/>
  <c r="AC1337" i="1" s="1"/>
  <c r="AC1334" i="1"/>
  <c r="AC1335" i="1" s="1"/>
  <c r="AC1332" i="1"/>
  <c r="AC1333" i="1" s="1"/>
  <c r="AC1330" i="1"/>
  <c r="AC1331" i="1" s="1"/>
  <c r="AC1328" i="1"/>
  <c r="AC1329" i="1" s="1"/>
  <c r="AC1326" i="1"/>
  <c r="AC1327" i="1" s="1"/>
  <c r="AC1324" i="1"/>
  <c r="AC1325" i="1" s="1"/>
  <c r="AC1322" i="1"/>
  <c r="AC1323" i="1" s="1"/>
  <c r="AC1320" i="1"/>
  <c r="AC1321" i="1" s="1"/>
  <c r="AC1318" i="1"/>
  <c r="AC1319" i="1" s="1"/>
  <c r="AC1316" i="1"/>
  <c r="AC1317" i="1" s="1"/>
  <c r="AC1314" i="1"/>
  <c r="AC1315" i="1" s="1"/>
  <c r="AC1312" i="1"/>
  <c r="AC1313" i="1" s="1"/>
  <c r="AC1310" i="1"/>
  <c r="AC1311" i="1" s="1"/>
  <c r="AC1308" i="1"/>
  <c r="AC1309" i="1" s="1"/>
  <c r="AC1306" i="1"/>
  <c r="AC1307" i="1" s="1"/>
  <c r="AC1304" i="1"/>
  <c r="AC1305" i="1" s="1"/>
  <c r="AC1302" i="1"/>
  <c r="AC1303" i="1" s="1"/>
  <c r="AC1300" i="1"/>
  <c r="AC1301" i="1" s="1"/>
  <c r="AC1298" i="1"/>
  <c r="AC1299" i="1" s="1"/>
  <c r="AC1296" i="1"/>
  <c r="AC1297" i="1" s="1"/>
  <c r="AC1294" i="1"/>
  <c r="AC1295" i="1" s="1"/>
  <c r="AC1292" i="1"/>
  <c r="AC1293" i="1" s="1"/>
  <c r="AC1290" i="1"/>
  <c r="AC1291" i="1" s="1"/>
  <c r="AC1288" i="1"/>
  <c r="AC1289" i="1" s="1"/>
  <c r="AC1286" i="1"/>
  <c r="AC1287" i="1" s="1"/>
  <c r="AC1284" i="1"/>
  <c r="AC1285" i="1" s="1"/>
  <c r="AC1282" i="1"/>
  <c r="AC1283" i="1" s="1"/>
  <c r="AC1280" i="1"/>
  <c r="AC1281" i="1" s="1"/>
  <c r="AC1278" i="1"/>
  <c r="AC1279" i="1" s="1"/>
  <c r="AC1276" i="1"/>
  <c r="AC1277" i="1" s="1"/>
  <c r="AC1274" i="1"/>
  <c r="AC1275" i="1" s="1"/>
  <c r="AC1272" i="1"/>
  <c r="AC1273" i="1" s="1"/>
  <c r="AC1270" i="1"/>
  <c r="AC1271" i="1" s="1"/>
  <c r="AC1268" i="1"/>
  <c r="AC1269" i="1" s="1"/>
  <c r="AC1266" i="1"/>
  <c r="AC1267" i="1" s="1"/>
  <c r="AC1264" i="1"/>
  <c r="AC1265" i="1" s="1"/>
  <c r="AC1262" i="1"/>
  <c r="AC1263" i="1" s="1"/>
  <c r="AC1260" i="1"/>
  <c r="AC1261" i="1" s="1"/>
  <c r="AC1258" i="1"/>
  <c r="AC1259" i="1" s="1"/>
  <c r="AC1256" i="1"/>
  <c r="AC1257" i="1" s="1"/>
  <c r="AC1254" i="1"/>
  <c r="AC1255" i="1" s="1"/>
  <c r="AC1252" i="1"/>
  <c r="AC1253" i="1" s="1"/>
  <c r="AC1250" i="1"/>
  <c r="AC1251" i="1" s="1"/>
  <c r="AC1248" i="1"/>
  <c r="AC1249" i="1" s="1"/>
  <c r="AC1246" i="1"/>
  <c r="AC1247" i="1" s="1"/>
  <c r="AC1244" i="1"/>
  <c r="AC1245" i="1" s="1"/>
  <c r="AC1242" i="1"/>
  <c r="AC1243" i="1" s="1"/>
  <c r="AC1240" i="1"/>
  <c r="AC1241" i="1" s="1"/>
  <c r="AC1238" i="1"/>
  <c r="AC1239" i="1" s="1"/>
  <c r="AC1236" i="1"/>
  <c r="AC1237" i="1" s="1"/>
  <c r="AC1234" i="1"/>
  <c r="AC1235" i="1" s="1"/>
  <c r="AC1232" i="1"/>
  <c r="AC1233" i="1" s="1"/>
  <c r="AC1230" i="1"/>
  <c r="AC1231" i="1" s="1"/>
  <c r="AC1228" i="1"/>
  <c r="AC1229" i="1" s="1"/>
  <c r="AC1226" i="1"/>
  <c r="AC1227" i="1" s="1"/>
  <c r="AC1224" i="1"/>
  <c r="AC1225" i="1" s="1"/>
  <c r="AC1222" i="1"/>
  <c r="AC1223" i="1" s="1"/>
  <c r="AC1220" i="1"/>
  <c r="AC1221" i="1" s="1"/>
  <c r="AC1218" i="1"/>
  <c r="AC1219" i="1" s="1"/>
  <c r="AC1216" i="1"/>
  <c r="AC1217" i="1" s="1"/>
  <c r="AC1214" i="1"/>
  <c r="AC1215" i="1" s="1"/>
  <c r="AC1212" i="1"/>
  <c r="AC1213" i="1" s="1"/>
  <c r="AC1210" i="1"/>
  <c r="AC1211" i="1" s="1"/>
  <c r="AC1208" i="1"/>
  <c r="AC1209" i="1" s="1"/>
  <c r="AC1206" i="1"/>
  <c r="AC1207" i="1" s="1"/>
  <c r="AC1204" i="1"/>
  <c r="AC1205" i="1" s="1"/>
  <c r="AC1202" i="1"/>
  <c r="AC1203" i="1" s="1"/>
  <c r="AC1200" i="1"/>
  <c r="AC1201" i="1" s="1"/>
  <c r="AC1198" i="1"/>
  <c r="AC1199" i="1" s="1"/>
  <c r="AC1196" i="1"/>
  <c r="AC1197" i="1" s="1"/>
  <c r="AC1194" i="1"/>
  <c r="AC1195" i="1" s="1"/>
  <c r="AC1192" i="1"/>
  <c r="AC1193" i="1" s="1"/>
  <c r="AC1190" i="1"/>
  <c r="AC1191" i="1" s="1"/>
  <c r="AC1188" i="1"/>
  <c r="AC1189" i="1" s="1"/>
  <c r="AC1186" i="1"/>
  <c r="AC1187" i="1" s="1"/>
  <c r="AC1184" i="1"/>
  <c r="AC1185" i="1" s="1"/>
  <c r="AC1182" i="1"/>
  <c r="AC1183" i="1" s="1"/>
  <c r="AC1180" i="1"/>
  <c r="AC1181" i="1" s="1"/>
  <c r="AC1178" i="1"/>
  <c r="AC1179" i="1" s="1"/>
  <c r="AC1176" i="1"/>
  <c r="AC1177" i="1" s="1"/>
  <c r="AC1174" i="1"/>
  <c r="AC1175" i="1" s="1"/>
  <c r="AC1172" i="1"/>
  <c r="AC1173" i="1" s="1"/>
  <c r="AC1170" i="1"/>
  <c r="AC1171" i="1" s="1"/>
  <c r="AC1168" i="1"/>
  <c r="AC1169" i="1" s="1"/>
  <c r="AC1166" i="1"/>
  <c r="AC1167" i="1" s="1"/>
  <c r="AC1164" i="1"/>
  <c r="AC1165" i="1" s="1"/>
  <c r="AC1162" i="1"/>
  <c r="AC1163" i="1" s="1"/>
  <c r="AC1160" i="1"/>
  <c r="AC1161" i="1" s="1"/>
  <c r="AC1158" i="1"/>
  <c r="AC1159" i="1" s="1"/>
  <c r="AC1156" i="1"/>
  <c r="AC1157" i="1" s="1"/>
  <c r="AC1154" i="1"/>
  <c r="AC1155" i="1" s="1"/>
  <c r="AC1152" i="1"/>
  <c r="AC1153" i="1" s="1"/>
  <c r="AC1150" i="1"/>
  <c r="AC1151" i="1" s="1"/>
  <c r="AC1148" i="1"/>
  <c r="AC1149" i="1" s="1"/>
  <c r="AC1146" i="1"/>
  <c r="AC1147" i="1" s="1"/>
  <c r="AC1144" i="1"/>
  <c r="AC1145" i="1" s="1"/>
  <c r="AC1142" i="1"/>
  <c r="AC1143" i="1" s="1"/>
  <c r="AC1140" i="1"/>
  <c r="AC1141" i="1" s="1"/>
  <c r="AC1138" i="1"/>
  <c r="AC1139" i="1" s="1"/>
  <c r="AC1136" i="1"/>
  <c r="AC1137" i="1" s="1"/>
  <c r="AC1134" i="1"/>
  <c r="AC1135" i="1" s="1"/>
  <c r="AC1132" i="1"/>
  <c r="AC1133" i="1" s="1"/>
  <c r="AC1130" i="1"/>
  <c r="AC1131" i="1" s="1"/>
  <c r="AC1128" i="1"/>
  <c r="AC1129" i="1" s="1"/>
  <c r="AC1126" i="1"/>
  <c r="AC1127" i="1" s="1"/>
  <c r="AC1124" i="1"/>
  <c r="AC1125" i="1" s="1"/>
  <c r="AC1122" i="1"/>
  <c r="AC1123" i="1" s="1"/>
  <c r="AC1120" i="1"/>
  <c r="AC1121" i="1" s="1"/>
  <c r="AC1118" i="1"/>
  <c r="AC1119" i="1" s="1"/>
  <c r="AC1116" i="1"/>
  <c r="AC1117" i="1" s="1"/>
  <c r="AC1114" i="1"/>
  <c r="AC1115" i="1" s="1"/>
  <c r="AC1112" i="1"/>
  <c r="AC1113" i="1" s="1"/>
  <c r="AC1110" i="1"/>
  <c r="AC1111" i="1" s="1"/>
  <c r="AC1108" i="1"/>
  <c r="AC1109" i="1" s="1"/>
  <c r="AC1106" i="1"/>
  <c r="AC1107" i="1" s="1"/>
  <c r="AC1104" i="1"/>
  <c r="AC1105" i="1" s="1"/>
  <c r="AC1102" i="1"/>
  <c r="AC1103" i="1" s="1"/>
  <c r="AC1100" i="1"/>
  <c r="AC1101" i="1" s="1"/>
  <c r="AC1098" i="1"/>
  <c r="AC1099" i="1" s="1"/>
  <c r="AC1096" i="1"/>
  <c r="AC1097" i="1" s="1"/>
  <c r="AC1094" i="1"/>
  <c r="AC1095" i="1" s="1"/>
  <c r="AC1092" i="1"/>
  <c r="AC1093" i="1" s="1"/>
  <c r="AC1090" i="1"/>
  <c r="AC1091" i="1" s="1"/>
  <c r="AC1088" i="1"/>
  <c r="AC1089" i="1" s="1"/>
  <c r="AC1086" i="1"/>
  <c r="AC1087" i="1" s="1"/>
  <c r="AC1084" i="1"/>
  <c r="AC1085" i="1" s="1"/>
  <c r="AC1082" i="1"/>
  <c r="AC1083" i="1" s="1"/>
  <c r="AC1080" i="1"/>
  <c r="AC1081" i="1" s="1"/>
  <c r="AC1078" i="1"/>
  <c r="AC1079" i="1" s="1"/>
  <c r="AC1076" i="1"/>
  <c r="AC1077" i="1" s="1"/>
  <c r="AC1074" i="1"/>
  <c r="AC1075" i="1" s="1"/>
  <c r="AC1072" i="1"/>
  <c r="AC1073" i="1" s="1"/>
  <c r="AC1070" i="1"/>
  <c r="AC1071" i="1" s="1"/>
  <c r="AC1068" i="1"/>
  <c r="AC1069" i="1" s="1"/>
  <c r="AC1066" i="1"/>
  <c r="AC1067" i="1" s="1"/>
  <c r="AC1064" i="1"/>
  <c r="AC1065" i="1" s="1"/>
  <c r="AC1062" i="1"/>
  <c r="AC1063" i="1" s="1"/>
  <c r="AC1060" i="1"/>
  <c r="AC1061" i="1" s="1"/>
  <c r="AC1058" i="1"/>
  <c r="AC1059" i="1" s="1"/>
  <c r="AC1056" i="1"/>
  <c r="AC1057" i="1" s="1"/>
  <c r="AC1054" i="1"/>
  <c r="AC1055" i="1" s="1"/>
  <c r="AC1052" i="1"/>
  <c r="AC1053" i="1" s="1"/>
  <c r="AC1050" i="1"/>
  <c r="AC1051" i="1" s="1"/>
  <c r="AC1048" i="1"/>
  <c r="AC1049" i="1" s="1"/>
  <c r="AC1046" i="1"/>
  <c r="AC1047" i="1" s="1"/>
  <c r="AC1044" i="1"/>
  <c r="AC1045" i="1" s="1"/>
  <c r="AC1042" i="1"/>
  <c r="AC1043" i="1" s="1"/>
  <c r="AC1040" i="1"/>
  <c r="AC1041" i="1" s="1"/>
  <c r="AC1038" i="1"/>
  <c r="AC1039" i="1" s="1"/>
  <c r="AC1036" i="1"/>
  <c r="AC1037" i="1" s="1"/>
  <c r="AC1034" i="1"/>
  <c r="AC1035" i="1" s="1"/>
  <c r="AC1032" i="1"/>
  <c r="AC1033" i="1" s="1"/>
  <c r="AC1030" i="1"/>
  <c r="AC1031" i="1" s="1"/>
  <c r="AC1028" i="1"/>
  <c r="AC1029" i="1" s="1"/>
  <c r="AC1026" i="1"/>
  <c r="AC1027" i="1" s="1"/>
  <c r="AC1024" i="1"/>
  <c r="AC1025" i="1" s="1"/>
  <c r="AC1022" i="1"/>
  <c r="AC1023" i="1" s="1"/>
  <c r="AC1020" i="1"/>
  <c r="AC1021" i="1" s="1"/>
  <c r="AC1018" i="1"/>
  <c r="AC1019" i="1" s="1"/>
  <c r="AC1016" i="1"/>
  <c r="AC1017" i="1" s="1"/>
  <c r="AC1014" i="1"/>
  <c r="AC1015" i="1" s="1"/>
  <c r="AC1012" i="1"/>
  <c r="AC1013" i="1" s="1"/>
  <c r="AC1010" i="1"/>
  <c r="AC1011" i="1" s="1"/>
  <c r="AC1008" i="1"/>
  <c r="AC1009" i="1" s="1"/>
  <c r="AC1006" i="1"/>
  <c r="AC1007" i="1" s="1"/>
  <c r="AC1004" i="1"/>
  <c r="AC1005" i="1" s="1"/>
  <c r="AC1002" i="1"/>
  <c r="AC1003" i="1" s="1"/>
  <c r="AC1000" i="1"/>
  <c r="AC1001" i="1" s="1"/>
  <c r="AC998" i="1"/>
  <c r="AC999" i="1" s="1"/>
  <c r="AC996" i="1"/>
  <c r="AC997" i="1" s="1"/>
  <c r="AC994" i="1"/>
  <c r="AC995" i="1" s="1"/>
  <c r="AC992" i="1"/>
  <c r="AC993" i="1" s="1"/>
  <c r="AC990" i="1"/>
  <c r="AC991" i="1" s="1"/>
  <c r="AC988" i="1"/>
  <c r="AC989" i="1" s="1"/>
  <c r="AC986" i="1"/>
  <c r="AC987" i="1" s="1"/>
  <c r="AC984" i="1"/>
  <c r="AC985" i="1" s="1"/>
  <c r="AC982" i="1"/>
  <c r="AC983" i="1" s="1"/>
  <c r="AC980" i="1"/>
  <c r="AC981" i="1" s="1"/>
  <c r="AC978" i="1"/>
  <c r="AC979" i="1" s="1"/>
  <c r="AC976" i="1"/>
  <c r="AC977" i="1" s="1"/>
  <c r="AC974" i="1"/>
  <c r="AC975" i="1" s="1"/>
  <c r="AC972" i="1"/>
  <c r="AC973" i="1" s="1"/>
  <c r="AC970" i="1"/>
  <c r="AC971" i="1" s="1"/>
  <c r="AC968" i="1"/>
  <c r="AC969" i="1" s="1"/>
  <c r="AC966" i="1"/>
  <c r="AC967" i="1" s="1"/>
  <c r="AC964" i="1"/>
  <c r="AC965" i="1" s="1"/>
  <c r="AC962" i="1"/>
  <c r="AC963" i="1" s="1"/>
  <c r="AC960" i="1"/>
  <c r="AC961" i="1" s="1"/>
  <c r="AC958" i="1"/>
  <c r="AC959" i="1" s="1"/>
  <c r="AC956" i="1"/>
  <c r="AC957" i="1" s="1"/>
  <c r="AC954" i="1"/>
  <c r="AC955" i="1" s="1"/>
  <c r="AC952" i="1"/>
  <c r="AC953" i="1" s="1"/>
  <c r="AC950" i="1"/>
  <c r="AC951" i="1" s="1"/>
  <c r="AC948" i="1"/>
  <c r="AC949" i="1" s="1"/>
  <c r="AC946" i="1"/>
  <c r="AC947" i="1" s="1"/>
  <c r="AC944" i="1"/>
  <c r="AC945" i="1" s="1"/>
  <c r="AC942" i="1"/>
  <c r="AC943" i="1" s="1"/>
  <c r="AC940" i="1"/>
  <c r="AC941" i="1" s="1"/>
  <c r="AC938" i="1"/>
  <c r="AC939" i="1" s="1"/>
  <c r="AC936" i="1"/>
  <c r="AC937" i="1" s="1"/>
  <c r="AC934" i="1"/>
  <c r="AC935" i="1" s="1"/>
  <c r="AC932" i="1"/>
  <c r="AC933" i="1" s="1"/>
  <c r="AC930" i="1"/>
  <c r="AC931" i="1" s="1"/>
  <c r="AC928" i="1"/>
  <c r="AC929" i="1" s="1"/>
  <c r="AC926" i="1"/>
  <c r="AC927" i="1" s="1"/>
  <c r="AC924" i="1"/>
  <c r="AC925" i="1" s="1"/>
  <c r="AC922" i="1"/>
  <c r="AC923" i="1" s="1"/>
  <c r="AC920" i="1"/>
  <c r="AC921" i="1" s="1"/>
  <c r="AC918" i="1"/>
  <c r="AC919" i="1" s="1"/>
  <c r="AC916" i="1"/>
  <c r="AC917" i="1" s="1"/>
  <c r="AC914" i="1"/>
  <c r="AC915" i="1" s="1"/>
  <c r="AC912" i="1"/>
  <c r="AC913" i="1" s="1"/>
  <c r="AC910" i="1"/>
  <c r="AC911" i="1" s="1"/>
  <c r="AC908" i="1"/>
  <c r="AC909" i="1" s="1"/>
  <c r="AC906" i="1"/>
  <c r="AC907" i="1" s="1"/>
  <c r="AC904" i="1"/>
  <c r="AC905" i="1" s="1"/>
  <c r="AC902" i="1"/>
  <c r="AC903" i="1" s="1"/>
  <c r="AC900" i="1"/>
  <c r="AC901" i="1" s="1"/>
  <c r="AC898" i="1"/>
  <c r="AC899" i="1" s="1"/>
  <c r="AC896" i="1"/>
  <c r="AC897" i="1" s="1"/>
  <c r="AC894" i="1"/>
  <c r="AC895" i="1" s="1"/>
  <c r="AC892" i="1"/>
  <c r="AC893" i="1" s="1"/>
  <c r="AC890" i="1"/>
  <c r="AC891" i="1" s="1"/>
  <c r="AC888" i="1"/>
  <c r="AC889" i="1" s="1"/>
  <c r="AC886" i="1"/>
  <c r="AC887" i="1" s="1"/>
  <c r="AC884" i="1"/>
  <c r="AC885" i="1" s="1"/>
  <c r="AC882" i="1"/>
  <c r="AC883" i="1" s="1"/>
  <c r="AC880" i="1"/>
  <c r="AC881" i="1" s="1"/>
  <c r="AC878" i="1"/>
  <c r="AC879" i="1" s="1"/>
  <c r="AC876" i="1"/>
  <c r="AC877" i="1" s="1"/>
  <c r="AC874" i="1"/>
  <c r="AC875" i="1" s="1"/>
  <c r="AC872" i="1"/>
  <c r="AC873" i="1" s="1"/>
  <c r="AC870" i="1"/>
  <c r="AC871" i="1" s="1"/>
  <c r="AC868" i="1"/>
  <c r="AC869" i="1" s="1"/>
  <c r="AC866" i="1"/>
  <c r="AC867" i="1" s="1"/>
  <c r="AC864" i="1"/>
  <c r="AC865" i="1" s="1"/>
  <c r="AC862" i="1"/>
  <c r="AC863" i="1" s="1"/>
  <c r="AC860" i="1"/>
  <c r="AC861" i="1" s="1"/>
  <c r="AC858" i="1"/>
  <c r="AC859" i="1" s="1"/>
  <c r="AC856" i="1"/>
  <c r="AC857" i="1" s="1"/>
  <c r="AC854" i="1"/>
  <c r="AC855" i="1" s="1"/>
  <c r="AC852" i="1"/>
  <c r="AC853" i="1" s="1"/>
  <c r="AC850" i="1"/>
  <c r="AC851" i="1" s="1"/>
  <c r="AC848" i="1"/>
  <c r="AC849" i="1" s="1"/>
  <c r="AC846" i="1"/>
  <c r="AC847" i="1" s="1"/>
  <c r="AC844" i="1"/>
  <c r="AC845" i="1" s="1"/>
  <c r="AC842" i="1"/>
  <c r="AC843" i="1" s="1"/>
  <c r="AC840" i="1"/>
  <c r="AC841" i="1" s="1"/>
  <c r="AC838" i="1"/>
  <c r="AC839" i="1" s="1"/>
  <c r="AC836" i="1"/>
  <c r="AC837" i="1" s="1"/>
  <c r="AC834" i="1"/>
  <c r="AC835" i="1" s="1"/>
  <c r="AC832" i="1"/>
  <c r="AC833" i="1" s="1"/>
  <c r="AC830" i="1"/>
  <c r="AC831" i="1" s="1"/>
  <c r="AC828" i="1"/>
  <c r="AC829" i="1" s="1"/>
  <c r="AC826" i="1"/>
  <c r="AC827" i="1" s="1"/>
  <c r="AC824" i="1"/>
  <c r="AC825" i="1" s="1"/>
  <c r="AC822" i="1"/>
  <c r="AC823" i="1" s="1"/>
  <c r="AC820" i="1"/>
  <c r="AC821" i="1" s="1"/>
  <c r="AC818" i="1"/>
  <c r="AC819" i="1" s="1"/>
  <c r="AC816" i="1"/>
  <c r="AC817" i="1" s="1"/>
  <c r="AC814" i="1"/>
  <c r="AC815" i="1" s="1"/>
  <c r="AC812" i="1"/>
  <c r="AC813" i="1" s="1"/>
  <c r="AC810" i="1"/>
  <c r="AC811" i="1" s="1"/>
  <c r="AC808" i="1"/>
  <c r="AC809" i="1" s="1"/>
  <c r="AC806" i="1"/>
  <c r="AC807" i="1" s="1"/>
  <c r="AC804" i="1"/>
  <c r="AC805" i="1" s="1"/>
  <c r="AC802" i="1"/>
  <c r="AC803" i="1" s="1"/>
  <c r="AC800" i="1"/>
  <c r="AC801" i="1" s="1"/>
  <c r="AC798" i="1"/>
  <c r="AC799" i="1" s="1"/>
  <c r="AC796" i="1"/>
  <c r="AC797" i="1" s="1"/>
  <c r="AC794" i="1"/>
  <c r="AC795" i="1" s="1"/>
  <c r="AC792" i="1"/>
  <c r="AC793" i="1" s="1"/>
  <c r="AC790" i="1"/>
  <c r="AC791" i="1" s="1"/>
  <c r="AC788" i="1"/>
  <c r="AC789" i="1" s="1"/>
  <c r="AC786" i="1"/>
  <c r="AC787" i="1" s="1"/>
  <c r="AC784" i="1"/>
  <c r="AC785" i="1" s="1"/>
  <c r="AC782" i="1"/>
  <c r="AC783" i="1" s="1"/>
  <c r="AC780" i="1"/>
  <c r="AC781" i="1" s="1"/>
  <c r="AC778" i="1"/>
  <c r="AC779" i="1" s="1"/>
  <c r="AC776" i="1"/>
  <c r="AC777" i="1" s="1"/>
  <c r="AC774" i="1"/>
  <c r="AC775" i="1" s="1"/>
  <c r="AC772" i="1"/>
  <c r="AC773" i="1" s="1"/>
  <c r="AC770" i="1"/>
  <c r="AC771" i="1" s="1"/>
  <c r="AC768" i="1"/>
  <c r="AC769" i="1" s="1"/>
  <c r="AC766" i="1"/>
  <c r="AC767" i="1" s="1"/>
  <c r="AC764" i="1"/>
  <c r="AC765" i="1" s="1"/>
  <c r="AC762" i="1"/>
  <c r="AC763" i="1" s="1"/>
  <c r="AC760" i="1"/>
  <c r="AC761" i="1" s="1"/>
  <c r="AC758" i="1"/>
  <c r="AC759" i="1" s="1"/>
  <c r="AC756" i="1"/>
  <c r="AC757" i="1" s="1"/>
  <c r="AC754" i="1"/>
  <c r="AC755" i="1" s="1"/>
  <c r="AC752" i="1"/>
  <c r="AC753" i="1" s="1"/>
  <c r="AC750" i="1"/>
  <c r="AC751" i="1" s="1"/>
  <c r="AC748" i="1"/>
  <c r="AC749" i="1" s="1"/>
  <c r="AC746" i="1"/>
  <c r="AC747" i="1" s="1"/>
  <c r="AC744" i="1"/>
  <c r="AC745" i="1" s="1"/>
  <c r="AC742" i="1"/>
  <c r="AC743" i="1" s="1"/>
  <c r="AC740" i="1"/>
  <c r="AC741" i="1" s="1"/>
  <c r="AC738" i="1"/>
  <c r="AC739" i="1" s="1"/>
  <c r="AC736" i="1"/>
  <c r="AC737" i="1" s="1"/>
  <c r="AC734" i="1"/>
  <c r="AC735" i="1" s="1"/>
  <c r="AC732" i="1"/>
  <c r="AC733" i="1" s="1"/>
  <c r="AC730" i="1"/>
  <c r="AC731" i="1" s="1"/>
  <c r="AC728" i="1"/>
  <c r="AC729" i="1" s="1"/>
  <c r="AC726" i="1"/>
  <c r="AC727" i="1" s="1"/>
  <c r="AC724" i="1"/>
  <c r="AC725" i="1" s="1"/>
  <c r="AC722" i="1"/>
  <c r="AC723" i="1" s="1"/>
  <c r="AC720" i="1"/>
  <c r="AC721" i="1" s="1"/>
  <c r="AC718" i="1"/>
  <c r="AC719" i="1" s="1"/>
  <c r="AC716" i="1"/>
  <c r="AC717" i="1" s="1"/>
  <c r="AC714" i="1"/>
  <c r="AC715" i="1" s="1"/>
  <c r="AC712" i="1"/>
  <c r="AC713" i="1" s="1"/>
  <c r="AC710" i="1"/>
  <c r="AC711" i="1" s="1"/>
  <c r="AC708" i="1"/>
  <c r="AC709" i="1" s="1"/>
  <c r="AC706" i="1"/>
  <c r="AC707" i="1" s="1"/>
  <c r="AC704" i="1"/>
  <c r="AC705" i="1" s="1"/>
  <c r="AC702" i="1"/>
  <c r="AC703" i="1" s="1"/>
  <c r="AC700" i="1"/>
  <c r="AC701" i="1" s="1"/>
  <c r="AC698" i="1"/>
  <c r="AC699" i="1" s="1"/>
  <c r="AC696" i="1"/>
  <c r="AC697" i="1" s="1"/>
  <c r="AC694" i="1"/>
  <c r="AC695" i="1" s="1"/>
  <c r="AC692" i="1"/>
  <c r="AC693" i="1" s="1"/>
  <c r="AC690" i="1"/>
  <c r="AC691" i="1" s="1"/>
  <c r="AC688" i="1"/>
  <c r="AC689" i="1" s="1"/>
  <c r="AC686" i="1"/>
  <c r="AC687" i="1" s="1"/>
  <c r="AC684" i="1"/>
  <c r="AC685" i="1" s="1"/>
  <c r="AC682" i="1"/>
  <c r="AC683" i="1" s="1"/>
  <c r="AC680" i="1"/>
  <c r="AC681" i="1" s="1"/>
  <c r="AC678" i="1"/>
  <c r="AC679" i="1" s="1"/>
  <c r="AC676" i="1"/>
  <c r="AC677" i="1" s="1"/>
  <c r="AC674" i="1"/>
  <c r="AC675" i="1" s="1"/>
  <c r="AC672" i="1"/>
  <c r="AC673" i="1" s="1"/>
  <c r="AC670" i="1"/>
  <c r="AC671" i="1" s="1"/>
  <c r="AC668" i="1"/>
  <c r="AC669" i="1" s="1"/>
  <c r="AC666" i="1"/>
  <c r="AC667" i="1" s="1"/>
  <c r="AC664" i="1"/>
  <c r="AC665" i="1" s="1"/>
  <c r="AC662" i="1"/>
  <c r="AC663" i="1" s="1"/>
  <c r="AC660" i="1"/>
  <c r="AC661" i="1" s="1"/>
  <c r="AC658" i="1"/>
  <c r="AC659" i="1" s="1"/>
  <c r="AC656" i="1"/>
  <c r="AC657" i="1" s="1"/>
  <c r="AC654" i="1"/>
  <c r="AC655" i="1" s="1"/>
  <c r="AC652" i="1"/>
  <c r="AC653" i="1" s="1"/>
  <c r="AC650" i="1"/>
  <c r="AC651" i="1" s="1"/>
  <c r="AC648" i="1"/>
  <c r="AC649" i="1" s="1"/>
  <c r="AC646" i="1"/>
  <c r="AC647" i="1" s="1"/>
  <c r="AC644" i="1"/>
  <c r="AC645" i="1" s="1"/>
  <c r="AC642" i="1"/>
  <c r="AC643" i="1" s="1"/>
  <c r="AC640" i="1"/>
  <c r="AC641" i="1" s="1"/>
  <c r="AC638" i="1"/>
  <c r="AC639" i="1" s="1"/>
  <c r="AC636" i="1"/>
  <c r="AC637" i="1" s="1"/>
  <c r="AC634" i="1"/>
  <c r="AC635" i="1" s="1"/>
  <c r="AC632" i="1"/>
  <c r="AC633" i="1" s="1"/>
  <c r="AC630" i="1"/>
  <c r="AC631" i="1" s="1"/>
  <c r="AC628" i="1"/>
  <c r="AC629" i="1" s="1"/>
  <c r="AC626" i="1"/>
  <c r="AC627" i="1" s="1"/>
  <c r="AC624" i="1"/>
  <c r="AC625" i="1" s="1"/>
  <c r="AC622" i="1"/>
  <c r="AC623" i="1" s="1"/>
  <c r="AC620" i="1"/>
  <c r="AC621" i="1" s="1"/>
  <c r="AC618" i="1"/>
  <c r="AC619" i="1" s="1"/>
  <c r="AC616" i="1"/>
  <c r="AC617" i="1" s="1"/>
  <c r="AC614" i="1"/>
  <c r="AC615" i="1" s="1"/>
  <c r="AC612" i="1"/>
  <c r="AC613" i="1" s="1"/>
  <c r="AC610" i="1"/>
  <c r="AC611" i="1" s="1"/>
  <c r="AC608" i="1"/>
  <c r="AC609" i="1" s="1"/>
  <c r="AC606" i="1"/>
  <c r="AC607" i="1" s="1"/>
  <c r="AC604" i="1"/>
  <c r="AC605" i="1" s="1"/>
  <c r="AC602" i="1"/>
  <c r="AC603" i="1" s="1"/>
  <c r="AC600" i="1"/>
  <c r="AC601" i="1" s="1"/>
  <c r="AC598" i="1"/>
  <c r="AC599" i="1" s="1"/>
  <c r="AC596" i="1"/>
  <c r="AC597" i="1" s="1"/>
  <c r="AC594" i="1"/>
  <c r="AC595" i="1" s="1"/>
  <c r="AC592" i="1"/>
  <c r="AC593" i="1" s="1"/>
  <c r="AC590" i="1"/>
  <c r="AC591" i="1" s="1"/>
  <c r="AC588" i="1"/>
  <c r="AC589" i="1" s="1"/>
  <c r="AC586" i="1"/>
  <c r="AC587" i="1" s="1"/>
  <c r="AC584" i="1"/>
  <c r="AC585" i="1" s="1"/>
  <c r="AC582" i="1"/>
  <c r="AC583" i="1" s="1"/>
  <c r="AC580" i="1"/>
  <c r="AC581" i="1" s="1"/>
  <c r="AC578" i="1"/>
  <c r="AC579" i="1" s="1"/>
  <c r="AC576" i="1"/>
  <c r="AC577" i="1" s="1"/>
  <c r="AC574" i="1"/>
  <c r="AC575" i="1" s="1"/>
  <c r="AC572" i="1"/>
  <c r="AC573" i="1" s="1"/>
  <c r="AC570" i="1"/>
  <c r="AC571" i="1" s="1"/>
  <c r="AC568" i="1"/>
  <c r="AC569" i="1" s="1"/>
  <c r="AC566" i="1"/>
  <c r="AC567" i="1" s="1"/>
  <c r="AC564" i="1"/>
  <c r="AC565" i="1" s="1"/>
  <c r="AC562" i="1"/>
  <c r="AC563" i="1" s="1"/>
  <c r="AC560" i="1"/>
  <c r="AC561" i="1" s="1"/>
  <c r="AC558" i="1"/>
  <c r="AC559" i="1" s="1"/>
  <c r="AC556" i="1"/>
  <c r="AC557" i="1" s="1"/>
  <c r="AC554" i="1"/>
  <c r="AC555" i="1" s="1"/>
  <c r="AC552" i="1"/>
  <c r="AC553" i="1" s="1"/>
  <c r="AC550" i="1"/>
  <c r="AC551" i="1" s="1"/>
  <c r="AC548" i="1"/>
  <c r="AC549" i="1" s="1"/>
  <c r="AC546" i="1"/>
  <c r="AC547" i="1" s="1"/>
  <c r="AC544" i="1"/>
  <c r="AC545" i="1" s="1"/>
  <c r="AC542" i="1"/>
  <c r="AC543" i="1" s="1"/>
  <c r="AC540" i="1"/>
  <c r="AC541" i="1" s="1"/>
  <c r="AC538" i="1"/>
  <c r="AC539" i="1" s="1"/>
  <c r="AC536" i="1"/>
  <c r="AC537" i="1" s="1"/>
  <c r="AC534" i="1"/>
  <c r="AC535" i="1" s="1"/>
  <c r="AC532" i="1"/>
  <c r="AC533" i="1" s="1"/>
  <c r="AC530" i="1"/>
  <c r="AC531" i="1" s="1"/>
  <c r="AC528" i="1"/>
  <c r="AC529" i="1" s="1"/>
  <c r="AC526" i="1"/>
  <c r="AC527" i="1" s="1"/>
  <c r="AC524" i="1"/>
  <c r="AC525" i="1" s="1"/>
  <c r="AC522" i="1"/>
  <c r="AC523" i="1" s="1"/>
  <c r="AC520" i="1"/>
  <c r="AC521" i="1" s="1"/>
  <c r="AC518" i="1"/>
  <c r="AC519" i="1" s="1"/>
  <c r="AC516" i="1"/>
  <c r="AC517" i="1" s="1"/>
  <c r="AC514" i="1"/>
  <c r="AC515" i="1" s="1"/>
  <c r="AC512" i="1"/>
  <c r="AC513" i="1" s="1"/>
  <c r="AC510" i="1"/>
  <c r="AC511" i="1" s="1"/>
  <c r="AC508" i="1"/>
  <c r="AC509" i="1" s="1"/>
  <c r="AC506" i="1"/>
  <c r="AC507" i="1" s="1"/>
  <c r="AC504" i="1"/>
  <c r="AC505" i="1" s="1"/>
  <c r="AC502" i="1"/>
  <c r="AC503" i="1" s="1"/>
  <c r="AC500" i="1"/>
  <c r="AC501" i="1" s="1"/>
  <c r="AC498" i="1"/>
  <c r="AC499" i="1" s="1"/>
  <c r="AC496" i="1"/>
  <c r="AC497" i="1" s="1"/>
  <c r="AC494" i="1"/>
  <c r="AC495" i="1" s="1"/>
  <c r="AC492" i="1"/>
  <c r="AC493" i="1" s="1"/>
  <c r="AC490" i="1"/>
  <c r="AC491" i="1" s="1"/>
  <c r="AC488" i="1"/>
  <c r="AC489" i="1" s="1"/>
  <c r="AC486" i="1"/>
  <c r="AC487" i="1" s="1"/>
  <c r="AC484" i="1"/>
  <c r="AC485" i="1" s="1"/>
  <c r="AC482" i="1"/>
  <c r="AC483" i="1" s="1"/>
  <c r="AC480" i="1"/>
  <c r="AC481" i="1" s="1"/>
  <c r="AC478" i="1"/>
  <c r="AC479" i="1" s="1"/>
  <c r="AC476" i="1"/>
  <c r="AC477" i="1" s="1"/>
  <c r="AC474" i="1"/>
  <c r="AC475" i="1" s="1"/>
  <c r="AC472" i="1"/>
  <c r="AC473" i="1" s="1"/>
  <c r="AC470" i="1"/>
  <c r="AC471" i="1" s="1"/>
  <c r="AC468" i="1"/>
  <c r="AC469" i="1" s="1"/>
  <c r="AC466" i="1"/>
  <c r="AC467" i="1" s="1"/>
  <c r="AC464" i="1"/>
  <c r="AC465" i="1" s="1"/>
  <c r="AC462" i="1"/>
  <c r="AC463" i="1" s="1"/>
  <c r="AC460" i="1"/>
  <c r="AC461" i="1" s="1"/>
  <c r="AC458" i="1"/>
  <c r="AC459" i="1" s="1"/>
  <c r="AC456" i="1"/>
  <c r="AC457" i="1" s="1"/>
  <c r="AC454" i="1"/>
  <c r="AC455" i="1" s="1"/>
  <c r="AC452" i="1"/>
  <c r="AC453" i="1" s="1"/>
  <c r="AC450" i="1"/>
  <c r="AC451" i="1" s="1"/>
  <c r="AC448" i="1"/>
  <c r="AC449" i="1" s="1"/>
  <c r="AC446" i="1"/>
  <c r="AC447" i="1" s="1"/>
  <c r="AC444" i="1"/>
  <c r="AC445" i="1" s="1"/>
  <c r="AC442" i="1"/>
  <c r="AC443" i="1" s="1"/>
  <c r="AC440" i="1"/>
  <c r="AC441" i="1" s="1"/>
  <c r="AC438" i="1"/>
  <c r="AC439" i="1" s="1"/>
  <c r="AC436" i="1"/>
  <c r="AC437" i="1" s="1"/>
  <c r="AC434" i="1"/>
  <c r="AC435" i="1" s="1"/>
  <c r="AC432" i="1"/>
  <c r="AC433" i="1" s="1"/>
  <c r="AC430" i="1"/>
  <c r="AC431" i="1" s="1"/>
  <c r="AC428" i="1"/>
  <c r="AC429" i="1" s="1"/>
  <c r="AC426" i="1"/>
  <c r="AC427" i="1" s="1"/>
  <c r="AC424" i="1"/>
  <c r="AC425" i="1" s="1"/>
  <c r="AC422" i="1"/>
  <c r="AC423" i="1" s="1"/>
  <c r="AC420" i="1"/>
  <c r="AC421" i="1" s="1"/>
  <c r="AC418" i="1"/>
  <c r="AC419" i="1" s="1"/>
  <c r="AC416" i="1"/>
  <c r="AC417" i="1" s="1"/>
  <c r="AC414" i="1"/>
  <c r="AC415" i="1" s="1"/>
  <c r="AC412" i="1"/>
  <c r="AC413" i="1" s="1"/>
  <c r="AC410" i="1"/>
  <c r="AC411" i="1" s="1"/>
  <c r="AC408" i="1"/>
  <c r="AC409" i="1" s="1"/>
  <c r="AC406" i="1"/>
  <c r="AC407" i="1" s="1"/>
  <c r="AC404" i="1"/>
  <c r="AC405" i="1" s="1"/>
  <c r="AC402" i="1"/>
  <c r="AC403" i="1" s="1"/>
  <c r="AC400" i="1"/>
  <c r="AC401" i="1" s="1"/>
  <c r="AC398" i="1"/>
  <c r="AC399" i="1" s="1"/>
  <c r="AC396" i="1"/>
  <c r="AC397" i="1" s="1"/>
  <c r="AC394" i="1"/>
  <c r="AC395" i="1" s="1"/>
  <c r="AC392" i="1"/>
  <c r="AC393" i="1" s="1"/>
  <c r="AC390" i="1"/>
  <c r="AC391" i="1" s="1"/>
  <c r="AC388" i="1"/>
  <c r="AC389" i="1" s="1"/>
  <c r="AC386" i="1"/>
  <c r="AC387" i="1" s="1"/>
  <c r="AC384" i="1"/>
  <c r="AC385" i="1" s="1"/>
  <c r="AC382" i="1"/>
  <c r="AC383" i="1" s="1"/>
  <c r="AC380" i="1"/>
  <c r="AC381" i="1" s="1"/>
  <c r="AC378" i="1"/>
  <c r="AC379" i="1" s="1"/>
  <c r="AC376" i="1"/>
  <c r="AC377" i="1" s="1"/>
  <c r="AC374" i="1"/>
  <c r="AC375" i="1" s="1"/>
  <c r="AC372" i="1"/>
  <c r="AC373" i="1" s="1"/>
  <c r="AC370" i="1"/>
  <c r="AC371" i="1" s="1"/>
  <c r="AC368" i="1"/>
  <c r="AC369" i="1" s="1"/>
  <c r="AC366" i="1"/>
  <c r="AC367" i="1" s="1"/>
  <c r="AC364" i="1"/>
  <c r="AC365" i="1" s="1"/>
  <c r="AC362" i="1"/>
  <c r="AC363" i="1" s="1"/>
  <c r="AC360" i="1"/>
  <c r="AC361" i="1" s="1"/>
  <c r="AC358" i="1"/>
  <c r="AC359" i="1" s="1"/>
  <c r="AC356" i="1"/>
  <c r="AC357" i="1" s="1"/>
  <c r="AC354" i="1"/>
  <c r="AC355" i="1" s="1"/>
  <c r="AC352" i="1"/>
  <c r="AC353" i="1" s="1"/>
  <c r="AC350" i="1"/>
  <c r="AC351" i="1" s="1"/>
  <c r="AC348" i="1"/>
  <c r="AC349" i="1" s="1"/>
  <c r="AC346" i="1"/>
  <c r="AC347" i="1" s="1"/>
  <c r="AC344" i="1"/>
  <c r="AC345" i="1" s="1"/>
  <c r="AC342" i="1"/>
  <c r="AC343" i="1" s="1"/>
  <c r="AC340" i="1"/>
  <c r="AC341" i="1" s="1"/>
  <c r="AC338" i="1"/>
  <c r="AC339" i="1" s="1"/>
  <c r="AC336" i="1"/>
  <c r="AC337" i="1" s="1"/>
  <c r="AC334" i="1"/>
  <c r="AC335" i="1" s="1"/>
  <c r="AC332" i="1"/>
  <c r="AC333" i="1" s="1"/>
  <c r="AC330" i="1"/>
  <c r="AC331" i="1" s="1"/>
  <c r="AC328" i="1"/>
  <c r="AC329" i="1" s="1"/>
  <c r="AC326" i="1"/>
  <c r="AC327" i="1" s="1"/>
  <c r="AC324" i="1"/>
  <c r="AC325" i="1" s="1"/>
  <c r="AC322" i="1"/>
  <c r="AC323" i="1" s="1"/>
  <c r="AC320" i="1"/>
  <c r="AC321" i="1" s="1"/>
  <c r="AC318" i="1"/>
  <c r="AC319" i="1" s="1"/>
  <c r="AC316" i="1"/>
  <c r="AC317" i="1" s="1"/>
  <c r="AC314" i="1"/>
  <c r="AC315" i="1" s="1"/>
  <c r="AC312" i="1"/>
  <c r="AC313" i="1" s="1"/>
  <c r="AC310" i="1"/>
  <c r="AC311" i="1" s="1"/>
  <c r="AC308" i="1"/>
  <c r="AC309" i="1" s="1"/>
  <c r="AC306" i="1"/>
  <c r="AC307" i="1" s="1"/>
  <c r="AC304" i="1"/>
  <c r="AC305" i="1" s="1"/>
  <c r="AC302" i="1"/>
  <c r="AC303" i="1" s="1"/>
  <c r="AC300" i="1"/>
  <c r="AC301" i="1" s="1"/>
  <c r="AC298" i="1"/>
  <c r="AC299" i="1" s="1"/>
  <c r="AC296" i="1"/>
  <c r="AC297" i="1" s="1"/>
  <c r="AC294" i="1"/>
  <c r="AC295" i="1" s="1"/>
  <c r="AC292" i="1"/>
  <c r="AC293" i="1" s="1"/>
  <c r="AC290" i="1"/>
  <c r="AC291" i="1" s="1"/>
  <c r="AC288" i="1"/>
  <c r="AC289" i="1" s="1"/>
  <c r="AC286" i="1"/>
  <c r="AC287" i="1" s="1"/>
  <c r="AC284" i="1"/>
  <c r="AC285" i="1" s="1"/>
  <c r="AC282" i="1"/>
  <c r="AC283" i="1" s="1"/>
  <c r="AC280" i="1"/>
  <c r="AC281" i="1" s="1"/>
  <c r="AC278" i="1"/>
  <c r="AC279" i="1" s="1"/>
  <c r="AC276" i="1"/>
  <c r="AC277" i="1" s="1"/>
  <c r="AC274" i="1"/>
  <c r="AC275" i="1" s="1"/>
  <c r="AC272" i="1"/>
  <c r="AC273" i="1" s="1"/>
  <c r="AC270" i="1"/>
  <c r="AC271" i="1" s="1"/>
  <c r="AC268" i="1"/>
  <c r="AC269" i="1" s="1"/>
  <c r="AC266" i="1"/>
  <c r="AC267" i="1" s="1"/>
  <c r="AC264" i="1"/>
  <c r="AC265" i="1" s="1"/>
  <c r="AC262" i="1"/>
  <c r="AC263" i="1" s="1"/>
  <c r="AC260" i="1"/>
  <c r="AC261" i="1" s="1"/>
  <c r="AC258" i="1"/>
  <c r="AC259" i="1" s="1"/>
  <c r="AC256" i="1"/>
  <c r="AC257" i="1" s="1"/>
  <c r="AC254" i="1"/>
  <c r="AC255" i="1" s="1"/>
  <c r="AC252" i="1"/>
  <c r="AC253" i="1" s="1"/>
  <c r="AC250" i="1"/>
  <c r="AC251" i="1" s="1"/>
  <c r="AC248" i="1"/>
  <c r="AC249" i="1" s="1"/>
  <c r="AC246" i="1"/>
  <c r="AC247" i="1" s="1"/>
  <c r="AC244" i="1"/>
  <c r="AC245" i="1" s="1"/>
  <c r="AC242" i="1"/>
  <c r="AC243" i="1" s="1"/>
  <c r="AC240" i="1"/>
  <c r="AC241" i="1" s="1"/>
  <c r="AC238" i="1"/>
  <c r="AC239" i="1" s="1"/>
  <c r="AC236" i="1"/>
  <c r="AC237" i="1" s="1"/>
  <c r="AC234" i="1"/>
  <c r="AC235" i="1" s="1"/>
  <c r="AC232" i="1"/>
  <c r="AC233" i="1" s="1"/>
  <c r="AC230" i="1"/>
  <c r="AC231" i="1" s="1"/>
  <c r="AC228" i="1"/>
  <c r="AC229" i="1" s="1"/>
  <c r="AC226" i="1"/>
  <c r="AC227" i="1" s="1"/>
  <c r="AC224" i="1"/>
  <c r="AC225" i="1" s="1"/>
  <c r="AC222" i="1"/>
  <c r="AC223" i="1" s="1"/>
  <c r="AC220" i="1"/>
  <c r="AC221" i="1" s="1"/>
  <c r="AC218" i="1"/>
  <c r="AC219" i="1" s="1"/>
  <c r="AC216" i="1"/>
  <c r="AC217" i="1" s="1"/>
  <c r="AC214" i="1"/>
  <c r="AC215" i="1" s="1"/>
  <c r="AC212" i="1"/>
  <c r="AC213" i="1" s="1"/>
  <c r="AC210" i="1"/>
  <c r="AC211" i="1" s="1"/>
  <c r="AC208" i="1"/>
  <c r="AC209" i="1" s="1"/>
  <c r="AC206" i="1"/>
  <c r="AC207" i="1" s="1"/>
  <c r="AC204" i="1"/>
  <c r="AC205" i="1" s="1"/>
  <c r="AC202" i="1"/>
  <c r="AC203" i="1" s="1"/>
  <c r="AC200" i="1"/>
  <c r="AC201" i="1" s="1"/>
  <c r="AC198" i="1"/>
  <c r="AC199" i="1" s="1"/>
  <c r="AC196" i="1"/>
  <c r="AC197" i="1" s="1"/>
  <c r="AC194" i="1"/>
  <c r="AC195" i="1" s="1"/>
  <c r="AC192" i="1"/>
  <c r="AC193" i="1" s="1"/>
  <c r="AC190" i="1"/>
  <c r="AC191" i="1" s="1"/>
  <c r="AC188" i="1"/>
  <c r="AC189" i="1" s="1"/>
  <c r="AC186" i="1"/>
  <c r="AC187" i="1" s="1"/>
  <c r="AC184" i="1"/>
  <c r="AC185" i="1" s="1"/>
  <c r="AC182" i="1"/>
  <c r="AC183" i="1" s="1"/>
  <c r="AC180" i="1"/>
  <c r="AC181" i="1" s="1"/>
  <c r="AC178" i="1"/>
  <c r="AC179" i="1" s="1"/>
  <c r="AC176" i="1"/>
  <c r="AC177" i="1" s="1"/>
  <c r="AC174" i="1"/>
  <c r="AC175" i="1" s="1"/>
  <c r="AC172" i="1"/>
  <c r="AC173" i="1" s="1"/>
  <c r="AC170" i="1"/>
  <c r="AC171" i="1" s="1"/>
  <c r="AC168" i="1"/>
  <c r="AC169" i="1" s="1"/>
  <c r="AC166" i="1"/>
  <c r="AC167" i="1" s="1"/>
  <c r="AC164" i="1"/>
  <c r="AC165" i="1" s="1"/>
  <c r="AC162" i="1"/>
  <c r="AC163" i="1" s="1"/>
  <c r="AC160" i="1"/>
  <c r="AC161" i="1" s="1"/>
  <c r="AC158" i="1"/>
  <c r="AC159" i="1" s="1"/>
  <c r="AC156" i="1"/>
  <c r="AC157" i="1" s="1"/>
  <c r="AC154" i="1"/>
  <c r="AC155" i="1" s="1"/>
  <c r="AC152" i="1"/>
  <c r="AC153" i="1" s="1"/>
  <c r="AC150" i="1"/>
  <c r="AC151" i="1" s="1"/>
  <c r="AC148" i="1"/>
  <c r="AC149" i="1" s="1"/>
  <c r="AC146" i="1"/>
  <c r="AC147" i="1" s="1"/>
  <c r="AC144" i="1"/>
  <c r="AC145" i="1" s="1"/>
  <c r="AC142" i="1"/>
  <c r="AC143" i="1" s="1"/>
  <c r="AC140" i="1"/>
  <c r="AC141" i="1" s="1"/>
  <c r="AC138" i="1"/>
  <c r="AC139" i="1" s="1"/>
  <c r="AC136" i="1"/>
  <c r="AC137" i="1" s="1"/>
  <c r="AC134" i="1"/>
  <c r="AC135" i="1" s="1"/>
  <c r="AC132" i="1"/>
  <c r="AC133" i="1" s="1"/>
  <c r="AC130" i="1"/>
  <c r="AC131" i="1" s="1"/>
  <c r="AC128" i="1"/>
  <c r="AC129" i="1" s="1"/>
  <c r="AC126" i="1"/>
  <c r="AC127" i="1" s="1"/>
  <c r="AC124" i="1"/>
  <c r="AC125" i="1" s="1"/>
  <c r="AC122" i="1"/>
  <c r="AC123" i="1" s="1"/>
  <c r="AC120" i="1"/>
  <c r="AC121" i="1" s="1"/>
  <c r="AC118" i="1"/>
  <c r="AC119" i="1" s="1"/>
  <c r="AC116" i="1"/>
  <c r="AC117" i="1" s="1"/>
  <c r="AC114" i="1"/>
  <c r="AC115" i="1" s="1"/>
  <c r="AC112" i="1"/>
  <c r="AC113" i="1" s="1"/>
  <c r="AC110" i="1"/>
  <c r="AC111" i="1" s="1"/>
  <c r="AC108" i="1"/>
  <c r="AC109" i="1" s="1"/>
  <c r="AC106" i="1"/>
  <c r="AC107" i="1" s="1"/>
  <c r="AC104" i="1"/>
  <c r="AC105" i="1" s="1"/>
  <c r="AC102" i="1"/>
  <c r="AC103" i="1" s="1"/>
  <c r="AC100" i="1"/>
  <c r="AC101" i="1" s="1"/>
  <c r="AC98" i="1"/>
  <c r="AC99" i="1" s="1"/>
  <c r="AC96" i="1"/>
  <c r="AC97" i="1" s="1"/>
  <c r="AC94" i="1"/>
  <c r="AC95" i="1" s="1"/>
  <c r="AC92" i="1"/>
  <c r="AC93" i="1" s="1"/>
  <c r="AC90" i="1"/>
  <c r="AC91" i="1" s="1"/>
  <c r="AC88" i="1"/>
  <c r="AC89" i="1" s="1"/>
  <c r="AC86" i="1"/>
  <c r="AC87" i="1" s="1"/>
  <c r="AC84" i="1"/>
  <c r="AC85" i="1" s="1"/>
  <c r="AC82" i="1"/>
  <c r="AC83" i="1" s="1"/>
  <c r="AC80" i="1"/>
  <c r="AC81" i="1" s="1"/>
  <c r="AC78" i="1"/>
  <c r="AC79" i="1" s="1"/>
  <c r="AC76" i="1"/>
  <c r="AC77" i="1" s="1"/>
  <c r="AC74" i="1"/>
  <c r="AC75" i="1" s="1"/>
  <c r="AC72" i="1"/>
  <c r="AC73" i="1" s="1"/>
  <c r="AC70" i="1"/>
  <c r="AC71" i="1" s="1"/>
  <c r="AC68" i="1"/>
  <c r="AC69" i="1" s="1"/>
  <c r="AC66" i="1"/>
  <c r="AC67" i="1" s="1"/>
  <c r="AC64" i="1"/>
  <c r="AC65" i="1" s="1"/>
  <c r="AC62" i="1"/>
  <c r="AC63" i="1" s="1"/>
  <c r="AC60" i="1"/>
  <c r="AC61" i="1" s="1"/>
  <c r="AC58" i="1"/>
  <c r="AC59" i="1" s="1"/>
  <c r="AC56" i="1"/>
  <c r="AC57" i="1" s="1"/>
  <c r="AC54" i="1"/>
  <c r="AC55" i="1" s="1"/>
  <c r="AC52" i="1"/>
  <c r="AC53" i="1" s="1"/>
  <c r="AC50" i="1"/>
  <c r="AC51" i="1" s="1"/>
  <c r="AC48" i="1"/>
  <c r="AC49" i="1" s="1"/>
  <c r="AC46" i="1"/>
  <c r="AC47" i="1" s="1"/>
  <c r="AC44" i="1"/>
  <c r="AC45" i="1" s="1"/>
  <c r="AC42" i="1"/>
  <c r="AC43" i="1" s="1"/>
  <c r="AC40" i="1"/>
  <c r="AC41" i="1" s="1"/>
  <c r="AC38" i="1"/>
  <c r="AC39" i="1" s="1"/>
  <c r="AC36" i="1"/>
  <c r="AC37" i="1" s="1"/>
  <c r="AC34" i="1"/>
  <c r="AC35" i="1" s="1"/>
  <c r="AC32" i="1"/>
  <c r="AC33" i="1" s="1"/>
  <c r="AC30" i="1"/>
  <c r="AC31" i="1" s="1"/>
  <c r="AC28" i="1"/>
  <c r="AC29" i="1" s="1"/>
  <c r="AC26" i="1"/>
  <c r="AC27" i="1" s="1"/>
  <c r="AC24" i="1"/>
  <c r="AC25" i="1" s="1"/>
  <c r="AC22" i="1"/>
  <c r="AC23" i="1" s="1"/>
  <c r="AC20" i="1"/>
  <c r="AC21" i="1" s="1"/>
  <c r="AC18" i="1"/>
  <c r="AC19" i="1" s="1"/>
  <c r="AC16" i="1"/>
  <c r="AC17" i="1" s="1"/>
  <c r="AC14" i="1"/>
  <c r="AC15" i="1" s="1"/>
  <c r="AC12" i="1"/>
  <c r="AC13" i="1" s="1"/>
  <c r="AC10" i="1"/>
  <c r="AC11" i="1" s="1"/>
  <c r="AC8" i="1"/>
  <c r="AC9" i="1" s="1"/>
  <c r="AC6" i="1"/>
  <c r="AC7" i="1" s="1"/>
  <c r="AC4" i="1"/>
  <c r="AC5" i="1" s="1"/>
  <c r="AC2" i="1"/>
  <c r="AC3" i="1" s="1"/>
  <c r="AB2" i="1" l="1"/>
  <c r="AA2" i="1"/>
  <c r="AB1998" i="1" l="1"/>
  <c r="AB1999" i="1" s="1"/>
  <c r="AA1998" i="1"/>
  <c r="AA1999" i="1" s="1"/>
  <c r="AB1996" i="1"/>
  <c r="AB1997" i="1" s="1"/>
  <c r="AA1996" i="1"/>
  <c r="AA1997" i="1" s="1"/>
  <c r="AB1994" i="1"/>
  <c r="AB1995" i="1" s="1"/>
  <c r="AA1994" i="1"/>
  <c r="AA1995" i="1" s="1"/>
  <c r="AB1992" i="1"/>
  <c r="AB1993" i="1" s="1"/>
  <c r="AA1992" i="1"/>
  <c r="AA1993" i="1" s="1"/>
  <c r="AB1990" i="1"/>
  <c r="AB1991" i="1" s="1"/>
  <c r="AA1990" i="1"/>
  <c r="AA1991" i="1" s="1"/>
  <c r="AB1988" i="1"/>
  <c r="AB1989" i="1" s="1"/>
  <c r="AA1988" i="1"/>
  <c r="AA1989" i="1" s="1"/>
  <c r="AB1986" i="1"/>
  <c r="AB1987" i="1" s="1"/>
  <c r="AA1986" i="1"/>
  <c r="AA1987" i="1" s="1"/>
  <c r="AB1984" i="1"/>
  <c r="AB1985" i="1" s="1"/>
  <c r="AA1984" i="1"/>
  <c r="AA1985" i="1" s="1"/>
  <c r="AB1982" i="1"/>
  <c r="AB1983" i="1" s="1"/>
  <c r="AA1982" i="1"/>
  <c r="AA1983" i="1" s="1"/>
  <c r="AB1980" i="1"/>
  <c r="AB1981" i="1" s="1"/>
  <c r="AA1980" i="1"/>
  <c r="AA1981" i="1" s="1"/>
  <c r="AB1978" i="1"/>
  <c r="AB1979" i="1" s="1"/>
  <c r="AA1978" i="1"/>
  <c r="AA1979" i="1" s="1"/>
  <c r="AB1976" i="1"/>
  <c r="AB1977" i="1" s="1"/>
  <c r="AA1976" i="1"/>
  <c r="AA1977" i="1" s="1"/>
  <c r="AB1974" i="1"/>
  <c r="AB1975" i="1" s="1"/>
  <c r="AA1974" i="1"/>
  <c r="AA1975" i="1" s="1"/>
  <c r="AB1972" i="1"/>
  <c r="AB1973" i="1" s="1"/>
  <c r="AA1972" i="1"/>
  <c r="AA1973" i="1" s="1"/>
  <c r="AB1970" i="1"/>
  <c r="AB1971" i="1" s="1"/>
  <c r="AA1970" i="1"/>
  <c r="AA1971" i="1" s="1"/>
  <c r="AB1968" i="1"/>
  <c r="AB1969" i="1" s="1"/>
  <c r="AA1968" i="1"/>
  <c r="AA1969" i="1" s="1"/>
  <c r="AB1966" i="1"/>
  <c r="AB1967" i="1" s="1"/>
  <c r="AA1966" i="1"/>
  <c r="AA1967" i="1" s="1"/>
  <c r="AB1964" i="1"/>
  <c r="AB1965" i="1" s="1"/>
  <c r="AA1964" i="1"/>
  <c r="AA1965" i="1" s="1"/>
  <c r="AB1962" i="1"/>
  <c r="AB1963" i="1" s="1"/>
  <c r="AA1962" i="1"/>
  <c r="AA1963" i="1" s="1"/>
  <c r="AB1960" i="1"/>
  <c r="AB1961" i="1" s="1"/>
  <c r="AA1960" i="1"/>
  <c r="AA1961" i="1" s="1"/>
  <c r="AB1958" i="1"/>
  <c r="AB1959" i="1" s="1"/>
  <c r="AA1958" i="1"/>
  <c r="AA1959" i="1" s="1"/>
  <c r="AB1956" i="1"/>
  <c r="AB1957" i="1" s="1"/>
  <c r="AA1956" i="1"/>
  <c r="AA1957" i="1" s="1"/>
  <c r="AB1954" i="1"/>
  <c r="AB1955" i="1" s="1"/>
  <c r="AA1954" i="1"/>
  <c r="AA1955" i="1" s="1"/>
  <c r="AB1952" i="1"/>
  <c r="AB1953" i="1" s="1"/>
  <c r="AA1952" i="1"/>
  <c r="AA1953" i="1" s="1"/>
  <c r="AB1950" i="1"/>
  <c r="AB1951" i="1" s="1"/>
  <c r="AA1950" i="1"/>
  <c r="AA1951" i="1" s="1"/>
  <c r="AB1948" i="1"/>
  <c r="AB1949" i="1" s="1"/>
  <c r="AA1948" i="1"/>
  <c r="AA1949" i="1" s="1"/>
  <c r="AB1946" i="1"/>
  <c r="AB1947" i="1" s="1"/>
  <c r="AA1946" i="1"/>
  <c r="AA1947" i="1" s="1"/>
  <c r="AB1944" i="1"/>
  <c r="AB1945" i="1" s="1"/>
  <c r="AA1944" i="1"/>
  <c r="AA1945" i="1" s="1"/>
  <c r="AB1942" i="1"/>
  <c r="AB1943" i="1" s="1"/>
  <c r="AA1942" i="1"/>
  <c r="AA1943" i="1" s="1"/>
  <c r="AB1940" i="1"/>
  <c r="AB1941" i="1" s="1"/>
  <c r="AA1940" i="1"/>
  <c r="AA1941" i="1" s="1"/>
  <c r="AB1938" i="1"/>
  <c r="AB1939" i="1" s="1"/>
  <c r="AA1938" i="1"/>
  <c r="AA1939" i="1" s="1"/>
  <c r="AB1936" i="1"/>
  <c r="AB1937" i="1" s="1"/>
  <c r="AA1936" i="1"/>
  <c r="AA1937" i="1" s="1"/>
  <c r="AB1934" i="1"/>
  <c r="AB1935" i="1" s="1"/>
  <c r="AA1934" i="1"/>
  <c r="AA1935" i="1" s="1"/>
  <c r="AB1932" i="1"/>
  <c r="AB1933" i="1" s="1"/>
  <c r="AA1932" i="1"/>
  <c r="AA1933" i="1" s="1"/>
  <c r="AB1930" i="1"/>
  <c r="AB1931" i="1" s="1"/>
  <c r="AA1930" i="1"/>
  <c r="AA1931" i="1" s="1"/>
  <c r="AB1928" i="1"/>
  <c r="AB1929" i="1" s="1"/>
  <c r="AA1928" i="1"/>
  <c r="AA1929" i="1" s="1"/>
  <c r="AB1926" i="1"/>
  <c r="AB1927" i="1" s="1"/>
  <c r="AA1926" i="1"/>
  <c r="AA1927" i="1" s="1"/>
  <c r="AB1924" i="1"/>
  <c r="AB1925" i="1" s="1"/>
  <c r="AA1924" i="1"/>
  <c r="AA1925" i="1" s="1"/>
  <c r="AB1922" i="1"/>
  <c r="AB1923" i="1" s="1"/>
  <c r="AA1922" i="1"/>
  <c r="AA1923" i="1" s="1"/>
  <c r="AB1920" i="1"/>
  <c r="AB1921" i="1" s="1"/>
  <c r="AA1920" i="1"/>
  <c r="AA1921" i="1" s="1"/>
  <c r="AB1918" i="1"/>
  <c r="AB1919" i="1" s="1"/>
  <c r="AA1918" i="1"/>
  <c r="AA1919" i="1" s="1"/>
  <c r="AB1916" i="1"/>
  <c r="AB1917" i="1" s="1"/>
  <c r="AA1916" i="1"/>
  <c r="AA1917" i="1" s="1"/>
  <c r="AB1914" i="1"/>
  <c r="AB1915" i="1" s="1"/>
  <c r="AA1914" i="1"/>
  <c r="AA1915" i="1" s="1"/>
  <c r="AB1912" i="1"/>
  <c r="AB1913" i="1" s="1"/>
  <c r="AA1912" i="1"/>
  <c r="AA1913" i="1" s="1"/>
  <c r="AB1910" i="1"/>
  <c r="AB1911" i="1" s="1"/>
  <c r="AA1910" i="1"/>
  <c r="AA1911" i="1" s="1"/>
  <c r="AB1908" i="1"/>
  <c r="AB1909" i="1" s="1"/>
  <c r="AA1908" i="1"/>
  <c r="AA1909" i="1" s="1"/>
  <c r="AB1906" i="1"/>
  <c r="AB1907" i="1" s="1"/>
  <c r="AA1906" i="1"/>
  <c r="AA1907" i="1" s="1"/>
  <c r="AB1904" i="1"/>
  <c r="AB1905" i="1" s="1"/>
  <c r="AA1904" i="1"/>
  <c r="AA1905" i="1" s="1"/>
  <c r="AB1902" i="1"/>
  <c r="AB1903" i="1" s="1"/>
  <c r="AA1902" i="1"/>
  <c r="AA1903" i="1" s="1"/>
  <c r="AB1900" i="1"/>
  <c r="AB1901" i="1" s="1"/>
  <c r="AA1900" i="1"/>
  <c r="AA1901" i="1" s="1"/>
  <c r="AB1898" i="1"/>
  <c r="AB1899" i="1" s="1"/>
  <c r="AA1898" i="1"/>
  <c r="AA1899" i="1" s="1"/>
  <c r="AB1896" i="1"/>
  <c r="AB1897" i="1" s="1"/>
  <c r="AA1896" i="1"/>
  <c r="AA1897" i="1" s="1"/>
  <c r="AB1894" i="1"/>
  <c r="AB1895" i="1" s="1"/>
  <c r="AA1894" i="1"/>
  <c r="AA1895" i="1" s="1"/>
  <c r="AB1892" i="1"/>
  <c r="AB1893" i="1" s="1"/>
  <c r="AA1892" i="1"/>
  <c r="AA1893" i="1" s="1"/>
  <c r="AB1890" i="1"/>
  <c r="AB1891" i="1" s="1"/>
  <c r="AA1890" i="1"/>
  <c r="AA1891" i="1" s="1"/>
  <c r="AB1888" i="1"/>
  <c r="AB1889" i="1" s="1"/>
  <c r="AA1888" i="1"/>
  <c r="AA1889" i="1" s="1"/>
  <c r="AB1886" i="1"/>
  <c r="AB1887" i="1" s="1"/>
  <c r="AA1886" i="1"/>
  <c r="AA1887" i="1" s="1"/>
  <c r="AB1884" i="1"/>
  <c r="AB1885" i="1" s="1"/>
  <c r="AA1884" i="1"/>
  <c r="AA1885" i="1" s="1"/>
  <c r="AB1882" i="1"/>
  <c r="AB1883" i="1" s="1"/>
  <c r="AA1882" i="1"/>
  <c r="AA1883" i="1" s="1"/>
  <c r="AB1880" i="1"/>
  <c r="AB1881" i="1" s="1"/>
  <c r="AA1880" i="1"/>
  <c r="AA1881" i="1" s="1"/>
  <c r="AB1878" i="1"/>
  <c r="AB1879" i="1" s="1"/>
  <c r="AA1878" i="1"/>
  <c r="AA1879" i="1" s="1"/>
  <c r="AB1876" i="1"/>
  <c r="AB1877" i="1" s="1"/>
  <c r="AA1876" i="1"/>
  <c r="AA1877" i="1" s="1"/>
  <c r="AB1874" i="1"/>
  <c r="AB1875" i="1" s="1"/>
  <c r="AA1874" i="1"/>
  <c r="AA1875" i="1" s="1"/>
  <c r="AB1872" i="1"/>
  <c r="AB1873" i="1" s="1"/>
  <c r="AA1872" i="1"/>
  <c r="AA1873" i="1" s="1"/>
  <c r="AB1870" i="1"/>
  <c r="AB1871" i="1" s="1"/>
  <c r="AA1870" i="1"/>
  <c r="AA1871" i="1" s="1"/>
  <c r="AB1868" i="1"/>
  <c r="AB1869" i="1" s="1"/>
  <c r="AA1868" i="1"/>
  <c r="AA1869" i="1" s="1"/>
  <c r="AB1866" i="1"/>
  <c r="AB1867" i="1" s="1"/>
  <c r="AA1866" i="1"/>
  <c r="AA1867" i="1" s="1"/>
  <c r="AB1864" i="1"/>
  <c r="AB1865" i="1" s="1"/>
  <c r="AA1864" i="1"/>
  <c r="AA1865" i="1" s="1"/>
  <c r="AB1862" i="1"/>
  <c r="AB1863" i="1" s="1"/>
  <c r="AA1862" i="1"/>
  <c r="AA1863" i="1" s="1"/>
  <c r="AB1860" i="1"/>
  <c r="AB1861" i="1" s="1"/>
  <c r="AA1860" i="1"/>
  <c r="AA1861" i="1" s="1"/>
  <c r="AB1858" i="1"/>
  <c r="AB1859" i="1" s="1"/>
  <c r="AA1858" i="1"/>
  <c r="AA1859" i="1" s="1"/>
  <c r="AB1856" i="1"/>
  <c r="AB1857" i="1" s="1"/>
  <c r="AA1856" i="1"/>
  <c r="AA1857" i="1" s="1"/>
  <c r="AB1854" i="1"/>
  <c r="AB1855" i="1" s="1"/>
  <c r="AA1854" i="1"/>
  <c r="AA1855" i="1" s="1"/>
  <c r="AB1852" i="1"/>
  <c r="AB1853" i="1" s="1"/>
  <c r="AA1852" i="1"/>
  <c r="AA1853" i="1" s="1"/>
  <c r="AB1850" i="1"/>
  <c r="AB1851" i="1" s="1"/>
  <c r="AA1850" i="1"/>
  <c r="AA1851" i="1" s="1"/>
  <c r="AB1848" i="1"/>
  <c r="AB1849" i="1" s="1"/>
  <c r="AA1848" i="1"/>
  <c r="AA1849" i="1" s="1"/>
  <c r="AB1846" i="1"/>
  <c r="AB1847" i="1" s="1"/>
  <c r="AA1846" i="1"/>
  <c r="AA1847" i="1" s="1"/>
  <c r="AB1844" i="1"/>
  <c r="AB1845" i="1" s="1"/>
  <c r="AA1844" i="1"/>
  <c r="AA1845" i="1" s="1"/>
  <c r="AB1842" i="1"/>
  <c r="AB1843" i="1" s="1"/>
  <c r="AA1842" i="1"/>
  <c r="AA1843" i="1" s="1"/>
  <c r="AB1840" i="1"/>
  <c r="AB1841" i="1" s="1"/>
  <c r="AA1840" i="1"/>
  <c r="AA1841" i="1" s="1"/>
  <c r="AB1838" i="1"/>
  <c r="AB1839" i="1" s="1"/>
  <c r="AA1838" i="1"/>
  <c r="AA1839" i="1" s="1"/>
  <c r="AB1836" i="1"/>
  <c r="AB1837" i="1" s="1"/>
  <c r="AA1836" i="1"/>
  <c r="AA1837" i="1" s="1"/>
  <c r="AB1834" i="1"/>
  <c r="AB1835" i="1" s="1"/>
  <c r="AA1834" i="1"/>
  <c r="AA1835" i="1" s="1"/>
  <c r="AB1832" i="1"/>
  <c r="AB1833" i="1" s="1"/>
  <c r="AA1832" i="1"/>
  <c r="AA1833" i="1" s="1"/>
  <c r="AB1830" i="1"/>
  <c r="AB1831" i="1" s="1"/>
  <c r="AA1830" i="1"/>
  <c r="AA1831" i="1" s="1"/>
  <c r="AB1828" i="1"/>
  <c r="AB1829" i="1" s="1"/>
  <c r="AA1828" i="1"/>
  <c r="AA1829" i="1" s="1"/>
  <c r="AB1826" i="1"/>
  <c r="AB1827" i="1" s="1"/>
  <c r="AA1826" i="1"/>
  <c r="AA1827" i="1" s="1"/>
  <c r="AB1824" i="1"/>
  <c r="AB1825" i="1" s="1"/>
  <c r="AA1824" i="1"/>
  <c r="AA1825" i="1" s="1"/>
  <c r="AB1822" i="1"/>
  <c r="AB1823" i="1" s="1"/>
  <c r="AA1822" i="1"/>
  <c r="AA1823" i="1" s="1"/>
  <c r="AB1820" i="1"/>
  <c r="AB1821" i="1" s="1"/>
  <c r="AA1820" i="1"/>
  <c r="AA1821" i="1" s="1"/>
  <c r="AB1818" i="1"/>
  <c r="AB1819" i="1" s="1"/>
  <c r="AA1818" i="1"/>
  <c r="AA1819" i="1" s="1"/>
  <c r="AB1816" i="1"/>
  <c r="AB1817" i="1" s="1"/>
  <c r="AA1816" i="1"/>
  <c r="AA1817" i="1" s="1"/>
  <c r="AB1814" i="1"/>
  <c r="AB1815" i="1" s="1"/>
  <c r="AA1814" i="1"/>
  <c r="AA1815" i="1" s="1"/>
  <c r="AB1812" i="1"/>
  <c r="AB1813" i="1" s="1"/>
  <c r="AA1812" i="1"/>
  <c r="AA1813" i="1" s="1"/>
  <c r="AB1810" i="1"/>
  <c r="AB1811" i="1" s="1"/>
  <c r="AA1810" i="1"/>
  <c r="AA1811" i="1" s="1"/>
  <c r="AB1808" i="1"/>
  <c r="AB1809" i="1" s="1"/>
  <c r="AA1808" i="1"/>
  <c r="AA1809" i="1" s="1"/>
  <c r="AB1806" i="1"/>
  <c r="AB1807" i="1" s="1"/>
  <c r="AA1806" i="1"/>
  <c r="AA1807" i="1" s="1"/>
  <c r="AB1804" i="1"/>
  <c r="AB1805" i="1" s="1"/>
  <c r="AA1804" i="1"/>
  <c r="AA1805" i="1" s="1"/>
  <c r="AB1802" i="1"/>
  <c r="AB1803" i="1" s="1"/>
  <c r="AA1802" i="1"/>
  <c r="AA1803" i="1" s="1"/>
  <c r="AB1800" i="1"/>
  <c r="AB1801" i="1" s="1"/>
  <c r="AA1800" i="1"/>
  <c r="AA1801" i="1" s="1"/>
  <c r="AB1798" i="1"/>
  <c r="AB1799" i="1" s="1"/>
  <c r="AA1798" i="1"/>
  <c r="AA1799" i="1" s="1"/>
  <c r="AB1796" i="1"/>
  <c r="AB1797" i="1" s="1"/>
  <c r="AA1796" i="1"/>
  <c r="AA1797" i="1" s="1"/>
  <c r="AB1794" i="1"/>
  <c r="AB1795" i="1" s="1"/>
  <c r="AA1794" i="1"/>
  <c r="AA1795" i="1" s="1"/>
  <c r="AB1792" i="1"/>
  <c r="AB1793" i="1" s="1"/>
  <c r="AA1792" i="1"/>
  <c r="AA1793" i="1" s="1"/>
  <c r="AB1790" i="1"/>
  <c r="AB1791" i="1" s="1"/>
  <c r="AA1790" i="1"/>
  <c r="AA1791" i="1" s="1"/>
  <c r="AB1788" i="1"/>
  <c r="AB1789" i="1" s="1"/>
  <c r="AA1788" i="1"/>
  <c r="AA1789" i="1" s="1"/>
  <c r="AB1786" i="1"/>
  <c r="AB1787" i="1" s="1"/>
  <c r="AA1786" i="1"/>
  <c r="AA1787" i="1" s="1"/>
  <c r="AB1784" i="1"/>
  <c r="AB1785" i="1" s="1"/>
  <c r="AA1784" i="1"/>
  <c r="AA1785" i="1" s="1"/>
  <c r="AB1782" i="1"/>
  <c r="AB1783" i="1" s="1"/>
  <c r="AA1782" i="1"/>
  <c r="AA1783" i="1" s="1"/>
  <c r="AB1780" i="1"/>
  <c r="AB1781" i="1" s="1"/>
  <c r="AA1780" i="1"/>
  <c r="AA1781" i="1" s="1"/>
  <c r="AB1778" i="1"/>
  <c r="AB1779" i="1" s="1"/>
  <c r="AA1778" i="1"/>
  <c r="AA1779" i="1" s="1"/>
  <c r="AB1776" i="1"/>
  <c r="AB1777" i="1" s="1"/>
  <c r="AA1776" i="1"/>
  <c r="AA1777" i="1" s="1"/>
  <c r="AB1774" i="1"/>
  <c r="AB1775" i="1" s="1"/>
  <c r="AA1774" i="1"/>
  <c r="AA1775" i="1" s="1"/>
  <c r="AB1772" i="1"/>
  <c r="AB1773" i="1" s="1"/>
  <c r="AA1772" i="1"/>
  <c r="AA1773" i="1" s="1"/>
  <c r="AB1770" i="1"/>
  <c r="AB1771" i="1" s="1"/>
  <c r="AA1770" i="1"/>
  <c r="AA1771" i="1" s="1"/>
  <c r="AB1768" i="1"/>
  <c r="AB1769" i="1" s="1"/>
  <c r="AA1768" i="1"/>
  <c r="AA1769" i="1" s="1"/>
  <c r="AB1766" i="1"/>
  <c r="AB1767" i="1" s="1"/>
  <c r="AA1766" i="1"/>
  <c r="AA1767" i="1" s="1"/>
  <c r="AB1764" i="1"/>
  <c r="AB1765" i="1" s="1"/>
  <c r="AA1764" i="1"/>
  <c r="AA1765" i="1" s="1"/>
  <c r="AB1762" i="1"/>
  <c r="AB1763" i="1" s="1"/>
  <c r="AA1762" i="1"/>
  <c r="AA1763" i="1" s="1"/>
  <c r="AB1760" i="1"/>
  <c r="AB1761" i="1" s="1"/>
  <c r="AA1760" i="1"/>
  <c r="AA1761" i="1" s="1"/>
  <c r="AB1758" i="1"/>
  <c r="AB1759" i="1" s="1"/>
  <c r="AA1758" i="1"/>
  <c r="AA1759" i="1" s="1"/>
  <c r="AB1756" i="1"/>
  <c r="AB1757" i="1" s="1"/>
  <c r="AA1756" i="1"/>
  <c r="AA1757" i="1" s="1"/>
  <c r="AB1754" i="1"/>
  <c r="AB1755" i="1" s="1"/>
  <c r="AA1754" i="1"/>
  <c r="AA1755" i="1" s="1"/>
  <c r="AB1752" i="1"/>
  <c r="AB1753" i="1" s="1"/>
  <c r="AA1752" i="1"/>
  <c r="AA1753" i="1" s="1"/>
  <c r="AB1750" i="1"/>
  <c r="AB1751" i="1" s="1"/>
  <c r="AA1750" i="1"/>
  <c r="AA1751" i="1" s="1"/>
  <c r="AB1748" i="1"/>
  <c r="AB1749" i="1" s="1"/>
  <c r="AA1748" i="1"/>
  <c r="AA1749" i="1" s="1"/>
  <c r="AB1746" i="1"/>
  <c r="AB1747" i="1" s="1"/>
  <c r="AA1746" i="1"/>
  <c r="AA1747" i="1" s="1"/>
  <c r="AB1744" i="1"/>
  <c r="AB1745" i="1" s="1"/>
  <c r="AA1744" i="1"/>
  <c r="AA1745" i="1" s="1"/>
  <c r="AB1742" i="1"/>
  <c r="AB1743" i="1" s="1"/>
  <c r="AA1742" i="1"/>
  <c r="AA1743" i="1" s="1"/>
  <c r="AB1740" i="1"/>
  <c r="AB1741" i="1" s="1"/>
  <c r="AA1740" i="1"/>
  <c r="AA1741" i="1" s="1"/>
  <c r="AB1738" i="1"/>
  <c r="AB1739" i="1" s="1"/>
  <c r="AA1738" i="1"/>
  <c r="AA1739" i="1" s="1"/>
  <c r="AB1736" i="1"/>
  <c r="AB1737" i="1" s="1"/>
  <c r="AA1736" i="1"/>
  <c r="AA1737" i="1" s="1"/>
  <c r="AB1734" i="1"/>
  <c r="AB1735" i="1" s="1"/>
  <c r="AA1734" i="1"/>
  <c r="AA1735" i="1" s="1"/>
  <c r="AB1732" i="1"/>
  <c r="AB1733" i="1" s="1"/>
  <c r="AA1732" i="1"/>
  <c r="AA1733" i="1" s="1"/>
  <c r="AB1730" i="1"/>
  <c r="AB1731" i="1" s="1"/>
  <c r="AA1730" i="1"/>
  <c r="AA1731" i="1" s="1"/>
  <c r="AB1728" i="1"/>
  <c r="AB1729" i="1" s="1"/>
  <c r="AA1728" i="1"/>
  <c r="AA1729" i="1" s="1"/>
  <c r="AB1726" i="1"/>
  <c r="AB1727" i="1" s="1"/>
  <c r="AA1726" i="1"/>
  <c r="AA1727" i="1" s="1"/>
  <c r="AB1724" i="1"/>
  <c r="AB1725" i="1" s="1"/>
  <c r="AA1724" i="1"/>
  <c r="AA1725" i="1" s="1"/>
  <c r="AB1722" i="1"/>
  <c r="AB1723" i="1" s="1"/>
  <c r="AA1722" i="1"/>
  <c r="AA1723" i="1" s="1"/>
  <c r="AB1720" i="1"/>
  <c r="AB1721" i="1" s="1"/>
  <c r="AA1720" i="1"/>
  <c r="AA1721" i="1" s="1"/>
  <c r="AB1718" i="1"/>
  <c r="AB1719" i="1" s="1"/>
  <c r="AA1718" i="1"/>
  <c r="AA1719" i="1" s="1"/>
  <c r="AB1716" i="1"/>
  <c r="AB1717" i="1" s="1"/>
  <c r="AA1716" i="1"/>
  <c r="AA1717" i="1" s="1"/>
  <c r="AB1714" i="1"/>
  <c r="AB1715" i="1" s="1"/>
  <c r="AA1714" i="1"/>
  <c r="AA1715" i="1" s="1"/>
  <c r="AB1712" i="1"/>
  <c r="AB1713" i="1" s="1"/>
  <c r="AA1712" i="1"/>
  <c r="AA1713" i="1" s="1"/>
  <c r="AB1710" i="1"/>
  <c r="AB1711" i="1" s="1"/>
  <c r="AA1710" i="1"/>
  <c r="AA1711" i="1" s="1"/>
  <c r="AB1708" i="1"/>
  <c r="AB1709" i="1" s="1"/>
  <c r="AA1708" i="1"/>
  <c r="AA1709" i="1" s="1"/>
  <c r="AB1706" i="1"/>
  <c r="AB1707" i="1" s="1"/>
  <c r="AA1706" i="1"/>
  <c r="AA1707" i="1" s="1"/>
  <c r="AB1704" i="1"/>
  <c r="AB1705" i="1" s="1"/>
  <c r="AA1704" i="1"/>
  <c r="AA1705" i="1" s="1"/>
  <c r="AB1702" i="1"/>
  <c r="AB1703" i="1" s="1"/>
  <c r="AA1702" i="1"/>
  <c r="AA1703" i="1" s="1"/>
  <c r="AB1700" i="1"/>
  <c r="AB1701" i="1" s="1"/>
  <c r="AA1700" i="1"/>
  <c r="AA1701" i="1" s="1"/>
  <c r="AB1698" i="1"/>
  <c r="AB1699" i="1" s="1"/>
  <c r="AA1698" i="1"/>
  <c r="AA1699" i="1" s="1"/>
  <c r="AB1696" i="1"/>
  <c r="AB1697" i="1" s="1"/>
  <c r="AA1696" i="1"/>
  <c r="AA1697" i="1" s="1"/>
  <c r="AB1694" i="1"/>
  <c r="AB1695" i="1" s="1"/>
  <c r="AA1694" i="1"/>
  <c r="AA1695" i="1" s="1"/>
  <c r="AB1692" i="1"/>
  <c r="AB1693" i="1" s="1"/>
  <c r="AA1692" i="1"/>
  <c r="AA1693" i="1" s="1"/>
  <c r="AB1690" i="1"/>
  <c r="AB1691" i="1" s="1"/>
  <c r="AA1690" i="1"/>
  <c r="AA1691" i="1" s="1"/>
  <c r="AB1688" i="1"/>
  <c r="AB1689" i="1" s="1"/>
  <c r="AA1688" i="1"/>
  <c r="AA1689" i="1" s="1"/>
  <c r="AB1686" i="1"/>
  <c r="AB1687" i="1" s="1"/>
  <c r="AA1686" i="1"/>
  <c r="AA1687" i="1" s="1"/>
  <c r="AB1684" i="1"/>
  <c r="AB1685" i="1" s="1"/>
  <c r="AA1684" i="1"/>
  <c r="AA1685" i="1" s="1"/>
  <c r="AB1682" i="1"/>
  <c r="AB1683" i="1" s="1"/>
  <c r="AA1682" i="1"/>
  <c r="AA1683" i="1" s="1"/>
  <c r="AB1680" i="1"/>
  <c r="AB1681" i="1" s="1"/>
  <c r="AA1680" i="1"/>
  <c r="AA1681" i="1" s="1"/>
  <c r="AB1678" i="1"/>
  <c r="AB1679" i="1" s="1"/>
  <c r="AA1678" i="1"/>
  <c r="AA1679" i="1" s="1"/>
  <c r="AB1676" i="1"/>
  <c r="AB1677" i="1" s="1"/>
  <c r="AA1676" i="1"/>
  <c r="AA1677" i="1" s="1"/>
  <c r="AB1674" i="1"/>
  <c r="AB1675" i="1" s="1"/>
  <c r="AA1674" i="1"/>
  <c r="AA1675" i="1" s="1"/>
  <c r="AB1672" i="1"/>
  <c r="AB1673" i="1" s="1"/>
  <c r="AA1672" i="1"/>
  <c r="AA1673" i="1" s="1"/>
  <c r="AB1670" i="1"/>
  <c r="AB1671" i="1" s="1"/>
  <c r="AA1670" i="1"/>
  <c r="AA1671" i="1" s="1"/>
  <c r="AB1668" i="1"/>
  <c r="AB1669" i="1" s="1"/>
  <c r="AA1668" i="1"/>
  <c r="AA1669" i="1" s="1"/>
  <c r="AB1666" i="1"/>
  <c r="AB1667" i="1" s="1"/>
  <c r="AA1666" i="1"/>
  <c r="AA1667" i="1" s="1"/>
  <c r="AB1664" i="1"/>
  <c r="AB1665" i="1" s="1"/>
  <c r="AA1664" i="1"/>
  <c r="AA1665" i="1" s="1"/>
  <c r="AB1662" i="1"/>
  <c r="AB1663" i="1" s="1"/>
  <c r="AA1662" i="1"/>
  <c r="AA1663" i="1" s="1"/>
  <c r="AB1660" i="1"/>
  <c r="AB1661" i="1" s="1"/>
  <c r="AA1660" i="1"/>
  <c r="AA1661" i="1" s="1"/>
  <c r="AB1658" i="1"/>
  <c r="AB1659" i="1" s="1"/>
  <c r="AA1658" i="1"/>
  <c r="AA1659" i="1" s="1"/>
  <c r="AB1656" i="1"/>
  <c r="AB1657" i="1" s="1"/>
  <c r="AA1656" i="1"/>
  <c r="AA1657" i="1" s="1"/>
  <c r="AB1654" i="1"/>
  <c r="AB1655" i="1" s="1"/>
  <c r="AA1654" i="1"/>
  <c r="AA1655" i="1" s="1"/>
  <c r="AB1652" i="1"/>
  <c r="AB1653" i="1" s="1"/>
  <c r="AA1652" i="1"/>
  <c r="AA1653" i="1" s="1"/>
  <c r="AB1650" i="1"/>
  <c r="AB1651" i="1" s="1"/>
  <c r="AA1650" i="1"/>
  <c r="AA1651" i="1" s="1"/>
  <c r="AB1648" i="1"/>
  <c r="AB1649" i="1" s="1"/>
  <c r="AA1648" i="1"/>
  <c r="AA1649" i="1" s="1"/>
  <c r="AB1646" i="1"/>
  <c r="AB1647" i="1" s="1"/>
  <c r="AA1646" i="1"/>
  <c r="AA1647" i="1" s="1"/>
  <c r="AB1644" i="1"/>
  <c r="AB1645" i="1" s="1"/>
  <c r="AA1644" i="1"/>
  <c r="AA1645" i="1" s="1"/>
  <c r="AB1642" i="1"/>
  <c r="AB1643" i="1" s="1"/>
  <c r="AA1642" i="1"/>
  <c r="AA1643" i="1" s="1"/>
  <c r="AB1640" i="1"/>
  <c r="AB1641" i="1" s="1"/>
  <c r="AA1640" i="1"/>
  <c r="AA1641" i="1" s="1"/>
  <c r="AB1638" i="1"/>
  <c r="AB1639" i="1" s="1"/>
  <c r="AA1638" i="1"/>
  <c r="AA1639" i="1" s="1"/>
  <c r="AB1636" i="1"/>
  <c r="AB1637" i="1" s="1"/>
  <c r="AA1636" i="1"/>
  <c r="AA1637" i="1" s="1"/>
  <c r="AB1634" i="1"/>
  <c r="AB1635" i="1" s="1"/>
  <c r="AA1634" i="1"/>
  <c r="AA1635" i="1" s="1"/>
  <c r="AB1632" i="1"/>
  <c r="AB1633" i="1" s="1"/>
  <c r="AA1632" i="1"/>
  <c r="AA1633" i="1" s="1"/>
  <c r="AB1630" i="1"/>
  <c r="AB1631" i="1" s="1"/>
  <c r="AA1630" i="1"/>
  <c r="AA1631" i="1" s="1"/>
  <c r="AB1628" i="1"/>
  <c r="AB1629" i="1" s="1"/>
  <c r="AA1628" i="1"/>
  <c r="AA1629" i="1" s="1"/>
  <c r="AB1626" i="1"/>
  <c r="AB1627" i="1" s="1"/>
  <c r="AA1626" i="1"/>
  <c r="AA1627" i="1" s="1"/>
  <c r="AB1624" i="1"/>
  <c r="AB1625" i="1" s="1"/>
  <c r="AA1624" i="1"/>
  <c r="AA1625" i="1" s="1"/>
  <c r="AB1622" i="1"/>
  <c r="AB1623" i="1" s="1"/>
  <c r="AA1622" i="1"/>
  <c r="AA1623" i="1" s="1"/>
  <c r="AB1620" i="1"/>
  <c r="AB1621" i="1" s="1"/>
  <c r="AA1620" i="1"/>
  <c r="AA1621" i="1" s="1"/>
  <c r="AB1618" i="1"/>
  <c r="AB1619" i="1" s="1"/>
  <c r="AA1618" i="1"/>
  <c r="AA1619" i="1" s="1"/>
  <c r="AB1616" i="1"/>
  <c r="AB1617" i="1" s="1"/>
  <c r="AA1616" i="1"/>
  <c r="AA1617" i="1" s="1"/>
  <c r="AB1614" i="1"/>
  <c r="AB1615" i="1" s="1"/>
  <c r="AA1614" i="1"/>
  <c r="AA1615" i="1" s="1"/>
  <c r="AB1612" i="1"/>
  <c r="AB1613" i="1" s="1"/>
  <c r="AA1612" i="1"/>
  <c r="AA1613" i="1" s="1"/>
  <c r="AB1610" i="1"/>
  <c r="AB1611" i="1" s="1"/>
  <c r="AA1610" i="1"/>
  <c r="AA1611" i="1" s="1"/>
  <c r="AB1608" i="1"/>
  <c r="AB1609" i="1" s="1"/>
  <c r="AA1608" i="1"/>
  <c r="AA1609" i="1" s="1"/>
  <c r="AB1606" i="1"/>
  <c r="AB1607" i="1" s="1"/>
  <c r="AA1606" i="1"/>
  <c r="AA1607" i="1" s="1"/>
  <c r="AB1604" i="1"/>
  <c r="AB1605" i="1" s="1"/>
  <c r="AA1604" i="1"/>
  <c r="AA1605" i="1" s="1"/>
  <c r="AB1602" i="1"/>
  <c r="AB1603" i="1" s="1"/>
  <c r="AA1602" i="1"/>
  <c r="AA1603" i="1" s="1"/>
  <c r="AB1600" i="1"/>
  <c r="AB1601" i="1" s="1"/>
  <c r="AA1600" i="1"/>
  <c r="AA1601" i="1" s="1"/>
  <c r="AB1598" i="1"/>
  <c r="AB1599" i="1" s="1"/>
  <c r="AA1598" i="1"/>
  <c r="AA1599" i="1" s="1"/>
  <c r="AB1596" i="1"/>
  <c r="AB1597" i="1" s="1"/>
  <c r="AA1596" i="1"/>
  <c r="AA1597" i="1" s="1"/>
  <c r="AB1594" i="1"/>
  <c r="AB1595" i="1" s="1"/>
  <c r="AA1594" i="1"/>
  <c r="AA1595" i="1" s="1"/>
  <c r="AB1592" i="1"/>
  <c r="AB1593" i="1" s="1"/>
  <c r="AA1592" i="1"/>
  <c r="AA1593" i="1" s="1"/>
  <c r="AB1590" i="1"/>
  <c r="AB1591" i="1" s="1"/>
  <c r="AA1590" i="1"/>
  <c r="AA1591" i="1" s="1"/>
  <c r="AB1588" i="1"/>
  <c r="AB1589" i="1" s="1"/>
  <c r="AA1588" i="1"/>
  <c r="AA1589" i="1" s="1"/>
  <c r="AB1586" i="1"/>
  <c r="AB1587" i="1" s="1"/>
  <c r="AA1586" i="1"/>
  <c r="AA1587" i="1" s="1"/>
  <c r="AB1584" i="1"/>
  <c r="AB1585" i="1" s="1"/>
  <c r="AA1584" i="1"/>
  <c r="AA1585" i="1" s="1"/>
  <c r="AB1582" i="1"/>
  <c r="AB1583" i="1" s="1"/>
  <c r="AA1582" i="1"/>
  <c r="AA1583" i="1" s="1"/>
  <c r="AB1580" i="1"/>
  <c r="AB1581" i="1" s="1"/>
  <c r="AA1580" i="1"/>
  <c r="AA1581" i="1" s="1"/>
  <c r="AB1578" i="1"/>
  <c r="AB1579" i="1" s="1"/>
  <c r="AA1578" i="1"/>
  <c r="AA1579" i="1" s="1"/>
  <c r="AB1576" i="1"/>
  <c r="AB1577" i="1" s="1"/>
  <c r="AA1576" i="1"/>
  <c r="AA1577" i="1" s="1"/>
  <c r="AB1574" i="1"/>
  <c r="AB1575" i="1" s="1"/>
  <c r="AA1574" i="1"/>
  <c r="AA1575" i="1" s="1"/>
  <c r="AB1572" i="1"/>
  <c r="AB1573" i="1" s="1"/>
  <c r="AA1572" i="1"/>
  <c r="AA1573" i="1" s="1"/>
  <c r="AB1570" i="1"/>
  <c r="AB1571" i="1" s="1"/>
  <c r="AA1570" i="1"/>
  <c r="AA1571" i="1" s="1"/>
  <c r="AB1568" i="1"/>
  <c r="AB1569" i="1" s="1"/>
  <c r="AA1568" i="1"/>
  <c r="AA1569" i="1" s="1"/>
  <c r="AB1566" i="1"/>
  <c r="AB1567" i="1" s="1"/>
  <c r="AA1566" i="1"/>
  <c r="AA1567" i="1" s="1"/>
  <c r="AB1564" i="1"/>
  <c r="AB1565" i="1" s="1"/>
  <c r="AA1564" i="1"/>
  <c r="AA1565" i="1" s="1"/>
  <c r="AB1562" i="1"/>
  <c r="AB1563" i="1" s="1"/>
  <c r="AA1562" i="1"/>
  <c r="AA1563" i="1" s="1"/>
  <c r="AB1560" i="1"/>
  <c r="AB1561" i="1" s="1"/>
  <c r="AA1560" i="1"/>
  <c r="AA1561" i="1" s="1"/>
  <c r="AB1558" i="1"/>
  <c r="AB1559" i="1" s="1"/>
  <c r="AA1558" i="1"/>
  <c r="AA1559" i="1" s="1"/>
  <c r="AB1556" i="1"/>
  <c r="AB1557" i="1" s="1"/>
  <c r="AA1556" i="1"/>
  <c r="AA1557" i="1" s="1"/>
  <c r="AB1554" i="1"/>
  <c r="AB1555" i="1" s="1"/>
  <c r="AA1554" i="1"/>
  <c r="AA1555" i="1" s="1"/>
  <c r="AB1552" i="1"/>
  <c r="AB1553" i="1" s="1"/>
  <c r="AA1552" i="1"/>
  <c r="AA1553" i="1" s="1"/>
  <c r="AB1550" i="1"/>
  <c r="AB1551" i="1" s="1"/>
  <c r="AA1550" i="1"/>
  <c r="AA1551" i="1" s="1"/>
  <c r="AB1548" i="1"/>
  <c r="AB1549" i="1" s="1"/>
  <c r="AA1548" i="1"/>
  <c r="AA1549" i="1" s="1"/>
  <c r="AB1546" i="1"/>
  <c r="AB1547" i="1" s="1"/>
  <c r="AA1546" i="1"/>
  <c r="AA1547" i="1" s="1"/>
  <c r="AB1544" i="1"/>
  <c r="AB1545" i="1" s="1"/>
  <c r="AA1544" i="1"/>
  <c r="AA1545" i="1" s="1"/>
  <c r="AB1542" i="1"/>
  <c r="AB1543" i="1" s="1"/>
  <c r="AA1542" i="1"/>
  <c r="AA1543" i="1" s="1"/>
  <c r="AB1540" i="1"/>
  <c r="AB1541" i="1" s="1"/>
  <c r="AA1540" i="1"/>
  <c r="AA1541" i="1" s="1"/>
  <c r="AB1538" i="1"/>
  <c r="AB1539" i="1" s="1"/>
  <c r="AA1538" i="1"/>
  <c r="AA1539" i="1" s="1"/>
  <c r="AB1536" i="1"/>
  <c r="AB1537" i="1" s="1"/>
  <c r="AA1536" i="1"/>
  <c r="AA1537" i="1" s="1"/>
  <c r="AB1534" i="1"/>
  <c r="AB1535" i="1" s="1"/>
  <c r="AA1534" i="1"/>
  <c r="AA1535" i="1" s="1"/>
  <c r="AB1532" i="1"/>
  <c r="AB1533" i="1" s="1"/>
  <c r="AA1532" i="1"/>
  <c r="AA1533" i="1" s="1"/>
  <c r="AB1530" i="1"/>
  <c r="AB1531" i="1" s="1"/>
  <c r="AA1530" i="1"/>
  <c r="AA1531" i="1" s="1"/>
  <c r="AB1528" i="1"/>
  <c r="AB1529" i="1" s="1"/>
  <c r="AA1528" i="1"/>
  <c r="AA1529" i="1" s="1"/>
  <c r="AB1526" i="1"/>
  <c r="AB1527" i="1" s="1"/>
  <c r="AA1526" i="1"/>
  <c r="AA1527" i="1" s="1"/>
  <c r="AB1524" i="1"/>
  <c r="AB1525" i="1" s="1"/>
  <c r="AA1524" i="1"/>
  <c r="AA1525" i="1" s="1"/>
  <c r="AB1522" i="1"/>
  <c r="AB1523" i="1" s="1"/>
  <c r="AA1522" i="1"/>
  <c r="AA1523" i="1" s="1"/>
  <c r="AB1520" i="1"/>
  <c r="AB1521" i="1" s="1"/>
  <c r="AA1520" i="1"/>
  <c r="AA1521" i="1" s="1"/>
  <c r="AB1518" i="1"/>
  <c r="AB1519" i="1" s="1"/>
  <c r="AA1518" i="1"/>
  <c r="AA1519" i="1" s="1"/>
  <c r="AB1516" i="1"/>
  <c r="AB1517" i="1" s="1"/>
  <c r="AA1516" i="1"/>
  <c r="AA1517" i="1" s="1"/>
  <c r="AB1514" i="1"/>
  <c r="AB1515" i="1" s="1"/>
  <c r="AA1514" i="1"/>
  <c r="AA1515" i="1" s="1"/>
  <c r="AB1512" i="1"/>
  <c r="AB1513" i="1" s="1"/>
  <c r="AA1512" i="1"/>
  <c r="AA1513" i="1" s="1"/>
  <c r="AB1510" i="1"/>
  <c r="AB1511" i="1" s="1"/>
  <c r="AA1510" i="1"/>
  <c r="AA1511" i="1" s="1"/>
  <c r="AB1508" i="1"/>
  <c r="AB1509" i="1" s="1"/>
  <c r="AA1508" i="1"/>
  <c r="AA1509" i="1" s="1"/>
  <c r="AB1506" i="1"/>
  <c r="AB1507" i="1" s="1"/>
  <c r="AA1506" i="1"/>
  <c r="AA1507" i="1" s="1"/>
  <c r="AB1504" i="1"/>
  <c r="AB1505" i="1" s="1"/>
  <c r="AA1504" i="1"/>
  <c r="AA1505" i="1" s="1"/>
  <c r="AB1502" i="1"/>
  <c r="AB1503" i="1" s="1"/>
  <c r="AA1502" i="1"/>
  <c r="AA1503" i="1" s="1"/>
  <c r="AB1500" i="1"/>
  <c r="AB1501" i="1" s="1"/>
  <c r="AA1500" i="1"/>
  <c r="AA1501" i="1" s="1"/>
  <c r="AB1498" i="1"/>
  <c r="AB1499" i="1" s="1"/>
  <c r="AA1498" i="1"/>
  <c r="AA1499" i="1" s="1"/>
  <c r="AB1496" i="1"/>
  <c r="AB1497" i="1" s="1"/>
  <c r="AA1496" i="1"/>
  <c r="AA1497" i="1" s="1"/>
  <c r="AB1494" i="1"/>
  <c r="AB1495" i="1" s="1"/>
  <c r="AA1494" i="1"/>
  <c r="AA1495" i="1" s="1"/>
  <c r="AB1492" i="1"/>
  <c r="AB1493" i="1" s="1"/>
  <c r="AA1492" i="1"/>
  <c r="AA1493" i="1" s="1"/>
  <c r="AB1490" i="1"/>
  <c r="AB1491" i="1" s="1"/>
  <c r="AA1490" i="1"/>
  <c r="AA1491" i="1" s="1"/>
  <c r="AB1488" i="1"/>
  <c r="AB1489" i="1" s="1"/>
  <c r="AA1488" i="1"/>
  <c r="AA1489" i="1" s="1"/>
  <c r="AB1486" i="1"/>
  <c r="AB1487" i="1" s="1"/>
  <c r="AA1486" i="1"/>
  <c r="AA1487" i="1" s="1"/>
  <c r="AB1484" i="1"/>
  <c r="AB1485" i="1" s="1"/>
  <c r="AA1484" i="1"/>
  <c r="AA1485" i="1" s="1"/>
  <c r="AB1482" i="1"/>
  <c r="AB1483" i="1" s="1"/>
  <c r="AA1482" i="1"/>
  <c r="AA1483" i="1" s="1"/>
  <c r="AB1480" i="1"/>
  <c r="AB1481" i="1" s="1"/>
  <c r="AA1480" i="1"/>
  <c r="AA1481" i="1" s="1"/>
  <c r="AB1478" i="1"/>
  <c r="AB1479" i="1" s="1"/>
  <c r="AA1478" i="1"/>
  <c r="AA1479" i="1" s="1"/>
  <c r="AB1476" i="1"/>
  <c r="AB1477" i="1" s="1"/>
  <c r="AA1476" i="1"/>
  <c r="AA1477" i="1" s="1"/>
  <c r="AB1474" i="1"/>
  <c r="AB1475" i="1" s="1"/>
  <c r="AA1474" i="1"/>
  <c r="AA1475" i="1" s="1"/>
  <c r="AB1472" i="1"/>
  <c r="AB1473" i="1" s="1"/>
  <c r="AA1472" i="1"/>
  <c r="AA1473" i="1" s="1"/>
  <c r="AB1470" i="1"/>
  <c r="AB1471" i="1" s="1"/>
  <c r="AA1470" i="1"/>
  <c r="AA1471" i="1" s="1"/>
  <c r="AB1468" i="1"/>
  <c r="AB1469" i="1" s="1"/>
  <c r="AA1468" i="1"/>
  <c r="AA1469" i="1" s="1"/>
  <c r="AB1466" i="1"/>
  <c r="AB1467" i="1" s="1"/>
  <c r="AA1466" i="1"/>
  <c r="AA1467" i="1" s="1"/>
  <c r="AB1464" i="1"/>
  <c r="AB1465" i="1" s="1"/>
  <c r="AA1464" i="1"/>
  <c r="AA1465" i="1" s="1"/>
  <c r="AB1462" i="1"/>
  <c r="AB1463" i="1" s="1"/>
  <c r="AA1462" i="1"/>
  <c r="AA1463" i="1" s="1"/>
  <c r="AB1460" i="1"/>
  <c r="AB1461" i="1" s="1"/>
  <c r="AA1460" i="1"/>
  <c r="AA1461" i="1" s="1"/>
  <c r="AB1458" i="1"/>
  <c r="AB1459" i="1" s="1"/>
  <c r="AA1458" i="1"/>
  <c r="AA1459" i="1" s="1"/>
  <c r="AB1456" i="1"/>
  <c r="AB1457" i="1" s="1"/>
  <c r="AA1456" i="1"/>
  <c r="AA1457" i="1" s="1"/>
  <c r="AB1454" i="1"/>
  <c r="AB1455" i="1" s="1"/>
  <c r="AA1454" i="1"/>
  <c r="AA1455" i="1" s="1"/>
  <c r="AB1452" i="1"/>
  <c r="AB1453" i="1" s="1"/>
  <c r="AA1452" i="1"/>
  <c r="AA1453" i="1" s="1"/>
  <c r="AB1450" i="1"/>
  <c r="AB1451" i="1" s="1"/>
  <c r="AA1450" i="1"/>
  <c r="AA1451" i="1" s="1"/>
  <c r="AB1448" i="1"/>
  <c r="AB1449" i="1" s="1"/>
  <c r="AA1448" i="1"/>
  <c r="AA1449" i="1" s="1"/>
  <c r="AB1446" i="1"/>
  <c r="AB1447" i="1" s="1"/>
  <c r="AA1446" i="1"/>
  <c r="AA1447" i="1" s="1"/>
  <c r="AB1444" i="1"/>
  <c r="AB1445" i="1" s="1"/>
  <c r="AA1444" i="1"/>
  <c r="AA1445" i="1" s="1"/>
  <c r="AB1442" i="1"/>
  <c r="AB1443" i="1" s="1"/>
  <c r="AA1442" i="1"/>
  <c r="AA1443" i="1" s="1"/>
  <c r="AB1440" i="1"/>
  <c r="AB1441" i="1" s="1"/>
  <c r="AA1440" i="1"/>
  <c r="AA1441" i="1" s="1"/>
  <c r="AB1438" i="1"/>
  <c r="AB1439" i="1" s="1"/>
  <c r="AA1438" i="1"/>
  <c r="AA1439" i="1" s="1"/>
  <c r="AB1436" i="1"/>
  <c r="AB1437" i="1" s="1"/>
  <c r="AA1436" i="1"/>
  <c r="AA1437" i="1" s="1"/>
  <c r="AB1434" i="1"/>
  <c r="AB1435" i="1" s="1"/>
  <c r="AA1434" i="1"/>
  <c r="AA1435" i="1" s="1"/>
  <c r="AB1432" i="1"/>
  <c r="AB1433" i="1" s="1"/>
  <c r="AA1432" i="1"/>
  <c r="AA1433" i="1" s="1"/>
  <c r="AB1430" i="1"/>
  <c r="AB1431" i="1" s="1"/>
  <c r="AA1430" i="1"/>
  <c r="AA1431" i="1" s="1"/>
  <c r="AB1428" i="1"/>
  <c r="AB1429" i="1" s="1"/>
  <c r="AA1428" i="1"/>
  <c r="AA1429" i="1" s="1"/>
  <c r="AB1426" i="1"/>
  <c r="AB1427" i="1" s="1"/>
  <c r="AA1426" i="1"/>
  <c r="AA1427" i="1" s="1"/>
  <c r="AB1424" i="1"/>
  <c r="AB1425" i="1" s="1"/>
  <c r="AA1424" i="1"/>
  <c r="AA1425" i="1" s="1"/>
  <c r="AB1422" i="1"/>
  <c r="AB1423" i="1" s="1"/>
  <c r="AA1422" i="1"/>
  <c r="AA1423" i="1" s="1"/>
  <c r="AB1420" i="1"/>
  <c r="AB1421" i="1" s="1"/>
  <c r="AA1420" i="1"/>
  <c r="AA1421" i="1" s="1"/>
  <c r="AB1418" i="1"/>
  <c r="AB1419" i="1" s="1"/>
  <c r="AA1418" i="1"/>
  <c r="AA1419" i="1" s="1"/>
  <c r="AB1416" i="1"/>
  <c r="AB1417" i="1" s="1"/>
  <c r="AA1416" i="1"/>
  <c r="AA1417" i="1" s="1"/>
  <c r="AB1414" i="1"/>
  <c r="AB1415" i="1" s="1"/>
  <c r="AA1414" i="1"/>
  <c r="AA1415" i="1" s="1"/>
  <c r="AB1412" i="1"/>
  <c r="AB1413" i="1" s="1"/>
  <c r="AA1412" i="1"/>
  <c r="AA1413" i="1" s="1"/>
  <c r="AB1410" i="1"/>
  <c r="AB1411" i="1" s="1"/>
  <c r="AA1410" i="1"/>
  <c r="AA1411" i="1" s="1"/>
  <c r="AB1408" i="1"/>
  <c r="AB1409" i="1" s="1"/>
  <c r="AA1408" i="1"/>
  <c r="AA1409" i="1" s="1"/>
  <c r="AB1406" i="1"/>
  <c r="AB1407" i="1" s="1"/>
  <c r="AA1406" i="1"/>
  <c r="AA1407" i="1" s="1"/>
  <c r="AB1404" i="1"/>
  <c r="AB1405" i="1" s="1"/>
  <c r="AA1404" i="1"/>
  <c r="AA1405" i="1" s="1"/>
  <c r="AB1402" i="1"/>
  <c r="AB1403" i="1" s="1"/>
  <c r="AA1402" i="1"/>
  <c r="AA1403" i="1" s="1"/>
  <c r="AB1400" i="1"/>
  <c r="AB1401" i="1" s="1"/>
  <c r="AA1400" i="1"/>
  <c r="AA1401" i="1" s="1"/>
  <c r="AB1398" i="1"/>
  <c r="AB1399" i="1" s="1"/>
  <c r="AA1398" i="1"/>
  <c r="AA1399" i="1" s="1"/>
  <c r="AB1396" i="1"/>
  <c r="AB1397" i="1" s="1"/>
  <c r="AA1396" i="1"/>
  <c r="AA1397" i="1" s="1"/>
  <c r="AB1394" i="1"/>
  <c r="AB1395" i="1" s="1"/>
  <c r="AA1394" i="1"/>
  <c r="AA1395" i="1" s="1"/>
  <c r="AB1392" i="1"/>
  <c r="AB1393" i="1" s="1"/>
  <c r="AA1392" i="1"/>
  <c r="AA1393" i="1" s="1"/>
  <c r="AB1390" i="1"/>
  <c r="AB1391" i="1" s="1"/>
  <c r="AA1390" i="1"/>
  <c r="AA1391" i="1" s="1"/>
  <c r="AB1388" i="1"/>
  <c r="AB1389" i="1" s="1"/>
  <c r="AA1388" i="1"/>
  <c r="AA1389" i="1" s="1"/>
  <c r="AB1386" i="1"/>
  <c r="AB1387" i="1" s="1"/>
  <c r="AA1386" i="1"/>
  <c r="AA1387" i="1" s="1"/>
  <c r="AB1384" i="1"/>
  <c r="AB1385" i="1" s="1"/>
  <c r="AA1384" i="1"/>
  <c r="AA1385" i="1" s="1"/>
  <c r="AB1382" i="1"/>
  <c r="AB1383" i="1" s="1"/>
  <c r="AA1382" i="1"/>
  <c r="AA1383" i="1" s="1"/>
  <c r="AB1380" i="1"/>
  <c r="AB1381" i="1" s="1"/>
  <c r="AA1380" i="1"/>
  <c r="AA1381" i="1" s="1"/>
  <c r="AB1378" i="1"/>
  <c r="AB1379" i="1" s="1"/>
  <c r="AA1378" i="1"/>
  <c r="AA1379" i="1" s="1"/>
  <c r="AB1376" i="1"/>
  <c r="AB1377" i="1" s="1"/>
  <c r="AA1376" i="1"/>
  <c r="AA1377" i="1" s="1"/>
  <c r="AB1374" i="1"/>
  <c r="AB1375" i="1" s="1"/>
  <c r="AA1374" i="1"/>
  <c r="AA1375" i="1" s="1"/>
  <c r="AB1372" i="1"/>
  <c r="AB1373" i="1" s="1"/>
  <c r="AA1372" i="1"/>
  <c r="AA1373" i="1" s="1"/>
  <c r="AB1370" i="1"/>
  <c r="AB1371" i="1" s="1"/>
  <c r="AA1370" i="1"/>
  <c r="AA1371" i="1" s="1"/>
  <c r="AB1368" i="1"/>
  <c r="AB1369" i="1" s="1"/>
  <c r="AA1368" i="1"/>
  <c r="AA1369" i="1" s="1"/>
  <c r="AB1366" i="1"/>
  <c r="AB1367" i="1" s="1"/>
  <c r="AA1366" i="1"/>
  <c r="AA1367" i="1" s="1"/>
  <c r="AB1364" i="1"/>
  <c r="AB1365" i="1" s="1"/>
  <c r="AA1364" i="1"/>
  <c r="AA1365" i="1" s="1"/>
  <c r="AB1362" i="1"/>
  <c r="AB1363" i="1" s="1"/>
  <c r="AA1362" i="1"/>
  <c r="AA1363" i="1" s="1"/>
  <c r="AB1360" i="1"/>
  <c r="AB1361" i="1" s="1"/>
  <c r="AA1360" i="1"/>
  <c r="AA1361" i="1" s="1"/>
  <c r="AB1358" i="1"/>
  <c r="AB1359" i="1" s="1"/>
  <c r="AA1358" i="1"/>
  <c r="AA1359" i="1" s="1"/>
  <c r="AB1356" i="1"/>
  <c r="AB1357" i="1" s="1"/>
  <c r="AA1356" i="1"/>
  <c r="AA1357" i="1" s="1"/>
  <c r="AB1354" i="1"/>
  <c r="AB1355" i="1" s="1"/>
  <c r="AA1354" i="1"/>
  <c r="AA1355" i="1" s="1"/>
  <c r="AB1352" i="1"/>
  <c r="AB1353" i="1" s="1"/>
  <c r="AA1352" i="1"/>
  <c r="AA1353" i="1" s="1"/>
  <c r="AB1350" i="1"/>
  <c r="AB1351" i="1" s="1"/>
  <c r="AA1350" i="1"/>
  <c r="AA1351" i="1" s="1"/>
  <c r="AB1348" i="1"/>
  <c r="AB1349" i="1" s="1"/>
  <c r="AA1348" i="1"/>
  <c r="AA1349" i="1" s="1"/>
  <c r="AB1346" i="1"/>
  <c r="AB1347" i="1" s="1"/>
  <c r="AA1346" i="1"/>
  <c r="AA1347" i="1" s="1"/>
  <c r="AB1344" i="1"/>
  <c r="AB1345" i="1" s="1"/>
  <c r="AA1344" i="1"/>
  <c r="AA1345" i="1" s="1"/>
  <c r="AB1342" i="1"/>
  <c r="AB1343" i="1" s="1"/>
  <c r="AA1342" i="1"/>
  <c r="AA1343" i="1" s="1"/>
  <c r="AB1340" i="1"/>
  <c r="AB1341" i="1" s="1"/>
  <c r="AA1340" i="1"/>
  <c r="AA1341" i="1" s="1"/>
  <c r="AB1338" i="1"/>
  <c r="AB1339" i="1" s="1"/>
  <c r="AA1338" i="1"/>
  <c r="AA1339" i="1" s="1"/>
  <c r="AB1336" i="1"/>
  <c r="AB1337" i="1" s="1"/>
  <c r="AA1336" i="1"/>
  <c r="AA1337" i="1" s="1"/>
  <c r="AB1334" i="1"/>
  <c r="AB1335" i="1" s="1"/>
  <c r="AA1334" i="1"/>
  <c r="AA1335" i="1" s="1"/>
  <c r="AB1332" i="1"/>
  <c r="AB1333" i="1" s="1"/>
  <c r="AA1332" i="1"/>
  <c r="AA1333" i="1" s="1"/>
  <c r="AB1330" i="1"/>
  <c r="AB1331" i="1" s="1"/>
  <c r="AA1330" i="1"/>
  <c r="AA1331" i="1" s="1"/>
  <c r="AB1328" i="1"/>
  <c r="AB1329" i="1" s="1"/>
  <c r="AA1328" i="1"/>
  <c r="AA1329" i="1" s="1"/>
  <c r="AB1326" i="1"/>
  <c r="AB1327" i="1" s="1"/>
  <c r="AA1326" i="1"/>
  <c r="AA1327" i="1" s="1"/>
  <c r="AB1324" i="1"/>
  <c r="AB1325" i="1" s="1"/>
  <c r="AA1324" i="1"/>
  <c r="AA1325" i="1" s="1"/>
  <c r="AB1322" i="1"/>
  <c r="AB1323" i="1" s="1"/>
  <c r="AA1322" i="1"/>
  <c r="AA1323" i="1" s="1"/>
  <c r="AB1320" i="1"/>
  <c r="AB1321" i="1" s="1"/>
  <c r="AA1320" i="1"/>
  <c r="AA1321" i="1" s="1"/>
  <c r="AB1318" i="1"/>
  <c r="AB1319" i="1" s="1"/>
  <c r="AA1318" i="1"/>
  <c r="AA1319" i="1" s="1"/>
  <c r="AB1316" i="1"/>
  <c r="AB1317" i="1" s="1"/>
  <c r="AA1316" i="1"/>
  <c r="AA1317" i="1" s="1"/>
  <c r="AB1314" i="1"/>
  <c r="AB1315" i="1" s="1"/>
  <c r="AA1314" i="1"/>
  <c r="AA1315" i="1" s="1"/>
  <c r="AB1312" i="1"/>
  <c r="AB1313" i="1" s="1"/>
  <c r="AA1312" i="1"/>
  <c r="AA1313" i="1" s="1"/>
  <c r="AB1310" i="1"/>
  <c r="AB1311" i="1" s="1"/>
  <c r="AA1310" i="1"/>
  <c r="AA1311" i="1" s="1"/>
  <c r="AB1308" i="1"/>
  <c r="AB1309" i="1" s="1"/>
  <c r="AA1308" i="1"/>
  <c r="AA1309" i="1" s="1"/>
  <c r="AB1306" i="1"/>
  <c r="AB1307" i="1" s="1"/>
  <c r="AA1306" i="1"/>
  <c r="AA1307" i="1" s="1"/>
  <c r="AB1304" i="1"/>
  <c r="AB1305" i="1" s="1"/>
  <c r="AA1304" i="1"/>
  <c r="AA1305" i="1" s="1"/>
  <c r="AB1302" i="1"/>
  <c r="AB1303" i="1" s="1"/>
  <c r="AA1302" i="1"/>
  <c r="AA1303" i="1" s="1"/>
  <c r="AB1300" i="1"/>
  <c r="AB1301" i="1" s="1"/>
  <c r="AA1300" i="1"/>
  <c r="AA1301" i="1" s="1"/>
  <c r="AB1298" i="1"/>
  <c r="AB1299" i="1" s="1"/>
  <c r="AA1298" i="1"/>
  <c r="AA1299" i="1" s="1"/>
  <c r="AB1296" i="1"/>
  <c r="AB1297" i="1" s="1"/>
  <c r="AA1296" i="1"/>
  <c r="AA1297" i="1" s="1"/>
  <c r="AB1294" i="1"/>
  <c r="AB1295" i="1" s="1"/>
  <c r="AA1294" i="1"/>
  <c r="AA1295" i="1" s="1"/>
  <c r="AB1292" i="1"/>
  <c r="AB1293" i="1" s="1"/>
  <c r="AA1292" i="1"/>
  <c r="AA1293" i="1" s="1"/>
  <c r="AB1290" i="1"/>
  <c r="AB1291" i="1" s="1"/>
  <c r="AA1290" i="1"/>
  <c r="AA1291" i="1" s="1"/>
  <c r="AB1288" i="1"/>
  <c r="AB1289" i="1" s="1"/>
  <c r="AA1288" i="1"/>
  <c r="AA1289" i="1" s="1"/>
  <c r="AB1286" i="1"/>
  <c r="AB1287" i="1" s="1"/>
  <c r="AA1286" i="1"/>
  <c r="AA1287" i="1" s="1"/>
  <c r="AB1284" i="1"/>
  <c r="AB1285" i="1" s="1"/>
  <c r="AA1284" i="1"/>
  <c r="AA1285" i="1" s="1"/>
  <c r="AB1282" i="1"/>
  <c r="AB1283" i="1" s="1"/>
  <c r="AA1282" i="1"/>
  <c r="AA1283" i="1" s="1"/>
  <c r="AB1280" i="1"/>
  <c r="AB1281" i="1" s="1"/>
  <c r="AA1280" i="1"/>
  <c r="AA1281" i="1" s="1"/>
  <c r="AB1278" i="1"/>
  <c r="AB1279" i="1" s="1"/>
  <c r="AA1278" i="1"/>
  <c r="AA1279" i="1" s="1"/>
  <c r="AB1276" i="1"/>
  <c r="AB1277" i="1" s="1"/>
  <c r="AA1276" i="1"/>
  <c r="AA1277" i="1" s="1"/>
  <c r="AB1274" i="1"/>
  <c r="AB1275" i="1" s="1"/>
  <c r="AA1274" i="1"/>
  <c r="AA1275" i="1" s="1"/>
  <c r="AB1272" i="1"/>
  <c r="AB1273" i="1" s="1"/>
  <c r="AA1272" i="1"/>
  <c r="AA1273" i="1" s="1"/>
  <c r="AB1270" i="1"/>
  <c r="AB1271" i="1" s="1"/>
  <c r="AA1270" i="1"/>
  <c r="AA1271" i="1" s="1"/>
  <c r="AB1268" i="1"/>
  <c r="AB1269" i="1" s="1"/>
  <c r="AA1268" i="1"/>
  <c r="AA1269" i="1" s="1"/>
  <c r="AB1266" i="1"/>
  <c r="AB1267" i="1" s="1"/>
  <c r="AA1266" i="1"/>
  <c r="AA1267" i="1" s="1"/>
  <c r="AB1264" i="1"/>
  <c r="AB1265" i="1" s="1"/>
  <c r="AA1264" i="1"/>
  <c r="AA1265" i="1" s="1"/>
  <c r="AB1262" i="1"/>
  <c r="AB1263" i="1" s="1"/>
  <c r="AA1262" i="1"/>
  <c r="AA1263" i="1" s="1"/>
  <c r="AB1260" i="1"/>
  <c r="AB1261" i="1" s="1"/>
  <c r="AA1260" i="1"/>
  <c r="AA1261" i="1" s="1"/>
  <c r="AB1258" i="1"/>
  <c r="AB1259" i="1" s="1"/>
  <c r="AA1258" i="1"/>
  <c r="AA1259" i="1" s="1"/>
  <c r="AB1256" i="1"/>
  <c r="AB1257" i="1" s="1"/>
  <c r="AA1256" i="1"/>
  <c r="AA1257" i="1" s="1"/>
  <c r="AB1254" i="1"/>
  <c r="AB1255" i="1" s="1"/>
  <c r="AA1254" i="1"/>
  <c r="AA1255" i="1" s="1"/>
  <c r="AB1252" i="1"/>
  <c r="AB1253" i="1" s="1"/>
  <c r="AA1252" i="1"/>
  <c r="AA1253" i="1" s="1"/>
  <c r="AB1250" i="1"/>
  <c r="AB1251" i="1" s="1"/>
  <c r="AA1250" i="1"/>
  <c r="AA1251" i="1" s="1"/>
  <c r="AB1248" i="1"/>
  <c r="AB1249" i="1" s="1"/>
  <c r="AA1248" i="1"/>
  <c r="AA1249" i="1" s="1"/>
  <c r="AB1246" i="1"/>
  <c r="AB1247" i="1" s="1"/>
  <c r="AA1246" i="1"/>
  <c r="AA1247" i="1" s="1"/>
  <c r="AB1244" i="1"/>
  <c r="AB1245" i="1" s="1"/>
  <c r="AA1244" i="1"/>
  <c r="AA1245" i="1" s="1"/>
  <c r="AB1242" i="1"/>
  <c r="AB1243" i="1" s="1"/>
  <c r="AA1242" i="1"/>
  <c r="AA1243" i="1" s="1"/>
  <c r="AB1240" i="1"/>
  <c r="AB1241" i="1" s="1"/>
  <c r="AA1240" i="1"/>
  <c r="AA1241" i="1" s="1"/>
  <c r="AB1238" i="1"/>
  <c r="AB1239" i="1" s="1"/>
  <c r="AA1238" i="1"/>
  <c r="AA1239" i="1" s="1"/>
  <c r="AB1236" i="1"/>
  <c r="AB1237" i="1" s="1"/>
  <c r="AA1236" i="1"/>
  <c r="AA1237" i="1" s="1"/>
  <c r="AB1234" i="1"/>
  <c r="AB1235" i="1" s="1"/>
  <c r="AA1234" i="1"/>
  <c r="AA1235" i="1" s="1"/>
  <c r="AB1232" i="1"/>
  <c r="AB1233" i="1" s="1"/>
  <c r="AA1232" i="1"/>
  <c r="AA1233" i="1" s="1"/>
  <c r="AB1230" i="1"/>
  <c r="AB1231" i="1" s="1"/>
  <c r="AA1230" i="1"/>
  <c r="AA1231" i="1" s="1"/>
  <c r="AB1228" i="1"/>
  <c r="AB1229" i="1" s="1"/>
  <c r="AA1228" i="1"/>
  <c r="AA1229" i="1" s="1"/>
  <c r="AB1226" i="1"/>
  <c r="AB1227" i="1" s="1"/>
  <c r="AA1226" i="1"/>
  <c r="AA1227" i="1" s="1"/>
  <c r="AB1224" i="1"/>
  <c r="AB1225" i="1" s="1"/>
  <c r="AA1224" i="1"/>
  <c r="AA1225" i="1" s="1"/>
  <c r="AB1222" i="1"/>
  <c r="AB1223" i="1" s="1"/>
  <c r="AA1222" i="1"/>
  <c r="AA1223" i="1" s="1"/>
  <c r="AB1220" i="1"/>
  <c r="AB1221" i="1" s="1"/>
  <c r="AA1220" i="1"/>
  <c r="AA1221" i="1" s="1"/>
  <c r="AB1218" i="1"/>
  <c r="AB1219" i="1" s="1"/>
  <c r="AA1218" i="1"/>
  <c r="AA1219" i="1" s="1"/>
  <c r="AB1216" i="1"/>
  <c r="AB1217" i="1" s="1"/>
  <c r="AA1216" i="1"/>
  <c r="AA1217" i="1" s="1"/>
  <c r="AB1214" i="1"/>
  <c r="AB1215" i="1" s="1"/>
  <c r="AA1214" i="1"/>
  <c r="AA1215" i="1" s="1"/>
  <c r="AB1212" i="1"/>
  <c r="AB1213" i="1" s="1"/>
  <c r="AA1212" i="1"/>
  <c r="AA1213" i="1" s="1"/>
  <c r="AB1210" i="1"/>
  <c r="AB1211" i="1" s="1"/>
  <c r="AA1210" i="1"/>
  <c r="AA1211" i="1" s="1"/>
  <c r="AB1208" i="1"/>
  <c r="AB1209" i="1" s="1"/>
  <c r="AA1208" i="1"/>
  <c r="AA1209" i="1" s="1"/>
  <c r="AB1206" i="1"/>
  <c r="AB1207" i="1" s="1"/>
  <c r="AA1206" i="1"/>
  <c r="AA1207" i="1" s="1"/>
  <c r="AB1204" i="1"/>
  <c r="AB1205" i="1" s="1"/>
  <c r="AA1204" i="1"/>
  <c r="AA1205" i="1" s="1"/>
  <c r="AB1202" i="1"/>
  <c r="AB1203" i="1" s="1"/>
  <c r="AA1202" i="1"/>
  <c r="AA1203" i="1" s="1"/>
  <c r="AB1200" i="1"/>
  <c r="AB1201" i="1" s="1"/>
  <c r="AA1200" i="1"/>
  <c r="AA1201" i="1" s="1"/>
  <c r="AB1198" i="1"/>
  <c r="AB1199" i="1" s="1"/>
  <c r="AA1198" i="1"/>
  <c r="AA1199" i="1" s="1"/>
  <c r="AB1196" i="1"/>
  <c r="AB1197" i="1" s="1"/>
  <c r="AA1196" i="1"/>
  <c r="AA1197" i="1" s="1"/>
  <c r="AB1194" i="1"/>
  <c r="AB1195" i="1" s="1"/>
  <c r="AA1194" i="1"/>
  <c r="AA1195" i="1" s="1"/>
  <c r="AB1192" i="1"/>
  <c r="AB1193" i="1" s="1"/>
  <c r="AA1192" i="1"/>
  <c r="AA1193" i="1" s="1"/>
  <c r="AB1190" i="1"/>
  <c r="AB1191" i="1" s="1"/>
  <c r="AA1190" i="1"/>
  <c r="AA1191" i="1" s="1"/>
  <c r="AB1188" i="1"/>
  <c r="AB1189" i="1" s="1"/>
  <c r="AA1188" i="1"/>
  <c r="AA1189" i="1" s="1"/>
  <c r="AB1186" i="1"/>
  <c r="AB1187" i="1" s="1"/>
  <c r="AA1186" i="1"/>
  <c r="AA1187" i="1" s="1"/>
  <c r="AB1184" i="1"/>
  <c r="AB1185" i="1" s="1"/>
  <c r="AA1184" i="1"/>
  <c r="AA1185" i="1" s="1"/>
  <c r="AB1182" i="1"/>
  <c r="AB1183" i="1" s="1"/>
  <c r="AA1182" i="1"/>
  <c r="AA1183" i="1" s="1"/>
  <c r="AB1180" i="1"/>
  <c r="AB1181" i="1" s="1"/>
  <c r="AA1180" i="1"/>
  <c r="AA1181" i="1" s="1"/>
  <c r="AB1178" i="1"/>
  <c r="AB1179" i="1" s="1"/>
  <c r="AA1178" i="1"/>
  <c r="AA1179" i="1" s="1"/>
  <c r="AB1176" i="1"/>
  <c r="AB1177" i="1" s="1"/>
  <c r="AA1176" i="1"/>
  <c r="AA1177" i="1" s="1"/>
  <c r="AB1174" i="1"/>
  <c r="AB1175" i="1" s="1"/>
  <c r="AA1174" i="1"/>
  <c r="AA1175" i="1" s="1"/>
  <c r="AB1172" i="1"/>
  <c r="AB1173" i="1" s="1"/>
  <c r="AA1172" i="1"/>
  <c r="AA1173" i="1" s="1"/>
  <c r="AB1170" i="1"/>
  <c r="AB1171" i="1" s="1"/>
  <c r="AA1170" i="1"/>
  <c r="AA1171" i="1" s="1"/>
  <c r="AB1168" i="1"/>
  <c r="AB1169" i="1" s="1"/>
  <c r="AA1168" i="1"/>
  <c r="AA1169" i="1" s="1"/>
  <c r="AB1166" i="1"/>
  <c r="AB1167" i="1" s="1"/>
  <c r="AA1166" i="1"/>
  <c r="AA1167" i="1" s="1"/>
  <c r="AB1164" i="1"/>
  <c r="AB1165" i="1" s="1"/>
  <c r="AA1164" i="1"/>
  <c r="AA1165" i="1" s="1"/>
  <c r="AB1162" i="1"/>
  <c r="AB1163" i="1" s="1"/>
  <c r="AA1162" i="1"/>
  <c r="AA1163" i="1" s="1"/>
  <c r="AB1160" i="1"/>
  <c r="AB1161" i="1" s="1"/>
  <c r="AA1160" i="1"/>
  <c r="AA1161" i="1" s="1"/>
  <c r="AB1158" i="1"/>
  <c r="AB1159" i="1" s="1"/>
  <c r="AA1158" i="1"/>
  <c r="AA1159" i="1" s="1"/>
  <c r="AB1156" i="1"/>
  <c r="AB1157" i="1" s="1"/>
  <c r="AA1156" i="1"/>
  <c r="AA1157" i="1" s="1"/>
  <c r="AB1154" i="1"/>
  <c r="AB1155" i="1" s="1"/>
  <c r="AA1154" i="1"/>
  <c r="AA1155" i="1" s="1"/>
  <c r="AB1152" i="1"/>
  <c r="AB1153" i="1" s="1"/>
  <c r="AA1152" i="1"/>
  <c r="AA1153" i="1" s="1"/>
  <c r="AB1150" i="1"/>
  <c r="AB1151" i="1" s="1"/>
  <c r="AA1150" i="1"/>
  <c r="AA1151" i="1" s="1"/>
  <c r="AB1148" i="1"/>
  <c r="AB1149" i="1" s="1"/>
  <c r="AA1148" i="1"/>
  <c r="AA1149" i="1" s="1"/>
  <c r="AB1146" i="1"/>
  <c r="AB1147" i="1" s="1"/>
  <c r="AA1146" i="1"/>
  <c r="AA1147" i="1" s="1"/>
  <c r="AB1144" i="1"/>
  <c r="AB1145" i="1" s="1"/>
  <c r="AA1144" i="1"/>
  <c r="AA1145" i="1" s="1"/>
  <c r="AB1142" i="1"/>
  <c r="AB1143" i="1" s="1"/>
  <c r="AA1142" i="1"/>
  <c r="AA1143" i="1" s="1"/>
  <c r="AB1140" i="1"/>
  <c r="AB1141" i="1" s="1"/>
  <c r="AA1140" i="1"/>
  <c r="AA1141" i="1" s="1"/>
  <c r="AB1138" i="1"/>
  <c r="AB1139" i="1" s="1"/>
  <c r="AA1138" i="1"/>
  <c r="AA1139" i="1" s="1"/>
  <c r="AB1136" i="1"/>
  <c r="AB1137" i="1" s="1"/>
  <c r="AA1136" i="1"/>
  <c r="AA1137" i="1" s="1"/>
  <c r="AB1134" i="1"/>
  <c r="AB1135" i="1" s="1"/>
  <c r="AA1134" i="1"/>
  <c r="AA1135" i="1" s="1"/>
  <c r="AB1132" i="1"/>
  <c r="AB1133" i="1" s="1"/>
  <c r="AA1132" i="1"/>
  <c r="AA1133" i="1" s="1"/>
  <c r="AB1130" i="1"/>
  <c r="AB1131" i="1" s="1"/>
  <c r="AA1130" i="1"/>
  <c r="AA1131" i="1" s="1"/>
  <c r="AB1128" i="1"/>
  <c r="AB1129" i="1" s="1"/>
  <c r="AA1128" i="1"/>
  <c r="AA1129" i="1" s="1"/>
  <c r="AB1126" i="1"/>
  <c r="AB1127" i="1" s="1"/>
  <c r="AA1126" i="1"/>
  <c r="AA1127" i="1" s="1"/>
  <c r="AB1124" i="1"/>
  <c r="AB1125" i="1" s="1"/>
  <c r="AA1124" i="1"/>
  <c r="AA1125" i="1" s="1"/>
  <c r="AB1122" i="1"/>
  <c r="AB1123" i="1" s="1"/>
  <c r="AA1122" i="1"/>
  <c r="AA1123" i="1" s="1"/>
  <c r="AB1120" i="1"/>
  <c r="AB1121" i="1" s="1"/>
  <c r="AA1120" i="1"/>
  <c r="AA1121" i="1" s="1"/>
  <c r="AB1118" i="1"/>
  <c r="AB1119" i="1" s="1"/>
  <c r="AA1118" i="1"/>
  <c r="AA1119" i="1" s="1"/>
  <c r="AB1116" i="1"/>
  <c r="AB1117" i="1" s="1"/>
  <c r="AA1116" i="1"/>
  <c r="AA1117" i="1" s="1"/>
  <c r="AB1114" i="1"/>
  <c r="AB1115" i="1" s="1"/>
  <c r="AA1114" i="1"/>
  <c r="AA1115" i="1" s="1"/>
  <c r="AB1112" i="1"/>
  <c r="AB1113" i="1" s="1"/>
  <c r="AA1112" i="1"/>
  <c r="AA1113" i="1" s="1"/>
  <c r="AB1110" i="1"/>
  <c r="AB1111" i="1" s="1"/>
  <c r="AA1110" i="1"/>
  <c r="AA1111" i="1" s="1"/>
  <c r="AB1108" i="1"/>
  <c r="AB1109" i="1" s="1"/>
  <c r="AA1108" i="1"/>
  <c r="AA1109" i="1" s="1"/>
  <c r="AB1106" i="1"/>
  <c r="AB1107" i="1" s="1"/>
  <c r="AA1106" i="1"/>
  <c r="AA1107" i="1" s="1"/>
  <c r="AB1104" i="1"/>
  <c r="AB1105" i="1" s="1"/>
  <c r="AA1104" i="1"/>
  <c r="AA1105" i="1" s="1"/>
  <c r="AB1102" i="1"/>
  <c r="AB1103" i="1" s="1"/>
  <c r="AA1102" i="1"/>
  <c r="AA1103" i="1" s="1"/>
  <c r="AB1100" i="1"/>
  <c r="AB1101" i="1" s="1"/>
  <c r="AA1100" i="1"/>
  <c r="AA1101" i="1" s="1"/>
  <c r="AB1098" i="1"/>
  <c r="AB1099" i="1" s="1"/>
  <c r="AA1098" i="1"/>
  <c r="AA1099" i="1" s="1"/>
  <c r="AB1096" i="1"/>
  <c r="AB1097" i="1" s="1"/>
  <c r="AA1096" i="1"/>
  <c r="AA1097" i="1" s="1"/>
  <c r="AB1094" i="1"/>
  <c r="AB1095" i="1" s="1"/>
  <c r="AA1094" i="1"/>
  <c r="AA1095" i="1" s="1"/>
  <c r="AB1092" i="1"/>
  <c r="AB1093" i="1" s="1"/>
  <c r="AA1092" i="1"/>
  <c r="AA1093" i="1" s="1"/>
  <c r="AB1090" i="1"/>
  <c r="AB1091" i="1" s="1"/>
  <c r="AA1090" i="1"/>
  <c r="AA1091" i="1" s="1"/>
  <c r="AB1088" i="1"/>
  <c r="AB1089" i="1" s="1"/>
  <c r="AA1088" i="1"/>
  <c r="AA1089" i="1" s="1"/>
  <c r="AB1086" i="1"/>
  <c r="AB1087" i="1" s="1"/>
  <c r="AA1086" i="1"/>
  <c r="AA1087" i="1" s="1"/>
  <c r="AB1084" i="1"/>
  <c r="AB1085" i="1" s="1"/>
  <c r="AA1084" i="1"/>
  <c r="AA1085" i="1" s="1"/>
  <c r="AB1082" i="1"/>
  <c r="AB1083" i="1" s="1"/>
  <c r="AA1082" i="1"/>
  <c r="AA1083" i="1" s="1"/>
  <c r="AB1080" i="1"/>
  <c r="AB1081" i="1" s="1"/>
  <c r="AA1080" i="1"/>
  <c r="AA1081" i="1" s="1"/>
  <c r="AB1078" i="1"/>
  <c r="AB1079" i="1" s="1"/>
  <c r="AA1078" i="1"/>
  <c r="AA1079" i="1" s="1"/>
  <c r="AB1076" i="1"/>
  <c r="AB1077" i="1" s="1"/>
  <c r="AA1076" i="1"/>
  <c r="AA1077" i="1" s="1"/>
  <c r="AB1074" i="1"/>
  <c r="AB1075" i="1" s="1"/>
  <c r="AA1074" i="1"/>
  <c r="AA1075" i="1" s="1"/>
  <c r="AB1072" i="1"/>
  <c r="AB1073" i="1" s="1"/>
  <c r="AA1072" i="1"/>
  <c r="AA1073" i="1" s="1"/>
  <c r="AB1070" i="1"/>
  <c r="AB1071" i="1" s="1"/>
  <c r="AA1070" i="1"/>
  <c r="AA1071" i="1" s="1"/>
  <c r="AB1068" i="1"/>
  <c r="AB1069" i="1" s="1"/>
  <c r="AA1068" i="1"/>
  <c r="AA1069" i="1" s="1"/>
  <c r="AB1066" i="1"/>
  <c r="AB1067" i="1" s="1"/>
  <c r="AA1066" i="1"/>
  <c r="AA1067" i="1" s="1"/>
  <c r="AB1064" i="1"/>
  <c r="AB1065" i="1" s="1"/>
  <c r="AA1064" i="1"/>
  <c r="AA1065" i="1" s="1"/>
  <c r="AB1062" i="1"/>
  <c r="AB1063" i="1" s="1"/>
  <c r="AA1062" i="1"/>
  <c r="AA1063" i="1" s="1"/>
  <c r="AB1060" i="1"/>
  <c r="AB1061" i="1" s="1"/>
  <c r="AA1060" i="1"/>
  <c r="AA1061" i="1" s="1"/>
  <c r="AB1058" i="1"/>
  <c r="AB1059" i="1" s="1"/>
  <c r="AA1058" i="1"/>
  <c r="AA1059" i="1" s="1"/>
  <c r="AB1056" i="1"/>
  <c r="AB1057" i="1" s="1"/>
  <c r="AA1056" i="1"/>
  <c r="AA1057" i="1" s="1"/>
  <c r="AB1054" i="1"/>
  <c r="AB1055" i="1" s="1"/>
  <c r="AA1054" i="1"/>
  <c r="AA1055" i="1" s="1"/>
  <c r="AB1052" i="1"/>
  <c r="AB1053" i="1" s="1"/>
  <c r="AA1052" i="1"/>
  <c r="AA1053" i="1" s="1"/>
  <c r="AB1050" i="1"/>
  <c r="AB1051" i="1" s="1"/>
  <c r="AA1050" i="1"/>
  <c r="AA1051" i="1" s="1"/>
  <c r="AB1048" i="1"/>
  <c r="AB1049" i="1" s="1"/>
  <c r="AA1048" i="1"/>
  <c r="AA1049" i="1" s="1"/>
  <c r="AB1046" i="1"/>
  <c r="AB1047" i="1" s="1"/>
  <c r="AA1046" i="1"/>
  <c r="AA1047" i="1" s="1"/>
  <c r="AB1044" i="1"/>
  <c r="AB1045" i="1" s="1"/>
  <c r="AA1044" i="1"/>
  <c r="AA1045" i="1" s="1"/>
  <c r="AB1042" i="1"/>
  <c r="AB1043" i="1" s="1"/>
  <c r="AA1042" i="1"/>
  <c r="AA1043" i="1" s="1"/>
  <c r="AB1040" i="1"/>
  <c r="AB1041" i="1" s="1"/>
  <c r="AA1040" i="1"/>
  <c r="AA1041" i="1" s="1"/>
  <c r="AB1038" i="1"/>
  <c r="AB1039" i="1" s="1"/>
  <c r="AA1038" i="1"/>
  <c r="AA1039" i="1" s="1"/>
  <c r="AB1036" i="1"/>
  <c r="AB1037" i="1" s="1"/>
  <c r="AA1036" i="1"/>
  <c r="AA1037" i="1" s="1"/>
  <c r="AB1034" i="1"/>
  <c r="AB1035" i="1" s="1"/>
  <c r="AA1034" i="1"/>
  <c r="AA1035" i="1" s="1"/>
  <c r="AB1032" i="1"/>
  <c r="AB1033" i="1" s="1"/>
  <c r="AA1032" i="1"/>
  <c r="AA1033" i="1" s="1"/>
  <c r="AB1030" i="1"/>
  <c r="AB1031" i="1" s="1"/>
  <c r="AA1030" i="1"/>
  <c r="AA1031" i="1" s="1"/>
  <c r="AB1028" i="1"/>
  <c r="AB1029" i="1" s="1"/>
  <c r="AA1028" i="1"/>
  <c r="AA1029" i="1" s="1"/>
  <c r="AB1026" i="1"/>
  <c r="AB1027" i="1" s="1"/>
  <c r="AA1026" i="1"/>
  <c r="AA1027" i="1" s="1"/>
  <c r="AB1024" i="1"/>
  <c r="AB1025" i="1" s="1"/>
  <c r="AA1024" i="1"/>
  <c r="AA1025" i="1" s="1"/>
  <c r="AB1022" i="1"/>
  <c r="AB1023" i="1" s="1"/>
  <c r="AA1022" i="1"/>
  <c r="AA1023" i="1" s="1"/>
  <c r="AB1020" i="1"/>
  <c r="AB1021" i="1" s="1"/>
  <c r="AA1020" i="1"/>
  <c r="AA1021" i="1" s="1"/>
  <c r="AB1018" i="1"/>
  <c r="AB1019" i="1" s="1"/>
  <c r="AA1018" i="1"/>
  <c r="AA1019" i="1" s="1"/>
  <c r="AB1016" i="1"/>
  <c r="AB1017" i="1" s="1"/>
  <c r="AA1016" i="1"/>
  <c r="AA1017" i="1" s="1"/>
  <c r="AB1014" i="1"/>
  <c r="AB1015" i="1" s="1"/>
  <c r="AA1014" i="1"/>
  <c r="AA1015" i="1" s="1"/>
  <c r="AB1012" i="1"/>
  <c r="AB1013" i="1" s="1"/>
  <c r="AA1012" i="1"/>
  <c r="AA1013" i="1" s="1"/>
  <c r="AB1010" i="1"/>
  <c r="AB1011" i="1" s="1"/>
  <c r="AA1010" i="1"/>
  <c r="AA1011" i="1" s="1"/>
  <c r="AB1008" i="1"/>
  <c r="AB1009" i="1" s="1"/>
  <c r="AA1008" i="1"/>
  <c r="AA1009" i="1" s="1"/>
  <c r="AB1006" i="1"/>
  <c r="AB1007" i="1" s="1"/>
  <c r="AA1006" i="1"/>
  <c r="AA1007" i="1" s="1"/>
  <c r="AB1004" i="1"/>
  <c r="AB1005" i="1" s="1"/>
  <c r="AA1004" i="1"/>
  <c r="AA1005" i="1" s="1"/>
  <c r="AB1002" i="1"/>
  <c r="AB1003" i="1" s="1"/>
  <c r="AA1002" i="1"/>
  <c r="AA1003" i="1" s="1"/>
  <c r="AB1000" i="1"/>
  <c r="AB1001" i="1" s="1"/>
  <c r="AA1000" i="1"/>
  <c r="AA1001" i="1" s="1"/>
  <c r="AB998" i="1"/>
  <c r="AB999" i="1" s="1"/>
  <c r="AA998" i="1"/>
  <c r="AA999" i="1" s="1"/>
  <c r="AB996" i="1"/>
  <c r="AB997" i="1" s="1"/>
  <c r="AA996" i="1"/>
  <c r="AA997" i="1" s="1"/>
  <c r="AB994" i="1"/>
  <c r="AB995" i="1" s="1"/>
  <c r="AA994" i="1"/>
  <c r="AA995" i="1" s="1"/>
  <c r="AB992" i="1"/>
  <c r="AB993" i="1" s="1"/>
  <c r="AA992" i="1"/>
  <c r="AA993" i="1" s="1"/>
  <c r="AB990" i="1"/>
  <c r="AB991" i="1" s="1"/>
  <c r="AA990" i="1"/>
  <c r="AA991" i="1" s="1"/>
  <c r="AB988" i="1"/>
  <c r="AB989" i="1" s="1"/>
  <c r="AA988" i="1"/>
  <c r="AA989" i="1" s="1"/>
  <c r="AB986" i="1"/>
  <c r="AB987" i="1" s="1"/>
  <c r="AA986" i="1"/>
  <c r="AA987" i="1" s="1"/>
  <c r="AB984" i="1"/>
  <c r="AB985" i="1" s="1"/>
  <c r="AA984" i="1"/>
  <c r="AA985" i="1" s="1"/>
  <c r="AB982" i="1"/>
  <c r="AB983" i="1" s="1"/>
  <c r="AA982" i="1"/>
  <c r="AA983" i="1" s="1"/>
  <c r="AB980" i="1"/>
  <c r="AB981" i="1" s="1"/>
  <c r="AA980" i="1"/>
  <c r="AA981" i="1" s="1"/>
  <c r="AB978" i="1"/>
  <c r="AB979" i="1" s="1"/>
  <c r="AA978" i="1"/>
  <c r="AA979" i="1" s="1"/>
  <c r="AB976" i="1"/>
  <c r="AB977" i="1" s="1"/>
  <c r="AA976" i="1"/>
  <c r="AA977" i="1" s="1"/>
  <c r="AB974" i="1"/>
  <c r="AB975" i="1" s="1"/>
  <c r="AA974" i="1"/>
  <c r="AA975" i="1" s="1"/>
  <c r="AB972" i="1"/>
  <c r="AB973" i="1" s="1"/>
  <c r="AA972" i="1"/>
  <c r="AA973" i="1" s="1"/>
  <c r="AB970" i="1"/>
  <c r="AB971" i="1" s="1"/>
  <c r="AA970" i="1"/>
  <c r="AA971" i="1" s="1"/>
  <c r="AB968" i="1"/>
  <c r="AB969" i="1" s="1"/>
  <c r="AA968" i="1"/>
  <c r="AA969" i="1" s="1"/>
  <c r="AB966" i="1"/>
  <c r="AB967" i="1" s="1"/>
  <c r="AA966" i="1"/>
  <c r="AA967" i="1" s="1"/>
  <c r="AB964" i="1"/>
  <c r="AB965" i="1" s="1"/>
  <c r="AA964" i="1"/>
  <c r="AA965" i="1" s="1"/>
  <c r="AB962" i="1"/>
  <c r="AB963" i="1" s="1"/>
  <c r="AA962" i="1"/>
  <c r="AA963" i="1" s="1"/>
  <c r="AB960" i="1"/>
  <c r="AB961" i="1" s="1"/>
  <c r="AA960" i="1"/>
  <c r="AA961" i="1" s="1"/>
  <c r="AB958" i="1"/>
  <c r="AB959" i="1" s="1"/>
  <c r="AA958" i="1"/>
  <c r="AA959" i="1" s="1"/>
  <c r="AB956" i="1"/>
  <c r="AB957" i="1" s="1"/>
  <c r="AA956" i="1"/>
  <c r="AA957" i="1" s="1"/>
  <c r="AB954" i="1"/>
  <c r="AB955" i="1" s="1"/>
  <c r="AA954" i="1"/>
  <c r="AA955" i="1" s="1"/>
  <c r="AB952" i="1"/>
  <c r="AB953" i="1" s="1"/>
  <c r="AA952" i="1"/>
  <c r="AA953" i="1" s="1"/>
  <c r="AB950" i="1"/>
  <c r="AB951" i="1" s="1"/>
  <c r="AA950" i="1"/>
  <c r="AA951" i="1" s="1"/>
  <c r="AB948" i="1"/>
  <c r="AB949" i="1" s="1"/>
  <c r="AA948" i="1"/>
  <c r="AA949" i="1" s="1"/>
  <c r="AB946" i="1"/>
  <c r="AB947" i="1" s="1"/>
  <c r="AA946" i="1"/>
  <c r="AA947" i="1" s="1"/>
  <c r="AB944" i="1"/>
  <c r="AB945" i="1" s="1"/>
  <c r="AA944" i="1"/>
  <c r="AA945" i="1" s="1"/>
  <c r="AB942" i="1"/>
  <c r="AB943" i="1" s="1"/>
  <c r="AA942" i="1"/>
  <c r="AA943" i="1" s="1"/>
  <c r="AB940" i="1"/>
  <c r="AB941" i="1" s="1"/>
  <c r="AA940" i="1"/>
  <c r="AA941" i="1" s="1"/>
  <c r="AB938" i="1"/>
  <c r="AB939" i="1" s="1"/>
  <c r="AA938" i="1"/>
  <c r="AA939" i="1" s="1"/>
  <c r="AB936" i="1"/>
  <c r="AB937" i="1" s="1"/>
  <c r="AA936" i="1"/>
  <c r="AA937" i="1" s="1"/>
  <c r="AB934" i="1"/>
  <c r="AB935" i="1" s="1"/>
  <c r="AA934" i="1"/>
  <c r="AA935" i="1" s="1"/>
  <c r="AB932" i="1"/>
  <c r="AB933" i="1" s="1"/>
  <c r="AA932" i="1"/>
  <c r="AA933" i="1" s="1"/>
  <c r="AB930" i="1"/>
  <c r="AB931" i="1" s="1"/>
  <c r="AA930" i="1"/>
  <c r="AA931" i="1" s="1"/>
  <c r="AB928" i="1"/>
  <c r="AB929" i="1" s="1"/>
  <c r="AA928" i="1"/>
  <c r="AA929" i="1" s="1"/>
  <c r="AB926" i="1"/>
  <c r="AB927" i="1" s="1"/>
  <c r="AA926" i="1"/>
  <c r="AA927" i="1" s="1"/>
  <c r="AB924" i="1"/>
  <c r="AB925" i="1" s="1"/>
  <c r="AA924" i="1"/>
  <c r="AA925" i="1" s="1"/>
  <c r="AB922" i="1"/>
  <c r="AB923" i="1" s="1"/>
  <c r="AA922" i="1"/>
  <c r="AA923" i="1" s="1"/>
  <c r="AB920" i="1"/>
  <c r="AB921" i="1" s="1"/>
  <c r="AA920" i="1"/>
  <c r="AA921" i="1" s="1"/>
  <c r="AB918" i="1"/>
  <c r="AB919" i="1" s="1"/>
  <c r="AA918" i="1"/>
  <c r="AA919" i="1" s="1"/>
  <c r="AB916" i="1"/>
  <c r="AB917" i="1" s="1"/>
  <c r="AA916" i="1"/>
  <c r="AA917" i="1" s="1"/>
  <c r="AB914" i="1"/>
  <c r="AB915" i="1" s="1"/>
  <c r="AA914" i="1"/>
  <c r="AA915" i="1" s="1"/>
  <c r="AB912" i="1"/>
  <c r="AB913" i="1" s="1"/>
  <c r="AA912" i="1"/>
  <c r="AA913" i="1" s="1"/>
  <c r="AB910" i="1"/>
  <c r="AB911" i="1" s="1"/>
  <c r="AA910" i="1"/>
  <c r="AA911" i="1" s="1"/>
  <c r="AB908" i="1"/>
  <c r="AB909" i="1" s="1"/>
  <c r="AA908" i="1"/>
  <c r="AA909" i="1" s="1"/>
  <c r="AB906" i="1"/>
  <c r="AB907" i="1" s="1"/>
  <c r="AA906" i="1"/>
  <c r="AA907" i="1" s="1"/>
  <c r="AB904" i="1"/>
  <c r="AB905" i="1" s="1"/>
  <c r="AA904" i="1"/>
  <c r="AA905" i="1" s="1"/>
  <c r="AB902" i="1"/>
  <c r="AB903" i="1" s="1"/>
  <c r="AA902" i="1"/>
  <c r="AA903" i="1" s="1"/>
  <c r="AB900" i="1"/>
  <c r="AB901" i="1" s="1"/>
  <c r="AA900" i="1"/>
  <c r="AA901" i="1" s="1"/>
  <c r="AB898" i="1"/>
  <c r="AB899" i="1" s="1"/>
  <c r="AA898" i="1"/>
  <c r="AA899" i="1" s="1"/>
  <c r="AB896" i="1"/>
  <c r="AB897" i="1" s="1"/>
  <c r="AA896" i="1"/>
  <c r="AA897" i="1" s="1"/>
  <c r="AB894" i="1"/>
  <c r="AB895" i="1" s="1"/>
  <c r="AA894" i="1"/>
  <c r="AA895" i="1" s="1"/>
  <c r="AB892" i="1"/>
  <c r="AB893" i="1" s="1"/>
  <c r="AA892" i="1"/>
  <c r="AA893" i="1" s="1"/>
  <c r="AB890" i="1"/>
  <c r="AB891" i="1" s="1"/>
  <c r="AA890" i="1"/>
  <c r="AA891" i="1" s="1"/>
  <c r="AB888" i="1"/>
  <c r="AB889" i="1" s="1"/>
  <c r="AA888" i="1"/>
  <c r="AA889" i="1" s="1"/>
  <c r="AB886" i="1"/>
  <c r="AB887" i="1" s="1"/>
  <c r="AA886" i="1"/>
  <c r="AA887" i="1" s="1"/>
  <c r="AB884" i="1"/>
  <c r="AB885" i="1" s="1"/>
  <c r="AA884" i="1"/>
  <c r="AA885" i="1" s="1"/>
  <c r="AB882" i="1"/>
  <c r="AB883" i="1" s="1"/>
  <c r="AA882" i="1"/>
  <c r="AA883" i="1" s="1"/>
  <c r="AB880" i="1"/>
  <c r="AB881" i="1" s="1"/>
  <c r="AA880" i="1"/>
  <c r="AA881" i="1" s="1"/>
  <c r="AB878" i="1"/>
  <c r="AB879" i="1" s="1"/>
  <c r="AA878" i="1"/>
  <c r="AA879" i="1" s="1"/>
  <c r="AB876" i="1"/>
  <c r="AB877" i="1" s="1"/>
  <c r="AA876" i="1"/>
  <c r="AA877" i="1" s="1"/>
  <c r="AB874" i="1"/>
  <c r="AB875" i="1" s="1"/>
  <c r="AA874" i="1"/>
  <c r="AA875" i="1" s="1"/>
  <c r="AB872" i="1"/>
  <c r="AB873" i="1" s="1"/>
  <c r="AA872" i="1"/>
  <c r="AA873" i="1" s="1"/>
  <c r="AB870" i="1"/>
  <c r="AB871" i="1" s="1"/>
  <c r="AA870" i="1"/>
  <c r="AA871" i="1" s="1"/>
  <c r="AB868" i="1"/>
  <c r="AB869" i="1" s="1"/>
  <c r="AA868" i="1"/>
  <c r="AA869" i="1" s="1"/>
  <c r="AB866" i="1"/>
  <c r="AB867" i="1" s="1"/>
  <c r="AA866" i="1"/>
  <c r="AA867" i="1" s="1"/>
  <c r="AB864" i="1"/>
  <c r="AB865" i="1" s="1"/>
  <c r="AA864" i="1"/>
  <c r="AA865" i="1" s="1"/>
  <c r="AB862" i="1"/>
  <c r="AB863" i="1" s="1"/>
  <c r="AA862" i="1"/>
  <c r="AA863" i="1" s="1"/>
  <c r="AB860" i="1"/>
  <c r="AB861" i="1" s="1"/>
  <c r="AA860" i="1"/>
  <c r="AA861" i="1" s="1"/>
  <c r="AB858" i="1"/>
  <c r="AB859" i="1" s="1"/>
  <c r="AA858" i="1"/>
  <c r="AA859" i="1" s="1"/>
  <c r="AB856" i="1"/>
  <c r="AB857" i="1" s="1"/>
  <c r="AA856" i="1"/>
  <c r="AA857" i="1" s="1"/>
  <c r="AB854" i="1"/>
  <c r="AB855" i="1" s="1"/>
  <c r="AA854" i="1"/>
  <c r="AA855" i="1" s="1"/>
  <c r="AB852" i="1"/>
  <c r="AB853" i="1" s="1"/>
  <c r="AA852" i="1"/>
  <c r="AA853" i="1" s="1"/>
  <c r="AB850" i="1"/>
  <c r="AB851" i="1" s="1"/>
  <c r="AA850" i="1"/>
  <c r="AA851" i="1" s="1"/>
  <c r="AB848" i="1"/>
  <c r="AB849" i="1" s="1"/>
  <c r="AA848" i="1"/>
  <c r="AA849" i="1" s="1"/>
  <c r="AB846" i="1"/>
  <c r="AB847" i="1" s="1"/>
  <c r="AA846" i="1"/>
  <c r="AA847" i="1" s="1"/>
  <c r="AB844" i="1"/>
  <c r="AB845" i="1" s="1"/>
  <c r="AA844" i="1"/>
  <c r="AA845" i="1" s="1"/>
  <c r="AB842" i="1"/>
  <c r="AB843" i="1" s="1"/>
  <c r="AA842" i="1"/>
  <c r="AA843" i="1" s="1"/>
  <c r="AB840" i="1"/>
  <c r="AB841" i="1" s="1"/>
  <c r="AA840" i="1"/>
  <c r="AA841" i="1" s="1"/>
  <c r="AB838" i="1"/>
  <c r="AB839" i="1" s="1"/>
  <c r="AA838" i="1"/>
  <c r="AA839" i="1" s="1"/>
  <c r="AB836" i="1"/>
  <c r="AB837" i="1" s="1"/>
  <c r="AA836" i="1"/>
  <c r="AA837" i="1" s="1"/>
  <c r="AB834" i="1"/>
  <c r="AB835" i="1" s="1"/>
  <c r="AA834" i="1"/>
  <c r="AA835" i="1" s="1"/>
  <c r="AB832" i="1"/>
  <c r="AB833" i="1" s="1"/>
  <c r="AA832" i="1"/>
  <c r="AA833" i="1" s="1"/>
  <c r="AB830" i="1"/>
  <c r="AB831" i="1" s="1"/>
  <c r="AA830" i="1"/>
  <c r="AA831" i="1" s="1"/>
  <c r="AB828" i="1"/>
  <c r="AB829" i="1" s="1"/>
  <c r="AA828" i="1"/>
  <c r="AA829" i="1" s="1"/>
  <c r="AB826" i="1"/>
  <c r="AB827" i="1" s="1"/>
  <c r="AA826" i="1"/>
  <c r="AA827" i="1" s="1"/>
  <c r="AB824" i="1"/>
  <c r="AB825" i="1" s="1"/>
  <c r="AA824" i="1"/>
  <c r="AA825" i="1" s="1"/>
  <c r="AB822" i="1"/>
  <c r="AB823" i="1" s="1"/>
  <c r="AA822" i="1"/>
  <c r="AA823" i="1" s="1"/>
  <c r="AB820" i="1"/>
  <c r="AB821" i="1" s="1"/>
  <c r="AA820" i="1"/>
  <c r="AA821" i="1" s="1"/>
  <c r="AB818" i="1"/>
  <c r="AB819" i="1" s="1"/>
  <c r="AA818" i="1"/>
  <c r="AA819" i="1" s="1"/>
  <c r="AB816" i="1"/>
  <c r="AB817" i="1" s="1"/>
  <c r="AA816" i="1"/>
  <c r="AA817" i="1" s="1"/>
  <c r="AB814" i="1"/>
  <c r="AB815" i="1" s="1"/>
  <c r="AA814" i="1"/>
  <c r="AA815" i="1" s="1"/>
  <c r="AB812" i="1"/>
  <c r="AB813" i="1" s="1"/>
  <c r="AA812" i="1"/>
  <c r="AA813" i="1" s="1"/>
  <c r="AB810" i="1"/>
  <c r="AB811" i="1" s="1"/>
  <c r="AA810" i="1"/>
  <c r="AA811" i="1" s="1"/>
  <c r="AB808" i="1"/>
  <c r="AB809" i="1" s="1"/>
  <c r="AA808" i="1"/>
  <c r="AA809" i="1" s="1"/>
  <c r="AB806" i="1"/>
  <c r="AB807" i="1" s="1"/>
  <c r="AA806" i="1"/>
  <c r="AA807" i="1" s="1"/>
  <c r="AB804" i="1"/>
  <c r="AB805" i="1" s="1"/>
  <c r="AA804" i="1"/>
  <c r="AA805" i="1" s="1"/>
  <c r="AB802" i="1"/>
  <c r="AB803" i="1" s="1"/>
  <c r="AA802" i="1"/>
  <c r="AA803" i="1" s="1"/>
  <c r="AB800" i="1"/>
  <c r="AB801" i="1" s="1"/>
  <c r="AA800" i="1"/>
  <c r="AA801" i="1" s="1"/>
  <c r="AB798" i="1"/>
  <c r="AB799" i="1" s="1"/>
  <c r="AA798" i="1"/>
  <c r="AA799" i="1" s="1"/>
  <c r="AB796" i="1"/>
  <c r="AB797" i="1" s="1"/>
  <c r="AA796" i="1"/>
  <c r="AA797" i="1" s="1"/>
  <c r="AB794" i="1"/>
  <c r="AB795" i="1" s="1"/>
  <c r="AA794" i="1"/>
  <c r="AA795" i="1" s="1"/>
  <c r="AB792" i="1"/>
  <c r="AB793" i="1" s="1"/>
  <c r="AA792" i="1"/>
  <c r="AA793" i="1" s="1"/>
  <c r="AB790" i="1"/>
  <c r="AB791" i="1" s="1"/>
  <c r="AA790" i="1"/>
  <c r="AA791" i="1" s="1"/>
  <c r="AB788" i="1"/>
  <c r="AB789" i="1" s="1"/>
  <c r="AA788" i="1"/>
  <c r="AA789" i="1" s="1"/>
  <c r="AB786" i="1"/>
  <c r="AB787" i="1" s="1"/>
  <c r="AA786" i="1"/>
  <c r="AA787" i="1" s="1"/>
  <c r="AB784" i="1"/>
  <c r="AB785" i="1" s="1"/>
  <c r="AA784" i="1"/>
  <c r="AA785" i="1" s="1"/>
  <c r="AB782" i="1"/>
  <c r="AB783" i="1" s="1"/>
  <c r="AA782" i="1"/>
  <c r="AA783" i="1" s="1"/>
  <c r="AB780" i="1"/>
  <c r="AB781" i="1" s="1"/>
  <c r="AA780" i="1"/>
  <c r="AA781" i="1" s="1"/>
  <c r="AB778" i="1"/>
  <c r="AB779" i="1" s="1"/>
  <c r="AA778" i="1"/>
  <c r="AA779" i="1" s="1"/>
  <c r="AB776" i="1"/>
  <c r="AB777" i="1" s="1"/>
  <c r="AA776" i="1"/>
  <c r="AA777" i="1" s="1"/>
  <c r="AB774" i="1"/>
  <c r="AB775" i="1" s="1"/>
  <c r="AA774" i="1"/>
  <c r="AA775" i="1" s="1"/>
  <c r="AB772" i="1"/>
  <c r="AB773" i="1" s="1"/>
  <c r="AA772" i="1"/>
  <c r="AA773" i="1" s="1"/>
  <c r="AB770" i="1"/>
  <c r="AB771" i="1" s="1"/>
  <c r="AA770" i="1"/>
  <c r="AA771" i="1" s="1"/>
  <c r="AB768" i="1"/>
  <c r="AB769" i="1" s="1"/>
  <c r="AA768" i="1"/>
  <c r="AA769" i="1" s="1"/>
  <c r="AB766" i="1"/>
  <c r="AB767" i="1" s="1"/>
  <c r="AA766" i="1"/>
  <c r="AA767" i="1" s="1"/>
  <c r="AB764" i="1"/>
  <c r="AB765" i="1" s="1"/>
  <c r="AA764" i="1"/>
  <c r="AA765" i="1" s="1"/>
  <c r="AB762" i="1"/>
  <c r="AB763" i="1" s="1"/>
  <c r="AA762" i="1"/>
  <c r="AA763" i="1" s="1"/>
  <c r="AB760" i="1"/>
  <c r="AB761" i="1" s="1"/>
  <c r="AA760" i="1"/>
  <c r="AA761" i="1" s="1"/>
  <c r="AB758" i="1"/>
  <c r="AB759" i="1" s="1"/>
  <c r="AA758" i="1"/>
  <c r="AA759" i="1" s="1"/>
  <c r="AB756" i="1"/>
  <c r="AB757" i="1" s="1"/>
  <c r="AA756" i="1"/>
  <c r="AA757" i="1" s="1"/>
  <c r="AB754" i="1"/>
  <c r="AB755" i="1" s="1"/>
  <c r="AA754" i="1"/>
  <c r="AA755" i="1" s="1"/>
  <c r="AB752" i="1"/>
  <c r="AB753" i="1" s="1"/>
  <c r="AA752" i="1"/>
  <c r="AA753" i="1" s="1"/>
  <c r="AB750" i="1"/>
  <c r="AB751" i="1" s="1"/>
  <c r="AA750" i="1"/>
  <c r="AA751" i="1" s="1"/>
  <c r="AB748" i="1"/>
  <c r="AB749" i="1" s="1"/>
  <c r="AA748" i="1"/>
  <c r="AA749" i="1" s="1"/>
  <c r="AB746" i="1"/>
  <c r="AB747" i="1" s="1"/>
  <c r="AA746" i="1"/>
  <c r="AA747" i="1" s="1"/>
  <c r="AB744" i="1"/>
  <c r="AB745" i="1" s="1"/>
  <c r="AA744" i="1"/>
  <c r="AA745" i="1" s="1"/>
  <c r="AB742" i="1"/>
  <c r="AB743" i="1" s="1"/>
  <c r="AA742" i="1"/>
  <c r="AA743" i="1" s="1"/>
  <c r="AB740" i="1"/>
  <c r="AB741" i="1" s="1"/>
  <c r="AA740" i="1"/>
  <c r="AA741" i="1" s="1"/>
  <c r="AB738" i="1"/>
  <c r="AB739" i="1" s="1"/>
  <c r="AA738" i="1"/>
  <c r="AA739" i="1" s="1"/>
  <c r="AB736" i="1"/>
  <c r="AB737" i="1" s="1"/>
  <c r="AA736" i="1"/>
  <c r="AA737" i="1" s="1"/>
  <c r="AB734" i="1"/>
  <c r="AB735" i="1" s="1"/>
  <c r="AA734" i="1"/>
  <c r="AA735" i="1" s="1"/>
  <c r="AB732" i="1"/>
  <c r="AB733" i="1" s="1"/>
  <c r="AA732" i="1"/>
  <c r="AA733" i="1" s="1"/>
  <c r="AB730" i="1"/>
  <c r="AB731" i="1" s="1"/>
  <c r="AA730" i="1"/>
  <c r="AA731" i="1" s="1"/>
  <c r="AB728" i="1"/>
  <c r="AB729" i="1" s="1"/>
  <c r="AA728" i="1"/>
  <c r="AA729" i="1" s="1"/>
  <c r="AB726" i="1"/>
  <c r="AB727" i="1" s="1"/>
  <c r="AA726" i="1"/>
  <c r="AA727" i="1" s="1"/>
  <c r="AB724" i="1"/>
  <c r="AB725" i="1" s="1"/>
  <c r="AA724" i="1"/>
  <c r="AA725" i="1" s="1"/>
  <c r="AB722" i="1"/>
  <c r="AB723" i="1" s="1"/>
  <c r="AA722" i="1"/>
  <c r="AA723" i="1" s="1"/>
  <c r="AB720" i="1"/>
  <c r="AB721" i="1" s="1"/>
  <c r="AA720" i="1"/>
  <c r="AA721" i="1" s="1"/>
  <c r="AB718" i="1"/>
  <c r="AB719" i="1" s="1"/>
  <c r="AA718" i="1"/>
  <c r="AA719" i="1" s="1"/>
  <c r="AB716" i="1"/>
  <c r="AB717" i="1" s="1"/>
  <c r="AA716" i="1"/>
  <c r="AA717" i="1" s="1"/>
  <c r="AB714" i="1"/>
  <c r="AB715" i="1" s="1"/>
  <c r="AA714" i="1"/>
  <c r="AA715" i="1" s="1"/>
  <c r="AB712" i="1"/>
  <c r="AB713" i="1" s="1"/>
  <c r="AA712" i="1"/>
  <c r="AA713" i="1" s="1"/>
  <c r="AB710" i="1"/>
  <c r="AB711" i="1" s="1"/>
  <c r="AA710" i="1"/>
  <c r="AA711" i="1" s="1"/>
  <c r="AB708" i="1"/>
  <c r="AB709" i="1" s="1"/>
  <c r="AA708" i="1"/>
  <c r="AA709" i="1" s="1"/>
  <c r="AB706" i="1"/>
  <c r="AB707" i="1" s="1"/>
  <c r="AA706" i="1"/>
  <c r="AA707" i="1" s="1"/>
  <c r="AB704" i="1"/>
  <c r="AB705" i="1" s="1"/>
  <c r="AA704" i="1"/>
  <c r="AA705" i="1" s="1"/>
  <c r="AB702" i="1"/>
  <c r="AB703" i="1" s="1"/>
  <c r="AA702" i="1"/>
  <c r="AA703" i="1" s="1"/>
  <c r="AB700" i="1"/>
  <c r="AB701" i="1" s="1"/>
  <c r="AA700" i="1"/>
  <c r="AA701" i="1" s="1"/>
  <c r="AB698" i="1"/>
  <c r="AB699" i="1" s="1"/>
  <c r="AA698" i="1"/>
  <c r="AA699" i="1" s="1"/>
  <c r="AB696" i="1"/>
  <c r="AB697" i="1" s="1"/>
  <c r="AA696" i="1"/>
  <c r="AA697" i="1" s="1"/>
  <c r="AB694" i="1"/>
  <c r="AB695" i="1" s="1"/>
  <c r="AA694" i="1"/>
  <c r="AA695" i="1" s="1"/>
  <c r="AB692" i="1"/>
  <c r="AB693" i="1" s="1"/>
  <c r="AA692" i="1"/>
  <c r="AA693" i="1" s="1"/>
  <c r="AB690" i="1"/>
  <c r="AB691" i="1" s="1"/>
  <c r="AA690" i="1"/>
  <c r="AA691" i="1" s="1"/>
  <c r="AB688" i="1"/>
  <c r="AB689" i="1" s="1"/>
  <c r="AA688" i="1"/>
  <c r="AA689" i="1" s="1"/>
  <c r="AB686" i="1"/>
  <c r="AB687" i="1" s="1"/>
  <c r="AA686" i="1"/>
  <c r="AA687" i="1" s="1"/>
  <c r="AB684" i="1"/>
  <c r="AB685" i="1" s="1"/>
  <c r="AA684" i="1"/>
  <c r="AA685" i="1" s="1"/>
  <c r="AB682" i="1"/>
  <c r="AB683" i="1" s="1"/>
  <c r="AA682" i="1"/>
  <c r="AA683" i="1" s="1"/>
  <c r="AB680" i="1"/>
  <c r="AB681" i="1" s="1"/>
  <c r="AA680" i="1"/>
  <c r="AA681" i="1" s="1"/>
  <c r="AB678" i="1"/>
  <c r="AB679" i="1" s="1"/>
  <c r="AA678" i="1"/>
  <c r="AA679" i="1" s="1"/>
  <c r="AB676" i="1"/>
  <c r="AB677" i="1" s="1"/>
  <c r="AA676" i="1"/>
  <c r="AA677" i="1" s="1"/>
  <c r="AB674" i="1"/>
  <c r="AB675" i="1" s="1"/>
  <c r="AA674" i="1"/>
  <c r="AA675" i="1" s="1"/>
  <c r="AB672" i="1"/>
  <c r="AB673" i="1" s="1"/>
  <c r="AA672" i="1"/>
  <c r="AA673" i="1" s="1"/>
  <c r="AB670" i="1"/>
  <c r="AB671" i="1" s="1"/>
  <c r="AA670" i="1"/>
  <c r="AA671" i="1" s="1"/>
  <c r="AB668" i="1"/>
  <c r="AB669" i="1" s="1"/>
  <c r="AA668" i="1"/>
  <c r="AA669" i="1" s="1"/>
  <c r="AB666" i="1"/>
  <c r="AB667" i="1" s="1"/>
  <c r="AA666" i="1"/>
  <c r="AA667" i="1" s="1"/>
  <c r="AB664" i="1"/>
  <c r="AB665" i="1" s="1"/>
  <c r="AA664" i="1"/>
  <c r="AA665" i="1" s="1"/>
  <c r="AB662" i="1"/>
  <c r="AB663" i="1" s="1"/>
  <c r="AA662" i="1"/>
  <c r="AA663" i="1" s="1"/>
  <c r="AB660" i="1"/>
  <c r="AB661" i="1" s="1"/>
  <c r="AA660" i="1"/>
  <c r="AA661" i="1" s="1"/>
  <c r="AB658" i="1"/>
  <c r="AB659" i="1" s="1"/>
  <c r="AA658" i="1"/>
  <c r="AA659" i="1" s="1"/>
  <c r="AB656" i="1"/>
  <c r="AB657" i="1" s="1"/>
  <c r="AA656" i="1"/>
  <c r="AA657" i="1" s="1"/>
  <c r="AB654" i="1"/>
  <c r="AB655" i="1" s="1"/>
  <c r="AA654" i="1"/>
  <c r="AA655" i="1" s="1"/>
  <c r="AB652" i="1"/>
  <c r="AB653" i="1" s="1"/>
  <c r="AA652" i="1"/>
  <c r="AA653" i="1" s="1"/>
  <c r="AB650" i="1"/>
  <c r="AB651" i="1" s="1"/>
  <c r="AA650" i="1"/>
  <c r="AA651" i="1" s="1"/>
  <c r="AB648" i="1"/>
  <c r="AB649" i="1" s="1"/>
  <c r="AA648" i="1"/>
  <c r="AA649" i="1" s="1"/>
  <c r="AB646" i="1"/>
  <c r="AB647" i="1" s="1"/>
  <c r="AA646" i="1"/>
  <c r="AA647" i="1" s="1"/>
  <c r="AB644" i="1"/>
  <c r="AB645" i="1" s="1"/>
  <c r="AA644" i="1"/>
  <c r="AA645" i="1" s="1"/>
  <c r="AB642" i="1"/>
  <c r="AB643" i="1" s="1"/>
  <c r="AA642" i="1"/>
  <c r="AA643" i="1" s="1"/>
  <c r="AB640" i="1"/>
  <c r="AB641" i="1" s="1"/>
  <c r="AA640" i="1"/>
  <c r="AA641" i="1" s="1"/>
  <c r="AB638" i="1"/>
  <c r="AB639" i="1" s="1"/>
  <c r="AA638" i="1"/>
  <c r="AA639" i="1" s="1"/>
  <c r="AB636" i="1"/>
  <c r="AB637" i="1" s="1"/>
  <c r="AA636" i="1"/>
  <c r="AA637" i="1" s="1"/>
  <c r="AB634" i="1"/>
  <c r="AB635" i="1" s="1"/>
  <c r="AA634" i="1"/>
  <c r="AA635" i="1" s="1"/>
  <c r="AB632" i="1"/>
  <c r="AB633" i="1" s="1"/>
  <c r="AA632" i="1"/>
  <c r="AA633" i="1" s="1"/>
  <c r="AB630" i="1"/>
  <c r="AB631" i="1" s="1"/>
  <c r="AA630" i="1"/>
  <c r="AA631" i="1" s="1"/>
  <c r="AB628" i="1"/>
  <c r="AB629" i="1" s="1"/>
  <c r="AA628" i="1"/>
  <c r="AA629" i="1" s="1"/>
  <c r="AB626" i="1"/>
  <c r="AB627" i="1" s="1"/>
  <c r="AA626" i="1"/>
  <c r="AA627" i="1" s="1"/>
  <c r="AB624" i="1"/>
  <c r="AB625" i="1" s="1"/>
  <c r="AA624" i="1"/>
  <c r="AA625" i="1" s="1"/>
  <c r="AB622" i="1"/>
  <c r="AB623" i="1" s="1"/>
  <c r="AA622" i="1"/>
  <c r="AA623" i="1" s="1"/>
  <c r="AB620" i="1"/>
  <c r="AB621" i="1" s="1"/>
  <c r="AA620" i="1"/>
  <c r="AA621" i="1" s="1"/>
  <c r="AB618" i="1"/>
  <c r="AB619" i="1" s="1"/>
  <c r="AA618" i="1"/>
  <c r="AA619" i="1" s="1"/>
  <c r="AB616" i="1"/>
  <c r="AB617" i="1" s="1"/>
  <c r="AA616" i="1"/>
  <c r="AA617" i="1" s="1"/>
  <c r="AB614" i="1"/>
  <c r="AB615" i="1" s="1"/>
  <c r="AA614" i="1"/>
  <c r="AA615" i="1" s="1"/>
  <c r="AB612" i="1"/>
  <c r="AB613" i="1" s="1"/>
  <c r="AA612" i="1"/>
  <c r="AA613" i="1" s="1"/>
  <c r="AB610" i="1"/>
  <c r="AB611" i="1" s="1"/>
  <c r="AA610" i="1"/>
  <c r="AA611" i="1" s="1"/>
  <c r="AB608" i="1"/>
  <c r="AB609" i="1" s="1"/>
  <c r="AA608" i="1"/>
  <c r="AA609" i="1" s="1"/>
  <c r="AB606" i="1"/>
  <c r="AB607" i="1" s="1"/>
  <c r="AA606" i="1"/>
  <c r="AA607" i="1" s="1"/>
  <c r="AB604" i="1"/>
  <c r="AB605" i="1" s="1"/>
  <c r="AA604" i="1"/>
  <c r="AA605" i="1" s="1"/>
  <c r="AB602" i="1"/>
  <c r="AB603" i="1" s="1"/>
  <c r="AA602" i="1"/>
  <c r="AA603" i="1" s="1"/>
  <c r="AB600" i="1"/>
  <c r="AB601" i="1" s="1"/>
  <c r="AA600" i="1"/>
  <c r="AA601" i="1" s="1"/>
  <c r="AB598" i="1"/>
  <c r="AB599" i="1" s="1"/>
  <c r="AA598" i="1"/>
  <c r="AA599" i="1" s="1"/>
  <c r="AB596" i="1"/>
  <c r="AB597" i="1" s="1"/>
  <c r="AA596" i="1"/>
  <c r="AA597" i="1" s="1"/>
  <c r="AB594" i="1"/>
  <c r="AB595" i="1" s="1"/>
  <c r="AA594" i="1"/>
  <c r="AA595" i="1" s="1"/>
  <c r="AB592" i="1"/>
  <c r="AB593" i="1" s="1"/>
  <c r="AA592" i="1"/>
  <c r="AA593" i="1" s="1"/>
  <c r="AB590" i="1"/>
  <c r="AB591" i="1" s="1"/>
  <c r="AA590" i="1"/>
  <c r="AA591" i="1" s="1"/>
  <c r="AB588" i="1"/>
  <c r="AB589" i="1" s="1"/>
  <c r="AA588" i="1"/>
  <c r="AA589" i="1" s="1"/>
  <c r="AB586" i="1"/>
  <c r="AB587" i="1" s="1"/>
  <c r="AA586" i="1"/>
  <c r="AA587" i="1" s="1"/>
  <c r="AB584" i="1"/>
  <c r="AB585" i="1" s="1"/>
  <c r="AA584" i="1"/>
  <c r="AA585" i="1" s="1"/>
  <c r="AB582" i="1"/>
  <c r="AB583" i="1" s="1"/>
  <c r="AA582" i="1"/>
  <c r="AA583" i="1" s="1"/>
  <c r="AB580" i="1"/>
  <c r="AB581" i="1" s="1"/>
  <c r="AA580" i="1"/>
  <c r="AA581" i="1" s="1"/>
  <c r="AB578" i="1"/>
  <c r="AB579" i="1" s="1"/>
  <c r="AA578" i="1"/>
  <c r="AA579" i="1" s="1"/>
  <c r="AB576" i="1"/>
  <c r="AB577" i="1" s="1"/>
  <c r="AA576" i="1"/>
  <c r="AA577" i="1" s="1"/>
  <c r="AB574" i="1"/>
  <c r="AB575" i="1" s="1"/>
  <c r="AA574" i="1"/>
  <c r="AA575" i="1" s="1"/>
  <c r="AB572" i="1"/>
  <c r="AB573" i="1" s="1"/>
  <c r="AA572" i="1"/>
  <c r="AA573" i="1" s="1"/>
  <c r="AB570" i="1"/>
  <c r="AB571" i="1" s="1"/>
  <c r="AA570" i="1"/>
  <c r="AA571" i="1" s="1"/>
  <c r="AB568" i="1"/>
  <c r="AB569" i="1" s="1"/>
  <c r="AA568" i="1"/>
  <c r="AA569" i="1" s="1"/>
  <c r="AB566" i="1"/>
  <c r="AB567" i="1" s="1"/>
  <c r="AA566" i="1"/>
  <c r="AA567" i="1" s="1"/>
  <c r="AB564" i="1"/>
  <c r="AB565" i="1" s="1"/>
  <c r="AA564" i="1"/>
  <c r="AA565" i="1" s="1"/>
  <c r="AB562" i="1"/>
  <c r="AB563" i="1" s="1"/>
  <c r="AA562" i="1"/>
  <c r="AA563" i="1" s="1"/>
  <c r="AB560" i="1"/>
  <c r="AB561" i="1" s="1"/>
  <c r="AA560" i="1"/>
  <c r="AA561" i="1" s="1"/>
  <c r="AB558" i="1"/>
  <c r="AB559" i="1" s="1"/>
  <c r="AA558" i="1"/>
  <c r="AA559" i="1" s="1"/>
  <c r="AB556" i="1"/>
  <c r="AB557" i="1" s="1"/>
  <c r="AA556" i="1"/>
  <c r="AA557" i="1" s="1"/>
  <c r="AB554" i="1"/>
  <c r="AB555" i="1" s="1"/>
  <c r="AA554" i="1"/>
  <c r="AA555" i="1" s="1"/>
  <c r="AB552" i="1"/>
  <c r="AB553" i="1" s="1"/>
  <c r="AA552" i="1"/>
  <c r="AA553" i="1" s="1"/>
  <c r="AB550" i="1"/>
  <c r="AB551" i="1" s="1"/>
  <c r="AA550" i="1"/>
  <c r="AA551" i="1" s="1"/>
  <c r="AB548" i="1"/>
  <c r="AB549" i="1" s="1"/>
  <c r="AA548" i="1"/>
  <c r="AA549" i="1" s="1"/>
  <c r="AB546" i="1"/>
  <c r="AB547" i="1" s="1"/>
  <c r="AA546" i="1"/>
  <c r="AA547" i="1" s="1"/>
  <c r="AB544" i="1"/>
  <c r="AB545" i="1" s="1"/>
  <c r="AA544" i="1"/>
  <c r="AA545" i="1" s="1"/>
  <c r="AB542" i="1"/>
  <c r="AB543" i="1" s="1"/>
  <c r="AA542" i="1"/>
  <c r="AA543" i="1" s="1"/>
  <c r="AB540" i="1"/>
  <c r="AB541" i="1" s="1"/>
  <c r="AA540" i="1"/>
  <c r="AA541" i="1" s="1"/>
  <c r="AB538" i="1"/>
  <c r="AB539" i="1" s="1"/>
  <c r="AA538" i="1"/>
  <c r="AA539" i="1" s="1"/>
  <c r="AB536" i="1"/>
  <c r="AB537" i="1" s="1"/>
  <c r="AA536" i="1"/>
  <c r="AA537" i="1" s="1"/>
  <c r="AB534" i="1"/>
  <c r="AB535" i="1" s="1"/>
  <c r="AA534" i="1"/>
  <c r="AA535" i="1" s="1"/>
  <c r="AB532" i="1"/>
  <c r="AB533" i="1" s="1"/>
  <c r="AA532" i="1"/>
  <c r="AA533" i="1" s="1"/>
  <c r="AB530" i="1"/>
  <c r="AB531" i="1" s="1"/>
  <c r="AA530" i="1"/>
  <c r="AA531" i="1" s="1"/>
  <c r="AB528" i="1"/>
  <c r="AB529" i="1" s="1"/>
  <c r="AA528" i="1"/>
  <c r="AA529" i="1" s="1"/>
  <c r="AB526" i="1"/>
  <c r="AB527" i="1" s="1"/>
  <c r="AA526" i="1"/>
  <c r="AA527" i="1" s="1"/>
  <c r="AB524" i="1"/>
  <c r="AB525" i="1" s="1"/>
  <c r="AA524" i="1"/>
  <c r="AA525" i="1" s="1"/>
  <c r="AB522" i="1"/>
  <c r="AB523" i="1" s="1"/>
  <c r="AA522" i="1"/>
  <c r="AA523" i="1" s="1"/>
  <c r="AB520" i="1"/>
  <c r="AB521" i="1" s="1"/>
  <c r="AA520" i="1"/>
  <c r="AA521" i="1" s="1"/>
  <c r="AB518" i="1"/>
  <c r="AB519" i="1" s="1"/>
  <c r="AA518" i="1"/>
  <c r="AA519" i="1" s="1"/>
  <c r="AB516" i="1"/>
  <c r="AB517" i="1" s="1"/>
  <c r="AA516" i="1"/>
  <c r="AA517" i="1" s="1"/>
  <c r="AB514" i="1"/>
  <c r="AB515" i="1" s="1"/>
  <c r="AA514" i="1"/>
  <c r="AA515" i="1" s="1"/>
  <c r="AB512" i="1"/>
  <c r="AB513" i="1" s="1"/>
  <c r="AA512" i="1"/>
  <c r="AA513" i="1" s="1"/>
  <c r="AB510" i="1"/>
  <c r="AB511" i="1" s="1"/>
  <c r="AA510" i="1"/>
  <c r="AA511" i="1" s="1"/>
  <c r="AB508" i="1"/>
  <c r="AB509" i="1" s="1"/>
  <c r="AA508" i="1"/>
  <c r="AA509" i="1" s="1"/>
  <c r="AB506" i="1"/>
  <c r="AB507" i="1" s="1"/>
  <c r="AA506" i="1"/>
  <c r="AA507" i="1" s="1"/>
  <c r="AB504" i="1"/>
  <c r="AB505" i="1" s="1"/>
  <c r="AA504" i="1"/>
  <c r="AA505" i="1" s="1"/>
  <c r="AB502" i="1"/>
  <c r="AB503" i="1" s="1"/>
  <c r="AA502" i="1"/>
  <c r="AA503" i="1" s="1"/>
  <c r="AB500" i="1"/>
  <c r="AB501" i="1" s="1"/>
  <c r="AA500" i="1"/>
  <c r="AA501" i="1" s="1"/>
  <c r="AB498" i="1"/>
  <c r="AB499" i="1" s="1"/>
  <c r="AA498" i="1"/>
  <c r="AA499" i="1" s="1"/>
  <c r="AB496" i="1"/>
  <c r="AB497" i="1" s="1"/>
  <c r="AA496" i="1"/>
  <c r="AA497" i="1" s="1"/>
  <c r="AB494" i="1"/>
  <c r="AB495" i="1" s="1"/>
  <c r="AA494" i="1"/>
  <c r="AA495" i="1" s="1"/>
  <c r="AB492" i="1"/>
  <c r="AB493" i="1" s="1"/>
  <c r="AA492" i="1"/>
  <c r="AA493" i="1" s="1"/>
  <c r="AB490" i="1"/>
  <c r="AB491" i="1" s="1"/>
  <c r="AA490" i="1"/>
  <c r="AA491" i="1" s="1"/>
  <c r="AB488" i="1"/>
  <c r="AB489" i="1" s="1"/>
  <c r="AA488" i="1"/>
  <c r="AA489" i="1" s="1"/>
  <c r="AB486" i="1"/>
  <c r="AB487" i="1" s="1"/>
  <c r="AA486" i="1"/>
  <c r="AA487" i="1" s="1"/>
  <c r="AB484" i="1"/>
  <c r="AB485" i="1" s="1"/>
  <c r="AA484" i="1"/>
  <c r="AA485" i="1" s="1"/>
  <c r="AB482" i="1"/>
  <c r="AB483" i="1" s="1"/>
  <c r="AA482" i="1"/>
  <c r="AA483" i="1" s="1"/>
  <c r="AB480" i="1"/>
  <c r="AB481" i="1" s="1"/>
  <c r="AA480" i="1"/>
  <c r="AA481" i="1" s="1"/>
  <c r="AB478" i="1"/>
  <c r="AB479" i="1" s="1"/>
  <c r="AA478" i="1"/>
  <c r="AA479" i="1" s="1"/>
  <c r="AB476" i="1"/>
  <c r="AB477" i="1" s="1"/>
  <c r="AA476" i="1"/>
  <c r="AA477" i="1" s="1"/>
  <c r="AB474" i="1"/>
  <c r="AB475" i="1" s="1"/>
  <c r="AA474" i="1"/>
  <c r="AA475" i="1" s="1"/>
  <c r="AB472" i="1"/>
  <c r="AB473" i="1" s="1"/>
  <c r="AA472" i="1"/>
  <c r="AA473" i="1" s="1"/>
  <c r="AB470" i="1"/>
  <c r="AB471" i="1" s="1"/>
  <c r="AA470" i="1"/>
  <c r="AA471" i="1" s="1"/>
  <c r="AB468" i="1"/>
  <c r="AB469" i="1" s="1"/>
  <c r="AA468" i="1"/>
  <c r="AA469" i="1" s="1"/>
  <c r="AB466" i="1"/>
  <c r="AB467" i="1" s="1"/>
  <c r="AA466" i="1"/>
  <c r="AA467" i="1" s="1"/>
  <c r="AB464" i="1"/>
  <c r="AB465" i="1" s="1"/>
  <c r="AA464" i="1"/>
  <c r="AA465" i="1" s="1"/>
  <c r="AB462" i="1"/>
  <c r="AB463" i="1" s="1"/>
  <c r="AA462" i="1"/>
  <c r="AA463" i="1" s="1"/>
  <c r="AB460" i="1"/>
  <c r="AB461" i="1" s="1"/>
  <c r="AA460" i="1"/>
  <c r="AA461" i="1" s="1"/>
  <c r="AB458" i="1"/>
  <c r="AB459" i="1" s="1"/>
  <c r="AA458" i="1"/>
  <c r="AA459" i="1" s="1"/>
  <c r="AB456" i="1"/>
  <c r="AB457" i="1" s="1"/>
  <c r="AA456" i="1"/>
  <c r="AA457" i="1" s="1"/>
  <c r="AB454" i="1"/>
  <c r="AB455" i="1" s="1"/>
  <c r="AA454" i="1"/>
  <c r="AA455" i="1" s="1"/>
  <c r="AB452" i="1"/>
  <c r="AB453" i="1" s="1"/>
  <c r="AA452" i="1"/>
  <c r="AA453" i="1" s="1"/>
  <c r="AB450" i="1"/>
  <c r="AB451" i="1" s="1"/>
  <c r="AA450" i="1"/>
  <c r="AA451" i="1" s="1"/>
  <c r="AB448" i="1"/>
  <c r="AB449" i="1" s="1"/>
  <c r="AA448" i="1"/>
  <c r="AA449" i="1" s="1"/>
  <c r="AB446" i="1"/>
  <c r="AB447" i="1" s="1"/>
  <c r="AA446" i="1"/>
  <c r="AA447" i="1" s="1"/>
  <c r="AB444" i="1"/>
  <c r="AB445" i="1" s="1"/>
  <c r="AA444" i="1"/>
  <c r="AA445" i="1" s="1"/>
  <c r="AB442" i="1"/>
  <c r="AB443" i="1" s="1"/>
  <c r="AA442" i="1"/>
  <c r="AA443" i="1" s="1"/>
  <c r="AB440" i="1"/>
  <c r="AB441" i="1" s="1"/>
  <c r="AA440" i="1"/>
  <c r="AA441" i="1" s="1"/>
  <c r="AB438" i="1"/>
  <c r="AB439" i="1" s="1"/>
  <c r="AA438" i="1"/>
  <c r="AA439" i="1" s="1"/>
  <c r="AB436" i="1"/>
  <c r="AB437" i="1" s="1"/>
  <c r="AA436" i="1"/>
  <c r="AA437" i="1" s="1"/>
  <c r="AB434" i="1"/>
  <c r="AB435" i="1" s="1"/>
  <c r="AA434" i="1"/>
  <c r="AA435" i="1" s="1"/>
  <c r="AB432" i="1"/>
  <c r="AB433" i="1" s="1"/>
  <c r="AA432" i="1"/>
  <c r="AA433" i="1" s="1"/>
  <c r="AB430" i="1"/>
  <c r="AB431" i="1" s="1"/>
  <c r="AA430" i="1"/>
  <c r="AA431" i="1" s="1"/>
  <c r="AB428" i="1"/>
  <c r="AB429" i="1" s="1"/>
  <c r="AA428" i="1"/>
  <c r="AA429" i="1" s="1"/>
  <c r="AB426" i="1"/>
  <c r="AB427" i="1" s="1"/>
  <c r="AA426" i="1"/>
  <c r="AA427" i="1" s="1"/>
  <c r="AB424" i="1"/>
  <c r="AB425" i="1" s="1"/>
  <c r="AA424" i="1"/>
  <c r="AA425" i="1" s="1"/>
  <c r="AB422" i="1"/>
  <c r="AB423" i="1" s="1"/>
  <c r="AA422" i="1"/>
  <c r="AA423" i="1" s="1"/>
  <c r="AB420" i="1"/>
  <c r="AB421" i="1" s="1"/>
  <c r="AA420" i="1"/>
  <c r="AA421" i="1" s="1"/>
  <c r="AB418" i="1"/>
  <c r="AB419" i="1" s="1"/>
  <c r="AA418" i="1"/>
  <c r="AA419" i="1" s="1"/>
  <c r="AB416" i="1"/>
  <c r="AB417" i="1" s="1"/>
  <c r="AA416" i="1"/>
  <c r="AA417" i="1" s="1"/>
  <c r="AB414" i="1"/>
  <c r="AB415" i="1" s="1"/>
  <c r="AA414" i="1"/>
  <c r="AA415" i="1" s="1"/>
  <c r="AB412" i="1"/>
  <c r="AB413" i="1" s="1"/>
  <c r="AA412" i="1"/>
  <c r="AA413" i="1" s="1"/>
  <c r="AB410" i="1"/>
  <c r="AB411" i="1" s="1"/>
  <c r="AA410" i="1"/>
  <c r="AA411" i="1" s="1"/>
  <c r="AB408" i="1"/>
  <c r="AB409" i="1" s="1"/>
  <c r="AA408" i="1"/>
  <c r="AA409" i="1" s="1"/>
  <c r="AB406" i="1"/>
  <c r="AB407" i="1" s="1"/>
  <c r="AA406" i="1"/>
  <c r="AA407" i="1" s="1"/>
  <c r="AB404" i="1"/>
  <c r="AB405" i="1" s="1"/>
  <c r="AA404" i="1"/>
  <c r="AA405" i="1" s="1"/>
  <c r="AB402" i="1"/>
  <c r="AB403" i="1" s="1"/>
  <c r="AA402" i="1"/>
  <c r="AA403" i="1" s="1"/>
  <c r="AB400" i="1"/>
  <c r="AB401" i="1" s="1"/>
  <c r="AA400" i="1"/>
  <c r="AA401" i="1" s="1"/>
  <c r="AB398" i="1"/>
  <c r="AB399" i="1" s="1"/>
  <c r="AA398" i="1"/>
  <c r="AA399" i="1" s="1"/>
  <c r="AB396" i="1"/>
  <c r="AB397" i="1" s="1"/>
  <c r="AA396" i="1"/>
  <c r="AA397" i="1" s="1"/>
  <c r="AB394" i="1"/>
  <c r="AB395" i="1" s="1"/>
  <c r="AA394" i="1"/>
  <c r="AA395" i="1" s="1"/>
  <c r="AB392" i="1"/>
  <c r="AB393" i="1" s="1"/>
  <c r="AA392" i="1"/>
  <c r="AA393" i="1" s="1"/>
  <c r="AB390" i="1"/>
  <c r="AB391" i="1" s="1"/>
  <c r="AA390" i="1"/>
  <c r="AA391" i="1" s="1"/>
  <c r="AB388" i="1"/>
  <c r="AB389" i="1" s="1"/>
  <c r="AA388" i="1"/>
  <c r="AA389" i="1" s="1"/>
  <c r="AB386" i="1"/>
  <c r="AB387" i="1" s="1"/>
  <c r="AA386" i="1"/>
  <c r="AA387" i="1" s="1"/>
  <c r="AB384" i="1"/>
  <c r="AB385" i="1" s="1"/>
  <c r="AA384" i="1"/>
  <c r="AA385" i="1" s="1"/>
  <c r="AB382" i="1"/>
  <c r="AB383" i="1" s="1"/>
  <c r="AA382" i="1"/>
  <c r="AA383" i="1" s="1"/>
  <c r="AB380" i="1"/>
  <c r="AB381" i="1" s="1"/>
  <c r="AA380" i="1"/>
  <c r="AA381" i="1" s="1"/>
  <c r="AB378" i="1"/>
  <c r="AB379" i="1" s="1"/>
  <c r="AA378" i="1"/>
  <c r="AA379" i="1" s="1"/>
  <c r="AB376" i="1"/>
  <c r="AB377" i="1" s="1"/>
  <c r="AA376" i="1"/>
  <c r="AA377" i="1" s="1"/>
  <c r="AB374" i="1"/>
  <c r="AB375" i="1" s="1"/>
  <c r="AA374" i="1"/>
  <c r="AA375" i="1" s="1"/>
  <c r="AB372" i="1"/>
  <c r="AB373" i="1" s="1"/>
  <c r="AA372" i="1"/>
  <c r="AA373" i="1" s="1"/>
  <c r="AB370" i="1"/>
  <c r="AB371" i="1" s="1"/>
  <c r="AA370" i="1"/>
  <c r="AA371" i="1" s="1"/>
  <c r="AB368" i="1"/>
  <c r="AB369" i="1" s="1"/>
  <c r="AA368" i="1"/>
  <c r="AA369" i="1" s="1"/>
  <c r="AB366" i="1"/>
  <c r="AB367" i="1" s="1"/>
  <c r="AA366" i="1"/>
  <c r="AA367" i="1" s="1"/>
  <c r="AB364" i="1"/>
  <c r="AB365" i="1" s="1"/>
  <c r="AA364" i="1"/>
  <c r="AA365" i="1" s="1"/>
  <c r="AB362" i="1"/>
  <c r="AB363" i="1" s="1"/>
  <c r="AA362" i="1"/>
  <c r="AA363" i="1" s="1"/>
  <c r="AB360" i="1"/>
  <c r="AB361" i="1" s="1"/>
  <c r="AA360" i="1"/>
  <c r="AA361" i="1" s="1"/>
  <c r="AB358" i="1"/>
  <c r="AB359" i="1" s="1"/>
  <c r="AA358" i="1"/>
  <c r="AA359" i="1" s="1"/>
  <c r="AB356" i="1"/>
  <c r="AB357" i="1" s="1"/>
  <c r="AA356" i="1"/>
  <c r="AA357" i="1" s="1"/>
  <c r="AB354" i="1"/>
  <c r="AB355" i="1" s="1"/>
  <c r="AA354" i="1"/>
  <c r="AA355" i="1" s="1"/>
  <c r="AB352" i="1"/>
  <c r="AB353" i="1" s="1"/>
  <c r="AA352" i="1"/>
  <c r="AA353" i="1" s="1"/>
  <c r="AB350" i="1"/>
  <c r="AB351" i="1" s="1"/>
  <c r="AA350" i="1"/>
  <c r="AA351" i="1" s="1"/>
  <c r="AB348" i="1"/>
  <c r="AB349" i="1" s="1"/>
  <c r="AA348" i="1"/>
  <c r="AA349" i="1" s="1"/>
  <c r="AB346" i="1"/>
  <c r="AB347" i="1" s="1"/>
  <c r="AA346" i="1"/>
  <c r="AA347" i="1" s="1"/>
  <c r="AB344" i="1"/>
  <c r="AB345" i="1" s="1"/>
  <c r="AA344" i="1"/>
  <c r="AA345" i="1" s="1"/>
  <c r="AB342" i="1"/>
  <c r="AB343" i="1" s="1"/>
  <c r="AA342" i="1"/>
  <c r="AA343" i="1" s="1"/>
  <c r="AB340" i="1"/>
  <c r="AB341" i="1" s="1"/>
  <c r="AA340" i="1"/>
  <c r="AA341" i="1" s="1"/>
  <c r="AB338" i="1"/>
  <c r="AB339" i="1" s="1"/>
  <c r="AA338" i="1"/>
  <c r="AA339" i="1" s="1"/>
  <c r="AB336" i="1"/>
  <c r="AB337" i="1" s="1"/>
  <c r="AA336" i="1"/>
  <c r="AA337" i="1" s="1"/>
  <c r="AB334" i="1"/>
  <c r="AB335" i="1" s="1"/>
  <c r="AA334" i="1"/>
  <c r="AA335" i="1" s="1"/>
  <c r="AB332" i="1"/>
  <c r="AB333" i="1" s="1"/>
  <c r="AA332" i="1"/>
  <c r="AA333" i="1" s="1"/>
  <c r="AB330" i="1"/>
  <c r="AB331" i="1" s="1"/>
  <c r="AA330" i="1"/>
  <c r="AA331" i="1" s="1"/>
  <c r="AB328" i="1"/>
  <c r="AB329" i="1" s="1"/>
  <c r="AA328" i="1"/>
  <c r="AA329" i="1" s="1"/>
  <c r="AB326" i="1"/>
  <c r="AB327" i="1" s="1"/>
  <c r="AA326" i="1"/>
  <c r="AA327" i="1" s="1"/>
  <c r="AB324" i="1"/>
  <c r="AB325" i="1" s="1"/>
  <c r="AA324" i="1"/>
  <c r="AA325" i="1" s="1"/>
  <c r="AB322" i="1"/>
  <c r="AB323" i="1" s="1"/>
  <c r="AA322" i="1"/>
  <c r="AA323" i="1" s="1"/>
  <c r="AB320" i="1"/>
  <c r="AB321" i="1" s="1"/>
  <c r="AA320" i="1"/>
  <c r="AA321" i="1" s="1"/>
  <c r="AB318" i="1"/>
  <c r="AB319" i="1" s="1"/>
  <c r="AA318" i="1"/>
  <c r="AA319" i="1" s="1"/>
  <c r="AB316" i="1"/>
  <c r="AB317" i="1" s="1"/>
  <c r="AA316" i="1"/>
  <c r="AA317" i="1" s="1"/>
  <c r="AB314" i="1"/>
  <c r="AB315" i="1" s="1"/>
  <c r="AA314" i="1"/>
  <c r="AA315" i="1" s="1"/>
  <c r="AB312" i="1"/>
  <c r="AB313" i="1" s="1"/>
  <c r="AA312" i="1"/>
  <c r="AA313" i="1" s="1"/>
  <c r="AB310" i="1"/>
  <c r="AB311" i="1" s="1"/>
  <c r="AA310" i="1"/>
  <c r="AA311" i="1" s="1"/>
  <c r="AB308" i="1"/>
  <c r="AB309" i="1" s="1"/>
  <c r="AA308" i="1"/>
  <c r="AA309" i="1" s="1"/>
  <c r="AB306" i="1"/>
  <c r="AB307" i="1" s="1"/>
  <c r="AA306" i="1"/>
  <c r="AA307" i="1" s="1"/>
  <c r="AB304" i="1"/>
  <c r="AB305" i="1" s="1"/>
  <c r="AA304" i="1"/>
  <c r="AA305" i="1" s="1"/>
  <c r="AB302" i="1"/>
  <c r="AB303" i="1" s="1"/>
  <c r="AA302" i="1"/>
  <c r="AA303" i="1" s="1"/>
  <c r="AB300" i="1"/>
  <c r="AB301" i="1" s="1"/>
  <c r="AA300" i="1"/>
  <c r="AA301" i="1" s="1"/>
  <c r="AB298" i="1"/>
  <c r="AB299" i="1" s="1"/>
  <c r="AA298" i="1"/>
  <c r="AA299" i="1" s="1"/>
  <c r="AB296" i="1"/>
  <c r="AB297" i="1" s="1"/>
  <c r="AA296" i="1"/>
  <c r="AA297" i="1" s="1"/>
  <c r="AB294" i="1"/>
  <c r="AB295" i="1" s="1"/>
  <c r="AA294" i="1"/>
  <c r="AA295" i="1" s="1"/>
  <c r="AB292" i="1"/>
  <c r="AB293" i="1" s="1"/>
  <c r="AA292" i="1"/>
  <c r="AA293" i="1" s="1"/>
  <c r="AB290" i="1"/>
  <c r="AB291" i="1" s="1"/>
  <c r="AA290" i="1"/>
  <c r="AA291" i="1" s="1"/>
  <c r="AB288" i="1"/>
  <c r="AB289" i="1" s="1"/>
  <c r="AA288" i="1"/>
  <c r="AA289" i="1" s="1"/>
  <c r="AB286" i="1"/>
  <c r="AB287" i="1" s="1"/>
  <c r="AA286" i="1"/>
  <c r="AA287" i="1" s="1"/>
  <c r="AB284" i="1"/>
  <c r="AB285" i="1" s="1"/>
  <c r="AA284" i="1"/>
  <c r="AA285" i="1" s="1"/>
  <c r="AB282" i="1"/>
  <c r="AB283" i="1" s="1"/>
  <c r="AA282" i="1"/>
  <c r="AA283" i="1" s="1"/>
  <c r="AB280" i="1"/>
  <c r="AB281" i="1" s="1"/>
  <c r="AA280" i="1"/>
  <c r="AA281" i="1" s="1"/>
  <c r="AB278" i="1"/>
  <c r="AB279" i="1" s="1"/>
  <c r="AA278" i="1"/>
  <c r="AA279" i="1" s="1"/>
  <c r="AB276" i="1"/>
  <c r="AB277" i="1" s="1"/>
  <c r="AA276" i="1"/>
  <c r="AA277" i="1" s="1"/>
  <c r="AB274" i="1"/>
  <c r="AB275" i="1" s="1"/>
  <c r="AA274" i="1"/>
  <c r="AA275" i="1" s="1"/>
  <c r="AB272" i="1"/>
  <c r="AB273" i="1" s="1"/>
  <c r="AA272" i="1"/>
  <c r="AA273" i="1" s="1"/>
  <c r="AB270" i="1"/>
  <c r="AB271" i="1" s="1"/>
  <c r="AA270" i="1"/>
  <c r="AA271" i="1" s="1"/>
  <c r="AB268" i="1"/>
  <c r="AB269" i="1" s="1"/>
  <c r="AA268" i="1"/>
  <c r="AA269" i="1" s="1"/>
  <c r="AB266" i="1"/>
  <c r="AB267" i="1" s="1"/>
  <c r="AA266" i="1"/>
  <c r="AA267" i="1" s="1"/>
  <c r="AB264" i="1"/>
  <c r="AB265" i="1" s="1"/>
  <c r="AA264" i="1"/>
  <c r="AA265" i="1" s="1"/>
  <c r="AB262" i="1"/>
  <c r="AB263" i="1" s="1"/>
  <c r="AA262" i="1"/>
  <c r="AA263" i="1" s="1"/>
  <c r="AB260" i="1"/>
  <c r="AB261" i="1" s="1"/>
  <c r="AA260" i="1"/>
  <c r="AA261" i="1" s="1"/>
  <c r="AB258" i="1"/>
  <c r="AB259" i="1" s="1"/>
  <c r="AA258" i="1"/>
  <c r="AA259" i="1" s="1"/>
  <c r="AB256" i="1"/>
  <c r="AB257" i="1" s="1"/>
  <c r="AA256" i="1"/>
  <c r="AA257" i="1" s="1"/>
  <c r="AB254" i="1"/>
  <c r="AB255" i="1" s="1"/>
  <c r="AA254" i="1"/>
  <c r="AA255" i="1" s="1"/>
  <c r="AB252" i="1"/>
  <c r="AB253" i="1" s="1"/>
  <c r="AA252" i="1"/>
  <c r="AA253" i="1" s="1"/>
  <c r="AB250" i="1"/>
  <c r="AB251" i="1" s="1"/>
  <c r="AA250" i="1"/>
  <c r="AA251" i="1" s="1"/>
  <c r="AB248" i="1"/>
  <c r="AB249" i="1" s="1"/>
  <c r="AA248" i="1"/>
  <c r="AA249" i="1" s="1"/>
  <c r="AB246" i="1"/>
  <c r="AB247" i="1" s="1"/>
  <c r="AA246" i="1"/>
  <c r="AA247" i="1" s="1"/>
  <c r="AB244" i="1"/>
  <c r="AB245" i="1" s="1"/>
  <c r="AA244" i="1"/>
  <c r="AA245" i="1" s="1"/>
  <c r="AB242" i="1"/>
  <c r="AB243" i="1" s="1"/>
  <c r="AA242" i="1"/>
  <c r="AA243" i="1" s="1"/>
  <c r="AB240" i="1"/>
  <c r="AB241" i="1" s="1"/>
  <c r="AA240" i="1"/>
  <c r="AA241" i="1" s="1"/>
  <c r="AB238" i="1"/>
  <c r="AB239" i="1" s="1"/>
  <c r="AA238" i="1"/>
  <c r="AA239" i="1" s="1"/>
  <c r="AB236" i="1"/>
  <c r="AB237" i="1" s="1"/>
  <c r="AA236" i="1"/>
  <c r="AA237" i="1" s="1"/>
  <c r="AB234" i="1"/>
  <c r="AB235" i="1" s="1"/>
  <c r="AA234" i="1"/>
  <c r="AA235" i="1" s="1"/>
  <c r="AB232" i="1"/>
  <c r="AB233" i="1" s="1"/>
  <c r="AA232" i="1"/>
  <c r="AA233" i="1" s="1"/>
  <c r="AB230" i="1"/>
  <c r="AB231" i="1" s="1"/>
  <c r="AA230" i="1"/>
  <c r="AA231" i="1" s="1"/>
  <c r="AB228" i="1"/>
  <c r="AB229" i="1" s="1"/>
  <c r="AA228" i="1"/>
  <c r="AA229" i="1" s="1"/>
  <c r="AB226" i="1"/>
  <c r="AB227" i="1" s="1"/>
  <c r="AA226" i="1"/>
  <c r="AA227" i="1" s="1"/>
  <c r="AB224" i="1"/>
  <c r="AB225" i="1" s="1"/>
  <c r="AA224" i="1"/>
  <c r="AA225" i="1" s="1"/>
  <c r="AB222" i="1"/>
  <c r="AB223" i="1" s="1"/>
  <c r="AA222" i="1"/>
  <c r="AA223" i="1" s="1"/>
  <c r="AB220" i="1"/>
  <c r="AB221" i="1" s="1"/>
  <c r="AA220" i="1"/>
  <c r="AA221" i="1" s="1"/>
  <c r="AB218" i="1"/>
  <c r="AB219" i="1" s="1"/>
  <c r="AA218" i="1"/>
  <c r="AA219" i="1" s="1"/>
  <c r="AB216" i="1"/>
  <c r="AB217" i="1" s="1"/>
  <c r="AA216" i="1"/>
  <c r="AA217" i="1" s="1"/>
  <c r="AB214" i="1"/>
  <c r="AB215" i="1" s="1"/>
  <c r="AA214" i="1"/>
  <c r="AA215" i="1" s="1"/>
  <c r="AB212" i="1"/>
  <c r="AB213" i="1" s="1"/>
  <c r="AA212" i="1"/>
  <c r="AA213" i="1" s="1"/>
  <c r="AB210" i="1"/>
  <c r="AB211" i="1" s="1"/>
  <c r="AA210" i="1"/>
  <c r="AA211" i="1" s="1"/>
  <c r="AB208" i="1"/>
  <c r="AB209" i="1" s="1"/>
  <c r="AA208" i="1"/>
  <c r="AA209" i="1" s="1"/>
  <c r="AB206" i="1"/>
  <c r="AB207" i="1" s="1"/>
  <c r="AA206" i="1"/>
  <c r="AA207" i="1" s="1"/>
  <c r="AB204" i="1"/>
  <c r="AB205" i="1" s="1"/>
  <c r="AA204" i="1"/>
  <c r="AA205" i="1" s="1"/>
  <c r="AB202" i="1"/>
  <c r="AB203" i="1" s="1"/>
  <c r="AA202" i="1"/>
  <c r="AA203" i="1" s="1"/>
  <c r="AB200" i="1"/>
  <c r="AB201" i="1" s="1"/>
  <c r="AA200" i="1"/>
  <c r="AA201" i="1" s="1"/>
  <c r="AB198" i="1"/>
  <c r="AB199" i="1" s="1"/>
  <c r="AA198" i="1"/>
  <c r="AA199" i="1" s="1"/>
  <c r="AB196" i="1"/>
  <c r="AB197" i="1" s="1"/>
  <c r="AA196" i="1"/>
  <c r="AA197" i="1" s="1"/>
  <c r="AB194" i="1"/>
  <c r="AB195" i="1" s="1"/>
  <c r="AA194" i="1"/>
  <c r="AA195" i="1" s="1"/>
  <c r="AB192" i="1"/>
  <c r="AB193" i="1" s="1"/>
  <c r="AA192" i="1"/>
  <c r="AA193" i="1" s="1"/>
  <c r="AB190" i="1"/>
  <c r="AB191" i="1" s="1"/>
  <c r="AA190" i="1"/>
  <c r="AA191" i="1" s="1"/>
  <c r="AB188" i="1"/>
  <c r="AB189" i="1" s="1"/>
  <c r="AA188" i="1"/>
  <c r="AA189" i="1" s="1"/>
  <c r="AB186" i="1"/>
  <c r="AB187" i="1" s="1"/>
  <c r="AA186" i="1"/>
  <c r="AA187" i="1" s="1"/>
  <c r="AB184" i="1"/>
  <c r="AB185" i="1" s="1"/>
  <c r="AA184" i="1"/>
  <c r="AA185" i="1" s="1"/>
  <c r="AB182" i="1"/>
  <c r="AB183" i="1" s="1"/>
  <c r="AA182" i="1"/>
  <c r="AA183" i="1" s="1"/>
  <c r="AB180" i="1"/>
  <c r="AB181" i="1" s="1"/>
  <c r="AA180" i="1"/>
  <c r="AA181" i="1" s="1"/>
  <c r="AB178" i="1"/>
  <c r="AB179" i="1" s="1"/>
  <c r="AA178" i="1"/>
  <c r="AA179" i="1" s="1"/>
  <c r="AB176" i="1"/>
  <c r="AB177" i="1" s="1"/>
  <c r="AA176" i="1"/>
  <c r="AA177" i="1" s="1"/>
  <c r="AB174" i="1"/>
  <c r="AB175" i="1" s="1"/>
  <c r="AA174" i="1"/>
  <c r="AA175" i="1" s="1"/>
  <c r="AB172" i="1"/>
  <c r="AB173" i="1" s="1"/>
  <c r="AA172" i="1"/>
  <c r="AA173" i="1" s="1"/>
  <c r="AB170" i="1"/>
  <c r="AB171" i="1" s="1"/>
  <c r="AA170" i="1"/>
  <c r="AA171" i="1" s="1"/>
  <c r="AB168" i="1"/>
  <c r="AB169" i="1" s="1"/>
  <c r="AA168" i="1"/>
  <c r="AA169" i="1" s="1"/>
  <c r="AB166" i="1"/>
  <c r="AB167" i="1" s="1"/>
  <c r="AA166" i="1"/>
  <c r="AA167" i="1" s="1"/>
  <c r="AB164" i="1"/>
  <c r="AB165" i="1" s="1"/>
  <c r="AA164" i="1"/>
  <c r="AA165" i="1" s="1"/>
  <c r="AB162" i="1"/>
  <c r="AB163" i="1" s="1"/>
  <c r="AA162" i="1"/>
  <c r="AA163" i="1" s="1"/>
  <c r="AB160" i="1"/>
  <c r="AB161" i="1" s="1"/>
  <c r="AA160" i="1"/>
  <c r="AA161" i="1" s="1"/>
  <c r="AB158" i="1"/>
  <c r="AB159" i="1" s="1"/>
  <c r="AA158" i="1"/>
  <c r="AA159" i="1" s="1"/>
  <c r="AB156" i="1"/>
  <c r="AB157" i="1" s="1"/>
  <c r="AA156" i="1"/>
  <c r="AA157" i="1" s="1"/>
  <c r="AB154" i="1"/>
  <c r="AB155" i="1" s="1"/>
  <c r="AA154" i="1"/>
  <c r="AA155" i="1" s="1"/>
  <c r="AB152" i="1"/>
  <c r="AB153" i="1" s="1"/>
  <c r="AA152" i="1"/>
  <c r="AA153" i="1" s="1"/>
  <c r="AB150" i="1"/>
  <c r="AB151" i="1" s="1"/>
  <c r="AA150" i="1"/>
  <c r="AA151" i="1" s="1"/>
  <c r="AB148" i="1"/>
  <c r="AB149" i="1" s="1"/>
  <c r="AA148" i="1"/>
  <c r="AA149" i="1" s="1"/>
  <c r="AB146" i="1"/>
  <c r="AB147" i="1" s="1"/>
  <c r="AA146" i="1"/>
  <c r="AA147" i="1" s="1"/>
  <c r="AB144" i="1"/>
  <c r="AB145" i="1" s="1"/>
  <c r="AA144" i="1"/>
  <c r="AA145" i="1" s="1"/>
  <c r="AB142" i="1"/>
  <c r="AB143" i="1" s="1"/>
  <c r="AA142" i="1"/>
  <c r="AA143" i="1" s="1"/>
  <c r="AB140" i="1"/>
  <c r="AB141" i="1" s="1"/>
  <c r="AA140" i="1"/>
  <c r="AA141" i="1" s="1"/>
  <c r="AB138" i="1"/>
  <c r="AB139" i="1" s="1"/>
  <c r="AA138" i="1"/>
  <c r="AA139" i="1" s="1"/>
  <c r="AB136" i="1"/>
  <c r="AB137" i="1" s="1"/>
  <c r="AA136" i="1"/>
  <c r="AA137" i="1" s="1"/>
  <c r="AB134" i="1"/>
  <c r="AB135" i="1" s="1"/>
  <c r="AA134" i="1"/>
  <c r="AA135" i="1" s="1"/>
  <c r="AB132" i="1"/>
  <c r="AB133" i="1" s="1"/>
  <c r="AA132" i="1"/>
  <c r="AA133" i="1" s="1"/>
  <c r="AB130" i="1"/>
  <c r="AB131" i="1" s="1"/>
  <c r="AA130" i="1"/>
  <c r="AA131" i="1" s="1"/>
  <c r="AB128" i="1"/>
  <c r="AB129" i="1" s="1"/>
  <c r="AA128" i="1"/>
  <c r="AA129" i="1" s="1"/>
  <c r="AB126" i="1"/>
  <c r="AB127" i="1" s="1"/>
  <c r="AA126" i="1"/>
  <c r="AA127" i="1" s="1"/>
  <c r="AB124" i="1"/>
  <c r="AB125" i="1" s="1"/>
  <c r="AA124" i="1"/>
  <c r="AA125" i="1" s="1"/>
  <c r="AB122" i="1"/>
  <c r="AB123" i="1" s="1"/>
  <c r="AA122" i="1"/>
  <c r="AA123" i="1" s="1"/>
  <c r="AB120" i="1"/>
  <c r="AB121" i="1" s="1"/>
  <c r="AA120" i="1"/>
  <c r="AA121" i="1" s="1"/>
  <c r="AB118" i="1"/>
  <c r="AB119" i="1" s="1"/>
  <c r="AA118" i="1"/>
  <c r="AA119" i="1" s="1"/>
  <c r="AB116" i="1"/>
  <c r="AB117" i="1" s="1"/>
  <c r="AA116" i="1"/>
  <c r="AA117" i="1" s="1"/>
  <c r="AB114" i="1"/>
  <c r="AB115" i="1" s="1"/>
  <c r="AA114" i="1"/>
  <c r="AA115" i="1" s="1"/>
  <c r="AB112" i="1"/>
  <c r="AB113" i="1" s="1"/>
  <c r="AA112" i="1"/>
  <c r="AA113" i="1" s="1"/>
  <c r="AB110" i="1"/>
  <c r="AB111" i="1" s="1"/>
  <c r="AA110" i="1"/>
  <c r="AA111" i="1" s="1"/>
  <c r="AB108" i="1"/>
  <c r="AB109" i="1" s="1"/>
  <c r="AA108" i="1"/>
  <c r="AA109" i="1" s="1"/>
  <c r="AB106" i="1"/>
  <c r="AB107" i="1" s="1"/>
  <c r="AA106" i="1"/>
  <c r="AA107" i="1" s="1"/>
  <c r="AB104" i="1"/>
  <c r="AB105" i="1" s="1"/>
  <c r="AA104" i="1"/>
  <c r="AA105" i="1" s="1"/>
  <c r="AB102" i="1"/>
  <c r="AB103" i="1" s="1"/>
  <c r="AA102" i="1"/>
  <c r="AA103" i="1" s="1"/>
  <c r="AB100" i="1"/>
  <c r="AB101" i="1" s="1"/>
  <c r="AA100" i="1"/>
  <c r="AA101" i="1" s="1"/>
  <c r="AB98" i="1"/>
  <c r="AB99" i="1" s="1"/>
  <c r="AA98" i="1"/>
  <c r="AA99" i="1" s="1"/>
  <c r="AB96" i="1"/>
  <c r="AB97" i="1" s="1"/>
  <c r="AA96" i="1"/>
  <c r="AA97" i="1" s="1"/>
  <c r="AB94" i="1"/>
  <c r="AB95" i="1" s="1"/>
  <c r="AA94" i="1"/>
  <c r="AA95" i="1" s="1"/>
  <c r="AB92" i="1"/>
  <c r="AB93" i="1" s="1"/>
  <c r="AA92" i="1"/>
  <c r="AA93" i="1" s="1"/>
  <c r="AB90" i="1"/>
  <c r="AB91" i="1" s="1"/>
  <c r="AA90" i="1"/>
  <c r="AA91" i="1" s="1"/>
  <c r="AB88" i="1"/>
  <c r="AB89" i="1" s="1"/>
  <c r="AA88" i="1"/>
  <c r="AA89" i="1" s="1"/>
  <c r="AB86" i="1"/>
  <c r="AB87" i="1" s="1"/>
  <c r="AA86" i="1"/>
  <c r="AA87" i="1" s="1"/>
  <c r="AB84" i="1"/>
  <c r="AB85" i="1" s="1"/>
  <c r="AA84" i="1"/>
  <c r="AA85" i="1" s="1"/>
  <c r="AB82" i="1"/>
  <c r="AB83" i="1" s="1"/>
  <c r="AA82" i="1"/>
  <c r="AA83" i="1" s="1"/>
  <c r="AB80" i="1"/>
  <c r="AB81" i="1" s="1"/>
  <c r="AA80" i="1"/>
  <c r="AA81" i="1" s="1"/>
  <c r="AB78" i="1"/>
  <c r="AB79" i="1" s="1"/>
  <c r="AA78" i="1"/>
  <c r="AA79" i="1" s="1"/>
  <c r="AB76" i="1"/>
  <c r="AB77" i="1" s="1"/>
  <c r="AA76" i="1"/>
  <c r="AA77" i="1" s="1"/>
  <c r="AB74" i="1"/>
  <c r="AB75" i="1" s="1"/>
  <c r="AA74" i="1"/>
  <c r="AA75" i="1" s="1"/>
  <c r="AB72" i="1"/>
  <c r="AB73" i="1" s="1"/>
  <c r="AA72" i="1"/>
  <c r="AA73" i="1" s="1"/>
  <c r="AB70" i="1"/>
  <c r="AB71" i="1" s="1"/>
  <c r="AA70" i="1"/>
  <c r="AA71" i="1" s="1"/>
  <c r="AB68" i="1"/>
  <c r="AB69" i="1" s="1"/>
  <c r="AA68" i="1"/>
  <c r="AA69" i="1" s="1"/>
  <c r="AB66" i="1"/>
  <c r="AB67" i="1" s="1"/>
  <c r="AA66" i="1"/>
  <c r="AA67" i="1" s="1"/>
  <c r="AB64" i="1"/>
  <c r="AB65" i="1" s="1"/>
  <c r="AA64" i="1"/>
  <c r="AA65" i="1" s="1"/>
  <c r="AB62" i="1"/>
  <c r="AB63" i="1" s="1"/>
  <c r="AA62" i="1"/>
  <c r="AA63" i="1" s="1"/>
  <c r="AB60" i="1"/>
  <c r="AB61" i="1" s="1"/>
  <c r="AA60" i="1"/>
  <c r="AA61" i="1" s="1"/>
  <c r="AB58" i="1"/>
  <c r="AB59" i="1" s="1"/>
  <c r="AA58" i="1"/>
  <c r="AA59" i="1" s="1"/>
  <c r="AB56" i="1"/>
  <c r="AB57" i="1" s="1"/>
  <c r="AA56" i="1"/>
  <c r="AA57" i="1" s="1"/>
  <c r="AB54" i="1"/>
  <c r="AB55" i="1" s="1"/>
  <c r="AA54" i="1"/>
  <c r="AA55" i="1" s="1"/>
  <c r="AB52" i="1"/>
  <c r="AB53" i="1" s="1"/>
  <c r="AA52" i="1"/>
  <c r="AA53" i="1" s="1"/>
  <c r="AB50" i="1"/>
  <c r="AB51" i="1" s="1"/>
  <c r="AA50" i="1"/>
  <c r="AA51" i="1" s="1"/>
  <c r="AB48" i="1"/>
  <c r="AB49" i="1" s="1"/>
  <c r="AA48" i="1"/>
  <c r="AA49" i="1" s="1"/>
  <c r="AB46" i="1"/>
  <c r="AB47" i="1" s="1"/>
  <c r="AA46" i="1"/>
  <c r="AA47" i="1" s="1"/>
  <c r="AB44" i="1"/>
  <c r="AB45" i="1" s="1"/>
  <c r="AB42" i="1"/>
  <c r="AB43" i="1" s="1"/>
  <c r="AB40" i="1"/>
  <c r="AB41" i="1" s="1"/>
  <c r="AB38" i="1"/>
  <c r="AB39" i="1" s="1"/>
  <c r="AB36" i="1"/>
  <c r="AB37" i="1" s="1"/>
  <c r="AB34" i="1"/>
  <c r="AB35" i="1" s="1"/>
  <c r="AB32" i="1"/>
  <c r="AB33" i="1" s="1"/>
  <c r="AB30" i="1"/>
  <c r="AB31" i="1" s="1"/>
  <c r="AB28" i="1"/>
  <c r="AB29" i="1" s="1"/>
  <c r="AB26" i="1"/>
  <c r="AB27" i="1" s="1"/>
  <c r="AA26" i="1"/>
  <c r="AA27" i="1" s="1"/>
  <c r="AB24" i="1"/>
  <c r="AB25" i="1" s="1"/>
  <c r="AA24" i="1"/>
  <c r="AA25" i="1" s="1"/>
  <c r="AB22" i="1"/>
  <c r="AB23" i="1" s="1"/>
  <c r="AA22" i="1"/>
  <c r="AA23" i="1" s="1"/>
  <c r="AB20" i="1"/>
  <c r="AB21" i="1" s="1"/>
  <c r="AA20" i="1"/>
  <c r="AA21" i="1" s="1"/>
  <c r="AB18" i="1"/>
  <c r="AB19" i="1" s="1"/>
  <c r="AA18" i="1"/>
  <c r="AA19" i="1" s="1"/>
  <c r="AB16" i="1"/>
  <c r="AB17" i="1" s="1"/>
  <c r="AA16" i="1"/>
  <c r="AA17" i="1" s="1"/>
  <c r="AB14" i="1"/>
  <c r="AB15" i="1" s="1"/>
  <c r="AA14" i="1"/>
  <c r="AA15" i="1" s="1"/>
  <c r="AB12" i="1"/>
  <c r="AB13" i="1" s="1"/>
  <c r="AA12" i="1"/>
  <c r="AA13" i="1" s="1"/>
  <c r="AB10" i="1"/>
  <c r="AB11" i="1" s="1"/>
  <c r="AA10" i="1"/>
  <c r="AA11" i="1" s="1"/>
  <c r="AB8" i="1"/>
  <c r="AB9" i="1" s="1"/>
  <c r="AA8" i="1"/>
  <c r="AA9" i="1" s="1"/>
  <c r="AB6" i="1"/>
  <c r="AB7" i="1" s="1"/>
  <c r="AA6" i="1"/>
  <c r="AA7" i="1" s="1"/>
  <c r="AB4" i="1"/>
  <c r="AB5" i="1" s="1"/>
  <c r="AA4" i="1"/>
  <c r="AA5" i="1" s="1"/>
  <c r="AB3" i="1"/>
  <c r="AA3" i="1"/>
  <c r="AA28" i="1" l="1"/>
  <c r="AA29" i="1" s="1"/>
  <c r="U4" i="1"/>
  <c r="U5" i="1" s="1"/>
  <c r="U6" i="1"/>
  <c r="U7" i="1" s="1"/>
  <c r="U8" i="1"/>
  <c r="U9" i="1" s="1"/>
  <c r="U10" i="1"/>
  <c r="U11" i="1" s="1"/>
  <c r="U12" i="1"/>
  <c r="U13" i="1" s="1"/>
  <c r="U14" i="1"/>
  <c r="U15" i="1" s="1"/>
  <c r="U16" i="1"/>
  <c r="U17" i="1" s="1"/>
  <c r="U18" i="1"/>
  <c r="U19" i="1" s="1"/>
  <c r="U20" i="1"/>
  <c r="U21" i="1" s="1"/>
  <c r="U22" i="1"/>
  <c r="U23" i="1" s="1"/>
  <c r="U24" i="1"/>
  <c r="U25" i="1" s="1"/>
  <c r="U26" i="1"/>
  <c r="U27" i="1" s="1"/>
  <c r="U28" i="1"/>
  <c r="U29" i="1" s="1"/>
  <c r="U30" i="1"/>
  <c r="U31" i="1" s="1"/>
  <c r="U46" i="1"/>
  <c r="U47" i="1" s="1"/>
  <c r="U48" i="1"/>
  <c r="U49" i="1" s="1"/>
  <c r="U50" i="1"/>
  <c r="U51" i="1" s="1"/>
  <c r="U52" i="1"/>
  <c r="U53" i="1" s="1"/>
  <c r="U54" i="1"/>
  <c r="U55" i="1" s="1"/>
  <c r="U56" i="1"/>
  <c r="U57" i="1" s="1"/>
  <c r="U58" i="1"/>
  <c r="U59" i="1" s="1"/>
  <c r="U60" i="1"/>
  <c r="U61" i="1" s="1"/>
  <c r="U62" i="1"/>
  <c r="U63" i="1" s="1"/>
  <c r="U64" i="1"/>
  <c r="U65" i="1" s="1"/>
  <c r="U66" i="1"/>
  <c r="U67" i="1" s="1"/>
  <c r="U68" i="1"/>
  <c r="U69" i="1" s="1"/>
  <c r="U70" i="1"/>
  <c r="U71" i="1" s="1"/>
  <c r="U72" i="1"/>
  <c r="U73" i="1" s="1"/>
  <c r="U74" i="1"/>
  <c r="U75" i="1" s="1"/>
  <c r="U76" i="1"/>
  <c r="U77" i="1" s="1"/>
  <c r="U78" i="1"/>
  <c r="U79" i="1" s="1"/>
  <c r="U80" i="1"/>
  <c r="U81" i="1" s="1"/>
  <c r="U82" i="1"/>
  <c r="U83" i="1" s="1"/>
  <c r="U84" i="1"/>
  <c r="U85" i="1" s="1"/>
  <c r="U86" i="1"/>
  <c r="U87" i="1" s="1"/>
  <c r="U88" i="1"/>
  <c r="U89" i="1" s="1"/>
  <c r="U90" i="1"/>
  <c r="U91" i="1" s="1"/>
  <c r="U92" i="1"/>
  <c r="U93" i="1" s="1"/>
  <c r="U94" i="1"/>
  <c r="U95" i="1" s="1"/>
  <c r="U96" i="1"/>
  <c r="U97" i="1" s="1"/>
  <c r="U98" i="1"/>
  <c r="U99" i="1" s="1"/>
  <c r="U100" i="1"/>
  <c r="U101" i="1" s="1"/>
  <c r="U102" i="1"/>
  <c r="U103" i="1" s="1"/>
  <c r="U104" i="1"/>
  <c r="U105" i="1" s="1"/>
  <c r="U106" i="1"/>
  <c r="U107" i="1" s="1"/>
  <c r="U108" i="1"/>
  <c r="U109" i="1" s="1"/>
  <c r="U110" i="1"/>
  <c r="U111" i="1" s="1"/>
  <c r="U112" i="1"/>
  <c r="U113" i="1" s="1"/>
  <c r="U114" i="1"/>
  <c r="U115" i="1" s="1"/>
  <c r="U116" i="1"/>
  <c r="U117" i="1" s="1"/>
  <c r="U118" i="1"/>
  <c r="U119" i="1" s="1"/>
  <c r="U120" i="1"/>
  <c r="U121" i="1" s="1"/>
  <c r="U122" i="1"/>
  <c r="U123" i="1" s="1"/>
  <c r="U124" i="1"/>
  <c r="U125" i="1" s="1"/>
  <c r="U126" i="1"/>
  <c r="U127" i="1" s="1"/>
  <c r="U128" i="1"/>
  <c r="U129" i="1" s="1"/>
  <c r="U130" i="1"/>
  <c r="U131" i="1" s="1"/>
  <c r="U132" i="1"/>
  <c r="U133" i="1" s="1"/>
  <c r="U134" i="1"/>
  <c r="U135" i="1" s="1"/>
  <c r="U136" i="1"/>
  <c r="U137" i="1" s="1"/>
  <c r="U138" i="1"/>
  <c r="U139" i="1" s="1"/>
  <c r="U140" i="1"/>
  <c r="U141" i="1" s="1"/>
  <c r="U142" i="1"/>
  <c r="U143" i="1" s="1"/>
  <c r="U144" i="1"/>
  <c r="U145" i="1" s="1"/>
  <c r="U146" i="1"/>
  <c r="U147" i="1" s="1"/>
  <c r="U148" i="1"/>
  <c r="U149" i="1" s="1"/>
  <c r="U150" i="1"/>
  <c r="U151" i="1" s="1"/>
  <c r="U152" i="1"/>
  <c r="U153" i="1" s="1"/>
  <c r="U154" i="1"/>
  <c r="U155" i="1" s="1"/>
  <c r="U156" i="1"/>
  <c r="U157" i="1" s="1"/>
  <c r="U158" i="1"/>
  <c r="U159" i="1" s="1"/>
  <c r="U160" i="1"/>
  <c r="U161" i="1" s="1"/>
  <c r="U162" i="1"/>
  <c r="U163" i="1" s="1"/>
  <c r="U164" i="1"/>
  <c r="U165" i="1" s="1"/>
  <c r="U166" i="1"/>
  <c r="U167" i="1" s="1"/>
  <c r="U168" i="1"/>
  <c r="U169" i="1" s="1"/>
  <c r="U170" i="1"/>
  <c r="U171" i="1" s="1"/>
  <c r="U172" i="1"/>
  <c r="U173" i="1" s="1"/>
  <c r="U174" i="1"/>
  <c r="U175" i="1" s="1"/>
  <c r="U176" i="1"/>
  <c r="U177" i="1" s="1"/>
  <c r="U178" i="1"/>
  <c r="U179" i="1" s="1"/>
  <c r="U180" i="1"/>
  <c r="U181" i="1" s="1"/>
  <c r="U182" i="1"/>
  <c r="U183" i="1" s="1"/>
  <c r="U184" i="1"/>
  <c r="U185" i="1" s="1"/>
  <c r="U186" i="1"/>
  <c r="U187" i="1" s="1"/>
  <c r="U188" i="1"/>
  <c r="U189" i="1" s="1"/>
  <c r="U190" i="1"/>
  <c r="U191" i="1" s="1"/>
  <c r="U192" i="1"/>
  <c r="U193" i="1" s="1"/>
  <c r="U194" i="1"/>
  <c r="U195" i="1" s="1"/>
  <c r="U196" i="1"/>
  <c r="U197" i="1" s="1"/>
  <c r="U198" i="1"/>
  <c r="U199" i="1" s="1"/>
  <c r="U200" i="1"/>
  <c r="U201" i="1" s="1"/>
  <c r="U202" i="1"/>
  <c r="U203" i="1" s="1"/>
  <c r="U204" i="1"/>
  <c r="U205" i="1" s="1"/>
  <c r="U206" i="1"/>
  <c r="U207" i="1" s="1"/>
  <c r="U208" i="1"/>
  <c r="U209" i="1" s="1"/>
  <c r="U210" i="1"/>
  <c r="U211" i="1" s="1"/>
  <c r="U212" i="1"/>
  <c r="U213" i="1" s="1"/>
  <c r="U214" i="1"/>
  <c r="U215" i="1" s="1"/>
  <c r="U216" i="1"/>
  <c r="U217" i="1" s="1"/>
  <c r="U218" i="1"/>
  <c r="U219" i="1" s="1"/>
  <c r="U220" i="1"/>
  <c r="U221" i="1" s="1"/>
  <c r="U222" i="1"/>
  <c r="U223" i="1" s="1"/>
  <c r="U224" i="1"/>
  <c r="U225" i="1" s="1"/>
  <c r="U226" i="1"/>
  <c r="U227" i="1" s="1"/>
  <c r="U228" i="1"/>
  <c r="U229" i="1" s="1"/>
  <c r="U230" i="1"/>
  <c r="U231" i="1" s="1"/>
  <c r="U232" i="1"/>
  <c r="U233" i="1" s="1"/>
  <c r="U234" i="1"/>
  <c r="U235" i="1" s="1"/>
  <c r="U236" i="1"/>
  <c r="U237" i="1" s="1"/>
  <c r="U238" i="1"/>
  <c r="U239" i="1" s="1"/>
  <c r="U240" i="1"/>
  <c r="U241" i="1" s="1"/>
  <c r="U242" i="1"/>
  <c r="U243" i="1" s="1"/>
  <c r="U244" i="1"/>
  <c r="U245" i="1" s="1"/>
  <c r="U246" i="1"/>
  <c r="U247" i="1" s="1"/>
  <c r="U248" i="1"/>
  <c r="U249" i="1" s="1"/>
  <c r="U250" i="1"/>
  <c r="U251" i="1" s="1"/>
  <c r="U252" i="1"/>
  <c r="U253" i="1" s="1"/>
  <c r="U254" i="1"/>
  <c r="U255" i="1" s="1"/>
  <c r="U256" i="1"/>
  <c r="U257" i="1" s="1"/>
  <c r="U258" i="1"/>
  <c r="U259" i="1" s="1"/>
  <c r="U260" i="1"/>
  <c r="U261" i="1" s="1"/>
  <c r="U262" i="1"/>
  <c r="U263" i="1" s="1"/>
  <c r="U264" i="1"/>
  <c r="U265" i="1" s="1"/>
  <c r="U266" i="1"/>
  <c r="U267" i="1" s="1"/>
  <c r="U268" i="1"/>
  <c r="U269" i="1" s="1"/>
  <c r="U270" i="1"/>
  <c r="U271" i="1" s="1"/>
  <c r="U272" i="1"/>
  <c r="U273" i="1" s="1"/>
  <c r="U274" i="1"/>
  <c r="U275" i="1" s="1"/>
  <c r="U276" i="1"/>
  <c r="U277" i="1" s="1"/>
  <c r="U278" i="1"/>
  <c r="U279" i="1" s="1"/>
  <c r="U280" i="1"/>
  <c r="U281" i="1" s="1"/>
  <c r="U282" i="1"/>
  <c r="U283" i="1" s="1"/>
  <c r="U284" i="1"/>
  <c r="U285" i="1" s="1"/>
  <c r="U286" i="1"/>
  <c r="U287" i="1" s="1"/>
  <c r="U288" i="1"/>
  <c r="U289" i="1" s="1"/>
  <c r="U290" i="1"/>
  <c r="U291" i="1" s="1"/>
  <c r="U292" i="1"/>
  <c r="U293" i="1" s="1"/>
  <c r="U294" i="1"/>
  <c r="U295" i="1" s="1"/>
  <c r="U296" i="1"/>
  <c r="U297" i="1" s="1"/>
  <c r="U298" i="1"/>
  <c r="U299" i="1" s="1"/>
  <c r="U300" i="1"/>
  <c r="U301" i="1" s="1"/>
  <c r="U302" i="1"/>
  <c r="U303" i="1" s="1"/>
  <c r="U304" i="1"/>
  <c r="U305" i="1" s="1"/>
  <c r="U306" i="1"/>
  <c r="U307" i="1" s="1"/>
  <c r="U308" i="1"/>
  <c r="U309" i="1" s="1"/>
  <c r="U310" i="1"/>
  <c r="U311" i="1" s="1"/>
  <c r="U312" i="1"/>
  <c r="U313" i="1" s="1"/>
  <c r="U314" i="1"/>
  <c r="U315" i="1" s="1"/>
  <c r="U316" i="1"/>
  <c r="U317" i="1" s="1"/>
  <c r="U318" i="1"/>
  <c r="U319" i="1" s="1"/>
  <c r="U320" i="1"/>
  <c r="U321" i="1" s="1"/>
  <c r="U322" i="1"/>
  <c r="U323" i="1" s="1"/>
  <c r="U324" i="1"/>
  <c r="U325" i="1" s="1"/>
  <c r="U326" i="1"/>
  <c r="U327" i="1" s="1"/>
  <c r="U328" i="1"/>
  <c r="U329" i="1" s="1"/>
  <c r="U330" i="1"/>
  <c r="U331" i="1" s="1"/>
  <c r="U332" i="1"/>
  <c r="U333" i="1" s="1"/>
  <c r="U334" i="1"/>
  <c r="U335" i="1" s="1"/>
  <c r="U336" i="1"/>
  <c r="U337" i="1" s="1"/>
  <c r="U338" i="1"/>
  <c r="U339" i="1" s="1"/>
  <c r="U340" i="1"/>
  <c r="U341" i="1" s="1"/>
  <c r="U342" i="1"/>
  <c r="U343" i="1" s="1"/>
  <c r="U344" i="1"/>
  <c r="U345" i="1" s="1"/>
  <c r="U346" i="1"/>
  <c r="U347" i="1" s="1"/>
  <c r="U348" i="1"/>
  <c r="U349" i="1" s="1"/>
  <c r="U350" i="1"/>
  <c r="U351" i="1" s="1"/>
  <c r="U352" i="1"/>
  <c r="U353" i="1" s="1"/>
  <c r="U354" i="1"/>
  <c r="U355" i="1" s="1"/>
  <c r="U356" i="1"/>
  <c r="U357" i="1" s="1"/>
  <c r="U358" i="1"/>
  <c r="U359" i="1" s="1"/>
  <c r="U360" i="1"/>
  <c r="U361" i="1" s="1"/>
  <c r="U362" i="1"/>
  <c r="U363" i="1" s="1"/>
  <c r="U364" i="1"/>
  <c r="U365" i="1" s="1"/>
  <c r="U366" i="1"/>
  <c r="U367" i="1" s="1"/>
  <c r="U368" i="1"/>
  <c r="U369" i="1" s="1"/>
  <c r="U370" i="1"/>
  <c r="U371" i="1" s="1"/>
  <c r="U372" i="1"/>
  <c r="U373" i="1" s="1"/>
  <c r="U374" i="1"/>
  <c r="U375" i="1" s="1"/>
  <c r="U376" i="1"/>
  <c r="U377" i="1" s="1"/>
  <c r="U378" i="1"/>
  <c r="U379" i="1" s="1"/>
  <c r="U380" i="1"/>
  <c r="U381" i="1" s="1"/>
  <c r="U382" i="1"/>
  <c r="U383" i="1" s="1"/>
  <c r="U384" i="1"/>
  <c r="U385" i="1" s="1"/>
  <c r="U386" i="1"/>
  <c r="U387" i="1" s="1"/>
  <c r="U388" i="1"/>
  <c r="U389" i="1" s="1"/>
  <c r="U390" i="1"/>
  <c r="U391" i="1" s="1"/>
  <c r="U392" i="1"/>
  <c r="U393" i="1" s="1"/>
  <c r="U394" i="1"/>
  <c r="U395" i="1" s="1"/>
  <c r="U396" i="1"/>
  <c r="U397" i="1" s="1"/>
  <c r="U398" i="1"/>
  <c r="U399" i="1" s="1"/>
  <c r="U400" i="1"/>
  <c r="U401" i="1" s="1"/>
  <c r="U402" i="1"/>
  <c r="U403" i="1" s="1"/>
  <c r="U404" i="1"/>
  <c r="U405" i="1" s="1"/>
  <c r="U406" i="1"/>
  <c r="U407" i="1" s="1"/>
  <c r="U408" i="1"/>
  <c r="U409" i="1" s="1"/>
  <c r="U410" i="1"/>
  <c r="U411" i="1" s="1"/>
  <c r="U412" i="1"/>
  <c r="U413" i="1" s="1"/>
  <c r="U414" i="1"/>
  <c r="U415" i="1" s="1"/>
  <c r="U416" i="1"/>
  <c r="U417" i="1" s="1"/>
  <c r="U418" i="1"/>
  <c r="U419" i="1" s="1"/>
  <c r="U420" i="1"/>
  <c r="U421" i="1" s="1"/>
  <c r="U422" i="1"/>
  <c r="U423" i="1" s="1"/>
  <c r="U424" i="1"/>
  <c r="U425" i="1" s="1"/>
  <c r="U426" i="1"/>
  <c r="U427" i="1" s="1"/>
  <c r="U428" i="1"/>
  <c r="U429" i="1" s="1"/>
  <c r="U430" i="1"/>
  <c r="U431" i="1" s="1"/>
  <c r="U432" i="1"/>
  <c r="U433" i="1" s="1"/>
  <c r="U434" i="1"/>
  <c r="U435" i="1" s="1"/>
  <c r="U436" i="1"/>
  <c r="U437" i="1" s="1"/>
  <c r="U438" i="1"/>
  <c r="U439" i="1" s="1"/>
  <c r="U440" i="1"/>
  <c r="U441" i="1" s="1"/>
  <c r="U442" i="1"/>
  <c r="U443" i="1" s="1"/>
  <c r="U444" i="1"/>
  <c r="U445" i="1" s="1"/>
  <c r="U446" i="1"/>
  <c r="U447" i="1" s="1"/>
  <c r="U448" i="1"/>
  <c r="U449" i="1" s="1"/>
  <c r="U450" i="1"/>
  <c r="U451" i="1" s="1"/>
  <c r="U452" i="1"/>
  <c r="U453" i="1" s="1"/>
  <c r="U454" i="1"/>
  <c r="U455" i="1" s="1"/>
  <c r="U456" i="1"/>
  <c r="U457" i="1" s="1"/>
  <c r="U458" i="1"/>
  <c r="U459" i="1" s="1"/>
  <c r="U460" i="1"/>
  <c r="U461" i="1" s="1"/>
  <c r="U462" i="1"/>
  <c r="U463" i="1" s="1"/>
  <c r="U464" i="1"/>
  <c r="U465" i="1" s="1"/>
  <c r="U466" i="1"/>
  <c r="U467" i="1" s="1"/>
  <c r="U468" i="1"/>
  <c r="U469" i="1" s="1"/>
  <c r="U470" i="1"/>
  <c r="U471" i="1" s="1"/>
  <c r="U472" i="1"/>
  <c r="U473" i="1" s="1"/>
  <c r="U474" i="1"/>
  <c r="U475" i="1" s="1"/>
  <c r="U476" i="1"/>
  <c r="U477" i="1" s="1"/>
  <c r="U478" i="1"/>
  <c r="U479" i="1" s="1"/>
  <c r="U480" i="1"/>
  <c r="U481" i="1" s="1"/>
  <c r="U482" i="1"/>
  <c r="U483" i="1" s="1"/>
  <c r="U484" i="1"/>
  <c r="U485" i="1" s="1"/>
  <c r="U486" i="1"/>
  <c r="U487" i="1" s="1"/>
  <c r="U488" i="1"/>
  <c r="U489" i="1" s="1"/>
  <c r="U490" i="1"/>
  <c r="U491" i="1" s="1"/>
  <c r="U492" i="1"/>
  <c r="U493" i="1" s="1"/>
  <c r="U494" i="1"/>
  <c r="U495" i="1" s="1"/>
  <c r="U496" i="1"/>
  <c r="U497" i="1" s="1"/>
  <c r="U498" i="1"/>
  <c r="U499" i="1" s="1"/>
  <c r="U500" i="1"/>
  <c r="U501" i="1" s="1"/>
  <c r="U502" i="1"/>
  <c r="U503" i="1" s="1"/>
  <c r="U504" i="1"/>
  <c r="U505" i="1" s="1"/>
  <c r="U506" i="1"/>
  <c r="U507" i="1" s="1"/>
  <c r="U508" i="1"/>
  <c r="U509" i="1" s="1"/>
  <c r="U510" i="1"/>
  <c r="U511" i="1" s="1"/>
  <c r="U512" i="1"/>
  <c r="U513" i="1" s="1"/>
  <c r="U514" i="1"/>
  <c r="U515" i="1" s="1"/>
  <c r="U516" i="1"/>
  <c r="U517" i="1" s="1"/>
  <c r="U518" i="1"/>
  <c r="U519" i="1" s="1"/>
  <c r="U520" i="1"/>
  <c r="U521" i="1" s="1"/>
  <c r="U522" i="1"/>
  <c r="U523" i="1" s="1"/>
  <c r="U524" i="1"/>
  <c r="U525" i="1" s="1"/>
  <c r="U526" i="1"/>
  <c r="U527" i="1" s="1"/>
  <c r="U528" i="1"/>
  <c r="U529" i="1" s="1"/>
  <c r="U530" i="1"/>
  <c r="U531" i="1" s="1"/>
  <c r="U532" i="1"/>
  <c r="U533" i="1" s="1"/>
  <c r="U534" i="1"/>
  <c r="U535" i="1" s="1"/>
  <c r="U536" i="1"/>
  <c r="U537" i="1" s="1"/>
  <c r="U538" i="1"/>
  <c r="U539" i="1" s="1"/>
  <c r="U540" i="1"/>
  <c r="U541" i="1" s="1"/>
  <c r="U542" i="1"/>
  <c r="U543" i="1" s="1"/>
  <c r="U544" i="1"/>
  <c r="U545" i="1" s="1"/>
  <c r="U546" i="1"/>
  <c r="U547" i="1" s="1"/>
  <c r="U548" i="1"/>
  <c r="U549" i="1" s="1"/>
  <c r="U550" i="1"/>
  <c r="U551" i="1" s="1"/>
  <c r="U552" i="1"/>
  <c r="U553" i="1" s="1"/>
  <c r="U554" i="1"/>
  <c r="U555" i="1" s="1"/>
  <c r="U556" i="1"/>
  <c r="U557" i="1" s="1"/>
  <c r="U558" i="1"/>
  <c r="U559" i="1" s="1"/>
  <c r="U560" i="1"/>
  <c r="U561" i="1" s="1"/>
  <c r="U562" i="1"/>
  <c r="U563" i="1" s="1"/>
  <c r="U564" i="1"/>
  <c r="U565" i="1" s="1"/>
  <c r="U566" i="1"/>
  <c r="U567" i="1" s="1"/>
  <c r="U568" i="1"/>
  <c r="U569" i="1" s="1"/>
  <c r="U570" i="1"/>
  <c r="U571" i="1" s="1"/>
  <c r="U572" i="1"/>
  <c r="U573" i="1" s="1"/>
  <c r="U574" i="1"/>
  <c r="U575" i="1" s="1"/>
  <c r="U576" i="1"/>
  <c r="U577" i="1" s="1"/>
  <c r="U578" i="1"/>
  <c r="U579" i="1" s="1"/>
  <c r="U580" i="1"/>
  <c r="U581" i="1" s="1"/>
  <c r="U582" i="1"/>
  <c r="U583" i="1" s="1"/>
  <c r="U584" i="1"/>
  <c r="U585" i="1" s="1"/>
  <c r="U586" i="1"/>
  <c r="U587" i="1" s="1"/>
  <c r="U588" i="1"/>
  <c r="U589" i="1" s="1"/>
  <c r="U590" i="1"/>
  <c r="U591" i="1" s="1"/>
  <c r="U592" i="1"/>
  <c r="U593" i="1" s="1"/>
  <c r="U594" i="1"/>
  <c r="U595" i="1" s="1"/>
  <c r="U596" i="1"/>
  <c r="U597" i="1" s="1"/>
  <c r="U598" i="1"/>
  <c r="U599" i="1" s="1"/>
  <c r="U600" i="1"/>
  <c r="U601" i="1" s="1"/>
  <c r="U602" i="1"/>
  <c r="U603" i="1" s="1"/>
  <c r="U604" i="1"/>
  <c r="U605" i="1" s="1"/>
  <c r="U606" i="1"/>
  <c r="U607" i="1" s="1"/>
  <c r="U608" i="1"/>
  <c r="U609" i="1" s="1"/>
  <c r="U610" i="1"/>
  <c r="U611" i="1" s="1"/>
  <c r="U612" i="1"/>
  <c r="U613" i="1" s="1"/>
  <c r="U614" i="1"/>
  <c r="U615" i="1" s="1"/>
  <c r="U616" i="1"/>
  <c r="U617" i="1" s="1"/>
  <c r="U618" i="1"/>
  <c r="U619" i="1" s="1"/>
  <c r="U620" i="1"/>
  <c r="U621" i="1" s="1"/>
  <c r="U622" i="1"/>
  <c r="U623" i="1" s="1"/>
  <c r="U624" i="1"/>
  <c r="U625" i="1" s="1"/>
  <c r="U626" i="1"/>
  <c r="U627" i="1" s="1"/>
  <c r="U628" i="1"/>
  <c r="U629" i="1" s="1"/>
  <c r="U630" i="1"/>
  <c r="U631" i="1" s="1"/>
  <c r="U632" i="1"/>
  <c r="U633" i="1" s="1"/>
  <c r="U634" i="1"/>
  <c r="U635" i="1" s="1"/>
  <c r="U636" i="1"/>
  <c r="U637" i="1" s="1"/>
  <c r="U638" i="1"/>
  <c r="U639" i="1" s="1"/>
  <c r="U640" i="1"/>
  <c r="U641" i="1" s="1"/>
  <c r="U642" i="1"/>
  <c r="U643" i="1" s="1"/>
  <c r="U644" i="1"/>
  <c r="U645" i="1" s="1"/>
  <c r="U646" i="1"/>
  <c r="U647" i="1" s="1"/>
  <c r="U648" i="1"/>
  <c r="U649" i="1" s="1"/>
  <c r="U650" i="1"/>
  <c r="U651" i="1" s="1"/>
  <c r="U652" i="1"/>
  <c r="U653" i="1" s="1"/>
  <c r="U654" i="1"/>
  <c r="U655" i="1" s="1"/>
  <c r="U656" i="1"/>
  <c r="U657" i="1" s="1"/>
  <c r="U658" i="1"/>
  <c r="U659" i="1" s="1"/>
  <c r="U660" i="1"/>
  <c r="U661" i="1" s="1"/>
  <c r="U662" i="1"/>
  <c r="U663" i="1" s="1"/>
  <c r="U664" i="1"/>
  <c r="U665" i="1" s="1"/>
  <c r="U666" i="1"/>
  <c r="U667" i="1" s="1"/>
  <c r="U668" i="1"/>
  <c r="U669" i="1" s="1"/>
  <c r="U670" i="1"/>
  <c r="U671" i="1" s="1"/>
  <c r="U672" i="1"/>
  <c r="U673" i="1" s="1"/>
  <c r="U674" i="1"/>
  <c r="U675" i="1" s="1"/>
  <c r="U676" i="1"/>
  <c r="U677" i="1" s="1"/>
  <c r="U678" i="1"/>
  <c r="U679" i="1" s="1"/>
  <c r="U680" i="1"/>
  <c r="U681" i="1" s="1"/>
  <c r="U682" i="1"/>
  <c r="U683" i="1" s="1"/>
  <c r="U684" i="1"/>
  <c r="U685" i="1" s="1"/>
  <c r="U686" i="1"/>
  <c r="U687" i="1" s="1"/>
  <c r="U688" i="1"/>
  <c r="U689" i="1" s="1"/>
  <c r="U690" i="1"/>
  <c r="U691" i="1" s="1"/>
  <c r="U692" i="1"/>
  <c r="U693" i="1" s="1"/>
  <c r="U694" i="1"/>
  <c r="U695" i="1" s="1"/>
  <c r="U696" i="1"/>
  <c r="U697" i="1" s="1"/>
  <c r="U698" i="1"/>
  <c r="U699" i="1" s="1"/>
  <c r="U700" i="1"/>
  <c r="U701" i="1" s="1"/>
  <c r="U702" i="1"/>
  <c r="U703" i="1" s="1"/>
  <c r="U704" i="1"/>
  <c r="U705" i="1" s="1"/>
  <c r="U706" i="1"/>
  <c r="U707" i="1" s="1"/>
  <c r="U708" i="1"/>
  <c r="U709" i="1" s="1"/>
  <c r="U710" i="1"/>
  <c r="U711" i="1" s="1"/>
  <c r="U712" i="1"/>
  <c r="U713" i="1" s="1"/>
  <c r="U714" i="1"/>
  <c r="U715" i="1" s="1"/>
  <c r="U716" i="1"/>
  <c r="U717" i="1" s="1"/>
  <c r="U718" i="1"/>
  <c r="U719" i="1" s="1"/>
  <c r="U720" i="1"/>
  <c r="U721" i="1" s="1"/>
  <c r="U722" i="1"/>
  <c r="U723" i="1" s="1"/>
  <c r="U724" i="1"/>
  <c r="U725" i="1" s="1"/>
  <c r="U726" i="1"/>
  <c r="U727" i="1" s="1"/>
  <c r="U728" i="1"/>
  <c r="U729" i="1" s="1"/>
  <c r="U730" i="1"/>
  <c r="U731" i="1" s="1"/>
  <c r="U732" i="1"/>
  <c r="U733" i="1" s="1"/>
  <c r="U734" i="1"/>
  <c r="U735" i="1" s="1"/>
  <c r="U736" i="1"/>
  <c r="U737" i="1" s="1"/>
  <c r="U738" i="1"/>
  <c r="U739" i="1" s="1"/>
  <c r="U740" i="1"/>
  <c r="U741" i="1" s="1"/>
  <c r="U742" i="1"/>
  <c r="U743" i="1" s="1"/>
  <c r="U744" i="1"/>
  <c r="U745" i="1" s="1"/>
  <c r="U746" i="1"/>
  <c r="U747" i="1" s="1"/>
  <c r="U748" i="1"/>
  <c r="U749" i="1" s="1"/>
  <c r="U750" i="1"/>
  <c r="U751" i="1" s="1"/>
  <c r="U752" i="1"/>
  <c r="U753" i="1" s="1"/>
  <c r="U754" i="1"/>
  <c r="U755" i="1" s="1"/>
  <c r="U756" i="1"/>
  <c r="U757" i="1" s="1"/>
  <c r="U758" i="1"/>
  <c r="U759" i="1" s="1"/>
  <c r="U760" i="1"/>
  <c r="U761" i="1" s="1"/>
  <c r="U762" i="1"/>
  <c r="U763" i="1" s="1"/>
  <c r="U764" i="1"/>
  <c r="U765" i="1" s="1"/>
  <c r="U766" i="1"/>
  <c r="U767" i="1" s="1"/>
  <c r="U768" i="1"/>
  <c r="U769" i="1" s="1"/>
  <c r="U770" i="1"/>
  <c r="U771" i="1" s="1"/>
  <c r="U772" i="1"/>
  <c r="U773" i="1" s="1"/>
  <c r="U774" i="1"/>
  <c r="U775" i="1" s="1"/>
  <c r="U776" i="1"/>
  <c r="U777" i="1" s="1"/>
  <c r="U778" i="1"/>
  <c r="U779" i="1" s="1"/>
  <c r="U780" i="1"/>
  <c r="U781" i="1" s="1"/>
  <c r="U782" i="1"/>
  <c r="U783" i="1" s="1"/>
  <c r="U784" i="1"/>
  <c r="U785" i="1" s="1"/>
  <c r="U786" i="1"/>
  <c r="U787" i="1" s="1"/>
  <c r="U788" i="1"/>
  <c r="U789" i="1" s="1"/>
  <c r="U790" i="1"/>
  <c r="U791" i="1" s="1"/>
  <c r="U792" i="1"/>
  <c r="U793" i="1" s="1"/>
  <c r="U794" i="1"/>
  <c r="U795" i="1" s="1"/>
  <c r="U796" i="1"/>
  <c r="U797" i="1" s="1"/>
  <c r="U798" i="1"/>
  <c r="U799" i="1" s="1"/>
  <c r="U800" i="1"/>
  <c r="U801" i="1" s="1"/>
  <c r="U802" i="1"/>
  <c r="U803" i="1" s="1"/>
  <c r="U804" i="1"/>
  <c r="U805" i="1" s="1"/>
  <c r="U806" i="1"/>
  <c r="U807" i="1" s="1"/>
  <c r="U808" i="1"/>
  <c r="U809" i="1" s="1"/>
  <c r="U810" i="1"/>
  <c r="U811" i="1" s="1"/>
  <c r="U812" i="1"/>
  <c r="U813" i="1" s="1"/>
  <c r="U814" i="1"/>
  <c r="U815" i="1" s="1"/>
  <c r="U816" i="1"/>
  <c r="U817" i="1" s="1"/>
  <c r="U818" i="1"/>
  <c r="U819" i="1" s="1"/>
  <c r="U820" i="1"/>
  <c r="U821" i="1" s="1"/>
  <c r="U822" i="1"/>
  <c r="U823" i="1" s="1"/>
  <c r="U824" i="1"/>
  <c r="U825" i="1" s="1"/>
  <c r="U826" i="1"/>
  <c r="U827" i="1" s="1"/>
  <c r="U828" i="1"/>
  <c r="U829" i="1" s="1"/>
  <c r="U830" i="1"/>
  <c r="U831" i="1" s="1"/>
  <c r="U832" i="1"/>
  <c r="U833" i="1" s="1"/>
  <c r="U834" i="1"/>
  <c r="U835" i="1" s="1"/>
  <c r="U836" i="1"/>
  <c r="U837" i="1" s="1"/>
  <c r="U838" i="1"/>
  <c r="U839" i="1" s="1"/>
  <c r="U840" i="1"/>
  <c r="U841" i="1" s="1"/>
  <c r="U842" i="1"/>
  <c r="U843" i="1" s="1"/>
  <c r="U844" i="1"/>
  <c r="U845" i="1" s="1"/>
  <c r="U846" i="1"/>
  <c r="U847" i="1" s="1"/>
  <c r="U848" i="1"/>
  <c r="U849" i="1" s="1"/>
  <c r="U850" i="1"/>
  <c r="U851" i="1" s="1"/>
  <c r="U852" i="1"/>
  <c r="U853" i="1" s="1"/>
  <c r="U854" i="1"/>
  <c r="U855" i="1" s="1"/>
  <c r="U856" i="1"/>
  <c r="U857" i="1" s="1"/>
  <c r="U858" i="1"/>
  <c r="U859" i="1" s="1"/>
  <c r="U860" i="1"/>
  <c r="U861" i="1" s="1"/>
  <c r="U862" i="1"/>
  <c r="U863" i="1" s="1"/>
  <c r="U864" i="1"/>
  <c r="U865" i="1" s="1"/>
  <c r="U866" i="1"/>
  <c r="U867" i="1" s="1"/>
  <c r="U868" i="1"/>
  <c r="U869" i="1" s="1"/>
  <c r="U870" i="1"/>
  <c r="U871" i="1" s="1"/>
  <c r="U872" i="1"/>
  <c r="U873" i="1" s="1"/>
  <c r="U874" i="1"/>
  <c r="U875" i="1" s="1"/>
  <c r="U876" i="1"/>
  <c r="U877" i="1" s="1"/>
  <c r="U878" i="1"/>
  <c r="U879" i="1" s="1"/>
  <c r="U880" i="1"/>
  <c r="U881" i="1" s="1"/>
  <c r="U882" i="1"/>
  <c r="U883" i="1" s="1"/>
  <c r="U884" i="1"/>
  <c r="U885" i="1" s="1"/>
  <c r="U886" i="1"/>
  <c r="U887" i="1" s="1"/>
  <c r="U888" i="1"/>
  <c r="U889" i="1" s="1"/>
  <c r="U890" i="1"/>
  <c r="U891" i="1" s="1"/>
  <c r="U892" i="1"/>
  <c r="U893" i="1" s="1"/>
  <c r="U894" i="1"/>
  <c r="U895" i="1" s="1"/>
  <c r="U896" i="1"/>
  <c r="U897" i="1" s="1"/>
  <c r="U898" i="1"/>
  <c r="U899" i="1" s="1"/>
  <c r="U900" i="1"/>
  <c r="U901" i="1" s="1"/>
  <c r="U902" i="1"/>
  <c r="U903" i="1" s="1"/>
  <c r="U904" i="1"/>
  <c r="U905" i="1" s="1"/>
  <c r="U906" i="1"/>
  <c r="U907" i="1" s="1"/>
  <c r="U908" i="1"/>
  <c r="U909" i="1" s="1"/>
  <c r="U910" i="1"/>
  <c r="U911" i="1" s="1"/>
  <c r="U912" i="1"/>
  <c r="U913" i="1" s="1"/>
  <c r="U914" i="1"/>
  <c r="U915" i="1" s="1"/>
  <c r="U916" i="1"/>
  <c r="U917" i="1" s="1"/>
  <c r="U918" i="1"/>
  <c r="U919" i="1" s="1"/>
  <c r="U920" i="1"/>
  <c r="U921" i="1" s="1"/>
  <c r="U922" i="1"/>
  <c r="U923" i="1" s="1"/>
  <c r="U924" i="1"/>
  <c r="U925" i="1" s="1"/>
  <c r="U926" i="1"/>
  <c r="U927" i="1" s="1"/>
  <c r="U928" i="1"/>
  <c r="U929" i="1" s="1"/>
  <c r="U930" i="1"/>
  <c r="U931" i="1" s="1"/>
  <c r="U932" i="1"/>
  <c r="U933" i="1" s="1"/>
  <c r="U934" i="1"/>
  <c r="U935" i="1" s="1"/>
  <c r="U936" i="1"/>
  <c r="U937" i="1" s="1"/>
  <c r="U938" i="1"/>
  <c r="U939" i="1" s="1"/>
  <c r="U940" i="1"/>
  <c r="U941" i="1" s="1"/>
  <c r="U942" i="1"/>
  <c r="U943" i="1" s="1"/>
  <c r="U944" i="1"/>
  <c r="U945" i="1" s="1"/>
  <c r="U946" i="1"/>
  <c r="U947" i="1" s="1"/>
  <c r="U948" i="1"/>
  <c r="U949" i="1" s="1"/>
  <c r="U950" i="1"/>
  <c r="U951" i="1" s="1"/>
  <c r="U952" i="1"/>
  <c r="U953" i="1" s="1"/>
  <c r="U954" i="1"/>
  <c r="U955" i="1" s="1"/>
  <c r="U956" i="1"/>
  <c r="U957" i="1" s="1"/>
  <c r="U958" i="1"/>
  <c r="U959" i="1" s="1"/>
  <c r="U960" i="1"/>
  <c r="U961" i="1" s="1"/>
  <c r="U962" i="1"/>
  <c r="U963" i="1" s="1"/>
  <c r="U964" i="1"/>
  <c r="U965" i="1" s="1"/>
  <c r="U966" i="1"/>
  <c r="U967" i="1" s="1"/>
  <c r="U968" i="1"/>
  <c r="U969" i="1" s="1"/>
  <c r="U970" i="1"/>
  <c r="U971" i="1" s="1"/>
  <c r="U972" i="1"/>
  <c r="U973" i="1" s="1"/>
  <c r="U974" i="1"/>
  <c r="U975" i="1" s="1"/>
  <c r="U976" i="1"/>
  <c r="U977" i="1" s="1"/>
  <c r="U978" i="1"/>
  <c r="U979" i="1" s="1"/>
  <c r="U980" i="1"/>
  <c r="U981" i="1" s="1"/>
  <c r="U982" i="1"/>
  <c r="U983" i="1" s="1"/>
  <c r="U984" i="1"/>
  <c r="U985" i="1" s="1"/>
  <c r="U986" i="1"/>
  <c r="U987" i="1" s="1"/>
  <c r="U988" i="1"/>
  <c r="U989" i="1" s="1"/>
  <c r="U990" i="1"/>
  <c r="U991" i="1" s="1"/>
  <c r="U992" i="1"/>
  <c r="U993" i="1" s="1"/>
  <c r="U994" i="1"/>
  <c r="U995" i="1" s="1"/>
  <c r="U996" i="1"/>
  <c r="U997" i="1" s="1"/>
  <c r="U998" i="1"/>
  <c r="U999" i="1" s="1"/>
  <c r="U1000" i="1"/>
  <c r="U1001" i="1" s="1"/>
  <c r="U1002" i="1"/>
  <c r="U1003" i="1" s="1"/>
  <c r="U1004" i="1"/>
  <c r="U1005" i="1" s="1"/>
  <c r="U1006" i="1"/>
  <c r="U1007" i="1" s="1"/>
  <c r="U1008" i="1"/>
  <c r="U1009" i="1" s="1"/>
  <c r="U1010" i="1"/>
  <c r="U1011" i="1" s="1"/>
  <c r="U1012" i="1"/>
  <c r="U1013" i="1" s="1"/>
  <c r="U1014" i="1"/>
  <c r="U1015" i="1" s="1"/>
  <c r="U1016" i="1"/>
  <c r="U1017" i="1" s="1"/>
  <c r="U1018" i="1"/>
  <c r="U1019" i="1" s="1"/>
  <c r="U1020" i="1"/>
  <c r="U1021" i="1" s="1"/>
  <c r="U1022" i="1"/>
  <c r="U1023" i="1" s="1"/>
  <c r="U1024" i="1"/>
  <c r="U1025" i="1" s="1"/>
  <c r="U1026" i="1"/>
  <c r="U1027" i="1" s="1"/>
  <c r="U1028" i="1"/>
  <c r="U1029" i="1" s="1"/>
  <c r="U1030" i="1"/>
  <c r="U1031" i="1" s="1"/>
  <c r="U1032" i="1"/>
  <c r="U1033" i="1" s="1"/>
  <c r="U1034" i="1"/>
  <c r="U1035" i="1" s="1"/>
  <c r="U1036" i="1"/>
  <c r="U1037" i="1" s="1"/>
  <c r="U1038" i="1"/>
  <c r="U1039" i="1" s="1"/>
  <c r="U1040" i="1"/>
  <c r="U1041" i="1" s="1"/>
  <c r="U1042" i="1"/>
  <c r="U1043" i="1" s="1"/>
  <c r="U1044" i="1"/>
  <c r="U1045" i="1" s="1"/>
  <c r="U1046" i="1"/>
  <c r="U1047" i="1" s="1"/>
  <c r="U1048" i="1"/>
  <c r="U1049" i="1" s="1"/>
  <c r="U1050" i="1"/>
  <c r="U1051" i="1" s="1"/>
  <c r="U1052" i="1"/>
  <c r="U1053" i="1" s="1"/>
  <c r="U1054" i="1"/>
  <c r="U1055" i="1" s="1"/>
  <c r="U1056" i="1"/>
  <c r="U1057" i="1" s="1"/>
  <c r="U1058" i="1"/>
  <c r="U1059" i="1" s="1"/>
  <c r="U1060" i="1"/>
  <c r="U1061" i="1" s="1"/>
  <c r="U1062" i="1"/>
  <c r="U1063" i="1" s="1"/>
  <c r="U1064" i="1"/>
  <c r="U1065" i="1" s="1"/>
  <c r="U1066" i="1"/>
  <c r="U1067" i="1" s="1"/>
  <c r="U1068" i="1"/>
  <c r="U1069" i="1" s="1"/>
  <c r="U1070" i="1"/>
  <c r="U1071" i="1" s="1"/>
  <c r="U1072" i="1"/>
  <c r="U1073" i="1" s="1"/>
  <c r="U1074" i="1"/>
  <c r="U1075" i="1" s="1"/>
  <c r="U1076" i="1"/>
  <c r="U1077" i="1" s="1"/>
  <c r="U1078" i="1"/>
  <c r="U1079" i="1" s="1"/>
  <c r="U1080" i="1"/>
  <c r="U1081" i="1" s="1"/>
  <c r="U1082" i="1"/>
  <c r="U1083" i="1" s="1"/>
  <c r="U1084" i="1"/>
  <c r="U1085" i="1" s="1"/>
  <c r="U1086" i="1"/>
  <c r="U1087" i="1" s="1"/>
  <c r="U1088" i="1"/>
  <c r="U1089" i="1" s="1"/>
  <c r="U1090" i="1"/>
  <c r="U1091" i="1" s="1"/>
  <c r="U1092" i="1"/>
  <c r="U1093" i="1" s="1"/>
  <c r="U1094" i="1"/>
  <c r="U1095" i="1" s="1"/>
  <c r="U1096" i="1"/>
  <c r="U1097" i="1" s="1"/>
  <c r="U1098" i="1"/>
  <c r="U1099" i="1" s="1"/>
  <c r="U1100" i="1"/>
  <c r="U1101" i="1" s="1"/>
  <c r="U1102" i="1"/>
  <c r="U1103" i="1" s="1"/>
  <c r="U1104" i="1"/>
  <c r="U1105" i="1" s="1"/>
  <c r="U1106" i="1"/>
  <c r="U1107" i="1" s="1"/>
  <c r="U1108" i="1"/>
  <c r="U1109" i="1" s="1"/>
  <c r="U1110" i="1"/>
  <c r="U1111" i="1" s="1"/>
  <c r="U1112" i="1"/>
  <c r="U1113" i="1" s="1"/>
  <c r="U1114" i="1"/>
  <c r="U1115" i="1" s="1"/>
  <c r="U1116" i="1"/>
  <c r="U1117" i="1" s="1"/>
  <c r="U1118" i="1"/>
  <c r="U1119" i="1" s="1"/>
  <c r="U1120" i="1"/>
  <c r="U1121" i="1" s="1"/>
  <c r="U1122" i="1"/>
  <c r="U1123" i="1" s="1"/>
  <c r="U1124" i="1"/>
  <c r="U1125" i="1" s="1"/>
  <c r="U1126" i="1"/>
  <c r="U1127" i="1" s="1"/>
  <c r="U1128" i="1"/>
  <c r="U1129" i="1" s="1"/>
  <c r="U1130" i="1"/>
  <c r="U1131" i="1" s="1"/>
  <c r="U1132" i="1"/>
  <c r="U1133" i="1" s="1"/>
  <c r="U1134" i="1"/>
  <c r="U1135" i="1" s="1"/>
  <c r="U1136" i="1"/>
  <c r="U1137" i="1" s="1"/>
  <c r="U1138" i="1"/>
  <c r="U1139" i="1" s="1"/>
  <c r="U1140" i="1"/>
  <c r="U1141" i="1" s="1"/>
  <c r="U1142" i="1"/>
  <c r="U1143" i="1" s="1"/>
  <c r="U1144" i="1"/>
  <c r="U1145" i="1" s="1"/>
  <c r="U1146" i="1"/>
  <c r="U1147" i="1" s="1"/>
  <c r="U1148" i="1"/>
  <c r="U1149" i="1" s="1"/>
  <c r="U1150" i="1"/>
  <c r="U1151" i="1" s="1"/>
  <c r="U1152" i="1"/>
  <c r="U1153" i="1" s="1"/>
  <c r="U1154" i="1"/>
  <c r="U1155" i="1" s="1"/>
  <c r="U1156" i="1"/>
  <c r="U1157" i="1" s="1"/>
  <c r="U1158" i="1"/>
  <c r="U1159" i="1" s="1"/>
  <c r="U1160" i="1"/>
  <c r="U1161" i="1" s="1"/>
  <c r="U1162" i="1"/>
  <c r="U1163" i="1" s="1"/>
  <c r="U1164" i="1"/>
  <c r="U1165" i="1" s="1"/>
  <c r="U1166" i="1"/>
  <c r="U1167" i="1" s="1"/>
  <c r="U1168" i="1"/>
  <c r="U1169" i="1" s="1"/>
  <c r="U1170" i="1"/>
  <c r="U1171" i="1" s="1"/>
  <c r="U1172" i="1"/>
  <c r="U1173" i="1" s="1"/>
  <c r="U1174" i="1"/>
  <c r="U1175" i="1" s="1"/>
  <c r="U1176" i="1"/>
  <c r="U1177" i="1" s="1"/>
  <c r="U1178" i="1"/>
  <c r="U1179" i="1" s="1"/>
  <c r="U1180" i="1"/>
  <c r="U1181" i="1" s="1"/>
  <c r="U1182" i="1"/>
  <c r="U1183" i="1" s="1"/>
  <c r="U1184" i="1"/>
  <c r="U1185" i="1" s="1"/>
  <c r="U1186" i="1"/>
  <c r="U1187" i="1" s="1"/>
  <c r="U1188" i="1"/>
  <c r="U1189" i="1" s="1"/>
  <c r="U1190" i="1"/>
  <c r="U1191" i="1" s="1"/>
  <c r="U1192" i="1"/>
  <c r="U1193" i="1" s="1"/>
  <c r="U1194" i="1"/>
  <c r="U1195" i="1" s="1"/>
  <c r="U1196" i="1"/>
  <c r="U1197" i="1" s="1"/>
  <c r="U1198" i="1"/>
  <c r="U1199" i="1" s="1"/>
  <c r="U1200" i="1"/>
  <c r="U1201" i="1" s="1"/>
  <c r="U1202" i="1"/>
  <c r="U1203" i="1" s="1"/>
  <c r="U1204" i="1"/>
  <c r="U1205" i="1" s="1"/>
  <c r="U1206" i="1"/>
  <c r="U1207" i="1" s="1"/>
  <c r="U1208" i="1"/>
  <c r="U1209" i="1" s="1"/>
  <c r="U1210" i="1"/>
  <c r="U1211" i="1" s="1"/>
  <c r="U1212" i="1"/>
  <c r="U1213" i="1" s="1"/>
  <c r="U1214" i="1"/>
  <c r="U1215" i="1" s="1"/>
  <c r="U1216" i="1"/>
  <c r="U1217" i="1" s="1"/>
  <c r="U1218" i="1"/>
  <c r="U1219" i="1" s="1"/>
  <c r="U1220" i="1"/>
  <c r="U1221" i="1" s="1"/>
  <c r="U1222" i="1"/>
  <c r="U1223" i="1" s="1"/>
  <c r="U1224" i="1"/>
  <c r="U1225" i="1" s="1"/>
  <c r="U1226" i="1"/>
  <c r="U1227" i="1" s="1"/>
  <c r="U1228" i="1"/>
  <c r="U1229" i="1" s="1"/>
  <c r="U1230" i="1"/>
  <c r="U1231" i="1" s="1"/>
  <c r="U1232" i="1"/>
  <c r="U1233" i="1" s="1"/>
  <c r="U1234" i="1"/>
  <c r="U1235" i="1" s="1"/>
  <c r="U1236" i="1"/>
  <c r="U1237" i="1" s="1"/>
  <c r="U1238" i="1"/>
  <c r="U1239" i="1" s="1"/>
  <c r="U1240" i="1"/>
  <c r="U1241" i="1" s="1"/>
  <c r="U1242" i="1"/>
  <c r="U1243" i="1" s="1"/>
  <c r="U1244" i="1"/>
  <c r="U1245" i="1" s="1"/>
  <c r="U1246" i="1"/>
  <c r="U1247" i="1" s="1"/>
  <c r="U1248" i="1"/>
  <c r="U1249" i="1" s="1"/>
  <c r="U1250" i="1"/>
  <c r="U1251" i="1" s="1"/>
  <c r="U1252" i="1"/>
  <c r="U1253" i="1" s="1"/>
  <c r="U1254" i="1"/>
  <c r="U1255" i="1" s="1"/>
  <c r="U1256" i="1"/>
  <c r="U1257" i="1" s="1"/>
  <c r="U1258" i="1"/>
  <c r="U1259" i="1" s="1"/>
  <c r="U1260" i="1"/>
  <c r="U1261" i="1" s="1"/>
  <c r="U1262" i="1"/>
  <c r="U1263" i="1" s="1"/>
  <c r="U1264" i="1"/>
  <c r="U1265" i="1" s="1"/>
  <c r="U1266" i="1"/>
  <c r="U1267" i="1" s="1"/>
  <c r="U1268" i="1"/>
  <c r="U1269" i="1" s="1"/>
  <c r="U1270" i="1"/>
  <c r="U1271" i="1" s="1"/>
  <c r="U1272" i="1"/>
  <c r="U1273" i="1" s="1"/>
  <c r="U1274" i="1"/>
  <c r="U1275" i="1" s="1"/>
  <c r="U1276" i="1"/>
  <c r="U1277" i="1" s="1"/>
  <c r="U1278" i="1"/>
  <c r="U1279" i="1" s="1"/>
  <c r="U1280" i="1"/>
  <c r="U1281" i="1" s="1"/>
  <c r="U1282" i="1"/>
  <c r="U1283" i="1" s="1"/>
  <c r="U1284" i="1"/>
  <c r="U1285" i="1" s="1"/>
  <c r="U1286" i="1"/>
  <c r="U1287" i="1" s="1"/>
  <c r="U1288" i="1"/>
  <c r="U1289" i="1" s="1"/>
  <c r="U1290" i="1"/>
  <c r="U1291" i="1" s="1"/>
  <c r="U1292" i="1"/>
  <c r="U1293" i="1" s="1"/>
  <c r="U1294" i="1"/>
  <c r="U1295" i="1" s="1"/>
  <c r="U1296" i="1"/>
  <c r="U1297" i="1" s="1"/>
  <c r="U1298" i="1"/>
  <c r="U1299" i="1" s="1"/>
  <c r="U1300" i="1"/>
  <c r="U1301" i="1" s="1"/>
  <c r="U1302" i="1"/>
  <c r="U1303" i="1" s="1"/>
  <c r="U1304" i="1"/>
  <c r="U1305" i="1" s="1"/>
  <c r="U1306" i="1"/>
  <c r="U1307" i="1" s="1"/>
  <c r="U1308" i="1"/>
  <c r="U1309" i="1" s="1"/>
  <c r="U1310" i="1"/>
  <c r="U1311" i="1" s="1"/>
  <c r="U1312" i="1"/>
  <c r="U1313" i="1" s="1"/>
  <c r="U1314" i="1"/>
  <c r="U1315" i="1" s="1"/>
  <c r="U1316" i="1"/>
  <c r="U1317" i="1" s="1"/>
  <c r="U1318" i="1"/>
  <c r="U1319" i="1" s="1"/>
  <c r="U1320" i="1"/>
  <c r="U1321" i="1" s="1"/>
  <c r="U1322" i="1"/>
  <c r="U1323" i="1" s="1"/>
  <c r="U1324" i="1"/>
  <c r="U1325" i="1" s="1"/>
  <c r="U1326" i="1"/>
  <c r="U1327" i="1" s="1"/>
  <c r="U1328" i="1"/>
  <c r="U1329" i="1" s="1"/>
  <c r="U1330" i="1"/>
  <c r="U1331" i="1" s="1"/>
  <c r="U1332" i="1"/>
  <c r="U1333" i="1" s="1"/>
  <c r="U1334" i="1"/>
  <c r="U1335" i="1" s="1"/>
  <c r="U1336" i="1"/>
  <c r="U1337" i="1" s="1"/>
  <c r="U1338" i="1"/>
  <c r="U1339" i="1" s="1"/>
  <c r="U1340" i="1"/>
  <c r="U1341" i="1" s="1"/>
  <c r="U1342" i="1"/>
  <c r="U1343" i="1" s="1"/>
  <c r="U1344" i="1"/>
  <c r="U1345" i="1" s="1"/>
  <c r="U1346" i="1"/>
  <c r="U1347" i="1" s="1"/>
  <c r="U1348" i="1"/>
  <c r="U1349" i="1" s="1"/>
  <c r="U1350" i="1"/>
  <c r="U1351" i="1" s="1"/>
  <c r="U1352" i="1"/>
  <c r="U1353" i="1" s="1"/>
  <c r="U1354" i="1"/>
  <c r="U1355" i="1" s="1"/>
  <c r="U1356" i="1"/>
  <c r="U1357" i="1" s="1"/>
  <c r="U1358" i="1"/>
  <c r="U1359" i="1" s="1"/>
  <c r="U1360" i="1"/>
  <c r="U1361" i="1" s="1"/>
  <c r="U1362" i="1"/>
  <c r="U1363" i="1" s="1"/>
  <c r="U1364" i="1"/>
  <c r="U1365" i="1" s="1"/>
  <c r="U1366" i="1"/>
  <c r="U1367" i="1" s="1"/>
  <c r="U1368" i="1"/>
  <c r="U1369" i="1" s="1"/>
  <c r="U1370" i="1"/>
  <c r="U1371" i="1" s="1"/>
  <c r="U1372" i="1"/>
  <c r="U1373" i="1" s="1"/>
  <c r="U1374" i="1"/>
  <c r="U1375" i="1" s="1"/>
  <c r="U1376" i="1"/>
  <c r="U1377" i="1" s="1"/>
  <c r="U1378" i="1"/>
  <c r="U1379" i="1" s="1"/>
  <c r="U1380" i="1"/>
  <c r="U1381" i="1" s="1"/>
  <c r="U1382" i="1"/>
  <c r="U1383" i="1" s="1"/>
  <c r="U1384" i="1"/>
  <c r="U1385" i="1" s="1"/>
  <c r="U1386" i="1"/>
  <c r="U1387" i="1" s="1"/>
  <c r="U1388" i="1"/>
  <c r="U1389" i="1" s="1"/>
  <c r="U1390" i="1"/>
  <c r="U1391" i="1" s="1"/>
  <c r="U1392" i="1"/>
  <c r="U1393" i="1" s="1"/>
  <c r="U1394" i="1"/>
  <c r="U1395" i="1" s="1"/>
  <c r="U1396" i="1"/>
  <c r="U1397" i="1" s="1"/>
  <c r="U1398" i="1"/>
  <c r="U1399" i="1" s="1"/>
  <c r="U1400" i="1"/>
  <c r="U1401" i="1" s="1"/>
  <c r="U1402" i="1"/>
  <c r="U1403" i="1" s="1"/>
  <c r="U1404" i="1"/>
  <c r="U1405" i="1" s="1"/>
  <c r="U1406" i="1"/>
  <c r="U1407" i="1" s="1"/>
  <c r="U1408" i="1"/>
  <c r="U1409" i="1" s="1"/>
  <c r="U1410" i="1"/>
  <c r="U1411" i="1" s="1"/>
  <c r="U1412" i="1"/>
  <c r="U1413" i="1" s="1"/>
  <c r="U1414" i="1"/>
  <c r="U1415" i="1" s="1"/>
  <c r="U1416" i="1"/>
  <c r="U1417" i="1" s="1"/>
  <c r="U1418" i="1"/>
  <c r="U1419" i="1" s="1"/>
  <c r="U1420" i="1"/>
  <c r="U1421" i="1" s="1"/>
  <c r="U1422" i="1"/>
  <c r="U1423" i="1" s="1"/>
  <c r="U1424" i="1"/>
  <c r="U1425" i="1" s="1"/>
  <c r="U1426" i="1"/>
  <c r="U1427" i="1" s="1"/>
  <c r="U1428" i="1"/>
  <c r="U1429" i="1" s="1"/>
  <c r="U1430" i="1"/>
  <c r="U1431" i="1" s="1"/>
  <c r="U1432" i="1"/>
  <c r="U1433" i="1" s="1"/>
  <c r="U1434" i="1"/>
  <c r="U1435" i="1" s="1"/>
  <c r="U1436" i="1"/>
  <c r="U1437" i="1" s="1"/>
  <c r="U1438" i="1"/>
  <c r="U1439" i="1" s="1"/>
  <c r="U1440" i="1"/>
  <c r="U1441" i="1" s="1"/>
  <c r="U1442" i="1"/>
  <c r="U1443" i="1" s="1"/>
  <c r="U1444" i="1"/>
  <c r="U1445" i="1" s="1"/>
  <c r="U1446" i="1"/>
  <c r="U1447" i="1" s="1"/>
  <c r="U1448" i="1"/>
  <c r="U1449" i="1" s="1"/>
  <c r="U1450" i="1"/>
  <c r="U1451" i="1" s="1"/>
  <c r="U1452" i="1"/>
  <c r="U1453" i="1" s="1"/>
  <c r="U1454" i="1"/>
  <c r="U1455" i="1" s="1"/>
  <c r="U1456" i="1"/>
  <c r="U1457" i="1" s="1"/>
  <c r="U1458" i="1"/>
  <c r="U1459" i="1" s="1"/>
  <c r="U1460" i="1"/>
  <c r="U1461" i="1" s="1"/>
  <c r="U1462" i="1"/>
  <c r="U1463" i="1" s="1"/>
  <c r="U1464" i="1"/>
  <c r="U1465" i="1" s="1"/>
  <c r="U1466" i="1"/>
  <c r="U1467" i="1" s="1"/>
  <c r="U1468" i="1"/>
  <c r="U1469" i="1" s="1"/>
  <c r="U1470" i="1"/>
  <c r="U1471" i="1" s="1"/>
  <c r="U1472" i="1"/>
  <c r="U1473" i="1" s="1"/>
  <c r="U1474" i="1"/>
  <c r="U1475" i="1" s="1"/>
  <c r="U1476" i="1"/>
  <c r="U1477" i="1" s="1"/>
  <c r="U1478" i="1"/>
  <c r="U1479" i="1" s="1"/>
  <c r="U1480" i="1"/>
  <c r="U1481" i="1" s="1"/>
  <c r="U1482" i="1"/>
  <c r="U1483" i="1" s="1"/>
  <c r="U1484" i="1"/>
  <c r="U1485" i="1" s="1"/>
  <c r="U1486" i="1"/>
  <c r="U1487" i="1" s="1"/>
  <c r="U1488" i="1"/>
  <c r="U1489" i="1" s="1"/>
  <c r="U1490" i="1"/>
  <c r="U1491" i="1" s="1"/>
  <c r="U1492" i="1"/>
  <c r="U1493" i="1" s="1"/>
  <c r="U1494" i="1"/>
  <c r="U1495" i="1" s="1"/>
  <c r="U1496" i="1"/>
  <c r="U1497" i="1" s="1"/>
  <c r="U1498" i="1"/>
  <c r="U1499" i="1" s="1"/>
  <c r="U1500" i="1"/>
  <c r="U1501" i="1" s="1"/>
  <c r="U1502" i="1"/>
  <c r="U1503" i="1" s="1"/>
  <c r="U1504" i="1"/>
  <c r="U1505" i="1" s="1"/>
  <c r="U1506" i="1"/>
  <c r="U1507" i="1" s="1"/>
  <c r="U1508" i="1"/>
  <c r="U1509" i="1" s="1"/>
  <c r="U1510" i="1"/>
  <c r="U1511" i="1" s="1"/>
  <c r="U1512" i="1"/>
  <c r="U1513" i="1" s="1"/>
  <c r="U1514" i="1"/>
  <c r="U1515" i="1" s="1"/>
  <c r="U1516" i="1"/>
  <c r="U1517" i="1" s="1"/>
  <c r="U1518" i="1"/>
  <c r="U1519" i="1" s="1"/>
  <c r="U1520" i="1"/>
  <c r="U1521" i="1" s="1"/>
  <c r="U1522" i="1"/>
  <c r="U1523" i="1" s="1"/>
  <c r="U1524" i="1"/>
  <c r="U1525" i="1" s="1"/>
  <c r="U1526" i="1"/>
  <c r="U1527" i="1" s="1"/>
  <c r="U1528" i="1"/>
  <c r="U1529" i="1" s="1"/>
  <c r="U1530" i="1"/>
  <c r="U1531" i="1" s="1"/>
  <c r="U1532" i="1"/>
  <c r="U1533" i="1" s="1"/>
  <c r="U1534" i="1"/>
  <c r="U1535" i="1" s="1"/>
  <c r="U1536" i="1"/>
  <c r="U1537" i="1" s="1"/>
  <c r="U1538" i="1"/>
  <c r="U1539" i="1" s="1"/>
  <c r="U1540" i="1"/>
  <c r="U1541" i="1" s="1"/>
  <c r="U1542" i="1"/>
  <c r="U1543" i="1" s="1"/>
  <c r="U1544" i="1"/>
  <c r="U1545" i="1" s="1"/>
  <c r="U1546" i="1"/>
  <c r="U1547" i="1" s="1"/>
  <c r="U1548" i="1"/>
  <c r="U1549" i="1" s="1"/>
  <c r="U1550" i="1"/>
  <c r="U1551" i="1" s="1"/>
  <c r="U1552" i="1"/>
  <c r="U1553" i="1" s="1"/>
  <c r="U1554" i="1"/>
  <c r="U1555" i="1" s="1"/>
  <c r="U1556" i="1"/>
  <c r="U1557" i="1" s="1"/>
  <c r="U1558" i="1"/>
  <c r="U1559" i="1" s="1"/>
  <c r="U1560" i="1"/>
  <c r="U1561" i="1" s="1"/>
  <c r="U1562" i="1"/>
  <c r="U1563" i="1" s="1"/>
  <c r="U1564" i="1"/>
  <c r="U1565" i="1" s="1"/>
  <c r="U1566" i="1"/>
  <c r="U1567" i="1" s="1"/>
  <c r="U1568" i="1"/>
  <c r="U1569" i="1" s="1"/>
  <c r="U1570" i="1"/>
  <c r="U1571" i="1" s="1"/>
  <c r="U1572" i="1"/>
  <c r="U1573" i="1" s="1"/>
  <c r="U1574" i="1"/>
  <c r="U1575" i="1" s="1"/>
  <c r="U1576" i="1"/>
  <c r="U1577" i="1" s="1"/>
  <c r="U1578" i="1"/>
  <c r="U1579" i="1" s="1"/>
  <c r="U1580" i="1"/>
  <c r="U1581" i="1" s="1"/>
  <c r="U1582" i="1"/>
  <c r="U1583" i="1" s="1"/>
  <c r="U1584" i="1"/>
  <c r="U1585" i="1" s="1"/>
  <c r="U1586" i="1"/>
  <c r="U1587" i="1" s="1"/>
  <c r="U1588" i="1"/>
  <c r="U1589" i="1" s="1"/>
  <c r="U1590" i="1"/>
  <c r="U1591" i="1" s="1"/>
  <c r="U1592" i="1"/>
  <c r="U1593" i="1" s="1"/>
  <c r="U1594" i="1"/>
  <c r="U1595" i="1" s="1"/>
  <c r="U1596" i="1"/>
  <c r="U1597" i="1" s="1"/>
  <c r="U1598" i="1"/>
  <c r="U1599" i="1" s="1"/>
  <c r="U1600" i="1"/>
  <c r="U1601" i="1" s="1"/>
  <c r="U1602" i="1"/>
  <c r="U1603" i="1" s="1"/>
  <c r="U1604" i="1"/>
  <c r="U1605" i="1" s="1"/>
  <c r="U1606" i="1"/>
  <c r="U1607" i="1" s="1"/>
  <c r="U1608" i="1"/>
  <c r="U1609" i="1" s="1"/>
  <c r="U1610" i="1"/>
  <c r="U1611" i="1" s="1"/>
  <c r="U1612" i="1"/>
  <c r="U1613" i="1" s="1"/>
  <c r="U1614" i="1"/>
  <c r="U1615" i="1" s="1"/>
  <c r="U1616" i="1"/>
  <c r="U1617" i="1" s="1"/>
  <c r="U1618" i="1"/>
  <c r="U1619" i="1" s="1"/>
  <c r="U1620" i="1"/>
  <c r="U1621" i="1" s="1"/>
  <c r="U1622" i="1"/>
  <c r="U1623" i="1" s="1"/>
  <c r="U1624" i="1"/>
  <c r="U1625" i="1" s="1"/>
  <c r="U1626" i="1"/>
  <c r="U1627" i="1" s="1"/>
  <c r="U1628" i="1"/>
  <c r="U1629" i="1" s="1"/>
  <c r="U1630" i="1"/>
  <c r="U1631" i="1" s="1"/>
  <c r="U1632" i="1"/>
  <c r="U1633" i="1" s="1"/>
  <c r="U1634" i="1"/>
  <c r="U1635" i="1" s="1"/>
  <c r="U1636" i="1"/>
  <c r="U1637" i="1" s="1"/>
  <c r="U1638" i="1"/>
  <c r="U1639" i="1" s="1"/>
  <c r="U1640" i="1"/>
  <c r="U1641" i="1" s="1"/>
  <c r="U1642" i="1"/>
  <c r="U1643" i="1" s="1"/>
  <c r="U1644" i="1"/>
  <c r="U1645" i="1" s="1"/>
  <c r="U1646" i="1"/>
  <c r="U1647" i="1" s="1"/>
  <c r="U1648" i="1"/>
  <c r="U1649" i="1" s="1"/>
  <c r="U1650" i="1"/>
  <c r="U1651" i="1" s="1"/>
  <c r="U1652" i="1"/>
  <c r="U1653" i="1" s="1"/>
  <c r="U1654" i="1"/>
  <c r="U1655" i="1" s="1"/>
  <c r="U1656" i="1"/>
  <c r="U1657" i="1" s="1"/>
  <c r="U1658" i="1"/>
  <c r="U1659" i="1" s="1"/>
  <c r="U1660" i="1"/>
  <c r="U1661" i="1" s="1"/>
  <c r="U1662" i="1"/>
  <c r="U1663" i="1" s="1"/>
  <c r="U1664" i="1"/>
  <c r="U1665" i="1" s="1"/>
  <c r="U1666" i="1"/>
  <c r="U1667" i="1" s="1"/>
  <c r="U1668" i="1"/>
  <c r="U1669" i="1" s="1"/>
  <c r="U1670" i="1"/>
  <c r="U1671" i="1" s="1"/>
  <c r="U1672" i="1"/>
  <c r="U1673" i="1" s="1"/>
  <c r="U1674" i="1"/>
  <c r="U1675" i="1" s="1"/>
  <c r="U1676" i="1"/>
  <c r="U1677" i="1" s="1"/>
  <c r="U1678" i="1"/>
  <c r="U1679" i="1" s="1"/>
  <c r="U1680" i="1"/>
  <c r="U1681" i="1" s="1"/>
  <c r="U1682" i="1"/>
  <c r="U1683" i="1" s="1"/>
  <c r="U1684" i="1"/>
  <c r="U1685" i="1" s="1"/>
  <c r="U1686" i="1"/>
  <c r="U1687" i="1" s="1"/>
  <c r="U1688" i="1"/>
  <c r="U1689" i="1" s="1"/>
  <c r="U1690" i="1"/>
  <c r="U1691" i="1" s="1"/>
  <c r="U1692" i="1"/>
  <c r="U1693" i="1" s="1"/>
  <c r="U1694" i="1"/>
  <c r="U1695" i="1" s="1"/>
  <c r="U1696" i="1"/>
  <c r="U1697" i="1" s="1"/>
  <c r="U1698" i="1"/>
  <c r="U1699" i="1" s="1"/>
  <c r="U1700" i="1"/>
  <c r="U1701" i="1" s="1"/>
  <c r="U1702" i="1"/>
  <c r="U1703" i="1" s="1"/>
  <c r="U1704" i="1"/>
  <c r="U1705" i="1" s="1"/>
  <c r="U1706" i="1"/>
  <c r="U1707" i="1" s="1"/>
  <c r="U1708" i="1"/>
  <c r="U1709" i="1" s="1"/>
  <c r="U1710" i="1"/>
  <c r="U1711" i="1" s="1"/>
  <c r="U1712" i="1"/>
  <c r="U1713" i="1" s="1"/>
  <c r="U1714" i="1"/>
  <c r="U1715" i="1" s="1"/>
  <c r="U1716" i="1"/>
  <c r="U1717" i="1" s="1"/>
  <c r="U1718" i="1"/>
  <c r="U1719" i="1" s="1"/>
  <c r="U1720" i="1"/>
  <c r="U1721" i="1" s="1"/>
  <c r="U1722" i="1"/>
  <c r="U1723" i="1" s="1"/>
  <c r="U1724" i="1"/>
  <c r="U1725" i="1" s="1"/>
  <c r="U1726" i="1"/>
  <c r="U1727" i="1" s="1"/>
  <c r="U1728" i="1"/>
  <c r="U1729" i="1" s="1"/>
  <c r="U1730" i="1"/>
  <c r="U1731" i="1" s="1"/>
  <c r="U1732" i="1"/>
  <c r="U1733" i="1" s="1"/>
  <c r="U1734" i="1"/>
  <c r="U1735" i="1" s="1"/>
  <c r="U1736" i="1"/>
  <c r="U1737" i="1" s="1"/>
  <c r="U1738" i="1"/>
  <c r="U1739" i="1" s="1"/>
  <c r="U1740" i="1"/>
  <c r="U1741" i="1" s="1"/>
  <c r="U1742" i="1"/>
  <c r="U1743" i="1" s="1"/>
  <c r="U1744" i="1"/>
  <c r="U1745" i="1" s="1"/>
  <c r="U1746" i="1"/>
  <c r="U1747" i="1" s="1"/>
  <c r="U1748" i="1"/>
  <c r="U1749" i="1" s="1"/>
  <c r="U1750" i="1"/>
  <c r="U1751" i="1" s="1"/>
  <c r="U1752" i="1"/>
  <c r="U1753" i="1" s="1"/>
  <c r="U1754" i="1"/>
  <c r="U1755" i="1" s="1"/>
  <c r="U1756" i="1"/>
  <c r="U1757" i="1" s="1"/>
  <c r="U1758" i="1"/>
  <c r="U1759" i="1" s="1"/>
  <c r="U1760" i="1"/>
  <c r="U1761" i="1" s="1"/>
  <c r="U1762" i="1"/>
  <c r="U1763" i="1" s="1"/>
  <c r="U1764" i="1"/>
  <c r="U1765" i="1" s="1"/>
  <c r="U1766" i="1"/>
  <c r="U1767" i="1" s="1"/>
  <c r="U1768" i="1"/>
  <c r="U1769" i="1" s="1"/>
  <c r="U1770" i="1"/>
  <c r="U1771" i="1" s="1"/>
  <c r="U1772" i="1"/>
  <c r="U1773" i="1" s="1"/>
  <c r="U1774" i="1"/>
  <c r="U1775" i="1" s="1"/>
  <c r="U1776" i="1"/>
  <c r="U1777" i="1" s="1"/>
  <c r="U1778" i="1"/>
  <c r="U1779" i="1" s="1"/>
  <c r="U1780" i="1"/>
  <c r="U1781" i="1" s="1"/>
  <c r="U1782" i="1"/>
  <c r="U1783" i="1" s="1"/>
  <c r="U1784" i="1"/>
  <c r="U1785" i="1" s="1"/>
  <c r="U1786" i="1"/>
  <c r="U1787" i="1" s="1"/>
  <c r="U1788" i="1"/>
  <c r="U1789" i="1" s="1"/>
  <c r="U1790" i="1"/>
  <c r="U1791" i="1" s="1"/>
  <c r="U1792" i="1"/>
  <c r="U1793" i="1" s="1"/>
  <c r="U1794" i="1"/>
  <c r="U1795" i="1" s="1"/>
  <c r="U1796" i="1"/>
  <c r="U1797" i="1" s="1"/>
  <c r="U1798" i="1"/>
  <c r="U1799" i="1" s="1"/>
  <c r="U1800" i="1"/>
  <c r="U1801" i="1" s="1"/>
  <c r="U1802" i="1"/>
  <c r="U1803" i="1" s="1"/>
  <c r="U1804" i="1"/>
  <c r="U1805" i="1" s="1"/>
  <c r="U1806" i="1"/>
  <c r="U1807" i="1" s="1"/>
  <c r="U1808" i="1"/>
  <c r="U1809" i="1" s="1"/>
  <c r="U1810" i="1"/>
  <c r="U1811" i="1" s="1"/>
  <c r="U1812" i="1"/>
  <c r="U1813" i="1" s="1"/>
  <c r="U1814" i="1"/>
  <c r="U1815" i="1" s="1"/>
  <c r="U1816" i="1"/>
  <c r="U1817" i="1" s="1"/>
  <c r="U1818" i="1"/>
  <c r="U1819" i="1" s="1"/>
  <c r="U1820" i="1"/>
  <c r="U1821" i="1" s="1"/>
  <c r="U1822" i="1"/>
  <c r="U1823" i="1" s="1"/>
  <c r="U1824" i="1"/>
  <c r="U1825" i="1" s="1"/>
  <c r="U1826" i="1"/>
  <c r="U1827" i="1" s="1"/>
  <c r="U1828" i="1"/>
  <c r="U1829" i="1" s="1"/>
  <c r="U1830" i="1"/>
  <c r="U1831" i="1" s="1"/>
  <c r="U1832" i="1"/>
  <c r="U1833" i="1" s="1"/>
  <c r="U1834" i="1"/>
  <c r="U1835" i="1" s="1"/>
  <c r="U1836" i="1"/>
  <c r="U1837" i="1" s="1"/>
  <c r="U1838" i="1"/>
  <c r="U1839" i="1" s="1"/>
  <c r="U1840" i="1"/>
  <c r="U1841" i="1" s="1"/>
  <c r="U1842" i="1"/>
  <c r="U1843" i="1" s="1"/>
  <c r="U1844" i="1"/>
  <c r="U1845" i="1" s="1"/>
  <c r="U1846" i="1"/>
  <c r="U1847" i="1" s="1"/>
  <c r="U1848" i="1"/>
  <c r="U1849" i="1" s="1"/>
  <c r="U1850" i="1"/>
  <c r="U1851" i="1" s="1"/>
  <c r="U1852" i="1"/>
  <c r="U1853" i="1" s="1"/>
  <c r="U1854" i="1"/>
  <c r="U1855" i="1" s="1"/>
  <c r="U1856" i="1"/>
  <c r="U1857" i="1" s="1"/>
  <c r="U1858" i="1"/>
  <c r="U1859" i="1" s="1"/>
  <c r="U1860" i="1"/>
  <c r="U1861" i="1" s="1"/>
  <c r="U1862" i="1"/>
  <c r="U1863" i="1" s="1"/>
  <c r="U1864" i="1"/>
  <c r="U1865" i="1" s="1"/>
  <c r="U1866" i="1"/>
  <c r="U1867" i="1" s="1"/>
  <c r="U1868" i="1"/>
  <c r="U1869" i="1" s="1"/>
  <c r="U1870" i="1"/>
  <c r="U1871" i="1" s="1"/>
  <c r="U1872" i="1"/>
  <c r="U1873" i="1" s="1"/>
  <c r="U1874" i="1"/>
  <c r="U1875" i="1" s="1"/>
  <c r="U1876" i="1"/>
  <c r="U1877" i="1" s="1"/>
  <c r="U1878" i="1"/>
  <c r="U1879" i="1" s="1"/>
  <c r="U1880" i="1"/>
  <c r="U1881" i="1" s="1"/>
  <c r="U1882" i="1"/>
  <c r="U1883" i="1" s="1"/>
  <c r="U1884" i="1"/>
  <c r="U1885" i="1" s="1"/>
  <c r="U1886" i="1"/>
  <c r="U1887" i="1" s="1"/>
  <c r="U1888" i="1"/>
  <c r="U1889" i="1" s="1"/>
  <c r="U1890" i="1"/>
  <c r="U1891" i="1" s="1"/>
  <c r="U1892" i="1"/>
  <c r="U1893" i="1" s="1"/>
  <c r="U1894" i="1"/>
  <c r="U1895" i="1" s="1"/>
  <c r="U1896" i="1"/>
  <c r="U1897" i="1" s="1"/>
  <c r="U1898" i="1"/>
  <c r="U1899" i="1" s="1"/>
  <c r="U1900" i="1"/>
  <c r="U1901" i="1" s="1"/>
  <c r="U1902" i="1"/>
  <c r="U1903" i="1" s="1"/>
  <c r="U1904" i="1"/>
  <c r="U1905" i="1" s="1"/>
  <c r="U1906" i="1"/>
  <c r="U1907" i="1" s="1"/>
  <c r="U1908" i="1"/>
  <c r="U1909" i="1" s="1"/>
  <c r="U1910" i="1"/>
  <c r="U1911" i="1" s="1"/>
  <c r="U1912" i="1"/>
  <c r="U1913" i="1" s="1"/>
  <c r="U1914" i="1"/>
  <c r="U1915" i="1" s="1"/>
  <c r="U1916" i="1"/>
  <c r="U1917" i="1" s="1"/>
  <c r="U1918" i="1"/>
  <c r="U1919" i="1" s="1"/>
  <c r="U1920" i="1"/>
  <c r="U1921" i="1" s="1"/>
  <c r="U1922" i="1"/>
  <c r="U1923" i="1" s="1"/>
  <c r="U1924" i="1"/>
  <c r="U1925" i="1" s="1"/>
  <c r="U1926" i="1"/>
  <c r="U1927" i="1" s="1"/>
  <c r="U1928" i="1"/>
  <c r="U1929" i="1" s="1"/>
  <c r="U1930" i="1"/>
  <c r="U1931" i="1" s="1"/>
  <c r="U1932" i="1"/>
  <c r="U1933" i="1" s="1"/>
  <c r="U1934" i="1"/>
  <c r="U1935" i="1" s="1"/>
  <c r="U1936" i="1"/>
  <c r="U1937" i="1" s="1"/>
  <c r="U1938" i="1"/>
  <c r="U1939" i="1" s="1"/>
  <c r="U1940" i="1"/>
  <c r="U1941" i="1" s="1"/>
  <c r="U1942" i="1"/>
  <c r="U1943" i="1" s="1"/>
  <c r="U1944" i="1"/>
  <c r="U1945" i="1" s="1"/>
  <c r="U1946" i="1"/>
  <c r="U1947" i="1" s="1"/>
  <c r="U1948" i="1"/>
  <c r="U1949" i="1" s="1"/>
  <c r="U1950" i="1"/>
  <c r="U1951" i="1" s="1"/>
  <c r="U1952" i="1"/>
  <c r="U1953" i="1" s="1"/>
  <c r="U1954" i="1"/>
  <c r="U1955" i="1" s="1"/>
  <c r="U1956" i="1"/>
  <c r="U1957" i="1" s="1"/>
  <c r="U1958" i="1"/>
  <c r="U1959" i="1" s="1"/>
  <c r="U1960" i="1"/>
  <c r="U1961" i="1" s="1"/>
  <c r="U1962" i="1"/>
  <c r="U1963" i="1" s="1"/>
  <c r="U1964" i="1"/>
  <c r="U1965" i="1" s="1"/>
  <c r="U1966" i="1"/>
  <c r="U1967" i="1" s="1"/>
  <c r="U1968" i="1"/>
  <c r="U1969" i="1" s="1"/>
  <c r="U1970" i="1"/>
  <c r="U1971" i="1" s="1"/>
  <c r="U1972" i="1"/>
  <c r="U1973" i="1" s="1"/>
  <c r="U1974" i="1"/>
  <c r="U1975" i="1" s="1"/>
  <c r="U1976" i="1"/>
  <c r="U1977" i="1" s="1"/>
  <c r="U1978" i="1"/>
  <c r="U1979" i="1" s="1"/>
  <c r="U1980" i="1"/>
  <c r="U1981" i="1" s="1"/>
  <c r="U1982" i="1"/>
  <c r="U1983" i="1" s="1"/>
  <c r="U1984" i="1"/>
  <c r="U1985" i="1" s="1"/>
  <c r="U1986" i="1"/>
  <c r="U1987" i="1" s="1"/>
  <c r="U1988" i="1"/>
  <c r="U1989" i="1" s="1"/>
  <c r="U1990" i="1"/>
  <c r="U1991" i="1" s="1"/>
  <c r="U1992" i="1"/>
  <c r="U1993" i="1" s="1"/>
  <c r="U1994" i="1"/>
  <c r="U1995" i="1" s="1"/>
  <c r="U1996" i="1"/>
  <c r="U1997" i="1" s="1"/>
  <c r="U1998" i="1"/>
  <c r="U1999" i="1" s="1"/>
  <c r="AA30" i="1" l="1"/>
  <c r="AA31" i="1" s="1"/>
  <c r="B2" i="1"/>
  <c r="C2" i="1"/>
  <c r="D2" i="1"/>
  <c r="D3" i="1" s="1"/>
  <c r="E2" i="1"/>
  <c r="E3" i="1" s="1"/>
  <c r="F2" i="1"/>
  <c r="F3" i="1" s="1"/>
  <c r="G2" i="1"/>
  <c r="H2" i="1"/>
  <c r="I2" i="1"/>
  <c r="J2" i="1"/>
  <c r="M2" i="1"/>
  <c r="N2" i="1"/>
  <c r="P2" i="1"/>
  <c r="P3" i="1" s="1"/>
  <c r="Q2" i="1"/>
  <c r="R2" i="1"/>
  <c r="R3" i="1" s="1"/>
  <c r="S2" i="1"/>
  <c r="S3" i="1" s="1"/>
  <c r="T2" i="1"/>
  <c r="U2" i="1"/>
  <c r="U3" i="1" s="1"/>
  <c r="V2" i="1"/>
  <c r="V3" i="1" s="1"/>
  <c r="W2" i="1"/>
  <c r="W3" i="1" s="1"/>
  <c r="X2" i="1"/>
  <c r="X3" i="1" s="1"/>
  <c r="Y2" i="1"/>
  <c r="Z2" i="1"/>
  <c r="Z3" i="1" s="1"/>
  <c r="C3" i="1"/>
  <c r="Q3" i="1"/>
  <c r="T3" i="1"/>
  <c r="A4" i="1"/>
  <c r="A5" i="1" s="1"/>
  <c r="B4" i="1"/>
  <c r="C4" i="1"/>
  <c r="C5" i="1" s="1"/>
  <c r="D4" i="1"/>
  <c r="D5" i="1" s="1"/>
  <c r="E4" i="1"/>
  <c r="E5" i="1" s="1"/>
  <c r="F4" i="1"/>
  <c r="F5" i="1" s="1"/>
  <c r="G4" i="1"/>
  <c r="H4" i="1"/>
  <c r="J4" i="1"/>
  <c r="K4" i="1"/>
  <c r="M4" i="1"/>
  <c r="N4" i="1"/>
  <c r="P4" i="1"/>
  <c r="P5" i="1" s="1"/>
  <c r="Q4" i="1"/>
  <c r="Q5" i="1" s="1"/>
  <c r="R4" i="1"/>
  <c r="R5" i="1" s="1"/>
  <c r="S4" i="1"/>
  <c r="S5" i="1" s="1"/>
  <c r="T4" i="1"/>
  <c r="T5" i="1" s="1"/>
  <c r="V4" i="1"/>
  <c r="V5" i="1" s="1"/>
  <c r="W4" i="1"/>
  <c r="W5" i="1" s="1"/>
  <c r="X4" i="1"/>
  <c r="X5" i="1" s="1"/>
  <c r="Y4" i="1"/>
  <c r="Z4" i="1"/>
  <c r="Z5" i="1" s="1"/>
  <c r="A6" i="1"/>
  <c r="A7" i="1" s="1"/>
  <c r="B6" i="1"/>
  <c r="B7" i="1" s="1"/>
  <c r="C6" i="1"/>
  <c r="C7" i="1" s="1"/>
  <c r="D6" i="1"/>
  <c r="D7" i="1" s="1"/>
  <c r="E6" i="1"/>
  <c r="E7" i="1" s="1"/>
  <c r="F6" i="1"/>
  <c r="F7" i="1" s="1"/>
  <c r="G6" i="1"/>
  <c r="H6" i="1"/>
  <c r="I6" i="1"/>
  <c r="J6" i="1"/>
  <c r="K6" i="1"/>
  <c r="M6" i="1"/>
  <c r="N6" i="1"/>
  <c r="P6" i="1"/>
  <c r="P7" i="1" s="1"/>
  <c r="Q6" i="1"/>
  <c r="Q7" i="1" s="1"/>
  <c r="R6" i="1"/>
  <c r="R7" i="1" s="1"/>
  <c r="S6" i="1"/>
  <c r="S7" i="1" s="1"/>
  <c r="T6" i="1"/>
  <c r="T7" i="1" s="1"/>
  <c r="V6" i="1"/>
  <c r="V7" i="1" s="1"/>
  <c r="W6" i="1"/>
  <c r="W7" i="1" s="1"/>
  <c r="X6" i="1"/>
  <c r="X7" i="1" s="1"/>
  <c r="Y6" i="1"/>
  <c r="Z6" i="1"/>
  <c r="Z7" i="1" s="1"/>
  <c r="A8" i="1"/>
  <c r="A9" i="1" s="1"/>
  <c r="B8" i="1"/>
  <c r="B9" i="1" s="1"/>
  <c r="C8" i="1"/>
  <c r="C9" i="1" s="1"/>
  <c r="D8" i="1"/>
  <c r="D9" i="1" s="1"/>
  <c r="E8" i="1"/>
  <c r="E9" i="1" s="1"/>
  <c r="F8" i="1"/>
  <c r="G8" i="1"/>
  <c r="H8" i="1"/>
  <c r="I8" i="1"/>
  <c r="J8" i="1"/>
  <c r="K8" i="1"/>
  <c r="M8" i="1"/>
  <c r="N8" i="1"/>
  <c r="P8" i="1"/>
  <c r="P9" i="1" s="1"/>
  <c r="Q8" i="1"/>
  <c r="Q9" i="1" s="1"/>
  <c r="R8" i="1"/>
  <c r="R9" i="1" s="1"/>
  <c r="S8" i="1"/>
  <c r="S9" i="1" s="1"/>
  <c r="T8" i="1"/>
  <c r="T9" i="1" s="1"/>
  <c r="V8" i="1"/>
  <c r="V9" i="1" s="1"/>
  <c r="W8" i="1"/>
  <c r="W9" i="1" s="1"/>
  <c r="X8" i="1"/>
  <c r="X9" i="1" s="1"/>
  <c r="Y8" i="1"/>
  <c r="Z8" i="1"/>
  <c r="Z9" i="1" s="1"/>
  <c r="A10" i="1"/>
  <c r="A11" i="1" s="1"/>
  <c r="B10" i="1"/>
  <c r="B11" i="1" s="1"/>
  <c r="C10" i="1"/>
  <c r="C11" i="1" s="1"/>
  <c r="D10" i="1"/>
  <c r="D11" i="1" s="1"/>
  <c r="E10" i="1"/>
  <c r="F10" i="1"/>
  <c r="F11" i="1" s="1"/>
  <c r="G10" i="1"/>
  <c r="H10" i="1"/>
  <c r="I10" i="1"/>
  <c r="J10" i="1"/>
  <c r="K10" i="1"/>
  <c r="M10" i="1"/>
  <c r="N10" i="1"/>
  <c r="P10" i="1"/>
  <c r="P11" i="1" s="1"/>
  <c r="Q10" i="1"/>
  <c r="Q11" i="1" s="1"/>
  <c r="R10" i="1"/>
  <c r="R11" i="1" s="1"/>
  <c r="S10" i="1"/>
  <c r="S11" i="1" s="1"/>
  <c r="T10" i="1"/>
  <c r="T11" i="1" s="1"/>
  <c r="V10" i="1"/>
  <c r="V11" i="1" s="1"/>
  <c r="W10" i="1"/>
  <c r="W11" i="1" s="1"/>
  <c r="X10" i="1"/>
  <c r="X11" i="1" s="1"/>
  <c r="Y10" i="1"/>
  <c r="Z10" i="1"/>
  <c r="Z11" i="1" s="1"/>
  <c r="A12" i="1"/>
  <c r="A13" i="1" s="1"/>
  <c r="B12" i="1"/>
  <c r="B13" i="1" s="1"/>
  <c r="C12" i="1"/>
  <c r="C13" i="1" s="1"/>
  <c r="D12" i="1"/>
  <c r="D13" i="1" s="1"/>
  <c r="E12" i="1"/>
  <c r="F12" i="1"/>
  <c r="F13" i="1" s="1"/>
  <c r="G12" i="1"/>
  <c r="H12" i="1"/>
  <c r="I12" i="1"/>
  <c r="J12" i="1"/>
  <c r="K12" i="1"/>
  <c r="M12" i="1"/>
  <c r="N12" i="1"/>
  <c r="P12" i="1"/>
  <c r="P13" i="1" s="1"/>
  <c r="Q12" i="1"/>
  <c r="Q13" i="1" s="1"/>
  <c r="R12" i="1"/>
  <c r="R13" i="1" s="1"/>
  <c r="S12" i="1"/>
  <c r="S13" i="1" s="1"/>
  <c r="T12" i="1"/>
  <c r="T13" i="1" s="1"/>
  <c r="V12" i="1"/>
  <c r="V13" i="1" s="1"/>
  <c r="W12" i="1"/>
  <c r="W13" i="1" s="1"/>
  <c r="X12" i="1"/>
  <c r="X13" i="1" s="1"/>
  <c r="Y12" i="1"/>
  <c r="Z12" i="1"/>
  <c r="Z13" i="1" s="1"/>
  <c r="A14" i="1"/>
  <c r="A15" i="1" s="1"/>
  <c r="B14" i="1"/>
  <c r="B15" i="1" s="1"/>
  <c r="C14" i="1"/>
  <c r="C15" i="1" s="1"/>
  <c r="D14" i="1"/>
  <c r="D15" i="1" s="1"/>
  <c r="E14" i="1"/>
  <c r="E15" i="1" s="1"/>
  <c r="F14" i="1"/>
  <c r="F15" i="1" s="1"/>
  <c r="G14" i="1"/>
  <c r="H14" i="1"/>
  <c r="I14" i="1"/>
  <c r="J14" i="1"/>
  <c r="K14" i="1"/>
  <c r="M14" i="1"/>
  <c r="N14" i="1"/>
  <c r="P14" i="1"/>
  <c r="P15" i="1" s="1"/>
  <c r="Q14" i="1"/>
  <c r="Q15" i="1" s="1"/>
  <c r="R14" i="1"/>
  <c r="R15" i="1" s="1"/>
  <c r="S14" i="1"/>
  <c r="S15" i="1" s="1"/>
  <c r="T14" i="1"/>
  <c r="T15" i="1" s="1"/>
  <c r="V14" i="1"/>
  <c r="V15" i="1" s="1"/>
  <c r="W14" i="1"/>
  <c r="W15" i="1" s="1"/>
  <c r="X14" i="1"/>
  <c r="X15" i="1" s="1"/>
  <c r="Y14" i="1"/>
  <c r="Z14" i="1"/>
  <c r="Z15" i="1" s="1"/>
  <c r="A16" i="1"/>
  <c r="A17" i="1" s="1"/>
  <c r="B16" i="1"/>
  <c r="B17" i="1" s="1"/>
  <c r="C16" i="1"/>
  <c r="C17" i="1" s="1"/>
  <c r="D16" i="1"/>
  <c r="D17" i="1" s="1"/>
  <c r="E16" i="1"/>
  <c r="E17" i="1" s="1"/>
  <c r="F16" i="1"/>
  <c r="F17" i="1" s="1"/>
  <c r="G16" i="1"/>
  <c r="H16" i="1"/>
  <c r="I16" i="1"/>
  <c r="J16" i="1"/>
  <c r="K16" i="1"/>
  <c r="M16" i="1"/>
  <c r="N16" i="1"/>
  <c r="P16" i="1"/>
  <c r="P17" i="1" s="1"/>
  <c r="Q16" i="1"/>
  <c r="Q17" i="1" s="1"/>
  <c r="R16" i="1"/>
  <c r="R17" i="1" s="1"/>
  <c r="S16" i="1"/>
  <c r="S17" i="1" s="1"/>
  <c r="T16" i="1"/>
  <c r="T17" i="1" s="1"/>
  <c r="V16" i="1"/>
  <c r="V17" i="1" s="1"/>
  <c r="W16" i="1"/>
  <c r="W17" i="1" s="1"/>
  <c r="X16" i="1"/>
  <c r="X17" i="1" s="1"/>
  <c r="Y16" i="1"/>
  <c r="Z16" i="1"/>
  <c r="Z17" i="1" s="1"/>
  <c r="A18" i="1"/>
  <c r="A19" i="1" s="1"/>
  <c r="B18" i="1"/>
  <c r="B19" i="1" s="1"/>
  <c r="C18" i="1"/>
  <c r="C19" i="1" s="1"/>
  <c r="D18" i="1"/>
  <c r="E18" i="1"/>
  <c r="F18" i="1"/>
  <c r="F19" i="1" s="1"/>
  <c r="G18" i="1"/>
  <c r="H18" i="1"/>
  <c r="I18" i="1"/>
  <c r="J18" i="1"/>
  <c r="K18" i="1"/>
  <c r="M18" i="1"/>
  <c r="N18" i="1"/>
  <c r="P18" i="1"/>
  <c r="P19" i="1" s="1"/>
  <c r="Q18" i="1"/>
  <c r="Q19" i="1" s="1"/>
  <c r="R18" i="1"/>
  <c r="R19" i="1" s="1"/>
  <c r="S18" i="1"/>
  <c r="S19" i="1" s="1"/>
  <c r="T18" i="1"/>
  <c r="T19" i="1" s="1"/>
  <c r="V18" i="1"/>
  <c r="V19" i="1" s="1"/>
  <c r="W18" i="1"/>
  <c r="W19" i="1" s="1"/>
  <c r="X18" i="1"/>
  <c r="X19" i="1" s="1"/>
  <c r="Y18" i="1"/>
  <c r="Z18" i="1"/>
  <c r="Z19" i="1" s="1"/>
  <c r="D19" i="1"/>
  <c r="A20" i="1"/>
  <c r="A21" i="1" s="1"/>
  <c r="B20" i="1"/>
  <c r="B21" i="1" s="1"/>
  <c r="C20" i="1"/>
  <c r="C21" i="1" s="1"/>
  <c r="D20" i="1"/>
  <c r="D21" i="1" s="1"/>
  <c r="E20" i="1"/>
  <c r="E21" i="1" s="1"/>
  <c r="F20" i="1"/>
  <c r="G20" i="1"/>
  <c r="H20" i="1"/>
  <c r="I20" i="1"/>
  <c r="J20" i="1"/>
  <c r="K20" i="1"/>
  <c r="M20" i="1"/>
  <c r="N20" i="1"/>
  <c r="P20" i="1"/>
  <c r="P21" i="1" s="1"/>
  <c r="Q20" i="1"/>
  <c r="Q21" i="1" s="1"/>
  <c r="R20" i="1"/>
  <c r="R21" i="1" s="1"/>
  <c r="S20" i="1"/>
  <c r="S21" i="1" s="1"/>
  <c r="T20" i="1"/>
  <c r="T21" i="1" s="1"/>
  <c r="V20" i="1"/>
  <c r="V21" i="1" s="1"/>
  <c r="W20" i="1"/>
  <c r="W21" i="1" s="1"/>
  <c r="X20" i="1"/>
  <c r="X21" i="1" s="1"/>
  <c r="Y20" i="1"/>
  <c r="Z20" i="1"/>
  <c r="Z21" i="1" s="1"/>
  <c r="A22" i="1"/>
  <c r="A23" i="1" s="1"/>
  <c r="B22" i="1"/>
  <c r="B23" i="1" s="1"/>
  <c r="C22" i="1"/>
  <c r="C23" i="1" s="1"/>
  <c r="D22" i="1"/>
  <c r="D23" i="1" s="1"/>
  <c r="E22" i="1"/>
  <c r="E23" i="1" s="1"/>
  <c r="F22" i="1"/>
  <c r="F23" i="1" s="1"/>
  <c r="G22" i="1"/>
  <c r="H22" i="1"/>
  <c r="I22" i="1"/>
  <c r="J22" i="1"/>
  <c r="K22" i="1"/>
  <c r="M22" i="1"/>
  <c r="N22" i="1"/>
  <c r="P22" i="1"/>
  <c r="P23" i="1" s="1"/>
  <c r="Q22" i="1"/>
  <c r="Q23" i="1" s="1"/>
  <c r="R22" i="1"/>
  <c r="R23" i="1" s="1"/>
  <c r="S22" i="1"/>
  <c r="S23" i="1" s="1"/>
  <c r="T22" i="1"/>
  <c r="T23" i="1" s="1"/>
  <c r="V22" i="1"/>
  <c r="V23" i="1" s="1"/>
  <c r="W22" i="1"/>
  <c r="W23" i="1" s="1"/>
  <c r="X22" i="1"/>
  <c r="X23" i="1" s="1"/>
  <c r="Y22" i="1"/>
  <c r="Z22" i="1"/>
  <c r="Z23" i="1" s="1"/>
  <c r="A24" i="1"/>
  <c r="A25" i="1" s="1"/>
  <c r="B24" i="1"/>
  <c r="B25" i="1" s="1"/>
  <c r="C24" i="1"/>
  <c r="C25" i="1" s="1"/>
  <c r="D24" i="1"/>
  <c r="D25" i="1" s="1"/>
  <c r="E24" i="1"/>
  <c r="E25" i="1" s="1"/>
  <c r="F24" i="1"/>
  <c r="F25" i="1" s="1"/>
  <c r="G24" i="1"/>
  <c r="H24" i="1"/>
  <c r="I24" i="1"/>
  <c r="J24" i="1"/>
  <c r="K24" i="1"/>
  <c r="M24" i="1"/>
  <c r="N24" i="1"/>
  <c r="P24" i="1"/>
  <c r="P25" i="1" s="1"/>
  <c r="Q24" i="1"/>
  <c r="Q25" i="1" s="1"/>
  <c r="R24" i="1"/>
  <c r="R25" i="1" s="1"/>
  <c r="S24" i="1"/>
  <c r="S25" i="1" s="1"/>
  <c r="T24" i="1"/>
  <c r="T25" i="1" s="1"/>
  <c r="V24" i="1"/>
  <c r="V25" i="1" s="1"/>
  <c r="W24" i="1"/>
  <c r="W25" i="1" s="1"/>
  <c r="X24" i="1"/>
  <c r="X25" i="1" s="1"/>
  <c r="Y24" i="1"/>
  <c r="Z24" i="1"/>
  <c r="Z25" i="1" s="1"/>
  <c r="A26" i="1"/>
  <c r="A27" i="1" s="1"/>
  <c r="B26" i="1"/>
  <c r="B27" i="1" s="1"/>
  <c r="C26" i="1"/>
  <c r="C27" i="1" s="1"/>
  <c r="D26" i="1"/>
  <c r="E26" i="1"/>
  <c r="E27" i="1" s="1"/>
  <c r="F26" i="1"/>
  <c r="F27" i="1" s="1"/>
  <c r="G26" i="1"/>
  <c r="H26" i="1"/>
  <c r="I26" i="1"/>
  <c r="J26" i="1"/>
  <c r="K26" i="1"/>
  <c r="M26" i="1"/>
  <c r="N26" i="1"/>
  <c r="P26" i="1"/>
  <c r="P27" i="1" s="1"/>
  <c r="Q26" i="1"/>
  <c r="Q27" i="1" s="1"/>
  <c r="R26" i="1"/>
  <c r="R27" i="1" s="1"/>
  <c r="S26" i="1"/>
  <c r="S27" i="1" s="1"/>
  <c r="T26" i="1"/>
  <c r="T27" i="1" s="1"/>
  <c r="V26" i="1"/>
  <c r="V27" i="1" s="1"/>
  <c r="W26" i="1"/>
  <c r="W27" i="1" s="1"/>
  <c r="X26" i="1"/>
  <c r="X27" i="1" s="1"/>
  <c r="Y26" i="1"/>
  <c r="Z26" i="1"/>
  <c r="Z27" i="1" s="1"/>
  <c r="D27" i="1"/>
  <c r="A28" i="1"/>
  <c r="A29" i="1" s="1"/>
  <c r="B28" i="1"/>
  <c r="B29" i="1" s="1"/>
  <c r="C28" i="1"/>
  <c r="C29" i="1" s="1"/>
  <c r="D28" i="1"/>
  <c r="D29" i="1" s="1"/>
  <c r="E28" i="1"/>
  <c r="E29" i="1" s="1"/>
  <c r="F28" i="1"/>
  <c r="F29" i="1" s="1"/>
  <c r="G28" i="1"/>
  <c r="H28" i="1"/>
  <c r="I28" i="1"/>
  <c r="J28" i="1"/>
  <c r="K28" i="1"/>
  <c r="M28" i="1"/>
  <c r="N28" i="1"/>
  <c r="P28" i="1"/>
  <c r="P29" i="1" s="1"/>
  <c r="Q28" i="1"/>
  <c r="Q29" i="1" s="1"/>
  <c r="R28" i="1"/>
  <c r="R29" i="1" s="1"/>
  <c r="S28" i="1"/>
  <c r="S29" i="1" s="1"/>
  <c r="T28" i="1"/>
  <c r="T29" i="1" s="1"/>
  <c r="V28" i="1"/>
  <c r="V29" i="1" s="1"/>
  <c r="W28" i="1"/>
  <c r="W29" i="1" s="1"/>
  <c r="X28" i="1"/>
  <c r="X29" i="1" s="1"/>
  <c r="Y28" i="1"/>
  <c r="Z28" i="1"/>
  <c r="Z29" i="1" s="1"/>
  <c r="A30" i="1"/>
  <c r="A31" i="1" s="1"/>
  <c r="B30" i="1"/>
  <c r="B31" i="1" s="1"/>
  <c r="C30" i="1"/>
  <c r="C31" i="1" s="1"/>
  <c r="D30" i="1"/>
  <c r="D31" i="1" s="1"/>
  <c r="E30" i="1"/>
  <c r="E31" i="1" s="1"/>
  <c r="F30" i="1"/>
  <c r="F31" i="1" s="1"/>
  <c r="G30" i="1"/>
  <c r="H30" i="1"/>
  <c r="I30" i="1"/>
  <c r="J30" i="1"/>
  <c r="K30" i="1"/>
  <c r="M30" i="1"/>
  <c r="N30" i="1"/>
  <c r="P30" i="1"/>
  <c r="P31" i="1" s="1"/>
  <c r="Q30" i="1"/>
  <c r="Q31" i="1" s="1"/>
  <c r="R30" i="1"/>
  <c r="R31" i="1" s="1"/>
  <c r="S30" i="1"/>
  <c r="S31" i="1" s="1"/>
  <c r="T30" i="1"/>
  <c r="T31" i="1" s="1"/>
  <c r="V30" i="1"/>
  <c r="V31" i="1" s="1"/>
  <c r="W30" i="1"/>
  <c r="W31" i="1" s="1"/>
  <c r="X30" i="1"/>
  <c r="X31" i="1" s="1"/>
  <c r="Y30" i="1"/>
  <c r="Z30" i="1"/>
  <c r="Z31" i="1" s="1"/>
  <c r="A32" i="1"/>
  <c r="A33" i="1" s="1"/>
  <c r="B32" i="1"/>
  <c r="B33" i="1" s="1"/>
  <c r="C32" i="1"/>
  <c r="C33" i="1" s="1"/>
  <c r="D32" i="1"/>
  <c r="D33" i="1" s="1"/>
  <c r="E32" i="1"/>
  <c r="E33" i="1" s="1"/>
  <c r="F32" i="1"/>
  <c r="F33" i="1" s="1"/>
  <c r="G32" i="1"/>
  <c r="H32" i="1"/>
  <c r="I32" i="1"/>
  <c r="J32" i="1"/>
  <c r="K32" i="1"/>
  <c r="M32" i="1"/>
  <c r="N32" i="1"/>
  <c r="P32" i="1"/>
  <c r="P33" i="1" s="1"/>
  <c r="Q32" i="1"/>
  <c r="Q33" i="1" s="1"/>
  <c r="R32" i="1"/>
  <c r="R33" i="1" s="1"/>
  <c r="S32" i="1"/>
  <c r="S33" i="1" s="1"/>
  <c r="T32" i="1"/>
  <c r="T33" i="1" s="1"/>
  <c r="V32" i="1"/>
  <c r="V33" i="1" s="1"/>
  <c r="X32" i="1"/>
  <c r="X33" i="1" s="1"/>
  <c r="Y32" i="1"/>
  <c r="Z32" i="1"/>
  <c r="Z33" i="1" s="1"/>
  <c r="A34" i="1"/>
  <c r="A35" i="1" s="1"/>
  <c r="B34" i="1"/>
  <c r="B35" i="1" s="1"/>
  <c r="C34" i="1"/>
  <c r="C35" i="1" s="1"/>
  <c r="D34" i="1"/>
  <c r="D35" i="1" s="1"/>
  <c r="E34" i="1"/>
  <c r="E35" i="1" s="1"/>
  <c r="F34" i="1"/>
  <c r="F35" i="1" s="1"/>
  <c r="G34" i="1"/>
  <c r="H34" i="1"/>
  <c r="I34" i="1"/>
  <c r="J34" i="1"/>
  <c r="K34" i="1"/>
  <c r="M34" i="1"/>
  <c r="N34" i="1"/>
  <c r="P34" i="1"/>
  <c r="P35" i="1" s="1"/>
  <c r="Q34" i="1"/>
  <c r="Q35" i="1" s="1"/>
  <c r="R34" i="1"/>
  <c r="R35" i="1" s="1"/>
  <c r="S34" i="1"/>
  <c r="S35" i="1" s="1"/>
  <c r="T34" i="1"/>
  <c r="T35" i="1" s="1"/>
  <c r="V34" i="1"/>
  <c r="V35" i="1" s="1"/>
  <c r="X34" i="1"/>
  <c r="X35" i="1" s="1"/>
  <c r="Y34" i="1"/>
  <c r="Z34" i="1"/>
  <c r="Z35" i="1" s="1"/>
  <c r="A36" i="1"/>
  <c r="A37" i="1" s="1"/>
  <c r="B36" i="1"/>
  <c r="B37" i="1" s="1"/>
  <c r="C36" i="1"/>
  <c r="C37" i="1" s="1"/>
  <c r="D36" i="1"/>
  <c r="D37" i="1" s="1"/>
  <c r="E36" i="1"/>
  <c r="E37" i="1" s="1"/>
  <c r="F36" i="1"/>
  <c r="F37" i="1" s="1"/>
  <c r="G36" i="1"/>
  <c r="H36" i="1"/>
  <c r="I36" i="1"/>
  <c r="J36" i="1"/>
  <c r="K36" i="1"/>
  <c r="M36" i="1"/>
  <c r="N36" i="1"/>
  <c r="P36" i="1"/>
  <c r="P37" i="1" s="1"/>
  <c r="Q36" i="1"/>
  <c r="Q37" i="1" s="1"/>
  <c r="R36" i="1"/>
  <c r="R37" i="1" s="1"/>
  <c r="S36" i="1"/>
  <c r="S37" i="1" s="1"/>
  <c r="T36" i="1"/>
  <c r="T37" i="1" s="1"/>
  <c r="V36" i="1"/>
  <c r="V37" i="1" s="1"/>
  <c r="X36" i="1"/>
  <c r="X37" i="1" s="1"/>
  <c r="Y36" i="1"/>
  <c r="Z36" i="1"/>
  <c r="Z37" i="1" s="1"/>
  <c r="A38" i="1"/>
  <c r="A39" i="1" s="1"/>
  <c r="B38" i="1"/>
  <c r="B39" i="1" s="1"/>
  <c r="C38" i="1"/>
  <c r="C39" i="1" s="1"/>
  <c r="D38" i="1"/>
  <c r="D39" i="1" s="1"/>
  <c r="E38" i="1"/>
  <c r="E39" i="1" s="1"/>
  <c r="F38" i="1"/>
  <c r="F39" i="1" s="1"/>
  <c r="G38" i="1"/>
  <c r="H38" i="1"/>
  <c r="I38" i="1"/>
  <c r="J38" i="1"/>
  <c r="K38" i="1"/>
  <c r="M38" i="1"/>
  <c r="N38" i="1"/>
  <c r="P38" i="1"/>
  <c r="P39" i="1" s="1"/>
  <c r="Q38" i="1"/>
  <c r="Q39" i="1" s="1"/>
  <c r="R38" i="1"/>
  <c r="R39" i="1" s="1"/>
  <c r="S38" i="1"/>
  <c r="S39" i="1" s="1"/>
  <c r="T38" i="1"/>
  <c r="T39" i="1" s="1"/>
  <c r="V38" i="1"/>
  <c r="V39" i="1" s="1"/>
  <c r="X38" i="1"/>
  <c r="X39" i="1" s="1"/>
  <c r="Y38" i="1"/>
  <c r="Z38" i="1"/>
  <c r="Z39" i="1" s="1"/>
  <c r="A40" i="1"/>
  <c r="A41" i="1" s="1"/>
  <c r="B40" i="1"/>
  <c r="B41" i="1" s="1"/>
  <c r="C40" i="1"/>
  <c r="C41" i="1" s="1"/>
  <c r="D40" i="1"/>
  <c r="D41" i="1" s="1"/>
  <c r="E40" i="1"/>
  <c r="E41" i="1" s="1"/>
  <c r="F40" i="1"/>
  <c r="F41" i="1" s="1"/>
  <c r="G40" i="1"/>
  <c r="H40" i="1"/>
  <c r="I40" i="1"/>
  <c r="J40" i="1"/>
  <c r="K40" i="1"/>
  <c r="M40" i="1"/>
  <c r="N40" i="1"/>
  <c r="P40" i="1"/>
  <c r="P41" i="1" s="1"/>
  <c r="Q40" i="1"/>
  <c r="Q41" i="1" s="1"/>
  <c r="R40" i="1"/>
  <c r="R41" i="1" s="1"/>
  <c r="S40" i="1"/>
  <c r="S41" i="1" s="1"/>
  <c r="T40" i="1"/>
  <c r="T41" i="1" s="1"/>
  <c r="V40" i="1"/>
  <c r="V41" i="1" s="1"/>
  <c r="X40" i="1"/>
  <c r="X41" i="1" s="1"/>
  <c r="Y40" i="1"/>
  <c r="Z40" i="1"/>
  <c r="Z41" i="1" s="1"/>
  <c r="A42" i="1"/>
  <c r="A43" i="1" s="1"/>
  <c r="B42" i="1"/>
  <c r="B43" i="1" s="1"/>
  <c r="C42" i="1"/>
  <c r="C43" i="1" s="1"/>
  <c r="D42" i="1"/>
  <c r="D43" i="1" s="1"/>
  <c r="E42" i="1"/>
  <c r="E43" i="1" s="1"/>
  <c r="F42" i="1"/>
  <c r="F43" i="1" s="1"/>
  <c r="G42" i="1"/>
  <c r="H42" i="1"/>
  <c r="I42" i="1"/>
  <c r="J42" i="1"/>
  <c r="K42" i="1"/>
  <c r="M42" i="1"/>
  <c r="N42" i="1"/>
  <c r="P42" i="1"/>
  <c r="P43" i="1" s="1"/>
  <c r="Q42" i="1"/>
  <c r="Q43" i="1" s="1"/>
  <c r="R42" i="1"/>
  <c r="R43" i="1" s="1"/>
  <c r="S42" i="1"/>
  <c r="S43" i="1" s="1"/>
  <c r="T42" i="1"/>
  <c r="T43" i="1" s="1"/>
  <c r="V42" i="1"/>
  <c r="V43" i="1" s="1"/>
  <c r="X42" i="1"/>
  <c r="X43" i="1" s="1"/>
  <c r="Y42" i="1"/>
  <c r="Z42" i="1"/>
  <c r="Z43" i="1" s="1"/>
  <c r="A44" i="1"/>
  <c r="A45" i="1" s="1"/>
  <c r="B44" i="1"/>
  <c r="B45" i="1" s="1"/>
  <c r="C44" i="1"/>
  <c r="C45" i="1" s="1"/>
  <c r="D44" i="1"/>
  <c r="D45" i="1" s="1"/>
  <c r="E44" i="1"/>
  <c r="E45" i="1" s="1"/>
  <c r="F44" i="1"/>
  <c r="F45" i="1" s="1"/>
  <c r="G44" i="1"/>
  <c r="H44" i="1"/>
  <c r="I44" i="1"/>
  <c r="J44" i="1"/>
  <c r="K44" i="1"/>
  <c r="M44" i="1"/>
  <c r="N44" i="1"/>
  <c r="P44" i="1"/>
  <c r="P45" i="1" s="1"/>
  <c r="Q44" i="1"/>
  <c r="Q45" i="1" s="1"/>
  <c r="R44" i="1"/>
  <c r="R45" i="1" s="1"/>
  <c r="S44" i="1"/>
  <c r="S45" i="1" s="1"/>
  <c r="T44" i="1"/>
  <c r="T45" i="1" s="1"/>
  <c r="V44" i="1"/>
  <c r="V45" i="1" s="1"/>
  <c r="X44" i="1"/>
  <c r="X45" i="1" s="1"/>
  <c r="Y44" i="1"/>
  <c r="Z44" i="1"/>
  <c r="Z45" i="1" s="1"/>
  <c r="A46" i="1"/>
  <c r="A47" i="1" s="1"/>
  <c r="B46" i="1"/>
  <c r="B47" i="1" s="1"/>
  <c r="C46" i="1"/>
  <c r="C47" i="1" s="1"/>
  <c r="D46" i="1"/>
  <c r="D47" i="1" s="1"/>
  <c r="E46" i="1"/>
  <c r="E47" i="1" s="1"/>
  <c r="F46" i="1"/>
  <c r="F47" i="1" s="1"/>
  <c r="G46" i="1"/>
  <c r="H46" i="1"/>
  <c r="I46" i="1"/>
  <c r="J46" i="1"/>
  <c r="K46" i="1"/>
  <c r="M46" i="1"/>
  <c r="N46" i="1"/>
  <c r="P46" i="1"/>
  <c r="P47" i="1" s="1"/>
  <c r="Q46" i="1"/>
  <c r="Q47" i="1" s="1"/>
  <c r="R46" i="1"/>
  <c r="R47" i="1" s="1"/>
  <c r="S46" i="1"/>
  <c r="S47" i="1" s="1"/>
  <c r="T46" i="1"/>
  <c r="T47" i="1" s="1"/>
  <c r="V46" i="1"/>
  <c r="V47" i="1" s="1"/>
  <c r="W46" i="1"/>
  <c r="W47" i="1" s="1"/>
  <c r="X46" i="1"/>
  <c r="X47" i="1" s="1"/>
  <c r="Y46" i="1"/>
  <c r="Z46" i="1"/>
  <c r="Z47" i="1" s="1"/>
  <c r="A48" i="1"/>
  <c r="A49" i="1" s="1"/>
  <c r="B48" i="1"/>
  <c r="B49" i="1" s="1"/>
  <c r="C48" i="1"/>
  <c r="C49" i="1" s="1"/>
  <c r="D48" i="1"/>
  <c r="D49" i="1" s="1"/>
  <c r="E48" i="1"/>
  <c r="E49" i="1" s="1"/>
  <c r="F48" i="1"/>
  <c r="F49" i="1" s="1"/>
  <c r="G48" i="1"/>
  <c r="H48" i="1"/>
  <c r="I48" i="1"/>
  <c r="J48" i="1"/>
  <c r="K48" i="1"/>
  <c r="M48" i="1"/>
  <c r="N48" i="1"/>
  <c r="P48" i="1"/>
  <c r="P49" i="1" s="1"/>
  <c r="Q48" i="1"/>
  <c r="Q49" i="1" s="1"/>
  <c r="R48" i="1"/>
  <c r="R49" i="1" s="1"/>
  <c r="S48" i="1"/>
  <c r="S49" i="1" s="1"/>
  <c r="T48" i="1"/>
  <c r="T49" i="1" s="1"/>
  <c r="V48" i="1"/>
  <c r="V49" i="1" s="1"/>
  <c r="W48" i="1"/>
  <c r="W49" i="1" s="1"/>
  <c r="X48" i="1"/>
  <c r="X49" i="1" s="1"/>
  <c r="Y48" i="1"/>
  <c r="Z48" i="1"/>
  <c r="Z49" i="1" s="1"/>
  <c r="A50" i="1"/>
  <c r="A51" i="1" s="1"/>
  <c r="B50" i="1"/>
  <c r="B51" i="1" s="1"/>
  <c r="C50" i="1"/>
  <c r="C51" i="1" s="1"/>
  <c r="D50" i="1"/>
  <c r="D51" i="1" s="1"/>
  <c r="E50" i="1"/>
  <c r="E51" i="1" s="1"/>
  <c r="F50" i="1"/>
  <c r="F51" i="1" s="1"/>
  <c r="G50" i="1"/>
  <c r="H50" i="1"/>
  <c r="I50" i="1"/>
  <c r="J50" i="1"/>
  <c r="K50" i="1"/>
  <c r="M50" i="1"/>
  <c r="N50" i="1"/>
  <c r="P50" i="1"/>
  <c r="P51" i="1" s="1"/>
  <c r="Q50" i="1"/>
  <c r="Q51" i="1" s="1"/>
  <c r="R50" i="1"/>
  <c r="R51" i="1" s="1"/>
  <c r="S50" i="1"/>
  <c r="S51" i="1" s="1"/>
  <c r="T50" i="1"/>
  <c r="T51" i="1" s="1"/>
  <c r="V50" i="1"/>
  <c r="V51" i="1" s="1"/>
  <c r="W50" i="1"/>
  <c r="W51" i="1" s="1"/>
  <c r="X50" i="1"/>
  <c r="X51" i="1" s="1"/>
  <c r="Y50" i="1"/>
  <c r="Z50" i="1"/>
  <c r="Z51" i="1" s="1"/>
  <c r="A52" i="1"/>
  <c r="A53" i="1" s="1"/>
  <c r="B52" i="1"/>
  <c r="B53" i="1" s="1"/>
  <c r="C52" i="1"/>
  <c r="C53" i="1" s="1"/>
  <c r="D52" i="1"/>
  <c r="D53" i="1" s="1"/>
  <c r="E52" i="1"/>
  <c r="E53" i="1" s="1"/>
  <c r="F52" i="1"/>
  <c r="F53" i="1" s="1"/>
  <c r="G52" i="1"/>
  <c r="H52" i="1"/>
  <c r="I52" i="1"/>
  <c r="J52" i="1"/>
  <c r="K52" i="1"/>
  <c r="M52" i="1"/>
  <c r="N52" i="1"/>
  <c r="P52" i="1"/>
  <c r="P53" i="1" s="1"/>
  <c r="Q52" i="1"/>
  <c r="Q53" i="1" s="1"/>
  <c r="R52" i="1"/>
  <c r="R53" i="1" s="1"/>
  <c r="S52" i="1"/>
  <c r="S53" i="1" s="1"/>
  <c r="T52" i="1"/>
  <c r="T53" i="1" s="1"/>
  <c r="V52" i="1"/>
  <c r="V53" i="1" s="1"/>
  <c r="W52" i="1"/>
  <c r="W53" i="1" s="1"/>
  <c r="X52" i="1"/>
  <c r="X53" i="1" s="1"/>
  <c r="Y52" i="1"/>
  <c r="Z52" i="1"/>
  <c r="Z53" i="1" s="1"/>
  <c r="A54" i="1"/>
  <c r="A55" i="1" s="1"/>
  <c r="B54" i="1"/>
  <c r="B55" i="1" s="1"/>
  <c r="C54" i="1"/>
  <c r="C55" i="1" s="1"/>
  <c r="D54" i="1"/>
  <c r="D55" i="1" s="1"/>
  <c r="E54" i="1"/>
  <c r="E55" i="1" s="1"/>
  <c r="F54" i="1"/>
  <c r="F55" i="1" s="1"/>
  <c r="G54" i="1"/>
  <c r="H54" i="1"/>
  <c r="I54" i="1"/>
  <c r="J54" i="1"/>
  <c r="K54" i="1"/>
  <c r="M54" i="1"/>
  <c r="N54" i="1"/>
  <c r="P54" i="1"/>
  <c r="P55" i="1" s="1"/>
  <c r="Q54" i="1"/>
  <c r="Q55" i="1" s="1"/>
  <c r="R54" i="1"/>
  <c r="R55" i="1" s="1"/>
  <c r="S54" i="1"/>
  <c r="S55" i="1" s="1"/>
  <c r="T54" i="1"/>
  <c r="T55" i="1" s="1"/>
  <c r="V54" i="1"/>
  <c r="V55" i="1" s="1"/>
  <c r="W54" i="1"/>
  <c r="W55" i="1" s="1"/>
  <c r="X54" i="1"/>
  <c r="X55" i="1" s="1"/>
  <c r="Y54" i="1"/>
  <c r="Z54" i="1"/>
  <c r="Z55" i="1" s="1"/>
  <c r="A56" i="1"/>
  <c r="A57" i="1" s="1"/>
  <c r="B56" i="1"/>
  <c r="B57" i="1" s="1"/>
  <c r="C56" i="1"/>
  <c r="C57" i="1" s="1"/>
  <c r="D56" i="1"/>
  <c r="D57" i="1" s="1"/>
  <c r="E56" i="1"/>
  <c r="E57" i="1" s="1"/>
  <c r="F56" i="1"/>
  <c r="F57" i="1" s="1"/>
  <c r="G56" i="1"/>
  <c r="H56" i="1"/>
  <c r="I56" i="1"/>
  <c r="J56" i="1"/>
  <c r="K56" i="1"/>
  <c r="M56" i="1"/>
  <c r="N56" i="1"/>
  <c r="P56" i="1"/>
  <c r="P57" i="1" s="1"/>
  <c r="Q56" i="1"/>
  <c r="Q57" i="1" s="1"/>
  <c r="R56" i="1"/>
  <c r="R57" i="1" s="1"/>
  <c r="S56" i="1"/>
  <c r="S57" i="1" s="1"/>
  <c r="T56" i="1"/>
  <c r="T57" i="1" s="1"/>
  <c r="V56" i="1"/>
  <c r="V57" i="1" s="1"/>
  <c r="W56" i="1"/>
  <c r="W57" i="1" s="1"/>
  <c r="X56" i="1"/>
  <c r="X57" i="1" s="1"/>
  <c r="Y56" i="1"/>
  <c r="Z56" i="1"/>
  <c r="Z57" i="1" s="1"/>
  <c r="A58" i="1"/>
  <c r="A59" i="1" s="1"/>
  <c r="B58" i="1"/>
  <c r="B59" i="1" s="1"/>
  <c r="C58" i="1"/>
  <c r="C59" i="1" s="1"/>
  <c r="D58" i="1"/>
  <c r="E58" i="1"/>
  <c r="E59" i="1" s="1"/>
  <c r="F58" i="1"/>
  <c r="F59" i="1" s="1"/>
  <c r="G58" i="1"/>
  <c r="H58" i="1"/>
  <c r="I58" i="1"/>
  <c r="J58" i="1"/>
  <c r="K58" i="1"/>
  <c r="M58" i="1"/>
  <c r="N58" i="1"/>
  <c r="P58" i="1"/>
  <c r="P59" i="1" s="1"/>
  <c r="Q58" i="1"/>
  <c r="Q59" i="1" s="1"/>
  <c r="R58" i="1"/>
  <c r="R59" i="1" s="1"/>
  <c r="S58" i="1"/>
  <c r="S59" i="1" s="1"/>
  <c r="T58" i="1"/>
  <c r="T59" i="1" s="1"/>
  <c r="V58" i="1"/>
  <c r="V59" i="1" s="1"/>
  <c r="W58" i="1"/>
  <c r="W59" i="1" s="1"/>
  <c r="X58" i="1"/>
  <c r="X59" i="1" s="1"/>
  <c r="Y58" i="1"/>
  <c r="Z58" i="1"/>
  <c r="Z59" i="1" s="1"/>
  <c r="D59" i="1"/>
  <c r="A60" i="1"/>
  <c r="A61" i="1" s="1"/>
  <c r="B60" i="1"/>
  <c r="B61" i="1" s="1"/>
  <c r="C60" i="1"/>
  <c r="C61" i="1" s="1"/>
  <c r="D60" i="1"/>
  <c r="D61" i="1" s="1"/>
  <c r="E60" i="1"/>
  <c r="E61" i="1" s="1"/>
  <c r="F60" i="1"/>
  <c r="F61" i="1" s="1"/>
  <c r="G60" i="1"/>
  <c r="H60" i="1"/>
  <c r="I60" i="1"/>
  <c r="J60" i="1"/>
  <c r="K60" i="1"/>
  <c r="M60" i="1"/>
  <c r="N60" i="1"/>
  <c r="P60" i="1"/>
  <c r="P61" i="1" s="1"/>
  <c r="Q60" i="1"/>
  <c r="Q61" i="1" s="1"/>
  <c r="R60" i="1"/>
  <c r="R61" i="1" s="1"/>
  <c r="S60" i="1"/>
  <c r="S61" i="1" s="1"/>
  <c r="T60" i="1"/>
  <c r="T61" i="1" s="1"/>
  <c r="V60" i="1"/>
  <c r="V61" i="1" s="1"/>
  <c r="W60" i="1"/>
  <c r="W61" i="1" s="1"/>
  <c r="X60" i="1"/>
  <c r="X61" i="1" s="1"/>
  <c r="Y60" i="1"/>
  <c r="Z60" i="1"/>
  <c r="Z61" i="1" s="1"/>
  <c r="A62" i="1"/>
  <c r="A63" i="1" s="1"/>
  <c r="B62" i="1"/>
  <c r="B63" i="1" s="1"/>
  <c r="C62" i="1"/>
  <c r="C63" i="1" s="1"/>
  <c r="D62" i="1"/>
  <c r="D63" i="1" s="1"/>
  <c r="E62" i="1"/>
  <c r="E63" i="1" s="1"/>
  <c r="F62" i="1"/>
  <c r="F63" i="1" s="1"/>
  <c r="G62" i="1"/>
  <c r="H62" i="1"/>
  <c r="I62" i="1"/>
  <c r="J62" i="1"/>
  <c r="K62" i="1"/>
  <c r="M62" i="1"/>
  <c r="N62" i="1"/>
  <c r="P62" i="1"/>
  <c r="P63" i="1" s="1"/>
  <c r="Q62" i="1"/>
  <c r="Q63" i="1" s="1"/>
  <c r="R62" i="1"/>
  <c r="R63" i="1" s="1"/>
  <c r="S62" i="1"/>
  <c r="S63" i="1" s="1"/>
  <c r="T62" i="1"/>
  <c r="T63" i="1" s="1"/>
  <c r="V62" i="1"/>
  <c r="V63" i="1" s="1"/>
  <c r="W62" i="1"/>
  <c r="W63" i="1" s="1"/>
  <c r="X62" i="1"/>
  <c r="X63" i="1" s="1"/>
  <c r="Y62" i="1"/>
  <c r="Z62" i="1"/>
  <c r="Z63" i="1" s="1"/>
  <c r="A64" i="1"/>
  <c r="A65" i="1" s="1"/>
  <c r="B64" i="1"/>
  <c r="B65" i="1" s="1"/>
  <c r="C64" i="1"/>
  <c r="C65" i="1" s="1"/>
  <c r="D64" i="1"/>
  <c r="D65" i="1" s="1"/>
  <c r="E64" i="1"/>
  <c r="E65" i="1" s="1"/>
  <c r="F64" i="1"/>
  <c r="F65" i="1" s="1"/>
  <c r="G64" i="1"/>
  <c r="H64" i="1"/>
  <c r="I64" i="1"/>
  <c r="J64" i="1"/>
  <c r="K64" i="1"/>
  <c r="M64" i="1"/>
  <c r="N64" i="1"/>
  <c r="P64" i="1"/>
  <c r="P65" i="1" s="1"/>
  <c r="Q64" i="1"/>
  <c r="Q65" i="1" s="1"/>
  <c r="R64" i="1"/>
  <c r="R65" i="1" s="1"/>
  <c r="S64" i="1"/>
  <c r="S65" i="1" s="1"/>
  <c r="T64" i="1"/>
  <c r="T65" i="1" s="1"/>
  <c r="V64" i="1"/>
  <c r="V65" i="1" s="1"/>
  <c r="W64" i="1"/>
  <c r="W65" i="1" s="1"/>
  <c r="X64" i="1"/>
  <c r="X65" i="1" s="1"/>
  <c r="Y64" i="1"/>
  <c r="Z64" i="1"/>
  <c r="Z65" i="1" s="1"/>
  <c r="A66" i="1"/>
  <c r="A67" i="1" s="1"/>
  <c r="B66" i="1"/>
  <c r="B67" i="1" s="1"/>
  <c r="C66" i="1"/>
  <c r="C67" i="1" s="1"/>
  <c r="D66" i="1"/>
  <c r="D67" i="1" s="1"/>
  <c r="E66" i="1"/>
  <c r="E67" i="1" s="1"/>
  <c r="F66" i="1"/>
  <c r="F67" i="1" s="1"/>
  <c r="G66" i="1"/>
  <c r="H66" i="1"/>
  <c r="I66" i="1"/>
  <c r="J66" i="1"/>
  <c r="K66" i="1"/>
  <c r="M66" i="1"/>
  <c r="N66" i="1"/>
  <c r="P66" i="1"/>
  <c r="P67" i="1" s="1"/>
  <c r="Q66" i="1"/>
  <c r="Q67" i="1" s="1"/>
  <c r="R66" i="1"/>
  <c r="R67" i="1" s="1"/>
  <c r="S66" i="1"/>
  <c r="S67" i="1" s="1"/>
  <c r="T66" i="1"/>
  <c r="T67" i="1" s="1"/>
  <c r="V66" i="1"/>
  <c r="V67" i="1" s="1"/>
  <c r="W66" i="1"/>
  <c r="W67" i="1" s="1"/>
  <c r="X66" i="1"/>
  <c r="X67" i="1" s="1"/>
  <c r="Y66" i="1"/>
  <c r="Z66" i="1"/>
  <c r="Z67" i="1" s="1"/>
  <c r="A68" i="1"/>
  <c r="A69" i="1" s="1"/>
  <c r="B68" i="1"/>
  <c r="B69" i="1" s="1"/>
  <c r="C68" i="1"/>
  <c r="C69" i="1" s="1"/>
  <c r="D68" i="1"/>
  <c r="D69" i="1" s="1"/>
  <c r="E68" i="1"/>
  <c r="E69" i="1" s="1"/>
  <c r="F68" i="1"/>
  <c r="G68" i="1"/>
  <c r="H68" i="1"/>
  <c r="I68" i="1"/>
  <c r="J68" i="1"/>
  <c r="K68" i="1"/>
  <c r="M68" i="1"/>
  <c r="N68" i="1"/>
  <c r="P68" i="1"/>
  <c r="P69" i="1" s="1"/>
  <c r="Q68" i="1"/>
  <c r="Q69" i="1" s="1"/>
  <c r="R68" i="1"/>
  <c r="R69" i="1" s="1"/>
  <c r="S68" i="1"/>
  <c r="S69" i="1" s="1"/>
  <c r="T68" i="1"/>
  <c r="T69" i="1" s="1"/>
  <c r="V68" i="1"/>
  <c r="V69" i="1" s="1"/>
  <c r="W68" i="1"/>
  <c r="W69" i="1" s="1"/>
  <c r="X68" i="1"/>
  <c r="X69" i="1" s="1"/>
  <c r="Y68" i="1"/>
  <c r="Z68" i="1"/>
  <c r="Z69" i="1" s="1"/>
  <c r="A70" i="1"/>
  <c r="A71" i="1" s="1"/>
  <c r="B70" i="1"/>
  <c r="B71" i="1" s="1"/>
  <c r="C70" i="1"/>
  <c r="C71" i="1" s="1"/>
  <c r="D70" i="1"/>
  <c r="D71" i="1" s="1"/>
  <c r="E70" i="1"/>
  <c r="E71" i="1" s="1"/>
  <c r="F70" i="1"/>
  <c r="F71" i="1" s="1"/>
  <c r="G70" i="1"/>
  <c r="H70" i="1"/>
  <c r="I70" i="1"/>
  <c r="J70" i="1"/>
  <c r="K70" i="1"/>
  <c r="M70" i="1"/>
  <c r="N70" i="1"/>
  <c r="P70" i="1"/>
  <c r="P71" i="1" s="1"/>
  <c r="Q70" i="1"/>
  <c r="Q71" i="1" s="1"/>
  <c r="R70" i="1"/>
  <c r="R71" i="1" s="1"/>
  <c r="S70" i="1"/>
  <c r="S71" i="1" s="1"/>
  <c r="T70" i="1"/>
  <c r="T71" i="1" s="1"/>
  <c r="V70" i="1"/>
  <c r="V71" i="1" s="1"/>
  <c r="W70" i="1"/>
  <c r="W71" i="1" s="1"/>
  <c r="X70" i="1"/>
  <c r="X71" i="1" s="1"/>
  <c r="Y70" i="1"/>
  <c r="Z70" i="1"/>
  <c r="Z71" i="1" s="1"/>
  <c r="A72" i="1"/>
  <c r="A73" i="1" s="1"/>
  <c r="B72" i="1"/>
  <c r="B73" i="1" s="1"/>
  <c r="C72" i="1"/>
  <c r="C73" i="1" s="1"/>
  <c r="D72" i="1"/>
  <c r="D73" i="1" s="1"/>
  <c r="E72" i="1"/>
  <c r="E73" i="1" s="1"/>
  <c r="F72" i="1"/>
  <c r="F73" i="1" s="1"/>
  <c r="G72" i="1"/>
  <c r="H72" i="1"/>
  <c r="I72" i="1"/>
  <c r="J72" i="1"/>
  <c r="K72" i="1"/>
  <c r="M72" i="1"/>
  <c r="N72" i="1"/>
  <c r="P72" i="1"/>
  <c r="P73" i="1" s="1"/>
  <c r="Q72" i="1"/>
  <c r="Q73" i="1" s="1"/>
  <c r="R72" i="1"/>
  <c r="R73" i="1" s="1"/>
  <c r="S72" i="1"/>
  <c r="S73" i="1" s="1"/>
  <c r="T72" i="1"/>
  <c r="T73" i="1" s="1"/>
  <c r="V72" i="1"/>
  <c r="V73" i="1" s="1"/>
  <c r="W72" i="1"/>
  <c r="W73" i="1" s="1"/>
  <c r="X72" i="1"/>
  <c r="X73" i="1" s="1"/>
  <c r="Y72" i="1"/>
  <c r="Z72" i="1"/>
  <c r="Z73" i="1" s="1"/>
  <c r="A74" i="1"/>
  <c r="A75" i="1" s="1"/>
  <c r="B74" i="1"/>
  <c r="B75" i="1" s="1"/>
  <c r="C74" i="1"/>
  <c r="C75" i="1" s="1"/>
  <c r="D74" i="1"/>
  <c r="E74" i="1"/>
  <c r="F74" i="1"/>
  <c r="F75" i="1" s="1"/>
  <c r="G74" i="1"/>
  <c r="H74" i="1"/>
  <c r="I74" i="1"/>
  <c r="J74" i="1"/>
  <c r="K74" i="1"/>
  <c r="M74" i="1"/>
  <c r="N74" i="1"/>
  <c r="P74" i="1"/>
  <c r="P75" i="1" s="1"/>
  <c r="Q74" i="1"/>
  <c r="Q75" i="1" s="1"/>
  <c r="R74" i="1"/>
  <c r="R75" i="1" s="1"/>
  <c r="S74" i="1"/>
  <c r="S75" i="1" s="1"/>
  <c r="T74" i="1"/>
  <c r="T75" i="1" s="1"/>
  <c r="V74" i="1"/>
  <c r="V75" i="1" s="1"/>
  <c r="W74" i="1"/>
  <c r="W75" i="1" s="1"/>
  <c r="X74" i="1"/>
  <c r="X75" i="1" s="1"/>
  <c r="Y74" i="1"/>
  <c r="Z74" i="1"/>
  <c r="Z75" i="1" s="1"/>
  <c r="D75" i="1"/>
  <c r="A76" i="1"/>
  <c r="A77" i="1" s="1"/>
  <c r="B76" i="1"/>
  <c r="B77" i="1" s="1"/>
  <c r="C76" i="1"/>
  <c r="C77" i="1" s="1"/>
  <c r="D76" i="1"/>
  <c r="D77" i="1" s="1"/>
  <c r="E76" i="1"/>
  <c r="E77" i="1" s="1"/>
  <c r="F76" i="1"/>
  <c r="F77" i="1" s="1"/>
  <c r="G76" i="1"/>
  <c r="H76" i="1"/>
  <c r="I76" i="1"/>
  <c r="J76" i="1"/>
  <c r="K76" i="1"/>
  <c r="M76" i="1"/>
  <c r="N76" i="1"/>
  <c r="P76" i="1"/>
  <c r="P77" i="1" s="1"/>
  <c r="Q76" i="1"/>
  <c r="Q77" i="1" s="1"/>
  <c r="R76" i="1"/>
  <c r="S76" i="1"/>
  <c r="S77" i="1" s="1"/>
  <c r="T76" i="1"/>
  <c r="T77" i="1" s="1"/>
  <c r="V76" i="1"/>
  <c r="V77" i="1" s="1"/>
  <c r="W76" i="1"/>
  <c r="W77" i="1" s="1"/>
  <c r="X76" i="1"/>
  <c r="X77" i="1" s="1"/>
  <c r="Y76" i="1"/>
  <c r="Z76" i="1"/>
  <c r="Z77" i="1" s="1"/>
  <c r="R77" i="1"/>
  <c r="A78" i="1"/>
  <c r="A79" i="1" s="1"/>
  <c r="B78" i="1"/>
  <c r="B79" i="1" s="1"/>
  <c r="C78" i="1"/>
  <c r="C79" i="1" s="1"/>
  <c r="D78" i="1"/>
  <c r="D79" i="1" s="1"/>
  <c r="E78" i="1"/>
  <c r="E79" i="1" s="1"/>
  <c r="F78" i="1"/>
  <c r="F79" i="1" s="1"/>
  <c r="G78" i="1"/>
  <c r="H78" i="1"/>
  <c r="I78" i="1"/>
  <c r="J78" i="1"/>
  <c r="K78" i="1"/>
  <c r="M78" i="1"/>
  <c r="N78" i="1"/>
  <c r="P78" i="1"/>
  <c r="Q78" i="1"/>
  <c r="Q79" i="1" s="1"/>
  <c r="R78" i="1"/>
  <c r="R79" i="1" s="1"/>
  <c r="S78" i="1"/>
  <c r="S79" i="1" s="1"/>
  <c r="T78" i="1"/>
  <c r="T79" i="1" s="1"/>
  <c r="V78" i="1"/>
  <c r="V79" i="1" s="1"/>
  <c r="W78" i="1"/>
  <c r="W79" i="1" s="1"/>
  <c r="X78" i="1"/>
  <c r="X79" i="1" s="1"/>
  <c r="Y78" i="1"/>
  <c r="Z78" i="1"/>
  <c r="Z79" i="1" s="1"/>
  <c r="P79" i="1"/>
  <c r="A80" i="1"/>
  <c r="A81" i="1" s="1"/>
  <c r="B80" i="1"/>
  <c r="B81" i="1" s="1"/>
  <c r="C80" i="1"/>
  <c r="C81" i="1" s="1"/>
  <c r="D80" i="1"/>
  <c r="D81" i="1" s="1"/>
  <c r="E80" i="1"/>
  <c r="E81" i="1" s="1"/>
  <c r="F80" i="1"/>
  <c r="F81" i="1" s="1"/>
  <c r="G80" i="1"/>
  <c r="H80" i="1"/>
  <c r="I80" i="1"/>
  <c r="J80" i="1"/>
  <c r="K80" i="1"/>
  <c r="M80" i="1"/>
  <c r="N80" i="1"/>
  <c r="P80" i="1"/>
  <c r="P81" i="1" s="1"/>
  <c r="Q80" i="1"/>
  <c r="Q81" i="1" s="1"/>
  <c r="R80" i="1"/>
  <c r="R81" i="1" s="1"/>
  <c r="S80" i="1"/>
  <c r="S81" i="1" s="1"/>
  <c r="T80" i="1"/>
  <c r="T81" i="1" s="1"/>
  <c r="V80" i="1"/>
  <c r="V81" i="1" s="1"/>
  <c r="W80" i="1"/>
  <c r="W81" i="1" s="1"/>
  <c r="X80" i="1"/>
  <c r="X81" i="1" s="1"/>
  <c r="Y80" i="1"/>
  <c r="Z80" i="1"/>
  <c r="Z81" i="1" s="1"/>
  <c r="A82" i="1"/>
  <c r="A83" i="1" s="1"/>
  <c r="B82" i="1"/>
  <c r="B83" i="1" s="1"/>
  <c r="C82" i="1"/>
  <c r="C83" i="1" s="1"/>
  <c r="D82" i="1"/>
  <c r="D83" i="1" s="1"/>
  <c r="E82" i="1"/>
  <c r="E83" i="1" s="1"/>
  <c r="F82" i="1"/>
  <c r="G82" i="1"/>
  <c r="H82" i="1"/>
  <c r="I82" i="1"/>
  <c r="J82" i="1"/>
  <c r="K82" i="1"/>
  <c r="M82" i="1"/>
  <c r="N82" i="1"/>
  <c r="P82" i="1"/>
  <c r="P83" i="1" s="1"/>
  <c r="Q82" i="1"/>
  <c r="Q83" i="1" s="1"/>
  <c r="R82" i="1"/>
  <c r="R83" i="1" s="1"/>
  <c r="S82" i="1"/>
  <c r="S83" i="1" s="1"/>
  <c r="T82" i="1"/>
  <c r="T83" i="1" s="1"/>
  <c r="V82" i="1"/>
  <c r="V83" i="1" s="1"/>
  <c r="W82" i="1"/>
  <c r="W83" i="1" s="1"/>
  <c r="X82" i="1"/>
  <c r="X83" i="1" s="1"/>
  <c r="Y82" i="1"/>
  <c r="Z82" i="1"/>
  <c r="Z83" i="1" s="1"/>
  <c r="A84" i="1"/>
  <c r="A85" i="1" s="1"/>
  <c r="B84" i="1"/>
  <c r="B85" i="1" s="1"/>
  <c r="C84" i="1"/>
  <c r="C85" i="1" s="1"/>
  <c r="D84" i="1"/>
  <c r="D85" i="1" s="1"/>
  <c r="E84" i="1"/>
  <c r="E85" i="1" s="1"/>
  <c r="F84" i="1"/>
  <c r="F85" i="1" s="1"/>
  <c r="G84" i="1"/>
  <c r="H84" i="1"/>
  <c r="I84" i="1"/>
  <c r="J84" i="1"/>
  <c r="K84" i="1"/>
  <c r="M84" i="1"/>
  <c r="N84" i="1"/>
  <c r="P84" i="1"/>
  <c r="P85" i="1" s="1"/>
  <c r="Q84" i="1"/>
  <c r="Q85" i="1" s="1"/>
  <c r="R84" i="1"/>
  <c r="R85" i="1" s="1"/>
  <c r="S84" i="1"/>
  <c r="S85" i="1" s="1"/>
  <c r="T84" i="1"/>
  <c r="T85" i="1" s="1"/>
  <c r="V84" i="1"/>
  <c r="V85" i="1" s="1"/>
  <c r="W84" i="1"/>
  <c r="W85" i="1" s="1"/>
  <c r="X84" i="1"/>
  <c r="X85" i="1" s="1"/>
  <c r="Y84" i="1"/>
  <c r="Y85" i="1" s="1"/>
  <c r="Z84" i="1"/>
  <c r="Z85" i="1" s="1"/>
  <c r="A86" i="1"/>
  <c r="A87" i="1" s="1"/>
  <c r="B86" i="1"/>
  <c r="B87" i="1" s="1"/>
  <c r="C86" i="1"/>
  <c r="C87" i="1" s="1"/>
  <c r="D86" i="1"/>
  <c r="D87" i="1" s="1"/>
  <c r="E86" i="1"/>
  <c r="E87" i="1" s="1"/>
  <c r="F86" i="1"/>
  <c r="F87" i="1" s="1"/>
  <c r="G86" i="1"/>
  <c r="H86" i="1"/>
  <c r="I86" i="1"/>
  <c r="J86" i="1"/>
  <c r="K86" i="1"/>
  <c r="M86" i="1"/>
  <c r="N86" i="1"/>
  <c r="P86" i="1"/>
  <c r="P87" i="1" s="1"/>
  <c r="Q86" i="1"/>
  <c r="Q87" i="1" s="1"/>
  <c r="R86" i="1"/>
  <c r="R87" i="1" s="1"/>
  <c r="S86" i="1"/>
  <c r="S87" i="1" s="1"/>
  <c r="T86" i="1"/>
  <c r="T87" i="1" s="1"/>
  <c r="V86" i="1"/>
  <c r="V87" i="1" s="1"/>
  <c r="W86" i="1"/>
  <c r="W87" i="1" s="1"/>
  <c r="X86" i="1"/>
  <c r="X87" i="1" s="1"/>
  <c r="Y86" i="1"/>
  <c r="Y87" i="1" s="1"/>
  <c r="Z86" i="1"/>
  <c r="Z87" i="1" s="1"/>
  <c r="A88" i="1"/>
  <c r="A89" i="1" s="1"/>
  <c r="B88" i="1"/>
  <c r="B89" i="1" s="1"/>
  <c r="C88" i="1"/>
  <c r="C89" i="1" s="1"/>
  <c r="D88" i="1"/>
  <c r="D89" i="1" s="1"/>
  <c r="E88" i="1"/>
  <c r="E89" i="1" s="1"/>
  <c r="F88" i="1"/>
  <c r="F89" i="1" s="1"/>
  <c r="G88" i="1"/>
  <c r="H88" i="1"/>
  <c r="I88" i="1"/>
  <c r="J88" i="1"/>
  <c r="K88" i="1"/>
  <c r="M88" i="1"/>
  <c r="N88" i="1"/>
  <c r="P88" i="1"/>
  <c r="P89" i="1" s="1"/>
  <c r="Q88" i="1"/>
  <c r="Q89" i="1" s="1"/>
  <c r="R88" i="1"/>
  <c r="R89" i="1" s="1"/>
  <c r="S88" i="1"/>
  <c r="S89" i="1" s="1"/>
  <c r="T88" i="1"/>
  <c r="T89" i="1" s="1"/>
  <c r="V88" i="1"/>
  <c r="V89" i="1" s="1"/>
  <c r="W88" i="1"/>
  <c r="W89" i="1" s="1"/>
  <c r="X88" i="1"/>
  <c r="X89" i="1" s="1"/>
  <c r="Y88" i="1"/>
  <c r="Y89" i="1" s="1"/>
  <c r="Z88" i="1"/>
  <c r="Z89" i="1" s="1"/>
  <c r="A90" i="1"/>
  <c r="A91" i="1" s="1"/>
  <c r="B90" i="1"/>
  <c r="B91" i="1" s="1"/>
  <c r="C90" i="1"/>
  <c r="C91" i="1" s="1"/>
  <c r="D90" i="1"/>
  <c r="D91" i="1" s="1"/>
  <c r="E90" i="1"/>
  <c r="F90" i="1"/>
  <c r="G90" i="1"/>
  <c r="H90" i="1"/>
  <c r="I90" i="1"/>
  <c r="J90" i="1"/>
  <c r="K90" i="1"/>
  <c r="M90" i="1"/>
  <c r="N90" i="1"/>
  <c r="P90" i="1"/>
  <c r="P91" i="1" s="1"/>
  <c r="Q90" i="1"/>
  <c r="Q91" i="1" s="1"/>
  <c r="R90" i="1"/>
  <c r="S90" i="1"/>
  <c r="S91" i="1" s="1"/>
  <c r="T90" i="1"/>
  <c r="T91" i="1" s="1"/>
  <c r="V90" i="1"/>
  <c r="V91" i="1" s="1"/>
  <c r="W90" i="1"/>
  <c r="W91" i="1" s="1"/>
  <c r="X90" i="1"/>
  <c r="X91" i="1" s="1"/>
  <c r="Y90" i="1"/>
  <c r="Z90" i="1"/>
  <c r="Z91" i="1" s="1"/>
  <c r="R91" i="1"/>
  <c r="A92" i="1"/>
  <c r="A93" i="1" s="1"/>
  <c r="B92" i="1"/>
  <c r="B93" i="1" s="1"/>
  <c r="C92" i="1"/>
  <c r="C93" i="1" s="1"/>
  <c r="D92" i="1"/>
  <c r="D93" i="1" s="1"/>
  <c r="E92" i="1"/>
  <c r="F92" i="1"/>
  <c r="F93" i="1" s="1"/>
  <c r="G92" i="1"/>
  <c r="H92" i="1"/>
  <c r="I92" i="1"/>
  <c r="J92" i="1"/>
  <c r="K92" i="1"/>
  <c r="M92" i="1"/>
  <c r="N92" i="1"/>
  <c r="P92" i="1"/>
  <c r="P93" i="1" s="1"/>
  <c r="Q92" i="1"/>
  <c r="Q93" i="1" s="1"/>
  <c r="R92" i="1"/>
  <c r="R93" i="1" s="1"/>
  <c r="S92" i="1"/>
  <c r="S93" i="1" s="1"/>
  <c r="T92" i="1"/>
  <c r="T93" i="1" s="1"/>
  <c r="V92" i="1"/>
  <c r="V93" i="1" s="1"/>
  <c r="W92" i="1"/>
  <c r="W93" i="1" s="1"/>
  <c r="X92" i="1"/>
  <c r="X93" i="1" s="1"/>
  <c r="Y92" i="1"/>
  <c r="Y93" i="1" s="1"/>
  <c r="Z92" i="1"/>
  <c r="Z93" i="1" s="1"/>
  <c r="A94" i="1"/>
  <c r="A95" i="1" s="1"/>
  <c r="B94" i="1"/>
  <c r="B95" i="1" s="1"/>
  <c r="C94" i="1"/>
  <c r="C95" i="1" s="1"/>
  <c r="D94" i="1"/>
  <c r="D95" i="1" s="1"/>
  <c r="E94" i="1"/>
  <c r="E95" i="1" s="1"/>
  <c r="F94" i="1"/>
  <c r="F95" i="1" s="1"/>
  <c r="G94" i="1"/>
  <c r="H94" i="1"/>
  <c r="I94" i="1"/>
  <c r="J94" i="1"/>
  <c r="K94" i="1"/>
  <c r="M94" i="1"/>
  <c r="N94" i="1"/>
  <c r="P94" i="1"/>
  <c r="P95" i="1" s="1"/>
  <c r="Q94" i="1"/>
  <c r="Q95" i="1" s="1"/>
  <c r="R94" i="1"/>
  <c r="R95" i="1" s="1"/>
  <c r="S94" i="1"/>
  <c r="S95" i="1" s="1"/>
  <c r="T94" i="1"/>
  <c r="T95" i="1" s="1"/>
  <c r="V94" i="1"/>
  <c r="V95" i="1" s="1"/>
  <c r="W94" i="1"/>
  <c r="W95" i="1" s="1"/>
  <c r="X94" i="1"/>
  <c r="X95" i="1" s="1"/>
  <c r="Y94" i="1"/>
  <c r="Y95" i="1" s="1"/>
  <c r="Z94" i="1"/>
  <c r="Z95" i="1" s="1"/>
  <c r="A96" i="1"/>
  <c r="A97" i="1" s="1"/>
  <c r="B96" i="1"/>
  <c r="B97" i="1" s="1"/>
  <c r="C96" i="1"/>
  <c r="C97" i="1" s="1"/>
  <c r="D96" i="1"/>
  <c r="E96" i="1"/>
  <c r="E97" i="1" s="1"/>
  <c r="F96" i="1"/>
  <c r="F97" i="1" s="1"/>
  <c r="G96" i="1"/>
  <c r="H96" i="1"/>
  <c r="I96" i="1"/>
  <c r="J96" i="1"/>
  <c r="K96" i="1"/>
  <c r="M96" i="1"/>
  <c r="N96" i="1"/>
  <c r="P96" i="1"/>
  <c r="P97" i="1" s="1"/>
  <c r="Q96" i="1"/>
  <c r="Q97" i="1" s="1"/>
  <c r="R96" i="1"/>
  <c r="R97" i="1" s="1"/>
  <c r="S96" i="1"/>
  <c r="S97" i="1" s="1"/>
  <c r="T96" i="1"/>
  <c r="T97" i="1" s="1"/>
  <c r="V96" i="1"/>
  <c r="V97" i="1" s="1"/>
  <c r="W96" i="1"/>
  <c r="W97" i="1" s="1"/>
  <c r="X96" i="1"/>
  <c r="X97" i="1" s="1"/>
  <c r="Y96" i="1"/>
  <c r="Y97" i="1" s="1"/>
  <c r="Z96" i="1"/>
  <c r="Z97" i="1" s="1"/>
  <c r="A98" i="1"/>
  <c r="A99" i="1" s="1"/>
  <c r="B98" i="1"/>
  <c r="B99" i="1" s="1"/>
  <c r="C98" i="1"/>
  <c r="C99" i="1" s="1"/>
  <c r="D98" i="1"/>
  <c r="D99" i="1" s="1"/>
  <c r="E98" i="1"/>
  <c r="E99" i="1" s="1"/>
  <c r="F98" i="1"/>
  <c r="F99" i="1" s="1"/>
  <c r="G98" i="1"/>
  <c r="H98" i="1"/>
  <c r="I98" i="1"/>
  <c r="J98" i="1"/>
  <c r="K98" i="1"/>
  <c r="M98" i="1"/>
  <c r="N98" i="1"/>
  <c r="P98" i="1"/>
  <c r="P99" i="1" s="1"/>
  <c r="Q98" i="1"/>
  <c r="Q99" i="1" s="1"/>
  <c r="R98" i="1"/>
  <c r="R99" i="1" s="1"/>
  <c r="S98" i="1"/>
  <c r="S99" i="1" s="1"/>
  <c r="T98" i="1"/>
  <c r="T99" i="1" s="1"/>
  <c r="V98" i="1"/>
  <c r="V99" i="1" s="1"/>
  <c r="W98" i="1"/>
  <c r="W99" i="1" s="1"/>
  <c r="X98" i="1"/>
  <c r="X99" i="1" s="1"/>
  <c r="Y98" i="1"/>
  <c r="Y99" i="1" s="1"/>
  <c r="Z98" i="1"/>
  <c r="Z99" i="1" s="1"/>
  <c r="A100" i="1"/>
  <c r="A101" i="1" s="1"/>
  <c r="B100" i="1"/>
  <c r="B101" i="1" s="1"/>
  <c r="C100" i="1"/>
  <c r="C101" i="1" s="1"/>
  <c r="D100" i="1"/>
  <c r="E100" i="1"/>
  <c r="E101" i="1" s="1"/>
  <c r="F100" i="1"/>
  <c r="F101" i="1" s="1"/>
  <c r="G100" i="1"/>
  <c r="H100" i="1"/>
  <c r="I100" i="1"/>
  <c r="J100" i="1"/>
  <c r="K100" i="1"/>
  <c r="M100" i="1"/>
  <c r="N100" i="1"/>
  <c r="P100" i="1"/>
  <c r="P101" i="1" s="1"/>
  <c r="Q100" i="1"/>
  <c r="Q101" i="1" s="1"/>
  <c r="R100" i="1"/>
  <c r="R101" i="1" s="1"/>
  <c r="S100" i="1"/>
  <c r="S101" i="1" s="1"/>
  <c r="T100" i="1"/>
  <c r="T101" i="1" s="1"/>
  <c r="V100" i="1"/>
  <c r="V101" i="1" s="1"/>
  <c r="W100" i="1"/>
  <c r="W101" i="1" s="1"/>
  <c r="X100" i="1"/>
  <c r="X101" i="1" s="1"/>
  <c r="Y100" i="1"/>
  <c r="Z100" i="1"/>
  <c r="Z101" i="1" s="1"/>
  <c r="D101" i="1"/>
  <c r="A102" i="1"/>
  <c r="A103" i="1" s="1"/>
  <c r="B102" i="1"/>
  <c r="B103" i="1" s="1"/>
  <c r="C102" i="1"/>
  <c r="C103" i="1" s="1"/>
  <c r="D102" i="1"/>
  <c r="D103" i="1" s="1"/>
  <c r="E102" i="1"/>
  <c r="F102" i="1"/>
  <c r="F103" i="1" s="1"/>
  <c r="G102" i="1"/>
  <c r="H102" i="1"/>
  <c r="I102" i="1"/>
  <c r="J102" i="1"/>
  <c r="K102" i="1"/>
  <c r="M102" i="1"/>
  <c r="N102" i="1"/>
  <c r="P102" i="1"/>
  <c r="P103" i="1" s="1"/>
  <c r="Q102" i="1"/>
  <c r="Q103" i="1" s="1"/>
  <c r="R102" i="1"/>
  <c r="R103" i="1" s="1"/>
  <c r="S102" i="1"/>
  <c r="S103" i="1" s="1"/>
  <c r="T102" i="1"/>
  <c r="T103" i="1" s="1"/>
  <c r="V102" i="1"/>
  <c r="V103" i="1" s="1"/>
  <c r="W102" i="1"/>
  <c r="W103" i="1" s="1"/>
  <c r="X102" i="1"/>
  <c r="X103" i="1" s="1"/>
  <c r="Y102" i="1"/>
  <c r="Y103" i="1" s="1"/>
  <c r="Z102" i="1"/>
  <c r="Z103" i="1" s="1"/>
  <c r="A104" i="1"/>
  <c r="A105" i="1" s="1"/>
  <c r="B104" i="1"/>
  <c r="B105" i="1" s="1"/>
  <c r="C104" i="1"/>
  <c r="C105" i="1" s="1"/>
  <c r="D104" i="1"/>
  <c r="D105" i="1" s="1"/>
  <c r="E104" i="1"/>
  <c r="F104" i="1"/>
  <c r="F105" i="1" s="1"/>
  <c r="G104" i="1"/>
  <c r="H104" i="1"/>
  <c r="I104" i="1"/>
  <c r="J104" i="1"/>
  <c r="K104" i="1"/>
  <c r="M104" i="1"/>
  <c r="N104" i="1"/>
  <c r="P104" i="1"/>
  <c r="P105" i="1" s="1"/>
  <c r="Q104" i="1"/>
  <c r="Q105" i="1" s="1"/>
  <c r="R104" i="1"/>
  <c r="R105" i="1" s="1"/>
  <c r="S104" i="1"/>
  <c r="S105" i="1" s="1"/>
  <c r="T104" i="1"/>
  <c r="T105" i="1" s="1"/>
  <c r="V104" i="1"/>
  <c r="V105" i="1" s="1"/>
  <c r="W104" i="1"/>
  <c r="W105" i="1" s="1"/>
  <c r="X104" i="1"/>
  <c r="X105" i="1" s="1"/>
  <c r="Y104" i="1"/>
  <c r="Y105" i="1" s="1"/>
  <c r="Z104" i="1"/>
  <c r="Z105" i="1" s="1"/>
  <c r="A106" i="1"/>
  <c r="A107" i="1" s="1"/>
  <c r="B106" i="1"/>
  <c r="B107" i="1" s="1"/>
  <c r="C106" i="1"/>
  <c r="C107" i="1" s="1"/>
  <c r="D106" i="1"/>
  <c r="D107" i="1" s="1"/>
  <c r="E106" i="1"/>
  <c r="E107" i="1" s="1"/>
  <c r="F106" i="1"/>
  <c r="F107" i="1" s="1"/>
  <c r="G106" i="1"/>
  <c r="H106" i="1"/>
  <c r="I106" i="1"/>
  <c r="J106" i="1"/>
  <c r="K106" i="1"/>
  <c r="M106" i="1"/>
  <c r="N106" i="1"/>
  <c r="P106" i="1"/>
  <c r="P107" i="1" s="1"/>
  <c r="Q106" i="1"/>
  <c r="Q107" i="1" s="1"/>
  <c r="R106" i="1"/>
  <c r="R107" i="1" s="1"/>
  <c r="S106" i="1"/>
  <c r="S107" i="1" s="1"/>
  <c r="T106" i="1"/>
  <c r="T107" i="1" s="1"/>
  <c r="V106" i="1"/>
  <c r="V107" i="1" s="1"/>
  <c r="W106" i="1"/>
  <c r="W107" i="1" s="1"/>
  <c r="X106" i="1"/>
  <c r="X107" i="1" s="1"/>
  <c r="Y106" i="1"/>
  <c r="Y107" i="1" s="1"/>
  <c r="Z106" i="1"/>
  <c r="Z107" i="1" s="1"/>
  <c r="A108" i="1"/>
  <c r="A109" i="1" s="1"/>
  <c r="B108" i="1"/>
  <c r="B109" i="1" s="1"/>
  <c r="C108" i="1"/>
  <c r="C109" i="1" s="1"/>
  <c r="D108" i="1"/>
  <c r="D109" i="1" s="1"/>
  <c r="E108" i="1"/>
  <c r="E109" i="1" s="1"/>
  <c r="F108" i="1"/>
  <c r="F109" i="1" s="1"/>
  <c r="G108" i="1"/>
  <c r="H108" i="1"/>
  <c r="I108" i="1"/>
  <c r="J108" i="1"/>
  <c r="K108" i="1"/>
  <c r="M108" i="1"/>
  <c r="N108" i="1"/>
  <c r="P108" i="1"/>
  <c r="P109" i="1" s="1"/>
  <c r="Q108" i="1"/>
  <c r="Q109" i="1" s="1"/>
  <c r="R108" i="1"/>
  <c r="R109" i="1" s="1"/>
  <c r="S108" i="1"/>
  <c r="S109" i="1" s="1"/>
  <c r="T108" i="1"/>
  <c r="T109" i="1" s="1"/>
  <c r="V108" i="1"/>
  <c r="V109" i="1" s="1"/>
  <c r="W108" i="1"/>
  <c r="W109" i="1" s="1"/>
  <c r="X108" i="1"/>
  <c r="X109" i="1" s="1"/>
  <c r="Y108" i="1"/>
  <c r="Y109" i="1" s="1"/>
  <c r="Z108" i="1"/>
  <c r="Z109" i="1" s="1"/>
  <c r="A110" i="1"/>
  <c r="A111" i="1" s="1"/>
  <c r="B110" i="1"/>
  <c r="B111" i="1" s="1"/>
  <c r="C110" i="1"/>
  <c r="C111" i="1" s="1"/>
  <c r="D110" i="1"/>
  <c r="D111" i="1" s="1"/>
  <c r="E110" i="1"/>
  <c r="E111" i="1" s="1"/>
  <c r="F110" i="1"/>
  <c r="F111" i="1" s="1"/>
  <c r="G110" i="1"/>
  <c r="H110" i="1"/>
  <c r="I110" i="1"/>
  <c r="J110" i="1"/>
  <c r="K110" i="1"/>
  <c r="M110" i="1"/>
  <c r="N110" i="1"/>
  <c r="P110" i="1"/>
  <c r="P111" i="1" s="1"/>
  <c r="Q110" i="1"/>
  <c r="Q111" i="1" s="1"/>
  <c r="R110" i="1"/>
  <c r="R111" i="1" s="1"/>
  <c r="S110" i="1"/>
  <c r="S111" i="1" s="1"/>
  <c r="T110" i="1"/>
  <c r="T111" i="1" s="1"/>
  <c r="V110" i="1"/>
  <c r="V111" i="1" s="1"/>
  <c r="W110" i="1"/>
  <c r="W111" i="1" s="1"/>
  <c r="X110" i="1"/>
  <c r="X111" i="1" s="1"/>
  <c r="Y110" i="1"/>
  <c r="Z110" i="1"/>
  <c r="Z111" i="1" s="1"/>
  <c r="A112" i="1"/>
  <c r="A113" i="1" s="1"/>
  <c r="B112" i="1"/>
  <c r="B113" i="1" s="1"/>
  <c r="C112" i="1"/>
  <c r="C113" i="1" s="1"/>
  <c r="D112" i="1"/>
  <c r="E112" i="1"/>
  <c r="E113" i="1" s="1"/>
  <c r="F112" i="1"/>
  <c r="F113" i="1" s="1"/>
  <c r="G112" i="1"/>
  <c r="H112" i="1"/>
  <c r="I112" i="1"/>
  <c r="J112" i="1"/>
  <c r="K112" i="1"/>
  <c r="M112" i="1"/>
  <c r="N112" i="1"/>
  <c r="P112" i="1"/>
  <c r="P113" i="1" s="1"/>
  <c r="Q112" i="1"/>
  <c r="Q113" i="1" s="1"/>
  <c r="R112" i="1"/>
  <c r="R113" i="1" s="1"/>
  <c r="S112" i="1"/>
  <c r="S113" i="1" s="1"/>
  <c r="T112" i="1"/>
  <c r="T113" i="1" s="1"/>
  <c r="V112" i="1"/>
  <c r="V113" i="1" s="1"/>
  <c r="W112" i="1"/>
  <c r="W113" i="1" s="1"/>
  <c r="X112" i="1"/>
  <c r="X113" i="1" s="1"/>
  <c r="Y112" i="1"/>
  <c r="Y113" i="1" s="1"/>
  <c r="Z112" i="1"/>
  <c r="Z113" i="1" s="1"/>
  <c r="D113" i="1"/>
  <c r="A114" i="1"/>
  <c r="A115" i="1" s="1"/>
  <c r="B114" i="1"/>
  <c r="B115" i="1" s="1"/>
  <c r="C114" i="1"/>
  <c r="C115" i="1" s="1"/>
  <c r="D114" i="1"/>
  <c r="D115" i="1" s="1"/>
  <c r="E114" i="1"/>
  <c r="E115" i="1" s="1"/>
  <c r="F114" i="1"/>
  <c r="F115" i="1" s="1"/>
  <c r="G114" i="1"/>
  <c r="H114" i="1"/>
  <c r="I114" i="1"/>
  <c r="J114" i="1"/>
  <c r="K114" i="1"/>
  <c r="M114" i="1"/>
  <c r="N114" i="1"/>
  <c r="P114" i="1"/>
  <c r="P115" i="1" s="1"/>
  <c r="Q114" i="1"/>
  <c r="Q115" i="1" s="1"/>
  <c r="R114" i="1"/>
  <c r="R115" i="1" s="1"/>
  <c r="S114" i="1"/>
  <c r="S115" i="1" s="1"/>
  <c r="T114" i="1"/>
  <c r="T115" i="1" s="1"/>
  <c r="V114" i="1"/>
  <c r="V115" i="1" s="1"/>
  <c r="W114" i="1"/>
  <c r="W115" i="1" s="1"/>
  <c r="X114" i="1"/>
  <c r="X115" i="1" s="1"/>
  <c r="Y114" i="1"/>
  <c r="Y115" i="1" s="1"/>
  <c r="Z114" i="1"/>
  <c r="Z115" i="1" s="1"/>
  <c r="A116" i="1"/>
  <c r="A117" i="1" s="1"/>
  <c r="B116" i="1"/>
  <c r="B117" i="1" s="1"/>
  <c r="C116" i="1"/>
  <c r="C117" i="1" s="1"/>
  <c r="D116" i="1"/>
  <c r="D117" i="1" s="1"/>
  <c r="E116" i="1"/>
  <c r="E117" i="1" s="1"/>
  <c r="F116" i="1"/>
  <c r="G116" i="1"/>
  <c r="H116" i="1"/>
  <c r="I116" i="1"/>
  <c r="J116" i="1"/>
  <c r="K116" i="1"/>
  <c r="M116" i="1"/>
  <c r="N116" i="1"/>
  <c r="P116" i="1"/>
  <c r="P117" i="1" s="1"/>
  <c r="Q116" i="1"/>
  <c r="Q117" i="1" s="1"/>
  <c r="R116" i="1"/>
  <c r="R117" i="1" s="1"/>
  <c r="S116" i="1"/>
  <c r="S117" i="1" s="1"/>
  <c r="T116" i="1"/>
  <c r="T117" i="1" s="1"/>
  <c r="V116" i="1"/>
  <c r="V117" i="1" s="1"/>
  <c r="W116" i="1"/>
  <c r="W117" i="1" s="1"/>
  <c r="X116" i="1"/>
  <c r="X117" i="1" s="1"/>
  <c r="Y116" i="1"/>
  <c r="Y117" i="1" s="1"/>
  <c r="Z116" i="1"/>
  <c r="Z117" i="1" s="1"/>
  <c r="A118" i="1"/>
  <c r="A119" i="1" s="1"/>
  <c r="B118" i="1"/>
  <c r="B119" i="1" s="1"/>
  <c r="C118" i="1"/>
  <c r="C119" i="1" s="1"/>
  <c r="D118" i="1"/>
  <c r="D119" i="1" s="1"/>
  <c r="E118" i="1"/>
  <c r="E119" i="1" s="1"/>
  <c r="F118" i="1"/>
  <c r="F119" i="1" s="1"/>
  <c r="G118" i="1"/>
  <c r="H118" i="1"/>
  <c r="I118" i="1"/>
  <c r="J118" i="1"/>
  <c r="K118" i="1"/>
  <c r="M118" i="1"/>
  <c r="N118" i="1"/>
  <c r="P118" i="1"/>
  <c r="P119" i="1" s="1"/>
  <c r="Q118" i="1"/>
  <c r="Q119" i="1" s="1"/>
  <c r="R118" i="1"/>
  <c r="R119" i="1" s="1"/>
  <c r="S118" i="1"/>
  <c r="S119" i="1" s="1"/>
  <c r="T118" i="1"/>
  <c r="T119" i="1" s="1"/>
  <c r="V118" i="1"/>
  <c r="V119" i="1" s="1"/>
  <c r="W118" i="1"/>
  <c r="W119" i="1" s="1"/>
  <c r="X118" i="1"/>
  <c r="X119" i="1" s="1"/>
  <c r="Y118" i="1"/>
  <c r="Y119" i="1" s="1"/>
  <c r="Z118" i="1"/>
  <c r="Z119" i="1" s="1"/>
  <c r="A120" i="1"/>
  <c r="A121" i="1" s="1"/>
  <c r="B120" i="1"/>
  <c r="B121" i="1" s="1"/>
  <c r="C120" i="1"/>
  <c r="C121" i="1" s="1"/>
  <c r="D120" i="1"/>
  <c r="D121" i="1" s="1"/>
  <c r="E120" i="1"/>
  <c r="E121" i="1" s="1"/>
  <c r="F120" i="1"/>
  <c r="G120" i="1"/>
  <c r="H120" i="1"/>
  <c r="I120" i="1"/>
  <c r="J120" i="1"/>
  <c r="K120" i="1"/>
  <c r="M120" i="1"/>
  <c r="N120" i="1"/>
  <c r="P120" i="1"/>
  <c r="P121" i="1" s="1"/>
  <c r="Q120" i="1"/>
  <c r="Q121" i="1" s="1"/>
  <c r="R120" i="1"/>
  <c r="R121" i="1" s="1"/>
  <c r="S120" i="1"/>
  <c r="S121" i="1" s="1"/>
  <c r="T120" i="1"/>
  <c r="T121" i="1" s="1"/>
  <c r="V120" i="1"/>
  <c r="V121" i="1" s="1"/>
  <c r="W120" i="1"/>
  <c r="W121" i="1" s="1"/>
  <c r="X120" i="1"/>
  <c r="X121" i="1" s="1"/>
  <c r="Y120" i="1"/>
  <c r="Z120" i="1"/>
  <c r="Z121" i="1" s="1"/>
  <c r="A122" i="1"/>
  <c r="A123" i="1" s="1"/>
  <c r="B122" i="1"/>
  <c r="B123" i="1" s="1"/>
  <c r="C122" i="1"/>
  <c r="C123" i="1" s="1"/>
  <c r="D122" i="1"/>
  <c r="D123" i="1" s="1"/>
  <c r="E122" i="1"/>
  <c r="E123" i="1" s="1"/>
  <c r="F122" i="1"/>
  <c r="F123" i="1" s="1"/>
  <c r="G122" i="1"/>
  <c r="H122" i="1"/>
  <c r="I122" i="1"/>
  <c r="J122" i="1"/>
  <c r="K122" i="1"/>
  <c r="M122" i="1"/>
  <c r="N122" i="1"/>
  <c r="P122" i="1"/>
  <c r="P123" i="1" s="1"/>
  <c r="Q122" i="1"/>
  <c r="Q123" i="1" s="1"/>
  <c r="R122" i="1"/>
  <c r="R123" i="1" s="1"/>
  <c r="S122" i="1"/>
  <c r="S123" i="1" s="1"/>
  <c r="T122" i="1"/>
  <c r="T123" i="1" s="1"/>
  <c r="V122" i="1"/>
  <c r="V123" i="1" s="1"/>
  <c r="W122" i="1"/>
  <c r="W123" i="1" s="1"/>
  <c r="X122" i="1"/>
  <c r="X123" i="1" s="1"/>
  <c r="Y122" i="1"/>
  <c r="Y123" i="1" s="1"/>
  <c r="Z122" i="1"/>
  <c r="Z123" i="1" s="1"/>
  <c r="A124" i="1"/>
  <c r="A125" i="1" s="1"/>
  <c r="B124" i="1"/>
  <c r="B125" i="1" s="1"/>
  <c r="C124" i="1"/>
  <c r="C125" i="1" s="1"/>
  <c r="D124" i="1"/>
  <c r="D125" i="1" s="1"/>
  <c r="E124" i="1"/>
  <c r="E125" i="1" s="1"/>
  <c r="F124" i="1"/>
  <c r="F125" i="1" s="1"/>
  <c r="G124" i="1"/>
  <c r="H124" i="1"/>
  <c r="I124" i="1"/>
  <c r="J124" i="1"/>
  <c r="K124" i="1"/>
  <c r="M124" i="1"/>
  <c r="N124" i="1"/>
  <c r="P124" i="1"/>
  <c r="P125" i="1" s="1"/>
  <c r="Q124" i="1"/>
  <c r="Q125" i="1" s="1"/>
  <c r="R124" i="1"/>
  <c r="R125" i="1" s="1"/>
  <c r="S124" i="1"/>
  <c r="S125" i="1" s="1"/>
  <c r="T124" i="1"/>
  <c r="T125" i="1" s="1"/>
  <c r="V124" i="1"/>
  <c r="V125" i="1" s="1"/>
  <c r="W124" i="1"/>
  <c r="W125" i="1" s="1"/>
  <c r="X124" i="1"/>
  <c r="X125" i="1" s="1"/>
  <c r="Y124" i="1"/>
  <c r="Y125" i="1" s="1"/>
  <c r="Z124" i="1"/>
  <c r="Z125" i="1" s="1"/>
  <c r="A126" i="1"/>
  <c r="A127" i="1" s="1"/>
  <c r="B126" i="1"/>
  <c r="B127" i="1" s="1"/>
  <c r="C126" i="1"/>
  <c r="C127" i="1" s="1"/>
  <c r="D126" i="1"/>
  <c r="D127" i="1" s="1"/>
  <c r="E126" i="1"/>
  <c r="E127" i="1" s="1"/>
  <c r="F126" i="1"/>
  <c r="F127" i="1" s="1"/>
  <c r="G126" i="1"/>
  <c r="H126" i="1"/>
  <c r="I126" i="1"/>
  <c r="J126" i="1"/>
  <c r="K126" i="1"/>
  <c r="M126" i="1"/>
  <c r="N126" i="1"/>
  <c r="P126" i="1"/>
  <c r="P127" i="1" s="1"/>
  <c r="Q126" i="1"/>
  <c r="Q127" i="1" s="1"/>
  <c r="R126" i="1"/>
  <c r="R127" i="1" s="1"/>
  <c r="S126" i="1"/>
  <c r="S127" i="1" s="1"/>
  <c r="T126" i="1"/>
  <c r="T127" i="1" s="1"/>
  <c r="V126" i="1"/>
  <c r="V127" i="1" s="1"/>
  <c r="W126" i="1"/>
  <c r="W127" i="1" s="1"/>
  <c r="X126" i="1"/>
  <c r="X127" i="1" s="1"/>
  <c r="Y126" i="1"/>
  <c r="Y127" i="1" s="1"/>
  <c r="Z126" i="1"/>
  <c r="Z127" i="1" s="1"/>
  <c r="A128" i="1"/>
  <c r="A129" i="1" s="1"/>
  <c r="B128" i="1"/>
  <c r="B129" i="1" s="1"/>
  <c r="C128" i="1"/>
  <c r="C129" i="1" s="1"/>
  <c r="D128" i="1"/>
  <c r="D129" i="1" s="1"/>
  <c r="E128" i="1"/>
  <c r="F128" i="1"/>
  <c r="F129" i="1" s="1"/>
  <c r="G128" i="1"/>
  <c r="H128" i="1"/>
  <c r="I128" i="1"/>
  <c r="J128" i="1"/>
  <c r="K128" i="1"/>
  <c r="M128" i="1"/>
  <c r="N128" i="1"/>
  <c r="P128" i="1"/>
  <c r="P129" i="1" s="1"/>
  <c r="Q128" i="1"/>
  <c r="Q129" i="1" s="1"/>
  <c r="R128" i="1"/>
  <c r="R129" i="1" s="1"/>
  <c r="S128" i="1"/>
  <c r="S129" i="1" s="1"/>
  <c r="T128" i="1"/>
  <c r="T129" i="1" s="1"/>
  <c r="V128" i="1"/>
  <c r="V129" i="1" s="1"/>
  <c r="W128" i="1"/>
  <c r="W129" i="1" s="1"/>
  <c r="X128" i="1"/>
  <c r="X129" i="1" s="1"/>
  <c r="Y128" i="1"/>
  <c r="Z128" i="1"/>
  <c r="Z129" i="1" s="1"/>
  <c r="A130" i="1"/>
  <c r="A131" i="1" s="1"/>
  <c r="B130" i="1"/>
  <c r="B131" i="1" s="1"/>
  <c r="C130" i="1"/>
  <c r="C131" i="1" s="1"/>
  <c r="D130" i="1"/>
  <c r="D131" i="1" s="1"/>
  <c r="E130" i="1"/>
  <c r="E131" i="1" s="1"/>
  <c r="F130" i="1"/>
  <c r="F131" i="1" s="1"/>
  <c r="G130" i="1"/>
  <c r="H130" i="1"/>
  <c r="I130" i="1"/>
  <c r="J130" i="1"/>
  <c r="K130" i="1"/>
  <c r="M130" i="1"/>
  <c r="N130" i="1"/>
  <c r="P130" i="1"/>
  <c r="P131" i="1" s="1"/>
  <c r="Q130" i="1"/>
  <c r="Q131" i="1" s="1"/>
  <c r="R130" i="1"/>
  <c r="R131" i="1" s="1"/>
  <c r="S130" i="1"/>
  <c r="S131" i="1" s="1"/>
  <c r="T130" i="1"/>
  <c r="T131" i="1" s="1"/>
  <c r="V130" i="1"/>
  <c r="V131" i="1" s="1"/>
  <c r="W130" i="1"/>
  <c r="W131" i="1" s="1"/>
  <c r="X130" i="1"/>
  <c r="X131" i="1" s="1"/>
  <c r="Y130" i="1"/>
  <c r="Y131" i="1" s="1"/>
  <c r="Z130" i="1"/>
  <c r="Z131" i="1" s="1"/>
  <c r="A132" i="1"/>
  <c r="A133" i="1" s="1"/>
  <c r="B132" i="1"/>
  <c r="B133" i="1" s="1"/>
  <c r="C132" i="1"/>
  <c r="C133" i="1" s="1"/>
  <c r="D132" i="1"/>
  <c r="D133" i="1" s="1"/>
  <c r="E132" i="1"/>
  <c r="F132" i="1"/>
  <c r="F133" i="1" s="1"/>
  <c r="G132" i="1"/>
  <c r="H132" i="1"/>
  <c r="I132" i="1"/>
  <c r="J132" i="1"/>
  <c r="K132" i="1"/>
  <c r="M132" i="1"/>
  <c r="N132" i="1"/>
  <c r="P132" i="1"/>
  <c r="P133" i="1" s="1"/>
  <c r="Q132" i="1"/>
  <c r="Q133" i="1" s="1"/>
  <c r="R132" i="1"/>
  <c r="R133" i="1" s="1"/>
  <c r="S132" i="1"/>
  <c r="S133" i="1" s="1"/>
  <c r="T132" i="1"/>
  <c r="T133" i="1" s="1"/>
  <c r="V132" i="1"/>
  <c r="V133" i="1" s="1"/>
  <c r="W132" i="1"/>
  <c r="W133" i="1" s="1"/>
  <c r="X132" i="1"/>
  <c r="X133" i="1" s="1"/>
  <c r="Y132" i="1"/>
  <c r="Y133" i="1" s="1"/>
  <c r="Z132" i="1"/>
  <c r="Z133" i="1" s="1"/>
  <c r="A134" i="1"/>
  <c r="A135" i="1" s="1"/>
  <c r="B134" i="1"/>
  <c r="B135" i="1" s="1"/>
  <c r="C134" i="1"/>
  <c r="C135" i="1" s="1"/>
  <c r="D134" i="1"/>
  <c r="D135" i="1" s="1"/>
  <c r="E134" i="1"/>
  <c r="E135" i="1" s="1"/>
  <c r="F134" i="1"/>
  <c r="F135" i="1" s="1"/>
  <c r="G134" i="1"/>
  <c r="H134" i="1"/>
  <c r="I134" i="1"/>
  <c r="J134" i="1"/>
  <c r="K134" i="1"/>
  <c r="M134" i="1"/>
  <c r="N134" i="1"/>
  <c r="P134" i="1"/>
  <c r="P135" i="1" s="1"/>
  <c r="Q134" i="1"/>
  <c r="Q135" i="1" s="1"/>
  <c r="R134" i="1"/>
  <c r="S134" i="1"/>
  <c r="S135" i="1" s="1"/>
  <c r="T134" i="1"/>
  <c r="T135" i="1" s="1"/>
  <c r="V134" i="1"/>
  <c r="V135" i="1" s="1"/>
  <c r="W134" i="1"/>
  <c r="W135" i="1" s="1"/>
  <c r="X134" i="1"/>
  <c r="X135" i="1" s="1"/>
  <c r="Y134" i="1"/>
  <c r="Y135" i="1" s="1"/>
  <c r="Z134" i="1"/>
  <c r="Z135" i="1" s="1"/>
  <c r="R135" i="1"/>
  <c r="A136" i="1"/>
  <c r="A137" i="1" s="1"/>
  <c r="B136" i="1"/>
  <c r="B137" i="1" s="1"/>
  <c r="C136" i="1"/>
  <c r="C137" i="1" s="1"/>
  <c r="D136" i="1"/>
  <c r="D137" i="1" s="1"/>
  <c r="E136" i="1"/>
  <c r="E137" i="1" s="1"/>
  <c r="F136" i="1"/>
  <c r="F137" i="1" s="1"/>
  <c r="G136" i="1"/>
  <c r="H136" i="1"/>
  <c r="I136" i="1"/>
  <c r="J136" i="1"/>
  <c r="K136" i="1"/>
  <c r="M136" i="1"/>
  <c r="N136" i="1"/>
  <c r="P136" i="1"/>
  <c r="P137" i="1" s="1"/>
  <c r="Q136" i="1"/>
  <c r="Q137" i="1" s="1"/>
  <c r="R136" i="1"/>
  <c r="R137" i="1" s="1"/>
  <c r="S136" i="1"/>
  <c r="S137" i="1" s="1"/>
  <c r="T136" i="1"/>
  <c r="T137" i="1" s="1"/>
  <c r="V136" i="1"/>
  <c r="V137" i="1" s="1"/>
  <c r="W136" i="1"/>
  <c r="W137" i="1" s="1"/>
  <c r="X136" i="1"/>
  <c r="X137" i="1" s="1"/>
  <c r="Y136" i="1"/>
  <c r="Y137" i="1" s="1"/>
  <c r="Z136" i="1"/>
  <c r="Z137" i="1" s="1"/>
  <c r="A138" i="1"/>
  <c r="A139" i="1" s="1"/>
  <c r="B138" i="1"/>
  <c r="B139" i="1" s="1"/>
  <c r="C138" i="1"/>
  <c r="C139" i="1" s="1"/>
  <c r="D138" i="1"/>
  <c r="D139" i="1" s="1"/>
  <c r="E138" i="1"/>
  <c r="E139" i="1" s="1"/>
  <c r="F138" i="1"/>
  <c r="F139" i="1" s="1"/>
  <c r="G138" i="1"/>
  <c r="H138" i="1"/>
  <c r="I138" i="1"/>
  <c r="J138" i="1"/>
  <c r="K138" i="1"/>
  <c r="M138" i="1"/>
  <c r="N138" i="1"/>
  <c r="P138" i="1"/>
  <c r="P139" i="1" s="1"/>
  <c r="Q138" i="1"/>
  <c r="Q139" i="1" s="1"/>
  <c r="R138" i="1"/>
  <c r="R139" i="1" s="1"/>
  <c r="S138" i="1"/>
  <c r="S139" i="1" s="1"/>
  <c r="T138" i="1"/>
  <c r="T139" i="1" s="1"/>
  <c r="V138" i="1"/>
  <c r="V139" i="1" s="1"/>
  <c r="W138" i="1"/>
  <c r="W139" i="1" s="1"/>
  <c r="X138" i="1"/>
  <c r="X139" i="1" s="1"/>
  <c r="Y138" i="1"/>
  <c r="Z138" i="1"/>
  <c r="Z139" i="1" s="1"/>
  <c r="A140" i="1"/>
  <c r="A141" i="1" s="1"/>
  <c r="B140" i="1"/>
  <c r="B141" i="1" s="1"/>
  <c r="C140" i="1"/>
  <c r="C141" i="1" s="1"/>
  <c r="D140" i="1"/>
  <c r="D141" i="1" s="1"/>
  <c r="E140" i="1"/>
  <c r="E141" i="1" s="1"/>
  <c r="F140" i="1"/>
  <c r="F141" i="1" s="1"/>
  <c r="G140" i="1"/>
  <c r="H140" i="1"/>
  <c r="I140" i="1"/>
  <c r="J140" i="1"/>
  <c r="K140" i="1"/>
  <c r="M140" i="1"/>
  <c r="N140" i="1"/>
  <c r="P140" i="1"/>
  <c r="P141" i="1" s="1"/>
  <c r="Q140" i="1"/>
  <c r="Q141" i="1" s="1"/>
  <c r="R140" i="1"/>
  <c r="R141" i="1" s="1"/>
  <c r="S140" i="1"/>
  <c r="S141" i="1" s="1"/>
  <c r="T140" i="1"/>
  <c r="T141" i="1" s="1"/>
  <c r="V140" i="1"/>
  <c r="V141" i="1" s="1"/>
  <c r="W140" i="1"/>
  <c r="W141" i="1" s="1"/>
  <c r="X140" i="1"/>
  <c r="X141" i="1" s="1"/>
  <c r="Y140" i="1"/>
  <c r="Y141" i="1" s="1"/>
  <c r="Z140" i="1"/>
  <c r="Z141" i="1" s="1"/>
  <c r="A142" i="1"/>
  <c r="A143" i="1" s="1"/>
  <c r="B142" i="1"/>
  <c r="B143" i="1" s="1"/>
  <c r="C142" i="1"/>
  <c r="C143" i="1" s="1"/>
  <c r="D142" i="1"/>
  <c r="E142" i="1"/>
  <c r="E143" i="1" s="1"/>
  <c r="F142" i="1"/>
  <c r="F143" i="1" s="1"/>
  <c r="G142" i="1"/>
  <c r="H142" i="1"/>
  <c r="I142" i="1"/>
  <c r="J142" i="1"/>
  <c r="K142" i="1"/>
  <c r="M142" i="1"/>
  <c r="N142" i="1"/>
  <c r="P142" i="1"/>
  <c r="P143" i="1" s="1"/>
  <c r="Q142" i="1"/>
  <c r="Q143" i="1" s="1"/>
  <c r="R142" i="1"/>
  <c r="R143" i="1" s="1"/>
  <c r="S142" i="1"/>
  <c r="S143" i="1" s="1"/>
  <c r="T142" i="1"/>
  <c r="T143" i="1" s="1"/>
  <c r="V142" i="1"/>
  <c r="V143" i="1" s="1"/>
  <c r="W142" i="1"/>
  <c r="W143" i="1" s="1"/>
  <c r="X142" i="1"/>
  <c r="X143" i="1" s="1"/>
  <c r="Y142" i="1"/>
  <c r="Y143" i="1" s="1"/>
  <c r="Z142" i="1"/>
  <c r="Z143" i="1" s="1"/>
  <c r="D143" i="1"/>
  <c r="A144" i="1"/>
  <c r="A145" i="1" s="1"/>
  <c r="B144" i="1"/>
  <c r="B145" i="1" s="1"/>
  <c r="C144" i="1"/>
  <c r="C145" i="1" s="1"/>
  <c r="D144" i="1"/>
  <c r="D145" i="1" s="1"/>
  <c r="E144" i="1"/>
  <c r="E145" i="1" s="1"/>
  <c r="F144" i="1"/>
  <c r="F145" i="1" s="1"/>
  <c r="G144" i="1"/>
  <c r="H144" i="1"/>
  <c r="I144" i="1"/>
  <c r="J144" i="1"/>
  <c r="K144" i="1"/>
  <c r="M144" i="1"/>
  <c r="N144" i="1"/>
  <c r="P144" i="1"/>
  <c r="P145" i="1" s="1"/>
  <c r="Q144" i="1"/>
  <c r="Q145" i="1" s="1"/>
  <c r="R144" i="1"/>
  <c r="R145" i="1" s="1"/>
  <c r="S144" i="1"/>
  <c r="S145" i="1" s="1"/>
  <c r="T144" i="1"/>
  <c r="T145" i="1" s="1"/>
  <c r="V144" i="1"/>
  <c r="V145" i="1" s="1"/>
  <c r="W144" i="1"/>
  <c r="W145" i="1" s="1"/>
  <c r="X144" i="1"/>
  <c r="X145" i="1" s="1"/>
  <c r="Y144" i="1"/>
  <c r="Y145" i="1" s="1"/>
  <c r="Z144" i="1"/>
  <c r="Z145" i="1" s="1"/>
  <c r="A146" i="1"/>
  <c r="A147" i="1" s="1"/>
  <c r="B146" i="1"/>
  <c r="B147" i="1" s="1"/>
  <c r="C146" i="1"/>
  <c r="C147" i="1" s="1"/>
  <c r="D146" i="1"/>
  <c r="D147" i="1" s="1"/>
  <c r="E146" i="1"/>
  <c r="E147" i="1" s="1"/>
  <c r="F146" i="1"/>
  <c r="F147" i="1" s="1"/>
  <c r="G146" i="1"/>
  <c r="H146" i="1"/>
  <c r="I146" i="1"/>
  <c r="J146" i="1"/>
  <c r="K146" i="1"/>
  <c r="M146" i="1"/>
  <c r="N146" i="1"/>
  <c r="P146" i="1"/>
  <c r="P147" i="1" s="1"/>
  <c r="Q146" i="1"/>
  <c r="Q147" i="1" s="1"/>
  <c r="R146" i="1"/>
  <c r="R147" i="1" s="1"/>
  <c r="S146" i="1"/>
  <c r="S147" i="1" s="1"/>
  <c r="T146" i="1"/>
  <c r="T147" i="1" s="1"/>
  <c r="V146" i="1"/>
  <c r="V147" i="1" s="1"/>
  <c r="W146" i="1"/>
  <c r="W147" i="1" s="1"/>
  <c r="X146" i="1"/>
  <c r="X147" i="1" s="1"/>
  <c r="Y146" i="1"/>
  <c r="Y147" i="1" s="1"/>
  <c r="Z146" i="1"/>
  <c r="Z147" i="1" s="1"/>
  <c r="A148" i="1"/>
  <c r="A149" i="1" s="1"/>
  <c r="B148" i="1"/>
  <c r="B149" i="1" s="1"/>
  <c r="C148" i="1"/>
  <c r="C149" i="1" s="1"/>
  <c r="D148" i="1"/>
  <c r="E148" i="1"/>
  <c r="E149" i="1" s="1"/>
  <c r="F148" i="1"/>
  <c r="F149" i="1" s="1"/>
  <c r="G148" i="1"/>
  <c r="H148" i="1"/>
  <c r="I148" i="1"/>
  <c r="J148" i="1"/>
  <c r="K148" i="1"/>
  <c r="M148" i="1"/>
  <c r="N148" i="1"/>
  <c r="P148" i="1"/>
  <c r="P149" i="1" s="1"/>
  <c r="Q148" i="1"/>
  <c r="Q149" i="1" s="1"/>
  <c r="R148" i="1"/>
  <c r="R149" i="1" s="1"/>
  <c r="S148" i="1"/>
  <c r="S149" i="1" s="1"/>
  <c r="T148" i="1"/>
  <c r="T149" i="1" s="1"/>
  <c r="V148" i="1"/>
  <c r="V149" i="1" s="1"/>
  <c r="W148" i="1"/>
  <c r="W149" i="1" s="1"/>
  <c r="X148" i="1"/>
  <c r="X149" i="1" s="1"/>
  <c r="Y148" i="1"/>
  <c r="Z148" i="1"/>
  <c r="Z149" i="1" s="1"/>
  <c r="D149" i="1"/>
  <c r="A150" i="1"/>
  <c r="A151" i="1" s="1"/>
  <c r="B150" i="1"/>
  <c r="B151" i="1" s="1"/>
  <c r="C150" i="1"/>
  <c r="C151" i="1" s="1"/>
  <c r="D150" i="1"/>
  <c r="D151" i="1" s="1"/>
  <c r="E150" i="1"/>
  <c r="E151" i="1" s="1"/>
  <c r="F150" i="1"/>
  <c r="F151" i="1" s="1"/>
  <c r="G150" i="1"/>
  <c r="H150" i="1"/>
  <c r="I150" i="1"/>
  <c r="J150" i="1"/>
  <c r="K150" i="1"/>
  <c r="M150" i="1"/>
  <c r="N150" i="1"/>
  <c r="P150" i="1"/>
  <c r="P151" i="1" s="1"/>
  <c r="Q150" i="1"/>
  <c r="Q151" i="1" s="1"/>
  <c r="R150" i="1"/>
  <c r="R151" i="1" s="1"/>
  <c r="S150" i="1"/>
  <c r="S151" i="1" s="1"/>
  <c r="T150" i="1"/>
  <c r="T151" i="1" s="1"/>
  <c r="V150" i="1"/>
  <c r="V151" i="1" s="1"/>
  <c r="W150" i="1"/>
  <c r="W151" i="1" s="1"/>
  <c r="X150" i="1"/>
  <c r="X151" i="1" s="1"/>
  <c r="Y150" i="1"/>
  <c r="Y151" i="1" s="1"/>
  <c r="Z150" i="1"/>
  <c r="Z151" i="1" s="1"/>
  <c r="A152" i="1"/>
  <c r="A153" i="1" s="1"/>
  <c r="B152" i="1"/>
  <c r="B153" i="1" s="1"/>
  <c r="C152" i="1"/>
  <c r="D152" i="1"/>
  <c r="D153" i="1" s="1"/>
  <c r="E152" i="1"/>
  <c r="E153" i="1" s="1"/>
  <c r="F152" i="1"/>
  <c r="F153" i="1" s="1"/>
  <c r="G152" i="1"/>
  <c r="H152" i="1"/>
  <c r="I152" i="1"/>
  <c r="J152" i="1"/>
  <c r="K152" i="1"/>
  <c r="M152" i="1"/>
  <c r="N152" i="1"/>
  <c r="P152" i="1"/>
  <c r="P153" i="1" s="1"/>
  <c r="Q152" i="1"/>
  <c r="Q153" i="1" s="1"/>
  <c r="R152" i="1"/>
  <c r="R153" i="1" s="1"/>
  <c r="S152" i="1"/>
  <c r="S153" i="1" s="1"/>
  <c r="T152" i="1"/>
  <c r="T153" i="1" s="1"/>
  <c r="V152" i="1"/>
  <c r="V153" i="1" s="1"/>
  <c r="W152" i="1"/>
  <c r="W153" i="1" s="1"/>
  <c r="X152" i="1"/>
  <c r="X153" i="1" s="1"/>
  <c r="Y152" i="1"/>
  <c r="Z152" i="1"/>
  <c r="Z153" i="1" s="1"/>
  <c r="A154" i="1"/>
  <c r="A155" i="1" s="1"/>
  <c r="B154" i="1"/>
  <c r="B155" i="1" s="1"/>
  <c r="C154" i="1"/>
  <c r="C155" i="1" s="1"/>
  <c r="D154" i="1"/>
  <c r="D155" i="1" s="1"/>
  <c r="E154" i="1"/>
  <c r="E155" i="1" s="1"/>
  <c r="F154" i="1"/>
  <c r="F155" i="1" s="1"/>
  <c r="G154" i="1"/>
  <c r="H154" i="1"/>
  <c r="I154" i="1"/>
  <c r="J154" i="1"/>
  <c r="K154" i="1"/>
  <c r="M154" i="1"/>
  <c r="N154" i="1"/>
  <c r="P154" i="1"/>
  <c r="P155" i="1" s="1"/>
  <c r="Q154" i="1"/>
  <c r="Q155" i="1" s="1"/>
  <c r="R154" i="1"/>
  <c r="R155" i="1" s="1"/>
  <c r="S154" i="1"/>
  <c r="S155" i="1" s="1"/>
  <c r="T154" i="1"/>
  <c r="T155" i="1" s="1"/>
  <c r="V154" i="1"/>
  <c r="V155" i="1" s="1"/>
  <c r="W154" i="1"/>
  <c r="W155" i="1" s="1"/>
  <c r="X154" i="1"/>
  <c r="X155" i="1" s="1"/>
  <c r="Y154" i="1"/>
  <c r="Y155" i="1" s="1"/>
  <c r="Z154" i="1"/>
  <c r="Z155" i="1" s="1"/>
  <c r="A156" i="1"/>
  <c r="A157" i="1" s="1"/>
  <c r="B156" i="1"/>
  <c r="B157" i="1" s="1"/>
  <c r="C156" i="1"/>
  <c r="C157" i="1" s="1"/>
  <c r="D156" i="1"/>
  <c r="D157" i="1" s="1"/>
  <c r="E156" i="1"/>
  <c r="E157" i="1" s="1"/>
  <c r="F156" i="1"/>
  <c r="F157" i="1" s="1"/>
  <c r="G156" i="1"/>
  <c r="H156" i="1"/>
  <c r="I156" i="1"/>
  <c r="J156" i="1"/>
  <c r="K156" i="1"/>
  <c r="M156" i="1"/>
  <c r="N156" i="1"/>
  <c r="P156" i="1"/>
  <c r="P157" i="1" s="1"/>
  <c r="Q156" i="1"/>
  <c r="Q157" i="1" s="1"/>
  <c r="R156" i="1"/>
  <c r="R157" i="1" s="1"/>
  <c r="S156" i="1"/>
  <c r="S157" i="1" s="1"/>
  <c r="T156" i="1"/>
  <c r="T157" i="1" s="1"/>
  <c r="V156" i="1"/>
  <c r="V157" i="1" s="1"/>
  <c r="W156" i="1"/>
  <c r="W157" i="1" s="1"/>
  <c r="X156" i="1"/>
  <c r="X157" i="1" s="1"/>
  <c r="Y156" i="1"/>
  <c r="Y157" i="1" s="1"/>
  <c r="Z156" i="1"/>
  <c r="Z157" i="1" s="1"/>
  <c r="A158" i="1"/>
  <c r="A159" i="1" s="1"/>
  <c r="B158" i="1"/>
  <c r="B159" i="1" s="1"/>
  <c r="C158" i="1"/>
  <c r="C159" i="1" s="1"/>
  <c r="D158" i="1"/>
  <c r="D159" i="1" s="1"/>
  <c r="E158" i="1"/>
  <c r="F158" i="1"/>
  <c r="F159" i="1" s="1"/>
  <c r="G158" i="1"/>
  <c r="H158" i="1"/>
  <c r="I158" i="1"/>
  <c r="J158" i="1"/>
  <c r="K158" i="1"/>
  <c r="M158" i="1"/>
  <c r="N158" i="1"/>
  <c r="P158" i="1"/>
  <c r="P159" i="1" s="1"/>
  <c r="Q158" i="1"/>
  <c r="Q159" i="1" s="1"/>
  <c r="R158" i="1"/>
  <c r="R159" i="1" s="1"/>
  <c r="S158" i="1"/>
  <c r="S159" i="1" s="1"/>
  <c r="T158" i="1"/>
  <c r="T159" i="1" s="1"/>
  <c r="V158" i="1"/>
  <c r="V159" i="1" s="1"/>
  <c r="W158" i="1"/>
  <c r="W159" i="1" s="1"/>
  <c r="X158" i="1"/>
  <c r="X159" i="1" s="1"/>
  <c r="Y158" i="1"/>
  <c r="Z158" i="1"/>
  <c r="Z159" i="1" s="1"/>
  <c r="A160" i="1"/>
  <c r="A161" i="1" s="1"/>
  <c r="B160" i="1"/>
  <c r="B161" i="1" s="1"/>
  <c r="C160" i="1"/>
  <c r="C161" i="1" s="1"/>
  <c r="D160" i="1"/>
  <c r="D161" i="1" s="1"/>
  <c r="E160" i="1"/>
  <c r="E161" i="1" s="1"/>
  <c r="F160" i="1"/>
  <c r="F161" i="1" s="1"/>
  <c r="G160" i="1"/>
  <c r="H160" i="1"/>
  <c r="I160" i="1"/>
  <c r="J160" i="1"/>
  <c r="K160" i="1"/>
  <c r="M160" i="1"/>
  <c r="N160" i="1"/>
  <c r="P160" i="1"/>
  <c r="P161" i="1" s="1"/>
  <c r="Q160" i="1"/>
  <c r="Q161" i="1" s="1"/>
  <c r="R160" i="1"/>
  <c r="R161" i="1" s="1"/>
  <c r="S160" i="1"/>
  <c r="S161" i="1" s="1"/>
  <c r="T160" i="1"/>
  <c r="T161" i="1" s="1"/>
  <c r="V160" i="1"/>
  <c r="V161" i="1" s="1"/>
  <c r="W160" i="1"/>
  <c r="W161" i="1" s="1"/>
  <c r="X160" i="1"/>
  <c r="X161" i="1" s="1"/>
  <c r="Y160" i="1"/>
  <c r="Y161" i="1" s="1"/>
  <c r="Z160" i="1"/>
  <c r="Z161" i="1" s="1"/>
  <c r="A162" i="1"/>
  <c r="A163" i="1" s="1"/>
  <c r="B162" i="1"/>
  <c r="B163" i="1" s="1"/>
  <c r="C162" i="1"/>
  <c r="C163" i="1" s="1"/>
  <c r="D162" i="1"/>
  <c r="D163" i="1" s="1"/>
  <c r="E162" i="1"/>
  <c r="F162" i="1"/>
  <c r="F163" i="1" s="1"/>
  <c r="G162" i="1"/>
  <c r="H162" i="1"/>
  <c r="I162" i="1"/>
  <c r="J162" i="1"/>
  <c r="K162" i="1"/>
  <c r="M162" i="1"/>
  <c r="N162" i="1"/>
  <c r="P162" i="1"/>
  <c r="P163" i="1" s="1"/>
  <c r="Q162" i="1"/>
  <c r="Q163" i="1" s="1"/>
  <c r="R162" i="1"/>
  <c r="R163" i="1" s="1"/>
  <c r="S162" i="1"/>
  <c r="S163" i="1" s="1"/>
  <c r="T162" i="1"/>
  <c r="T163" i="1" s="1"/>
  <c r="V162" i="1"/>
  <c r="V163" i="1" s="1"/>
  <c r="W162" i="1"/>
  <c r="W163" i="1" s="1"/>
  <c r="X162" i="1"/>
  <c r="X163" i="1" s="1"/>
  <c r="Y162" i="1"/>
  <c r="Y163" i="1" s="1"/>
  <c r="Z162" i="1"/>
  <c r="Z163" i="1" s="1"/>
  <c r="A164" i="1"/>
  <c r="A165" i="1" s="1"/>
  <c r="B164" i="1"/>
  <c r="B165" i="1" s="1"/>
  <c r="C164" i="1"/>
  <c r="C165" i="1" s="1"/>
  <c r="D164" i="1"/>
  <c r="D165" i="1" s="1"/>
  <c r="E164" i="1"/>
  <c r="F164" i="1"/>
  <c r="F165" i="1" s="1"/>
  <c r="G164" i="1"/>
  <c r="H164" i="1"/>
  <c r="I164" i="1"/>
  <c r="J164" i="1"/>
  <c r="K164" i="1"/>
  <c r="M164" i="1"/>
  <c r="N164" i="1"/>
  <c r="P164" i="1"/>
  <c r="P165" i="1" s="1"/>
  <c r="Q164" i="1"/>
  <c r="Q165" i="1" s="1"/>
  <c r="R164" i="1"/>
  <c r="S164" i="1"/>
  <c r="S165" i="1" s="1"/>
  <c r="T164" i="1"/>
  <c r="T165" i="1" s="1"/>
  <c r="V164" i="1"/>
  <c r="V165" i="1" s="1"/>
  <c r="W164" i="1"/>
  <c r="W165" i="1" s="1"/>
  <c r="X164" i="1"/>
  <c r="X165" i="1" s="1"/>
  <c r="Y164" i="1"/>
  <c r="Y165" i="1" s="1"/>
  <c r="Z164" i="1"/>
  <c r="Z165" i="1" s="1"/>
  <c r="R165" i="1"/>
  <c r="A166" i="1"/>
  <c r="A167" i="1" s="1"/>
  <c r="B166" i="1"/>
  <c r="B167" i="1" s="1"/>
  <c r="C166" i="1"/>
  <c r="C167" i="1" s="1"/>
  <c r="D166" i="1"/>
  <c r="D167" i="1" s="1"/>
  <c r="E166" i="1"/>
  <c r="F166" i="1"/>
  <c r="F167" i="1" s="1"/>
  <c r="G166" i="1"/>
  <c r="H166" i="1"/>
  <c r="I166" i="1"/>
  <c r="J166" i="1"/>
  <c r="K166" i="1"/>
  <c r="M166" i="1"/>
  <c r="N166" i="1"/>
  <c r="P166" i="1"/>
  <c r="P167" i="1" s="1"/>
  <c r="Q166" i="1"/>
  <c r="Q167" i="1" s="1"/>
  <c r="R166" i="1"/>
  <c r="R167" i="1" s="1"/>
  <c r="S166" i="1"/>
  <c r="S167" i="1" s="1"/>
  <c r="T166" i="1"/>
  <c r="T167" i="1" s="1"/>
  <c r="V166" i="1"/>
  <c r="V167" i="1" s="1"/>
  <c r="W166" i="1"/>
  <c r="W167" i="1" s="1"/>
  <c r="X166" i="1"/>
  <c r="X167" i="1" s="1"/>
  <c r="Y166" i="1"/>
  <c r="Y167" i="1" s="1"/>
  <c r="Z166" i="1"/>
  <c r="Z167" i="1" s="1"/>
  <c r="A168" i="1"/>
  <c r="A169" i="1" s="1"/>
  <c r="B168" i="1"/>
  <c r="B169" i="1" s="1"/>
  <c r="C168" i="1"/>
  <c r="C169" i="1" s="1"/>
  <c r="D168" i="1"/>
  <c r="D169" i="1" s="1"/>
  <c r="E168" i="1"/>
  <c r="F168" i="1"/>
  <c r="F169" i="1" s="1"/>
  <c r="G168" i="1"/>
  <c r="H168" i="1"/>
  <c r="I168" i="1"/>
  <c r="J168" i="1"/>
  <c r="K168" i="1"/>
  <c r="M168" i="1"/>
  <c r="N168" i="1"/>
  <c r="P168" i="1"/>
  <c r="P169" i="1" s="1"/>
  <c r="Q168" i="1"/>
  <c r="Q169" i="1" s="1"/>
  <c r="R168" i="1"/>
  <c r="R169" i="1" s="1"/>
  <c r="S168" i="1"/>
  <c r="S169" i="1" s="1"/>
  <c r="T168" i="1"/>
  <c r="T169" i="1" s="1"/>
  <c r="V168" i="1"/>
  <c r="V169" i="1" s="1"/>
  <c r="W168" i="1"/>
  <c r="W169" i="1" s="1"/>
  <c r="X168" i="1"/>
  <c r="X169" i="1" s="1"/>
  <c r="Y168" i="1"/>
  <c r="Y169" i="1" s="1"/>
  <c r="Z168" i="1"/>
  <c r="Z169" i="1" s="1"/>
  <c r="A170" i="1"/>
  <c r="A171" i="1" s="1"/>
  <c r="B170" i="1"/>
  <c r="B171" i="1" s="1"/>
  <c r="C170" i="1"/>
  <c r="C171" i="1" s="1"/>
  <c r="D170" i="1"/>
  <c r="D171" i="1" s="1"/>
  <c r="E170" i="1"/>
  <c r="E171" i="1" s="1"/>
  <c r="F170" i="1"/>
  <c r="G170" i="1"/>
  <c r="H170" i="1"/>
  <c r="I170" i="1"/>
  <c r="J170" i="1"/>
  <c r="K170" i="1"/>
  <c r="M170" i="1"/>
  <c r="N170" i="1"/>
  <c r="P170" i="1"/>
  <c r="P171" i="1" s="1"/>
  <c r="Q170" i="1"/>
  <c r="Q171" i="1" s="1"/>
  <c r="R170" i="1"/>
  <c r="R171" i="1" s="1"/>
  <c r="S170" i="1"/>
  <c r="S171" i="1" s="1"/>
  <c r="T170" i="1"/>
  <c r="T171" i="1" s="1"/>
  <c r="V170" i="1"/>
  <c r="V171" i="1" s="1"/>
  <c r="W170" i="1"/>
  <c r="W171" i="1" s="1"/>
  <c r="X170" i="1"/>
  <c r="X171" i="1" s="1"/>
  <c r="Y170" i="1"/>
  <c r="Y171" i="1" s="1"/>
  <c r="Z170" i="1"/>
  <c r="Z171" i="1" s="1"/>
  <c r="A172" i="1"/>
  <c r="A173" i="1" s="1"/>
  <c r="B172" i="1"/>
  <c r="B173" i="1" s="1"/>
  <c r="C172" i="1"/>
  <c r="C173" i="1" s="1"/>
  <c r="D172" i="1"/>
  <c r="D173" i="1" s="1"/>
  <c r="E172" i="1"/>
  <c r="F172" i="1"/>
  <c r="F173" i="1" s="1"/>
  <c r="G172" i="1"/>
  <c r="H172" i="1"/>
  <c r="I172" i="1"/>
  <c r="J172" i="1"/>
  <c r="K172" i="1"/>
  <c r="M172" i="1"/>
  <c r="N172" i="1"/>
  <c r="P172" i="1"/>
  <c r="P173" i="1" s="1"/>
  <c r="Q172" i="1"/>
  <c r="Q173" i="1" s="1"/>
  <c r="R172" i="1"/>
  <c r="R173" i="1" s="1"/>
  <c r="S172" i="1"/>
  <c r="S173" i="1" s="1"/>
  <c r="T172" i="1"/>
  <c r="T173" i="1" s="1"/>
  <c r="V172" i="1"/>
  <c r="V173" i="1" s="1"/>
  <c r="W172" i="1"/>
  <c r="W173" i="1" s="1"/>
  <c r="X172" i="1"/>
  <c r="X173" i="1" s="1"/>
  <c r="Y172" i="1"/>
  <c r="Y173" i="1" s="1"/>
  <c r="Z172" i="1"/>
  <c r="Z173" i="1" s="1"/>
  <c r="A174" i="1"/>
  <c r="A175" i="1" s="1"/>
  <c r="B174" i="1"/>
  <c r="B175" i="1" s="1"/>
  <c r="C174" i="1"/>
  <c r="C175" i="1" s="1"/>
  <c r="D174" i="1"/>
  <c r="D175" i="1" s="1"/>
  <c r="E174" i="1"/>
  <c r="F174" i="1"/>
  <c r="F175" i="1" s="1"/>
  <c r="G174" i="1"/>
  <c r="H174" i="1"/>
  <c r="I174" i="1"/>
  <c r="J174" i="1"/>
  <c r="K174" i="1"/>
  <c r="M174" i="1"/>
  <c r="N174" i="1"/>
  <c r="P174" i="1"/>
  <c r="P175" i="1" s="1"/>
  <c r="Q174" i="1"/>
  <c r="Q175" i="1" s="1"/>
  <c r="R174" i="1"/>
  <c r="R175" i="1" s="1"/>
  <c r="S174" i="1"/>
  <c r="S175" i="1" s="1"/>
  <c r="T174" i="1"/>
  <c r="T175" i="1" s="1"/>
  <c r="V174" i="1"/>
  <c r="V175" i="1" s="1"/>
  <c r="W174" i="1"/>
  <c r="W175" i="1" s="1"/>
  <c r="X174" i="1"/>
  <c r="X175" i="1" s="1"/>
  <c r="Y174" i="1"/>
  <c r="Z174" i="1"/>
  <c r="Z175" i="1" s="1"/>
  <c r="A176" i="1"/>
  <c r="A177" i="1" s="1"/>
  <c r="B176" i="1"/>
  <c r="B177" i="1" s="1"/>
  <c r="C176" i="1"/>
  <c r="C177" i="1" s="1"/>
  <c r="D176" i="1"/>
  <c r="D177" i="1" s="1"/>
  <c r="E176" i="1"/>
  <c r="F176" i="1"/>
  <c r="F177" i="1" s="1"/>
  <c r="G176" i="1"/>
  <c r="H176" i="1"/>
  <c r="I176" i="1"/>
  <c r="J176" i="1"/>
  <c r="K176" i="1"/>
  <c r="M176" i="1"/>
  <c r="N176" i="1"/>
  <c r="P176" i="1"/>
  <c r="P177" i="1" s="1"/>
  <c r="Q176" i="1"/>
  <c r="Q177" i="1" s="1"/>
  <c r="R176" i="1"/>
  <c r="R177" i="1" s="1"/>
  <c r="S176" i="1"/>
  <c r="S177" i="1" s="1"/>
  <c r="T176" i="1"/>
  <c r="T177" i="1" s="1"/>
  <c r="V176" i="1"/>
  <c r="V177" i="1" s="1"/>
  <c r="W176" i="1"/>
  <c r="W177" i="1" s="1"/>
  <c r="X176" i="1"/>
  <c r="X177" i="1" s="1"/>
  <c r="Y176" i="1"/>
  <c r="Y177" i="1" s="1"/>
  <c r="Z176" i="1"/>
  <c r="Z177" i="1" s="1"/>
  <c r="A178" i="1"/>
  <c r="A179" i="1" s="1"/>
  <c r="B178" i="1"/>
  <c r="B179" i="1" s="1"/>
  <c r="C178" i="1"/>
  <c r="C179" i="1" s="1"/>
  <c r="D178" i="1"/>
  <c r="D179" i="1" s="1"/>
  <c r="E178" i="1"/>
  <c r="E179" i="1" s="1"/>
  <c r="F178" i="1"/>
  <c r="F179" i="1" s="1"/>
  <c r="G178" i="1"/>
  <c r="H178" i="1"/>
  <c r="I178" i="1"/>
  <c r="J178" i="1"/>
  <c r="K178" i="1"/>
  <c r="M178" i="1"/>
  <c r="N178" i="1"/>
  <c r="P178" i="1"/>
  <c r="P179" i="1" s="1"/>
  <c r="Q178" i="1"/>
  <c r="Q179" i="1" s="1"/>
  <c r="R178" i="1"/>
  <c r="R179" i="1" s="1"/>
  <c r="S178" i="1"/>
  <c r="S179" i="1" s="1"/>
  <c r="T178" i="1"/>
  <c r="T179" i="1" s="1"/>
  <c r="V178" i="1"/>
  <c r="V179" i="1" s="1"/>
  <c r="W178" i="1"/>
  <c r="W179" i="1" s="1"/>
  <c r="X178" i="1"/>
  <c r="X179" i="1" s="1"/>
  <c r="Y178" i="1"/>
  <c r="Y179" i="1" s="1"/>
  <c r="Z178" i="1"/>
  <c r="Z179" i="1" s="1"/>
  <c r="A180" i="1"/>
  <c r="A181" i="1" s="1"/>
  <c r="B180" i="1"/>
  <c r="B181" i="1" s="1"/>
  <c r="C180" i="1"/>
  <c r="C181" i="1" s="1"/>
  <c r="D180" i="1"/>
  <c r="D181" i="1" s="1"/>
  <c r="E180" i="1"/>
  <c r="E181" i="1" s="1"/>
  <c r="F180" i="1"/>
  <c r="F181" i="1" s="1"/>
  <c r="G180" i="1"/>
  <c r="H180" i="1"/>
  <c r="I180" i="1"/>
  <c r="J180" i="1"/>
  <c r="K180" i="1"/>
  <c r="M180" i="1"/>
  <c r="N180" i="1"/>
  <c r="P180" i="1"/>
  <c r="P181" i="1" s="1"/>
  <c r="Q180" i="1"/>
  <c r="Q181" i="1" s="1"/>
  <c r="R180" i="1"/>
  <c r="R181" i="1" s="1"/>
  <c r="S180" i="1"/>
  <c r="S181" i="1" s="1"/>
  <c r="T180" i="1"/>
  <c r="T181" i="1" s="1"/>
  <c r="V180" i="1"/>
  <c r="V181" i="1" s="1"/>
  <c r="W180" i="1"/>
  <c r="W181" i="1" s="1"/>
  <c r="X180" i="1"/>
  <c r="X181" i="1" s="1"/>
  <c r="Y180" i="1"/>
  <c r="Y181" i="1" s="1"/>
  <c r="Z180" i="1"/>
  <c r="Z181" i="1" s="1"/>
  <c r="A182" i="1"/>
  <c r="A183" i="1" s="1"/>
  <c r="B182" i="1"/>
  <c r="B183" i="1" s="1"/>
  <c r="C182" i="1"/>
  <c r="C183" i="1" s="1"/>
  <c r="D182" i="1"/>
  <c r="D183" i="1" s="1"/>
  <c r="E182" i="1"/>
  <c r="E183" i="1" s="1"/>
  <c r="F182" i="1"/>
  <c r="G182" i="1"/>
  <c r="H182" i="1"/>
  <c r="I182" i="1"/>
  <c r="J182" i="1"/>
  <c r="K182" i="1"/>
  <c r="M182" i="1"/>
  <c r="N182" i="1"/>
  <c r="P182" i="1"/>
  <c r="P183" i="1" s="1"/>
  <c r="Q182" i="1"/>
  <c r="Q183" i="1" s="1"/>
  <c r="R182" i="1"/>
  <c r="R183" i="1" s="1"/>
  <c r="S182" i="1"/>
  <c r="S183" i="1" s="1"/>
  <c r="T182" i="1"/>
  <c r="T183" i="1" s="1"/>
  <c r="V182" i="1"/>
  <c r="V183" i="1" s="1"/>
  <c r="W182" i="1"/>
  <c r="W183" i="1" s="1"/>
  <c r="X182" i="1"/>
  <c r="X183" i="1" s="1"/>
  <c r="Y182" i="1"/>
  <c r="Y183" i="1" s="1"/>
  <c r="Z182" i="1"/>
  <c r="Z183" i="1" s="1"/>
  <c r="A184" i="1"/>
  <c r="A185" i="1" s="1"/>
  <c r="B184" i="1"/>
  <c r="B185" i="1" s="1"/>
  <c r="C184" i="1"/>
  <c r="C185" i="1" s="1"/>
  <c r="D184" i="1"/>
  <c r="D185" i="1" s="1"/>
  <c r="E184" i="1"/>
  <c r="F184" i="1"/>
  <c r="F185" i="1" s="1"/>
  <c r="G184" i="1"/>
  <c r="H184" i="1"/>
  <c r="I184" i="1"/>
  <c r="J184" i="1"/>
  <c r="K184" i="1"/>
  <c r="M184" i="1"/>
  <c r="N184" i="1"/>
  <c r="P184" i="1"/>
  <c r="P185" i="1" s="1"/>
  <c r="Q184" i="1"/>
  <c r="Q185" i="1" s="1"/>
  <c r="R184" i="1"/>
  <c r="R185" i="1" s="1"/>
  <c r="S184" i="1"/>
  <c r="S185" i="1" s="1"/>
  <c r="T184" i="1"/>
  <c r="T185" i="1" s="1"/>
  <c r="V184" i="1"/>
  <c r="V185" i="1" s="1"/>
  <c r="W184" i="1"/>
  <c r="W185" i="1" s="1"/>
  <c r="X184" i="1"/>
  <c r="X185" i="1" s="1"/>
  <c r="Y184" i="1"/>
  <c r="Y185" i="1" s="1"/>
  <c r="Z184" i="1"/>
  <c r="Z185" i="1" s="1"/>
  <c r="A186" i="1"/>
  <c r="A187" i="1" s="1"/>
  <c r="B186" i="1"/>
  <c r="B187" i="1" s="1"/>
  <c r="C186" i="1"/>
  <c r="C187" i="1" s="1"/>
  <c r="D186" i="1"/>
  <c r="D187" i="1" s="1"/>
  <c r="E186" i="1"/>
  <c r="F186" i="1"/>
  <c r="F187" i="1" s="1"/>
  <c r="G186" i="1"/>
  <c r="H186" i="1"/>
  <c r="I186" i="1"/>
  <c r="J186" i="1"/>
  <c r="K186" i="1"/>
  <c r="M186" i="1"/>
  <c r="N186" i="1"/>
  <c r="P186" i="1"/>
  <c r="P187" i="1" s="1"/>
  <c r="Q186" i="1"/>
  <c r="Q187" i="1" s="1"/>
  <c r="R186" i="1"/>
  <c r="R187" i="1" s="1"/>
  <c r="S186" i="1"/>
  <c r="S187" i="1" s="1"/>
  <c r="T186" i="1"/>
  <c r="T187" i="1" s="1"/>
  <c r="V186" i="1"/>
  <c r="V187" i="1" s="1"/>
  <c r="W186" i="1"/>
  <c r="W187" i="1" s="1"/>
  <c r="X186" i="1"/>
  <c r="X187" i="1" s="1"/>
  <c r="Y186" i="1"/>
  <c r="Y187" i="1" s="1"/>
  <c r="Z186" i="1"/>
  <c r="Z187" i="1" s="1"/>
  <c r="E187" i="1"/>
  <c r="A188" i="1"/>
  <c r="A189" i="1" s="1"/>
  <c r="B188" i="1"/>
  <c r="B189" i="1" s="1"/>
  <c r="C188" i="1"/>
  <c r="C189" i="1" s="1"/>
  <c r="D188" i="1"/>
  <c r="D189" i="1" s="1"/>
  <c r="E188" i="1"/>
  <c r="F188" i="1"/>
  <c r="F189" i="1" s="1"/>
  <c r="G188" i="1"/>
  <c r="H188" i="1"/>
  <c r="I188" i="1"/>
  <c r="J188" i="1"/>
  <c r="K188" i="1"/>
  <c r="M188" i="1"/>
  <c r="N188" i="1"/>
  <c r="P188" i="1"/>
  <c r="P189" i="1" s="1"/>
  <c r="Q188" i="1"/>
  <c r="Q189" i="1" s="1"/>
  <c r="R188" i="1"/>
  <c r="R189" i="1" s="1"/>
  <c r="S188" i="1"/>
  <c r="S189" i="1" s="1"/>
  <c r="T188" i="1"/>
  <c r="T189" i="1" s="1"/>
  <c r="V188" i="1"/>
  <c r="V189" i="1" s="1"/>
  <c r="W188" i="1"/>
  <c r="W189" i="1" s="1"/>
  <c r="X188" i="1"/>
  <c r="X189" i="1" s="1"/>
  <c r="Y188" i="1"/>
  <c r="Y189" i="1" s="1"/>
  <c r="Z188" i="1"/>
  <c r="Z189" i="1" s="1"/>
  <c r="A190" i="1"/>
  <c r="A191" i="1" s="1"/>
  <c r="B190" i="1"/>
  <c r="B191" i="1" s="1"/>
  <c r="C190" i="1"/>
  <c r="C191" i="1" s="1"/>
  <c r="D190" i="1"/>
  <c r="D191" i="1" s="1"/>
  <c r="E190" i="1"/>
  <c r="F190" i="1"/>
  <c r="F191" i="1" s="1"/>
  <c r="G190" i="1"/>
  <c r="H190" i="1"/>
  <c r="I190" i="1"/>
  <c r="J190" i="1"/>
  <c r="K190" i="1"/>
  <c r="M190" i="1"/>
  <c r="N190" i="1"/>
  <c r="P190" i="1"/>
  <c r="P191" i="1" s="1"/>
  <c r="Q190" i="1"/>
  <c r="Q191" i="1" s="1"/>
  <c r="R190" i="1"/>
  <c r="R191" i="1" s="1"/>
  <c r="S190" i="1"/>
  <c r="S191" i="1" s="1"/>
  <c r="T190" i="1"/>
  <c r="T191" i="1" s="1"/>
  <c r="V190" i="1"/>
  <c r="V191" i="1" s="1"/>
  <c r="W190" i="1"/>
  <c r="W191" i="1" s="1"/>
  <c r="X190" i="1"/>
  <c r="X191" i="1" s="1"/>
  <c r="Y190" i="1"/>
  <c r="Y191" i="1" s="1"/>
  <c r="Z190" i="1"/>
  <c r="Z191" i="1" s="1"/>
  <c r="A192" i="1"/>
  <c r="A193" i="1" s="1"/>
  <c r="B192" i="1"/>
  <c r="B193" i="1" s="1"/>
  <c r="C192" i="1"/>
  <c r="C193" i="1" s="1"/>
  <c r="D192" i="1"/>
  <c r="E192" i="1"/>
  <c r="F192" i="1"/>
  <c r="F193" i="1" s="1"/>
  <c r="G192" i="1"/>
  <c r="H192" i="1"/>
  <c r="I192" i="1"/>
  <c r="J192" i="1"/>
  <c r="K192" i="1"/>
  <c r="M192" i="1"/>
  <c r="N192" i="1"/>
  <c r="P192" i="1"/>
  <c r="P193" i="1" s="1"/>
  <c r="Q192" i="1"/>
  <c r="Q193" i="1" s="1"/>
  <c r="R192" i="1"/>
  <c r="R193" i="1" s="1"/>
  <c r="S192" i="1"/>
  <c r="S193" i="1" s="1"/>
  <c r="T192" i="1"/>
  <c r="T193" i="1" s="1"/>
  <c r="V192" i="1"/>
  <c r="V193" i="1" s="1"/>
  <c r="W192" i="1"/>
  <c r="W193" i="1" s="1"/>
  <c r="X192" i="1"/>
  <c r="X193" i="1" s="1"/>
  <c r="Y192" i="1"/>
  <c r="Y193" i="1" s="1"/>
  <c r="Z192" i="1"/>
  <c r="Z193" i="1" s="1"/>
  <c r="D193" i="1"/>
  <c r="A194" i="1"/>
  <c r="A195" i="1" s="1"/>
  <c r="B194" i="1"/>
  <c r="B195" i="1" s="1"/>
  <c r="C194" i="1"/>
  <c r="C195" i="1" s="1"/>
  <c r="D194" i="1"/>
  <c r="D195" i="1" s="1"/>
  <c r="E194" i="1"/>
  <c r="E195" i="1" s="1"/>
  <c r="F194" i="1"/>
  <c r="G194" i="1"/>
  <c r="H194" i="1"/>
  <c r="I194" i="1"/>
  <c r="J194" i="1"/>
  <c r="K194" i="1"/>
  <c r="M194" i="1"/>
  <c r="N194" i="1"/>
  <c r="P194" i="1"/>
  <c r="P195" i="1" s="1"/>
  <c r="Q194" i="1"/>
  <c r="Q195" i="1" s="1"/>
  <c r="R194" i="1"/>
  <c r="R195" i="1" s="1"/>
  <c r="S194" i="1"/>
  <c r="S195" i="1" s="1"/>
  <c r="T194" i="1"/>
  <c r="T195" i="1" s="1"/>
  <c r="V194" i="1"/>
  <c r="V195" i="1" s="1"/>
  <c r="W194" i="1"/>
  <c r="W195" i="1" s="1"/>
  <c r="X194" i="1"/>
  <c r="X195" i="1" s="1"/>
  <c r="Y194" i="1"/>
  <c r="Y195" i="1" s="1"/>
  <c r="Z194" i="1"/>
  <c r="Z195" i="1" s="1"/>
  <c r="A196" i="1"/>
  <c r="A197" i="1" s="1"/>
  <c r="B196" i="1"/>
  <c r="B197" i="1" s="1"/>
  <c r="C196" i="1"/>
  <c r="C197" i="1" s="1"/>
  <c r="D196" i="1"/>
  <c r="E196" i="1"/>
  <c r="F196" i="1"/>
  <c r="F197" i="1" s="1"/>
  <c r="G196" i="1"/>
  <c r="H196" i="1"/>
  <c r="I196" i="1"/>
  <c r="J196" i="1"/>
  <c r="K196" i="1"/>
  <c r="M196" i="1"/>
  <c r="N196" i="1"/>
  <c r="P196" i="1"/>
  <c r="P197" i="1" s="1"/>
  <c r="Q196" i="1"/>
  <c r="Q197" i="1" s="1"/>
  <c r="R196" i="1"/>
  <c r="R197" i="1" s="1"/>
  <c r="S196" i="1"/>
  <c r="S197" i="1" s="1"/>
  <c r="T196" i="1"/>
  <c r="T197" i="1" s="1"/>
  <c r="V196" i="1"/>
  <c r="V197" i="1" s="1"/>
  <c r="W196" i="1"/>
  <c r="W197" i="1" s="1"/>
  <c r="X196" i="1"/>
  <c r="X197" i="1" s="1"/>
  <c r="Y196" i="1"/>
  <c r="Y197" i="1" s="1"/>
  <c r="Z196" i="1"/>
  <c r="Z197" i="1" s="1"/>
  <c r="D197" i="1"/>
  <c r="E197" i="1"/>
  <c r="A198" i="1"/>
  <c r="A199" i="1" s="1"/>
  <c r="B198" i="1"/>
  <c r="B199" i="1" s="1"/>
  <c r="C198" i="1"/>
  <c r="C199" i="1" s="1"/>
  <c r="D198" i="1"/>
  <c r="D199" i="1" s="1"/>
  <c r="E198" i="1"/>
  <c r="E199" i="1" s="1"/>
  <c r="F198" i="1"/>
  <c r="F199" i="1" s="1"/>
  <c r="G198" i="1"/>
  <c r="H198" i="1"/>
  <c r="I198" i="1"/>
  <c r="J198" i="1"/>
  <c r="K198" i="1"/>
  <c r="M198" i="1"/>
  <c r="N198" i="1"/>
  <c r="P198" i="1"/>
  <c r="P199" i="1" s="1"/>
  <c r="Q198" i="1"/>
  <c r="Q199" i="1" s="1"/>
  <c r="R198" i="1"/>
  <c r="R199" i="1" s="1"/>
  <c r="S198" i="1"/>
  <c r="S199" i="1" s="1"/>
  <c r="T198" i="1"/>
  <c r="T199" i="1" s="1"/>
  <c r="V198" i="1"/>
  <c r="V199" i="1" s="1"/>
  <c r="W198" i="1"/>
  <c r="W199" i="1" s="1"/>
  <c r="X198" i="1"/>
  <c r="X199" i="1" s="1"/>
  <c r="Y198" i="1"/>
  <c r="Y199" i="1" s="1"/>
  <c r="Z198" i="1"/>
  <c r="Z199" i="1" s="1"/>
  <c r="A200" i="1"/>
  <c r="A201" i="1" s="1"/>
  <c r="B200" i="1"/>
  <c r="B201" i="1" s="1"/>
  <c r="C200" i="1"/>
  <c r="C201" i="1" s="1"/>
  <c r="D200" i="1"/>
  <c r="D201" i="1" s="1"/>
  <c r="E200" i="1"/>
  <c r="E201" i="1" s="1"/>
  <c r="F200" i="1"/>
  <c r="F201" i="1" s="1"/>
  <c r="G200" i="1"/>
  <c r="H200" i="1"/>
  <c r="I200" i="1"/>
  <c r="J200" i="1"/>
  <c r="K200" i="1"/>
  <c r="M200" i="1"/>
  <c r="N200" i="1"/>
  <c r="P200" i="1"/>
  <c r="P201" i="1" s="1"/>
  <c r="Q200" i="1"/>
  <c r="Q201" i="1" s="1"/>
  <c r="R200" i="1"/>
  <c r="R201" i="1" s="1"/>
  <c r="S200" i="1"/>
  <c r="S201" i="1" s="1"/>
  <c r="T200" i="1"/>
  <c r="T201" i="1" s="1"/>
  <c r="V200" i="1"/>
  <c r="V201" i="1" s="1"/>
  <c r="W200" i="1"/>
  <c r="W201" i="1" s="1"/>
  <c r="X200" i="1"/>
  <c r="X201" i="1" s="1"/>
  <c r="Y200" i="1"/>
  <c r="Y201" i="1" s="1"/>
  <c r="Z200" i="1"/>
  <c r="Z201" i="1" s="1"/>
  <c r="A202" i="1"/>
  <c r="A203" i="1" s="1"/>
  <c r="B202" i="1"/>
  <c r="B203" i="1" s="1"/>
  <c r="C202" i="1"/>
  <c r="C203" i="1" s="1"/>
  <c r="D202" i="1"/>
  <c r="D203" i="1" s="1"/>
  <c r="E202" i="1"/>
  <c r="F202" i="1"/>
  <c r="F203" i="1" s="1"/>
  <c r="G202" i="1"/>
  <c r="H202" i="1"/>
  <c r="I202" i="1"/>
  <c r="J202" i="1"/>
  <c r="K202" i="1"/>
  <c r="M202" i="1"/>
  <c r="N202" i="1"/>
  <c r="P202" i="1"/>
  <c r="P203" i="1" s="1"/>
  <c r="Q202" i="1"/>
  <c r="Q203" i="1" s="1"/>
  <c r="R202" i="1"/>
  <c r="R203" i="1" s="1"/>
  <c r="S202" i="1"/>
  <c r="S203" i="1" s="1"/>
  <c r="T202" i="1"/>
  <c r="T203" i="1" s="1"/>
  <c r="V202" i="1"/>
  <c r="V203" i="1" s="1"/>
  <c r="W202" i="1"/>
  <c r="W203" i="1" s="1"/>
  <c r="X202" i="1"/>
  <c r="X203" i="1" s="1"/>
  <c r="Y202" i="1"/>
  <c r="Y203" i="1" s="1"/>
  <c r="Z202" i="1"/>
  <c r="Z203" i="1" s="1"/>
  <c r="A204" i="1"/>
  <c r="A205" i="1" s="1"/>
  <c r="B204" i="1"/>
  <c r="B205" i="1" s="1"/>
  <c r="C204" i="1"/>
  <c r="C205" i="1" s="1"/>
  <c r="D204" i="1"/>
  <c r="D205" i="1" s="1"/>
  <c r="E204" i="1"/>
  <c r="E205" i="1" s="1"/>
  <c r="F204" i="1"/>
  <c r="G204" i="1"/>
  <c r="H204" i="1"/>
  <c r="I204" i="1"/>
  <c r="J204" i="1"/>
  <c r="K204" i="1"/>
  <c r="M204" i="1"/>
  <c r="N204" i="1"/>
  <c r="P204" i="1"/>
  <c r="P205" i="1" s="1"/>
  <c r="Q204" i="1"/>
  <c r="Q205" i="1" s="1"/>
  <c r="R204" i="1"/>
  <c r="R205" i="1" s="1"/>
  <c r="S204" i="1"/>
  <c r="S205" i="1" s="1"/>
  <c r="T204" i="1"/>
  <c r="T205" i="1" s="1"/>
  <c r="V204" i="1"/>
  <c r="V205" i="1" s="1"/>
  <c r="W204" i="1"/>
  <c r="W205" i="1" s="1"/>
  <c r="X204" i="1"/>
  <c r="X205" i="1" s="1"/>
  <c r="Y204" i="1"/>
  <c r="Y205" i="1" s="1"/>
  <c r="Z204" i="1"/>
  <c r="Z205" i="1" s="1"/>
  <c r="A206" i="1"/>
  <c r="A207" i="1" s="1"/>
  <c r="B206" i="1"/>
  <c r="B207" i="1" s="1"/>
  <c r="C206" i="1"/>
  <c r="C207" i="1" s="1"/>
  <c r="D206" i="1"/>
  <c r="D207" i="1" s="1"/>
  <c r="E206" i="1"/>
  <c r="E207" i="1" s="1"/>
  <c r="F206" i="1"/>
  <c r="F207" i="1" s="1"/>
  <c r="G206" i="1"/>
  <c r="H206" i="1"/>
  <c r="I206" i="1"/>
  <c r="J206" i="1"/>
  <c r="K206" i="1"/>
  <c r="M206" i="1"/>
  <c r="N206" i="1"/>
  <c r="P206" i="1"/>
  <c r="P207" i="1" s="1"/>
  <c r="Q206" i="1"/>
  <c r="Q207" i="1" s="1"/>
  <c r="R206" i="1"/>
  <c r="R207" i="1" s="1"/>
  <c r="S206" i="1"/>
  <c r="S207" i="1" s="1"/>
  <c r="T206" i="1"/>
  <c r="T207" i="1" s="1"/>
  <c r="V206" i="1"/>
  <c r="V207" i="1" s="1"/>
  <c r="W206" i="1"/>
  <c r="W207" i="1" s="1"/>
  <c r="X206" i="1"/>
  <c r="X207" i="1" s="1"/>
  <c r="Y206" i="1"/>
  <c r="Y207" i="1" s="1"/>
  <c r="Z206" i="1"/>
  <c r="Z207" i="1" s="1"/>
  <c r="A208" i="1"/>
  <c r="A209" i="1" s="1"/>
  <c r="B208" i="1"/>
  <c r="B209" i="1" s="1"/>
  <c r="C208" i="1"/>
  <c r="C209" i="1" s="1"/>
  <c r="D208" i="1"/>
  <c r="D209" i="1" s="1"/>
  <c r="E208" i="1"/>
  <c r="E209" i="1" s="1"/>
  <c r="F208" i="1"/>
  <c r="F209" i="1" s="1"/>
  <c r="G208" i="1"/>
  <c r="H208" i="1"/>
  <c r="I208" i="1"/>
  <c r="J208" i="1"/>
  <c r="K208" i="1"/>
  <c r="M208" i="1"/>
  <c r="N208" i="1"/>
  <c r="P208" i="1"/>
  <c r="P209" i="1" s="1"/>
  <c r="Q208" i="1"/>
  <c r="Q209" i="1" s="1"/>
  <c r="R208" i="1"/>
  <c r="R209" i="1" s="1"/>
  <c r="S208" i="1"/>
  <c r="S209" i="1" s="1"/>
  <c r="T208" i="1"/>
  <c r="T209" i="1" s="1"/>
  <c r="V208" i="1"/>
  <c r="V209" i="1" s="1"/>
  <c r="W208" i="1"/>
  <c r="W209" i="1" s="1"/>
  <c r="X208" i="1"/>
  <c r="X209" i="1" s="1"/>
  <c r="Y208" i="1"/>
  <c r="Z208" i="1"/>
  <c r="Z209" i="1" s="1"/>
  <c r="A210" i="1"/>
  <c r="A211" i="1" s="1"/>
  <c r="B210" i="1"/>
  <c r="B211" i="1" s="1"/>
  <c r="C210" i="1"/>
  <c r="C211" i="1" s="1"/>
  <c r="D210" i="1"/>
  <c r="D211" i="1" s="1"/>
  <c r="E210" i="1"/>
  <c r="E211" i="1" s="1"/>
  <c r="F210" i="1"/>
  <c r="F211" i="1" s="1"/>
  <c r="G210" i="1"/>
  <c r="H210" i="1"/>
  <c r="I210" i="1"/>
  <c r="J210" i="1"/>
  <c r="K210" i="1"/>
  <c r="M210" i="1"/>
  <c r="N210" i="1"/>
  <c r="P210" i="1"/>
  <c r="P211" i="1" s="1"/>
  <c r="Q210" i="1"/>
  <c r="Q211" i="1" s="1"/>
  <c r="R210" i="1"/>
  <c r="R211" i="1" s="1"/>
  <c r="S210" i="1"/>
  <c r="S211" i="1" s="1"/>
  <c r="T210" i="1"/>
  <c r="T211" i="1" s="1"/>
  <c r="V210" i="1"/>
  <c r="V211" i="1" s="1"/>
  <c r="W210" i="1"/>
  <c r="W211" i="1" s="1"/>
  <c r="X210" i="1"/>
  <c r="X211" i="1" s="1"/>
  <c r="Y210" i="1"/>
  <c r="Y211" i="1" s="1"/>
  <c r="Z210" i="1"/>
  <c r="Z211" i="1" s="1"/>
  <c r="A212" i="1"/>
  <c r="A213" i="1" s="1"/>
  <c r="B212" i="1"/>
  <c r="B213" i="1" s="1"/>
  <c r="C212" i="1"/>
  <c r="C213" i="1" s="1"/>
  <c r="D212" i="1"/>
  <c r="D213" i="1" s="1"/>
  <c r="E212" i="1"/>
  <c r="E213" i="1" s="1"/>
  <c r="F212" i="1"/>
  <c r="F213" i="1" s="1"/>
  <c r="G212" i="1"/>
  <c r="H212" i="1"/>
  <c r="I212" i="1"/>
  <c r="J212" i="1"/>
  <c r="K212" i="1"/>
  <c r="M212" i="1"/>
  <c r="N212" i="1"/>
  <c r="P212" i="1"/>
  <c r="P213" i="1" s="1"/>
  <c r="Q212" i="1"/>
  <c r="Q213" i="1" s="1"/>
  <c r="R212" i="1"/>
  <c r="R213" i="1" s="1"/>
  <c r="S212" i="1"/>
  <c r="S213" i="1" s="1"/>
  <c r="T212" i="1"/>
  <c r="T213" i="1" s="1"/>
  <c r="V212" i="1"/>
  <c r="V213" i="1" s="1"/>
  <c r="W212" i="1"/>
  <c r="W213" i="1" s="1"/>
  <c r="X212" i="1"/>
  <c r="X213" i="1" s="1"/>
  <c r="Y212" i="1"/>
  <c r="Y213" i="1" s="1"/>
  <c r="Z212" i="1"/>
  <c r="Z213" i="1" s="1"/>
  <c r="A214" i="1"/>
  <c r="A215" i="1" s="1"/>
  <c r="B214" i="1"/>
  <c r="B215" i="1" s="1"/>
  <c r="C214" i="1"/>
  <c r="C215" i="1" s="1"/>
  <c r="D214" i="1"/>
  <c r="D215" i="1" s="1"/>
  <c r="E214" i="1"/>
  <c r="E215" i="1" s="1"/>
  <c r="F214" i="1"/>
  <c r="F215" i="1" s="1"/>
  <c r="G214" i="1"/>
  <c r="H214" i="1"/>
  <c r="I214" i="1"/>
  <c r="J214" i="1"/>
  <c r="K214" i="1"/>
  <c r="M214" i="1"/>
  <c r="N214" i="1"/>
  <c r="P214" i="1"/>
  <c r="P215" i="1" s="1"/>
  <c r="Q214" i="1"/>
  <c r="Q215" i="1" s="1"/>
  <c r="R214" i="1"/>
  <c r="R215" i="1" s="1"/>
  <c r="S214" i="1"/>
  <c r="S215" i="1" s="1"/>
  <c r="T214" i="1"/>
  <c r="T215" i="1" s="1"/>
  <c r="V214" i="1"/>
  <c r="V215" i="1" s="1"/>
  <c r="W214" i="1"/>
  <c r="W215" i="1" s="1"/>
  <c r="X214" i="1"/>
  <c r="X215" i="1" s="1"/>
  <c r="Y214" i="1"/>
  <c r="Y215" i="1" s="1"/>
  <c r="Z214" i="1"/>
  <c r="Z215" i="1" s="1"/>
  <c r="A216" i="1"/>
  <c r="A217" i="1" s="1"/>
  <c r="B216" i="1"/>
  <c r="B217" i="1" s="1"/>
  <c r="C216" i="1"/>
  <c r="C217" i="1" s="1"/>
  <c r="D216" i="1"/>
  <c r="D217" i="1" s="1"/>
  <c r="E216" i="1"/>
  <c r="F216" i="1"/>
  <c r="F217" i="1" s="1"/>
  <c r="G216" i="1"/>
  <c r="H216" i="1"/>
  <c r="I216" i="1"/>
  <c r="J216" i="1"/>
  <c r="K216" i="1"/>
  <c r="M216" i="1"/>
  <c r="N216" i="1"/>
  <c r="P216" i="1"/>
  <c r="P217" i="1" s="1"/>
  <c r="Q216" i="1"/>
  <c r="Q217" i="1" s="1"/>
  <c r="R216" i="1"/>
  <c r="R217" i="1" s="1"/>
  <c r="S216" i="1"/>
  <c r="S217" i="1" s="1"/>
  <c r="T216" i="1"/>
  <c r="T217" i="1" s="1"/>
  <c r="V216" i="1"/>
  <c r="V217" i="1" s="1"/>
  <c r="W216" i="1"/>
  <c r="W217" i="1" s="1"/>
  <c r="X216" i="1"/>
  <c r="X217" i="1" s="1"/>
  <c r="Y216" i="1"/>
  <c r="Z216" i="1"/>
  <c r="Z217" i="1" s="1"/>
  <c r="A218" i="1"/>
  <c r="A219" i="1" s="1"/>
  <c r="B218" i="1"/>
  <c r="B219" i="1" s="1"/>
  <c r="C218" i="1"/>
  <c r="C219" i="1" s="1"/>
  <c r="D218" i="1"/>
  <c r="D219" i="1" s="1"/>
  <c r="E218" i="1"/>
  <c r="E219" i="1" s="1"/>
  <c r="F218" i="1"/>
  <c r="F219" i="1" s="1"/>
  <c r="G218" i="1"/>
  <c r="H218" i="1"/>
  <c r="I218" i="1"/>
  <c r="J218" i="1"/>
  <c r="K218" i="1"/>
  <c r="M218" i="1"/>
  <c r="N218" i="1"/>
  <c r="P218" i="1"/>
  <c r="P219" i="1" s="1"/>
  <c r="Q218" i="1"/>
  <c r="Q219" i="1" s="1"/>
  <c r="R218" i="1"/>
  <c r="R219" i="1" s="1"/>
  <c r="S218" i="1"/>
  <c r="S219" i="1" s="1"/>
  <c r="T218" i="1"/>
  <c r="T219" i="1" s="1"/>
  <c r="V218" i="1"/>
  <c r="V219" i="1" s="1"/>
  <c r="W218" i="1"/>
  <c r="W219" i="1" s="1"/>
  <c r="X218" i="1"/>
  <c r="X219" i="1" s="1"/>
  <c r="Y218" i="1"/>
  <c r="Y219" i="1" s="1"/>
  <c r="Z218" i="1"/>
  <c r="Z219" i="1" s="1"/>
  <c r="A220" i="1"/>
  <c r="A221" i="1" s="1"/>
  <c r="B220" i="1"/>
  <c r="B221" i="1" s="1"/>
  <c r="C220" i="1"/>
  <c r="C221" i="1" s="1"/>
  <c r="D220" i="1"/>
  <c r="E220" i="1"/>
  <c r="E221" i="1" s="1"/>
  <c r="F220" i="1"/>
  <c r="G220" i="1"/>
  <c r="H220" i="1"/>
  <c r="I220" i="1"/>
  <c r="J220" i="1"/>
  <c r="K220" i="1"/>
  <c r="M220" i="1"/>
  <c r="N220" i="1"/>
  <c r="P220" i="1"/>
  <c r="P221" i="1" s="1"/>
  <c r="Q220" i="1"/>
  <c r="Q221" i="1" s="1"/>
  <c r="R220" i="1"/>
  <c r="R221" i="1" s="1"/>
  <c r="S220" i="1"/>
  <c r="S221" i="1" s="1"/>
  <c r="T220" i="1"/>
  <c r="T221" i="1" s="1"/>
  <c r="V220" i="1"/>
  <c r="V221" i="1" s="1"/>
  <c r="W220" i="1"/>
  <c r="W221" i="1" s="1"/>
  <c r="X220" i="1"/>
  <c r="X221" i="1" s="1"/>
  <c r="Y220" i="1"/>
  <c r="Y221" i="1" s="1"/>
  <c r="Z220" i="1"/>
  <c r="Z221" i="1" s="1"/>
  <c r="D221" i="1"/>
  <c r="A222" i="1"/>
  <c r="A223" i="1" s="1"/>
  <c r="B222" i="1"/>
  <c r="B223" i="1" s="1"/>
  <c r="C222" i="1"/>
  <c r="C223" i="1" s="1"/>
  <c r="D222" i="1"/>
  <c r="D223" i="1" s="1"/>
  <c r="E222" i="1"/>
  <c r="E223" i="1" s="1"/>
  <c r="F222" i="1"/>
  <c r="F223" i="1" s="1"/>
  <c r="G222" i="1"/>
  <c r="H222" i="1"/>
  <c r="I222" i="1"/>
  <c r="J222" i="1"/>
  <c r="K222" i="1"/>
  <c r="M222" i="1"/>
  <c r="N222" i="1"/>
  <c r="P222" i="1"/>
  <c r="P223" i="1" s="1"/>
  <c r="Q222" i="1"/>
  <c r="Q223" i="1" s="1"/>
  <c r="R222" i="1"/>
  <c r="R223" i="1" s="1"/>
  <c r="S222" i="1"/>
  <c r="S223" i="1" s="1"/>
  <c r="T222" i="1"/>
  <c r="T223" i="1" s="1"/>
  <c r="V222" i="1"/>
  <c r="V223" i="1" s="1"/>
  <c r="W222" i="1"/>
  <c r="W223" i="1" s="1"/>
  <c r="X222" i="1"/>
  <c r="X223" i="1" s="1"/>
  <c r="Y222" i="1"/>
  <c r="Y223" i="1" s="1"/>
  <c r="Z222" i="1"/>
  <c r="Z223" i="1" s="1"/>
  <c r="A224" i="1"/>
  <c r="A225" i="1" s="1"/>
  <c r="B224" i="1"/>
  <c r="B225" i="1" s="1"/>
  <c r="C224" i="1"/>
  <c r="C225" i="1" s="1"/>
  <c r="D224" i="1"/>
  <c r="D225" i="1" s="1"/>
  <c r="E224" i="1"/>
  <c r="F224" i="1"/>
  <c r="F225" i="1" s="1"/>
  <c r="G224" i="1"/>
  <c r="H224" i="1"/>
  <c r="I224" i="1"/>
  <c r="J224" i="1"/>
  <c r="K224" i="1"/>
  <c r="M224" i="1"/>
  <c r="N224" i="1"/>
  <c r="P224" i="1"/>
  <c r="P225" i="1" s="1"/>
  <c r="Q224" i="1"/>
  <c r="Q225" i="1" s="1"/>
  <c r="R224" i="1"/>
  <c r="R225" i="1" s="1"/>
  <c r="S224" i="1"/>
  <c r="S225" i="1" s="1"/>
  <c r="T224" i="1"/>
  <c r="T225" i="1" s="1"/>
  <c r="V224" i="1"/>
  <c r="V225" i="1" s="1"/>
  <c r="W224" i="1"/>
  <c r="W225" i="1" s="1"/>
  <c r="X224" i="1"/>
  <c r="X225" i="1" s="1"/>
  <c r="Y224" i="1"/>
  <c r="Y225" i="1" s="1"/>
  <c r="Z224" i="1"/>
  <c r="Z225" i="1" s="1"/>
  <c r="A226" i="1"/>
  <c r="A227" i="1" s="1"/>
  <c r="B226" i="1"/>
  <c r="B227" i="1" s="1"/>
  <c r="C226" i="1"/>
  <c r="C227" i="1" s="1"/>
  <c r="D226" i="1"/>
  <c r="E226" i="1"/>
  <c r="E227" i="1" s="1"/>
  <c r="F226" i="1"/>
  <c r="G226" i="1"/>
  <c r="H226" i="1"/>
  <c r="I226" i="1"/>
  <c r="J226" i="1"/>
  <c r="K226" i="1"/>
  <c r="M226" i="1"/>
  <c r="N226" i="1"/>
  <c r="P226" i="1"/>
  <c r="P227" i="1" s="1"/>
  <c r="Q226" i="1"/>
  <c r="Q227" i="1" s="1"/>
  <c r="R226" i="1"/>
  <c r="R227" i="1" s="1"/>
  <c r="S226" i="1"/>
  <c r="S227" i="1" s="1"/>
  <c r="T226" i="1"/>
  <c r="T227" i="1" s="1"/>
  <c r="V226" i="1"/>
  <c r="V227" i="1" s="1"/>
  <c r="W226" i="1"/>
  <c r="W227" i="1" s="1"/>
  <c r="X226" i="1"/>
  <c r="X227" i="1" s="1"/>
  <c r="Y226" i="1"/>
  <c r="Z226" i="1"/>
  <c r="Z227" i="1" s="1"/>
  <c r="D227" i="1"/>
  <c r="A228" i="1"/>
  <c r="A229" i="1" s="1"/>
  <c r="B228" i="1"/>
  <c r="B229" i="1" s="1"/>
  <c r="C228" i="1"/>
  <c r="C229" i="1" s="1"/>
  <c r="D228" i="1"/>
  <c r="E228" i="1"/>
  <c r="E229" i="1" s="1"/>
  <c r="F228" i="1"/>
  <c r="F229" i="1" s="1"/>
  <c r="G228" i="1"/>
  <c r="H228" i="1"/>
  <c r="I228" i="1"/>
  <c r="J228" i="1"/>
  <c r="K228" i="1"/>
  <c r="M228" i="1"/>
  <c r="N228" i="1"/>
  <c r="P228" i="1"/>
  <c r="P229" i="1" s="1"/>
  <c r="Q228" i="1"/>
  <c r="Q229" i="1" s="1"/>
  <c r="R228" i="1"/>
  <c r="R229" i="1" s="1"/>
  <c r="S228" i="1"/>
  <c r="S229" i="1" s="1"/>
  <c r="T228" i="1"/>
  <c r="T229" i="1" s="1"/>
  <c r="V228" i="1"/>
  <c r="V229" i="1" s="1"/>
  <c r="W228" i="1"/>
  <c r="W229" i="1" s="1"/>
  <c r="X228" i="1"/>
  <c r="X229" i="1" s="1"/>
  <c r="Y228" i="1"/>
  <c r="Y229" i="1" s="1"/>
  <c r="Z228" i="1"/>
  <c r="Z229" i="1" s="1"/>
  <c r="D229" i="1"/>
  <c r="A230" i="1"/>
  <c r="A231" i="1" s="1"/>
  <c r="B230" i="1"/>
  <c r="B231" i="1" s="1"/>
  <c r="C230" i="1"/>
  <c r="C231" i="1" s="1"/>
  <c r="D230" i="1"/>
  <c r="D231" i="1" s="1"/>
  <c r="E230" i="1"/>
  <c r="E231" i="1" s="1"/>
  <c r="F230" i="1"/>
  <c r="F231" i="1" s="1"/>
  <c r="G230" i="1"/>
  <c r="H230" i="1"/>
  <c r="I230" i="1"/>
  <c r="J230" i="1"/>
  <c r="K230" i="1"/>
  <c r="M230" i="1"/>
  <c r="N230" i="1"/>
  <c r="P230" i="1"/>
  <c r="P231" i="1" s="1"/>
  <c r="Q230" i="1"/>
  <c r="Q231" i="1" s="1"/>
  <c r="R230" i="1"/>
  <c r="R231" i="1" s="1"/>
  <c r="S230" i="1"/>
  <c r="S231" i="1" s="1"/>
  <c r="T230" i="1"/>
  <c r="T231" i="1" s="1"/>
  <c r="V230" i="1"/>
  <c r="V231" i="1" s="1"/>
  <c r="W230" i="1"/>
  <c r="W231" i="1" s="1"/>
  <c r="X230" i="1"/>
  <c r="X231" i="1" s="1"/>
  <c r="Y230" i="1"/>
  <c r="Y231" i="1" s="1"/>
  <c r="Z230" i="1"/>
  <c r="Z231" i="1" s="1"/>
  <c r="A232" i="1"/>
  <c r="A233" i="1" s="1"/>
  <c r="B232" i="1"/>
  <c r="B233" i="1" s="1"/>
  <c r="C232" i="1"/>
  <c r="C233" i="1" s="1"/>
  <c r="D232" i="1"/>
  <c r="D233" i="1" s="1"/>
  <c r="E232" i="1"/>
  <c r="E233" i="1" s="1"/>
  <c r="F232" i="1"/>
  <c r="F233" i="1" s="1"/>
  <c r="G232" i="1"/>
  <c r="H232" i="1"/>
  <c r="I232" i="1"/>
  <c r="J232" i="1"/>
  <c r="K232" i="1"/>
  <c r="M232" i="1"/>
  <c r="N232" i="1"/>
  <c r="P232" i="1"/>
  <c r="P233" i="1" s="1"/>
  <c r="Q232" i="1"/>
  <c r="Q233" i="1" s="1"/>
  <c r="R232" i="1"/>
  <c r="R233" i="1" s="1"/>
  <c r="S232" i="1"/>
  <c r="S233" i="1" s="1"/>
  <c r="T232" i="1"/>
  <c r="T233" i="1" s="1"/>
  <c r="V232" i="1"/>
  <c r="V233" i="1" s="1"/>
  <c r="W232" i="1"/>
  <c r="W233" i="1" s="1"/>
  <c r="X232" i="1"/>
  <c r="X233" i="1" s="1"/>
  <c r="Y232" i="1"/>
  <c r="Y233" i="1" s="1"/>
  <c r="Z232" i="1"/>
  <c r="Z233" i="1" s="1"/>
  <c r="A234" i="1"/>
  <c r="A235" i="1" s="1"/>
  <c r="B234" i="1"/>
  <c r="B235" i="1" s="1"/>
  <c r="C234" i="1"/>
  <c r="C235" i="1" s="1"/>
  <c r="D234" i="1"/>
  <c r="D235" i="1" s="1"/>
  <c r="E234" i="1"/>
  <c r="E235" i="1" s="1"/>
  <c r="F234" i="1"/>
  <c r="F235" i="1" s="1"/>
  <c r="G234" i="1"/>
  <c r="H234" i="1"/>
  <c r="I234" i="1"/>
  <c r="J234" i="1"/>
  <c r="K234" i="1"/>
  <c r="M234" i="1"/>
  <c r="N234" i="1"/>
  <c r="P234" i="1"/>
  <c r="P235" i="1" s="1"/>
  <c r="Q234" i="1"/>
  <c r="Q235" i="1" s="1"/>
  <c r="R234" i="1"/>
  <c r="R235" i="1" s="1"/>
  <c r="S234" i="1"/>
  <c r="S235" i="1" s="1"/>
  <c r="T234" i="1"/>
  <c r="T235" i="1" s="1"/>
  <c r="V234" i="1"/>
  <c r="V235" i="1" s="1"/>
  <c r="W234" i="1"/>
  <c r="W235" i="1" s="1"/>
  <c r="X234" i="1"/>
  <c r="X235" i="1" s="1"/>
  <c r="Y234" i="1"/>
  <c r="Y235" i="1" s="1"/>
  <c r="Z234" i="1"/>
  <c r="Z235" i="1" s="1"/>
  <c r="A236" i="1"/>
  <c r="A237" i="1" s="1"/>
  <c r="B236" i="1"/>
  <c r="B237" i="1" s="1"/>
  <c r="C236" i="1"/>
  <c r="C237" i="1" s="1"/>
  <c r="D236" i="1"/>
  <c r="D237" i="1" s="1"/>
  <c r="E236" i="1"/>
  <c r="E237" i="1" s="1"/>
  <c r="F236" i="1"/>
  <c r="F237" i="1" s="1"/>
  <c r="G236" i="1"/>
  <c r="H236" i="1"/>
  <c r="I236" i="1"/>
  <c r="J236" i="1"/>
  <c r="K236" i="1"/>
  <c r="M236" i="1"/>
  <c r="N236" i="1"/>
  <c r="P236" i="1"/>
  <c r="P237" i="1" s="1"/>
  <c r="Q236" i="1"/>
  <c r="Q237" i="1" s="1"/>
  <c r="R236" i="1"/>
  <c r="R237" i="1" s="1"/>
  <c r="S236" i="1"/>
  <c r="S237" i="1" s="1"/>
  <c r="T236" i="1"/>
  <c r="T237" i="1" s="1"/>
  <c r="V236" i="1"/>
  <c r="V237" i="1" s="1"/>
  <c r="W236" i="1"/>
  <c r="W237" i="1" s="1"/>
  <c r="X236" i="1"/>
  <c r="X237" i="1" s="1"/>
  <c r="Y236" i="1"/>
  <c r="Y237" i="1" s="1"/>
  <c r="Z236" i="1"/>
  <c r="Z237" i="1" s="1"/>
  <c r="A238" i="1"/>
  <c r="A239" i="1" s="1"/>
  <c r="B238" i="1"/>
  <c r="B239" i="1" s="1"/>
  <c r="C238" i="1"/>
  <c r="C239" i="1" s="1"/>
  <c r="D238" i="1"/>
  <c r="D239" i="1" s="1"/>
  <c r="E238" i="1"/>
  <c r="E239" i="1" s="1"/>
  <c r="F238" i="1"/>
  <c r="F239" i="1" s="1"/>
  <c r="G238" i="1"/>
  <c r="H238" i="1"/>
  <c r="I238" i="1"/>
  <c r="J238" i="1"/>
  <c r="K238" i="1"/>
  <c r="M238" i="1"/>
  <c r="N238" i="1"/>
  <c r="P238" i="1"/>
  <c r="P239" i="1" s="1"/>
  <c r="Q238" i="1"/>
  <c r="Q239" i="1" s="1"/>
  <c r="R238" i="1"/>
  <c r="R239" i="1" s="1"/>
  <c r="S238" i="1"/>
  <c r="S239" i="1" s="1"/>
  <c r="T238" i="1"/>
  <c r="T239" i="1" s="1"/>
  <c r="V238" i="1"/>
  <c r="V239" i="1" s="1"/>
  <c r="W238" i="1"/>
  <c r="W239" i="1" s="1"/>
  <c r="X238" i="1"/>
  <c r="X239" i="1" s="1"/>
  <c r="Y238" i="1"/>
  <c r="Y239" i="1" s="1"/>
  <c r="Z238" i="1"/>
  <c r="Z239" i="1" s="1"/>
  <c r="A240" i="1"/>
  <c r="A241" i="1" s="1"/>
  <c r="B240" i="1"/>
  <c r="B241" i="1" s="1"/>
  <c r="C240" i="1"/>
  <c r="C241" i="1" s="1"/>
  <c r="D240" i="1"/>
  <c r="D241" i="1" s="1"/>
  <c r="E240" i="1"/>
  <c r="E241" i="1" s="1"/>
  <c r="F240" i="1"/>
  <c r="F241" i="1" s="1"/>
  <c r="G240" i="1"/>
  <c r="H240" i="1"/>
  <c r="I240" i="1"/>
  <c r="J240" i="1"/>
  <c r="K240" i="1"/>
  <c r="M240" i="1"/>
  <c r="N240" i="1"/>
  <c r="P240" i="1"/>
  <c r="P241" i="1" s="1"/>
  <c r="Q240" i="1"/>
  <c r="Q241" i="1" s="1"/>
  <c r="R240" i="1"/>
  <c r="R241" i="1" s="1"/>
  <c r="S240" i="1"/>
  <c r="S241" i="1" s="1"/>
  <c r="T240" i="1"/>
  <c r="T241" i="1" s="1"/>
  <c r="V240" i="1"/>
  <c r="V241" i="1" s="1"/>
  <c r="W240" i="1"/>
  <c r="W241" i="1" s="1"/>
  <c r="X240" i="1"/>
  <c r="X241" i="1" s="1"/>
  <c r="Y240" i="1"/>
  <c r="Y241" i="1" s="1"/>
  <c r="Z240" i="1"/>
  <c r="Z241" i="1" s="1"/>
  <c r="A242" i="1"/>
  <c r="A243" i="1" s="1"/>
  <c r="B242" i="1"/>
  <c r="B243" i="1" s="1"/>
  <c r="C242" i="1"/>
  <c r="C243" i="1" s="1"/>
  <c r="D242" i="1"/>
  <c r="D243" i="1" s="1"/>
  <c r="E242" i="1"/>
  <c r="E243" i="1" s="1"/>
  <c r="F242" i="1"/>
  <c r="F243" i="1" s="1"/>
  <c r="G242" i="1"/>
  <c r="H242" i="1"/>
  <c r="I242" i="1"/>
  <c r="J242" i="1"/>
  <c r="K242" i="1"/>
  <c r="M242" i="1"/>
  <c r="N242" i="1"/>
  <c r="P242" i="1"/>
  <c r="P243" i="1" s="1"/>
  <c r="Q242" i="1"/>
  <c r="Q243" i="1" s="1"/>
  <c r="R242" i="1"/>
  <c r="R243" i="1" s="1"/>
  <c r="S242" i="1"/>
  <c r="S243" i="1" s="1"/>
  <c r="T242" i="1"/>
  <c r="T243" i="1" s="1"/>
  <c r="V242" i="1"/>
  <c r="V243" i="1" s="1"/>
  <c r="W242" i="1"/>
  <c r="W243" i="1" s="1"/>
  <c r="X242" i="1"/>
  <c r="X243" i="1" s="1"/>
  <c r="Y242" i="1"/>
  <c r="Z242" i="1"/>
  <c r="Z243" i="1" s="1"/>
  <c r="A244" i="1"/>
  <c r="A245" i="1" s="1"/>
  <c r="B244" i="1"/>
  <c r="B245" i="1" s="1"/>
  <c r="C244" i="1"/>
  <c r="C245" i="1" s="1"/>
  <c r="D244" i="1"/>
  <c r="D245" i="1" s="1"/>
  <c r="E244" i="1"/>
  <c r="E245" i="1" s="1"/>
  <c r="F244" i="1"/>
  <c r="F245" i="1" s="1"/>
  <c r="G244" i="1"/>
  <c r="H244" i="1"/>
  <c r="I244" i="1"/>
  <c r="J244" i="1"/>
  <c r="K244" i="1"/>
  <c r="M244" i="1"/>
  <c r="N244" i="1"/>
  <c r="P244" i="1"/>
  <c r="P245" i="1" s="1"/>
  <c r="Q244" i="1"/>
  <c r="Q245" i="1" s="1"/>
  <c r="R244" i="1"/>
  <c r="R245" i="1" s="1"/>
  <c r="S244" i="1"/>
  <c r="S245" i="1" s="1"/>
  <c r="T244" i="1"/>
  <c r="T245" i="1" s="1"/>
  <c r="V244" i="1"/>
  <c r="V245" i="1" s="1"/>
  <c r="W244" i="1"/>
  <c r="W245" i="1" s="1"/>
  <c r="X244" i="1"/>
  <c r="X245" i="1" s="1"/>
  <c r="Y244" i="1"/>
  <c r="Y245" i="1" s="1"/>
  <c r="Z244" i="1"/>
  <c r="Z245" i="1" s="1"/>
  <c r="A246" i="1"/>
  <c r="A247" i="1" s="1"/>
  <c r="B246" i="1"/>
  <c r="B247" i="1" s="1"/>
  <c r="C246" i="1"/>
  <c r="C247" i="1" s="1"/>
  <c r="D246" i="1"/>
  <c r="D247" i="1" s="1"/>
  <c r="E246" i="1"/>
  <c r="E247" i="1" s="1"/>
  <c r="F246" i="1"/>
  <c r="F247" i="1" s="1"/>
  <c r="G246" i="1"/>
  <c r="H246" i="1"/>
  <c r="I246" i="1"/>
  <c r="J246" i="1"/>
  <c r="K246" i="1"/>
  <c r="M246" i="1"/>
  <c r="N246" i="1"/>
  <c r="P246" i="1"/>
  <c r="P247" i="1" s="1"/>
  <c r="Q246" i="1"/>
  <c r="Q247" i="1" s="1"/>
  <c r="R246" i="1"/>
  <c r="R247" i="1" s="1"/>
  <c r="S246" i="1"/>
  <c r="S247" i="1" s="1"/>
  <c r="T246" i="1"/>
  <c r="T247" i="1" s="1"/>
  <c r="V246" i="1"/>
  <c r="V247" i="1" s="1"/>
  <c r="W246" i="1"/>
  <c r="W247" i="1" s="1"/>
  <c r="X246" i="1"/>
  <c r="X247" i="1" s="1"/>
  <c r="Y246" i="1"/>
  <c r="Y247" i="1" s="1"/>
  <c r="Z246" i="1"/>
  <c r="Z247" i="1" s="1"/>
  <c r="A248" i="1"/>
  <c r="A249" i="1" s="1"/>
  <c r="B248" i="1"/>
  <c r="B249" i="1" s="1"/>
  <c r="C248" i="1"/>
  <c r="C249" i="1" s="1"/>
  <c r="D248" i="1"/>
  <c r="D249" i="1" s="1"/>
  <c r="E248" i="1"/>
  <c r="E249" i="1" s="1"/>
  <c r="F248" i="1"/>
  <c r="F249" i="1" s="1"/>
  <c r="G248" i="1"/>
  <c r="H248" i="1"/>
  <c r="I248" i="1"/>
  <c r="J248" i="1"/>
  <c r="K248" i="1"/>
  <c r="M248" i="1"/>
  <c r="N248" i="1"/>
  <c r="P248" i="1"/>
  <c r="P249" i="1" s="1"/>
  <c r="Q248" i="1"/>
  <c r="Q249" i="1" s="1"/>
  <c r="R248" i="1"/>
  <c r="S248" i="1"/>
  <c r="S249" i="1" s="1"/>
  <c r="T248" i="1"/>
  <c r="T249" i="1" s="1"/>
  <c r="V248" i="1"/>
  <c r="V249" i="1" s="1"/>
  <c r="W248" i="1"/>
  <c r="W249" i="1" s="1"/>
  <c r="X248" i="1"/>
  <c r="X249" i="1" s="1"/>
  <c r="Y248" i="1"/>
  <c r="Y249" i="1" s="1"/>
  <c r="Z248" i="1"/>
  <c r="Z249" i="1" s="1"/>
  <c r="R249" i="1"/>
  <c r="A250" i="1"/>
  <c r="A251" i="1" s="1"/>
  <c r="B250" i="1"/>
  <c r="B251" i="1" s="1"/>
  <c r="C250" i="1"/>
  <c r="C251" i="1" s="1"/>
  <c r="D250" i="1"/>
  <c r="D251" i="1" s="1"/>
  <c r="E250" i="1"/>
  <c r="E251" i="1" s="1"/>
  <c r="F250" i="1"/>
  <c r="F251" i="1" s="1"/>
  <c r="G250" i="1"/>
  <c r="H250" i="1"/>
  <c r="I250" i="1"/>
  <c r="J250" i="1"/>
  <c r="K250" i="1"/>
  <c r="M250" i="1"/>
  <c r="N250" i="1"/>
  <c r="P250" i="1"/>
  <c r="P251" i="1" s="1"/>
  <c r="Q250" i="1"/>
  <c r="Q251" i="1" s="1"/>
  <c r="R250" i="1"/>
  <c r="S250" i="1"/>
  <c r="S251" i="1" s="1"/>
  <c r="T250" i="1"/>
  <c r="T251" i="1" s="1"/>
  <c r="V250" i="1"/>
  <c r="V251" i="1" s="1"/>
  <c r="W250" i="1"/>
  <c r="W251" i="1" s="1"/>
  <c r="X250" i="1"/>
  <c r="X251" i="1" s="1"/>
  <c r="Y250" i="1"/>
  <c r="Y251" i="1" s="1"/>
  <c r="Z250" i="1"/>
  <c r="Z251" i="1" s="1"/>
  <c r="R251" i="1"/>
  <c r="A252" i="1"/>
  <c r="A253" i="1" s="1"/>
  <c r="B252" i="1"/>
  <c r="B253" i="1" s="1"/>
  <c r="C252" i="1"/>
  <c r="C253" i="1" s="1"/>
  <c r="D252" i="1"/>
  <c r="D253" i="1" s="1"/>
  <c r="E252" i="1"/>
  <c r="E253" i="1" s="1"/>
  <c r="F252" i="1"/>
  <c r="F253" i="1" s="1"/>
  <c r="G252" i="1"/>
  <c r="H252" i="1"/>
  <c r="I252" i="1"/>
  <c r="J252" i="1"/>
  <c r="K252" i="1"/>
  <c r="M252" i="1"/>
  <c r="N252" i="1"/>
  <c r="P252" i="1"/>
  <c r="P253" i="1" s="1"/>
  <c r="Q252" i="1"/>
  <c r="Q253" i="1" s="1"/>
  <c r="R252" i="1"/>
  <c r="R253" i="1" s="1"/>
  <c r="S252" i="1"/>
  <c r="S253" i="1" s="1"/>
  <c r="T252" i="1"/>
  <c r="T253" i="1" s="1"/>
  <c r="V252" i="1"/>
  <c r="V253" i="1" s="1"/>
  <c r="W252" i="1"/>
  <c r="W253" i="1" s="1"/>
  <c r="X252" i="1"/>
  <c r="X253" i="1" s="1"/>
  <c r="Y252" i="1"/>
  <c r="Y253" i="1" s="1"/>
  <c r="Z252" i="1"/>
  <c r="Z253" i="1" s="1"/>
  <c r="A254" i="1"/>
  <c r="A255" i="1" s="1"/>
  <c r="B254" i="1"/>
  <c r="B255" i="1" s="1"/>
  <c r="C254" i="1"/>
  <c r="C255" i="1" s="1"/>
  <c r="D254" i="1"/>
  <c r="D255" i="1" s="1"/>
  <c r="E254" i="1"/>
  <c r="E255" i="1" s="1"/>
  <c r="F254" i="1"/>
  <c r="F255" i="1" s="1"/>
  <c r="G254" i="1"/>
  <c r="H254" i="1"/>
  <c r="I254" i="1"/>
  <c r="J254" i="1"/>
  <c r="K254" i="1"/>
  <c r="M254" i="1"/>
  <c r="N254" i="1"/>
  <c r="P254" i="1"/>
  <c r="P255" i="1" s="1"/>
  <c r="Q254" i="1"/>
  <c r="Q255" i="1" s="1"/>
  <c r="R254" i="1"/>
  <c r="S254" i="1"/>
  <c r="S255" i="1" s="1"/>
  <c r="T254" i="1"/>
  <c r="T255" i="1" s="1"/>
  <c r="V254" i="1"/>
  <c r="V255" i="1" s="1"/>
  <c r="W254" i="1"/>
  <c r="W255" i="1" s="1"/>
  <c r="X254" i="1"/>
  <c r="X255" i="1" s="1"/>
  <c r="Y254" i="1"/>
  <c r="Z254" i="1"/>
  <c r="Z255" i="1" s="1"/>
  <c r="R255" i="1"/>
  <c r="A256" i="1"/>
  <c r="A257" i="1" s="1"/>
  <c r="B256" i="1"/>
  <c r="B257" i="1" s="1"/>
  <c r="C256" i="1"/>
  <c r="C257" i="1" s="1"/>
  <c r="D256" i="1"/>
  <c r="D257" i="1" s="1"/>
  <c r="E256" i="1"/>
  <c r="E257" i="1" s="1"/>
  <c r="F256" i="1"/>
  <c r="F257" i="1" s="1"/>
  <c r="G256" i="1"/>
  <c r="H256" i="1"/>
  <c r="I256" i="1"/>
  <c r="J256" i="1"/>
  <c r="K256" i="1"/>
  <c r="M256" i="1"/>
  <c r="N256" i="1"/>
  <c r="P256" i="1"/>
  <c r="P257" i="1" s="1"/>
  <c r="Q256" i="1"/>
  <c r="Q257" i="1" s="1"/>
  <c r="R256" i="1"/>
  <c r="R257" i="1" s="1"/>
  <c r="S256" i="1"/>
  <c r="S257" i="1" s="1"/>
  <c r="T256" i="1"/>
  <c r="T257" i="1" s="1"/>
  <c r="V256" i="1"/>
  <c r="V257" i="1" s="1"/>
  <c r="W256" i="1"/>
  <c r="W257" i="1" s="1"/>
  <c r="X256" i="1"/>
  <c r="X257" i="1" s="1"/>
  <c r="Y256" i="1"/>
  <c r="Z256" i="1"/>
  <c r="Z257" i="1" s="1"/>
  <c r="A258" i="1"/>
  <c r="A259" i="1" s="1"/>
  <c r="B258" i="1"/>
  <c r="B259" i="1" s="1"/>
  <c r="C258" i="1"/>
  <c r="C259" i="1" s="1"/>
  <c r="D258" i="1"/>
  <c r="D259" i="1" s="1"/>
  <c r="E258" i="1"/>
  <c r="E259" i="1" s="1"/>
  <c r="F258" i="1"/>
  <c r="F259" i="1" s="1"/>
  <c r="G258" i="1"/>
  <c r="H258" i="1"/>
  <c r="I258" i="1"/>
  <c r="J258" i="1"/>
  <c r="K258" i="1"/>
  <c r="M258" i="1"/>
  <c r="N258" i="1"/>
  <c r="P258" i="1"/>
  <c r="P259" i="1" s="1"/>
  <c r="Q258" i="1"/>
  <c r="Q259" i="1" s="1"/>
  <c r="R258" i="1"/>
  <c r="R259" i="1" s="1"/>
  <c r="S258" i="1"/>
  <c r="S259" i="1" s="1"/>
  <c r="T258" i="1"/>
  <c r="T259" i="1" s="1"/>
  <c r="V258" i="1"/>
  <c r="V259" i="1" s="1"/>
  <c r="W258" i="1"/>
  <c r="W259" i="1" s="1"/>
  <c r="X258" i="1"/>
  <c r="X259" i="1" s="1"/>
  <c r="Y258" i="1"/>
  <c r="Y259" i="1" s="1"/>
  <c r="Z258" i="1"/>
  <c r="Z259" i="1" s="1"/>
  <c r="A260" i="1"/>
  <c r="A261" i="1" s="1"/>
  <c r="B260" i="1"/>
  <c r="B261" i="1" s="1"/>
  <c r="C260" i="1"/>
  <c r="C261" i="1" s="1"/>
  <c r="D260" i="1"/>
  <c r="D261" i="1" s="1"/>
  <c r="E260" i="1"/>
  <c r="E261" i="1" s="1"/>
  <c r="F260" i="1"/>
  <c r="F261" i="1" s="1"/>
  <c r="G260" i="1"/>
  <c r="H260" i="1"/>
  <c r="I260" i="1"/>
  <c r="J260" i="1"/>
  <c r="K260" i="1"/>
  <c r="M260" i="1"/>
  <c r="N260" i="1"/>
  <c r="P260" i="1"/>
  <c r="P261" i="1" s="1"/>
  <c r="Q260" i="1"/>
  <c r="Q261" i="1" s="1"/>
  <c r="R260" i="1"/>
  <c r="R261" i="1" s="1"/>
  <c r="S260" i="1"/>
  <c r="S261" i="1" s="1"/>
  <c r="T260" i="1"/>
  <c r="T261" i="1" s="1"/>
  <c r="V260" i="1"/>
  <c r="V261" i="1" s="1"/>
  <c r="W260" i="1"/>
  <c r="W261" i="1" s="1"/>
  <c r="X260" i="1"/>
  <c r="X261" i="1" s="1"/>
  <c r="Y260" i="1"/>
  <c r="Y261" i="1" s="1"/>
  <c r="Z260" i="1"/>
  <c r="Z261" i="1" s="1"/>
  <c r="A262" i="1"/>
  <c r="A263" i="1" s="1"/>
  <c r="B262" i="1"/>
  <c r="B263" i="1" s="1"/>
  <c r="C262" i="1"/>
  <c r="C263" i="1" s="1"/>
  <c r="D262" i="1"/>
  <c r="D263" i="1" s="1"/>
  <c r="E262" i="1"/>
  <c r="E263" i="1" s="1"/>
  <c r="F262" i="1"/>
  <c r="F263" i="1" s="1"/>
  <c r="G262" i="1"/>
  <c r="H262" i="1"/>
  <c r="I262" i="1"/>
  <c r="J262" i="1"/>
  <c r="K262" i="1"/>
  <c r="M262" i="1"/>
  <c r="N262" i="1"/>
  <c r="P262" i="1"/>
  <c r="P263" i="1" s="1"/>
  <c r="Q262" i="1"/>
  <c r="Q263" i="1" s="1"/>
  <c r="R262" i="1"/>
  <c r="R263" i="1" s="1"/>
  <c r="S262" i="1"/>
  <c r="S263" i="1" s="1"/>
  <c r="T262" i="1"/>
  <c r="T263" i="1" s="1"/>
  <c r="V262" i="1"/>
  <c r="V263" i="1" s="1"/>
  <c r="W262" i="1"/>
  <c r="W263" i="1" s="1"/>
  <c r="X262" i="1"/>
  <c r="X263" i="1" s="1"/>
  <c r="Y262" i="1"/>
  <c r="Y263" i="1" s="1"/>
  <c r="Z262" i="1"/>
  <c r="Z263" i="1" s="1"/>
  <c r="A264" i="1"/>
  <c r="A265" i="1" s="1"/>
  <c r="B264" i="1"/>
  <c r="B265" i="1" s="1"/>
  <c r="C264" i="1"/>
  <c r="C265" i="1" s="1"/>
  <c r="D264" i="1"/>
  <c r="D265" i="1" s="1"/>
  <c r="E264" i="1"/>
  <c r="E265" i="1" s="1"/>
  <c r="F264" i="1"/>
  <c r="F265" i="1" s="1"/>
  <c r="G264" i="1"/>
  <c r="H264" i="1"/>
  <c r="I264" i="1"/>
  <c r="J264" i="1"/>
  <c r="K264" i="1"/>
  <c r="M264" i="1"/>
  <c r="N264" i="1"/>
  <c r="P264" i="1"/>
  <c r="P265" i="1" s="1"/>
  <c r="Q264" i="1"/>
  <c r="Q265" i="1" s="1"/>
  <c r="R264" i="1"/>
  <c r="R265" i="1" s="1"/>
  <c r="S264" i="1"/>
  <c r="S265" i="1" s="1"/>
  <c r="T264" i="1"/>
  <c r="T265" i="1" s="1"/>
  <c r="V264" i="1"/>
  <c r="V265" i="1" s="1"/>
  <c r="W264" i="1"/>
  <c r="W265" i="1" s="1"/>
  <c r="X264" i="1"/>
  <c r="X265" i="1" s="1"/>
  <c r="Y264" i="1"/>
  <c r="Y265" i="1" s="1"/>
  <c r="Z264" i="1"/>
  <c r="Z265" i="1" s="1"/>
  <c r="A266" i="1"/>
  <c r="A267" i="1" s="1"/>
  <c r="B266" i="1"/>
  <c r="B267" i="1" s="1"/>
  <c r="C266" i="1"/>
  <c r="C267" i="1" s="1"/>
  <c r="D266" i="1"/>
  <c r="D267" i="1" s="1"/>
  <c r="E266" i="1"/>
  <c r="E267" i="1" s="1"/>
  <c r="F266" i="1"/>
  <c r="F267" i="1" s="1"/>
  <c r="G266" i="1"/>
  <c r="H266" i="1"/>
  <c r="I266" i="1"/>
  <c r="J266" i="1"/>
  <c r="K266" i="1"/>
  <c r="M266" i="1"/>
  <c r="N266" i="1"/>
  <c r="P266" i="1"/>
  <c r="P267" i="1" s="1"/>
  <c r="Q266" i="1"/>
  <c r="Q267" i="1" s="1"/>
  <c r="R266" i="1"/>
  <c r="R267" i="1" s="1"/>
  <c r="S266" i="1"/>
  <c r="S267" i="1" s="1"/>
  <c r="T266" i="1"/>
  <c r="T267" i="1" s="1"/>
  <c r="V266" i="1"/>
  <c r="V267" i="1" s="1"/>
  <c r="W266" i="1"/>
  <c r="W267" i="1" s="1"/>
  <c r="X266" i="1"/>
  <c r="X267" i="1" s="1"/>
  <c r="Y266" i="1"/>
  <c r="Y267" i="1" s="1"/>
  <c r="Z266" i="1"/>
  <c r="Z267" i="1" s="1"/>
  <c r="A268" i="1"/>
  <c r="A269" i="1" s="1"/>
  <c r="B268" i="1"/>
  <c r="B269" i="1" s="1"/>
  <c r="C268" i="1"/>
  <c r="C269" i="1" s="1"/>
  <c r="D268" i="1"/>
  <c r="E268" i="1"/>
  <c r="E269" i="1" s="1"/>
  <c r="F268" i="1"/>
  <c r="F269" i="1" s="1"/>
  <c r="G268" i="1"/>
  <c r="H268" i="1"/>
  <c r="I268" i="1"/>
  <c r="J268" i="1"/>
  <c r="K268" i="1"/>
  <c r="M268" i="1"/>
  <c r="N268" i="1"/>
  <c r="P268" i="1"/>
  <c r="P269" i="1" s="1"/>
  <c r="Q268" i="1"/>
  <c r="Q269" i="1" s="1"/>
  <c r="R268" i="1"/>
  <c r="R269" i="1" s="1"/>
  <c r="S268" i="1"/>
  <c r="S269" i="1" s="1"/>
  <c r="T268" i="1"/>
  <c r="T269" i="1" s="1"/>
  <c r="V268" i="1"/>
  <c r="V269" i="1" s="1"/>
  <c r="W268" i="1"/>
  <c r="W269" i="1" s="1"/>
  <c r="X268" i="1"/>
  <c r="X269" i="1" s="1"/>
  <c r="Y268" i="1"/>
  <c r="Y269" i="1" s="1"/>
  <c r="Z268" i="1"/>
  <c r="Z269" i="1" s="1"/>
  <c r="D269" i="1"/>
  <c r="A270" i="1"/>
  <c r="A271" i="1" s="1"/>
  <c r="B270" i="1"/>
  <c r="B271" i="1" s="1"/>
  <c r="C270" i="1"/>
  <c r="C271" i="1" s="1"/>
  <c r="D270" i="1"/>
  <c r="D271" i="1" s="1"/>
  <c r="E270" i="1"/>
  <c r="E271" i="1" s="1"/>
  <c r="F270" i="1"/>
  <c r="F271" i="1" s="1"/>
  <c r="G270" i="1"/>
  <c r="H270" i="1"/>
  <c r="I270" i="1"/>
  <c r="J270" i="1"/>
  <c r="K270" i="1"/>
  <c r="M270" i="1"/>
  <c r="N270" i="1"/>
  <c r="P270" i="1"/>
  <c r="P271" i="1" s="1"/>
  <c r="Q270" i="1"/>
  <c r="Q271" i="1" s="1"/>
  <c r="R270" i="1"/>
  <c r="R271" i="1" s="1"/>
  <c r="S270" i="1"/>
  <c r="S271" i="1" s="1"/>
  <c r="T270" i="1"/>
  <c r="T271" i="1" s="1"/>
  <c r="V270" i="1"/>
  <c r="V271" i="1" s="1"/>
  <c r="W270" i="1"/>
  <c r="W271" i="1" s="1"/>
  <c r="X270" i="1"/>
  <c r="X271" i="1" s="1"/>
  <c r="Y270" i="1"/>
  <c r="Y271" i="1" s="1"/>
  <c r="Z270" i="1"/>
  <c r="Z271" i="1" s="1"/>
  <c r="A272" i="1"/>
  <c r="A273" i="1" s="1"/>
  <c r="B272" i="1"/>
  <c r="B273" i="1" s="1"/>
  <c r="C272" i="1"/>
  <c r="D272" i="1"/>
  <c r="D273" i="1" s="1"/>
  <c r="E272" i="1"/>
  <c r="E273" i="1" s="1"/>
  <c r="F272" i="1"/>
  <c r="F273" i="1" s="1"/>
  <c r="G272" i="1"/>
  <c r="H272" i="1"/>
  <c r="I272" i="1"/>
  <c r="J272" i="1"/>
  <c r="K272" i="1"/>
  <c r="M272" i="1"/>
  <c r="N272" i="1"/>
  <c r="P272" i="1"/>
  <c r="P273" i="1" s="1"/>
  <c r="Q272" i="1"/>
  <c r="Q273" i="1" s="1"/>
  <c r="R272" i="1"/>
  <c r="R273" i="1" s="1"/>
  <c r="S272" i="1"/>
  <c r="S273" i="1" s="1"/>
  <c r="T272" i="1"/>
  <c r="T273" i="1" s="1"/>
  <c r="V272" i="1"/>
  <c r="V273" i="1" s="1"/>
  <c r="W272" i="1"/>
  <c r="W273" i="1" s="1"/>
  <c r="X272" i="1"/>
  <c r="X273" i="1" s="1"/>
  <c r="Y272" i="1"/>
  <c r="Y273" i="1" s="1"/>
  <c r="Z272" i="1"/>
  <c r="Z273" i="1" s="1"/>
  <c r="A274" i="1"/>
  <c r="A275" i="1" s="1"/>
  <c r="B274" i="1"/>
  <c r="B275" i="1" s="1"/>
  <c r="C274" i="1"/>
  <c r="C275" i="1" s="1"/>
  <c r="D274" i="1"/>
  <c r="D275" i="1" s="1"/>
  <c r="E274" i="1"/>
  <c r="E275" i="1" s="1"/>
  <c r="F274" i="1"/>
  <c r="F275" i="1" s="1"/>
  <c r="G274" i="1"/>
  <c r="H274" i="1"/>
  <c r="I274" i="1"/>
  <c r="J274" i="1"/>
  <c r="K274" i="1"/>
  <c r="M274" i="1"/>
  <c r="N274" i="1"/>
  <c r="P274" i="1"/>
  <c r="P275" i="1" s="1"/>
  <c r="Q274" i="1"/>
  <c r="Q275" i="1" s="1"/>
  <c r="R274" i="1"/>
  <c r="R275" i="1" s="1"/>
  <c r="S274" i="1"/>
  <c r="S275" i="1" s="1"/>
  <c r="T274" i="1"/>
  <c r="T275" i="1" s="1"/>
  <c r="V274" i="1"/>
  <c r="V275" i="1" s="1"/>
  <c r="W274" i="1"/>
  <c r="W275" i="1" s="1"/>
  <c r="X274" i="1"/>
  <c r="X275" i="1" s="1"/>
  <c r="Y274" i="1"/>
  <c r="Y275" i="1" s="1"/>
  <c r="Z274" i="1"/>
  <c r="Z275" i="1" s="1"/>
  <c r="A276" i="1"/>
  <c r="A277" i="1" s="1"/>
  <c r="B276" i="1"/>
  <c r="B277" i="1" s="1"/>
  <c r="C276" i="1"/>
  <c r="C277" i="1" s="1"/>
  <c r="D276" i="1"/>
  <c r="D277" i="1" s="1"/>
  <c r="E276" i="1"/>
  <c r="E277" i="1" s="1"/>
  <c r="F276" i="1"/>
  <c r="F277" i="1" s="1"/>
  <c r="G276" i="1"/>
  <c r="H276" i="1"/>
  <c r="I276" i="1"/>
  <c r="J276" i="1"/>
  <c r="K276" i="1"/>
  <c r="M276" i="1"/>
  <c r="N276" i="1"/>
  <c r="P276" i="1"/>
  <c r="P277" i="1" s="1"/>
  <c r="Q276" i="1"/>
  <c r="Q277" i="1" s="1"/>
  <c r="R276" i="1"/>
  <c r="R277" i="1" s="1"/>
  <c r="S276" i="1"/>
  <c r="S277" i="1" s="1"/>
  <c r="T276" i="1"/>
  <c r="T277" i="1" s="1"/>
  <c r="V276" i="1"/>
  <c r="V277" i="1" s="1"/>
  <c r="W276" i="1"/>
  <c r="W277" i="1" s="1"/>
  <c r="X276" i="1"/>
  <c r="X277" i="1" s="1"/>
  <c r="Y276" i="1"/>
  <c r="Y277" i="1" s="1"/>
  <c r="Z276" i="1"/>
  <c r="Z277" i="1" s="1"/>
  <c r="A278" i="1"/>
  <c r="A279" i="1" s="1"/>
  <c r="B278" i="1"/>
  <c r="B279" i="1" s="1"/>
  <c r="C278" i="1"/>
  <c r="C279" i="1" s="1"/>
  <c r="D278" i="1"/>
  <c r="D279" i="1" s="1"/>
  <c r="E278" i="1"/>
  <c r="F278" i="1"/>
  <c r="F279" i="1" s="1"/>
  <c r="G278" i="1"/>
  <c r="H278" i="1"/>
  <c r="I278" i="1"/>
  <c r="J278" i="1"/>
  <c r="K278" i="1"/>
  <c r="M278" i="1"/>
  <c r="N278" i="1"/>
  <c r="P278" i="1"/>
  <c r="P279" i="1" s="1"/>
  <c r="Q278" i="1"/>
  <c r="Q279" i="1" s="1"/>
  <c r="R278" i="1"/>
  <c r="R279" i="1" s="1"/>
  <c r="S278" i="1"/>
  <c r="S279" i="1" s="1"/>
  <c r="T278" i="1"/>
  <c r="T279" i="1" s="1"/>
  <c r="V278" i="1"/>
  <c r="V279" i="1" s="1"/>
  <c r="W278" i="1"/>
  <c r="W279" i="1" s="1"/>
  <c r="X278" i="1"/>
  <c r="X279" i="1" s="1"/>
  <c r="Y278" i="1"/>
  <c r="Y279" i="1" s="1"/>
  <c r="Z278" i="1"/>
  <c r="Z279" i="1" s="1"/>
  <c r="A280" i="1"/>
  <c r="A281" i="1" s="1"/>
  <c r="B280" i="1"/>
  <c r="B281" i="1" s="1"/>
  <c r="C280" i="1"/>
  <c r="C281" i="1" s="1"/>
  <c r="D280" i="1"/>
  <c r="D281" i="1" s="1"/>
  <c r="E280" i="1"/>
  <c r="E281" i="1" s="1"/>
  <c r="F280" i="1"/>
  <c r="F281" i="1" s="1"/>
  <c r="G280" i="1"/>
  <c r="H280" i="1"/>
  <c r="I280" i="1"/>
  <c r="J280" i="1"/>
  <c r="K280" i="1"/>
  <c r="M280" i="1"/>
  <c r="N280" i="1"/>
  <c r="P280" i="1"/>
  <c r="P281" i="1" s="1"/>
  <c r="Q280" i="1"/>
  <c r="Q281" i="1" s="1"/>
  <c r="R280" i="1"/>
  <c r="R281" i="1" s="1"/>
  <c r="S280" i="1"/>
  <c r="S281" i="1" s="1"/>
  <c r="T280" i="1"/>
  <c r="T281" i="1" s="1"/>
  <c r="V280" i="1"/>
  <c r="V281" i="1" s="1"/>
  <c r="W280" i="1"/>
  <c r="W281" i="1" s="1"/>
  <c r="X280" i="1"/>
  <c r="X281" i="1" s="1"/>
  <c r="Y280" i="1"/>
  <c r="Y281" i="1" s="1"/>
  <c r="Z280" i="1"/>
  <c r="Z281" i="1" s="1"/>
  <c r="A282" i="1"/>
  <c r="A283" i="1" s="1"/>
  <c r="B282" i="1"/>
  <c r="B283" i="1" s="1"/>
  <c r="C282" i="1"/>
  <c r="C283" i="1" s="1"/>
  <c r="D282" i="1"/>
  <c r="D283" i="1" s="1"/>
  <c r="E282" i="1"/>
  <c r="E283" i="1" s="1"/>
  <c r="F282" i="1"/>
  <c r="G282" i="1"/>
  <c r="H282" i="1"/>
  <c r="I282" i="1"/>
  <c r="J282" i="1"/>
  <c r="K282" i="1"/>
  <c r="M282" i="1"/>
  <c r="N282" i="1"/>
  <c r="P282" i="1"/>
  <c r="P283" i="1" s="1"/>
  <c r="Q282" i="1"/>
  <c r="Q283" i="1" s="1"/>
  <c r="R282" i="1"/>
  <c r="R283" i="1" s="1"/>
  <c r="S282" i="1"/>
  <c r="S283" i="1" s="1"/>
  <c r="T282" i="1"/>
  <c r="T283" i="1" s="1"/>
  <c r="V282" i="1"/>
  <c r="V283" i="1" s="1"/>
  <c r="W282" i="1"/>
  <c r="W283" i="1" s="1"/>
  <c r="X282" i="1"/>
  <c r="X283" i="1" s="1"/>
  <c r="Y282" i="1"/>
  <c r="Y283" i="1" s="1"/>
  <c r="Z282" i="1"/>
  <c r="Z283" i="1" s="1"/>
  <c r="A284" i="1"/>
  <c r="A285" i="1" s="1"/>
  <c r="B284" i="1"/>
  <c r="B285" i="1" s="1"/>
  <c r="C284" i="1"/>
  <c r="C285" i="1" s="1"/>
  <c r="D284" i="1"/>
  <c r="D285" i="1" s="1"/>
  <c r="E284" i="1"/>
  <c r="E285" i="1" s="1"/>
  <c r="F284" i="1"/>
  <c r="F285" i="1" s="1"/>
  <c r="G284" i="1"/>
  <c r="H284" i="1"/>
  <c r="I284" i="1"/>
  <c r="J284" i="1"/>
  <c r="K284" i="1"/>
  <c r="M284" i="1"/>
  <c r="N284" i="1"/>
  <c r="P284" i="1"/>
  <c r="P285" i="1" s="1"/>
  <c r="Q284" i="1"/>
  <c r="Q285" i="1" s="1"/>
  <c r="R284" i="1"/>
  <c r="R285" i="1" s="1"/>
  <c r="S284" i="1"/>
  <c r="S285" i="1" s="1"/>
  <c r="T284" i="1"/>
  <c r="T285" i="1" s="1"/>
  <c r="V284" i="1"/>
  <c r="V285" i="1" s="1"/>
  <c r="W284" i="1"/>
  <c r="W285" i="1" s="1"/>
  <c r="X284" i="1"/>
  <c r="X285" i="1" s="1"/>
  <c r="Y284" i="1"/>
  <c r="Y285" i="1" s="1"/>
  <c r="Z284" i="1"/>
  <c r="Z285" i="1" s="1"/>
  <c r="A286" i="1"/>
  <c r="A287" i="1" s="1"/>
  <c r="B286" i="1"/>
  <c r="B287" i="1" s="1"/>
  <c r="C286" i="1"/>
  <c r="C287" i="1" s="1"/>
  <c r="D286" i="1"/>
  <c r="D287" i="1" s="1"/>
  <c r="E286" i="1"/>
  <c r="F286" i="1"/>
  <c r="F287" i="1" s="1"/>
  <c r="G286" i="1"/>
  <c r="H286" i="1"/>
  <c r="I286" i="1"/>
  <c r="J286" i="1"/>
  <c r="K286" i="1"/>
  <c r="M286" i="1"/>
  <c r="N286" i="1"/>
  <c r="P286" i="1"/>
  <c r="P287" i="1" s="1"/>
  <c r="Q286" i="1"/>
  <c r="Q287" i="1" s="1"/>
  <c r="R286" i="1"/>
  <c r="R287" i="1" s="1"/>
  <c r="S286" i="1"/>
  <c r="S287" i="1" s="1"/>
  <c r="T286" i="1"/>
  <c r="T287" i="1" s="1"/>
  <c r="V286" i="1"/>
  <c r="V287" i="1" s="1"/>
  <c r="W286" i="1"/>
  <c r="W287" i="1" s="1"/>
  <c r="X286" i="1"/>
  <c r="X287" i="1" s="1"/>
  <c r="Y286" i="1"/>
  <c r="Y287" i="1" s="1"/>
  <c r="Z286" i="1"/>
  <c r="Z287" i="1" s="1"/>
  <c r="A288" i="1"/>
  <c r="A289" i="1" s="1"/>
  <c r="B288" i="1"/>
  <c r="B289" i="1" s="1"/>
  <c r="C288" i="1"/>
  <c r="C289" i="1" s="1"/>
  <c r="D288" i="1"/>
  <c r="D289" i="1" s="1"/>
  <c r="E288" i="1"/>
  <c r="E289" i="1" s="1"/>
  <c r="F288" i="1"/>
  <c r="F289" i="1" s="1"/>
  <c r="G288" i="1"/>
  <c r="H288" i="1"/>
  <c r="I288" i="1"/>
  <c r="J288" i="1"/>
  <c r="K288" i="1"/>
  <c r="M288" i="1"/>
  <c r="N288" i="1"/>
  <c r="P288" i="1"/>
  <c r="P289" i="1" s="1"/>
  <c r="Q288" i="1"/>
  <c r="Q289" i="1" s="1"/>
  <c r="R288" i="1"/>
  <c r="R289" i="1" s="1"/>
  <c r="S288" i="1"/>
  <c r="S289" i="1" s="1"/>
  <c r="T288" i="1"/>
  <c r="T289" i="1" s="1"/>
  <c r="V288" i="1"/>
  <c r="V289" i="1" s="1"/>
  <c r="W288" i="1"/>
  <c r="W289" i="1" s="1"/>
  <c r="X288" i="1"/>
  <c r="X289" i="1" s="1"/>
  <c r="Y288" i="1"/>
  <c r="Y289" i="1" s="1"/>
  <c r="Z288" i="1"/>
  <c r="Z289" i="1" s="1"/>
  <c r="A290" i="1"/>
  <c r="A291" i="1" s="1"/>
  <c r="B290" i="1"/>
  <c r="B291" i="1" s="1"/>
  <c r="C290" i="1"/>
  <c r="C291" i="1" s="1"/>
  <c r="D290" i="1"/>
  <c r="D291" i="1" s="1"/>
  <c r="E290" i="1"/>
  <c r="E291" i="1" s="1"/>
  <c r="F290" i="1"/>
  <c r="F291" i="1" s="1"/>
  <c r="G290" i="1"/>
  <c r="H290" i="1"/>
  <c r="I290" i="1"/>
  <c r="J290" i="1"/>
  <c r="K290" i="1"/>
  <c r="M290" i="1"/>
  <c r="N290" i="1"/>
  <c r="P290" i="1"/>
  <c r="P291" i="1" s="1"/>
  <c r="Q290" i="1"/>
  <c r="Q291" i="1" s="1"/>
  <c r="R290" i="1"/>
  <c r="R291" i="1" s="1"/>
  <c r="S290" i="1"/>
  <c r="S291" i="1" s="1"/>
  <c r="T290" i="1"/>
  <c r="T291" i="1" s="1"/>
  <c r="V290" i="1"/>
  <c r="V291" i="1" s="1"/>
  <c r="W290" i="1"/>
  <c r="W291" i="1" s="1"/>
  <c r="X290" i="1"/>
  <c r="X291" i="1" s="1"/>
  <c r="Y290" i="1"/>
  <c r="Y291" i="1" s="1"/>
  <c r="Z290" i="1"/>
  <c r="Z291" i="1" s="1"/>
  <c r="A292" i="1"/>
  <c r="A293" i="1" s="1"/>
  <c r="B292" i="1"/>
  <c r="B293" i="1" s="1"/>
  <c r="C292" i="1"/>
  <c r="C293" i="1" s="1"/>
  <c r="D292" i="1"/>
  <c r="D293" i="1" s="1"/>
  <c r="E292" i="1"/>
  <c r="E293" i="1" s="1"/>
  <c r="F292" i="1"/>
  <c r="G292" i="1"/>
  <c r="H292" i="1"/>
  <c r="I292" i="1"/>
  <c r="J292" i="1"/>
  <c r="K292" i="1"/>
  <c r="M292" i="1"/>
  <c r="N292" i="1"/>
  <c r="P292" i="1"/>
  <c r="P293" i="1" s="1"/>
  <c r="Q292" i="1"/>
  <c r="Q293" i="1" s="1"/>
  <c r="R292" i="1"/>
  <c r="R293" i="1" s="1"/>
  <c r="S292" i="1"/>
  <c r="S293" i="1" s="1"/>
  <c r="T292" i="1"/>
  <c r="T293" i="1" s="1"/>
  <c r="V292" i="1"/>
  <c r="V293" i="1" s="1"/>
  <c r="W292" i="1"/>
  <c r="W293" i="1" s="1"/>
  <c r="X292" i="1"/>
  <c r="X293" i="1" s="1"/>
  <c r="Y292" i="1"/>
  <c r="Y293" i="1" s="1"/>
  <c r="Z292" i="1"/>
  <c r="Z293" i="1" s="1"/>
  <c r="A294" i="1"/>
  <c r="A295" i="1" s="1"/>
  <c r="B294" i="1"/>
  <c r="B295" i="1" s="1"/>
  <c r="C294" i="1"/>
  <c r="C295" i="1" s="1"/>
  <c r="D294" i="1"/>
  <c r="D295" i="1" s="1"/>
  <c r="E294" i="1"/>
  <c r="F294" i="1"/>
  <c r="F295" i="1" s="1"/>
  <c r="G294" i="1"/>
  <c r="H294" i="1"/>
  <c r="I294" i="1"/>
  <c r="J294" i="1"/>
  <c r="K294" i="1"/>
  <c r="M294" i="1"/>
  <c r="N294" i="1"/>
  <c r="P294" i="1"/>
  <c r="P295" i="1" s="1"/>
  <c r="Q294" i="1"/>
  <c r="Q295" i="1" s="1"/>
  <c r="R294" i="1"/>
  <c r="R295" i="1" s="1"/>
  <c r="S294" i="1"/>
  <c r="S295" i="1" s="1"/>
  <c r="T294" i="1"/>
  <c r="T295" i="1" s="1"/>
  <c r="V294" i="1"/>
  <c r="V295" i="1" s="1"/>
  <c r="W294" i="1"/>
  <c r="W295" i="1" s="1"/>
  <c r="X294" i="1"/>
  <c r="X295" i="1" s="1"/>
  <c r="Y294" i="1"/>
  <c r="Y295" i="1" s="1"/>
  <c r="Z294" i="1"/>
  <c r="Z295" i="1" s="1"/>
  <c r="A296" i="1"/>
  <c r="A297" i="1" s="1"/>
  <c r="B296" i="1"/>
  <c r="B297" i="1" s="1"/>
  <c r="C296" i="1"/>
  <c r="C297" i="1" s="1"/>
  <c r="D296" i="1"/>
  <c r="E296" i="1"/>
  <c r="E297" i="1" s="1"/>
  <c r="F296" i="1"/>
  <c r="G296" i="1"/>
  <c r="H296" i="1"/>
  <c r="I296" i="1"/>
  <c r="J296" i="1"/>
  <c r="K296" i="1"/>
  <c r="M296" i="1"/>
  <c r="N296" i="1"/>
  <c r="P296" i="1"/>
  <c r="P297" i="1" s="1"/>
  <c r="Q296" i="1"/>
  <c r="Q297" i="1" s="1"/>
  <c r="R296" i="1"/>
  <c r="R297" i="1" s="1"/>
  <c r="S296" i="1"/>
  <c r="S297" i="1" s="1"/>
  <c r="T296" i="1"/>
  <c r="T297" i="1" s="1"/>
  <c r="V296" i="1"/>
  <c r="V297" i="1" s="1"/>
  <c r="W296" i="1"/>
  <c r="W297" i="1" s="1"/>
  <c r="X296" i="1"/>
  <c r="X297" i="1" s="1"/>
  <c r="Y296" i="1"/>
  <c r="Y297" i="1" s="1"/>
  <c r="Z296" i="1"/>
  <c r="Z297" i="1" s="1"/>
  <c r="D297" i="1"/>
  <c r="A298" i="1"/>
  <c r="A299" i="1" s="1"/>
  <c r="B298" i="1"/>
  <c r="B299" i="1" s="1"/>
  <c r="C298" i="1"/>
  <c r="C299" i="1" s="1"/>
  <c r="D298" i="1"/>
  <c r="D299" i="1" s="1"/>
  <c r="E298" i="1"/>
  <c r="F298" i="1"/>
  <c r="F299" i="1" s="1"/>
  <c r="G298" i="1"/>
  <c r="H298" i="1"/>
  <c r="I298" i="1"/>
  <c r="J298" i="1"/>
  <c r="K298" i="1"/>
  <c r="M298" i="1"/>
  <c r="N298" i="1"/>
  <c r="P298" i="1"/>
  <c r="P299" i="1" s="1"/>
  <c r="Q298" i="1"/>
  <c r="Q299" i="1" s="1"/>
  <c r="R298" i="1"/>
  <c r="R299" i="1" s="1"/>
  <c r="S298" i="1"/>
  <c r="S299" i="1" s="1"/>
  <c r="T298" i="1"/>
  <c r="T299" i="1" s="1"/>
  <c r="V298" i="1"/>
  <c r="V299" i="1" s="1"/>
  <c r="W298" i="1"/>
  <c r="W299" i="1" s="1"/>
  <c r="X298" i="1"/>
  <c r="X299" i="1" s="1"/>
  <c r="Y298" i="1"/>
  <c r="Y299" i="1" s="1"/>
  <c r="Z298" i="1"/>
  <c r="Z299" i="1" s="1"/>
  <c r="A300" i="1"/>
  <c r="A301" i="1" s="1"/>
  <c r="B300" i="1"/>
  <c r="B301" i="1" s="1"/>
  <c r="C300" i="1"/>
  <c r="C301" i="1" s="1"/>
  <c r="D300" i="1"/>
  <c r="D301" i="1" s="1"/>
  <c r="E300" i="1"/>
  <c r="F300" i="1"/>
  <c r="F301" i="1" s="1"/>
  <c r="G300" i="1"/>
  <c r="H300" i="1"/>
  <c r="I300" i="1"/>
  <c r="J300" i="1"/>
  <c r="K300" i="1"/>
  <c r="M300" i="1"/>
  <c r="N300" i="1"/>
  <c r="P300" i="1"/>
  <c r="P301" i="1" s="1"/>
  <c r="Q300" i="1"/>
  <c r="Q301" i="1" s="1"/>
  <c r="R300" i="1"/>
  <c r="R301" i="1" s="1"/>
  <c r="S300" i="1"/>
  <c r="S301" i="1" s="1"/>
  <c r="T300" i="1"/>
  <c r="T301" i="1" s="1"/>
  <c r="V300" i="1"/>
  <c r="V301" i="1" s="1"/>
  <c r="W300" i="1"/>
  <c r="W301" i="1" s="1"/>
  <c r="X300" i="1"/>
  <c r="X301" i="1" s="1"/>
  <c r="Y300" i="1"/>
  <c r="Y301" i="1" s="1"/>
  <c r="Z300" i="1"/>
  <c r="Z301" i="1" s="1"/>
  <c r="A302" i="1"/>
  <c r="A303" i="1" s="1"/>
  <c r="B302" i="1"/>
  <c r="B303" i="1" s="1"/>
  <c r="C302" i="1"/>
  <c r="C303" i="1" s="1"/>
  <c r="D302" i="1"/>
  <c r="E302" i="1"/>
  <c r="E303" i="1" s="1"/>
  <c r="F302" i="1"/>
  <c r="F303" i="1" s="1"/>
  <c r="G302" i="1"/>
  <c r="H302" i="1"/>
  <c r="I302" i="1"/>
  <c r="J302" i="1"/>
  <c r="K302" i="1"/>
  <c r="M302" i="1"/>
  <c r="N302" i="1"/>
  <c r="P302" i="1"/>
  <c r="P303" i="1" s="1"/>
  <c r="Q302" i="1"/>
  <c r="Q303" i="1" s="1"/>
  <c r="R302" i="1"/>
  <c r="R303" i="1" s="1"/>
  <c r="S302" i="1"/>
  <c r="S303" i="1" s="1"/>
  <c r="T302" i="1"/>
  <c r="T303" i="1" s="1"/>
  <c r="V302" i="1"/>
  <c r="V303" i="1" s="1"/>
  <c r="W302" i="1"/>
  <c r="W303" i="1" s="1"/>
  <c r="X302" i="1"/>
  <c r="X303" i="1" s="1"/>
  <c r="Y302" i="1"/>
  <c r="Y303" i="1" s="1"/>
  <c r="Z302" i="1"/>
  <c r="Z303" i="1" s="1"/>
  <c r="D303" i="1"/>
  <c r="A304" i="1"/>
  <c r="A305" i="1" s="1"/>
  <c r="B304" i="1"/>
  <c r="B305" i="1" s="1"/>
  <c r="C304" i="1"/>
  <c r="C305" i="1" s="1"/>
  <c r="D304" i="1"/>
  <c r="D305" i="1" s="1"/>
  <c r="E304" i="1"/>
  <c r="E305" i="1" s="1"/>
  <c r="F304" i="1"/>
  <c r="F305" i="1" s="1"/>
  <c r="G304" i="1"/>
  <c r="H304" i="1"/>
  <c r="I304" i="1"/>
  <c r="J304" i="1"/>
  <c r="K304" i="1"/>
  <c r="M304" i="1"/>
  <c r="N304" i="1"/>
  <c r="P304" i="1"/>
  <c r="P305" i="1" s="1"/>
  <c r="Q304" i="1"/>
  <c r="Q305" i="1" s="1"/>
  <c r="R304" i="1"/>
  <c r="R305" i="1" s="1"/>
  <c r="S304" i="1"/>
  <c r="S305" i="1" s="1"/>
  <c r="T304" i="1"/>
  <c r="T305" i="1" s="1"/>
  <c r="V304" i="1"/>
  <c r="V305" i="1" s="1"/>
  <c r="W304" i="1"/>
  <c r="W305" i="1" s="1"/>
  <c r="X304" i="1"/>
  <c r="X305" i="1" s="1"/>
  <c r="Y304" i="1"/>
  <c r="Y305" i="1" s="1"/>
  <c r="Z304" i="1"/>
  <c r="Z305" i="1" s="1"/>
  <c r="A306" i="1"/>
  <c r="A307" i="1" s="1"/>
  <c r="B306" i="1"/>
  <c r="B307" i="1" s="1"/>
  <c r="C306" i="1"/>
  <c r="C307" i="1" s="1"/>
  <c r="D306" i="1"/>
  <c r="D307" i="1" s="1"/>
  <c r="E306" i="1"/>
  <c r="E307" i="1" s="1"/>
  <c r="F306" i="1"/>
  <c r="F307" i="1" s="1"/>
  <c r="G306" i="1"/>
  <c r="H306" i="1"/>
  <c r="I306" i="1"/>
  <c r="J306" i="1"/>
  <c r="K306" i="1"/>
  <c r="M306" i="1"/>
  <c r="N306" i="1"/>
  <c r="P306" i="1"/>
  <c r="P307" i="1" s="1"/>
  <c r="Q306" i="1"/>
  <c r="Q307" i="1" s="1"/>
  <c r="R306" i="1"/>
  <c r="S306" i="1"/>
  <c r="S307" i="1" s="1"/>
  <c r="T306" i="1"/>
  <c r="T307" i="1" s="1"/>
  <c r="V306" i="1"/>
  <c r="V307" i="1" s="1"/>
  <c r="W306" i="1"/>
  <c r="W307" i="1" s="1"/>
  <c r="X306" i="1"/>
  <c r="X307" i="1" s="1"/>
  <c r="Y306" i="1"/>
  <c r="Y307" i="1" s="1"/>
  <c r="Z306" i="1"/>
  <c r="Z307" i="1" s="1"/>
  <c r="R307" i="1"/>
  <c r="A308" i="1"/>
  <c r="A309" i="1" s="1"/>
  <c r="B308" i="1"/>
  <c r="B309" i="1" s="1"/>
  <c r="C308" i="1"/>
  <c r="C309" i="1" s="1"/>
  <c r="D308" i="1"/>
  <c r="D309" i="1" s="1"/>
  <c r="E308" i="1"/>
  <c r="E309" i="1" s="1"/>
  <c r="F308" i="1"/>
  <c r="F309" i="1" s="1"/>
  <c r="G308" i="1"/>
  <c r="H308" i="1"/>
  <c r="I308" i="1"/>
  <c r="J308" i="1"/>
  <c r="K308" i="1"/>
  <c r="M308" i="1"/>
  <c r="N308" i="1"/>
  <c r="P308" i="1"/>
  <c r="P309" i="1" s="1"/>
  <c r="Q308" i="1"/>
  <c r="Q309" i="1" s="1"/>
  <c r="R308" i="1"/>
  <c r="R309" i="1" s="1"/>
  <c r="S308" i="1"/>
  <c r="S309" i="1" s="1"/>
  <c r="T308" i="1"/>
  <c r="T309" i="1" s="1"/>
  <c r="V308" i="1"/>
  <c r="V309" i="1" s="1"/>
  <c r="W308" i="1"/>
  <c r="W309" i="1" s="1"/>
  <c r="X308" i="1"/>
  <c r="X309" i="1" s="1"/>
  <c r="Y308" i="1"/>
  <c r="Y309" i="1" s="1"/>
  <c r="Z308" i="1"/>
  <c r="Z309" i="1" s="1"/>
  <c r="A310" i="1"/>
  <c r="A311" i="1" s="1"/>
  <c r="B310" i="1"/>
  <c r="B311" i="1" s="1"/>
  <c r="C310" i="1"/>
  <c r="C311" i="1" s="1"/>
  <c r="D310" i="1"/>
  <c r="D311" i="1" s="1"/>
  <c r="E310" i="1"/>
  <c r="E311" i="1" s="1"/>
  <c r="F310" i="1"/>
  <c r="G310" i="1"/>
  <c r="H310" i="1"/>
  <c r="I310" i="1"/>
  <c r="J310" i="1"/>
  <c r="K310" i="1"/>
  <c r="M310" i="1"/>
  <c r="N310" i="1"/>
  <c r="P310" i="1"/>
  <c r="P311" i="1" s="1"/>
  <c r="Q310" i="1"/>
  <c r="Q311" i="1" s="1"/>
  <c r="R310" i="1"/>
  <c r="R311" i="1" s="1"/>
  <c r="S310" i="1"/>
  <c r="S311" i="1" s="1"/>
  <c r="T310" i="1"/>
  <c r="T311" i="1" s="1"/>
  <c r="V310" i="1"/>
  <c r="V311" i="1" s="1"/>
  <c r="W310" i="1"/>
  <c r="W311" i="1" s="1"/>
  <c r="X310" i="1"/>
  <c r="X311" i="1" s="1"/>
  <c r="Y310" i="1"/>
  <c r="Y311" i="1" s="1"/>
  <c r="Z310" i="1"/>
  <c r="Z311" i="1" s="1"/>
  <c r="A312" i="1"/>
  <c r="A313" i="1" s="1"/>
  <c r="B312" i="1"/>
  <c r="B313" i="1" s="1"/>
  <c r="C312" i="1"/>
  <c r="C313" i="1" s="1"/>
  <c r="D312" i="1"/>
  <c r="D313" i="1" s="1"/>
  <c r="E312" i="1"/>
  <c r="E313" i="1" s="1"/>
  <c r="F312" i="1"/>
  <c r="F313" i="1" s="1"/>
  <c r="G312" i="1"/>
  <c r="H312" i="1"/>
  <c r="I312" i="1"/>
  <c r="J312" i="1"/>
  <c r="K312" i="1"/>
  <c r="M312" i="1"/>
  <c r="N312" i="1"/>
  <c r="P312" i="1"/>
  <c r="P313" i="1" s="1"/>
  <c r="Q312" i="1"/>
  <c r="Q313" i="1" s="1"/>
  <c r="R312" i="1"/>
  <c r="R313" i="1" s="1"/>
  <c r="S312" i="1"/>
  <c r="S313" i="1" s="1"/>
  <c r="T312" i="1"/>
  <c r="T313" i="1" s="1"/>
  <c r="V312" i="1"/>
  <c r="V313" i="1" s="1"/>
  <c r="W312" i="1"/>
  <c r="W313" i="1" s="1"/>
  <c r="X312" i="1"/>
  <c r="X313" i="1" s="1"/>
  <c r="Y312" i="1"/>
  <c r="Y313" i="1" s="1"/>
  <c r="Z312" i="1"/>
  <c r="Z313" i="1" s="1"/>
  <c r="A314" i="1"/>
  <c r="A315" i="1" s="1"/>
  <c r="B314" i="1"/>
  <c r="B315" i="1" s="1"/>
  <c r="C314" i="1"/>
  <c r="C315" i="1" s="1"/>
  <c r="D314" i="1"/>
  <c r="D315" i="1" s="1"/>
  <c r="E314" i="1"/>
  <c r="E315" i="1" s="1"/>
  <c r="F314" i="1"/>
  <c r="F315" i="1" s="1"/>
  <c r="G314" i="1"/>
  <c r="H314" i="1"/>
  <c r="I314" i="1"/>
  <c r="J314" i="1"/>
  <c r="K314" i="1"/>
  <c r="M314" i="1"/>
  <c r="N314" i="1"/>
  <c r="P314" i="1"/>
  <c r="P315" i="1" s="1"/>
  <c r="Q314" i="1"/>
  <c r="Q315" i="1" s="1"/>
  <c r="R314" i="1"/>
  <c r="R315" i="1" s="1"/>
  <c r="S314" i="1"/>
  <c r="S315" i="1" s="1"/>
  <c r="T314" i="1"/>
  <c r="T315" i="1" s="1"/>
  <c r="V314" i="1"/>
  <c r="V315" i="1" s="1"/>
  <c r="W314" i="1"/>
  <c r="W315" i="1" s="1"/>
  <c r="X314" i="1"/>
  <c r="X315" i="1" s="1"/>
  <c r="Y314" i="1"/>
  <c r="Y315" i="1" s="1"/>
  <c r="Z314" i="1"/>
  <c r="Z315" i="1" s="1"/>
  <c r="A316" i="1"/>
  <c r="A317" i="1" s="1"/>
  <c r="B316" i="1"/>
  <c r="B317" i="1" s="1"/>
  <c r="C316" i="1"/>
  <c r="C317" i="1" s="1"/>
  <c r="D316" i="1"/>
  <c r="D317" i="1" s="1"/>
  <c r="E316" i="1"/>
  <c r="E317" i="1" s="1"/>
  <c r="F316" i="1"/>
  <c r="F317" i="1" s="1"/>
  <c r="G316" i="1"/>
  <c r="H316" i="1"/>
  <c r="I316" i="1"/>
  <c r="J316" i="1"/>
  <c r="K316" i="1"/>
  <c r="M316" i="1"/>
  <c r="N316" i="1"/>
  <c r="P316" i="1"/>
  <c r="P317" i="1" s="1"/>
  <c r="Q316" i="1"/>
  <c r="Q317" i="1" s="1"/>
  <c r="R316" i="1"/>
  <c r="R317" i="1" s="1"/>
  <c r="S316" i="1"/>
  <c r="S317" i="1" s="1"/>
  <c r="T316" i="1"/>
  <c r="T317" i="1" s="1"/>
  <c r="V316" i="1"/>
  <c r="V317" i="1" s="1"/>
  <c r="W316" i="1"/>
  <c r="W317" i="1" s="1"/>
  <c r="X316" i="1"/>
  <c r="X317" i="1" s="1"/>
  <c r="Y316" i="1"/>
  <c r="Y317" i="1" s="1"/>
  <c r="Z316" i="1"/>
  <c r="Z317" i="1" s="1"/>
  <c r="A318" i="1"/>
  <c r="A319" i="1" s="1"/>
  <c r="B318" i="1"/>
  <c r="B319" i="1" s="1"/>
  <c r="C318" i="1"/>
  <c r="C319" i="1" s="1"/>
  <c r="D318" i="1"/>
  <c r="D319" i="1" s="1"/>
  <c r="E318" i="1"/>
  <c r="E319" i="1" s="1"/>
  <c r="F318" i="1"/>
  <c r="F319" i="1" s="1"/>
  <c r="G318" i="1"/>
  <c r="H318" i="1"/>
  <c r="I318" i="1"/>
  <c r="J318" i="1"/>
  <c r="K318" i="1"/>
  <c r="M318" i="1"/>
  <c r="N318" i="1"/>
  <c r="P318" i="1"/>
  <c r="P319" i="1" s="1"/>
  <c r="Q318" i="1"/>
  <c r="Q319" i="1" s="1"/>
  <c r="R318" i="1"/>
  <c r="S318" i="1"/>
  <c r="S319" i="1" s="1"/>
  <c r="T318" i="1"/>
  <c r="T319" i="1" s="1"/>
  <c r="V318" i="1"/>
  <c r="V319" i="1" s="1"/>
  <c r="W318" i="1"/>
  <c r="W319" i="1" s="1"/>
  <c r="X318" i="1"/>
  <c r="X319" i="1" s="1"/>
  <c r="Y318" i="1"/>
  <c r="Y319" i="1" s="1"/>
  <c r="Z318" i="1"/>
  <c r="Z319" i="1" s="1"/>
  <c r="R319" i="1"/>
  <c r="A320" i="1"/>
  <c r="A321" i="1" s="1"/>
  <c r="B320" i="1"/>
  <c r="B321" i="1" s="1"/>
  <c r="C320" i="1"/>
  <c r="C321" i="1" s="1"/>
  <c r="D320" i="1"/>
  <c r="D321" i="1" s="1"/>
  <c r="E320" i="1"/>
  <c r="F320" i="1"/>
  <c r="F321" i="1" s="1"/>
  <c r="G320" i="1"/>
  <c r="H320" i="1"/>
  <c r="I320" i="1"/>
  <c r="J320" i="1"/>
  <c r="K320" i="1"/>
  <c r="M320" i="1"/>
  <c r="N320" i="1"/>
  <c r="P320" i="1"/>
  <c r="P321" i="1" s="1"/>
  <c r="Q320" i="1"/>
  <c r="Q321" i="1" s="1"/>
  <c r="R320" i="1"/>
  <c r="R321" i="1" s="1"/>
  <c r="S320" i="1"/>
  <c r="S321" i="1" s="1"/>
  <c r="T320" i="1"/>
  <c r="T321" i="1" s="1"/>
  <c r="V320" i="1"/>
  <c r="V321" i="1" s="1"/>
  <c r="W320" i="1"/>
  <c r="W321" i="1" s="1"/>
  <c r="X320" i="1"/>
  <c r="X321" i="1" s="1"/>
  <c r="Y320" i="1"/>
  <c r="Y321" i="1" s="1"/>
  <c r="Z320" i="1"/>
  <c r="Z321" i="1" s="1"/>
  <c r="A322" i="1"/>
  <c r="A323" i="1" s="1"/>
  <c r="B322" i="1"/>
  <c r="B323" i="1" s="1"/>
  <c r="C322" i="1"/>
  <c r="C323" i="1" s="1"/>
  <c r="D322" i="1"/>
  <c r="E322" i="1"/>
  <c r="E323" i="1" s="1"/>
  <c r="F322" i="1"/>
  <c r="G322" i="1"/>
  <c r="H322" i="1"/>
  <c r="I322" i="1"/>
  <c r="J322" i="1"/>
  <c r="K322" i="1"/>
  <c r="M322" i="1"/>
  <c r="N322" i="1"/>
  <c r="P322" i="1"/>
  <c r="P323" i="1" s="1"/>
  <c r="Q322" i="1"/>
  <c r="Q323" i="1" s="1"/>
  <c r="R322" i="1"/>
  <c r="R323" i="1" s="1"/>
  <c r="S322" i="1"/>
  <c r="T322" i="1"/>
  <c r="T323" i="1" s="1"/>
  <c r="V322" i="1"/>
  <c r="V323" i="1" s="1"/>
  <c r="W322" i="1"/>
  <c r="W323" i="1" s="1"/>
  <c r="X322" i="1"/>
  <c r="X323" i="1" s="1"/>
  <c r="Y322" i="1"/>
  <c r="Y323" i="1" s="1"/>
  <c r="Z322" i="1"/>
  <c r="Z323" i="1" s="1"/>
  <c r="D323" i="1"/>
  <c r="S323" i="1"/>
  <c r="A324" i="1"/>
  <c r="A325" i="1" s="1"/>
  <c r="B324" i="1"/>
  <c r="B325" i="1" s="1"/>
  <c r="C324" i="1"/>
  <c r="C325" i="1" s="1"/>
  <c r="D324" i="1"/>
  <c r="D325" i="1" s="1"/>
  <c r="E324" i="1"/>
  <c r="E325" i="1" s="1"/>
  <c r="F324" i="1"/>
  <c r="F325" i="1" s="1"/>
  <c r="G324" i="1"/>
  <c r="H324" i="1"/>
  <c r="I324" i="1"/>
  <c r="J324" i="1"/>
  <c r="K324" i="1"/>
  <c r="M324" i="1"/>
  <c r="N324" i="1"/>
  <c r="P324" i="1"/>
  <c r="P325" i="1" s="1"/>
  <c r="Q324" i="1"/>
  <c r="Q325" i="1" s="1"/>
  <c r="R324" i="1"/>
  <c r="R325" i="1" s="1"/>
  <c r="S324" i="1"/>
  <c r="S325" i="1" s="1"/>
  <c r="T324" i="1"/>
  <c r="T325" i="1" s="1"/>
  <c r="V324" i="1"/>
  <c r="V325" i="1" s="1"/>
  <c r="W324" i="1"/>
  <c r="W325" i="1" s="1"/>
  <c r="X324" i="1"/>
  <c r="X325" i="1" s="1"/>
  <c r="Y324" i="1"/>
  <c r="Y325" i="1" s="1"/>
  <c r="Z324" i="1"/>
  <c r="Z325" i="1" s="1"/>
  <c r="A326" i="1"/>
  <c r="A327" i="1" s="1"/>
  <c r="B326" i="1"/>
  <c r="B327" i="1" s="1"/>
  <c r="C326" i="1"/>
  <c r="C327" i="1" s="1"/>
  <c r="D326" i="1"/>
  <c r="D327" i="1" s="1"/>
  <c r="E326" i="1"/>
  <c r="E327" i="1" s="1"/>
  <c r="F326" i="1"/>
  <c r="F327" i="1" s="1"/>
  <c r="G326" i="1"/>
  <c r="H326" i="1"/>
  <c r="I326" i="1"/>
  <c r="J326" i="1"/>
  <c r="K326" i="1"/>
  <c r="M326" i="1"/>
  <c r="N326" i="1"/>
  <c r="P326" i="1"/>
  <c r="P327" i="1" s="1"/>
  <c r="Q326" i="1"/>
  <c r="Q327" i="1" s="1"/>
  <c r="R326" i="1"/>
  <c r="S326" i="1"/>
  <c r="S327" i="1" s="1"/>
  <c r="T326" i="1"/>
  <c r="T327" i="1" s="1"/>
  <c r="V326" i="1"/>
  <c r="V327" i="1" s="1"/>
  <c r="W326" i="1"/>
  <c r="W327" i="1" s="1"/>
  <c r="X326" i="1"/>
  <c r="X327" i="1" s="1"/>
  <c r="Y326" i="1"/>
  <c r="Y327" i="1" s="1"/>
  <c r="Z326" i="1"/>
  <c r="Z327" i="1" s="1"/>
  <c r="R327" i="1"/>
  <c r="A328" i="1"/>
  <c r="A329" i="1" s="1"/>
  <c r="B328" i="1"/>
  <c r="B329" i="1" s="1"/>
  <c r="C328" i="1"/>
  <c r="C329" i="1" s="1"/>
  <c r="D328" i="1"/>
  <c r="D329" i="1" s="1"/>
  <c r="E328" i="1"/>
  <c r="E329" i="1" s="1"/>
  <c r="F328" i="1"/>
  <c r="G328" i="1"/>
  <c r="H328" i="1"/>
  <c r="I328" i="1"/>
  <c r="J328" i="1"/>
  <c r="K328" i="1"/>
  <c r="M328" i="1"/>
  <c r="N328" i="1"/>
  <c r="P328" i="1"/>
  <c r="P329" i="1" s="1"/>
  <c r="Q328" i="1"/>
  <c r="Q329" i="1" s="1"/>
  <c r="R328" i="1"/>
  <c r="R329" i="1" s="1"/>
  <c r="S328" i="1"/>
  <c r="S329" i="1" s="1"/>
  <c r="T328" i="1"/>
  <c r="T329" i="1" s="1"/>
  <c r="V328" i="1"/>
  <c r="V329" i="1" s="1"/>
  <c r="W328" i="1"/>
  <c r="W329" i="1" s="1"/>
  <c r="X328" i="1"/>
  <c r="X329" i="1" s="1"/>
  <c r="Y328" i="1"/>
  <c r="Y329" i="1" s="1"/>
  <c r="Z328" i="1"/>
  <c r="Z329" i="1" s="1"/>
  <c r="A330" i="1"/>
  <c r="A331" i="1" s="1"/>
  <c r="B330" i="1"/>
  <c r="B331" i="1" s="1"/>
  <c r="C330" i="1"/>
  <c r="C331" i="1" s="1"/>
  <c r="D330" i="1"/>
  <c r="D331" i="1" s="1"/>
  <c r="E330" i="1"/>
  <c r="E331" i="1" s="1"/>
  <c r="F330" i="1"/>
  <c r="F331" i="1" s="1"/>
  <c r="G330" i="1"/>
  <c r="H330" i="1"/>
  <c r="I330" i="1"/>
  <c r="J330" i="1"/>
  <c r="K330" i="1"/>
  <c r="M330" i="1"/>
  <c r="N330" i="1"/>
  <c r="P330" i="1"/>
  <c r="P331" i="1" s="1"/>
  <c r="Q330" i="1"/>
  <c r="Q331" i="1" s="1"/>
  <c r="R330" i="1"/>
  <c r="R331" i="1" s="1"/>
  <c r="S330" i="1"/>
  <c r="S331" i="1" s="1"/>
  <c r="T330" i="1"/>
  <c r="T331" i="1" s="1"/>
  <c r="V330" i="1"/>
  <c r="V331" i="1" s="1"/>
  <c r="W330" i="1"/>
  <c r="W331" i="1" s="1"/>
  <c r="X330" i="1"/>
  <c r="X331" i="1" s="1"/>
  <c r="Y330" i="1"/>
  <c r="Y331" i="1" s="1"/>
  <c r="Z330" i="1"/>
  <c r="Z331" i="1" s="1"/>
  <c r="A332" i="1"/>
  <c r="A333" i="1" s="1"/>
  <c r="B332" i="1"/>
  <c r="B333" i="1" s="1"/>
  <c r="C332" i="1"/>
  <c r="C333" i="1" s="1"/>
  <c r="D332" i="1"/>
  <c r="D333" i="1" s="1"/>
  <c r="E332" i="1"/>
  <c r="F332" i="1"/>
  <c r="F333" i="1" s="1"/>
  <c r="G332" i="1"/>
  <c r="H332" i="1"/>
  <c r="I332" i="1"/>
  <c r="J332" i="1"/>
  <c r="K332" i="1"/>
  <c r="M332" i="1"/>
  <c r="N332" i="1"/>
  <c r="P332" i="1"/>
  <c r="P333" i="1" s="1"/>
  <c r="Q332" i="1"/>
  <c r="Q333" i="1" s="1"/>
  <c r="R332" i="1"/>
  <c r="R333" i="1" s="1"/>
  <c r="S332" i="1"/>
  <c r="S333" i="1" s="1"/>
  <c r="T332" i="1"/>
  <c r="T333" i="1" s="1"/>
  <c r="V332" i="1"/>
  <c r="V333" i="1" s="1"/>
  <c r="W332" i="1"/>
  <c r="W333" i="1" s="1"/>
  <c r="X332" i="1"/>
  <c r="X333" i="1" s="1"/>
  <c r="Y332" i="1"/>
  <c r="Y333" i="1" s="1"/>
  <c r="Z332" i="1"/>
  <c r="Z333" i="1" s="1"/>
  <c r="A334" i="1"/>
  <c r="A335" i="1" s="1"/>
  <c r="B334" i="1"/>
  <c r="B335" i="1" s="1"/>
  <c r="C334" i="1"/>
  <c r="C335" i="1" s="1"/>
  <c r="D334" i="1"/>
  <c r="D335" i="1" s="1"/>
  <c r="E334" i="1"/>
  <c r="F334" i="1"/>
  <c r="F335" i="1" s="1"/>
  <c r="G334" i="1"/>
  <c r="H334" i="1"/>
  <c r="I334" i="1"/>
  <c r="J334" i="1"/>
  <c r="K334" i="1"/>
  <c r="M334" i="1"/>
  <c r="N334" i="1"/>
  <c r="P334" i="1"/>
  <c r="P335" i="1" s="1"/>
  <c r="Q334" i="1"/>
  <c r="Q335" i="1" s="1"/>
  <c r="R334" i="1"/>
  <c r="R335" i="1" s="1"/>
  <c r="S334" i="1"/>
  <c r="S335" i="1" s="1"/>
  <c r="T334" i="1"/>
  <c r="T335" i="1" s="1"/>
  <c r="V334" i="1"/>
  <c r="V335" i="1" s="1"/>
  <c r="W334" i="1"/>
  <c r="W335" i="1" s="1"/>
  <c r="X334" i="1"/>
  <c r="X335" i="1" s="1"/>
  <c r="Y334" i="1"/>
  <c r="Y335" i="1" s="1"/>
  <c r="Z334" i="1"/>
  <c r="Z335" i="1" s="1"/>
  <c r="A336" i="1"/>
  <c r="A337" i="1" s="1"/>
  <c r="B336" i="1"/>
  <c r="B337" i="1" s="1"/>
  <c r="C336" i="1"/>
  <c r="C337" i="1" s="1"/>
  <c r="D336" i="1"/>
  <c r="E336" i="1"/>
  <c r="E337" i="1" s="1"/>
  <c r="F336" i="1"/>
  <c r="F337" i="1" s="1"/>
  <c r="G336" i="1"/>
  <c r="H336" i="1"/>
  <c r="I336" i="1"/>
  <c r="J336" i="1"/>
  <c r="K336" i="1"/>
  <c r="M336" i="1"/>
  <c r="N336" i="1"/>
  <c r="P336" i="1"/>
  <c r="P337" i="1" s="1"/>
  <c r="Q336" i="1"/>
  <c r="Q337" i="1" s="1"/>
  <c r="R336" i="1"/>
  <c r="R337" i="1" s="1"/>
  <c r="S336" i="1"/>
  <c r="S337" i="1" s="1"/>
  <c r="T336" i="1"/>
  <c r="T337" i="1" s="1"/>
  <c r="V336" i="1"/>
  <c r="V337" i="1" s="1"/>
  <c r="W336" i="1"/>
  <c r="W337" i="1" s="1"/>
  <c r="X336" i="1"/>
  <c r="X337" i="1" s="1"/>
  <c r="Y336" i="1"/>
  <c r="Y337" i="1" s="1"/>
  <c r="Z336" i="1"/>
  <c r="Z337" i="1" s="1"/>
  <c r="A338" i="1"/>
  <c r="A339" i="1" s="1"/>
  <c r="B338" i="1"/>
  <c r="B339" i="1" s="1"/>
  <c r="C338" i="1"/>
  <c r="C339" i="1" s="1"/>
  <c r="D338" i="1"/>
  <c r="D339" i="1" s="1"/>
  <c r="E338" i="1"/>
  <c r="E339" i="1" s="1"/>
  <c r="F338" i="1"/>
  <c r="F339" i="1" s="1"/>
  <c r="G338" i="1"/>
  <c r="H338" i="1"/>
  <c r="I338" i="1"/>
  <c r="J338" i="1"/>
  <c r="K338" i="1"/>
  <c r="M338" i="1"/>
  <c r="N338" i="1"/>
  <c r="P338" i="1"/>
  <c r="P339" i="1" s="1"/>
  <c r="Q338" i="1"/>
  <c r="Q339" i="1" s="1"/>
  <c r="R338" i="1"/>
  <c r="R339" i="1" s="1"/>
  <c r="S338" i="1"/>
  <c r="S339" i="1" s="1"/>
  <c r="T338" i="1"/>
  <c r="T339" i="1" s="1"/>
  <c r="V338" i="1"/>
  <c r="V339" i="1" s="1"/>
  <c r="W338" i="1"/>
  <c r="W339" i="1" s="1"/>
  <c r="X338" i="1"/>
  <c r="X339" i="1" s="1"/>
  <c r="Y338" i="1"/>
  <c r="Y339" i="1" s="1"/>
  <c r="Z338" i="1"/>
  <c r="Z339" i="1" s="1"/>
  <c r="A340" i="1"/>
  <c r="A341" i="1" s="1"/>
  <c r="B340" i="1"/>
  <c r="B341" i="1" s="1"/>
  <c r="C340" i="1"/>
  <c r="C341" i="1" s="1"/>
  <c r="D340" i="1"/>
  <c r="D341" i="1" s="1"/>
  <c r="E340" i="1"/>
  <c r="E341" i="1" s="1"/>
  <c r="F340" i="1"/>
  <c r="F341" i="1" s="1"/>
  <c r="G340" i="1"/>
  <c r="H340" i="1"/>
  <c r="I340" i="1"/>
  <c r="J340" i="1"/>
  <c r="K340" i="1"/>
  <c r="M340" i="1"/>
  <c r="N340" i="1"/>
  <c r="P340" i="1"/>
  <c r="P341" i="1" s="1"/>
  <c r="Q340" i="1"/>
  <c r="Q341" i="1" s="1"/>
  <c r="R340" i="1"/>
  <c r="R341" i="1" s="1"/>
  <c r="S340" i="1"/>
  <c r="S341" i="1" s="1"/>
  <c r="T340" i="1"/>
  <c r="T341" i="1" s="1"/>
  <c r="V340" i="1"/>
  <c r="V341" i="1" s="1"/>
  <c r="W340" i="1"/>
  <c r="W341" i="1" s="1"/>
  <c r="X340" i="1"/>
  <c r="X341" i="1" s="1"/>
  <c r="Y340" i="1"/>
  <c r="Y341" i="1" s="1"/>
  <c r="Z340" i="1"/>
  <c r="Z341" i="1" s="1"/>
  <c r="A342" i="1"/>
  <c r="A343" i="1" s="1"/>
  <c r="B342" i="1"/>
  <c r="B343" i="1" s="1"/>
  <c r="C342" i="1"/>
  <c r="C343" i="1" s="1"/>
  <c r="D342" i="1"/>
  <c r="D343" i="1" s="1"/>
  <c r="E342" i="1"/>
  <c r="E343" i="1" s="1"/>
  <c r="F342" i="1"/>
  <c r="F343" i="1" s="1"/>
  <c r="G342" i="1"/>
  <c r="H342" i="1"/>
  <c r="I342" i="1"/>
  <c r="J342" i="1"/>
  <c r="K342" i="1"/>
  <c r="M342" i="1"/>
  <c r="N342" i="1"/>
  <c r="P342" i="1"/>
  <c r="P343" i="1" s="1"/>
  <c r="Q342" i="1"/>
  <c r="Q343" i="1" s="1"/>
  <c r="R342" i="1"/>
  <c r="R343" i="1" s="1"/>
  <c r="S342" i="1"/>
  <c r="S343" i="1" s="1"/>
  <c r="T342" i="1"/>
  <c r="T343" i="1" s="1"/>
  <c r="V342" i="1"/>
  <c r="V343" i="1" s="1"/>
  <c r="W342" i="1"/>
  <c r="W343" i="1" s="1"/>
  <c r="X342" i="1"/>
  <c r="X343" i="1" s="1"/>
  <c r="Y342" i="1"/>
  <c r="Y343" i="1" s="1"/>
  <c r="Z342" i="1"/>
  <c r="Z343" i="1" s="1"/>
  <c r="A344" i="1"/>
  <c r="A345" i="1" s="1"/>
  <c r="B344" i="1"/>
  <c r="B345" i="1" s="1"/>
  <c r="C344" i="1"/>
  <c r="C345" i="1" s="1"/>
  <c r="D344" i="1"/>
  <c r="D345" i="1" s="1"/>
  <c r="E344" i="1"/>
  <c r="E345" i="1" s="1"/>
  <c r="F344" i="1"/>
  <c r="F345" i="1" s="1"/>
  <c r="G344" i="1"/>
  <c r="H344" i="1"/>
  <c r="I344" i="1"/>
  <c r="J344" i="1"/>
  <c r="K344" i="1"/>
  <c r="M344" i="1"/>
  <c r="N344" i="1"/>
  <c r="P344" i="1"/>
  <c r="P345" i="1" s="1"/>
  <c r="Q344" i="1"/>
  <c r="Q345" i="1" s="1"/>
  <c r="R344" i="1"/>
  <c r="S344" i="1"/>
  <c r="S345" i="1" s="1"/>
  <c r="T344" i="1"/>
  <c r="T345" i="1" s="1"/>
  <c r="V344" i="1"/>
  <c r="V345" i="1" s="1"/>
  <c r="W344" i="1"/>
  <c r="W345" i="1" s="1"/>
  <c r="X344" i="1"/>
  <c r="X345" i="1" s="1"/>
  <c r="Y344" i="1"/>
  <c r="Y345" i="1" s="1"/>
  <c r="Z344" i="1"/>
  <c r="Z345" i="1" s="1"/>
  <c r="R345" i="1"/>
  <c r="A346" i="1"/>
  <c r="A347" i="1" s="1"/>
  <c r="B346" i="1"/>
  <c r="B347" i="1" s="1"/>
  <c r="C346" i="1"/>
  <c r="C347" i="1" s="1"/>
  <c r="D346" i="1"/>
  <c r="D347" i="1" s="1"/>
  <c r="E346" i="1"/>
  <c r="E347" i="1" s="1"/>
  <c r="F346" i="1"/>
  <c r="F347" i="1" s="1"/>
  <c r="G346" i="1"/>
  <c r="H346" i="1"/>
  <c r="I346" i="1"/>
  <c r="J346" i="1"/>
  <c r="K346" i="1"/>
  <c r="M346" i="1"/>
  <c r="N346" i="1"/>
  <c r="P346" i="1"/>
  <c r="P347" i="1" s="1"/>
  <c r="Q346" i="1"/>
  <c r="Q347" i="1" s="1"/>
  <c r="R346" i="1"/>
  <c r="R347" i="1" s="1"/>
  <c r="S346" i="1"/>
  <c r="S347" i="1" s="1"/>
  <c r="T346" i="1"/>
  <c r="T347" i="1" s="1"/>
  <c r="V346" i="1"/>
  <c r="V347" i="1" s="1"/>
  <c r="W346" i="1"/>
  <c r="W347" i="1" s="1"/>
  <c r="X346" i="1"/>
  <c r="X347" i="1" s="1"/>
  <c r="Y346" i="1"/>
  <c r="Y347" i="1" s="1"/>
  <c r="Z346" i="1"/>
  <c r="Z347" i="1" s="1"/>
  <c r="A348" i="1"/>
  <c r="A349" i="1" s="1"/>
  <c r="B348" i="1"/>
  <c r="B349" i="1" s="1"/>
  <c r="C348" i="1"/>
  <c r="C349" i="1" s="1"/>
  <c r="D348" i="1"/>
  <c r="E348" i="1"/>
  <c r="E349" i="1" s="1"/>
  <c r="F348" i="1"/>
  <c r="F349" i="1" s="1"/>
  <c r="G348" i="1"/>
  <c r="H348" i="1"/>
  <c r="I348" i="1"/>
  <c r="J348" i="1"/>
  <c r="K348" i="1"/>
  <c r="M348" i="1"/>
  <c r="N348" i="1"/>
  <c r="P348" i="1"/>
  <c r="P349" i="1" s="1"/>
  <c r="Q348" i="1"/>
  <c r="Q349" i="1" s="1"/>
  <c r="R348" i="1"/>
  <c r="R349" i="1" s="1"/>
  <c r="S348" i="1"/>
  <c r="S349" i="1" s="1"/>
  <c r="T348" i="1"/>
  <c r="T349" i="1" s="1"/>
  <c r="V348" i="1"/>
  <c r="V349" i="1" s="1"/>
  <c r="W348" i="1"/>
  <c r="W349" i="1" s="1"/>
  <c r="X348" i="1"/>
  <c r="X349" i="1" s="1"/>
  <c r="Y348" i="1"/>
  <c r="Y349" i="1" s="1"/>
  <c r="Z348" i="1"/>
  <c r="Z349" i="1" s="1"/>
  <c r="D349" i="1"/>
  <c r="A350" i="1"/>
  <c r="A351" i="1" s="1"/>
  <c r="B350" i="1"/>
  <c r="B351" i="1" s="1"/>
  <c r="C350" i="1"/>
  <c r="C351" i="1" s="1"/>
  <c r="D350" i="1"/>
  <c r="D351" i="1" s="1"/>
  <c r="E350" i="1"/>
  <c r="E351" i="1" s="1"/>
  <c r="F350" i="1"/>
  <c r="F351" i="1" s="1"/>
  <c r="G350" i="1"/>
  <c r="H350" i="1"/>
  <c r="I350" i="1"/>
  <c r="J350" i="1"/>
  <c r="K350" i="1"/>
  <c r="M350" i="1"/>
  <c r="N350" i="1"/>
  <c r="P350" i="1"/>
  <c r="P351" i="1" s="1"/>
  <c r="Q350" i="1"/>
  <c r="Q351" i="1" s="1"/>
  <c r="R350" i="1"/>
  <c r="R351" i="1" s="1"/>
  <c r="S350" i="1"/>
  <c r="S351" i="1" s="1"/>
  <c r="T350" i="1"/>
  <c r="T351" i="1" s="1"/>
  <c r="V350" i="1"/>
  <c r="V351" i="1" s="1"/>
  <c r="W350" i="1"/>
  <c r="W351" i="1" s="1"/>
  <c r="X350" i="1"/>
  <c r="X351" i="1" s="1"/>
  <c r="Y350" i="1"/>
  <c r="Y351" i="1" s="1"/>
  <c r="Z350" i="1"/>
  <c r="Z351" i="1" s="1"/>
  <c r="A352" i="1"/>
  <c r="A353" i="1" s="1"/>
  <c r="B352" i="1"/>
  <c r="B353" i="1" s="1"/>
  <c r="C352" i="1"/>
  <c r="C353" i="1" s="1"/>
  <c r="D352" i="1"/>
  <c r="E352" i="1"/>
  <c r="E353" i="1" s="1"/>
  <c r="F352" i="1"/>
  <c r="F353" i="1" s="1"/>
  <c r="G352" i="1"/>
  <c r="H352" i="1"/>
  <c r="I352" i="1"/>
  <c r="J352" i="1"/>
  <c r="K352" i="1"/>
  <c r="M352" i="1"/>
  <c r="N352" i="1"/>
  <c r="P352" i="1"/>
  <c r="P353" i="1" s="1"/>
  <c r="Q352" i="1"/>
  <c r="Q353" i="1" s="1"/>
  <c r="R352" i="1"/>
  <c r="R353" i="1" s="1"/>
  <c r="S352" i="1"/>
  <c r="S353" i="1" s="1"/>
  <c r="T352" i="1"/>
  <c r="T353" i="1" s="1"/>
  <c r="V352" i="1"/>
  <c r="V353" i="1" s="1"/>
  <c r="W352" i="1"/>
  <c r="W353" i="1" s="1"/>
  <c r="X352" i="1"/>
  <c r="X353" i="1" s="1"/>
  <c r="Y352" i="1"/>
  <c r="Y353" i="1" s="1"/>
  <c r="Z352" i="1"/>
  <c r="Z353" i="1" s="1"/>
  <c r="D353" i="1"/>
  <c r="A354" i="1"/>
  <c r="A355" i="1" s="1"/>
  <c r="B354" i="1"/>
  <c r="B355" i="1" s="1"/>
  <c r="C354" i="1"/>
  <c r="C355" i="1" s="1"/>
  <c r="D354" i="1"/>
  <c r="D355" i="1" s="1"/>
  <c r="E354" i="1"/>
  <c r="E355" i="1" s="1"/>
  <c r="F354" i="1"/>
  <c r="F355" i="1" s="1"/>
  <c r="G354" i="1"/>
  <c r="H354" i="1"/>
  <c r="I354" i="1"/>
  <c r="J354" i="1"/>
  <c r="K354" i="1"/>
  <c r="M354" i="1"/>
  <c r="N354" i="1"/>
  <c r="P354" i="1"/>
  <c r="P355" i="1" s="1"/>
  <c r="Q354" i="1"/>
  <c r="Q355" i="1" s="1"/>
  <c r="R354" i="1"/>
  <c r="R355" i="1" s="1"/>
  <c r="S354" i="1"/>
  <c r="S355" i="1" s="1"/>
  <c r="T354" i="1"/>
  <c r="T355" i="1" s="1"/>
  <c r="V354" i="1"/>
  <c r="V355" i="1" s="1"/>
  <c r="W354" i="1"/>
  <c r="W355" i="1" s="1"/>
  <c r="X354" i="1"/>
  <c r="X355" i="1" s="1"/>
  <c r="Y354" i="1"/>
  <c r="Y355" i="1" s="1"/>
  <c r="Z354" i="1"/>
  <c r="Z355" i="1" s="1"/>
  <c r="A356" i="1"/>
  <c r="A357" i="1" s="1"/>
  <c r="B356" i="1"/>
  <c r="B357" i="1" s="1"/>
  <c r="C356" i="1"/>
  <c r="C357" i="1" s="1"/>
  <c r="D356" i="1"/>
  <c r="E356" i="1"/>
  <c r="E357" i="1" s="1"/>
  <c r="F356" i="1"/>
  <c r="F357" i="1" s="1"/>
  <c r="G356" i="1"/>
  <c r="H356" i="1"/>
  <c r="I356" i="1"/>
  <c r="J356" i="1"/>
  <c r="K356" i="1"/>
  <c r="M356" i="1"/>
  <c r="N356" i="1"/>
  <c r="P356" i="1"/>
  <c r="P357" i="1" s="1"/>
  <c r="Q356" i="1"/>
  <c r="Q357" i="1" s="1"/>
  <c r="R356" i="1"/>
  <c r="R357" i="1" s="1"/>
  <c r="S356" i="1"/>
  <c r="S357" i="1" s="1"/>
  <c r="T356" i="1"/>
  <c r="T357" i="1" s="1"/>
  <c r="V356" i="1"/>
  <c r="V357" i="1" s="1"/>
  <c r="W356" i="1"/>
  <c r="W357" i="1" s="1"/>
  <c r="X356" i="1"/>
  <c r="X357" i="1" s="1"/>
  <c r="Y356" i="1"/>
  <c r="Y357" i="1" s="1"/>
  <c r="Z356" i="1"/>
  <c r="Z357" i="1" s="1"/>
  <c r="D357" i="1"/>
  <c r="A358" i="1"/>
  <c r="A359" i="1" s="1"/>
  <c r="B358" i="1"/>
  <c r="B359" i="1" s="1"/>
  <c r="C358" i="1"/>
  <c r="C359" i="1" s="1"/>
  <c r="D358" i="1"/>
  <c r="D359" i="1" s="1"/>
  <c r="E358" i="1"/>
  <c r="E359" i="1" s="1"/>
  <c r="F358" i="1"/>
  <c r="F359" i="1" s="1"/>
  <c r="G358" i="1"/>
  <c r="H358" i="1"/>
  <c r="I358" i="1"/>
  <c r="J358" i="1"/>
  <c r="K358" i="1"/>
  <c r="M358" i="1"/>
  <c r="N358" i="1"/>
  <c r="P358" i="1"/>
  <c r="P359" i="1" s="1"/>
  <c r="Q358" i="1"/>
  <c r="Q359" i="1" s="1"/>
  <c r="R358" i="1"/>
  <c r="R359" i="1" s="1"/>
  <c r="S358" i="1"/>
  <c r="S359" i="1" s="1"/>
  <c r="T358" i="1"/>
  <c r="T359" i="1" s="1"/>
  <c r="V358" i="1"/>
  <c r="V359" i="1" s="1"/>
  <c r="W358" i="1"/>
  <c r="W359" i="1" s="1"/>
  <c r="X358" i="1"/>
  <c r="X359" i="1" s="1"/>
  <c r="Y358" i="1"/>
  <c r="Y359" i="1" s="1"/>
  <c r="Z358" i="1"/>
  <c r="Z359" i="1" s="1"/>
  <c r="A360" i="1"/>
  <c r="A361" i="1" s="1"/>
  <c r="B360" i="1"/>
  <c r="B361" i="1" s="1"/>
  <c r="C360" i="1"/>
  <c r="C361" i="1" s="1"/>
  <c r="D360" i="1"/>
  <c r="E360" i="1"/>
  <c r="E361" i="1" s="1"/>
  <c r="F360" i="1"/>
  <c r="F361" i="1" s="1"/>
  <c r="G360" i="1"/>
  <c r="H360" i="1"/>
  <c r="I360" i="1"/>
  <c r="J360" i="1"/>
  <c r="K360" i="1"/>
  <c r="M360" i="1"/>
  <c r="N360" i="1"/>
  <c r="P360" i="1"/>
  <c r="P361" i="1" s="1"/>
  <c r="Q360" i="1"/>
  <c r="Q361" i="1" s="1"/>
  <c r="R360" i="1"/>
  <c r="R361" i="1" s="1"/>
  <c r="S360" i="1"/>
  <c r="S361" i="1" s="1"/>
  <c r="T360" i="1"/>
  <c r="T361" i="1" s="1"/>
  <c r="V360" i="1"/>
  <c r="V361" i="1" s="1"/>
  <c r="W360" i="1"/>
  <c r="W361" i="1" s="1"/>
  <c r="X360" i="1"/>
  <c r="Y360" i="1"/>
  <c r="Y361" i="1" s="1"/>
  <c r="Z360" i="1"/>
  <c r="Z361" i="1" s="1"/>
  <c r="D361" i="1"/>
  <c r="X361" i="1"/>
  <c r="A362" i="1"/>
  <c r="A363" i="1" s="1"/>
  <c r="B362" i="1"/>
  <c r="B363" i="1" s="1"/>
  <c r="C362" i="1"/>
  <c r="C363" i="1" s="1"/>
  <c r="D362" i="1"/>
  <c r="D363" i="1" s="1"/>
  <c r="E362" i="1"/>
  <c r="E363" i="1" s="1"/>
  <c r="F362" i="1"/>
  <c r="F363" i="1" s="1"/>
  <c r="G362" i="1"/>
  <c r="H362" i="1"/>
  <c r="I362" i="1"/>
  <c r="J362" i="1"/>
  <c r="K362" i="1"/>
  <c r="M362" i="1"/>
  <c r="N362" i="1"/>
  <c r="P362" i="1"/>
  <c r="P363" i="1" s="1"/>
  <c r="Q362" i="1"/>
  <c r="Q363" i="1" s="1"/>
  <c r="R362" i="1"/>
  <c r="R363" i="1" s="1"/>
  <c r="S362" i="1"/>
  <c r="S363" i="1" s="1"/>
  <c r="T362" i="1"/>
  <c r="T363" i="1" s="1"/>
  <c r="V362" i="1"/>
  <c r="V363" i="1" s="1"/>
  <c r="W362" i="1"/>
  <c r="W363" i="1" s="1"/>
  <c r="X362" i="1"/>
  <c r="X363" i="1" s="1"/>
  <c r="Y362" i="1"/>
  <c r="Y363" i="1" s="1"/>
  <c r="Z362" i="1"/>
  <c r="Z363" i="1" s="1"/>
  <c r="A364" i="1"/>
  <c r="A365" i="1" s="1"/>
  <c r="B364" i="1"/>
  <c r="B365" i="1" s="1"/>
  <c r="C364" i="1"/>
  <c r="C365" i="1" s="1"/>
  <c r="D364" i="1"/>
  <c r="E364" i="1"/>
  <c r="E365" i="1" s="1"/>
  <c r="F364" i="1"/>
  <c r="F365" i="1" s="1"/>
  <c r="G364" i="1"/>
  <c r="H364" i="1"/>
  <c r="I364" i="1"/>
  <c r="J364" i="1"/>
  <c r="K364" i="1"/>
  <c r="M364" i="1"/>
  <c r="N364" i="1"/>
  <c r="P364" i="1"/>
  <c r="P365" i="1" s="1"/>
  <c r="Q364" i="1"/>
  <c r="Q365" i="1" s="1"/>
  <c r="R364" i="1"/>
  <c r="R365" i="1" s="1"/>
  <c r="S364" i="1"/>
  <c r="S365" i="1" s="1"/>
  <c r="T364" i="1"/>
  <c r="T365" i="1" s="1"/>
  <c r="V364" i="1"/>
  <c r="V365" i="1" s="1"/>
  <c r="W364" i="1"/>
  <c r="W365" i="1" s="1"/>
  <c r="X364" i="1"/>
  <c r="X365" i="1" s="1"/>
  <c r="Y364" i="1"/>
  <c r="Y365" i="1" s="1"/>
  <c r="Z364" i="1"/>
  <c r="Z365" i="1" s="1"/>
  <c r="D365" i="1"/>
  <c r="A366" i="1"/>
  <c r="A367" i="1" s="1"/>
  <c r="B366" i="1"/>
  <c r="B367" i="1" s="1"/>
  <c r="C366" i="1"/>
  <c r="C367" i="1" s="1"/>
  <c r="D366" i="1"/>
  <c r="D367" i="1" s="1"/>
  <c r="E366" i="1"/>
  <c r="E367" i="1" s="1"/>
  <c r="F366" i="1"/>
  <c r="G366" i="1"/>
  <c r="H366" i="1"/>
  <c r="I366" i="1"/>
  <c r="J366" i="1"/>
  <c r="K366" i="1"/>
  <c r="M366" i="1"/>
  <c r="N366" i="1"/>
  <c r="P366" i="1"/>
  <c r="P367" i="1" s="1"/>
  <c r="Q366" i="1"/>
  <c r="Q367" i="1" s="1"/>
  <c r="R366" i="1"/>
  <c r="R367" i="1" s="1"/>
  <c r="S366" i="1"/>
  <c r="S367" i="1" s="1"/>
  <c r="T366" i="1"/>
  <c r="T367" i="1" s="1"/>
  <c r="V366" i="1"/>
  <c r="V367" i="1" s="1"/>
  <c r="W366" i="1"/>
  <c r="W367" i="1" s="1"/>
  <c r="X366" i="1"/>
  <c r="X367" i="1" s="1"/>
  <c r="Y366" i="1"/>
  <c r="Y367" i="1" s="1"/>
  <c r="Z366" i="1"/>
  <c r="Z367" i="1" s="1"/>
  <c r="A368" i="1"/>
  <c r="A369" i="1" s="1"/>
  <c r="B368" i="1"/>
  <c r="B369" i="1" s="1"/>
  <c r="C368" i="1"/>
  <c r="C369" i="1" s="1"/>
  <c r="D368" i="1"/>
  <c r="D369" i="1" s="1"/>
  <c r="E368" i="1"/>
  <c r="F368" i="1"/>
  <c r="F369" i="1" s="1"/>
  <c r="G368" i="1"/>
  <c r="H368" i="1"/>
  <c r="I368" i="1"/>
  <c r="J368" i="1"/>
  <c r="K368" i="1"/>
  <c r="M368" i="1"/>
  <c r="N368" i="1"/>
  <c r="P368" i="1"/>
  <c r="P369" i="1" s="1"/>
  <c r="Q368" i="1"/>
  <c r="Q369" i="1" s="1"/>
  <c r="R368" i="1"/>
  <c r="R369" i="1" s="1"/>
  <c r="S368" i="1"/>
  <c r="S369" i="1" s="1"/>
  <c r="T368" i="1"/>
  <c r="T369" i="1" s="1"/>
  <c r="V368" i="1"/>
  <c r="V369" i="1" s="1"/>
  <c r="W368" i="1"/>
  <c r="W369" i="1" s="1"/>
  <c r="X368" i="1"/>
  <c r="X369" i="1" s="1"/>
  <c r="Y368" i="1"/>
  <c r="Y369" i="1" s="1"/>
  <c r="Z368" i="1"/>
  <c r="Z369" i="1" s="1"/>
  <c r="A370" i="1"/>
  <c r="A371" i="1" s="1"/>
  <c r="B370" i="1"/>
  <c r="B371" i="1" s="1"/>
  <c r="C370" i="1"/>
  <c r="C371" i="1" s="1"/>
  <c r="D370" i="1"/>
  <c r="D371" i="1" s="1"/>
  <c r="E370" i="1"/>
  <c r="E371" i="1" s="1"/>
  <c r="F370" i="1"/>
  <c r="F371" i="1" s="1"/>
  <c r="G370" i="1"/>
  <c r="H370" i="1"/>
  <c r="I370" i="1"/>
  <c r="J370" i="1"/>
  <c r="K370" i="1"/>
  <c r="M370" i="1"/>
  <c r="N370" i="1"/>
  <c r="P370" i="1"/>
  <c r="P371" i="1" s="1"/>
  <c r="Q370" i="1"/>
  <c r="Q371" i="1" s="1"/>
  <c r="R370" i="1"/>
  <c r="R371" i="1" s="1"/>
  <c r="S370" i="1"/>
  <c r="S371" i="1" s="1"/>
  <c r="T370" i="1"/>
  <c r="T371" i="1" s="1"/>
  <c r="V370" i="1"/>
  <c r="V371" i="1" s="1"/>
  <c r="W370" i="1"/>
  <c r="W371" i="1" s="1"/>
  <c r="X370" i="1"/>
  <c r="X371" i="1" s="1"/>
  <c r="Y370" i="1"/>
  <c r="Y371" i="1" s="1"/>
  <c r="Z370" i="1"/>
  <c r="Z371" i="1" s="1"/>
  <c r="A372" i="1"/>
  <c r="A373" i="1" s="1"/>
  <c r="B372" i="1"/>
  <c r="B373" i="1" s="1"/>
  <c r="C372" i="1"/>
  <c r="C373" i="1" s="1"/>
  <c r="D372" i="1"/>
  <c r="E372" i="1"/>
  <c r="E373" i="1" s="1"/>
  <c r="F372" i="1"/>
  <c r="F373" i="1" s="1"/>
  <c r="G372" i="1"/>
  <c r="H372" i="1"/>
  <c r="I372" i="1"/>
  <c r="J372" i="1"/>
  <c r="K372" i="1"/>
  <c r="M372" i="1"/>
  <c r="N372" i="1"/>
  <c r="P372" i="1"/>
  <c r="P373" i="1" s="1"/>
  <c r="Q372" i="1"/>
  <c r="Q373" i="1" s="1"/>
  <c r="R372" i="1"/>
  <c r="R373" i="1" s="1"/>
  <c r="S372" i="1"/>
  <c r="S373" i="1" s="1"/>
  <c r="T372" i="1"/>
  <c r="T373" i="1" s="1"/>
  <c r="V372" i="1"/>
  <c r="V373" i="1" s="1"/>
  <c r="W372" i="1"/>
  <c r="W373" i="1" s="1"/>
  <c r="X372" i="1"/>
  <c r="X373" i="1" s="1"/>
  <c r="Y372" i="1"/>
  <c r="Y373" i="1" s="1"/>
  <c r="Z372" i="1"/>
  <c r="Z373" i="1" s="1"/>
  <c r="D373" i="1"/>
  <c r="A374" i="1"/>
  <c r="A375" i="1" s="1"/>
  <c r="B374" i="1"/>
  <c r="B375" i="1" s="1"/>
  <c r="C374" i="1"/>
  <c r="C375" i="1" s="1"/>
  <c r="D374" i="1"/>
  <c r="E374" i="1"/>
  <c r="E375" i="1" s="1"/>
  <c r="F374" i="1"/>
  <c r="F375" i="1" s="1"/>
  <c r="G374" i="1"/>
  <c r="H374" i="1"/>
  <c r="I374" i="1"/>
  <c r="J374" i="1"/>
  <c r="K374" i="1"/>
  <c r="M374" i="1"/>
  <c r="N374" i="1"/>
  <c r="P374" i="1"/>
  <c r="P375" i="1" s="1"/>
  <c r="Q374" i="1"/>
  <c r="Q375" i="1" s="1"/>
  <c r="R374" i="1"/>
  <c r="R375" i="1" s="1"/>
  <c r="S374" i="1"/>
  <c r="S375" i="1" s="1"/>
  <c r="T374" i="1"/>
  <c r="T375" i="1" s="1"/>
  <c r="V374" i="1"/>
  <c r="V375" i="1" s="1"/>
  <c r="W374" i="1"/>
  <c r="W375" i="1" s="1"/>
  <c r="X374" i="1"/>
  <c r="X375" i="1" s="1"/>
  <c r="Y374" i="1"/>
  <c r="Y375" i="1" s="1"/>
  <c r="Z374" i="1"/>
  <c r="Z375" i="1" s="1"/>
  <c r="D375" i="1"/>
  <c r="A376" i="1"/>
  <c r="A377" i="1" s="1"/>
  <c r="B376" i="1"/>
  <c r="B377" i="1" s="1"/>
  <c r="C376" i="1"/>
  <c r="C377" i="1" s="1"/>
  <c r="D376" i="1"/>
  <c r="E376" i="1"/>
  <c r="E377" i="1" s="1"/>
  <c r="F376" i="1"/>
  <c r="F377" i="1" s="1"/>
  <c r="G376" i="1"/>
  <c r="H376" i="1"/>
  <c r="I376" i="1"/>
  <c r="J376" i="1"/>
  <c r="K376" i="1"/>
  <c r="M376" i="1"/>
  <c r="N376" i="1"/>
  <c r="P376" i="1"/>
  <c r="P377" i="1" s="1"/>
  <c r="Q376" i="1"/>
  <c r="Q377" i="1" s="1"/>
  <c r="R376" i="1"/>
  <c r="R377" i="1" s="1"/>
  <c r="S376" i="1"/>
  <c r="S377" i="1" s="1"/>
  <c r="T376" i="1"/>
  <c r="T377" i="1" s="1"/>
  <c r="V376" i="1"/>
  <c r="V377" i="1" s="1"/>
  <c r="W376" i="1"/>
  <c r="W377" i="1" s="1"/>
  <c r="X376" i="1"/>
  <c r="X377" i="1" s="1"/>
  <c r="Y376" i="1"/>
  <c r="Y377" i="1" s="1"/>
  <c r="Z376" i="1"/>
  <c r="Z377" i="1" s="1"/>
  <c r="D377" i="1"/>
  <c r="A378" i="1"/>
  <c r="A379" i="1" s="1"/>
  <c r="B378" i="1"/>
  <c r="B379" i="1" s="1"/>
  <c r="C378" i="1"/>
  <c r="C379" i="1" s="1"/>
  <c r="D378" i="1"/>
  <c r="E378" i="1"/>
  <c r="E379" i="1" s="1"/>
  <c r="F378" i="1"/>
  <c r="F379" i="1" s="1"/>
  <c r="G378" i="1"/>
  <c r="H378" i="1"/>
  <c r="I378" i="1"/>
  <c r="J378" i="1"/>
  <c r="K378" i="1"/>
  <c r="M378" i="1"/>
  <c r="N378" i="1"/>
  <c r="P378" i="1"/>
  <c r="P379" i="1" s="1"/>
  <c r="Q378" i="1"/>
  <c r="Q379" i="1" s="1"/>
  <c r="R378" i="1"/>
  <c r="R379" i="1" s="1"/>
  <c r="S378" i="1"/>
  <c r="S379" i="1" s="1"/>
  <c r="T378" i="1"/>
  <c r="T379" i="1" s="1"/>
  <c r="V378" i="1"/>
  <c r="V379" i="1" s="1"/>
  <c r="W378" i="1"/>
  <c r="W379" i="1" s="1"/>
  <c r="X378" i="1"/>
  <c r="X379" i="1" s="1"/>
  <c r="Y378" i="1"/>
  <c r="Y379" i="1" s="1"/>
  <c r="Z378" i="1"/>
  <c r="Z379" i="1" s="1"/>
  <c r="A380" i="1"/>
  <c r="A381" i="1" s="1"/>
  <c r="B380" i="1"/>
  <c r="B381" i="1" s="1"/>
  <c r="C380" i="1"/>
  <c r="C381" i="1" s="1"/>
  <c r="D380" i="1"/>
  <c r="E380" i="1"/>
  <c r="E381" i="1" s="1"/>
  <c r="F380" i="1"/>
  <c r="F381" i="1" s="1"/>
  <c r="G380" i="1"/>
  <c r="H380" i="1"/>
  <c r="I380" i="1"/>
  <c r="J380" i="1"/>
  <c r="K380" i="1"/>
  <c r="M380" i="1"/>
  <c r="N380" i="1"/>
  <c r="P380" i="1"/>
  <c r="P381" i="1" s="1"/>
  <c r="Q380" i="1"/>
  <c r="Q381" i="1" s="1"/>
  <c r="R380" i="1"/>
  <c r="R381" i="1" s="1"/>
  <c r="S380" i="1"/>
  <c r="S381" i="1" s="1"/>
  <c r="T380" i="1"/>
  <c r="T381" i="1" s="1"/>
  <c r="V380" i="1"/>
  <c r="V381" i="1" s="1"/>
  <c r="W380" i="1"/>
  <c r="W381" i="1" s="1"/>
  <c r="X380" i="1"/>
  <c r="X381" i="1" s="1"/>
  <c r="Y380" i="1"/>
  <c r="Y381" i="1" s="1"/>
  <c r="Z380" i="1"/>
  <c r="D381" i="1"/>
  <c r="Z381" i="1"/>
  <c r="A382" i="1"/>
  <c r="A383" i="1" s="1"/>
  <c r="B382" i="1"/>
  <c r="B383" i="1" s="1"/>
  <c r="C382" i="1"/>
  <c r="C383" i="1" s="1"/>
  <c r="D382" i="1"/>
  <c r="E382" i="1"/>
  <c r="E383" i="1" s="1"/>
  <c r="F382" i="1"/>
  <c r="F383" i="1" s="1"/>
  <c r="G382" i="1"/>
  <c r="H382" i="1"/>
  <c r="I382" i="1"/>
  <c r="J382" i="1"/>
  <c r="K382" i="1"/>
  <c r="M382" i="1"/>
  <c r="N382" i="1"/>
  <c r="P382" i="1"/>
  <c r="P383" i="1" s="1"/>
  <c r="Q382" i="1"/>
  <c r="Q383" i="1" s="1"/>
  <c r="R382" i="1"/>
  <c r="R383" i="1" s="1"/>
  <c r="S382" i="1"/>
  <c r="S383" i="1" s="1"/>
  <c r="T382" i="1"/>
  <c r="T383" i="1" s="1"/>
  <c r="V382" i="1"/>
  <c r="V383" i="1" s="1"/>
  <c r="W382" i="1"/>
  <c r="W383" i="1" s="1"/>
  <c r="X382" i="1"/>
  <c r="X383" i="1" s="1"/>
  <c r="Y382" i="1"/>
  <c r="Y383" i="1" s="1"/>
  <c r="Z382" i="1"/>
  <c r="Z383" i="1" s="1"/>
  <c r="D383" i="1"/>
  <c r="A384" i="1"/>
  <c r="A385" i="1" s="1"/>
  <c r="B384" i="1"/>
  <c r="B385" i="1" s="1"/>
  <c r="C384" i="1"/>
  <c r="C385" i="1" s="1"/>
  <c r="D384" i="1"/>
  <c r="D385" i="1" s="1"/>
  <c r="E384" i="1"/>
  <c r="E385" i="1" s="1"/>
  <c r="F384" i="1"/>
  <c r="F385" i="1" s="1"/>
  <c r="G384" i="1"/>
  <c r="H384" i="1"/>
  <c r="I384" i="1"/>
  <c r="J384" i="1"/>
  <c r="K384" i="1"/>
  <c r="M384" i="1"/>
  <c r="N384" i="1"/>
  <c r="P384" i="1"/>
  <c r="Q384" i="1"/>
  <c r="Q385" i="1" s="1"/>
  <c r="R384" i="1"/>
  <c r="R385" i="1" s="1"/>
  <c r="S384" i="1"/>
  <c r="S385" i="1" s="1"/>
  <c r="T384" i="1"/>
  <c r="T385" i="1" s="1"/>
  <c r="V384" i="1"/>
  <c r="V385" i="1" s="1"/>
  <c r="W384" i="1"/>
  <c r="W385" i="1" s="1"/>
  <c r="X384" i="1"/>
  <c r="X385" i="1" s="1"/>
  <c r="Y384" i="1"/>
  <c r="Y385" i="1" s="1"/>
  <c r="Z384" i="1"/>
  <c r="Z385" i="1" s="1"/>
  <c r="P385" i="1"/>
  <c r="A386" i="1"/>
  <c r="A387" i="1" s="1"/>
  <c r="B386" i="1"/>
  <c r="C386" i="1"/>
  <c r="C387" i="1" s="1"/>
  <c r="D386" i="1"/>
  <c r="D387" i="1" s="1"/>
  <c r="E386" i="1"/>
  <c r="F386" i="1"/>
  <c r="F387" i="1" s="1"/>
  <c r="G386" i="1"/>
  <c r="H386" i="1"/>
  <c r="I386" i="1"/>
  <c r="J386" i="1"/>
  <c r="K386" i="1"/>
  <c r="M386" i="1"/>
  <c r="N386" i="1"/>
  <c r="P386" i="1"/>
  <c r="P387" i="1" s="1"/>
  <c r="Q386" i="1"/>
  <c r="Q387" i="1" s="1"/>
  <c r="R386" i="1"/>
  <c r="R387" i="1" s="1"/>
  <c r="S386" i="1"/>
  <c r="S387" i="1" s="1"/>
  <c r="T386" i="1"/>
  <c r="T387" i="1" s="1"/>
  <c r="V386" i="1"/>
  <c r="V387" i="1" s="1"/>
  <c r="W386" i="1"/>
  <c r="W387" i="1" s="1"/>
  <c r="X386" i="1"/>
  <c r="X387" i="1" s="1"/>
  <c r="Y386" i="1"/>
  <c r="Z386" i="1"/>
  <c r="Z387" i="1" s="1"/>
  <c r="B387" i="1"/>
  <c r="A388" i="1"/>
  <c r="A389" i="1" s="1"/>
  <c r="B388" i="1"/>
  <c r="B389" i="1" s="1"/>
  <c r="C388" i="1"/>
  <c r="C389" i="1" s="1"/>
  <c r="D388" i="1"/>
  <c r="E388" i="1"/>
  <c r="E389" i="1" s="1"/>
  <c r="F388" i="1"/>
  <c r="F389" i="1" s="1"/>
  <c r="G388" i="1"/>
  <c r="H388" i="1"/>
  <c r="I388" i="1"/>
  <c r="J388" i="1"/>
  <c r="K388" i="1"/>
  <c r="M388" i="1"/>
  <c r="N388" i="1"/>
  <c r="P388" i="1"/>
  <c r="P389" i="1" s="1"/>
  <c r="Q388" i="1"/>
  <c r="Q389" i="1" s="1"/>
  <c r="R388" i="1"/>
  <c r="R389" i="1" s="1"/>
  <c r="S388" i="1"/>
  <c r="S389" i="1" s="1"/>
  <c r="T388" i="1"/>
  <c r="T389" i="1" s="1"/>
  <c r="V388" i="1"/>
  <c r="V389" i="1" s="1"/>
  <c r="W388" i="1"/>
  <c r="W389" i="1" s="1"/>
  <c r="X388" i="1"/>
  <c r="X389" i="1" s="1"/>
  <c r="Y388" i="1"/>
  <c r="Y389" i="1" s="1"/>
  <c r="Z388" i="1"/>
  <c r="Z389" i="1" s="1"/>
  <c r="D389" i="1"/>
  <c r="A390" i="1"/>
  <c r="A391" i="1" s="1"/>
  <c r="B390" i="1"/>
  <c r="B391" i="1" s="1"/>
  <c r="C390" i="1"/>
  <c r="C391" i="1" s="1"/>
  <c r="D390" i="1"/>
  <c r="D391" i="1" s="1"/>
  <c r="E390" i="1"/>
  <c r="E391" i="1" s="1"/>
  <c r="F390" i="1"/>
  <c r="F391" i="1" s="1"/>
  <c r="G390" i="1"/>
  <c r="H390" i="1"/>
  <c r="I390" i="1"/>
  <c r="J390" i="1"/>
  <c r="K390" i="1"/>
  <c r="M390" i="1"/>
  <c r="N390" i="1"/>
  <c r="P390" i="1"/>
  <c r="P391" i="1" s="1"/>
  <c r="Q390" i="1"/>
  <c r="Q391" i="1" s="1"/>
  <c r="R390" i="1"/>
  <c r="R391" i="1" s="1"/>
  <c r="S390" i="1"/>
  <c r="S391" i="1" s="1"/>
  <c r="T390" i="1"/>
  <c r="T391" i="1" s="1"/>
  <c r="V390" i="1"/>
  <c r="V391" i="1" s="1"/>
  <c r="W390" i="1"/>
  <c r="W391" i="1" s="1"/>
  <c r="X390" i="1"/>
  <c r="X391" i="1" s="1"/>
  <c r="Y390" i="1"/>
  <c r="Y391" i="1" s="1"/>
  <c r="Z390" i="1"/>
  <c r="Z391" i="1" s="1"/>
  <c r="A392" i="1"/>
  <c r="A393" i="1" s="1"/>
  <c r="B392" i="1"/>
  <c r="B393" i="1" s="1"/>
  <c r="C392" i="1"/>
  <c r="C393" i="1" s="1"/>
  <c r="D392" i="1"/>
  <c r="D393" i="1" s="1"/>
  <c r="E392" i="1"/>
  <c r="F392" i="1"/>
  <c r="F393" i="1" s="1"/>
  <c r="G392" i="1"/>
  <c r="H392" i="1"/>
  <c r="I392" i="1"/>
  <c r="J392" i="1"/>
  <c r="K392" i="1"/>
  <c r="M392" i="1"/>
  <c r="N392" i="1"/>
  <c r="P392" i="1"/>
  <c r="P393" i="1" s="1"/>
  <c r="Q392" i="1"/>
  <c r="Q393" i="1" s="1"/>
  <c r="R392" i="1"/>
  <c r="R393" i="1" s="1"/>
  <c r="S392" i="1"/>
  <c r="S393" i="1" s="1"/>
  <c r="T392" i="1"/>
  <c r="T393" i="1" s="1"/>
  <c r="V392" i="1"/>
  <c r="V393" i="1" s="1"/>
  <c r="W392" i="1"/>
  <c r="W393" i="1" s="1"/>
  <c r="X392" i="1"/>
  <c r="X393" i="1" s="1"/>
  <c r="Y392" i="1"/>
  <c r="Y393" i="1" s="1"/>
  <c r="Z392" i="1"/>
  <c r="Z393" i="1" s="1"/>
  <c r="A394" i="1"/>
  <c r="A395" i="1" s="1"/>
  <c r="B394" i="1"/>
  <c r="B395" i="1" s="1"/>
  <c r="C394" i="1"/>
  <c r="C395" i="1" s="1"/>
  <c r="D394" i="1"/>
  <c r="D395" i="1" s="1"/>
  <c r="E394" i="1"/>
  <c r="E395" i="1" s="1"/>
  <c r="F394" i="1"/>
  <c r="G394" i="1"/>
  <c r="H394" i="1"/>
  <c r="I394" i="1"/>
  <c r="J394" i="1"/>
  <c r="K394" i="1"/>
  <c r="M394" i="1"/>
  <c r="N394" i="1"/>
  <c r="P394" i="1"/>
  <c r="P395" i="1" s="1"/>
  <c r="Q394" i="1"/>
  <c r="Q395" i="1" s="1"/>
  <c r="R394" i="1"/>
  <c r="R395" i="1" s="1"/>
  <c r="S394" i="1"/>
  <c r="S395" i="1" s="1"/>
  <c r="T394" i="1"/>
  <c r="T395" i="1" s="1"/>
  <c r="V394" i="1"/>
  <c r="V395" i="1" s="1"/>
  <c r="W394" i="1"/>
  <c r="W395" i="1" s="1"/>
  <c r="X394" i="1"/>
  <c r="X395" i="1" s="1"/>
  <c r="Y394" i="1"/>
  <c r="Y395" i="1" s="1"/>
  <c r="Z394" i="1"/>
  <c r="Z395" i="1" s="1"/>
  <c r="A396" i="1"/>
  <c r="A397" i="1" s="1"/>
  <c r="B396" i="1"/>
  <c r="B397" i="1" s="1"/>
  <c r="C396" i="1"/>
  <c r="C397" i="1" s="1"/>
  <c r="D396" i="1"/>
  <c r="D397" i="1" s="1"/>
  <c r="E396" i="1"/>
  <c r="F396" i="1"/>
  <c r="F397" i="1" s="1"/>
  <c r="G396" i="1"/>
  <c r="H396" i="1"/>
  <c r="I396" i="1"/>
  <c r="J396" i="1"/>
  <c r="K396" i="1"/>
  <c r="M396" i="1"/>
  <c r="N396" i="1"/>
  <c r="P396" i="1"/>
  <c r="P397" i="1" s="1"/>
  <c r="Q396" i="1"/>
  <c r="Q397" i="1" s="1"/>
  <c r="R396" i="1"/>
  <c r="R397" i="1" s="1"/>
  <c r="S396" i="1"/>
  <c r="S397" i="1" s="1"/>
  <c r="T396" i="1"/>
  <c r="T397" i="1" s="1"/>
  <c r="V396" i="1"/>
  <c r="V397" i="1" s="1"/>
  <c r="W396" i="1"/>
  <c r="W397" i="1" s="1"/>
  <c r="X396" i="1"/>
  <c r="X397" i="1" s="1"/>
  <c r="Y396" i="1"/>
  <c r="Y397" i="1" s="1"/>
  <c r="Z396" i="1"/>
  <c r="Z397" i="1" s="1"/>
  <c r="A398" i="1"/>
  <c r="A399" i="1" s="1"/>
  <c r="B398" i="1"/>
  <c r="B399" i="1" s="1"/>
  <c r="C398" i="1"/>
  <c r="C399" i="1" s="1"/>
  <c r="D398" i="1"/>
  <c r="D399" i="1" s="1"/>
  <c r="E398" i="1"/>
  <c r="E399" i="1" s="1"/>
  <c r="F398" i="1"/>
  <c r="F399" i="1" s="1"/>
  <c r="G398" i="1"/>
  <c r="H398" i="1"/>
  <c r="I398" i="1"/>
  <c r="J398" i="1"/>
  <c r="K398" i="1"/>
  <c r="M398" i="1"/>
  <c r="N398" i="1"/>
  <c r="P398" i="1"/>
  <c r="P399" i="1" s="1"/>
  <c r="Q398" i="1"/>
  <c r="Q399" i="1" s="1"/>
  <c r="R398" i="1"/>
  <c r="R399" i="1" s="1"/>
  <c r="S398" i="1"/>
  <c r="S399" i="1" s="1"/>
  <c r="T398" i="1"/>
  <c r="T399" i="1" s="1"/>
  <c r="V398" i="1"/>
  <c r="V399" i="1" s="1"/>
  <c r="W398" i="1"/>
  <c r="W399" i="1" s="1"/>
  <c r="X398" i="1"/>
  <c r="X399" i="1" s="1"/>
  <c r="Y398" i="1"/>
  <c r="Y399" i="1" s="1"/>
  <c r="Z398" i="1"/>
  <c r="Z399" i="1" s="1"/>
  <c r="A400" i="1"/>
  <c r="A401" i="1" s="1"/>
  <c r="B400" i="1"/>
  <c r="B401" i="1" s="1"/>
  <c r="C400" i="1"/>
  <c r="C401" i="1" s="1"/>
  <c r="D400" i="1"/>
  <c r="D401" i="1" s="1"/>
  <c r="E400" i="1"/>
  <c r="E401" i="1" s="1"/>
  <c r="F400" i="1"/>
  <c r="F401" i="1" s="1"/>
  <c r="G400" i="1"/>
  <c r="H400" i="1"/>
  <c r="I400" i="1"/>
  <c r="J400" i="1"/>
  <c r="K400" i="1"/>
  <c r="M400" i="1"/>
  <c r="N400" i="1"/>
  <c r="P400" i="1"/>
  <c r="P401" i="1" s="1"/>
  <c r="Q400" i="1"/>
  <c r="Q401" i="1" s="1"/>
  <c r="R400" i="1"/>
  <c r="R401" i="1" s="1"/>
  <c r="S400" i="1"/>
  <c r="S401" i="1" s="1"/>
  <c r="T400" i="1"/>
  <c r="T401" i="1" s="1"/>
  <c r="V400" i="1"/>
  <c r="V401" i="1" s="1"/>
  <c r="W400" i="1"/>
  <c r="W401" i="1" s="1"/>
  <c r="X400" i="1"/>
  <c r="X401" i="1" s="1"/>
  <c r="Y400" i="1"/>
  <c r="Y401" i="1" s="1"/>
  <c r="Z400" i="1"/>
  <c r="Z401" i="1" s="1"/>
  <c r="A402" i="1"/>
  <c r="A403" i="1" s="1"/>
  <c r="B402" i="1"/>
  <c r="B403" i="1" s="1"/>
  <c r="C402" i="1"/>
  <c r="C403" i="1" s="1"/>
  <c r="D402" i="1"/>
  <c r="D403" i="1" s="1"/>
  <c r="E402" i="1"/>
  <c r="E403" i="1" s="1"/>
  <c r="F402" i="1"/>
  <c r="G402" i="1"/>
  <c r="H402" i="1"/>
  <c r="I402" i="1"/>
  <c r="J402" i="1"/>
  <c r="K402" i="1"/>
  <c r="M402" i="1"/>
  <c r="N402" i="1"/>
  <c r="P402" i="1"/>
  <c r="P403" i="1" s="1"/>
  <c r="Q402" i="1"/>
  <c r="Q403" i="1" s="1"/>
  <c r="R402" i="1"/>
  <c r="R403" i="1" s="1"/>
  <c r="S402" i="1"/>
  <c r="S403" i="1" s="1"/>
  <c r="T402" i="1"/>
  <c r="T403" i="1" s="1"/>
  <c r="V402" i="1"/>
  <c r="V403" i="1" s="1"/>
  <c r="W402" i="1"/>
  <c r="W403" i="1" s="1"/>
  <c r="X402" i="1"/>
  <c r="X403" i="1" s="1"/>
  <c r="Y402" i="1"/>
  <c r="Y403" i="1" s="1"/>
  <c r="Z402" i="1"/>
  <c r="Z403" i="1" s="1"/>
  <c r="A404" i="1"/>
  <c r="A405" i="1" s="1"/>
  <c r="B404" i="1"/>
  <c r="B405" i="1" s="1"/>
  <c r="C404" i="1"/>
  <c r="C405" i="1" s="1"/>
  <c r="D404" i="1"/>
  <c r="E404" i="1"/>
  <c r="F404" i="1"/>
  <c r="F405" i="1" s="1"/>
  <c r="G404" i="1"/>
  <c r="H404" i="1"/>
  <c r="I404" i="1"/>
  <c r="J404" i="1"/>
  <c r="K404" i="1"/>
  <c r="M404" i="1"/>
  <c r="N404" i="1"/>
  <c r="P404" i="1"/>
  <c r="P405" i="1" s="1"/>
  <c r="Q404" i="1"/>
  <c r="Q405" i="1" s="1"/>
  <c r="R404" i="1"/>
  <c r="R405" i="1" s="1"/>
  <c r="S404" i="1"/>
  <c r="S405" i="1" s="1"/>
  <c r="T404" i="1"/>
  <c r="T405" i="1" s="1"/>
  <c r="V404" i="1"/>
  <c r="V405" i="1" s="1"/>
  <c r="W404" i="1"/>
  <c r="W405" i="1" s="1"/>
  <c r="X404" i="1"/>
  <c r="X405" i="1" s="1"/>
  <c r="Y404" i="1"/>
  <c r="Y405" i="1" s="1"/>
  <c r="Z404" i="1"/>
  <c r="Z405" i="1" s="1"/>
  <c r="D405" i="1"/>
  <c r="A406" i="1"/>
  <c r="A407" i="1" s="1"/>
  <c r="B406" i="1"/>
  <c r="B407" i="1" s="1"/>
  <c r="C406" i="1"/>
  <c r="C407" i="1" s="1"/>
  <c r="D406" i="1"/>
  <c r="D407" i="1" s="1"/>
  <c r="E406" i="1"/>
  <c r="E407" i="1" s="1"/>
  <c r="F406" i="1"/>
  <c r="F407" i="1" s="1"/>
  <c r="G406" i="1"/>
  <c r="H406" i="1"/>
  <c r="I406" i="1"/>
  <c r="J406" i="1"/>
  <c r="K406" i="1"/>
  <c r="M406" i="1"/>
  <c r="N406" i="1"/>
  <c r="P406" i="1"/>
  <c r="P407" i="1" s="1"/>
  <c r="Q406" i="1"/>
  <c r="Q407" i="1" s="1"/>
  <c r="R406" i="1"/>
  <c r="R407" i="1" s="1"/>
  <c r="S406" i="1"/>
  <c r="S407" i="1" s="1"/>
  <c r="T406" i="1"/>
  <c r="T407" i="1" s="1"/>
  <c r="V406" i="1"/>
  <c r="V407" i="1" s="1"/>
  <c r="W406" i="1"/>
  <c r="X406" i="1"/>
  <c r="X407" i="1" s="1"/>
  <c r="Y406" i="1"/>
  <c r="Y407" i="1" s="1"/>
  <c r="Z406" i="1"/>
  <c r="Z407" i="1" s="1"/>
  <c r="W407" i="1"/>
  <c r="A408" i="1"/>
  <c r="A409" i="1" s="1"/>
  <c r="B408" i="1"/>
  <c r="B409" i="1" s="1"/>
  <c r="C408" i="1"/>
  <c r="C409" i="1" s="1"/>
  <c r="D408" i="1"/>
  <c r="E408" i="1"/>
  <c r="E409" i="1" s="1"/>
  <c r="F408" i="1"/>
  <c r="F409" i="1" s="1"/>
  <c r="G408" i="1"/>
  <c r="H408" i="1"/>
  <c r="I408" i="1"/>
  <c r="J408" i="1"/>
  <c r="K408" i="1"/>
  <c r="M408" i="1"/>
  <c r="N408" i="1"/>
  <c r="P408" i="1"/>
  <c r="P409" i="1" s="1"/>
  <c r="Q408" i="1"/>
  <c r="Q409" i="1" s="1"/>
  <c r="R408" i="1"/>
  <c r="R409" i="1" s="1"/>
  <c r="S408" i="1"/>
  <c r="S409" i="1" s="1"/>
  <c r="T408" i="1"/>
  <c r="T409" i="1" s="1"/>
  <c r="V408" i="1"/>
  <c r="V409" i="1" s="1"/>
  <c r="W408" i="1"/>
  <c r="W409" i="1" s="1"/>
  <c r="X408" i="1"/>
  <c r="X409" i="1" s="1"/>
  <c r="Y408" i="1"/>
  <c r="Y409" i="1" s="1"/>
  <c r="Z408" i="1"/>
  <c r="Z409" i="1" s="1"/>
  <c r="A410" i="1"/>
  <c r="A411" i="1" s="1"/>
  <c r="B410" i="1"/>
  <c r="B411" i="1" s="1"/>
  <c r="C410" i="1"/>
  <c r="C411" i="1" s="1"/>
  <c r="D410" i="1"/>
  <c r="E410" i="1"/>
  <c r="E411" i="1" s="1"/>
  <c r="F410" i="1"/>
  <c r="G410" i="1"/>
  <c r="H410" i="1"/>
  <c r="I410" i="1"/>
  <c r="J410" i="1"/>
  <c r="K410" i="1"/>
  <c r="M410" i="1"/>
  <c r="N410" i="1"/>
  <c r="P410" i="1"/>
  <c r="P411" i="1" s="1"/>
  <c r="Q410" i="1"/>
  <c r="Q411" i="1" s="1"/>
  <c r="R410" i="1"/>
  <c r="R411" i="1" s="1"/>
  <c r="S410" i="1"/>
  <c r="S411" i="1" s="1"/>
  <c r="T410" i="1"/>
  <c r="T411" i="1" s="1"/>
  <c r="V410" i="1"/>
  <c r="V411" i="1" s="1"/>
  <c r="W410" i="1"/>
  <c r="W411" i="1" s="1"/>
  <c r="X410" i="1"/>
  <c r="X411" i="1" s="1"/>
  <c r="Y410" i="1"/>
  <c r="Y411" i="1" s="1"/>
  <c r="Z410" i="1"/>
  <c r="Z411" i="1" s="1"/>
  <c r="D411" i="1"/>
  <c r="A412" i="1"/>
  <c r="A413" i="1" s="1"/>
  <c r="B412" i="1"/>
  <c r="B413" i="1" s="1"/>
  <c r="C412" i="1"/>
  <c r="C413" i="1" s="1"/>
  <c r="D412" i="1"/>
  <c r="E412" i="1"/>
  <c r="F412" i="1"/>
  <c r="F413" i="1" s="1"/>
  <c r="G412" i="1"/>
  <c r="H412" i="1"/>
  <c r="I412" i="1"/>
  <c r="J412" i="1"/>
  <c r="K412" i="1"/>
  <c r="M412" i="1"/>
  <c r="N412" i="1"/>
  <c r="P412" i="1"/>
  <c r="P413" i="1" s="1"/>
  <c r="Q412" i="1"/>
  <c r="Q413" i="1" s="1"/>
  <c r="R412" i="1"/>
  <c r="R413" i="1" s="1"/>
  <c r="S412" i="1"/>
  <c r="S413" i="1" s="1"/>
  <c r="T412" i="1"/>
  <c r="T413" i="1" s="1"/>
  <c r="V412" i="1"/>
  <c r="V413" i="1" s="1"/>
  <c r="W412" i="1"/>
  <c r="W413" i="1" s="1"/>
  <c r="X412" i="1"/>
  <c r="X413" i="1" s="1"/>
  <c r="Y412" i="1"/>
  <c r="Y413" i="1" s="1"/>
  <c r="Z412" i="1"/>
  <c r="Z413" i="1" s="1"/>
  <c r="D413" i="1"/>
  <c r="A414" i="1"/>
  <c r="A415" i="1" s="1"/>
  <c r="B414" i="1"/>
  <c r="B415" i="1" s="1"/>
  <c r="C414" i="1"/>
  <c r="C415" i="1" s="1"/>
  <c r="D414" i="1"/>
  <c r="D415" i="1" s="1"/>
  <c r="E414" i="1"/>
  <c r="E415" i="1" s="1"/>
  <c r="F414" i="1"/>
  <c r="G414" i="1"/>
  <c r="H414" i="1"/>
  <c r="I414" i="1"/>
  <c r="J414" i="1"/>
  <c r="K414" i="1"/>
  <c r="M414" i="1"/>
  <c r="N414" i="1"/>
  <c r="P414" i="1"/>
  <c r="P415" i="1" s="1"/>
  <c r="Q414" i="1"/>
  <c r="Q415" i="1" s="1"/>
  <c r="R414" i="1"/>
  <c r="R415" i="1" s="1"/>
  <c r="S414" i="1"/>
  <c r="S415" i="1" s="1"/>
  <c r="T414" i="1"/>
  <c r="T415" i="1" s="1"/>
  <c r="V414" i="1"/>
  <c r="V415" i="1" s="1"/>
  <c r="W414" i="1"/>
  <c r="W415" i="1" s="1"/>
  <c r="X414" i="1"/>
  <c r="X415" i="1" s="1"/>
  <c r="Y414" i="1"/>
  <c r="Y415" i="1" s="1"/>
  <c r="Z414" i="1"/>
  <c r="Z415" i="1" s="1"/>
  <c r="A416" i="1"/>
  <c r="A417" i="1" s="1"/>
  <c r="B416" i="1"/>
  <c r="B417" i="1" s="1"/>
  <c r="C416" i="1"/>
  <c r="C417" i="1" s="1"/>
  <c r="D416" i="1"/>
  <c r="D417" i="1" s="1"/>
  <c r="E416" i="1"/>
  <c r="F416" i="1"/>
  <c r="F417" i="1" s="1"/>
  <c r="G416" i="1"/>
  <c r="H416" i="1"/>
  <c r="I416" i="1"/>
  <c r="J416" i="1"/>
  <c r="K416" i="1"/>
  <c r="M416" i="1"/>
  <c r="N416" i="1"/>
  <c r="P416" i="1"/>
  <c r="P417" i="1" s="1"/>
  <c r="Q416" i="1"/>
  <c r="Q417" i="1" s="1"/>
  <c r="R416" i="1"/>
  <c r="R417" i="1" s="1"/>
  <c r="S416" i="1"/>
  <c r="S417" i="1" s="1"/>
  <c r="T416" i="1"/>
  <c r="T417" i="1" s="1"/>
  <c r="V416" i="1"/>
  <c r="V417" i="1" s="1"/>
  <c r="W416" i="1"/>
  <c r="W417" i="1" s="1"/>
  <c r="X416" i="1"/>
  <c r="X417" i="1" s="1"/>
  <c r="Y416" i="1"/>
  <c r="Y417" i="1" s="1"/>
  <c r="Z416" i="1"/>
  <c r="Z417" i="1" s="1"/>
  <c r="A418" i="1"/>
  <c r="A419" i="1" s="1"/>
  <c r="B418" i="1"/>
  <c r="B419" i="1" s="1"/>
  <c r="C418" i="1"/>
  <c r="C419" i="1" s="1"/>
  <c r="D418" i="1"/>
  <c r="D419" i="1" s="1"/>
  <c r="E418" i="1"/>
  <c r="E419" i="1" s="1"/>
  <c r="F418" i="1"/>
  <c r="F419" i="1" s="1"/>
  <c r="G418" i="1"/>
  <c r="H418" i="1"/>
  <c r="I418" i="1"/>
  <c r="J418" i="1"/>
  <c r="K418" i="1"/>
  <c r="M418" i="1"/>
  <c r="N418" i="1"/>
  <c r="P418" i="1"/>
  <c r="P419" i="1" s="1"/>
  <c r="Q418" i="1"/>
  <c r="Q419" i="1" s="1"/>
  <c r="R418" i="1"/>
  <c r="R419" i="1" s="1"/>
  <c r="S418" i="1"/>
  <c r="S419" i="1" s="1"/>
  <c r="T418" i="1"/>
  <c r="T419" i="1" s="1"/>
  <c r="V418" i="1"/>
  <c r="V419" i="1" s="1"/>
  <c r="W418" i="1"/>
  <c r="W419" i="1" s="1"/>
  <c r="X418" i="1"/>
  <c r="X419" i="1" s="1"/>
  <c r="Y418" i="1"/>
  <c r="Y419" i="1" s="1"/>
  <c r="Z418" i="1"/>
  <c r="Z419" i="1" s="1"/>
  <c r="A420" i="1"/>
  <c r="A421" i="1" s="1"/>
  <c r="B420" i="1"/>
  <c r="B421" i="1" s="1"/>
  <c r="C420" i="1"/>
  <c r="C421" i="1" s="1"/>
  <c r="D420" i="1"/>
  <c r="D421" i="1" s="1"/>
  <c r="E420" i="1"/>
  <c r="F420" i="1"/>
  <c r="F421" i="1" s="1"/>
  <c r="G420" i="1"/>
  <c r="H420" i="1"/>
  <c r="I420" i="1"/>
  <c r="J420" i="1"/>
  <c r="K420" i="1"/>
  <c r="M420" i="1"/>
  <c r="N420" i="1"/>
  <c r="P420" i="1"/>
  <c r="P421" i="1" s="1"/>
  <c r="Q420" i="1"/>
  <c r="Q421" i="1" s="1"/>
  <c r="R420" i="1"/>
  <c r="R421" i="1" s="1"/>
  <c r="S420" i="1"/>
  <c r="S421" i="1" s="1"/>
  <c r="T420" i="1"/>
  <c r="T421" i="1" s="1"/>
  <c r="V420" i="1"/>
  <c r="V421" i="1" s="1"/>
  <c r="W420" i="1"/>
  <c r="W421" i="1" s="1"/>
  <c r="X420" i="1"/>
  <c r="X421" i="1" s="1"/>
  <c r="Y420" i="1"/>
  <c r="Y421" i="1" s="1"/>
  <c r="Z420" i="1"/>
  <c r="Z421" i="1" s="1"/>
  <c r="A422" i="1"/>
  <c r="A423" i="1" s="1"/>
  <c r="B422" i="1"/>
  <c r="B423" i="1" s="1"/>
  <c r="C422" i="1"/>
  <c r="C423" i="1" s="1"/>
  <c r="D422" i="1"/>
  <c r="D423" i="1" s="1"/>
  <c r="E422" i="1"/>
  <c r="E423" i="1" s="1"/>
  <c r="F422" i="1"/>
  <c r="G422" i="1"/>
  <c r="H422" i="1"/>
  <c r="I422" i="1"/>
  <c r="J422" i="1"/>
  <c r="K422" i="1"/>
  <c r="M422" i="1"/>
  <c r="N422" i="1"/>
  <c r="P422" i="1"/>
  <c r="P423" i="1" s="1"/>
  <c r="Q422" i="1"/>
  <c r="Q423" i="1" s="1"/>
  <c r="R422" i="1"/>
  <c r="R423" i="1" s="1"/>
  <c r="S422" i="1"/>
  <c r="S423" i="1" s="1"/>
  <c r="T422" i="1"/>
  <c r="T423" i="1" s="1"/>
  <c r="V422" i="1"/>
  <c r="V423" i="1" s="1"/>
  <c r="W422" i="1"/>
  <c r="W423" i="1" s="1"/>
  <c r="X422" i="1"/>
  <c r="X423" i="1" s="1"/>
  <c r="Y422" i="1"/>
  <c r="Y423" i="1" s="1"/>
  <c r="Z422" i="1"/>
  <c r="Z423" i="1" s="1"/>
  <c r="A424" i="1"/>
  <c r="A425" i="1" s="1"/>
  <c r="B424" i="1"/>
  <c r="B425" i="1" s="1"/>
  <c r="C424" i="1"/>
  <c r="C425" i="1" s="1"/>
  <c r="D424" i="1"/>
  <c r="D425" i="1" s="1"/>
  <c r="E424" i="1"/>
  <c r="E425" i="1" s="1"/>
  <c r="F424" i="1"/>
  <c r="F425" i="1" s="1"/>
  <c r="G424" i="1"/>
  <c r="H424" i="1"/>
  <c r="I424" i="1"/>
  <c r="J424" i="1"/>
  <c r="K424" i="1"/>
  <c r="M424" i="1"/>
  <c r="N424" i="1"/>
  <c r="P424" i="1"/>
  <c r="P425" i="1" s="1"/>
  <c r="Q424" i="1"/>
  <c r="Q425" i="1" s="1"/>
  <c r="R424" i="1"/>
  <c r="R425" i="1" s="1"/>
  <c r="S424" i="1"/>
  <c r="S425" i="1" s="1"/>
  <c r="T424" i="1"/>
  <c r="T425" i="1" s="1"/>
  <c r="V424" i="1"/>
  <c r="V425" i="1" s="1"/>
  <c r="W424" i="1"/>
  <c r="W425" i="1" s="1"/>
  <c r="X424" i="1"/>
  <c r="X425" i="1" s="1"/>
  <c r="Y424" i="1"/>
  <c r="Y425" i="1" s="1"/>
  <c r="Z424" i="1"/>
  <c r="Z425" i="1" s="1"/>
  <c r="A426" i="1"/>
  <c r="A427" i="1" s="1"/>
  <c r="B426" i="1"/>
  <c r="B427" i="1" s="1"/>
  <c r="C426" i="1"/>
  <c r="C427" i="1" s="1"/>
  <c r="D426" i="1"/>
  <c r="D427" i="1" s="1"/>
  <c r="E426" i="1"/>
  <c r="E427" i="1" s="1"/>
  <c r="F426" i="1"/>
  <c r="F427" i="1" s="1"/>
  <c r="G426" i="1"/>
  <c r="H426" i="1"/>
  <c r="I426" i="1"/>
  <c r="J426" i="1"/>
  <c r="K426" i="1"/>
  <c r="M426" i="1"/>
  <c r="N426" i="1"/>
  <c r="P426" i="1"/>
  <c r="P427" i="1" s="1"/>
  <c r="Q426" i="1"/>
  <c r="Q427" i="1" s="1"/>
  <c r="R426" i="1"/>
  <c r="R427" i="1" s="1"/>
  <c r="S426" i="1"/>
  <c r="S427" i="1" s="1"/>
  <c r="T426" i="1"/>
  <c r="T427" i="1" s="1"/>
  <c r="V426" i="1"/>
  <c r="V427" i="1" s="1"/>
  <c r="W426" i="1"/>
  <c r="W427" i="1" s="1"/>
  <c r="X426" i="1"/>
  <c r="X427" i="1" s="1"/>
  <c r="Y426" i="1"/>
  <c r="Y427" i="1" s="1"/>
  <c r="Z426" i="1"/>
  <c r="Z427" i="1" s="1"/>
  <c r="A428" i="1"/>
  <c r="A429" i="1" s="1"/>
  <c r="B428" i="1"/>
  <c r="B429" i="1" s="1"/>
  <c r="C428" i="1"/>
  <c r="C429" i="1" s="1"/>
  <c r="D428" i="1"/>
  <c r="D429" i="1" s="1"/>
  <c r="E428" i="1"/>
  <c r="F428" i="1"/>
  <c r="F429" i="1" s="1"/>
  <c r="G428" i="1"/>
  <c r="H428" i="1"/>
  <c r="I428" i="1"/>
  <c r="J428" i="1"/>
  <c r="K428" i="1"/>
  <c r="M428" i="1"/>
  <c r="N428" i="1"/>
  <c r="P428" i="1"/>
  <c r="P429" i="1" s="1"/>
  <c r="Q428" i="1"/>
  <c r="Q429" i="1" s="1"/>
  <c r="R428" i="1"/>
  <c r="R429" i="1" s="1"/>
  <c r="S428" i="1"/>
  <c r="S429" i="1" s="1"/>
  <c r="T428" i="1"/>
  <c r="T429" i="1" s="1"/>
  <c r="V428" i="1"/>
  <c r="V429" i="1" s="1"/>
  <c r="W428" i="1"/>
  <c r="W429" i="1" s="1"/>
  <c r="X428" i="1"/>
  <c r="X429" i="1" s="1"/>
  <c r="Y428" i="1"/>
  <c r="Y429" i="1" s="1"/>
  <c r="Z428" i="1"/>
  <c r="Z429" i="1" s="1"/>
  <c r="A430" i="1"/>
  <c r="A431" i="1" s="1"/>
  <c r="B430" i="1"/>
  <c r="B431" i="1" s="1"/>
  <c r="C430" i="1"/>
  <c r="C431" i="1" s="1"/>
  <c r="D430" i="1"/>
  <c r="D431" i="1" s="1"/>
  <c r="E430" i="1"/>
  <c r="E431" i="1" s="1"/>
  <c r="F430" i="1"/>
  <c r="G430" i="1"/>
  <c r="H430" i="1"/>
  <c r="I430" i="1"/>
  <c r="J430" i="1"/>
  <c r="K430" i="1"/>
  <c r="M430" i="1"/>
  <c r="N430" i="1"/>
  <c r="P430" i="1"/>
  <c r="P431" i="1" s="1"/>
  <c r="Q430" i="1"/>
  <c r="Q431" i="1" s="1"/>
  <c r="R430" i="1"/>
  <c r="R431" i="1" s="1"/>
  <c r="S430" i="1"/>
  <c r="S431" i="1" s="1"/>
  <c r="T430" i="1"/>
  <c r="T431" i="1" s="1"/>
  <c r="V430" i="1"/>
  <c r="V431" i="1" s="1"/>
  <c r="W430" i="1"/>
  <c r="W431" i="1" s="1"/>
  <c r="X430" i="1"/>
  <c r="X431" i="1" s="1"/>
  <c r="Y430" i="1"/>
  <c r="Y431" i="1" s="1"/>
  <c r="Z430" i="1"/>
  <c r="Z431" i="1" s="1"/>
  <c r="A432" i="1"/>
  <c r="A433" i="1" s="1"/>
  <c r="B432" i="1"/>
  <c r="B433" i="1" s="1"/>
  <c r="C432" i="1"/>
  <c r="C433" i="1" s="1"/>
  <c r="D432" i="1"/>
  <c r="D433" i="1" s="1"/>
  <c r="E432" i="1"/>
  <c r="E433" i="1" s="1"/>
  <c r="F432" i="1"/>
  <c r="F433" i="1" s="1"/>
  <c r="G432" i="1"/>
  <c r="H432" i="1"/>
  <c r="I432" i="1"/>
  <c r="J432" i="1"/>
  <c r="K432" i="1"/>
  <c r="M432" i="1"/>
  <c r="N432" i="1"/>
  <c r="P432" i="1"/>
  <c r="P433" i="1" s="1"/>
  <c r="Q432" i="1"/>
  <c r="Q433" i="1" s="1"/>
  <c r="R432" i="1"/>
  <c r="R433" i="1" s="1"/>
  <c r="S432" i="1"/>
  <c r="S433" i="1" s="1"/>
  <c r="T432" i="1"/>
  <c r="T433" i="1" s="1"/>
  <c r="V432" i="1"/>
  <c r="V433" i="1" s="1"/>
  <c r="W432" i="1"/>
  <c r="W433" i="1" s="1"/>
  <c r="X432" i="1"/>
  <c r="X433" i="1" s="1"/>
  <c r="Y432" i="1"/>
  <c r="Y433" i="1" s="1"/>
  <c r="Z432" i="1"/>
  <c r="Z433" i="1" s="1"/>
  <c r="A434" i="1"/>
  <c r="A435" i="1" s="1"/>
  <c r="B434" i="1"/>
  <c r="B435" i="1" s="1"/>
  <c r="C434" i="1"/>
  <c r="C435" i="1" s="1"/>
  <c r="D434" i="1"/>
  <c r="D435" i="1" s="1"/>
  <c r="E434" i="1"/>
  <c r="E435" i="1" s="1"/>
  <c r="F434" i="1"/>
  <c r="F435" i="1" s="1"/>
  <c r="G434" i="1"/>
  <c r="H434" i="1"/>
  <c r="I434" i="1"/>
  <c r="J434" i="1"/>
  <c r="K434" i="1"/>
  <c r="M434" i="1"/>
  <c r="N434" i="1"/>
  <c r="P434" i="1"/>
  <c r="P435" i="1" s="1"/>
  <c r="Q434" i="1"/>
  <c r="Q435" i="1" s="1"/>
  <c r="R434" i="1"/>
  <c r="R435" i="1" s="1"/>
  <c r="S434" i="1"/>
  <c r="S435" i="1" s="1"/>
  <c r="T434" i="1"/>
  <c r="T435" i="1" s="1"/>
  <c r="V434" i="1"/>
  <c r="V435" i="1" s="1"/>
  <c r="W434" i="1"/>
  <c r="W435" i="1" s="1"/>
  <c r="X434" i="1"/>
  <c r="X435" i="1" s="1"/>
  <c r="Y434" i="1"/>
  <c r="Y435" i="1" s="1"/>
  <c r="Z434" i="1"/>
  <c r="Z435" i="1" s="1"/>
  <c r="A436" i="1"/>
  <c r="A437" i="1" s="1"/>
  <c r="B436" i="1"/>
  <c r="B437" i="1" s="1"/>
  <c r="C436" i="1"/>
  <c r="C437" i="1" s="1"/>
  <c r="D436" i="1"/>
  <c r="D437" i="1" s="1"/>
  <c r="E436" i="1"/>
  <c r="F436" i="1"/>
  <c r="F437" i="1" s="1"/>
  <c r="G436" i="1"/>
  <c r="H436" i="1"/>
  <c r="I436" i="1"/>
  <c r="J436" i="1"/>
  <c r="K436" i="1"/>
  <c r="M436" i="1"/>
  <c r="N436" i="1"/>
  <c r="P436" i="1"/>
  <c r="Q436" i="1"/>
  <c r="Q437" i="1" s="1"/>
  <c r="R436" i="1"/>
  <c r="R437" i="1" s="1"/>
  <c r="S436" i="1"/>
  <c r="S437" i="1" s="1"/>
  <c r="T436" i="1"/>
  <c r="T437" i="1" s="1"/>
  <c r="V436" i="1"/>
  <c r="V437" i="1" s="1"/>
  <c r="W436" i="1"/>
  <c r="W437" i="1" s="1"/>
  <c r="X436" i="1"/>
  <c r="X437" i="1" s="1"/>
  <c r="Y436" i="1"/>
  <c r="Y437" i="1" s="1"/>
  <c r="Z436" i="1"/>
  <c r="Z437" i="1" s="1"/>
  <c r="P437" i="1"/>
  <c r="A438" i="1"/>
  <c r="A439" i="1" s="1"/>
  <c r="B438" i="1"/>
  <c r="B439" i="1" s="1"/>
  <c r="C438" i="1"/>
  <c r="C439" i="1" s="1"/>
  <c r="D438" i="1"/>
  <c r="D439" i="1" s="1"/>
  <c r="E438" i="1"/>
  <c r="E439" i="1" s="1"/>
  <c r="F438" i="1"/>
  <c r="F439" i="1" s="1"/>
  <c r="G438" i="1"/>
  <c r="H438" i="1"/>
  <c r="I438" i="1"/>
  <c r="J438" i="1"/>
  <c r="K438" i="1"/>
  <c r="M438" i="1"/>
  <c r="N438" i="1"/>
  <c r="P438" i="1"/>
  <c r="P439" i="1" s="1"/>
  <c r="Q438" i="1"/>
  <c r="Q439" i="1" s="1"/>
  <c r="R438" i="1"/>
  <c r="R439" i="1" s="1"/>
  <c r="S438" i="1"/>
  <c r="S439" i="1" s="1"/>
  <c r="T438" i="1"/>
  <c r="T439" i="1" s="1"/>
  <c r="V438" i="1"/>
  <c r="V439" i="1" s="1"/>
  <c r="W438" i="1"/>
  <c r="W439" i="1" s="1"/>
  <c r="X438" i="1"/>
  <c r="X439" i="1" s="1"/>
  <c r="Y438" i="1"/>
  <c r="Y439" i="1" s="1"/>
  <c r="Z438" i="1"/>
  <c r="Z439" i="1" s="1"/>
  <c r="A440" i="1"/>
  <c r="A441" i="1" s="1"/>
  <c r="B440" i="1"/>
  <c r="B441" i="1" s="1"/>
  <c r="C440" i="1"/>
  <c r="C441" i="1" s="1"/>
  <c r="D440" i="1"/>
  <c r="E440" i="1"/>
  <c r="E441" i="1" s="1"/>
  <c r="F440" i="1"/>
  <c r="F441" i="1" s="1"/>
  <c r="G440" i="1"/>
  <c r="H440" i="1"/>
  <c r="I440" i="1"/>
  <c r="J440" i="1"/>
  <c r="K440" i="1"/>
  <c r="M440" i="1"/>
  <c r="N440" i="1"/>
  <c r="P440" i="1"/>
  <c r="P441" i="1" s="1"/>
  <c r="Q440" i="1"/>
  <c r="Q441" i="1" s="1"/>
  <c r="R440" i="1"/>
  <c r="R441" i="1" s="1"/>
  <c r="S440" i="1"/>
  <c r="S441" i="1" s="1"/>
  <c r="T440" i="1"/>
  <c r="T441" i="1" s="1"/>
  <c r="V440" i="1"/>
  <c r="V441" i="1" s="1"/>
  <c r="W440" i="1"/>
  <c r="W441" i="1" s="1"/>
  <c r="X440" i="1"/>
  <c r="X441" i="1" s="1"/>
  <c r="Y440" i="1"/>
  <c r="Y441" i="1" s="1"/>
  <c r="Z440" i="1"/>
  <c r="Z441" i="1" s="1"/>
  <c r="D441" i="1"/>
  <c r="A442" i="1"/>
  <c r="A443" i="1" s="1"/>
  <c r="B442" i="1"/>
  <c r="B443" i="1" s="1"/>
  <c r="C442" i="1"/>
  <c r="C443" i="1" s="1"/>
  <c r="D442" i="1"/>
  <c r="D443" i="1" s="1"/>
  <c r="E442" i="1"/>
  <c r="E443" i="1" s="1"/>
  <c r="F442" i="1"/>
  <c r="F443" i="1" s="1"/>
  <c r="G442" i="1"/>
  <c r="H442" i="1"/>
  <c r="I442" i="1"/>
  <c r="J442" i="1"/>
  <c r="K442" i="1"/>
  <c r="M442" i="1"/>
  <c r="N442" i="1"/>
  <c r="P442" i="1"/>
  <c r="P443" i="1" s="1"/>
  <c r="Q442" i="1"/>
  <c r="Q443" i="1" s="1"/>
  <c r="R442" i="1"/>
  <c r="R443" i="1" s="1"/>
  <c r="S442" i="1"/>
  <c r="S443" i="1" s="1"/>
  <c r="T442" i="1"/>
  <c r="T443" i="1" s="1"/>
  <c r="V442" i="1"/>
  <c r="V443" i="1" s="1"/>
  <c r="W442" i="1"/>
  <c r="W443" i="1" s="1"/>
  <c r="X442" i="1"/>
  <c r="X443" i="1" s="1"/>
  <c r="Y442" i="1"/>
  <c r="Y443" i="1" s="1"/>
  <c r="Z442" i="1"/>
  <c r="Z443" i="1" s="1"/>
  <c r="A444" i="1"/>
  <c r="A445" i="1" s="1"/>
  <c r="B444" i="1"/>
  <c r="B445" i="1" s="1"/>
  <c r="C444" i="1"/>
  <c r="D444" i="1"/>
  <c r="D445" i="1" s="1"/>
  <c r="E444" i="1"/>
  <c r="E445" i="1" s="1"/>
  <c r="F444" i="1"/>
  <c r="F445" i="1" s="1"/>
  <c r="G444" i="1"/>
  <c r="H444" i="1"/>
  <c r="I444" i="1"/>
  <c r="J444" i="1"/>
  <c r="K444" i="1"/>
  <c r="M444" i="1"/>
  <c r="N444" i="1"/>
  <c r="P444" i="1"/>
  <c r="P445" i="1" s="1"/>
  <c r="Q444" i="1"/>
  <c r="Q445" i="1" s="1"/>
  <c r="R444" i="1"/>
  <c r="R445" i="1" s="1"/>
  <c r="S444" i="1"/>
  <c r="S445" i="1" s="1"/>
  <c r="T444" i="1"/>
  <c r="T445" i="1" s="1"/>
  <c r="V444" i="1"/>
  <c r="V445" i="1" s="1"/>
  <c r="W444" i="1"/>
  <c r="W445" i="1" s="1"/>
  <c r="X444" i="1"/>
  <c r="X445" i="1" s="1"/>
  <c r="Y444" i="1"/>
  <c r="Y445" i="1" s="1"/>
  <c r="Z444" i="1"/>
  <c r="Z445" i="1" s="1"/>
  <c r="A446" i="1"/>
  <c r="A447" i="1" s="1"/>
  <c r="B446" i="1"/>
  <c r="B447" i="1" s="1"/>
  <c r="C446" i="1"/>
  <c r="C447" i="1" s="1"/>
  <c r="D446" i="1"/>
  <c r="E446" i="1"/>
  <c r="E447" i="1" s="1"/>
  <c r="F446" i="1"/>
  <c r="F447" i="1" s="1"/>
  <c r="G446" i="1"/>
  <c r="H446" i="1"/>
  <c r="I446" i="1"/>
  <c r="J446" i="1"/>
  <c r="K446" i="1"/>
  <c r="M446" i="1"/>
  <c r="N446" i="1"/>
  <c r="P446" i="1"/>
  <c r="P447" i="1" s="1"/>
  <c r="Q446" i="1"/>
  <c r="Q447" i="1" s="1"/>
  <c r="R446" i="1"/>
  <c r="R447" i="1" s="1"/>
  <c r="S446" i="1"/>
  <c r="S447" i="1" s="1"/>
  <c r="T446" i="1"/>
  <c r="T447" i="1" s="1"/>
  <c r="V446" i="1"/>
  <c r="V447" i="1" s="1"/>
  <c r="W446" i="1"/>
  <c r="W447" i="1" s="1"/>
  <c r="X446" i="1"/>
  <c r="X447" i="1" s="1"/>
  <c r="Y446" i="1"/>
  <c r="Y447" i="1" s="1"/>
  <c r="Z446" i="1"/>
  <c r="Z447" i="1" s="1"/>
  <c r="D447" i="1"/>
  <c r="A448" i="1"/>
  <c r="A449" i="1" s="1"/>
  <c r="B448" i="1"/>
  <c r="B449" i="1" s="1"/>
  <c r="C448" i="1"/>
  <c r="C449" i="1" s="1"/>
  <c r="D448" i="1"/>
  <c r="E448" i="1"/>
  <c r="E449" i="1" s="1"/>
  <c r="F448" i="1"/>
  <c r="F449" i="1" s="1"/>
  <c r="G448" i="1"/>
  <c r="H448" i="1"/>
  <c r="I448" i="1"/>
  <c r="J448" i="1"/>
  <c r="K448" i="1"/>
  <c r="M448" i="1"/>
  <c r="N448" i="1"/>
  <c r="P448" i="1"/>
  <c r="P449" i="1" s="1"/>
  <c r="Q448" i="1"/>
  <c r="Q449" i="1" s="1"/>
  <c r="R448" i="1"/>
  <c r="R449" i="1" s="1"/>
  <c r="S448" i="1"/>
  <c r="S449" i="1" s="1"/>
  <c r="T448" i="1"/>
  <c r="T449" i="1" s="1"/>
  <c r="V448" i="1"/>
  <c r="V449" i="1" s="1"/>
  <c r="W448" i="1"/>
  <c r="W449" i="1" s="1"/>
  <c r="X448" i="1"/>
  <c r="X449" i="1" s="1"/>
  <c r="Y448" i="1"/>
  <c r="Y449" i="1" s="1"/>
  <c r="Z448" i="1"/>
  <c r="Z449" i="1" s="1"/>
  <c r="D449" i="1"/>
  <c r="A450" i="1"/>
  <c r="A451" i="1" s="1"/>
  <c r="B450" i="1"/>
  <c r="B451" i="1" s="1"/>
  <c r="C450" i="1"/>
  <c r="C451" i="1" s="1"/>
  <c r="D450" i="1"/>
  <c r="E450" i="1"/>
  <c r="E451" i="1" s="1"/>
  <c r="F450" i="1"/>
  <c r="F451" i="1" s="1"/>
  <c r="G450" i="1"/>
  <c r="H450" i="1"/>
  <c r="I450" i="1"/>
  <c r="J450" i="1"/>
  <c r="K450" i="1"/>
  <c r="M450" i="1"/>
  <c r="N450" i="1"/>
  <c r="P450" i="1"/>
  <c r="P451" i="1" s="1"/>
  <c r="Q450" i="1"/>
  <c r="Q451" i="1" s="1"/>
  <c r="R450" i="1"/>
  <c r="R451" i="1" s="1"/>
  <c r="S450" i="1"/>
  <c r="S451" i="1" s="1"/>
  <c r="T450" i="1"/>
  <c r="T451" i="1" s="1"/>
  <c r="V450" i="1"/>
  <c r="V451" i="1" s="1"/>
  <c r="W450" i="1"/>
  <c r="W451" i="1" s="1"/>
  <c r="X450" i="1"/>
  <c r="X451" i="1" s="1"/>
  <c r="Y450" i="1"/>
  <c r="Y451" i="1" s="1"/>
  <c r="Z450" i="1"/>
  <c r="Z451" i="1" s="1"/>
  <c r="D451" i="1"/>
  <c r="A452" i="1"/>
  <c r="A453" i="1" s="1"/>
  <c r="B452" i="1"/>
  <c r="B453" i="1" s="1"/>
  <c r="C452" i="1"/>
  <c r="C453" i="1" s="1"/>
  <c r="D452" i="1"/>
  <c r="D453" i="1" s="1"/>
  <c r="E452" i="1"/>
  <c r="E453" i="1" s="1"/>
  <c r="F452" i="1"/>
  <c r="F453" i="1" s="1"/>
  <c r="G452" i="1"/>
  <c r="H452" i="1"/>
  <c r="I452" i="1"/>
  <c r="J452" i="1"/>
  <c r="K452" i="1"/>
  <c r="M452" i="1"/>
  <c r="N452" i="1"/>
  <c r="P452" i="1"/>
  <c r="P453" i="1" s="1"/>
  <c r="Q452" i="1"/>
  <c r="Q453" i="1" s="1"/>
  <c r="R452" i="1"/>
  <c r="R453" i="1" s="1"/>
  <c r="S452" i="1"/>
  <c r="S453" i="1" s="1"/>
  <c r="T452" i="1"/>
  <c r="T453" i="1" s="1"/>
  <c r="V452" i="1"/>
  <c r="V453" i="1" s="1"/>
  <c r="W452" i="1"/>
  <c r="W453" i="1" s="1"/>
  <c r="X452" i="1"/>
  <c r="X453" i="1" s="1"/>
  <c r="Y452" i="1"/>
  <c r="Y453" i="1" s="1"/>
  <c r="Z452" i="1"/>
  <c r="Z453" i="1" s="1"/>
  <c r="A454" i="1"/>
  <c r="A455" i="1" s="1"/>
  <c r="B454" i="1"/>
  <c r="B455" i="1" s="1"/>
  <c r="C454" i="1"/>
  <c r="C455" i="1" s="1"/>
  <c r="D454" i="1"/>
  <c r="D455" i="1" s="1"/>
  <c r="E454" i="1"/>
  <c r="E455" i="1" s="1"/>
  <c r="F454" i="1"/>
  <c r="F455" i="1" s="1"/>
  <c r="G454" i="1"/>
  <c r="H454" i="1"/>
  <c r="I454" i="1"/>
  <c r="J454" i="1"/>
  <c r="K454" i="1"/>
  <c r="M454" i="1"/>
  <c r="N454" i="1"/>
  <c r="P454" i="1"/>
  <c r="P455" i="1" s="1"/>
  <c r="Q454" i="1"/>
  <c r="Q455" i="1" s="1"/>
  <c r="R454" i="1"/>
  <c r="R455" i="1" s="1"/>
  <c r="S454" i="1"/>
  <c r="S455" i="1" s="1"/>
  <c r="T454" i="1"/>
  <c r="T455" i="1" s="1"/>
  <c r="V454" i="1"/>
  <c r="V455" i="1" s="1"/>
  <c r="W454" i="1"/>
  <c r="W455" i="1" s="1"/>
  <c r="X454" i="1"/>
  <c r="X455" i="1" s="1"/>
  <c r="Y454" i="1"/>
  <c r="Y455" i="1" s="1"/>
  <c r="Z454" i="1"/>
  <c r="Z455" i="1" s="1"/>
  <c r="A456" i="1"/>
  <c r="A457" i="1" s="1"/>
  <c r="B456" i="1"/>
  <c r="B457" i="1" s="1"/>
  <c r="C456" i="1"/>
  <c r="C457" i="1" s="1"/>
  <c r="D456" i="1"/>
  <c r="D457" i="1" s="1"/>
  <c r="E456" i="1"/>
  <c r="E457" i="1" s="1"/>
  <c r="F456" i="1"/>
  <c r="F457" i="1" s="1"/>
  <c r="G456" i="1"/>
  <c r="H456" i="1"/>
  <c r="I456" i="1"/>
  <c r="J456" i="1"/>
  <c r="K456" i="1"/>
  <c r="M456" i="1"/>
  <c r="N456" i="1"/>
  <c r="P456" i="1"/>
  <c r="P457" i="1" s="1"/>
  <c r="Q456" i="1"/>
  <c r="Q457" i="1" s="1"/>
  <c r="R456" i="1"/>
  <c r="S456" i="1"/>
  <c r="S457" i="1" s="1"/>
  <c r="T456" i="1"/>
  <c r="T457" i="1" s="1"/>
  <c r="V456" i="1"/>
  <c r="V457" i="1" s="1"/>
  <c r="W456" i="1"/>
  <c r="W457" i="1" s="1"/>
  <c r="X456" i="1"/>
  <c r="X457" i="1" s="1"/>
  <c r="Y456" i="1"/>
  <c r="Y457" i="1" s="1"/>
  <c r="Z456" i="1"/>
  <c r="Z457" i="1" s="1"/>
  <c r="R457" i="1"/>
  <c r="A458" i="1"/>
  <c r="A459" i="1" s="1"/>
  <c r="B458" i="1"/>
  <c r="B459" i="1" s="1"/>
  <c r="C458" i="1"/>
  <c r="C459" i="1" s="1"/>
  <c r="D458" i="1"/>
  <c r="D459" i="1" s="1"/>
  <c r="E458" i="1"/>
  <c r="E459" i="1" s="1"/>
  <c r="F458" i="1"/>
  <c r="F459" i="1" s="1"/>
  <c r="G458" i="1"/>
  <c r="H458" i="1"/>
  <c r="I458" i="1"/>
  <c r="J458" i="1"/>
  <c r="K458" i="1"/>
  <c r="M458" i="1"/>
  <c r="N458" i="1"/>
  <c r="P458" i="1"/>
  <c r="P459" i="1" s="1"/>
  <c r="Q458" i="1"/>
  <c r="Q459" i="1" s="1"/>
  <c r="R458" i="1"/>
  <c r="R459" i="1" s="1"/>
  <c r="S458" i="1"/>
  <c r="S459" i="1" s="1"/>
  <c r="T458" i="1"/>
  <c r="T459" i="1" s="1"/>
  <c r="V458" i="1"/>
  <c r="V459" i="1" s="1"/>
  <c r="W458" i="1"/>
  <c r="W459" i="1" s="1"/>
  <c r="X458" i="1"/>
  <c r="X459" i="1" s="1"/>
  <c r="Y458" i="1"/>
  <c r="Y459" i="1" s="1"/>
  <c r="Z458" i="1"/>
  <c r="Z459" i="1" s="1"/>
  <c r="A460" i="1"/>
  <c r="A461" i="1" s="1"/>
  <c r="B460" i="1"/>
  <c r="B461" i="1" s="1"/>
  <c r="C460" i="1"/>
  <c r="C461" i="1" s="1"/>
  <c r="D460" i="1"/>
  <c r="D461" i="1" s="1"/>
  <c r="E460" i="1"/>
  <c r="E461" i="1" s="1"/>
  <c r="F460" i="1"/>
  <c r="F461" i="1" s="1"/>
  <c r="G460" i="1"/>
  <c r="H460" i="1"/>
  <c r="I460" i="1"/>
  <c r="J460" i="1"/>
  <c r="K460" i="1"/>
  <c r="M460" i="1"/>
  <c r="N460" i="1"/>
  <c r="P460" i="1"/>
  <c r="P461" i="1" s="1"/>
  <c r="Q460" i="1"/>
  <c r="Q461" i="1" s="1"/>
  <c r="R460" i="1"/>
  <c r="R461" i="1" s="1"/>
  <c r="S460" i="1"/>
  <c r="S461" i="1" s="1"/>
  <c r="T460" i="1"/>
  <c r="T461" i="1" s="1"/>
  <c r="V460" i="1"/>
  <c r="V461" i="1" s="1"/>
  <c r="W460" i="1"/>
  <c r="W461" i="1" s="1"/>
  <c r="X460" i="1"/>
  <c r="X461" i="1" s="1"/>
  <c r="Y460" i="1"/>
  <c r="Y461" i="1" s="1"/>
  <c r="Z460" i="1"/>
  <c r="Z461" i="1" s="1"/>
  <c r="A462" i="1"/>
  <c r="A463" i="1" s="1"/>
  <c r="B462" i="1"/>
  <c r="B463" i="1" s="1"/>
  <c r="C462" i="1"/>
  <c r="C463" i="1" s="1"/>
  <c r="D462" i="1"/>
  <c r="D463" i="1" s="1"/>
  <c r="E462" i="1"/>
  <c r="E463" i="1" s="1"/>
  <c r="F462" i="1"/>
  <c r="F463" i="1" s="1"/>
  <c r="G462" i="1"/>
  <c r="H462" i="1"/>
  <c r="I462" i="1"/>
  <c r="J462" i="1"/>
  <c r="K462" i="1"/>
  <c r="M462" i="1"/>
  <c r="N462" i="1"/>
  <c r="P462" i="1"/>
  <c r="P463" i="1" s="1"/>
  <c r="Q462" i="1"/>
  <c r="Q463" i="1" s="1"/>
  <c r="R462" i="1"/>
  <c r="R463" i="1" s="1"/>
  <c r="S462" i="1"/>
  <c r="S463" i="1" s="1"/>
  <c r="T462" i="1"/>
  <c r="T463" i="1" s="1"/>
  <c r="V462" i="1"/>
  <c r="V463" i="1" s="1"/>
  <c r="W462" i="1"/>
  <c r="W463" i="1" s="1"/>
  <c r="X462" i="1"/>
  <c r="X463" i="1" s="1"/>
  <c r="Y462" i="1"/>
  <c r="Y463" i="1" s="1"/>
  <c r="Z462" i="1"/>
  <c r="Z463" i="1" s="1"/>
  <c r="A464" i="1"/>
  <c r="A465" i="1" s="1"/>
  <c r="B464" i="1"/>
  <c r="B465" i="1" s="1"/>
  <c r="C464" i="1"/>
  <c r="C465" i="1" s="1"/>
  <c r="D464" i="1"/>
  <c r="D465" i="1" s="1"/>
  <c r="E464" i="1"/>
  <c r="E465" i="1" s="1"/>
  <c r="F464" i="1"/>
  <c r="F465" i="1" s="1"/>
  <c r="G464" i="1"/>
  <c r="H464" i="1"/>
  <c r="I464" i="1"/>
  <c r="J464" i="1"/>
  <c r="K464" i="1"/>
  <c r="M464" i="1"/>
  <c r="N464" i="1"/>
  <c r="P464" i="1"/>
  <c r="P465" i="1" s="1"/>
  <c r="Q464" i="1"/>
  <c r="Q465" i="1" s="1"/>
  <c r="R464" i="1"/>
  <c r="R465" i="1" s="1"/>
  <c r="S464" i="1"/>
  <c r="S465" i="1" s="1"/>
  <c r="T464" i="1"/>
  <c r="T465" i="1" s="1"/>
  <c r="V464" i="1"/>
  <c r="V465" i="1" s="1"/>
  <c r="W464" i="1"/>
  <c r="W465" i="1" s="1"/>
  <c r="X464" i="1"/>
  <c r="X465" i="1" s="1"/>
  <c r="Y464" i="1"/>
  <c r="Y465" i="1" s="1"/>
  <c r="Z464" i="1"/>
  <c r="Z465" i="1" s="1"/>
  <c r="A466" i="1"/>
  <c r="A467" i="1" s="1"/>
  <c r="B466" i="1"/>
  <c r="B467" i="1" s="1"/>
  <c r="C466" i="1"/>
  <c r="C467" i="1" s="1"/>
  <c r="D466" i="1"/>
  <c r="E466" i="1"/>
  <c r="F466" i="1"/>
  <c r="F467" i="1" s="1"/>
  <c r="G466" i="1"/>
  <c r="H466" i="1"/>
  <c r="I466" i="1"/>
  <c r="J466" i="1"/>
  <c r="K466" i="1"/>
  <c r="M466" i="1"/>
  <c r="N466" i="1"/>
  <c r="P466" i="1"/>
  <c r="P467" i="1" s="1"/>
  <c r="Q466" i="1"/>
  <c r="Q467" i="1" s="1"/>
  <c r="R466" i="1"/>
  <c r="R467" i="1" s="1"/>
  <c r="S466" i="1"/>
  <c r="S467" i="1" s="1"/>
  <c r="T466" i="1"/>
  <c r="T467" i="1" s="1"/>
  <c r="V466" i="1"/>
  <c r="V467" i="1" s="1"/>
  <c r="W466" i="1"/>
  <c r="W467" i="1" s="1"/>
  <c r="X466" i="1"/>
  <c r="X467" i="1" s="1"/>
  <c r="Y466" i="1"/>
  <c r="Y467" i="1" s="1"/>
  <c r="Z466" i="1"/>
  <c r="Z467" i="1" s="1"/>
  <c r="D467" i="1"/>
  <c r="A468" i="1"/>
  <c r="A469" i="1" s="1"/>
  <c r="B468" i="1"/>
  <c r="B469" i="1" s="1"/>
  <c r="C468" i="1"/>
  <c r="C469" i="1" s="1"/>
  <c r="D468" i="1"/>
  <c r="E468" i="1"/>
  <c r="E469" i="1" s="1"/>
  <c r="F468" i="1"/>
  <c r="F469" i="1" s="1"/>
  <c r="G468" i="1"/>
  <c r="H468" i="1"/>
  <c r="I468" i="1"/>
  <c r="J468" i="1"/>
  <c r="K468" i="1"/>
  <c r="M468" i="1"/>
  <c r="N468" i="1"/>
  <c r="P468" i="1"/>
  <c r="P469" i="1" s="1"/>
  <c r="Q468" i="1"/>
  <c r="Q469" i="1" s="1"/>
  <c r="R468" i="1"/>
  <c r="R469" i="1" s="1"/>
  <c r="S468" i="1"/>
  <c r="S469" i="1" s="1"/>
  <c r="T468" i="1"/>
  <c r="T469" i="1" s="1"/>
  <c r="V468" i="1"/>
  <c r="V469" i="1" s="1"/>
  <c r="W468" i="1"/>
  <c r="W469" i="1" s="1"/>
  <c r="X468" i="1"/>
  <c r="X469" i="1" s="1"/>
  <c r="Y468" i="1"/>
  <c r="Y469" i="1" s="1"/>
  <c r="Z468" i="1"/>
  <c r="Z469" i="1" s="1"/>
  <c r="D469" i="1"/>
  <c r="A470" i="1"/>
  <c r="A471" i="1" s="1"/>
  <c r="B470" i="1"/>
  <c r="B471" i="1" s="1"/>
  <c r="C470" i="1"/>
  <c r="C471" i="1" s="1"/>
  <c r="D470" i="1"/>
  <c r="E470" i="1"/>
  <c r="E471" i="1" s="1"/>
  <c r="F470" i="1"/>
  <c r="F471" i="1" s="1"/>
  <c r="G470" i="1"/>
  <c r="H470" i="1"/>
  <c r="I470" i="1"/>
  <c r="J470" i="1"/>
  <c r="K470" i="1"/>
  <c r="M470" i="1"/>
  <c r="N470" i="1"/>
  <c r="P470" i="1"/>
  <c r="P471" i="1" s="1"/>
  <c r="Q470" i="1"/>
  <c r="Q471" i="1" s="1"/>
  <c r="R470" i="1"/>
  <c r="R471" i="1" s="1"/>
  <c r="S470" i="1"/>
  <c r="S471" i="1" s="1"/>
  <c r="T470" i="1"/>
  <c r="T471" i="1" s="1"/>
  <c r="V470" i="1"/>
  <c r="V471" i="1" s="1"/>
  <c r="W470" i="1"/>
  <c r="W471" i="1" s="1"/>
  <c r="X470" i="1"/>
  <c r="X471" i="1" s="1"/>
  <c r="Y470" i="1"/>
  <c r="Y471" i="1" s="1"/>
  <c r="Z470" i="1"/>
  <c r="Z471" i="1" s="1"/>
  <c r="D471" i="1"/>
  <c r="A472" i="1"/>
  <c r="A473" i="1" s="1"/>
  <c r="B472" i="1"/>
  <c r="B473" i="1" s="1"/>
  <c r="C472" i="1"/>
  <c r="D472" i="1"/>
  <c r="E472" i="1"/>
  <c r="F472" i="1"/>
  <c r="F473" i="1" s="1"/>
  <c r="G472" i="1"/>
  <c r="H472" i="1"/>
  <c r="I472" i="1"/>
  <c r="J472" i="1"/>
  <c r="K472" i="1"/>
  <c r="M472" i="1"/>
  <c r="N472" i="1"/>
  <c r="P472" i="1"/>
  <c r="P473" i="1" s="1"/>
  <c r="Q472" i="1"/>
  <c r="Q473" i="1" s="1"/>
  <c r="R472" i="1"/>
  <c r="R473" i="1" s="1"/>
  <c r="S472" i="1"/>
  <c r="S473" i="1" s="1"/>
  <c r="T472" i="1"/>
  <c r="T473" i="1" s="1"/>
  <c r="V472" i="1"/>
  <c r="V473" i="1" s="1"/>
  <c r="W472" i="1"/>
  <c r="W473" i="1" s="1"/>
  <c r="X472" i="1"/>
  <c r="X473" i="1" s="1"/>
  <c r="Y472" i="1"/>
  <c r="Y473" i="1" s="1"/>
  <c r="Z472" i="1"/>
  <c r="Z473" i="1" s="1"/>
  <c r="D473" i="1"/>
  <c r="E473" i="1"/>
  <c r="A474" i="1"/>
  <c r="A475" i="1" s="1"/>
  <c r="B474" i="1"/>
  <c r="B475" i="1" s="1"/>
  <c r="C474" i="1"/>
  <c r="C475" i="1" s="1"/>
  <c r="D474" i="1"/>
  <c r="D475" i="1" s="1"/>
  <c r="E474" i="1"/>
  <c r="F474" i="1"/>
  <c r="F475" i="1" s="1"/>
  <c r="G474" i="1"/>
  <c r="H474" i="1"/>
  <c r="I474" i="1"/>
  <c r="J474" i="1"/>
  <c r="K474" i="1"/>
  <c r="M474" i="1"/>
  <c r="N474" i="1"/>
  <c r="P474" i="1"/>
  <c r="P475" i="1" s="1"/>
  <c r="Q474" i="1"/>
  <c r="Q475" i="1" s="1"/>
  <c r="R474" i="1"/>
  <c r="R475" i="1" s="1"/>
  <c r="S474" i="1"/>
  <c r="S475" i="1" s="1"/>
  <c r="T474" i="1"/>
  <c r="T475" i="1" s="1"/>
  <c r="V474" i="1"/>
  <c r="V475" i="1" s="1"/>
  <c r="W474" i="1"/>
  <c r="W475" i="1" s="1"/>
  <c r="X474" i="1"/>
  <c r="X475" i="1" s="1"/>
  <c r="Y474" i="1"/>
  <c r="Y475" i="1" s="1"/>
  <c r="Z474" i="1"/>
  <c r="Z475" i="1" s="1"/>
  <c r="A476" i="1"/>
  <c r="A477" i="1" s="1"/>
  <c r="B476" i="1"/>
  <c r="B477" i="1" s="1"/>
  <c r="C476" i="1"/>
  <c r="C477" i="1" s="1"/>
  <c r="D476" i="1"/>
  <c r="E476" i="1"/>
  <c r="E477" i="1" s="1"/>
  <c r="F476" i="1"/>
  <c r="F477" i="1" s="1"/>
  <c r="G476" i="1"/>
  <c r="H476" i="1"/>
  <c r="I476" i="1"/>
  <c r="J476" i="1"/>
  <c r="K476" i="1"/>
  <c r="M476" i="1"/>
  <c r="N476" i="1"/>
  <c r="P476" i="1"/>
  <c r="P477" i="1" s="1"/>
  <c r="Q476" i="1"/>
  <c r="Q477" i="1" s="1"/>
  <c r="R476" i="1"/>
  <c r="R477" i="1" s="1"/>
  <c r="S476" i="1"/>
  <c r="S477" i="1" s="1"/>
  <c r="T476" i="1"/>
  <c r="T477" i="1" s="1"/>
  <c r="V476" i="1"/>
  <c r="V477" i="1" s="1"/>
  <c r="W476" i="1"/>
  <c r="W477" i="1" s="1"/>
  <c r="X476" i="1"/>
  <c r="X477" i="1" s="1"/>
  <c r="Y476" i="1"/>
  <c r="Y477" i="1" s="1"/>
  <c r="Z476" i="1"/>
  <c r="Z477" i="1" s="1"/>
  <c r="D477" i="1"/>
  <c r="A478" i="1"/>
  <c r="A479" i="1" s="1"/>
  <c r="B478" i="1"/>
  <c r="B479" i="1" s="1"/>
  <c r="C478" i="1"/>
  <c r="C479" i="1" s="1"/>
  <c r="D478" i="1"/>
  <c r="E478" i="1"/>
  <c r="E479" i="1" s="1"/>
  <c r="F478" i="1"/>
  <c r="F479" i="1" s="1"/>
  <c r="G478" i="1"/>
  <c r="H478" i="1"/>
  <c r="I478" i="1"/>
  <c r="J478" i="1"/>
  <c r="K478" i="1"/>
  <c r="M478" i="1"/>
  <c r="N478" i="1"/>
  <c r="P478" i="1"/>
  <c r="P479" i="1" s="1"/>
  <c r="Q478" i="1"/>
  <c r="Q479" i="1" s="1"/>
  <c r="R478" i="1"/>
  <c r="R479" i="1" s="1"/>
  <c r="S478" i="1"/>
  <c r="S479" i="1" s="1"/>
  <c r="T478" i="1"/>
  <c r="T479" i="1" s="1"/>
  <c r="V478" i="1"/>
  <c r="V479" i="1" s="1"/>
  <c r="W478" i="1"/>
  <c r="W479" i="1" s="1"/>
  <c r="X478" i="1"/>
  <c r="X479" i="1" s="1"/>
  <c r="Y478" i="1"/>
  <c r="Y479" i="1" s="1"/>
  <c r="Z478" i="1"/>
  <c r="Z479" i="1" s="1"/>
  <c r="D479" i="1"/>
  <c r="A480" i="1"/>
  <c r="A481" i="1" s="1"/>
  <c r="B480" i="1"/>
  <c r="B481" i="1" s="1"/>
  <c r="C480" i="1"/>
  <c r="D480" i="1"/>
  <c r="D481" i="1" s="1"/>
  <c r="E480" i="1"/>
  <c r="E481" i="1" s="1"/>
  <c r="F480" i="1"/>
  <c r="F481" i="1" s="1"/>
  <c r="G480" i="1"/>
  <c r="H480" i="1"/>
  <c r="I480" i="1"/>
  <c r="J480" i="1"/>
  <c r="K480" i="1"/>
  <c r="M480" i="1"/>
  <c r="N480" i="1"/>
  <c r="P480" i="1"/>
  <c r="P481" i="1" s="1"/>
  <c r="Q480" i="1"/>
  <c r="Q481" i="1" s="1"/>
  <c r="R480" i="1"/>
  <c r="R481" i="1" s="1"/>
  <c r="S480" i="1"/>
  <c r="S481" i="1" s="1"/>
  <c r="T480" i="1"/>
  <c r="T481" i="1" s="1"/>
  <c r="V480" i="1"/>
  <c r="V481" i="1" s="1"/>
  <c r="W480" i="1"/>
  <c r="W481" i="1" s="1"/>
  <c r="X480" i="1"/>
  <c r="X481" i="1" s="1"/>
  <c r="Y480" i="1"/>
  <c r="Y481" i="1" s="1"/>
  <c r="Z480" i="1"/>
  <c r="Z481" i="1" s="1"/>
  <c r="A482" i="1"/>
  <c r="A483" i="1" s="1"/>
  <c r="B482" i="1"/>
  <c r="B483" i="1" s="1"/>
  <c r="C482" i="1"/>
  <c r="C483" i="1" s="1"/>
  <c r="D482" i="1"/>
  <c r="D483" i="1" s="1"/>
  <c r="E482" i="1"/>
  <c r="E483" i="1" s="1"/>
  <c r="F482" i="1"/>
  <c r="F483" i="1" s="1"/>
  <c r="G482" i="1"/>
  <c r="H482" i="1"/>
  <c r="I482" i="1"/>
  <c r="J482" i="1"/>
  <c r="K482" i="1"/>
  <c r="M482" i="1"/>
  <c r="N482" i="1"/>
  <c r="P482" i="1"/>
  <c r="P483" i="1" s="1"/>
  <c r="Q482" i="1"/>
  <c r="Q483" i="1" s="1"/>
  <c r="R482" i="1"/>
  <c r="R483" i="1" s="1"/>
  <c r="S482" i="1"/>
  <c r="S483" i="1" s="1"/>
  <c r="T482" i="1"/>
  <c r="T483" i="1" s="1"/>
  <c r="V482" i="1"/>
  <c r="V483" i="1" s="1"/>
  <c r="W482" i="1"/>
  <c r="W483" i="1" s="1"/>
  <c r="X482" i="1"/>
  <c r="X483" i="1" s="1"/>
  <c r="Y482" i="1"/>
  <c r="Y483" i="1" s="1"/>
  <c r="Z482" i="1"/>
  <c r="Z483" i="1" s="1"/>
  <c r="A484" i="1"/>
  <c r="A485" i="1" s="1"/>
  <c r="B484" i="1"/>
  <c r="B485" i="1" s="1"/>
  <c r="C484" i="1"/>
  <c r="C485" i="1" s="1"/>
  <c r="D484" i="1"/>
  <c r="E484" i="1"/>
  <c r="F484" i="1"/>
  <c r="F485" i="1" s="1"/>
  <c r="G484" i="1"/>
  <c r="H484" i="1"/>
  <c r="I484" i="1"/>
  <c r="J484" i="1"/>
  <c r="K484" i="1"/>
  <c r="M484" i="1"/>
  <c r="N484" i="1"/>
  <c r="P484" i="1"/>
  <c r="P485" i="1" s="1"/>
  <c r="Q484" i="1"/>
  <c r="Q485" i="1" s="1"/>
  <c r="R484" i="1"/>
  <c r="R485" i="1" s="1"/>
  <c r="S484" i="1"/>
  <c r="S485" i="1" s="1"/>
  <c r="T484" i="1"/>
  <c r="T485" i="1" s="1"/>
  <c r="V484" i="1"/>
  <c r="V485" i="1" s="1"/>
  <c r="W484" i="1"/>
  <c r="W485" i="1" s="1"/>
  <c r="X484" i="1"/>
  <c r="X485" i="1" s="1"/>
  <c r="Y484" i="1"/>
  <c r="Y485" i="1" s="1"/>
  <c r="Z484" i="1"/>
  <c r="Z485" i="1" s="1"/>
  <c r="D485" i="1"/>
  <c r="A486" i="1"/>
  <c r="A487" i="1" s="1"/>
  <c r="B486" i="1"/>
  <c r="B487" i="1" s="1"/>
  <c r="C486" i="1"/>
  <c r="C487" i="1" s="1"/>
  <c r="D486" i="1"/>
  <c r="E486" i="1"/>
  <c r="F486" i="1"/>
  <c r="F487" i="1" s="1"/>
  <c r="G486" i="1"/>
  <c r="H486" i="1"/>
  <c r="I486" i="1"/>
  <c r="J486" i="1"/>
  <c r="K486" i="1"/>
  <c r="M486" i="1"/>
  <c r="N486" i="1"/>
  <c r="P486" i="1"/>
  <c r="P487" i="1" s="1"/>
  <c r="Q486" i="1"/>
  <c r="Q487" i="1" s="1"/>
  <c r="R486" i="1"/>
  <c r="R487" i="1" s="1"/>
  <c r="S486" i="1"/>
  <c r="S487" i="1" s="1"/>
  <c r="T486" i="1"/>
  <c r="T487" i="1" s="1"/>
  <c r="V486" i="1"/>
  <c r="V487" i="1" s="1"/>
  <c r="W486" i="1"/>
  <c r="W487" i="1" s="1"/>
  <c r="X486" i="1"/>
  <c r="X487" i="1" s="1"/>
  <c r="Y486" i="1"/>
  <c r="Y487" i="1" s="1"/>
  <c r="Z486" i="1"/>
  <c r="Z487" i="1" s="1"/>
  <c r="D487" i="1"/>
  <c r="A488" i="1"/>
  <c r="A489" i="1" s="1"/>
  <c r="B488" i="1"/>
  <c r="B489" i="1" s="1"/>
  <c r="C488" i="1"/>
  <c r="C489" i="1" s="1"/>
  <c r="D488" i="1"/>
  <c r="E488" i="1"/>
  <c r="E489" i="1" s="1"/>
  <c r="F488" i="1"/>
  <c r="F489" i="1" s="1"/>
  <c r="G488" i="1"/>
  <c r="H488" i="1"/>
  <c r="I488" i="1"/>
  <c r="J488" i="1"/>
  <c r="K488" i="1"/>
  <c r="M488" i="1"/>
  <c r="N488" i="1"/>
  <c r="P488" i="1"/>
  <c r="P489" i="1" s="1"/>
  <c r="Q488" i="1"/>
  <c r="Q489" i="1" s="1"/>
  <c r="R488" i="1"/>
  <c r="R489" i="1" s="1"/>
  <c r="S488" i="1"/>
  <c r="S489" i="1" s="1"/>
  <c r="T488" i="1"/>
  <c r="T489" i="1" s="1"/>
  <c r="V488" i="1"/>
  <c r="V489" i="1" s="1"/>
  <c r="W488" i="1"/>
  <c r="W489" i="1" s="1"/>
  <c r="X488" i="1"/>
  <c r="X489" i="1" s="1"/>
  <c r="Y488" i="1"/>
  <c r="Y489" i="1" s="1"/>
  <c r="Z488" i="1"/>
  <c r="Z489" i="1" s="1"/>
  <c r="D489" i="1"/>
  <c r="A490" i="1"/>
  <c r="A491" i="1" s="1"/>
  <c r="B490" i="1"/>
  <c r="B491" i="1" s="1"/>
  <c r="C490" i="1"/>
  <c r="C491" i="1" s="1"/>
  <c r="D490" i="1"/>
  <c r="D491" i="1" s="1"/>
  <c r="E490" i="1"/>
  <c r="F490" i="1"/>
  <c r="F491" i="1" s="1"/>
  <c r="G490" i="1"/>
  <c r="H490" i="1"/>
  <c r="I490" i="1"/>
  <c r="J490" i="1"/>
  <c r="K490" i="1"/>
  <c r="M490" i="1"/>
  <c r="N490" i="1"/>
  <c r="P490" i="1"/>
  <c r="P491" i="1" s="1"/>
  <c r="Q490" i="1"/>
  <c r="Q491" i="1" s="1"/>
  <c r="R490" i="1"/>
  <c r="R491" i="1" s="1"/>
  <c r="S490" i="1"/>
  <c r="S491" i="1" s="1"/>
  <c r="T490" i="1"/>
  <c r="T491" i="1" s="1"/>
  <c r="V490" i="1"/>
  <c r="V491" i="1" s="1"/>
  <c r="W490" i="1"/>
  <c r="W491" i="1" s="1"/>
  <c r="X490" i="1"/>
  <c r="X491" i="1" s="1"/>
  <c r="Y490" i="1"/>
  <c r="Y491" i="1" s="1"/>
  <c r="Z490" i="1"/>
  <c r="Z491" i="1" s="1"/>
  <c r="A492" i="1"/>
  <c r="A493" i="1" s="1"/>
  <c r="B492" i="1"/>
  <c r="B493" i="1" s="1"/>
  <c r="C492" i="1"/>
  <c r="C493" i="1" s="1"/>
  <c r="D492" i="1"/>
  <c r="D493" i="1" s="1"/>
  <c r="E492" i="1"/>
  <c r="E493" i="1" s="1"/>
  <c r="F492" i="1"/>
  <c r="F493" i="1" s="1"/>
  <c r="G492" i="1"/>
  <c r="H492" i="1"/>
  <c r="I492" i="1"/>
  <c r="J492" i="1"/>
  <c r="K492" i="1"/>
  <c r="M492" i="1"/>
  <c r="N492" i="1"/>
  <c r="P492" i="1"/>
  <c r="P493" i="1" s="1"/>
  <c r="Q492" i="1"/>
  <c r="Q493" i="1" s="1"/>
  <c r="R492" i="1"/>
  <c r="R493" i="1" s="1"/>
  <c r="S492" i="1"/>
  <c r="S493" i="1" s="1"/>
  <c r="T492" i="1"/>
  <c r="T493" i="1" s="1"/>
  <c r="V492" i="1"/>
  <c r="V493" i="1" s="1"/>
  <c r="W492" i="1"/>
  <c r="W493" i="1" s="1"/>
  <c r="X492" i="1"/>
  <c r="X493" i="1" s="1"/>
  <c r="Y492" i="1"/>
  <c r="Y493" i="1" s="1"/>
  <c r="Z492" i="1"/>
  <c r="Z493" i="1" s="1"/>
  <c r="A494" i="1"/>
  <c r="A495" i="1" s="1"/>
  <c r="B494" i="1"/>
  <c r="B495" i="1" s="1"/>
  <c r="C494" i="1"/>
  <c r="C495" i="1" s="1"/>
  <c r="D494" i="1"/>
  <c r="D495" i="1" s="1"/>
  <c r="E494" i="1"/>
  <c r="E495" i="1" s="1"/>
  <c r="F494" i="1"/>
  <c r="F495" i="1" s="1"/>
  <c r="G494" i="1"/>
  <c r="H494" i="1"/>
  <c r="I494" i="1"/>
  <c r="J494" i="1"/>
  <c r="K494" i="1"/>
  <c r="M494" i="1"/>
  <c r="N494" i="1"/>
  <c r="P494" i="1"/>
  <c r="P495" i="1" s="1"/>
  <c r="Q494" i="1"/>
  <c r="Q495" i="1" s="1"/>
  <c r="R494" i="1"/>
  <c r="R495" i="1" s="1"/>
  <c r="S494" i="1"/>
  <c r="S495" i="1" s="1"/>
  <c r="T494" i="1"/>
  <c r="T495" i="1" s="1"/>
  <c r="V494" i="1"/>
  <c r="V495" i="1" s="1"/>
  <c r="W494" i="1"/>
  <c r="W495" i="1" s="1"/>
  <c r="X494" i="1"/>
  <c r="X495" i="1" s="1"/>
  <c r="Y494" i="1"/>
  <c r="Y495" i="1" s="1"/>
  <c r="Z494" i="1"/>
  <c r="Z495" i="1" s="1"/>
  <c r="A496" i="1"/>
  <c r="A497" i="1" s="1"/>
  <c r="B496" i="1"/>
  <c r="B497" i="1" s="1"/>
  <c r="C496" i="1"/>
  <c r="C497" i="1" s="1"/>
  <c r="D496" i="1"/>
  <c r="E496" i="1"/>
  <c r="E497" i="1" s="1"/>
  <c r="F496" i="1"/>
  <c r="F497" i="1" s="1"/>
  <c r="G496" i="1"/>
  <c r="H496" i="1"/>
  <c r="I496" i="1"/>
  <c r="J496" i="1"/>
  <c r="K496" i="1"/>
  <c r="M496" i="1"/>
  <c r="N496" i="1"/>
  <c r="P496" i="1"/>
  <c r="P497" i="1" s="1"/>
  <c r="Q496" i="1"/>
  <c r="Q497" i="1" s="1"/>
  <c r="R496" i="1"/>
  <c r="R497" i="1" s="1"/>
  <c r="S496" i="1"/>
  <c r="S497" i="1" s="1"/>
  <c r="T496" i="1"/>
  <c r="T497" i="1" s="1"/>
  <c r="V496" i="1"/>
  <c r="V497" i="1" s="1"/>
  <c r="W496" i="1"/>
  <c r="W497" i="1" s="1"/>
  <c r="X496" i="1"/>
  <c r="X497" i="1" s="1"/>
  <c r="Y496" i="1"/>
  <c r="Y497" i="1" s="1"/>
  <c r="Z496" i="1"/>
  <c r="Z497" i="1" s="1"/>
  <c r="D497" i="1"/>
  <c r="A498" i="1"/>
  <c r="A499" i="1" s="1"/>
  <c r="B498" i="1"/>
  <c r="B499" i="1" s="1"/>
  <c r="C498" i="1"/>
  <c r="C499" i="1" s="1"/>
  <c r="D498" i="1"/>
  <c r="D499" i="1" s="1"/>
  <c r="E498" i="1"/>
  <c r="F498" i="1"/>
  <c r="F499" i="1" s="1"/>
  <c r="G498" i="1"/>
  <c r="H498" i="1"/>
  <c r="I498" i="1"/>
  <c r="J498" i="1"/>
  <c r="K498" i="1"/>
  <c r="M498" i="1"/>
  <c r="N498" i="1"/>
  <c r="P498" i="1"/>
  <c r="P499" i="1" s="1"/>
  <c r="Q498" i="1"/>
  <c r="Q499" i="1" s="1"/>
  <c r="R498" i="1"/>
  <c r="R499" i="1" s="1"/>
  <c r="S498" i="1"/>
  <c r="S499" i="1" s="1"/>
  <c r="T498" i="1"/>
  <c r="T499" i="1" s="1"/>
  <c r="V498" i="1"/>
  <c r="V499" i="1" s="1"/>
  <c r="W498" i="1"/>
  <c r="W499" i="1" s="1"/>
  <c r="X498" i="1"/>
  <c r="X499" i="1" s="1"/>
  <c r="Y498" i="1"/>
  <c r="Y499" i="1" s="1"/>
  <c r="Z498" i="1"/>
  <c r="Z499" i="1" s="1"/>
  <c r="A500" i="1"/>
  <c r="A501" i="1" s="1"/>
  <c r="B500" i="1"/>
  <c r="B501" i="1" s="1"/>
  <c r="C500" i="1"/>
  <c r="C501" i="1" s="1"/>
  <c r="D500" i="1"/>
  <c r="D501" i="1" s="1"/>
  <c r="E500" i="1"/>
  <c r="E501" i="1" s="1"/>
  <c r="F500" i="1"/>
  <c r="F501" i="1" s="1"/>
  <c r="G500" i="1"/>
  <c r="H500" i="1"/>
  <c r="I500" i="1"/>
  <c r="J500" i="1"/>
  <c r="K500" i="1"/>
  <c r="M500" i="1"/>
  <c r="N500" i="1"/>
  <c r="P500" i="1"/>
  <c r="P501" i="1" s="1"/>
  <c r="Q500" i="1"/>
  <c r="Q501" i="1" s="1"/>
  <c r="R500" i="1"/>
  <c r="R501" i="1" s="1"/>
  <c r="S500" i="1"/>
  <c r="S501" i="1" s="1"/>
  <c r="T500" i="1"/>
  <c r="T501" i="1" s="1"/>
  <c r="V500" i="1"/>
  <c r="V501" i="1" s="1"/>
  <c r="W500" i="1"/>
  <c r="W501" i="1" s="1"/>
  <c r="X500" i="1"/>
  <c r="X501" i="1" s="1"/>
  <c r="Y500" i="1"/>
  <c r="Y501" i="1" s="1"/>
  <c r="Z500" i="1"/>
  <c r="Z501" i="1" s="1"/>
  <c r="A502" i="1"/>
  <c r="A503" i="1" s="1"/>
  <c r="B502" i="1"/>
  <c r="B503" i="1" s="1"/>
  <c r="C502" i="1"/>
  <c r="C503" i="1" s="1"/>
  <c r="D502" i="1"/>
  <c r="D503" i="1" s="1"/>
  <c r="E502" i="1"/>
  <c r="E503" i="1" s="1"/>
  <c r="F502" i="1"/>
  <c r="F503" i="1" s="1"/>
  <c r="G502" i="1"/>
  <c r="H502" i="1"/>
  <c r="I502" i="1"/>
  <c r="J502" i="1"/>
  <c r="K502" i="1"/>
  <c r="M502" i="1"/>
  <c r="N502" i="1"/>
  <c r="P502" i="1"/>
  <c r="P503" i="1" s="1"/>
  <c r="Q502" i="1"/>
  <c r="Q503" i="1" s="1"/>
  <c r="R502" i="1"/>
  <c r="R503" i="1" s="1"/>
  <c r="S502" i="1"/>
  <c r="S503" i="1" s="1"/>
  <c r="T502" i="1"/>
  <c r="T503" i="1" s="1"/>
  <c r="V502" i="1"/>
  <c r="V503" i="1" s="1"/>
  <c r="W502" i="1"/>
  <c r="W503" i="1" s="1"/>
  <c r="X502" i="1"/>
  <c r="X503" i="1" s="1"/>
  <c r="Y502" i="1"/>
  <c r="Y503" i="1" s="1"/>
  <c r="Z502" i="1"/>
  <c r="Z503" i="1" s="1"/>
  <c r="A504" i="1"/>
  <c r="A505" i="1" s="1"/>
  <c r="B504" i="1"/>
  <c r="B505" i="1" s="1"/>
  <c r="C504" i="1"/>
  <c r="C505" i="1" s="1"/>
  <c r="D504" i="1"/>
  <c r="D505" i="1" s="1"/>
  <c r="E504" i="1"/>
  <c r="E505" i="1" s="1"/>
  <c r="F504" i="1"/>
  <c r="F505" i="1" s="1"/>
  <c r="G504" i="1"/>
  <c r="H504" i="1"/>
  <c r="I504" i="1"/>
  <c r="J504" i="1"/>
  <c r="K504" i="1"/>
  <c r="M504" i="1"/>
  <c r="N504" i="1"/>
  <c r="P504" i="1"/>
  <c r="P505" i="1" s="1"/>
  <c r="Q504" i="1"/>
  <c r="Q505" i="1" s="1"/>
  <c r="R504" i="1"/>
  <c r="R505" i="1" s="1"/>
  <c r="S504" i="1"/>
  <c r="S505" i="1" s="1"/>
  <c r="T504" i="1"/>
  <c r="T505" i="1" s="1"/>
  <c r="V504" i="1"/>
  <c r="V505" i="1" s="1"/>
  <c r="W504" i="1"/>
  <c r="W505" i="1" s="1"/>
  <c r="X504" i="1"/>
  <c r="X505" i="1" s="1"/>
  <c r="Y504" i="1"/>
  <c r="Y505" i="1" s="1"/>
  <c r="Z504" i="1"/>
  <c r="Z505" i="1" s="1"/>
  <c r="A506" i="1"/>
  <c r="A507" i="1" s="1"/>
  <c r="B506" i="1"/>
  <c r="B507" i="1" s="1"/>
  <c r="C506" i="1"/>
  <c r="C507" i="1" s="1"/>
  <c r="D506" i="1"/>
  <c r="D507" i="1" s="1"/>
  <c r="E506" i="1"/>
  <c r="E507" i="1" s="1"/>
  <c r="F506" i="1"/>
  <c r="F507" i="1" s="1"/>
  <c r="G506" i="1"/>
  <c r="H506" i="1"/>
  <c r="I506" i="1"/>
  <c r="J506" i="1"/>
  <c r="K506" i="1"/>
  <c r="M506" i="1"/>
  <c r="N506" i="1"/>
  <c r="P506" i="1"/>
  <c r="P507" i="1" s="1"/>
  <c r="Q506" i="1"/>
  <c r="Q507" i="1" s="1"/>
  <c r="R506" i="1"/>
  <c r="R507" i="1" s="1"/>
  <c r="S506" i="1"/>
  <c r="S507" i="1" s="1"/>
  <c r="T506" i="1"/>
  <c r="T507" i="1" s="1"/>
  <c r="V506" i="1"/>
  <c r="V507" i="1" s="1"/>
  <c r="W506" i="1"/>
  <c r="W507" i="1" s="1"/>
  <c r="X506" i="1"/>
  <c r="X507" i="1" s="1"/>
  <c r="Y506" i="1"/>
  <c r="Y507" i="1" s="1"/>
  <c r="Z506" i="1"/>
  <c r="Z507" i="1"/>
  <c r="A508" i="1"/>
  <c r="A509" i="1" s="1"/>
  <c r="B508" i="1"/>
  <c r="C508" i="1"/>
  <c r="C509" i="1" s="1"/>
  <c r="D508" i="1"/>
  <c r="D509" i="1" s="1"/>
  <c r="E508" i="1"/>
  <c r="F508" i="1"/>
  <c r="F509" i="1" s="1"/>
  <c r="G508" i="1"/>
  <c r="H508" i="1"/>
  <c r="I508" i="1"/>
  <c r="J508" i="1"/>
  <c r="K508" i="1"/>
  <c r="M508" i="1"/>
  <c r="N508" i="1"/>
  <c r="P508" i="1"/>
  <c r="P509" i="1" s="1"/>
  <c r="Q508" i="1"/>
  <c r="Q509" i="1" s="1"/>
  <c r="R508" i="1"/>
  <c r="R509" i="1" s="1"/>
  <c r="S508" i="1"/>
  <c r="S509" i="1" s="1"/>
  <c r="T508" i="1"/>
  <c r="T509" i="1" s="1"/>
  <c r="V508" i="1"/>
  <c r="V509" i="1" s="1"/>
  <c r="W508" i="1"/>
  <c r="W509" i="1" s="1"/>
  <c r="X508" i="1"/>
  <c r="X509" i="1" s="1"/>
  <c r="Y508" i="1"/>
  <c r="Z508" i="1"/>
  <c r="Z509" i="1" s="1"/>
  <c r="B509" i="1"/>
  <c r="A510" i="1"/>
  <c r="A511" i="1" s="1"/>
  <c r="B510" i="1"/>
  <c r="B511" i="1" s="1"/>
  <c r="C510" i="1"/>
  <c r="C511" i="1" s="1"/>
  <c r="D510" i="1"/>
  <c r="D511" i="1" s="1"/>
  <c r="E510" i="1"/>
  <c r="F510" i="1"/>
  <c r="G510" i="1"/>
  <c r="H510" i="1"/>
  <c r="I510" i="1"/>
  <c r="J510" i="1"/>
  <c r="K510" i="1"/>
  <c r="M510" i="1"/>
  <c r="N510" i="1"/>
  <c r="P510" i="1"/>
  <c r="P511" i="1" s="1"/>
  <c r="Q510" i="1"/>
  <c r="Q511" i="1" s="1"/>
  <c r="R510" i="1"/>
  <c r="R511" i="1" s="1"/>
  <c r="S510" i="1"/>
  <c r="S511" i="1" s="1"/>
  <c r="T510" i="1"/>
  <c r="T511" i="1" s="1"/>
  <c r="V510" i="1"/>
  <c r="V511" i="1" s="1"/>
  <c r="W510" i="1"/>
  <c r="W511" i="1" s="1"/>
  <c r="X510" i="1"/>
  <c r="X511" i="1" s="1"/>
  <c r="Y510" i="1"/>
  <c r="Y511" i="1" s="1"/>
  <c r="Z510" i="1"/>
  <c r="Z511" i="1" s="1"/>
  <c r="A512" i="1"/>
  <c r="A513" i="1" s="1"/>
  <c r="B512" i="1"/>
  <c r="B513" i="1" s="1"/>
  <c r="C512" i="1"/>
  <c r="C513" i="1" s="1"/>
  <c r="D512" i="1"/>
  <c r="D513" i="1" s="1"/>
  <c r="E512" i="1"/>
  <c r="E513" i="1" s="1"/>
  <c r="F512" i="1"/>
  <c r="F513" i="1" s="1"/>
  <c r="G512" i="1"/>
  <c r="H512" i="1"/>
  <c r="I512" i="1"/>
  <c r="J512" i="1"/>
  <c r="K512" i="1"/>
  <c r="M512" i="1"/>
  <c r="N512" i="1"/>
  <c r="P512" i="1"/>
  <c r="P513" i="1" s="1"/>
  <c r="Q512" i="1"/>
  <c r="Q513" i="1" s="1"/>
  <c r="R512" i="1"/>
  <c r="R513" i="1" s="1"/>
  <c r="S512" i="1"/>
  <c r="S513" i="1" s="1"/>
  <c r="T512" i="1"/>
  <c r="T513" i="1" s="1"/>
  <c r="V512" i="1"/>
  <c r="V513" i="1" s="1"/>
  <c r="W512" i="1"/>
  <c r="W513" i="1" s="1"/>
  <c r="X512" i="1"/>
  <c r="X513" i="1" s="1"/>
  <c r="Y512" i="1"/>
  <c r="Y513" i="1" s="1"/>
  <c r="Z512" i="1"/>
  <c r="Z513" i="1" s="1"/>
  <c r="A514" i="1"/>
  <c r="A515" i="1" s="1"/>
  <c r="B514" i="1"/>
  <c r="B515" i="1" s="1"/>
  <c r="C514" i="1"/>
  <c r="C515" i="1" s="1"/>
  <c r="D514" i="1"/>
  <c r="D515" i="1" s="1"/>
  <c r="E514" i="1"/>
  <c r="E515" i="1" s="1"/>
  <c r="F514" i="1"/>
  <c r="F515" i="1" s="1"/>
  <c r="G514" i="1"/>
  <c r="H514" i="1"/>
  <c r="I514" i="1"/>
  <c r="J514" i="1"/>
  <c r="K514" i="1"/>
  <c r="M514" i="1"/>
  <c r="N514" i="1"/>
  <c r="P514" i="1"/>
  <c r="P515" i="1" s="1"/>
  <c r="Q514" i="1"/>
  <c r="Q515" i="1" s="1"/>
  <c r="R514" i="1"/>
  <c r="R515" i="1" s="1"/>
  <c r="S514" i="1"/>
  <c r="S515" i="1" s="1"/>
  <c r="T514" i="1"/>
  <c r="T515" i="1" s="1"/>
  <c r="V514" i="1"/>
  <c r="V515" i="1" s="1"/>
  <c r="W514" i="1"/>
  <c r="W515" i="1" s="1"/>
  <c r="X514" i="1"/>
  <c r="X515" i="1" s="1"/>
  <c r="Y514" i="1"/>
  <c r="Y515" i="1" s="1"/>
  <c r="Z514" i="1"/>
  <c r="Z515" i="1" s="1"/>
  <c r="A516" i="1"/>
  <c r="A517" i="1" s="1"/>
  <c r="B516" i="1"/>
  <c r="B517" i="1" s="1"/>
  <c r="C516" i="1"/>
  <c r="C517" i="1" s="1"/>
  <c r="D516" i="1"/>
  <c r="E516" i="1"/>
  <c r="E517" i="1" s="1"/>
  <c r="F516" i="1"/>
  <c r="F517" i="1" s="1"/>
  <c r="G516" i="1"/>
  <c r="H516" i="1"/>
  <c r="I516" i="1"/>
  <c r="J516" i="1"/>
  <c r="K516" i="1"/>
  <c r="M516" i="1"/>
  <c r="N516" i="1"/>
  <c r="P516" i="1"/>
  <c r="P517" i="1" s="1"/>
  <c r="Q516" i="1"/>
  <c r="Q517" i="1" s="1"/>
  <c r="R516" i="1"/>
  <c r="R517" i="1" s="1"/>
  <c r="S516" i="1"/>
  <c r="S517" i="1" s="1"/>
  <c r="T516" i="1"/>
  <c r="T517" i="1" s="1"/>
  <c r="V516" i="1"/>
  <c r="V517" i="1" s="1"/>
  <c r="W516" i="1"/>
  <c r="W517" i="1" s="1"/>
  <c r="X516" i="1"/>
  <c r="X517" i="1" s="1"/>
  <c r="Y516" i="1"/>
  <c r="Y517" i="1" s="1"/>
  <c r="Z516" i="1"/>
  <c r="Z517" i="1" s="1"/>
  <c r="D517" i="1"/>
  <c r="A518" i="1"/>
  <c r="A519" i="1" s="1"/>
  <c r="B518" i="1"/>
  <c r="B519" i="1" s="1"/>
  <c r="C518" i="1"/>
  <c r="C519" i="1" s="1"/>
  <c r="D518" i="1"/>
  <c r="E518" i="1"/>
  <c r="E519" i="1" s="1"/>
  <c r="F518" i="1"/>
  <c r="F519" i="1" s="1"/>
  <c r="G518" i="1"/>
  <c r="H518" i="1"/>
  <c r="I518" i="1"/>
  <c r="J518" i="1"/>
  <c r="K518" i="1"/>
  <c r="M518" i="1"/>
  <c r="N518" i="1"/>
  <c r="P518" i="1"/>
  <c r="P519" i="1" s="1"/>
  <c r="Q518" i="1"/>
  <c r="Q519" i="1" s="1"/>
  <c r="R518" i="1"/>
  <c r="S518" i="1"/>
  <c r="S519" i="1" s="1"/>
  <c r="T518" i="1"/>
  <c r="T519" i="1" s="1"/>
  <c r="V518" i="1"/>
  <c r="V519" i="1" s="1"/>
  <c r="W518" i="1"/>
  <c r="W519" i="1" s="1"/>
  <c r="X518" i="1"/>
  <c r="X519" i="1" s="1"/>
  <c r="Y518" i="1"/>
  <c r="Y519" i="1" s="1"/>
  <c r="Z518" i="1"/>
  <c r="Z519" i="1" s="1"/>
  <c r="D519" i="1"/>
  <c r="R519" i="1"/>
  <c r="A520" i="1"/>
  <c r="A521" i="1" s="1"/>
  <c r="B520" i="1"/>
  <c r="B521" i="1" s="1"/>
  <c r="C520" i="1"/>
  <c r="C521" i="1" s="1"/>
  <c r="D520" i="1"/>
  <c r="E520" i="1"/>
  <c r="E521" i="1" s="1"/>
  <c r="F520" i="1"/>
  <c r="F521" i="1" s="1"/>
  <c r="G520" i="1"/>
  <c r="H520" i="1"/>
  <c r="I520" i="1"/>
  <c r="J520" i="1"/>
  <c r="K520" i="1"/>
  <c r="M520" i="1"/>
  <c r="N520" i="1"/>
  <c r="P520" i="1"/>
  <c r="P521" i="1" s="1"/>
  <c r="Q520" i="1"/>
  <c r="Q521" i="1" s="1"/>
  <c r="R520" i="1"/>
  <c r="R521" i="1" s="1"/>
  <c r="S520" i="1"/>
  <c r="S521" i="1" s="1"/>
  <c r="T520" i="1"/>
  <c r="T521" i="1" s="1"/>
  <c r="V520" i="1"/>
  <c r="V521" i="1" s="1"/>
  <c r="W520" i="1"/>
  <c r="W521" i="1" s="1"/>
  <c r="X520" i="1"/>
  <c r="X521" i="1" s="1"/>
  <c r="Y520" i="1"/>
  <c r="Y521" i="1" s="1"/>
  <c r="Z520" i="1"/>
  <c r="Z521" i="1" s="1"/>
  <c r="D521" i="1"/>
  <c r="A522" i="1"/>
  <c r="A523" i="1" s="1"/>
  <c r="B522" i="1"/>
  <c r="B523" i="1" s="1"/>
  <c r="C522" i="1"/>
  <c r="C523" i="1" s="1"/>
  <c r="D522" i="1"/>
  <c r="D523" i="1" s="1"/>
  <c r="E522" i="1"/>
  <c r="E523" i="1" s="1"/>
  <c r="F522" i="1"/>
  <c r="F523" i="1" s="1"/>
  <c r="G522" i="1"/>
  <c r="H522" i="1"/>
  <c r="I522" i="1"/>
  <c r="J522" i="1"/>
  <c r="K522" i="1"/>
  <c r="M522" i="1"/>
  <c r="N522" i="1"/>
  <c r="P522" i="1"/>
  <c r="P523" i="1" s="1"/>
  <c r="Q522" i="1"/>
  <c r="Q523" i="1" s="1"/>
  <c r="R522" i="1"/>
  <c r="R523" i="1" s="1"/>
  <c r="S522" i="1"/>
  <c r="S523" i="1" s="1"/>
  <c r="T522" i="1"/>
  <c r="T523" i="1" s="1"/>
  <c r="V522" i="1"/>
  <c r="V523" i="1" s="1"/>
  <c r="W522" i="1"/>
  <c r="W523" i="1" s="1"/>
  <c r="X522" i="1"/>
  <c r="X523" i="1" s="1"/>
  <c r="Y522" i="1"/>
  <c r="Y523" i="1" s="1"/>
  <c r="Z522" i="1"/>
  <c r="Z523" i="1" s="1"/>
  <c r="A524" i="1"/>
  <c r="A525" i="1" s="1"/>
  <c r="B524" i="1"/>
  <c r="B525" i="1" s="1"/>
  <c r="C524" i="1"/>
  <c r="C525" i="1" s="1"/>
  <c r="D524" i="1"/>
  <c r="E524" i="1"/>
  <c r="F524" i="1"/>
  <c r="F525" i="1" s="1"/>
  <c r="G524" i="1"/>
  <c r="H524" i="1"/>
  <c r="I524" i="1"/>
  <c r="J524" i="1"/>
  <c r="K524" i="1"/>
  <c r="M524" i="1"/>
  <c r="N524" i="1"/>
  <c r="P524" i="1"/>
  <c r="P525" i="1" s="1"/>
  <c r="Q524" i="1"/>
  <c r="Q525" i="1" s="1"/>
  <c r="R524" i="1"/>
  <c r="R525" i="1" s="1"/>
  <c r="S524" i="1"/>
  <c r="S525" i="1" s="1"/>
  <c r="T524" i="1"/>
  <c r="T525" i="1" s="1"/>
  <c r="V524" i="1"/>
  <c r="V525" i="1" s="1"/>
  <c r="W524" i="1"/>
  <c r="W525" i="1" s="1"/>
  <c r="X524" i="1"/>
  <c r="X525" i="1" s="1"/>
  <c r="Y524" i="1"/>
  <c r="Y525" i="1" s="1"/>
  <c r="Z524" i="1"/>
  <c r="Z525" i="1" s="1"/>
  <c r="D525" i="1"/>
  <c r="A526" i="1"/>
  <c r="A527" i="1" s="1"/>
  <c r="B526" i="1"/>
  <c r="B527" i="1" s="1"/>
  <c r="C526" i="1"/>
  <c r="D526" i="1"/>
  <c r="D527" i="1" s="1"/>
  <c r="E526" i="1"/>
  <c r="E527" i="1" s="1"/>
  <c r="F526" i="1"/>
  <c r="G526" i="1"/>
  <c r="H526" i="1"/>
  <c r="I526" i="1"/>
  <c r="J526" i="1"/>
  <c r="K526" i="1"/>
  <c r="M526" i="1"/>
  <c r="N526" i="1"/>
  <c r="P526" i="1"/>
  <c r="P527" i="1" s="1"/>
  <c r="Q526" i="1"/>
  <c r="Q527" i="1" s="1"/>
  <c r="R526" i="1"/>
  <c r="S526" i="1"/>
  <c r="T526" i="1"/>
  <c r="T527" i="1" s="1"/>
  <c r="V526" i="1"/>
  <c r="V527" i="1" s="1"/>
  <c r="W526" i="1"/>
  <c r="W527" i="1" s="1"/>
  <c r="X526" i="1"/>
  <c r="X527" i="1" s="1"/>
  <c r="Y526" i="1"/>
  <c r="Y527" i="1" s="1"/>
  <c r="Z526" i="1"/>
  <c r="Z527" i="1" s="1"/>
  <c r="R527" i="1"/>
  <c r="S527" i="1"/>
  <c r="A528" i="1"/>
  <c r="A529" i="1" s="1"/>
  <c r="B528" i="1"/>
  <c r="B529" i="1" s="1"/>
  <c r="C528" i="1"/>
  <c r="C529" i="1" s="1"/>
  <c r="D528" i="1"/>
  <c r="D529" i="1" s="1"/>
  <c r="E528" i="1"/>
  <c r="E529" i="1" s="1"/>
  <c r="F528" i="1"/>
  <c r="G528" i="1"/>
  <c r="H528" i="1"/>
  <c r="I528" i="1"/>
  <c r="J528" i="1"/>
  <c r="K528" i="1"/>
  <c r="M528" i="1"/>
  <c r="N528" i="1"/>
  <c r="P528" i="1"/>
  <c r="P529" i="1" s="1"/>
  <c r="Q528" i="1"/>
  <c r="Q529" i="1" s="1"/>
  <c r="R528" i="1"/>
  <c r="R529" i="1" s="1"/>
  <c r="S528" i="1"/>
  <c r="S529" i="1" s="1"/>
  <c r="T528" i="1"/>
  <c r="T529" i="1" s="1"/>
  <c r="V528" i="1"/>
  <c r="V529" i="1" s="1"/>
  <c r="W528" i="1"/>
  <c r="W529" i="1" s="1"/>
  <c r="X528" i="1"/>
  <c r="X529" i="1" s="1"/>
  <c r="Y528" i="1"/>
  <c r="Y529" i="1" s="1"/>
  <c r="Z528" i="1"/>
  <c r="Z529" i="1" s="1"/>
  <c r="A530" i="1"/>
  <c r="A531" i="1" s="1"/>
  <c r="B530" i="1"/>
  <c r="B531" i="1" s="1"/>
  <c r="C530" i="1"/>
  <c r="C531" i="1" s="1"/>
  <c r="D530" i="1"/>
  <c r="D531" i="1" s="1"/>
  <c r="E530" i="1"/>
  <c r="E531" i="1" s="1"/>
  <c r="F530" i="1"/>
  <c r="F531" i="1" s="1"/>
  <c r="G530" i="1"/>
  <c r="H530" i="1"/>
  <c r="I530" i="1"/>
  <c r="J530" i="1"/>
  <c r="K530" i="1"/>
  <c r="M530" i="1"/>
  <c r="N530" i="1"/>
  <c r="P530" i="1"/>
  <c r="P531" i="1" s="1"/>
  <c r="Q530" i="1"/>
  <c r="Q531" i="1" s="1"/>
  <c r="R530" i="1"/>
  <c r="R531" i="1" s="1"/>
  <c r="S530" i="1"/>
  <c r="S531" i="1" s="1"/>
  <c r="T530" i="1"/>
  <c r="T531" i="1" s="1"/>
  <c r="V530" i="1"/>
  <c r="V531" i="1" s="1"/>
  <c r="W530" i="1"/>
  <c r="W531" i="1" s="1"/>
  <c r="X530" i="1"/>
  <c r="X531" i="1" s="1"/>
  <c r="Y530" i="1"/>
  <c r="Y531" i="1" s="1"/>
  <c r="Z530" i="1"/>
  <c r="Z531" i="1" s="1"/>
  <c r="A532" i="1"/>
  <c r="A533" i="1" s="1"/>
  <c r="B532" i="1"/>
  <c r="B533" i="1" s="1"/>
  <c r="C532" i="1"/>
  <c r="C533" i="1" s="1"/>
  <c r="D532" i="1"/>
  <c r="D533" i="1" s="1"/>
  <c r="E532" i="1"/>
  <c r="E533" i="1" s="1"/>
  <c r="F532" i="1"/>
  <c r="F533" i="1" s="1"/>
  <c r="G532" i="1"/>
  <c r="H532" i="1"/>
  <c r="I532" i="1"/>
  <c r="J532" i="1"/>
  <c r="K532" i="1"/>
  <c r="M532" i="1"/>
  <c r="N532" i="1"/>
  <c r="P532" i="1"/>
  <c r="Q532" i="1"/>
  <c r="Q533" i="1" s="1"/>
  <c r="R532" i="1"/>
  <c r="R533" i="1" s="1"/>
  <c r="S532" i="1"/>
  <c r="S533" i="1" s="1"/>
  <c r="T532" i="1"/>
  <c r="T533" i="1" s="1"/>
  <c r="V532" i="1"/>
  <c r="V533" i="1" s="1"/>
  <c r="W532" i="1"/>
  <c r="W533" i="1" s="1"/>
  <c r="X532" i="1"/>
  <c r="Y532" i="1"/>
  <c r="Y533" i="1" s="1"/>
  <c r="Z532" i="1"/>
  <c r="Z533" i="1" s="1"/>
  <c r="P533" i="1"/>
  <c r="X533" i="1"/>
  <c r="A534" i="1"/>
  <c r="A535" i="1" s="1"/>
  <c r="B534" i="1"/>
  <c r="B535" i="1" s="1"/>
  <c r="C534" i="1"/>
  <c r="C535" i="1" s="1"/>
  <c r="D534" i="1"/>
  <c r="D535" i="1" s="1"/>
  <c r="E534" i="1"/>
  <c r="E535" i="1" s="1"/>
  <c r="F534" i="1"/>
  <c r="G534" i="1"/>
  <c r="H534" i="1"/>
  <c r="I534" i="1"/>
  <c r="J534" i="1"/>
  <c r="K534" i="1"/>
  <c r="M534" i="1"/>
  <c r="N534" i="1"/>
  <c r="P534" i="1"/>
  <c r="P535" i="1" s="1"/>
  <c r="Q534" i="1"/>
  <c r="Q535" i="1" s="1"/>
  <c r="R534" i="1"/>
  <c r="R535" i="1" s="1"/>
  <c r="S534" i="1"/>
  <c r="S535" i="1" s="1"/>
  <c r="T534" i="1"/>
  <c r="T535" i="1" s="1"/>
  <c r="V534" i="1"/>
  <c r="V535" i="1" s="1"/>
  <c r="W534" i="1"/>
  <c r="W535" i="1" s="1"/>
  <c r="X534" i="1"/>
  <c r="X535" i="1" s="1"/>
  <c r="Y534" i="1"/>
  <c r="Y535" i="1" s="1"/>
  <c r="Z534" i="1"/>
  <c r="Z535" i="1" s="1"/>
  <c r="A536" i="1"/>
  <c r="A537" i="1" s="1"/>
  <c r="B536" i="1"/>
  <c r="B537" i="1" s="1"/>
  <c r="C536" i="1"/>
  <c r="C537" i="1" s="1"/>
  <c r="D536" i="1"/>
  <c r="D537" i="1" s="1"/>
  <c r="E536" i="1"/>
  <c r="E537" i="1" s="1"/>
  <c r="F536" i="1"/>
  <c r="G536" i="1"/>
  <c r="H536" i="1"/>
  <c r="I536" i="1"/>
  <c r="J536" i="1"/>
  <c r="K536" i="1"/>
  <c r="M536" i="1"/>
  <c r="N536" i="1"/>
  <c r="P536" i="1"/>
  <c r="P537" i="1" s="1"/>
  <c r="Q536" i="1"/>
  <c r="Q537" i="1" s="1"/>
  <c r="R536" i="1"/>
  <c r="R537" i="1" s="1"/>
  <c r="S536" i="1"/>
  <c r="S537" i="1" s="1"/>
  <c r="T536" i="1"/>
  <c r="T537" i="1" s="1"/>
  <c r="V536" i="1"/>
  <c r="V537" i="1" s="1"/>
  <c r="W536" i="1"/>
  <c r="W537" i="1" s="1"/>
  <c r="X536" i="1"/>
  <c r="X537" i="1" s="1"/>
  <c r="Y536" i="1"/>
  <c r="Y537" i="1" s="1"/>
  <c r="Z536" i="1"/>
  <c r="Z537" i="1" s="1"/>
  <c r="A538" i="1"/>
  <c r="A539" i="1" s="1"/>
  <c r="B538" i="1"/>
  <c r="B539" i="1" s="1"/>
  <c r="C538" i="1"/>
  <c r="C539" i="1" s="1"/>
  <c r="D538" i="1"/>
  <c r="D539" i="1" s="1"/>
  <c r="E538" i="1"/>
  <c r="E539" i="1" s="1"/>
  <c r="F538" i="1"/>
  <c r="F539" i="1" s="1"/>
  <c r="G538" i="1"/>
  <c r="H538" i="1"/>
  <c r="I538" i="1"/>
  <c r="J538" i="1"/>
  <c r="K538" i="1"/>
  <c r="M538" i="1"/>
  <c r="N538" i="1"/>
  <c r="P538" i="1"/>
  <c r="P539" i="1" s="1"/>
  <c r="Q538" i="1"/>
  <c r="Q539" i="1" s="1"/>
  <c r="R538" i="1"/>
  <c r="R539" i="1" s="1"/>
  <c r="S538" i="1"/>
  <c r="S539" i="1" s="1"/>
  <c r="T538" i="1"/>
  <c r="T539" i="1" s="1"/>
  <c r="V538" i="1"/>
  <c r="V539" i="1" s="1"/>
  <c r="W538" i="1"/>
  <c r="W539" i="1" s="1"/>
  <c r="X538" i="1"/>
  <c r="X539" i="1" s="1"/>
  <c r="Y538" i="1"/>
  <c r="Y539" i="1" s="1"/>
  <c r="Z538" i="1"/>
  <c r="Z539" i="1" s="1"/>
  <c r="A540" i="1"/>
  <c r="A541" i="1" s="1"/>
  <c r="B540" i="1"/>
  <c r="B541" i="1" s="1"/>
  <c r="C540" i="1"/>
  <c r="C541" i="1" s="1"/>
  <c r="D540" i="1"/>
  <c r="E540" i="1"/>
  <c r="F540" i="1"/>
  <c r="F541" i="1" s="1"/>
  <c r="G540" i="1"/>
  <c r="H540" i="1"/>
  <c r="I540" i="1"/>
  <c r="J540" i="1"/>
  <c r="K540" i="1"/>
  <c r="M540" i="1"/>
  <c r="N540" i="1"/>
  <c r="P540" i="1"/>
  <c r="P541" i="1" s="1"/>
  <c r="Q540" i="1"/>
  <c r="Q541" i="1" s="1"/>
  <c r="R540" i="1"/>
  <c r="R541" i="1" s="1"/>
  <c r="S540" i="1"/>
  <c r="S541" i="1" s="1"/>
  <c r="T540" i="1"/>
  <c r="T541" i="1" s="1"/>
  <c r="V540" i="1"/>
  <c r="V541" i="1" s="1"/>
  <c r="W540" i="1"/>
  <c r="W541" i="1" s="1"/>
  <c r="X540" i="1"/>
  <c r="X541" i="1" s="1"/>
  <c r="Y540" i="1"/>
  <c r="Y541" i="1" s="1"/>
  <c r="Z540" i="1"/>
  <c r="Z541" i="1" s="1"/>
  <c r="D541" i="1"/>
  <c r="E541" i="1"/>
  <c r="A542" i="1"/>
  <c r="A543" i="1" s="1"/>
  <c r="B542" i="1"/>
  <c r="B543" i="1" s="1"/>
  <c r="C542" i="1"/>
  <c r="C543" i="1" s="1"/>
  <c r="D542" i="1"/>
  <c r="E542" i="1"/>
  <c r="E543" i="1" s="1"/>
  <c r="F542" i="1"/>
  <c r="G542" i="1"/>
  <c r="H542" i="1"/>
  <c r="I542" i="1"/>
  <c r="J542" i="1"/>
  <c r="K542" i="1"/>
  <c r="M542" i="1"/>
  <c r="N542" i="1"/>
  <c r="P542" i="1"/>
  <c r="P543" i="1" s="1"/>
  <c r="Q542" i="1"/>
  <c r="Q543" i="1" s="1"/>
  <c r="R542" i="1"/>
  <c r="R543" i="1" s="1"/>
  <c r="S542" i="1"/>
  <c r="S543" i="1" s="1"/>
  <c r="T542" i="1"/>
  <c r="T543" i="1" s="1"/>
  <c r="V542" i="1"/>
  <c r="V543" i="1" s="1"/>
  <c r="W542" i="1"/>
  <c r="W543" i="1" s="1"/>
  <c r="X542" i="1"/>
  <c r="X543" i="1" s="1"/>
  <c r="Y542" i="1"/>
  <c r="Y543" i="1" s="1"/>
  <c r="Z542" i="1"/>
  <c r="Z543" i="1" s="1"/>
  <c r="A544" i="1"/>
  <c r="A545" i="1" s="1"/>
  <c r="B544" i="1"/>
  <c r="B545" i="1" s="1"/>
  <c r="C544" i="1"/>
  <c r="C545" i="1" s="1"/>
  <c r="D544" i="1"/>
  <c r="D545" i="1" s="1"/>
  <c r="E544" i="1"/>
  <c r="E545" i="1" s="1"/>
  <c r="F544" i="1"/>
  <c r="G544" i="1"/>
  <c r="H544" i="1"/>
  <c r="I544" i="1"/>
  <c r="J544" i="1"/>
  <c r="K544" i="1"/>
  <c r="M544" i="1"/>
  <c r="N544" i="1"/>
  <c r="P544" i="1"/>
  <c r="P545" i="1" s="1"/>
  <c r="Q544" i="1"/>
  <c r="Q545" i="1" s="1"/>
  <c r="R544" i="1"/>
  <c r="S544" i="1"/>
  <c r="S545" i="1" s="1"/>
  <c r="T544" i="1"/>
  <c r="T545" i="1" s="1"/>
  <c r="V544" i="1"/>
  <c r="V545" i="1" s="1"/>
  <c r="W544" i="1"/>
  <c r="W545" i="1" s="1"/>
  <c r="X544" i="1"/>
  <c r="X545" i="1" s="1"/>
  <c r="Y544" i="1"/>
  <c r="Y545" i="1" s="1"/>
  <c r="Z544" i="1"/>
  <c r="Z545" i="1" s="1"/>
  <c r="R545" i="1"/>
  <c r="A546" i="1"/>
  <c r="A547" i="1" s="1"/>
  <c r="B546" i="1"/>
  <c r="B547" i="1" s="1"/>
  <c r="C546" i="1"/>
  <c r="C547" i="1" s="1"/>
  <c r="D546" i="1"/>
  <c r="D547" i="1" s="1"/>
  <c r="E546" i="1"/>
  <c r="E547" i="1" s="1"/>
  <c r="F546" i="1"/>
  <c r="F547" i="1" s="1"/>
  <c r="G546" i="1"/>
  <c r="H546" i="1"/>
  <c r="I546" i="1"/>
  <c r="J546" i="1"/>
  <c r="K546" i="1"/>
  <c r="M546" i="1"/>
  <c r="N546" i="1"/>
  <c r="P546" i="1"/>
  <c r="P547" i="1" s="1"/>
  <c r="Q546" i="1"/>
  <c r="Q547" i="1" s="1"/>
  <c r="R546" i="1"/>
  <c r="R547" i="1" s="1"/>
  <c r="S546" i="1"/>
  <c r="S547" i="1" s="1"/>
  <c r="T546" i="1"/>
  <c r="T547" i="1" s="1"/>
  <c r="V546" i="1"/>
  <c r="V547" i="1" s="1"/>
  <c r="W546" i="1"/>
  <c r="W547" i="1" s="1"/>
  <c r="X546" i="1"/>
  <c r="X547" i="1" s="1"/>
  <c r="Y546" i="1"/>
  <c r="Y547" i="1" s="1"/>
  <c r="Z546" i="1"/>
  <c r="Z547" i="1" s="1"/>
  <c r="A548" i="1"/>
  <c r="A549" i="1" s="1"/>
  <c r="B548" i="1"/>
  <c r="B549" i="1" s="1"/>
  <c r="C548" i="1"/>
  <c r="D548" i="1"/>
  <c r="D549" i="1" s="1"/>
  <c r="E548" i="1"/>
  <c r="E549" i="1" s="1"/>
  <c r="F548" i="1"/>
  <c r="G548" i="1"/>
  <c r="H548" i="1"/>
  <c r="I548" i="1"/>
  <c r="J548" i="1"/>
  <c r="K548" i="1"/>
  <c r="M548" i="1"/>
  <c r="N548" i="1"/>
  <c r="P548" i="1"/>
  <c r="P549" i="1" s="1"/>
  <c r="Q548" i="1"/>
  <c r="Q549" i="1" s="1"/>
  <c r="R548" i="1"/>
  <c r="R549" i="1" s="1"/>
  <c r="S548" i="1"/>
  <c r="S549" i="1" s="1"/>
  <c r="T548" i="1"/>
  <c r="T549" i="1" s="1"/>
  <c r="V548" i="1"/>
  <c r="V549" i="1" s="1"/>
  <c r="W548" i="1"/>
  <c r="W549" i="1" s="1"/>
  <c r="X548" i="1"/>
  <c r="X549" i="1" s="1"/>
  <c r="Y548" i="1"/>
  <c r="Y549" i="1" s="1"/>
  <c r="Z548" i="1"/>
  <c r="Z549" i="1" s="1"/>
  <c r="A550" i="1"/>
  <c r="A551" i="1" s="1"/>
  <c r="B550" i="1"/>
  <c r="B551" i="1" s="1"/>
  <c r="C550" i="1"/>
  <c r="C551" i="1" s="1"/>
  <c r="D550" i="1"/>
  <c r="D551" i="1" s="1"/>
  <c r="E550" i="1"/>
  <c r="E551" i="1" s="1"/>
  <c r="F550" i="1"/>
  <c r="F551" i="1" s="1"/>
  <c r="G550" i="1"/>
  <c r="H550" i="1"/>
  <c r="I550" i="1"/>
  <c r="J550" i="1"/>
  <c r="K550" i="1"/>
  <c r="M550" i="1"/>
  <c r="N550" i="1"/>
  <c r="P550" i="1"/>
  <c r="P551" i="1" s="1"/>
  <c r="Q550" i="1"/>
  <c r="Q551" i="1" s="1"/>
  <c r="R550" i="1"/>
  <c r="S550" i="1"/>
  <c r="S551" i="1" s="1"/>
  <c r="T550" i="1"/>
  <c r="T551" i="1" s="1"/>
  <c r="V550" i="1"/>
  <c r="V551" i="1" s="1"/>
  <c r="W550" i="1"/>
  <c r="W551" i="1" s="1"/>
  <c r="X550" i="1"/>
  <c r="X551" i="1" s="1"/>
  <c r="Y550" i="1"/>
  <c r="Y551" i="1" s="1"/>
  <c r="Z550" i="1"/>
  <c r="Z551" i="1" s="1"/>
  <c r="R551" i="1"/>
  <c r="A552" i="1"/>
  <c r="A553" i="1" s="1"/>
  <c r="B552" i="1"/>
  <c r="B553" i="1" s="1"/>
  <c r="C552" i="1"/>
  <c r="C553" i="1" s="1"/>
  <c r="D552" i="1"/>
  <c r="D553" i="1" s="1"/>
  <c r="E552" i="1"/>
  <c r="E553" i="1" s="1"/>
  <c r="F552" i="1"/>
  <c r="F553" i="1" s="1"/>
  <c r="G552" i="1"/>
  <c r="H552" i="1"/>
  <c r="I552" i="1"/>
  <c r="J552" i="1"/>
  <c r="K552" i="1"/>
  <c r="M552" i="1"/>
  <c r="N552" i="1"/>
  <c r="P552" i="1"/>
  <c r="P553" i="1" s="1"/>
  <c r="Q552" i="1"/>
  <c r="Q553" i="1" s="1"/>
  <c r="R552" i="1"/>
  <c r="S552" i="1"/>
  <c r="S553" i="1" s="1"/>
  <c r="T552" i="1"/>
  <c r="T553" i="1" s="1"/>
  <c r="V552" i="1"/>
  <c r="V553" i="1" s="1"/>
  <c r="W552" i="1"/>
  <c r="W553" i="1" s="1"/>
  <c r="X552" i="1"/>
  <c r="X553" i="1" s="1"/>
  <c r="Y552" i="1"/>
  <c r="Y553" i="1" s="1"/>
  <c r="Z552" i="1"/>
  <c r="Z553" i="1" s="1"/>
  <c r="R553" i="1"/>
  <c r="A554" i="1"/>
  <c r="A555" i="1" s="1"/>
  <c r="B554" i="1"/>
  <c r="B555" i="1" s="1"/>
  <c r="C554" i="1"/>
  <c r="C555" i="1" s="1"/>
  <c r="D554" i="1"/>
  <c r="D555" i="1" s="1"/>
  <c r="E554" i="1"/>
  <c r="E555" i="1" s="1"/>
  <c r="F554" i="1"/>
  <c r="F555" i="1" s="1"/>
  <c r="G554" i="1"/>
  <c r="H554" i="1"/>
  <c r="I554" i="1"/>
  <c r="J554" i="1"/>
  <c r="K554" i="1"/>
  <c r="M554" i="1"/>
  <c r="N554" i="1"/>
  <c r="P554" i="1"/>
  <c r="P555" i="1" s="1"/>
  <c r="Q554" i="1"/>
  <c r="Q555" i="1" s="1"/>
  <c r="R554" i="1"/>
  <c r="R555" i="1" s="1"/>
  <c r="S554" i="1"/>
  <c r="S555" i="1" s="1"/>
  <c r="T554" i="1"/>
  <c r="T555" i="1" s="1"/>
  <c r="V554" i="1"/>
  <c r="V555" i="1" s="1"/>
  <c r="W554" i="1"/>
  <c r="W555" i="1" s="1"/>
  <c r="X554" i="1"/>
  <c r="X555" i="1" s="1"/>
  <c r="Y554" i="1"/>
  <c r="Y555" i="1" s="1"/>
  <c r="Z554" i="1"/>
  <c r="Z555" i="1" s="1"/>
  <c r="A556" i="1"/>
  <c r="A557" i="1" s="1"/>
  <c r="B556" i="1"/>
  <c r="B557" i="1" s="1"/>
  <c r="C556" i="1"/>
  <c r="C557" i="1" s="1"/>
  <c r="D556" i="1"/>
  <c r="D557" i="1" s="1"/>
  <c r="E556" i="1"/>
  <c r="E557" i="1" s="1"/>
  <c r="F556" i="1"/>
  <c r="F557" i="1" s="1"/>
  <c r="G556" i="1"/>
  <c r="H556" i="1"/>
  <c r="I556" i="1"/>
  <c r="J556" i="1"/>
  <c r="K556" i="1"/>
  <c r="M556" i="1"/>
  <c r="N556" i="1"/>
  <c r="P556" i="1"/>
  <c r="P557" i="1" s="1"/>
  <c r="Q556" i="1"/>
  <c r="Q557" i="1" s="1"/>
  <c r="R556" i="1"/>
  <c r="R557" i="1" s="1"/>
  <c r="S556" i="1"/>
  <c r="S557" i="1" s="1"/>
  <c r="T556" i="1"/>
  <c r="T557" i="1" s="1"/>
  <c r="V556" i="1"/>
  <c r="V557" i="1" s="1"/>
  <c r="W556" i="1"/>
  <c r="W557" i="1" s="1"/>
  <c r="X556" i="1"/>
  <c r="X557" i="1" s="1"/>
  <c r="Y556" i="1"/>
  <c r="Y557" i="1" s="1"/>
  <c r="Z556" i="1"/>
  <c r="Z557" i="1" s="1"/>
  <c r="A558" i="1"/>
  <c r="A559" i="1" s="1"/>
  <c r="B558" i="1"/>
  <c r="B559" i="1" s="1"/>
  <c r="C558" i="1"/>
  <c r="C559" i="1" s="1"/>
  <c r="D558" i="1"/>
  <c r="D559" i="1" s="1"/>
  <c r="E558" i="1"/>
  <c r="E559" i="1" s="1"/>
  <c r="F558" i="1"/>
  <c r="F559" i="1" s="1"/>
  <c r="G558" i="1"/>
  <c r="H558" i="1"/>
  <c r="I558" i="1"/>
  <c r="J558" i="1"/>
  <c r="K558" i="1"/>
  <c r="M558" i="1"/>
  <c r="N558" i="1"/>
  <c r="P558" i="1"/>
  <c r="P559" i="1" s="1"/>
  <c r="Q558" i="1"/>
  <c r="Q559" i="1" s="1"/>
  <c r="R558" i="1"/>
  <c r="R559" i="1" s="1"/>
  <c r="S558" i="1"/>
  <c r="S559" i="1" s="1"/>
  <c r="T558" i="1"/>
  <c r="T559" i="1" s="1"/>
  <c r="V558" i="1"/>
  <c r="V559" i="1" s="1"/>
  <c r="W558" i="1"/>
  <c r="W559" i="1" s="1"/>
  <c r="X558" i="1"/>
  <c r="X559" i="1" s="1"/>
  <c r="Y558" i="1"/>
  <c r="Y559" i="1" s="1"/>
  <c r="Z558" i="1"/>
  <c r="Z559" i="1" s="1"/>
  <c r="A560" i="1"/>
  <c r="A561" i="1" s="1"/>
  <c r="B560" i="1"/>
  <c r="B561" i="1" s="1"/>
  <c r="C560" i="1"/>
  <c r="C561" i="1" s="1"/>
  <c r="D560" i="1"/>
  <c r="D561" i="1" s="1"/>
  <c r="E560" i="1"/>
  <c r="E561" i="1" s="1"/>
  <c r="F560" i="1"/>
  <c r="F561" i="1" s="1"/>
  <c r="G560" i="1"/>
  <c r="H560" i="1"/>
  <c r="I560" i="1"/>
  <c r="J560" i="1"/>
  <c r="K560" i="1"/>
  <c r="M560" i="1"/>
  <c r="N560" i="1"/>
  <c r="P560" i="1"/>
  <c r="P561" i="1" s="1"/>
  <c r="Q560" i="1"/>
  <c r="Q561" i="1" s="1"/>
  <c r="R560" i="1"/>
  <c r="S560" i="1"/>
  <c r="S561" i="1" s="1"/>
  <c r="T560" i="1"/>
  <c r="T561" i="1" s="1"/>
  <c r="V560" i="1"/>
  <c r="V561" i="1" s="1"/>
  <c r="W560" i="1"/>
  <c r="W561" i="1" s="1"/>
  <c r="X560" i="1"/>
  <c r="X561" i="1" s="1"/>
  <c r="Y560" i="1"/>
  <c r="Y561" i="1" s="1"/>
  <c r="Z560" i="1"/>
  <c r="Z561" i="1" s="1"/>
  <c r="R561" i="1"/>
  <c r="A562" i="1"/>
  <c r="A563" i="1" s="1"/>
  <c r="B562" i="1"/>
  <c r="B563" i="1" s="1"/>
  <c r="C562" i="1"/>
  <c r="C563" i="1" s="1"/>
  <c r="D562" i="1"/>
  <c r="D563" i="1" s="1"/>
  <c r="E562" i="1"/>
  <c r="E563" i="1" s="1"/>
  <c r="F562" i="1"/>
  <c r="F563" i="1" s="1"/>
  <c r="G562" i="1"/>
  <c r="H562" i="1"/>
  <c r="I562" i="1"/>
  <c r="J562" i="1"/>
  <c r="K562" i="1"/>
  <c r="M562" i="1"/>
  <c r="N562" i="1"/>
  <c r="P562" i="1"/>
  <c r="P563" i="1" s="1"/>
  <c r="Q562" i="1"/>
  <c r="Q563" i="1" s="1"/>
  <c r="R562" i="1"/>
  <c r="R563" i="1" s="1"/>
  <c r="S562" i="1"/>
  <c r="S563" i="1" s="1"/>
  <c r="T562" i="1"/>
  <c r="T563" i="1" s="1"/>
  <c r="V562" i="1"/>
  <c r="V563" i="1" s="1"/>
  <c r="W562" i="1"/>
  <c r="W563" i="1" s="1"/>
  <c r="X562" i="1"/>
  <c r="X563" i="1" s="1"/>
  <c r="Y562" i="1"/>
  <c r="Y563" i="1" s="1"/>
  <c r="Z562" i="1"/>
  <c r="Z563" i="1" s="1"/>
  <c r="A564" i="1"/>
  <c r="A565" i="1" s="1"/>
  <c r="B564" i="1"/>
  <c r="B565" i="1" s="1"/>
  <c r="C564" i="1"/>
  <c r="C565" i="1" s="1"/>
  <c r="D564" i="1"/>
  <c r="E564" i="1"/>
  <c r="E565" i="1" s="1"/>
  <c r="F564" i="1"/>
  <c r="F565" i="1" s="1"/>
  <c r="G564" i="1"/>
  <c r="H564" i="1"/>
  <c r="I564" i="1"/>
  <c r="J564" i="1"/>
  <c r="K564" i="1"/>
  <c r="M564" i="1"/>
  <c r="N564" i="1"/>
  <c r="P564" i="1"/>
  <c r="P565" i="1" s="1"/>
  <c r="Q564" i="1"/>
  <c r="Q565" i="1" s="1"/>
  <c r="R564" i="1"/>
  <c r="R565" i="1" s="1"/>
  <c r="S564" i="1"/>
  <c r="S565" i="1" s="1"/>
  <c r="T564" i="1"/>
  <c r="T565" i="1" s="1"/>
  <c r="V564" i="1"/>
  <c r="V565" i="1" s="1"/>
  <c r="W564" i="1"/>
  <c r="W565" i="1" s="1"/>
  <c r="X564" i="1"/>
  <c r="X565" i="1" s="1"/>
  <c r="Y564" i="1"/>
  <c r="Y565" i="1" s="1"/>
  <c r="Z564" i="1"/>
  <c r="Z565" i="1" s="1"/>
  <c r="D565" i="1"/>
  <c r="A566" i="1"/>
  <c r="A567" i="1" s="1"/>
  <c r="B566" i="1"/>
  <c r="B567" i="1" s="1"/>
  <c r="C566" i="1"/>
  <c r="C567" i="1" s="1"/>
  <c r="D566" i="1"/>
  <c r="D567" i="1" s="1"/>
  <c r="E566" i="1"/>
  <c r="E567" i="1" s="1"/>
  <c r="F566" i="1"/>
  <c r="F567" i="1" s="1"/>
  <c r="G566" i="1"/>
  <c r="H566" i="1"/>
  <c r="I566" i="1"/>
  <c r="J566" i="1"/>
  <c r="K566" i="1"/>
  <c r="M566" i="1"/>
  <c r="N566" i="1"/>
  <c r="P566" i="1"/>
  <c r="P567" i="1" s="1"/>
  <c r="Q566" i="1"/>
  <c r="Q567" i="1" s="1"/>
  <c r="R566" i="1"/>
  <c r="R567" i="1" s="1"/>
  <c r="S566" i="1"/>
  <c r="S567" i="1" s="1"/>
  <c r="T566" i="1"/>
  <c r="T567" i="1" s="1"/>
  <c r="V566" i="1"/>
  <c r="V567" i="1" s="1"/>
  <c r="W566" i="1"/>
  <c r="W567" i="1" s="1"/>
  <c r="X566" i="1"/>
  <c r="X567" i="1" s="1"/>
  <c r="Y566" i="1"/>
  <c r="Y567" i="1" s="1"/>
  <c r="Z566" i="1"/>
  <c r="Z567" i="1" s="1"/>
  <c r="A568" i="1"/>
  <c r="A569" i="1" s="1"/>
  <c r="B568" i="1"/>
  <c r="B569" i="1" s="1"/>
  <c r="C568" i="1"/>
  <c r="C569" i="1" s="1"/>
  <c r="D568" i="1"/>
  <c r="D569" i="1" s="1"/>
  <c r="E568" i="1"/>
  <c r="E569" i="1" s="1"/>
  <c r="F568" i="1"/>
  <c r="F569" i="1" s="1"/>
  <c r="G568" i="1"/>
  <c r="H568" i="1"/>
  <c r="I568" i="1"/>
  <c r="J568" i="1"/>
  <c r="K568" i="1"/>
  <c r="M568" i="1"/>
  <c r="N568" i="1"/>
  <c r="P568" i="1"/>
  <c r="P569" i="1" s="1"/>
  <c r="Q568" i="1"/>
  <c r="Q569" i="1" s="1"/>
  <c r="R568" i="1"/>
  <c r="R569" i="1" s="1"/>
  <c r="S568" i="1"/>
  <c r="S569" i="1" s="1"/>
  <c r="T568" i="1"/>
  <c r="T569" i="1" s="1"/>
  <c r="V568" i="1"/>
  <c r="V569" i="1" s="1"/>
  <c r="W568" i="1"/>
  <c r="W569" i="1" s="1"/>
  <c r="X568" i="1"/>
  <c r="X569" i="1" s="1"/>
  <c r="Y568" i="1"/>
  <c r="Y569" i="1" s="1"/>
  <c r="Z568" i="1"/>
  <c r="Z569" i="1" s="1"/>
  <c r="A570" i="1"/>
  <c r="A571" i="1" s="1"/>
  <c r="B570" i="1"/>
  <c r="B571" i="1" s="1"/>
  <c r="C570" i="1"/>
  <c r="C571" i="1" s="1"/>
  <c r="D570" i="1"/>
  <c r="D571" i="1" s="1"/>
  <c r="E570" i="1"/>
  <c r="E571" i="1" s="1"/>
  <c r="F570" i="1"/>
  <c r="F571" i="1" s="1"/>
  <c r="G570" i="1"/>
  <c r="H570" i="1"/>
  <c r="I570" i="1"/>
  <c r="J570" i="1"/>
  <c r="K570" i="1"/>
  <c r="M570" i="1"/>
  <c r="N570" i="1"/>
  <c r="P570" i="1"/>
  <c r="P571" i="1" s="1"/>
  <c r="Q570" i="1"/>
  <c r="Q571" i="1" s="1"/>
  <c r="R570" i="1"/>
  <c r="R571" i="1" s="1"/>
  <c r="S570" i="1"/>
  <c r="S571" i="1" s="1"/>
  <c r="T570" i="1"/>
  <c r="T571" i="1" s="1"/>
  <c r="V570" i="1"/>
  <c r="V571" i="1" s="1"/>
  <c r="W570" i="1"/>
  <c r="W571" i="1" s="1"/>
  <c r="X570" i="1"/>
  <c r="X571" i="1" s="1"/>
  <c r="Y570" i="1"/>
  <c r="Y571" i="1" s="1"/>
  <c r="Z570" i="1"/>
  <c r="Z571" i="1" s="1"/>
  <c r="A572" i="1"/>
  <c r="A573" i="1" s="1"/>
  <c r="B572" i="1"/>
  <c r="B573" i="1" s="1"/>
  <c r="C572" i="1"/>
  <c r="C573" i="1" s="1"/>
  <c r="D572" i="1"/>
  <c r="D573" i="1" s="1"/>
  <c r="E572" i="1"/>
  <c r="E573" i="1" s="1"/>
  <c r="F572" i="1"/>
  <c r="F573" i="1" s="1"/>
  <c r="G572" i="1"/>
  <c r="H572" i="1"/>
  <c r="I572" i="1"/>
  <c r="J572" i="1"/>
  <c r="K572" i="1"/>
  <c r="M572" i="1"/>
  <c r="N572" i="1"/>
  <c r="P572" i="1"/>
  <c r="P573" i="1" s="1"/>
  <c r="Q572" i="1"/>
  <c r="Q573" i="1" s="1"/>
  <c r="R572" i="1"/>
  <c r="R573" i="1" s="1"/>
  <c r="S572" i="1"/>
  <c r="S573" i="1" s="1"/>
  <c r="T572" i="1"/>
  <c r="T573" i="1" s="1"/>
  <c r="V572" i="1"/>
  <c r="V573" i="1" s="1"/>
  <c r="W572" i="1"/>
  <c r="W573" i="1" s="1"/>
  <c r="X572" i="1"/>
  <c r="X573" i="1" s="1"/>
  <c r="Y572" i="1"/>
  <c r="Y573" i="1" s="1"/>
  <c r="Z572" i="1"/>
  <c r="Z573" i="1" s="1"/>
  <c r="A574" i="1"/>
  <c r="A575" i="1" s="1"/>
  <c r="B574" i="1"/>
  <c r="B575" i="1" s="1"/>
  <c r="C574" i="1"/>
  <c r="C575" i="1" s="1"/>
  <c r="D574" i="1"/>
  <c r="E574" i="1"/>
  <c r="E575" i="1" s="1"/>
  <c r="F574" i="1"/>
  <c r="F575" i="1" s="1"/>
  <c r="G574" i="1"/>
  <c r="H574" i="1"/>
  <c r="I574" i="1"/>
  <c r="J574" i="1"/>
  <c r="K574" i="1"/>
  <c r="M574" i="1"/>
  <c r="N574" i="1"/>
  <c r="P574" i="1"/>
  <c r="P575" i="1" s="1"/>
  <c r="Q574" i="1"/>
  <c r="Q575" i="1" s="1"/>
  <c r="R574" i="1"/>
  <c r="R575" i="1" s="1"/>
  <c r="S574" i="1"/>
  <c r="S575" i="1" s="1"/>
  <c r="T574" i="1"/>
  <c r="T575" i="1" s="1"/>
  <c r="V574" i="1"/>
  <c r="V575" i="1" s="1"/>
  <c r="W574" i="1"/>
  <c r="W575" i="1" s="1"/>
  <c r="X574" i="1"/>
  <c r="X575" i="1" s="1"/>
  <c r="Y574" i="1"/>
  <c r="Y575" i="1" s="1"/>
  <c r="Z574" i="1"/>
  <c r="Z575" i="1" s="1"/>
  <c r="D575" i="1"/>
  <c r="A576" i="1"/>
  <c r="A577" i="1" s="1"/>
  <c r="B576" i="1"/>
  <c r="B577" i="1" s="1"/>
  <c r="C576" i="1"/>
  <c r="C577" i="1" s="1"/>
  <c r="D576" i="1"/>
  <c r="D577" i="1" s="1"/>
  <c r="E576" i="1"/>
  <c r="E577" i="1" s="1"/>
  <c r="F576" i="1"/>
  <c r="F577" i="1" s="1"/>
  <c r="G576" i="1"/>
  <c r="H576" i="1"/>
  <c r="I576" i="1"/>
  <c r="J576" i="1"/>
  <c r="K576" i="1"/>
  <c r="M576" i="1"/>
  <c r="N576" i="1"/>
  <c r="P576" i="1"/>
  <c r="P577" i="1" s="1"/>
  <c r="Q576" i="1"/>
  <c r="Q577" i="1" s="1"/>
  <c r="R576" i="1"/>
  <c r="R577" i="1" s="1"/>
  <c r="S576" i="1"/>
  <c r="S577" i="1" s="1"/>
  <c r="T576" i="1"/>
  <c r="T577" i="1" s="1"/>
  <c r="V576" i="1"/>
  <c r="V577" i="1" s="1"/>
  <c r="W576" i="1"/>
  <c r="W577" i="1" s="1"/>
  <c r="X576" i="1"/>
  <c r="X577" i="1" s="1"/>
  <c r="Y576" i="1"/>
  <c r="Y577" i="1" s="1"/>
  <c r="Z576" i="1"/>
  <c r="Z577" i="1" s="1"/>
  <c r="A578" i="1"/>
  <c r="A579" i="1" s="1"/>
  <c r="B578" i="1"/>
  <c r="B579" i="1" s="1"/>
  <c r="C578" i="1"/>
  <c r="C579" i="1" s="1"/>
  <c r="D578" i="1"/>
  <c r="E578" i="1"/>
  <c r="E579" i="1" s="1"/>
  <c r="F578" i="1"/>
  <c r="F579" i="1" s="1"/>
  <c r="G578" i="1"/>
  <c r="H578" i="1"/>
  <c r="I578" i="1"/>
  <c r="J578" i="1"/>
  <c r="K578" i="1"/>
  <c r="M578" i="1"/>
  <c r="N578" i="1"/>
  <c r="P578" i="1"/>
  <c r="P579" i="1" s="1"/>
  <c r="Q578" i="1"/>
  <c r="Q579" i="1" s="1"/>
  <c r="R578" i="1"/>
  <c r="R579" i="1" s="1"/>
  <c r="S578" i="1"/>
  <c r="S579" i="1" s="1"/>
  <c r="T578" i="1"/>
  <c r="T579" i="1" s="1"/>
  <c r="V578" i="1"/>
  <c r="V579" i="1" s="1"/>
  <c r="W578" i="1"/>
  <c r="W579" i="1" s="1"/>
  <c r="X578" i="1"/>
  <c r="X579" i="1" s="1"/>
  <c r="Y578" i="1"/>
  <c r="Y579" i="1" s="1"/>
  <c r="Z578" i="1"/>
  <c r="Z579" i="1" s="1"/>
  <c r="D579" i="1"/>
  <c r="A580" i="1"/>
  <c r="A581" i="1" s="1"/>
  <c r="B580" i="1"/>
  <c r="B581" i="1" s="1"/>
  <c r="C580" i="1"/>
  <c r="C581" i="1" s="1"/>
  <c r="D580" i="1"/>
  <c r="D581" i="1" s="1"/>
  <c r="E580" i="1"/>
  <c r="E581" i="1" s="1"/>
  <c r="F580" i="1"/>
  <c r="G580" i="1"/>
  <c r="H580" i="1"/>
  <c r="I580" i="1"/>
  <c r="J580" i="1"/>
  <c r="K580" i="1"/>
  <c r="M580" i="1"/>
  <c r="N580" i="1"/>
  <c r="P580" i="1"/>
  <c r="P581" i="1" s="1"/>
  <c r="Q580" i="1"/>
  <c r="Q581" i="1" s="1"/>
  <c r="R580" i="1"/>
  <c r="R581" i="1" s="1"/>
  <c r="S580" i="1"/>
  <c r="S581" i="1" s="1"/>
  <c r="T580" i="1"/>
  <c r="T581" i="1" s="1"/>
  <c r="V580" i="1"/>
  <c r="V581" i="1" s="1"/>
  <c r="W580" i="1"/>
  <c r="W581" i="1" s="1"/>
  <c r="X580" i="1"/>
  <c r="X581" i="1" s="1"/>
  <c r="Y580" i="1"/>
  <c r="Y581" i="1" s="1"/>
  <c r="Z580" i="1"/>
  <c r="Z581" i="1" s="1"/>
  <c r="A582" i="1"/>
  <c r="A583" i="1" s="1"/>
  <c r="B582" i="1"/>
  <c r="B583" i="1" s="1"/>
  <c r="C582" i="1"/>
  <c r="C583" i="1" s="1"/>
  <c r="D582" i="1"/>
  <c r="E582" i="1"/>
  <c r="E583" i="1" s="1"/>
  <c r="F582" i="1"/>
  <c r="F583" i="1" s="1"/>
  <c r="G582" i="1"/>
  <c r="H582" i="1"/>
  <c r="I582" i="1"/>
  <c r="J582" i="1"/>
  <c r="K582" i="1"/>
  <c r="M582" i="1"/>
  <c r="N582" i="1"/>
  <c r="P582" i="1"/>
  <c r="P583" i="1" s="1"/>
  <c r="Q582" i="1"/>
  <c r="Q583" i="1" s="1"/>
  <c r="R582" i="1"/>
  <c r="R583" i="1" s="1"/>
  <c r="S582" i="1"/>
  <c r="S583" i="1" s="1"/>
  <c r="T582" i="1"/>
  <c r="T583" i="1" s="1"/>
  <c r="V582" i="1"/>
  <c r="V583" i="1" s="1"/>
  <c r="W582" i="1"/>
  <c r="W583" i="1" s="1"/>
  <c r="X582" i="1"/>
  <c r="X583" i="1" s="1"/>
  <c r="Y582" i="1"/>
  <c r="Y583" i="1" s="1"/>
  <c r="Z582" i="1"/>
  <c r="Z583" i="1" s="1"/>
  <c r="D583" i="1"/>
  <c r="A584" i="1"/>
  <c r="A585" i="1" s="1"/>
  <c r="B584" i="1"/>
  <c r="B585" i="1" s="1"/>
  <c r="C584" i="1"/>
  <c r="C585" i="1" s="1"/>
  <c r="D584" i="1"/>
  <c r="D585" i="1" s="1"/>
  <c r="E584" i="1"/>
  <c r="E585" i="1" s="1"/>
  <c r="F584" i="1"/>
  <c r="F585" i="1" s="1"/>
  <c r="G584" i="1"/>
  <c r="H584" i="1"/>
  <c r="I584" i="1"/>
  <c r="J584" i="1"/>
  <c r="K584" i="1"/>
  <c r="M584" i="1"/>
  <c r="N584" i="1"/>
  <c r="P584" i="1"/>
  <c r="P585" i="1" s="1"/>
  <c r="Q584" i="1"/>
  <c r="Q585" i="1" s="1"/>
  <c r="R584" i="1"/>
  <c r="R585" i="1" s="1"/>
  <c r="S584" i="1"/>
  <c r="S585" i="1" s="1"/>
  <c r="T584" i="1"/>
  <c r="T585" i="1" s="1"/>
  <c r="V584" i="1"/>
  <c r="V585" i="1" s="1"/>
  <c r="W584" i="1"/>
  <c r="W585" i="1" s="1"/>
  <c r="X584" i="1"/>
  <c r="X585" i="1" s="1"/>
  <c r="Y584" i="1"/>
  <c r="Y585" i="1" s="1"/>
  <c r="Z584" i="1"/>
  <c r="Z585" i="1" s="1"/>
  <c r="A586" i="1"/>
  <c r="A587" i="1" s="1"/>
  <c r="B586" i="1"/>
  <c r="B587" i="1" s="1"/>
  <c r="C586" i="1"/>
  <c r="C587" i="1" s="1"/>
  <c r="D586" i="1"/>
  <c r="D587" i="1" s="1"/>
  <c r="E586" i="1"/>
  <c r="E587" i="1" s="1"/>
  <c r="F586" i="1"/>
  <c r="F587" i="1" s="1"/>
  <c r="G586" i="1"/>
  <c r="H586" i="1"/>
  <c r="I586" i="1"/>
  <c r="J586" i="1"/>
  <c r="K586" i="1"/>
  <c r="M586" i="1"/>
  <c r="N586" i="1"/>
  <c r="P586" i="1"/>
  <c r="P587" i="1" s="1"/>
  <c r="Q586" i="1"/>
  <c r="Q587" i="1" s="1"/>
  <c r="R586" i="1"/>
  <c r="R587" i="1" s="1"/>
  <c r="S586" i="1"/>
  <c r="S587" i="1" s="1"/>
  <c r="T586" i="1"/>
  <c r="T587" i="1" s="1"/>
  <c r="V586" i="1"/>
  <c r="V587" i="1" s="1"/>
  <c r="W586" i="1"/>
  <c r="W587" i="1" s="1"/>
  <c r="X586" i="1"/>
  <c r="X587" i="1" s="1"/>
  <c r="Y586" i="1"/>
  <c r="Y587" i="1" s="1"/>
  <c r="Z586" i="1"/>
  <c r="Z587" i="1" s="1"/>
  <c r="A588" i="1"/>
  <c r="A589" i="1" s="1"/>
  <c r="B588" i="1"/>
  <c r="B589" i="1" s="1"/>
  <c r="C588" i="1"/>
  <c r="C589" i="1" s="1"/>
  <c r="D588" i="1"/>
  <c r="D589" i="1" s="1"/>
  <c r="E588" i="1"/>
  <c r="E589" i="1" s="1"/>
  <c r="F588" i="1"/>
  <c r="F589" i="1" s="1"/>
  <c r="G588" i="1"/>
  <c r="H588" i="1"/>
  <c r="I588" i="1"/>
  <c r="J588" i="1"/>
  <c r="K588" i="1"/>
  <c r="M588" i="1"/>
  <c r="N588" i="1"/>
  <c r="P588" i="1"/>
  <c r="P589" i="1" s="1"/>
  <c r="Q588" i="1"/>
  <c r="Q589" i="1" s="1"/>
  <c r="R588" i="1"/>
  <c r="R589" i="1" s="1"/>
  <c r="S588" i="1"/>
  <c r="S589" i="1" s="1"/>
  <c r="T588" i="1"/>
  <c r="T589" i="1" s="1"/>
  <c r="V588" i="1"/>
  <c r="V589" i="1" s="1"/>
  <c r="W588" i="1"/>
  <c r="W589" i="1" s="1"/>
  <c r="X588" i="1"/>
  <c r="X589" i="1" s="1"/>
  <c r="Y588" i="1"/>
  <c r="Y589" i="1" s="1"/>
  <c r="Z588" i="1"/>
  <c r="Z589" i="1" s="1"/>
  <c r="A590" i="1"/>
  <c r="A591" i="1" s="1"/>
  <c r="B590" i="1"/>
  <c r="B591" i="1" s="1"/>
  <c r="C590" i="1"/>
  <c r="C591" i="1" s="1"/>
  <c r="D590" i="1"/>
  <c r="D591" i="1" s="1"/>
  <c r="E590" i="1"/>
  <c r="E591" i="1" s="1"/>
  <c r="F590" i="1"/>
  <c r="F591" i="1" s="1"/>
  <c r="G590" i="1"/>
  <c r="H590" i="1"/>
  <c r="I590" i="1"/>
  <c r="J590" i="1"/>
  <c r="K590" i="1"/>
  <c r="M590" i="1"/>
  <c r="N590" i="1"/>
  <c r="P590" i="1"/>
  <c r="P591" i="1" s="1"/>
  <c r="Q590" i="1"/>
  <c r="Q591" i="1" s="1"/>
  <c r="R590" i="1"/>
  <c r="R591" i="1" s="1"/>
  <c r="S590" i="1"/>
  <c r="S591" i="1" s="1"/>
  <c r="T590" i="1"/>
  <c r="T591" i="1" s="1"/>
  <c r="V590" i="1"/>
  <c r="V591" i="1" s="1"/>
  <c r="W590" i="1"/>
  <c r="W591" i="1" s="1"/>
  <c r="X590" i="1"/>
  <c r="X591" i="1" s="1"/>
  <c r="Y590" i="1"/>
  <c r="Y591" i="1" s="1"/>
  <c r="Z590" i="1"/>
  <c r="Z591" i="1" s="1"/>
  <c r="A592" i="1"/>
  <c r="A593" i="1" s="1"/>
  <c r="B592" i="1"/>
  <c r="B593" i="1" s="1"/>
  <c r="C592" i="1"/>
  <c r="C593" i="1" s="1"/>
  <c r="D592" i="1"/>
  <c r="E592" i="1"/>
  <c r="E593" i="1" s="1"/>
  <c r="F592" i="1"/>
  <c r="F593" i="1" s="1"/>
  <c r="G592" i="1"/>
  <c r="H592" i="1"/>
  <c r="I592" i="1"/>
  <c r="J592" i="1"/>
  <c r="K592" i="1"/>
  <c r="M592" i="1"/>
  <c r="N592" i="1"/>
  <c r="P592" i="1"/>
  <c r="P593" i="1" s="1"/>
  <c r="Q592" i="1"/>
  <c r="Q593" i="1" s="1"/>
  <c r="R592" i="1"/>
  <c r="R593" i="1" s="1"/>
  <c r="S592" i="1"/>
  <c r="S593" i="1" s="1"/>
  <c r="T592" i="1"/>
  <c r="T593" i="1" s="1"/>
  <c r="V592" i="1"/>
  <c r="V593" i="1" s="1"/>
  <c r="W592" i="1"/>
  <c r="W593" i="1" s="1"/>
  <c r="X592" i="1"/>
  <c r="X593" i="1" s="1"/>
  <c r="Y592" i="1"/>
  <c r="Y593" i="1" s="1"/>
  <c r="Z592" i="1"/>
  <c r="Z593" i="1" s="1"/>
  <c r="D593" i="1"/>
  <c r="A594" i="1"/>
  <c r="A595" i="1" s="1"/>
  <c r="B594" i="1"/>
  <c r="C594" i="1"/>
  <c r="C595" i="1" s="1"/>
  <c r="D594" i="1"/>
  <c r="D595" i="1" s="1"/>
  <c r="E594" i="1"/>
  <c r="E595" i="1" s="1"/>
  <c r="F594" i="1"/>
  <c r="F595" i="1" s="1"/>
  <c r="G594" i="1"/>
  <c r="H594" i="1"/>
  <c r="I594" i="1"/>
  <c r="J594" i="1"/>
  <c r="K594" i="1"/>
  <c r="M594" i="1"/>
  <c r="N594" i="1"/>
  <c r="P594" i="1"/>
  <c r="P595" i="1" s="1"/>
  <c r="Q594" i="1"/>
  <c r="Q595" i="1" s="1"/>
  <c r="R594" i="1"/>
  <c r="R595" i="1" s="1"/>
  <c r="S594" i="1"/>
  <c r="S595" i="1" s="1"/>
  <c r="T594" i="1"/>
  <c r="T595" i="1" s="1"/>
  <c r="V594" i="1"/>
  <c r="V595" i="1" s="1"/>
  <c r="W594" i="1"/>
  <c r="W595" i="1" s="1"/>
  <c r="X594" i="1"/>
  <c r="X595" i="1" s="1"/>
  <c r="Y594" i="1"/>
  <c r="Z594" i="1"/>
  <c r="Z595" i="1" s="1"/>
  <c r="B595" i="1"/>
  <c r="A596" i="1"/>
  <c r="A597" i="1" s="1"/>
  <c r="B596" i="1"/>
  <c r="B597" i="1" s="1"/>
  <c r="C596" i="1"/>
  <c r="C597" i="1" s="1"/>
  <c r="D596" i="1"/>
  <c r="D597" i="1" s="1"/>
  <c r="E596" i="1"/>
  <c r="E597" i="1" s="1"/>
  <c r="F596" i="1"/>
  <c r="F597" i="1" s="1"/>
  <c r="G596" i="1"/>
  <c r="H596" i="1"/>
  <c r="I596" i="1"/>
  <c r="J596" i="1"/>
  <c r="K596" i="1"/>
  <c r="M596" i="1"/>
  <c r="N596" i="1"/>
  <c r="P596" i="1"/>
  <c r="P597" i="1" s="1"/>
  <c r="Q596" i="1"/>
  <c r="Q597" i="1" s="1"/>
  <c r="R596" i="1"/>
  <c r="R597" i="1" s="1"/>
  <c r="S596" i="1"/>
  <c r="S597" i="1" s="1"/>
  <c r="T596" i="1"/>
  <c r="T597" i="1" s="1"/>
  <c r="V596" i="1"/>
  <c r="V597" i="1" s="1"/>
  <c r="W596" i="1"/>
  <c r="W597" i="1" s="1"/>
  <c r="X596" i="1"/>
  <c r="X597" i="1" s="1"/>
  <c r="Y596" i="1"/>
  <c r="Y597" i="1" s="1"/>
  <c r="Z596" i="1"/>
  <c r="Z597" i="1" s="1"/>
  <c r="A598" i="1"/>
  <c r="A599" i="1" s="1"/>
  <c r="B598" i="1"/>
  <c r="B599" i="1" s="1"/>
  <c r="C598" i="1"/>
  <c r="C599" i="1" s="1"/>
  <c r="D598" i="1"/>
  <c r="E598" i="1"/>
  <c r="E599" i="1" s="1"/>
  <c r="F598" i="1"/>
  <c r="F599" i="1" s="1"/>
  <c r="G598" i="1"/>
  <c r="H598" i="1"/>
  <c r="I598" i="1"/>
  <c r="J598" i="1"/>
  <c r="K598" i="1"/>
  <c r="M598" i="1"/>
  <c r="N598" i="1"/>
  <c r="P598" i="1"/>
  <c r="P599" i="1" s="1"/>
  <c r="Q598" i="1"/>
  <c r="Q599" i="1" s="1"/>
  <c r="R598" i="1"/>
  <c r="R599" i="1" s="1"/>
  <c r="S598" i="1"/>
  <c r="T598" i="1"/>
  <c r="T599" i="1" s="1"/>
  <c r="V598" i="1"/>
  <c r="V599" i="1" s="1"/>
  <c r="W598" i="1"/>
  <c r="W599" i="1" s="1"/>
  <c r="X598" i="1"/>
  <c r="X599" i="1" s="1"/>
  <c r="Y598" i="1"/>
  <c r="Y599" i="1" s="1"/>
  <c r="Z598" i="1"/>
  <c r="Z599" i="1" s="1"/>
  <c r="D599" i="1"/>
  <c r="S599" i="1"/>
  <c r="A600" i="1"/>
  <c r="A601" i="1" s="1"/>
  <c r="B600" i="1"/>
  <c r="B601" i="1" s="1"/>
  <c r="C600" i="1"/>
  <c r="C601" i="1" s="1"/>
  <c r="D600" i="1"/>
  <c r="D601" i="1" s="1"/>
  <c r="E600" i="1"/>
  <c r="E601" i="1" s="1"/>
  <c r="F600" i="1"/>
  <c r="F601" i="1" s="1"/>
  <c r="G600" i="1"/>
  <c r="H600" i="1"/>
  <c r="I600" i="1"/>
  <c r="J600" i="1"/>
  <c r="K600" i="1"/>
  <c r="M600" i="1"/>
  <c r="N600" i="1"/>
  <c r="P600" i="1"/>
  <c r="P601" i="1" s="1"/>
  <c r="Q600" i="1"/>
  <c r="Q601" i="1" s="1"/>
  <c r="R600" i="1"/>
  <c r="S600" i="1"/>
  <c r="S601" i="1" s="1"/>
  <c r="T600" i="1"/>
  <c r="T601" i="1" s="1"/>
  <c r="V600" i="1"/>
  <c r="V601" i="1" s="1"/>
  <c r="W600" i="1"/>
  <c r="W601" i="1" s="1"/>
  <c r="X600" i="1"/>
  <c r="X601" i="1" s="1"/>
  <c r="Y600" i="1"/>
  <c r="Y601" i="1" s="1"/>
  <c r="Z600" i="1"/>
  <c r="Z601" i="1" s="1"/>
  <c r="R601" i="1"/>
  <c r="A602" i="1"/>
  <c r="A603" i="1" s="1"/>
  <c r="B602" i="1"/>
  <c r="C602" i="1"/>
  <c r="C603" i="1" s="1"/>
  <c r="D602" i="1"/>
  <c r="D603" i="1" s="1"/>
  <c r="E602" i="1"/>
  <c r="F602" i="1"/>
  <c r="F603" i="1" s="1"/>
  <c r="G602" i="1"/>
  <c r="H602" i="1"/>
  <c r="I602" i="1"/>
  <c r="J602" i="1"/>
  <c r="K602" i="1"/>
  <c r="M602" i="1"/>
  <c r="N602" i="1"/>
  <c r="P602" i="1"/>
  <c r="P603" i="1" s="1"/>
  <c r="Q602" i="1"/>
  <c r="Q603" i="1" s="1"/>
  <c r="R602" i="1"/>
  <c r="R603" i="1" s="1"/>
  <c r="S602" i="1"/>
  <c r="S603" i="1" s="1"/>
  <c r="T602" i="1"/>
  <c r="T603" i="1" s="1"/>
  <c r="V602" i="1"/>
  <c r="V603" i="1" s="1"/>
  <c r="W602" i="1"/>
  <c r="W603" i="1" s="1"/>
  <c r="X602" i="1"/>
  <c r="X603" i="1" s="1"/>
  <c r="Y602" i="1"/>
  <c r="Z602" i="1"/>
  <c r="Z603" i="1" s="1"/>
  <c r="B603" i="1"/>
  <c r="A604" i="1"/>
  <c r="A605" i="1" s="1"/>
  <c r="B604" i="1"/>
  <c r="B605" i="1" s="1"/>
  <c r="C604" i="1"/>
  <c r="C605" i="1" s="1"/>
  <c r="D604" i="1"/>
  <c r="D605" i="1" s="1"/>
  <c r="E604" i="1"/>
  <c r="E605" i="1" s="1"/>
  <c r="F604" i="1"/>
  <c r="F605" i="1" s="1"/>
  <c r="G604" i="1"/>
  <c r="H604" i="1"/>
  <c r="I604" i="1"/>
  <c r="J604" i="1"/>
  <c r="K604" i="1"/>
  <c r="M604" i="1"/>
  <c r="N604" i="1"/>
  <c r="P604" i="1"/>
  <c r="P605" i="1" s="1"/>
  <c r="Q604" i="1"/>
  <c r="Q605" i="1" s="1"/>
  <c r="R604" i="1"/>
  <c r="R605" i="1" s="1"/>
  <c r="S604" i="1"/>
  <c r="S605" i="1" s="1"/>
  <c r="T604" i="1"/>
  <c r="T605" i="1" s="1"/>
  <c r="V604" i="1"/>
  <c r="V605" i="1" s="1"/>
  <c r="W604" i="1"/>
  <c r="W605" i="1" s="1"/>
  <c r="X604" i="1"/>
  <c r="X605" i="1" s="1"/>
  <c r="Y604" i="1"/>
  <c r="Y605" i="1" s="1"/>
  <c r="Z604" i="1"/>
  <c r="Z605" i="1" s="1"/>
  <c r="A606" i="1"/>
  <c r="A607" i="1" s="1"/>
  <c r="B606" i="1"/>
  <c r="B607" i="1" s="1"/>
  <c r="C606" i="1"/>
  <c r="C607" i="1" s="1"/>
  <c r="D606" i="1"/>
  <c r="D607" i="1" s="1"/>
  <c r="E606" i="1"/>
  <c r="E607" i="1" s="1"/>
  <c r="F606" i="1"/>
  <c r="F607" i="1" s="1"/>
  <c r="G606" i="1"/>
  <c r="H606" i="1"/>
  <c r="I606" i="1"/>
  <c r="J606" i="1"/>
  <c r="K606" i="1"/>
  <c r="M606" i="1"/>
  <c r="N606" i="1"/>
  <c r="P606" i="1"/>
  <c r="P607" i="1" s="1"/>
  <c r="Q606" i="1"/>
  <c r="Q607" i="1" s="1"/>
  <c r="R606" i="1"/>
  <c r="R607" i="1" s="1"/>
  <c r="S606" i="1"/>
  <c r="S607" i="1" s="1"/>
  <c r="T606" i="1"/>
  <c r="T607" i="1" s="1"/>
  <c r="V606" i="1"/>
  <c r="V607" i="1" s="1"/>
  <c r="W606" i="1"/>
  <c r="W607" i="1" s="1"/>
  <c r="X606" i="1"/>
  <c r="X607" i="1" s="1"/>
  <c r="Y606" i="1"/>
  <c r="Y607" i="1" s="1"/>
  <c r="Z606" i="1"/>
  <c r="Z607" i="1" s="1"/>
  <c r="A608" i="1"/>
  <c r="A609" i="1" s="1"/>
  <c r="B608" i="1"/>
  <c r="B609" i="1" s="1"/>
  <c r="C608" i="1"/>
  <c r="D608" i="1"/>
  <c r="D609" i="1" s="1"/>
  <c r="E608" i="1"/>
  <c r="E609" i="1" s="1"/>
  <c r="F608" i="1"/>
  <c r="F609" i="1" s="1"/>
  <c r="G608" i="1"/>
  <c r="H608" i="1"/>
  <c r="I608" i="1"/>
  <c r="J608" i="1"/>
  <c r="K608" i="1"/>
  <c r="M608" i="1"/>
  <c r="N608" i="1"/>
  <c r="P608" i="1"/>
  <c r="P609" i="1" s="1"/>
  <c r="Q608" i="1"/>
  <c r="Q609" i="1" s="1"/>
  <c r="R608" i="1"/>
  <c r="R609" i="1" s="1"/>
  <c r="S608" i="1"/>
  <c r="S609" i="1" s="1"/>
  <c r="T608" i="1"/>
  <c r="T609" i="1" s="1"/>
  <c r="V608" i="1"/>
  <c r="V609" i="1" s="1"/>
  <c r="W608" i="1"/>
  <c r="W609" i="1" s="1"/>
  <c r="X608" i="1"/>
  <c r="X609" i="1" s="1"/>
  <c r="Y608" i="1"/>
  <c r="Y609" i="1" s="1"/>
  <c r="Z608" i="1"/>
  <c r="Z609" i="1" s="1"/>
  <c r="C609" i="1"/>
  <c r="A610" i="1"/>
  <c r="A611" i="1" s="1"/>
  <c r="B610" i="1"/>
  <c r="B611" i="1" s="1"/>
  <c r="C610" i="1"/>
  <c r="C611" i="1" s="1"/>
  <c r="D610" i="1"/>
  <c r="E610" i="1"/>
  <c r="F610" i="1"/>
  <c r="F611" i="1" s="1"/>
  <c r="G610" i="1"/>
  <c r="H610" i="1"/>
  <c r="I610" i="1"/>
  <c r="J610" i="1"/>
  <c r="K610" i="1"/>
  <c r="M610" i="1"/>
  <c r="N610" i="1"/>
  <c r="P610" i="1"/>
  <c r="P611" i="1" s="1"/>
  <c r="Q610" i="1"/>
  <c r="Q611" i="1" s="1"/>
  <c r="R610" i="1"/>
  <c r="R611" i="1" s="1"/>
  <c r="S610" i="1"/>
  <c r="S611" i="1" s="1"/>
  <c r="T610" i="1"/>
  <c r="T611" i="1" s="1"/>
  <c r="V610" i="1"/>
  <c r="V611" i="1" s="1"/>
  <c r="W610" i="1"/>
  <c r="W611" i="1" s="1"/>
  <c r="X610" i="1"/>
  <c r="X611" i="1" s="1"/>
  <c r="Y610" i="1"/>
  <c r="Y611" i="1" s="1"/>
  <c r="Z610" i="1"/>
  <c r="Z611" i="1" s="1"/>
  <c r="D611" i="1"/>
  <c r="A612" i="1"/>
  <c r="A613" i="1" s="1"/>
  <c r="B612" i="1"/>
  <c r="B613" i="1" s="1"/>
  <c r="C612" i="1"/>
  <c r="C613" i="1" s="1"/>
  <c r="D612" i="1"/>
  <c r="E612" i="1"/>
  <c r="E613" i="1" s="1"/>
  <c r="F612" i="1"/>
  <c r="F613" i="1" s="1"/>
  <c r="G612" i="1"/>
  <c r="H612" i="1"/>
  <c r="I612" i="1"/>
  <c r="J612" i="1"/>
  <c r="K612" i="1"/>
  <c r="M612" i="1"/>
  <c r="N612" i="1"/>
  <c r="P612" i="1"/>
  <c r="P613" i="1" s="1"/>
  <c r="Q612" i="1"/>
  <c r="Q613" i="1" s="1"/>
  <c r="R612" i="1"/>
  <c r="R613" i="1" s="1"/>
  <c r="S612" i="1"/>
  <c r="T612" i="1"/>
  <c r="T613" i="1" s="1"/>
  <c r="V612" i="1"/>
  <c r="V613" i="1" s="1"/>
  <c r="W612" i="1"/>
  <c r="W613" i="1" s="1"/>
  <c r="X612" i="1"/>
  <c r="X613" i="1" s="1"/>
  <c r="Y612" i="1"/>
  <c r="Y613" i="1" s="1"/>
  <c r="Z612" i="1"/>
  <c r="Z613" i="1" s="1"/>
  <c r="D613" i="1"/>
  <c r="S613" i="1"/>
  <c r="A614" i="1"/>
  <c r="A615" i="1" s="1"/>
  <c r="B614" i="1"/>
  <c r="B615" i="1" s="1"/>
  <c r="C614" i="1"/>
  <c r="C615" i="1" s="1"/>
  <c r="D614" i="1"/>
  <c r="E614" i="1"/>
  <c r="F614" i="1"/>
  <c r="F615" i="1" s="1"/>
  <c r="G614" i="1"/>
  <c r="H614" i="1"/>
  <c r="I614" i="1"/>
  <c r="J614" i="1"/>
  <c r="K614" i="1"/>
  <c r="M614" i="1"/>
  <c r="N614" i="1"/>
  <c r="P614" i="1"/>
  <c r="P615" i="1" s="1"/>
  <c r="Q614" i="1"/>
  <c r="Q615" i="1" s="1"/>
  <c r="R614" i="1"/>
  <c r="R615" i="1" s="1"/>
  <c r="S614" i="1"/>
  <c r="S615" i="1" s="1"/>
  <c r="T614" i="1"/>
  <c r="T615" i="1" s="1"/>
  <c r="V614" i="1"/>
  <c r="V615" i="1" s="1"/>
  <c r="W614" i="1"/>
  <c r="W615" i="1" s="1"/>
  <c r="X614" i="1"/>
  <c r="X615" i="1" s="1"/>
  <c r="Y614" i="1"/>
  <c r="Y615" i="1" s="1"/>
  <c r="Z614" i="1"/>
  <c r="Z615" i="1" s="1"/>
  <c r="D615" i="1"/>
  <c r="A616" i="1"/>
  <c r="A617" i="1" s="1"/>
  <c r="B616" i="1"/>
  <c r="B617" i="1" s="1"/>
  <c r="C616" i="1"/>
  <c r="C617" i="1" s="1"/>
  <c r="D616" i="1"/>
  <c r="E616" i="1"/>
  <c r="E617" i="1" s="1"/>
  <c r="F616" i="1"/>
  <c r="F617" i="1" s="1"/>
  <c r="G616" i="1"/>
  <c r="H616" i="1"/>
  <c r="I616" i="1"/>
  <c r="J616" i="1"/>
  <c r="K616" i="1"/>
  <c r="M616" i="1"/>
  <c r="N616" i="1"/>
  <c r="P616" i="1"/>
  <c r="P617" i="1" s="1"/>
  <c r="Q616" i="1"/>
  <c r="Q617" i="1" s="1"/>
  <c r="R616" i="1"/>
  <c r="R617" i="1" s="1"/>
  <c r="S616" i="1"/>
  <c r="T616" i="1"/>
  <c r="T617" i="1" s="1"/>
  <c r="V616" i="1"/>
  <c r="V617" i="1" s="1"/>
  <c r="W616" i="1"/>
  <c r="W617" i="1" s="1"/>
  <c r="X616" i="1"/>
  <c r="X617" i="1" s="1"/>
  <c r="Y616" i="1"/>
  <c r="Y617" i="1" s="1"/>
  <c r="Z616" i="1"/>
  <c r="Z617" i="1" s="1"/>
  <c r="D617" i="1"/>
  <c r="S617" i="1"/>
  <c r="A618" i="1"/>
  <c r="A619" i="1" s="1"/>
  <c r="B618" i="1"/>
  <c r="C618" i="1"/>
  <c r="C619" i="1" s="1"/>
  <c r="D618" i="1"/>
  <c r="D619" i="1" s="1"/>
  <c r="E618" i="1"/>
  <c r="E619" i="1" s="1"/>
  <c r="F618" i="1"/>
  <c r="F619" i="1" s="1"/>
  <c r="G618" i="1"/>
  <c r="H618" i="1"/>
  <c r="I618" i="1"/>
  <c r="J618" i="1"/>
  <c r="K618" i="1"/>
  <c r="M618" i="1"/>
  <c r="N618" i="1"/>
  <c r="P618" i="1"/>
  <c r="P619" i="1" s="1"/>
  <c r="Q618" i="1"/>
  <c r="Q619" i="1" s="1"/>
  <c r="R618" i="1"/>
  <c r="R619" i="1" s="1"/>
  <c r="S618" i="1"/>
  <c r="S619" i="1" s="1"/>
  <c r="T618" i="1"/>
  <c r="T619" i="1" s="1"/>
  <c r="V618" i="1"/>
  <c r="V619" i="1" s="1"/>
  <c r="W618" i="1"/>
  <c r="W619" i="1" s="1"/>
  <c r="X618" i="1"/>
  <c r="X619" i="1" s="1"/>
  <c r="Y618" i="1"/>
  <c r="Z618" i="1"/>
  <c r="Z619" i="1" s="1"/>
  <c r="B619" i="1"/>
  <c r="A620" i="1"/>
  <c r="A621" i="1" s="1"/>
  <c r="B620" i="1"/>
  <c r="B621" i="1" s="1"/>
  <c r="C620" i="1"/>
  <c r="C621" i="1" s="1"/>
  <c r="D620" i="1"/>
  <c r="D621" i="1" s="1"/>
  <c r="E620" i="1"/>
  <c r="E621" i="1" s="1"/>
  <c r="F620" i="1"/>
  <c r="F621" i="1" s="1"/>
  <c r="G620" i="1"/>
  <c r="H620" i="1"/>
  <c r="I620" i="1"/>
  <c r="J620" i="1"/>
  <c r="K620" i="1"/>
  <c r="M620" i="1"/>
  <c r="N620" i="1"/>
  <c r="P620" i="1"/>
  <c r="P621" i="1" s="1"/>
  <c r="Q620" i="1"/>
  <c r="Q621" i="1" s="1"/>
  <c r="R620" i="1"/>
  <c r="R621" i="1" s="1"/>
  <c r="S620" i="1"/>
  <c r="S621" i="1" s="1"/>
  <c r="T620" i="1"/>
  <c r="T621" i="1" s="1"/>
  <c r="V620" i="1"/>
  <c r="V621" i="1" s="1"/>
  <c r="W620" i="1"/>
  <c r="W621" i="1" s="1"/>
  <c r="X620" i="1"/>
  <c r="X621" i="1" s="1"/>
  <c r="Y620" i="1"/>
  <c r="Y621" i="1" s="1"/>
  <c r="Z620" i="1"/>
  <c r="Z621" i="1" s="1"/>
  <c r="A622" i="1"/>
  <c r="A623" i="1" s="1"/>
  <c r="B622" i="1"/>
  <c r="B623" i="1" s="1"/>
  <c r="C622" i="1"/>
  <c r="C623" i="1" s="1"/>
  <c r="D622" i="1"/>
  <c r="E622" i="1"/>
  <c r="E623" i="1" s="1"/>
  <c r="F622" i="1"/>
  <c r="F623" i="1" s="1"/>
  <c r="G622" i="1"/>
  <c r="H622" i="1"/>
  <c r="I622" i="1"/>
  <c r="J622" i="1"/>
  <c r="K622" i="1"/>
  <c r="M622" i="1"/>
  <c r="N622" i="1"/>
  <c r="P622" i="1"/>
  <c r="P623" i="1" s="1"/>
  <c r="Q622" i="1"/>
  <c r="Q623" i="1" s="1"/>
  <c r="R622" i="1"/>
  <c r="R623" i="1" s="1"/>
  <c r="S622" i="1"/>
  <c r="S623" i="1" s="1"/>
  <c r="T622" i="1"/>
  <c r="T623" i="1" s="1"/>
  <c r="V622" i="1"/>
  <c r="V623" i="1" s="1"/>
  <c r="W622" i="1"/>
  <c r="W623" i="1" s="1"/>
  <c r="X622" i="1"/>
  <c r="X623" i="1" s="1"/>
  <c r="Y622" i="1"/>
  <c r="Y623" i="1" s="1"/>
  <c r="Z622" i="1"/>
  <c r="Z623" i="1" s="1"/>
  <c r="D623" i="1"/>
  <c r="A624" i="1"/>
  <c r="A625" i="1" s="1"/>
  <c r="B624" i="1"/>
  <c r="B625" i="1" s="1"/>
  <c r="C624" i="1"/>
  <c r="C625" i="1" s="1"/>
  <c r="D624" i="1"/>
  <c r="D625" i="1" s="1"/>
  <c r="E624" i="1"/>
  <c r="E625" i="1" s="1"/>
  <c r="F624" i="1"/>
  <c r="G624" i="1"/>
  <c r="H624" i="1"/>
  <c r="I624" i="1"/>
  <c r="J624" i="1"/>
  <c r="K624" i="1"/>
  <c r="M624" i="1"/>
  <c r="N624" i="1"/>
  <c r="P624" i="1"/>
  <c r="P625" i="1" s="1"/>
  <c r="Q624" i="1"/>
  <c r="Q625" i="1" s="1"/>
  <c r="R624" i="1"/>
  <c r="R625" i="1" s="1"/>
  <c r="S624" i="1"/>
  <c r="S625" i="1" s="1"/>
  <c r="T624" i="1"/>
  <c r="T625" i="1" s="1"/>
  <c r="V624" i="1"/>
  <c r="V625" i="1" s="1"/>
  <c r="W624" i="1"/>
  <c r="W625" i="1" s="1"/>
  <c r="X624" i="1"/>
  <c r="X625" i="1" s="1"/>
  <c r="Y624" i="1"/>
  <c r="Y625" i="1" s="1"/>
  <c r="Z624" i="1"/>
  <c r="Z625" i="1" s="1"/>
  <c r="A626" i="1"/>
  <c r="A627" i="1" s="1"/>
  <c r="B626" i="1"/>
  <c r="B627" i="1" s="1"/>
  <c r="C626" i="1"/>
  <c r="C627" i="1" s="1"/>
  <c r="D626" i="1"/>
  <c r="E626" i="1"/>
  <c r="E627" i="1" s="1"/>
  <c r="F626" i="1"/>
  <c r="F627" i="1" s="1"/>
  <c r="G626" i="1"/>
  <c r="H626" i="1"/>
  <c r="I626" i="1"/>
  <c r="J626" i="1"/>
  <c r="K626" i="1"/>
  <c r="M626" i="1"/>
  <c r="N626" i="1"/>
  <c r="P626" i="1"/>
  <c r="P627" i="1" s="1"/>
  <c r="Q626" i="1"/>
  <c r="Q627" i="1" s="1"/>
  <c r="R626" i="1"/>
  <c r="R627" i="1" s="1"/>
  <c r="S626" i="1"/>
  <c r="S627" i="1" s="1"/>
  <c r="T626" i="1"/>
  <c r="T627" i="1" s="1"/>
  <c r="V626" i="1"/>
  <c r="V627" i="1" s="1"/>
  <c r="W626" i="1"/>
  <c r="W627" i="1" s="1"/>
  <c r="X626" i="1"/>
  <c r="X627" i="1" s="1"/>
  <c r="Y626" i="1"/>
  <c r="Y627" i="1" s="1"/>
  <c r="Z626" i="1"/>
  <c r="Z627" i="1" s="1"/>
  <c r="D627" i="1"/>
  <c r="A628" i="1"/>
  <c r="A629" i="1" s="1"/>
  <c r="B628" i="1"/>
  <c r="B629" i="1" s="1"/>
  <c r="C628" i="1"/>
  <c r="C629" i="1" s="1"/>
  <c r="D628" i="1"/>
  <c r="D629" i="1" s="1"/>
  <c r="E628" i="1"/>
  <c r="E629" i="1" s="1"/>
  <c r="F628" i="1"/>
  <c r="G628" i="1"/>
  <c r="H628" i="1"/>
  <c r="I628" i="1"/>
  <c r="J628" i="1"/>
  <c r="K628" i="1"/>
  <c r="M628" i="1"/>
  <c r="N628" i="1"/>
  <c r="P628" i="1"/>
  <c r="P629" i="1" s="1"/>
  <c r="Q628" i="1"/>
  <c r="Q629" i="1" s="1"/>
  <c r="R628" i="1"/>
  <c r="R629" i="1" s="1"/>
  <c r="S628" i="1"/>
  <c r="S629" i="1" s="1"/>
  <c r="T628" i="1"/>
  <c r="T629" i="1" s="1"/>
  <c r="V628" i="1"/>
  <c r="V629" i="1" s="1"/>
  <c r="W628" i="1"/>
  <c r="W629" i="1" s="1"/>
  <c r="X628" i="1"/>
  <c r="X629" i="1" s="1"/>
  <c r="Y628" i="1"/>
  <c r="Y629" i="1" s="1"/>
  <c r="Z628" i="1"/>
  <c r="Z629" i="1" s="1"/>
  <c r="A630" i="1"/>
  <c r="A631" i="1" s="1"/>
  <c r="B630" i="1"/>
  <c r="B631" i="1" s="1"/>
  <c r="C630" i="1"/>
  <c r="C631" i="1" s="1"/>
  <c r="D630" i="1"/>
  <c r="D631" i="1" s="1"/>
  <c r="E630" i="1"/>
  <c r="F630" i="1"/>
  <c r="F631" i="1" s="1"/>
  <c r="G630" i="1"/>
  <c r="H630" i="1"/>
  <c r="I630" i="1"/>
  <c r="J630" i="1"/>
  <c r="K630" i="1"/>
  <c r="M630" i="1"/>
  <c r="N630" i="1"/>
  <c r="P630" i="1"/>
  <c r="P631" i="1" s="1"/>
  <c r="Q630" i="1"/>
  <c r="Q631" i="1" s="1"/>
  <c r="R630" i="1"/>
  <c r="R631" i="1" s="1"/>
  <c r="S630" i="1"/>
  <c r="S631" i="1" s="1"/>
  <c r="T630" i="1"/>
  <c r="T631" i="1" s="1"/>
  <c r="V630" i="1"/>
  <c r="V631" i="1" s="1"/>
  <c r="W630" i="1"/>
  <c r="W631" i="1" s="1"/>
  <c r="X630" i="1"/>
  <c r="X631" i="1" s="1"/>
  <c r="Y630" i="1"/>
  <c r="Y631" i="1" s="1"/>
  <c r="Z630" i="1"/>
  <c r="Z631" i="1" s="1"/>
  <c r="A632" i="1"/>
  <c r="A633" i="1" s="1"/>
  <c r="B632" i="1"/>
  <c r="B633" i="1" s="1"/>
  <c r="C632" i="1"/>
  <c r="C633" i="1" s="1"/>
  <c r="D632" i="1"/>
  <c r="D633" i="1" s="1"/>
  <c r="E632" i="1"/>
  <c r="E633" i="1" s="1"/>
  <c r="F632" i="1"/>
  <c r="G632" i="1"/>
  <c r="H632" i="1"/>
  <c r="I632" i="1"/>
  <c r="J632" i="1"/>
  <c r="K632" i="1"/>
  <c r="M632" i="1"/>
  <c r="N632" i="1"/>
  <c r="P632" i="1"/>
  <c r="P633" i="1" s="1"/>
  <c r="Q632" i="1"/>
  <c r="Q633" i="1" s="1"/>
  <c r="R632" i="1"/>
  <c r="R633" i="1" s="1"/>
  <c r="S632" i="1"/>
  <c r="S633" i="1" s="1"/>
  <c r="T632" i="1"/>
  <c r="T633" i="1" s="1"/>
  <c r="V632" i="1"/>
  <c r="V633" i="1" s="1"/>
  <c r="W632" i="1"/>
  <c r="W633" i="1" s="1"/>
  <c r="X632" i="1"/>
  <c r="X633" i="1" s="1"/>
  <c r="Y632" i="1"/>
  <c r="Y633" i="1" s="1"/>
  <c r="Z632" i="1"/>
  <c r="Z633" i="1" s="1"/>
  <c r="A634" i="1"/>
  <c r="A635" i="1" s="1"/>
  <c r="B634" i="1"/>
  <c r="B635" i="1" s="1"/>
  <c r="C634" i="1"/>
  <c r="C635" i="1" s="1"/>
  <c r="D634" i="1"/>
  <c r="D635" i="1" s="1"/>
  <c r="E634" i="1"/>
  <c r="E635" i="1" s="1"/>
  <c r="F634" i="1"/>
  <c r="F635" i="1" s="1"/>
  <c r="G634" i="1"/>
  <c r="H634" i="1"/>
  <c r="I634" i="1"/>
  <c r="J634" i="1"/>
  <c r="K634" i="1"/>
  <c r="M634" i="1"/>
  <c r="N634" i="1"/>
  <c r="P634" i="1"/>
  <c r="P635" i="1" s="1"/>
  <c r="Q634" i="1"/>
  <c r="Q635" i="1" s="1"/>
  <c r="R634" i="1"/>
  <c r="R635" i="1" s="1"/>
  <c r="S634" i="1"/>
  <c r="S635" i="1" s="1"/>
  <c r="T634" i="1"/>
  <c r="T635" i="1" s="1"/>
  <c r="V634" i="1"/>
  <c r="V635" i="1" s="1"/>
  <c r="W634" i="1"/>
  <c r="W635" i="1" s="1"/>
  <c r="X634" i="1"/>
  <c r="X635" i="1" s="1"/>
  <c r="Y634" i="1"/>
  <c r="Y635" i="1" s="1"/>
  <c r="Z634" i="1"/>
  <c r="Z635" i="1" s="1"/>
  <c r="A636" i="1"/>
  <c r="A637" i="1" s="1"/>
  <c r="B636" i="1"/>
  <c r="B637" i="1" s="1"/>
  <c r="C636" i="1"/>
  <c r="D636" i="1"/>
  <c r="D637" i="1" s="1"/>
  <c r="E636" i="1"/>
  <c r="E637" i="1" s="1"/>
  <c r="F636" i="1"/>
  <c r="G636" i="1"/>
  <c r="H636" i="1"/>
  <c r="I636" i="1"/>
  <c r="J636" i="1"/>
  <c r="K636" i="1"/>
  <c r="M636" i="1"/>
  <c r="N636" i="1"/>
  <c r="P636" i="1"/>
  <c r="P637" i="1" s="1"/>
  <c r="Q636" i="1"/>
  <c r="Q637" i="1" s="1"/>
  <c r="R636" i="1"/>
  <c r="R637" i="1" s="1"/>
  <c r="S636" i="1"/>
  <c r="S637" i="1" s="1"/>
  <c r="T636" i="1"/>
  <c r="T637" i="1" s="1"/>
  <c r="V636" i="1"/>
  <c r="V637" i="1" s="1"/>
  <c r="W636" i="1"/>
  <c r="W637" i="1" s="1"/>
  <c r="X636" i="1"/>
  <c r="X637" i="1" s="1"/>
  <c r="Y636" i="1"/>
  <c r="Y637" i="1" s="1"/>
  <c r="Z636" i="1"/>
  <c r="Z637" i="1" s="1"/>
  <c r="C637" i="1"/>
  <c r="A638" i="1"/>
  <c r="A639" i="1" s="1"/>
  <c r="B638" i="1"/>
  <c r="B639" i="1" s="1"/>
  <c r="C638" i="1"/>
  <c r="C639" i="1" s="1"/>
  <c r="D638" i="1"/>
  <c r="E638" i="1"/>
  <c r="F638" i="1"/>
  <c r="F639" i="1" s="1"/>
  <c r="G638" i="1"/>
  <c r="H638" i="1"/>
  <c r="I638" i="1"/>
  <c r="J638" i="1"/>
  <c r="K638" i="1"/>
  <c r="M638" i="1"/>
  <c r="N638" i="1"/>
  <c r="P638" i="1"/>
  <c r="P639" i="1" s="1"/>
  <c r="Q638" i="1"/>
  <c r="Q639" i="1" s="1"/>
  <c r="R638" i="1"/>
  <c r="R639" i="1" s="1"/>
  <c r="S638" i="1"/>
  <c r="S639" i="1" s="1"/>
  <c r="T638" i="1"/>
  <c r="T639" i="1" s="1"/>
  <c r="V638" i="1"/>
  <c r="V639" i="1" s="1"/>
  <c r="W638" i="1"/>
  <c r="W639" i="1" s="1"/>
  <c r="X638" i="1"/>
  <c r="X639" i="1" s="1"/>
  <c r="Y638" i="1"/>
  <c r="Y639" i="1" s="1"/>
  <c r="Z638" i="1"/>
  <c r="Z639" i="1" s="1"/>
  <c r="D639" i="1"/>
  <c r="A640" i="1"/>
  <c r="A641" i="1" s="1"/>
  <c r="B640" i="1"/>
  <c r="B641" i="1" s="1"/>
  <c r="C640" i="1"/>
  <c r="C641" i="1" s="1"/>
  <c r="D640" i="1"/>
  <c r="E640" i="1"/>
  <c r="E641" i="1" s="1"/>
  <c r="F640" i="1"/>
  <c r="F641" i="1" s="1"/>
  <c r="G640" i="1"/>
  <c r="H640" i="1"/>
  <c r="I640" i="1"/>
  <c r="J640" i="1"/>
  <c r="K640" i="1"/>
  <c r="M640" i="1"/>
  <c r="N640" i="1"/>
  <c r="P640" i="1"/>
  <c r="P641" i="1" s="1"/>
  <c r="Q640" i="1"/>
  <c r="Q641" i="1" s="1"/>
  <c r="R640" i="1"/>
  <c r="R641" i="1" s="1"/>
  <c r="S640" i="1"/>
  <c r="S641" i="1" s="1"/>
  <c r="T640" i="1"/>
  <c r="T641" i="1" s="1"/>
  <c r="V640" i="1"/>
  <c r="V641" i="1" s="1"/>
  <c r="W640" i="1"/>
  <c r="W641" i="1" s="1"/>
  <c r="X640" i="1"/>
  <c r="X641" i="1" s="1"/>
  <c r="Y640" i="1"/>
  <c r="Y641" i="1" s="1"/>
  <c r="Z640" i="1"/>
  <c r="Z641" i="1" s="1"/>
  <c r="D641" i="1"/>
  <c r="A642" i="1"/>
  <c r="A643" i="1" s="1"/>
  <c r="B642" i="1"/>
  <c r="B643" i="1" s="1"/>
  <c r="C642" i="1"/>
  <c r="C643" i="1" s="1"/>
  <c r="D642" i="1"/>
  <c r="E642" i="1"/>
  <c r="E643" i="1" s="1"/>
  <c r="F642" i="1"/>
  <c r="F643" i="1" s="1"/>
  <c r="G642" i="1"/>
  <c r="H642" i="1"/>
  <c r="I642" i="1"/>
  <c r="J642" i="1"/>
  <c r="K642" i="1"/>
  <c r="M642" i="1"/>
  <c r="N642" i="1"/>
  <c r="P642" i="1"/>
  <c r="P643" i="1" s="1"/>
  <c r="Q642" i="1"/>
  <c r="R642" i="1"/>
  <c r="R643" i="1" s="1"/>
  <c r="S642" i="1"/>
  <c r="S643" i="1" s="1"/>
  <c r="T642" i="1"/>
  <c r="T643" i="1" s="1"/>
  <c r="V642" i="1"/>
  <c r="V643" i="1" s="1"/>
  <c r="W642" i="1"/>
  <c r="W643" i="1" s="1"/>
  <c r="X642" i="1"/>
  <c r="X643" i="1" s="1"/>
  <c r="Y642" i="1"/>
  <c r="Y643" i="1" s="1"/>
  <c r="Z642" i="1"/>
  <c r="Z643" i="1" s="1"/>
  <c r="D643" i="1"/>
  <c r="Q643" i="1"/>
  <c r="A644" i="1"/>
  <c r="A645" i="1" s="1"/>
  <c r="B644" i="1"/>
  <c r="B645" i="1" s="1"/>
  <c r="C644" i="1"/>
  <c r="C645" i="1" s="1"/>
  <c r="D644" i="1"/>
  <c r="D645" i="1" s="1"/>
  <c r="E644" i="1"/>
  <c r="E645" i="1" s="1"/>
  <c r="F644" i="1"/>
  <c r="F645" i="1" s="1"/>
  <c r="G644" i="1"/>
  <c r="H644" i="1"/>
  <c r="I644" i="1"/>
  <c r="J644" i="1"/>
  <c r="K644" i="1"/>
  <c r="M644" i="1"/>
  <c r="N644" i="1"/>
  <c r="P644" i="1"/>
  <c r="P645" i="1" s="1"/>
  <c r="Q644" i="1"/>
  <c r="Q645" i="1" s="1"/>
  <c r="R644" i="1"/>
  <c r="S644" i="1"/>
  <c r="S645" i="1" s="1"/>
  <c r="T644" i="1"/>
  <c r="T645" i="1" s="1"/>
  <c r="V644" i="1"/>
  <c r="V645" i="1" s="1"/>
  <c r="W644" i="1"/>
  <c r="W645" i="1" s="1"/>
  <c r="X644" i="1"/>
  <c r="X645" i="1" s="1"/>
  <c r="Y644" i="1"/>
  <c r="Y645" i="1" s="1"/>
  <c r="Z644" i="1"/>
  <c r="Z645" i="1" s="1"/>
  <c r="R645" i="1"/>
  <c r="A646" i="1"/>
  <c r="A647" i="1" s="1"/>
  <c r="B646" i="1"/>
  <c r="C646" i="1"/>
  <c r="C647" i="1" s="1"/>
  <c r="D646" i="1"/>
  <c r="D647" i="1" s="1"/>
  <c r="E646" i="1"/>
  <c r="E647" i="1" s="1"/>
  <c r="F646" i="1"/>
  <c r="F647" i="1" s="1"/>
  <c r="G646" i="1"/>
  <c r="H646" i="1"/>
  <c r="I646" i="1"/>
  <c r="J646" i="1"/>
  <c r="K646" i="1"/>
  <c r="M646" i="1"/>
  <c r="N646" i="1"/>
  <c r="P646" i="1"/>
  <c r="P647" i="1" s="1"/>
  <c r="Q646" i="1"/>
  <c r="R646" i="1"/>
  <c r="R647" i="1" s="1"/>
  <c r="S646" i="1"/>
  <c r="S647" i="1" s="1"/>
  <c r="T646" i="1"/>
  <c r="V646" i="1"/>
  <c r="V647" i="1" s="1"/>
  <c r="W646" i="1"/>
  <c r="W647" i="1" s="1"/>
  <c r="X646" i="1"/>
  <c r="X647" i="1" s="1"/>
  <c r="Y646" i="1"/>
  <c r="Z646" i="1"/>
  <c r="Z647" i="1" s="1"/>
  <c r="B647" i="1"/>
  <c r="Q647" i="1"/>
  <c r="T647" i="1"/>
  <c r="A648" i="1"/>
  <c r="A649" i="1" s="1"/>
  <c r="B648" i="1"/>
  <c r="B649" i="1" s="1"/>
  <c r="C648" i="1"/>
  <c r="C649" i="1" s="1"/>
  <c r="D648" i="1"/>
  <c r="D649" i="1" s="1"/>
  <c r="E648" i="1"/>
  <c r="F648" i="1"/>
  <c r="F649" i="1" s="1"/>
  <c r="G648" i="1"/>
  <c r="H648" i="1"/>
  <c r="I648" i="1"/>
  <c r="J648" i="1"/>
  <c r="K648" i="1"/>
  <c r="M648" i="1"/>
  <c r="N648" i="1"/>
  <c r="P648" i="1"/>
  <c r="P649" i="1" s="1"/>
  <c r="Q648" i="1"/>
  <c r="Q649" i="1" s="1"/>
  <c r="R648" i="1"/>
  <c r="R649" i="1" s="1"/>
  <c r="S648" i="1"/>
  <c r="S649" i="1" s="1"/>
  <c r="T648" i="1"/>
  <c r="T649" i="1" s="1"/>
  <c r="V648" i="1"/>
  <c r="V649" i="1" s="1"/>
  <c r="W648" i="1"/>
  <c r="W649" i="1" s="1"/>
  <c r="X648" i="1"/>
  <c r="X649" i="1" s="1"/>
  <c r="Y648" i="1"/>
  <c r="Y649" i="1" s="1"/>
  <c r="Z648" i="1"/>
  <c r="Z649" i="1" s="1"/>
  <c r="A650" i="1"/>
  <c r="A651" i="1" s="1"/>
  <c r="B650" i="1"/>
  <c r="B651" i="1" s="1"/>
  <c r="C650" i="1"/>
  <c r="C651" i="1" s="1"/>
  <c r="D650" i="1"/>
  <c r="D651" i="1" s="1"/>
  <c r="E650" i="1"/>
  <c r="E651" i="1" s="1"/>
  <c r="F650" i="1"/>
  <c r="F651" i="1" s="1"/>
  <c r="G650" i="1"/>
  <c r="H650" i="1"/>
  <c r="I650" i="1"/>
  <c r="J650" i="1"/>
  <c r="K650" i="1"/>
  <c r="M650" i="1"/>
  <c r="N650" i="1"/>
  <c r="P650" i="1"/>
  <c r="P651" i="1" s="1"/>
  <c r="Q650" i="1"/>
  <c r="Q651" i="1" s="1"/>
  <c r="R650" i="1"/>
  <c r="R651" i="1" s="1"/>
  <c r="S650" i="1"/>
  <c r="S651" i="1" s="1"/>
  <c r="T650" i="1"/>
  <c r="T651" i="1" s="1"/>
  <c r="V650" i="1"/>
  <c r="V651" i="1" s="1"/>
  <c r="W650" i="1"/>
  <c r="W651" i="1" s="1"/>
  <c r="X650" i="1"/>
  <c r="X651" i="1" s="1"/>
  <c r="Y650" i="1"/>
  <c r="Y651" i="1" s="1"/>
  <c r="Z650" i="1"/>
  <c r="Z651" i="1"/>
  <c r="A652" i="1"/>
  <c r="A653" i="1" s="1"/>
  <c r="B652" i="1"/>
  <c r="B653" i="1" s="1"/>
  <c r="C652" i="1"/>
  <c r="C653" i="1" s="1"/>
  <c r="D652" i="1"/>
  <c r="D653" i="1" s="1"/>
  <c r="E652" i="1"/>
  <c r="F652" i="1"/>
  <c r="F653" i="1" s="1"/>
  <c r="G652" i="1"/>
  <c r="H652" i="1"/>
  <c r="I652" i="1"/>
  <c r="J652" i="1"/>
  <c r="K652" i="1"/>
  <c r="M652" i="1"/>
  <c r="N652" i="1"/>
  <c r="P652" i="1"/>
  <c r="P653" i="1" s="1"/>
  <c r="Q652" i="1"/>
  <c r="Q653" i="1" s="1"/>
  <c r="R652" i="1"/>
  <c r="R653" i="1" s="1"/>
  <c r="S652" i="1"/>
  <c r="S653" i="1" s="1"/>
  <c r="T652" i="1"/>
  <c r="T653" i="1" s="1"/>
  <c r="V652" i="1"/>
  <c r="V653" i="1" s="1"/>
  <c r="W652" i="1"/>
  <c r="W653" i="1" s="1"/>
  <c r="X652" i="1"/>
  <c r="X653" i="1" s="1"/>
  <c r="Y652" i="1"/>
  <c r="Y653" i="1" s="1"/>
  <c r="Z652" i="1"/>
  <c r="Z653" i="1" s="1"/>
  <c r="A654" i="1"/>
  <c r="A655" i="1" s="1"/>
  <c r="B654" i="1"/>
  <c r="B655" i="1" s="1"/>
  <c r="C654" i="1"/>
  <c r="C655" i="1" s="1"/>
  <c r="D654" i="1"/>
  <c r="D655" i="1" s="1"/>
  <c r="E654" i="1"/>
  <c r="E655" i="1" s="1"/>
  <c r="F654" i="1"/>
  <c r="F655" i="1" s="1"/>
  <c r="G654" i="1"/>
  <c r="H654" i="1"/>
  <c r="I654" i="1"/>
  <c r="J654" i="1"/>
  <c r="K654" i="1"/>
  <c r="M654" i="1"/>
  <c r="N654" i="1"/>
  <c r="P654" i="1"/>
  <c r="P655" i="1" s="1"/>
  <c r="Q654" i="1"/>
  <c r="Q655" i="1" s="1"/>
  <c r="R654" i="1"/>
  <c r="R655" i="1" s="1"/>
  <c r="S654" i="1"/>
  <c r="S655" i="1" s="1"/>
  <c r="T654" i="1"/>
  <c r="T655" i="1" s="1"/>
  <c r="V654" i="1"/>
  <c r="V655" i="1" s="1"/>
  <c r="W654" i="1"/>
  <c r="W655" i="1" s="1"/>
  <c r="X654" i="1"/>
  <c r="X655" i="1" s="1"/>
  <c r="Y654" i="1"/>
  <c r="Y655" i="1" s="1"/>
  <c r="Z654" i="1"/>
  <c r="Z655" i="1" s="1"/>
  <c r="A656" i="1"/>
  <c r="A657" i="1" s="1"/>
  <c r="B656" i="1"/>
  <c r="B657" i="1" s="1"/>
  <c r="C656" i="1"/>
  <c r="C657" i="1" s="1"/>
  <c r="D656" i="1"/>
  <c r="E656" i="1"/>
  <c r="F656" i="1"/>
  <c r="F657" i="1" s="1"/>
  <c r="G656" i="1"/>
  <c r="H656" i="1"/>
  <c r="I656" i="1"/>
  <c r="J656" i="1"/>
  <c r="K656" i="1"/>
  <c r="M656" i="1"/>
  <c r="N656" i="1"/>
  <c r="P656" i="1"/>
  <c r="P657" i="1" s="1"/>
  <c r="Q656" i="1"/>
  <c r="Q657" i="1" s="1"/>
  <c r="R656" i="1"/>
  <c r="R657" i="1" s="1"/>
  <c r="S656" i="1"/>
  <c r="S657" i="1" s="1"/>
  <c r="T656" i="1"/>
  <c r="T657" i="1" s="1"/>
  <c r="V656" i="1"/>
  <c r="V657" i="1" s="1"/>
  <c r="W656" i="1"/>
  <c r="W657" i="1" s="1"/>
  <c r="X656" i="1"/>
  <c r="Y656" i="1"/>
  <c r="Y657" i="1" s="1"/>
  <c r="Z656" i="1"/>
  <c r="Z657" i="1" s="1"/>
  <c r="D657" i="1"/>
  <c r="X657" i="1"/>
  <c r="A658" i="1"/>
  <c r="A659" i="1" s="1"/>
  <c r="B658" i="1"/>
  <c r="B659" i="1" s="1"/>
  <c r="C658" i="1"/>
  <c r="C659" i="1" s="1"/>
  <c r="D658" i="1"/>
  <c r="D659" i="1" s="1"/>
  <c r="E658" i="1"/>
  <c r="E659" i="1" s="1"/>
  <c r="F658" i="1"/>
  <c r="F659" i="1" s="1"/>
  <c r="G658" i="1"/>
  <c r="H658" i="1"/>
  <c r="I658" i="1"/>
  <c r="J658" i="1"/>
  <c r="K658" i="1"/>
  <c r="M658" i="1"/>
  <c r="N658" i="1"/>
  <c r="P658" i="1"/>
  <c r="P659" i="1" s="1"/>
  <c r="Q658" i="1"/>
  <c r="Q659" i="1" s="1"/>
  <c r="R658" i="1"/>
  <c r="R659" i="1" s="1"/>
  <c r="S658" i="1"/>
  <c r="S659" i="1" s="1"/>
  <c r="T658" i="1"/>
  <c r="T659" i="1" s="1"/>
  <c r="V658" i="1"/>
  <c r="V659" i="1" s="1"/>
  <c r="W658" i="1"/>
  <c r="W659" i="1" s="1"/>
  <c r="X658" i="1"/>
  <c r="X659" i="1" s="1"/>
  <c r="Y658" i="1"/>
  <c r="Y659" i="1" s="1"/>
  <c r="Z658" i="1"/>
  <c r="Z659" i="1" s="1"/>
  <c r="A660" i="1"/>
  <c r="A661" i="1" s="1"/>
  <c r="B660" i="1"/>
  <c r="B661" i="1" s="1"/>
  <c r="C660" i="1"/>
  <c r="C661" i="1" s="1"/>
  <c r="D660" i="1"/>
  <c r="D661" i="1" s="1"/>
  <c r="E660" i="1"/>
  <c r="F660" i="1"/>
  <c r="F661" i="1" s="1"/>
  <c r="G660" i="1"/>
  <c r="H660" i="1"/>
  <c r="I660" i="1"/>
  <c r="J660" i="1"/>
  <c r="K660" i="1"/>
  <c r="M660" i="1"/>
  <c r="N660" i="1"/>
  <c r="P660" i="1"/>
  <c r="P661" i="1" s="1"/>
  <c r="Q660" i="1"/>
  <c r="Q661" i="1" s="1"/>
  <c r="R660" i="1"/>
  <c r="R661" i="1" s="1"/>
  <c r="S660" i="1"/>
  <c r="S661" i="1" s="1"/>
  <c r="T660" i="1"/>
  <c r="T661" i="1" s="1"/>
  <c r="V660" i="1"/>
  <c r="V661" i="1" s="1"/>
  <c r="W660" i="1"/>
  <c r="W661" i="1" s="1"/>
  <c r="X660" i="1"/>
  <c r="X661" i="1" s="1"/>
  <c r="Y660" i="1"/>
  <c r="Y661" i="1" s="1"/>
  <c r="Z660" i="1"/>
  <c r="Z661" i="1" s="1"/>
  <c r="A662" i="1"/>
  <c r="A663" i="1" s="1"/>
  <c r="B662" i="1"/>
  <c r="B663" i="1" s="1"/>
  <c r="C662" i="1"/>
  <c r="C663" i="1" s="1"/>
  <c r="D662" i="1"/>
  <c r="D663" i="1" s="1"/>
  <c r="E662" i="1"/>
  <c r="E663" i="1" s="1"/>
  <c r="F662" i="1"/>
  <c r="F663" i="1" s="1"/>
  <c r="G662" i="1"/>
  <c r="H662" i="1"/>
  <c r="I662" i="1"/>
  <c r="J662" i="1"/>
  <c r="K662" i="1"/>
  <c r="M662" i="1"/>
  <c r="N662" i="1"/>
  <c r="P662" i="1"/>
  <c r="P663" i="1" s="1"/>
  <c r="Q662" i="1"/>
  <c r="Q663" i="1" s="1"/>
  <c r="R662" i="1"/>
  <c r="R663" i="1" s="1"/>
  <c r="S662" i="1"/>
  <c r="S663" i="1" s="1"/>
  <c r="T662" i="1"/>
  <c r="T663" i="1" s="1"/>
  <c r="V662" i="1"/>
  <c r="V663" i="1" s="1"/>
  <c r="W662" i="1"/>
  <c r="W663" i="1" s="1"/>
  <c r="X662" i="1"/>
  <c r="X663" i="1" s="1"/>
  <c r="Y662" i="1"/>
  <c r="Y663" i="1" s="1"/>
  <c r="Z662" i="1"/>
  <c r="Z663" i="1" s="1"/>
  <c r="A664" i="1"/>
  <c r="A665" i="1" s="1"/>
  <c r="B664" i="1"/>
  <c r="B665" i="1" s="1"/>
  <c r="C664" i="1"/>
  <c r="C665" i="1" s="1"/>
  <c r="D664" i="1"/>
  <c r="E664" i="1"/>
  <c r="F664" i="1"/>
  <c r="F665" i="1" s="1"/>
  <c r="G664" i="1"/>
  <c r="H664" i="1"/>
  <c r="I664" i="1"/>
  <c r="J664" i="1"/>
  <c r="K664" i="1"/>
  <c r="M664" i="1"/>
  <c r="N664" i="1"/>
  <c r="P664" i="1"/>
  <c r="P665" i="1" s="1"/>
  <c r="Q664" i="1"/>
  <c r="Q665" i="1" s="1"/>
  <c r="R664" i="1"/>
  <c r="R665" i="1" s="1"/>
  <c r="S664" i="1"/>
  <c r="S665" i="1" s="1"/>
  <c r="T664" i="1"/>
  <c r="T665" i="1" s="1"/>
  <c r="V664" i="1"/>
  <c r="V665" i="1" s="1"/>
  <c r="W664" i="1"/>
  <c r="W665" i="1" s="1"/>
  <c r="X664" i="1"/>
  <c r="X665" i="1" s="1"/>
  <c r="Y664" i="1"/>
  <c r="Y665" i="1" s="1"/>
  <c r="Z664" i="1"/>
  <c r="Z665" i="1" s="1"/>
  <c r="D665" i="1"/>
  <c r="A666" i="1"/>
  <c r="A667" i="1" s="1"/>
  <c r="B666" i="1"/>
  <c r="C666" i="1"/>
  <c r="C667" i="1" s="1"/>
  <c r="D666" i="1"/>
  <c r="D667" i="1" s="1"/>
  <c r="E666" i="1"/>
  <c r="E667" i="1" s="1"/>
  <c r="F666" i="1"/>
  <c r="F667" i="1" s="1"/>
  <c r="G666" i="1"/>
  <c r="H666" i="1"/>
  <c r="I666" i="1"/>
  <c r="J666" i="1"/>
  <c r="K666" i="1"/>
  <c r="M666" i="1"/>
  <c r="N666" i="1"/>
  <c r="P666" i="1"/>
  <c r="P667" i="1" s="1"/>
  <c r="Q666" i="1"/>
  <c r="Q667" i="1" s="1"/>
  <c r="R666" i="1"/>
  <c r="R667" i="1" s="1"/>
  <c r="S666" i="1"/>
  <c r="S667" i="1" s="1"/>
  <c r="T666" i="1"/>
  <c r="T667" i="1" s="1"/>
  <c r="V666" i="1"/>
  <c r="V667" i="1" s="1"/>
  <c r="W666" i="1"/>
  <c r="W667" i="1" s="1"/>
  <c r="X666" i="1"/>
  <c r="X667" i="1" s="1"/>
  <c r="Y666" i="1"/>
  <c r="Z666" i="1"/>
  <c r="Z667" i="1" s="1"/>
  <c r="B667" i="1"/>
  <c r="A668" i="1"/>
  <c r="A669" i="1" s="1"/>
  <c r="B668" i="1"/>
  <c r="B669" i="1" s="1"/>
  <c r="C668" i="1"/>
  <c r="C669" i="1" s="1"/>
  <c r="D668" i="1"/>
  <c r="D669" i="1" s="1"/>
  <c r="E668" i="1"/>
  <c r="E669" i="1" s="1"/>
  <c r="F668" i="1"/>
  <c r="F669" i="1" s="1"/>
  <c r="G668" i="1"/>
  <c r="H668" i="1"/>
  <c r="I668" i="1"/>
  <c r="J668" i="1"/>
  <c r="K668" i="1"/>
  <c r="M668" i="1"/>
  <c r="N668" i="1"/>
  <c r="P668" i="1"/>
  <c r="P669" i="1" s="1"/>
  <c r="Q668" i="1"/>
  <c r="Q669" i="1" s="1"/>
  <c r="R668" i="1"/>
  <c r="R669" i="1" s="1"/>
  <c r="S668" i="1"/>
  <c r="S669" i="1" s="1"/>
  <c r="T668" i="1"/>
  <c r="T669" i="1" s="1"/>
  <c r="V668" i="1"/>
  <c r="V669" i="1" s="1"/>
  <c r="W668" i="1"/>
  <c r="W669" i="1" s="1"/>
  <c r="X668" i="1"/>
  <c r="X669" i="1" s="1"/>
  <c r="Y668" i="1"/>
  <c r="Y669" i="1" s="1"/>
  <c r="Z668" i="1"/>
  <c r="Z669" i="1" s="1"/>
  <c r="A670" i="1"/>
  <c r="A671" i="1" s="1"/>
  <c r="B670" i="1"/>
  <c r="B671" i="1" s="1"/>
  <c r="C670" i="1"/>
  <c r="C671" i="1" s="1"/>
  <c r="D670" i="1"/>
  <c r="D671" i="1" s="1"/>
  <c r="E670" i="1"/>
  <c r="F670" i="1"/>
  <c r="F671" i="1" s="1"/>
  <c r="G670" i="1"/>
  <c r="H670" i="1"/>
  <c r="I670" i="1"/>
  <c r="J670" i="1"/>
  <c r="K670" i="1"/>
  <c r="M670" i="1"/>
  <c r="N670" i="1"/>
  <c r="P670" i="1"/>
  <c r="P671" i="1" s="1"/>
  <c r="Q670" i="1"/>
  <c r="Q671" i="1" s="1"/>
  <c r="R670" i="1"/>
  <c r="R671" i="1" s="1"/>
  <c r="S670" i="1"/>
  <c r="S671" i="1" s="1"/>
  <c r="T670" i="1"/>
  <c r="T671" i="1" s="1"/>
  <c r="V670" i="1"/>
  <c r="V671" i="1" s="1"/>
  <c r="W670" i="1"/>
  <c r="W671" i="1" s="1"/>
  <c r="X670" i="1"/>
  <c r="X671" i="1" s="1"/>
  <c r="Y670" i="1"/>
  <c r="Y671" i="1" s="1"/>
  <c r="Z670" i="1"/>
  <c r="Z671" i="1" s="1"/>
  <c r="A672" i="1"/>
  <c r="A673" i="1" s="1"/>
  <c r="B672" i="1"/>
  <c r="B673" i="1" s="1"/>
  <c r="C672" i="1"/>
  <c r="C673" i="1" s="1"/>
  <c r="D672" i="1"/>
  <c r="D673" i="1" s="1"/>
  <c r="E672" i="1"/>
  <c r="E673" i="1" s="1"/>
  <c r="F672" i="1"/>
  <c r="F673" i="1" s="1"/>
  <c r="G672" i="1"/>
  <c r="H672" i="1"/>
  <c r="I672" i="1"/>
  <c r="J672" i="1"/>
  <c r="K672" i="1"/>
  <c r="M672" i="1"/>
  <c r="N672" i="1"/>
  <c r="P672" i="1"/>
  <c r="P673" i="1" s="1"/>
  <c r="Q672" i="1"/>
  <c r="Q673" i="1" s="1"/>
  <c r="R672" i="1"/>
  <c r="R673" i="1" s="1"/>
  <c r="S672" i="1"/>
  <c r="S673" i="1" s="1"/>
  <c r="T672" i="1"/>
  <c r="T673" i="1" s="1"/>
  <c r="V672" i="1"/>
  <c r="V673" i="1" s="1"/>
  <c r="W672" i="1"/>
  <c r="W673" i="1" s="1"/>
  <c r="X672" i="1"/>
  <c r="X673" i="1" s="1"/>
  <c r="Y672" i="1"/>
  <c r="Y673" i="1" s="1"/>
  <c r="Z672" i="1"/>
  <c r="Z673" i="1" s="1"/>
  <c r="A674" i="1"/>
  <c r="A675" i="1" s="1"/>
  <c r="B674" i="1"/>
  <c r="B675" i="1" s="1"/>
  <c r="C674" i="1"/>
  <c r="C675" i="1" s="1"/>
  <c r="D674" i="1"/>
  <c r="D675" i="1" s="1"/>
  <c r="E674" i="1"/>
  <c r="E675" i="1" s="1"/>
  <c r="F674" i="1"/>
  <c r="F675" i="1" s="1"/>
  <c r="G674" i="1"/>
  <c r="H674" i="1"/>
  <c r="I674" i="1"/>
  <c r="J674" i="1"/>
  <c r="K674" i="1"/>
  <c r="M674" i="1"/>
  <c r="N674" i="1"/>
  <c r="P674" i="1"/>
  <c r="P675" i="1" s="1"/>
  <c r="Q674" i="1"/>
  <c r="Q675" i="1" s="1"/>
  <c r="R674" i="1"/>
  <c r="R675" i="1" s="1"/>
  <c r="S674" i="1"/>
  <c r="S675" i="1" s="1"/>
  <c r="T674" i="1"/>
  <c r="T675" i="1" s="1"/>
  <c r="V674" i="1"/>
  <c r="V675" i="1" s="1"/>
  <c r="W674" i="1"/>
  <c r="W675" i="1" s="1"/>
  <c r="X674" i="1"/>
  <c r="X675" i="1" s="1"/>
  <c r="Y674" i="1"/>
  <c r="Y675" i="1" s="1"/>
  <c r="Z674" i="1"/>
  <c r="Z675" i="1" s="1"/>
  <c r="A676" i="1"/>
  <c r="A677" i="1" s="1"/>
  <c r="B676" i="1"/>
  <c r="B677" i="1" s="1"/>
  <c r="C676" i="1"/>
  <c r="C677" i="1" s="1"/>
  <c r="D676" i="1"/>
  <c r="D677" i="1" s="1"/>
  <c r="E676" i="1"/>
  <c r="E677" i="1" s="1"/>
  <c r="F676" i="1"/>
  <c r="F677" i="1" s="1"/>
  <c r="G676" i="1"/>
  <c r="H676" i="1"/>
  <c r="I676" i="1"/>
  <c r="J676" i="1"/>
  <c r="K676" i="1"/>
  <c r="M676" i="1"/>
  <c r="N676" i="1"/>
  <c r="P676" i="1"/>
  <c r="P677" i="1" s="1"/>
  <c r="Q676" i="1"/>
  <c r="Q677" i="1" s="1"/>
  <c r="R676" i="1"/>
  <c r="R677" i="1" s="1"/>
  <c r="S676" i="1"/>
  <c r="S677" i="1" s="1"/>
  <c r="T676" i="1"/>
  <c r="T677" i="1" s="1"/>
  <c r="V676" i="1"/>
  <c r="V677" i="1" s="1"/>
  <c r="W676" i="1"/>
  <c r="W677" i="1" s="1"/>
  <c r="X676" i="1"/>
  <c r="X677" i="1" s="1"/>
  <c r="Y676" i="1"/>
  <c r="Y677" i="1" s="1"/>
  <c r="Z676" i="1"/>
  <c r="Z677" i="1" s="1"/>
  <c r="A678" i="1"/>
  <c r="A679" i="1" s="1"/>
  <c r="B678" i="1"/>
  <c r="B679" i="1" s="1"/>
  <c r="C678" i="1"/>
  <c r="C679" i="1" s="1"/>
  <c r="D678" i="1"/>
  <c r="E678" i="1"/>
  <c r="F678" i="1"/>
  <c r="F679" i="1" s="1"/>
  <c r="G678" i="1"/>
  <c r="H678" i="1"/>
  <c r="I678" i="1"/>
  <c r="J678" i="1"/>
  <c r="K678" i="1"/>
  <c r="M678" i="1"/>
  <c r="N678" i="1"/>
  <c r="P678" i="1"/>
  <c r="P679" i="1" s="1"/>
  <c r="Q678" i="1"/>
  <c r="Q679" i="1" s="1"/>
  <c r="R678" i="1"/>
  <c r="R679" i="1" s="1"/>
  <c r="S678" i="1"/>
  <c r="S679" i="1" s="1"/>
  <c r="T678" i="1"/>
  <c r="T679" i="1" s="1"/>
  <c r="V678" i="1"/>
  <c r="V679" i="1" s="1"/>
  <c r="W678" i="1"/>
  <c r="X678" i="1"/>
  <c r="X679" i="1" s="1"/>
  <c r="Y678" i="1"/>
  <c r="Y679" i="1" s="1"/>
  <c r="Z678" i="1"/>
  <c r="Z679" i="1" s="1"/>
  <c r="D679" i="1"/>
  <c r="W679" i="1"/>
  <c r="A680" i="1"/>
  <c r="A681" i="1" s="1"/>
  <c r="B680" i="1"/>
  <c r="C680" i="1"/>
  <c r="C681" i="1" s="1"/>
  <c r="D680" i="1"/>
  <c r="D681" i="1" s="1"/>
  <c r="E680" i="1"/>
  <c r="F680" i="1"/>
  <c r="F681" i="1" s="1"/>
  <c r="G680" i="1"/>
  <c r="H680" i="1"/>
  <c r="I680" i="1"/>
  <c r="J680" i="1"/>
  <c r="K680" i="1"/>
  <c r="M680" i="1"/>
  <c r="N680" i="1"/>
  <c r="P680" i="1"/>
  <c r="P681" i="1" s="1"/>
  <c r="Q680" i="1"/>
  <c r="Q681" i="1" s="1"/>
  <c r="R680" i="1"/>
  <c r="R681" i="1" s="1"/>
  <c r="S680" i="1"/>
  <c r="S681" i="1" s="1"/>
  <c r="T680" i="1"/>
  <c r="T681" i="1" s="1"/>
  <c r="V680" i="1"/>
  <c r="V681" i="1" s="1"/>
  <c r="W680" i="1"/>
  <c r="W681" i="1" s="1"/>
  <c r="X680" i="1"/>
  <c r="X681" i="1" s="1"/>
  <c r="Y680" i="1"/>
  <c r="Z680" i="1"/>
  <c r="Z681" i="1" s="1"/>
  <c r="B681" i="1"/>
  <c r="A682" i="1"/>
  <c r="A683" i="1" s="1"/>
  <c r="B682" i="1"/>
  <c r="B683" i="1" s="1"/>
  <c r="C682" i="1"/>
  <c r="C683" i="1" s="1"/>
  <c r="D682" i="1"/>
  <c r="E682" i="1"/>
  <c r="E683" i="1" s="1"/>
  <c r="F682" i="1"/>
  <c r="F683" i="1" s="1"/>
  <c r="G682" i="1"/>
  <c r="H682" i="1"/>
  <c r="I682" i="1"/>
  <c r="J682" i="1"/>
  <c r="K682" i="1"/>
  <c r="M682" i="1"/>
  <c r="N682" i="1"/>
  <c r="P682" i="1"/>
  <c r="P683" i="1" s="1"/>
  <c r="Q682" i="1"/>
  <c r="Q683" i="1" s="1"/>
  <c r="R682" i="1"/>
  <c r="R683" i="1" s="1"/>
  <c r="S682" i="1"/>
  <c r="S683" i="1" s="1"/>
  <c r="T682" i="1"/>
  <c r="T683" i="1" s="1"/>
  <c r="V682" i="1"/>
  <c r="V683" i="1" s="1"/>
  <c r="W682" i="1"/>
  <c r="W683" i="1" s="1"/>
  <c r="X682" i="1"/>
  <c r="X683" i="1" s="1"/>
  <c r="Y682" i="1"/>
  <c r="Y683" i="1" s="1"/>
  <c r="Z682" i="1"/>
  <c r="Z683" i="1" s="1"/>
  <c r="A684" i="1"/>
  <c r="A685" i="1" s="1"/>
  <c r="B684" i="1"/>
  <c r="B685" i="1" s="1"/>
  <c r="C684" i="1"/>
  <c r="C685" i="1" s="1"/>
  <c r="D684" i="1"/>
  <c r="E684" i="1"/>
  <c r="E685" i="1" s="1"/>
  <c r="F684" i="1"/>
  <c r="F685" i="1" s="1"/>
  <c r="G684" i="1"/>
  <c r="H684" i="1"/>
  <c r="I684" i="1"/>
  <c r="J684" i="1"/>
  <c r="K684" i="1"/>
  <c r="M684" i="1"/>
  <c r="N684" i="1"/>
  <c r="P684" i="1"/>
  <c r="P685" i="1" s="1"/>
  <c r="Q684" i="1"/>
  <c r="Q685" i="1" s="1"/>
  <c r="R684" i="1"/>
  <c r="R685" i="1" s="1"/>
  <c r="S684" i="1"/>
  <c r="S685" i="1" s="1"/>
  <c r="T684" i="1"/>
  <c r="T685" i="1" s="1"/>
  <c r="V684" i="1"/>
  <c r="V685" i="1" s="1"/>
  <c r="W684" i="1"/>
  <c r="W685" i="1" s="1"/>
  <c r="X684" i="1"/>
  <c r="X685" i="1" s="1"/>
  <c r="Y684" i="1"/>
  <c r="Y685" i="1" s="1"/>
  <c r="Z684" i="1"/>
  <c r="Z685" i="1" s="1"/>
  <c r="A686" i="1"/>
  <c r="A687" i="1" s="1"/>
  <c r="B686" i="1"/>
  <c r="B687" i="1" s="1"/>
  <c r="C686" i="1"/>
  <c r="C687" i="1" s="1"/>
  <c r="D686" i="1"/>
  <c r="E686" i="1"/>
  <c r="E687" i="1" s="1"/>
  <c r="F686" i="1"/>
  <c r="F687" i="1" s="1"/>
  <c r="G686" i="1"/>
  <c r="H686" i="1"/>
  <c r="I686" i="1"/>
  <c r="J686" i="1"/>
  <c r="K686" i="1"/>
  <c r="M686" i="1"/>
  <c r="N686" i="1"/>
  <c r="P686" i="1"/>
  <c r="P687" i="1" s="1"/>
  <c r="Q686" i="1"/>
  <c r="Q687" i="1" s="1"/>
  <c r="R686" i="1"/>
  <c r="R687" i="1" s="1"/>
  <c r="S686" i="1"/>
  <c r="S687" i="1" s="1"/>
  <c r="T686" i="1"/>
  <c r="T687" i="1" s="1"/>
  <c r="V686" i="1"/>
  <c r="V687" i="1" s="1"/>
  <c r="W686" i="1"/>
  <c r="W687" i="1" s="1"/>
  <c r="X686" i="1"/>
  <c r="X687" i="1" s="1"/>
  <c r="Y686" i="1"/>
  <c r="Y687" i="1" s="1"/>
  <c r="Z686" i="1"/>
  <c r="Z687" i="1" s="1"/>
  <c r="D687" i="1"/>
  <c r="A688" i="1"/>
  <c r="A689" i="1" s="1"/>
  <c r="B688" i="1"/>
  <c r="B689" i="1" s="1"/>
  <c r="C688" i="1"/>
  <c r="C689" i="1" s="1"/>
  <c r="D688" i="1"/>
  <c r="D689" i="1" s="1"/>
  <c r="E688" i="1"/>
  <c r="E689" i="1" s="1"/>
  <c r="F688" i="1"/>
  <c r="F689" i="1" s="1"/>
  <c r="G688" i="1"/>
  <c r="H688" i="1"/>
  <c r="I688" i="1"/>
  <c r="J688" i="1"/>
  <c r="K688" i="1"/>
  <c r="M688" i="1"/>
  <c r="N688" i="1"/>
  <c r="P688" i="1"/>
  <c r="P689" i="1" s="1"/>
  <c r="Q688" i="1"/>
  <c r="Q689" i="1" s="1"/>
  <c r="R688" i="1"/>
  <c r="R689" i="1" s="1"/>
  <c r="S688" i="1"/>
  <c r="S689" i="1" s="1"/>
  <c r="T688" i="1"/>
  <c r="V688" i="1"/>
  <c r="V689" i="1" s="1"/>
  <c r="W688" i="1"/>
  <c r="W689" i="1" s="1"/>
  <c r="X688" i="1"/>
  <c r="X689" i="1" s="1"/>
  <c r="Y688" i="1"/>
  <c r="Y689" i="1" s="1"/>
  <c r="Z688" i="1"/>
  <c r="Z689" i="1" s="1"/>
  <c r="T689" i="1"/>
  <c r="A690" i="1"/>
  <c r="A691" i="1" s="1"/>
  <c r="B690" i="1"/>
  <c r="B691" i="1" s="1"/>
  <c r="C690" i="1"/>
  <c r="C691" i="1" s="1"/>
  <c r="D690" i="1"/>
  <c r="E690" i="1"/>
  <c r="F690" i="1"/>
  <c r="F691" i="1" s="1"/>
  <c r="G690" i="1"/>
  <c r="H690" i="1"/>
  <c r="I690" i="1"/>
  <c r="J690" i="1"/>
  <c r="K690" i="1"/>
  <c r="M690" i="1"/>
  <c r="N690" i="1"/>
  <c r="P690" i="1"/>
  <c r="P691" i="1" s="1"/>
  <c r="Q690" i="1"/>
  <c r="Q691" i="1" s="1"/>
  <c r="R690" i="1"/>
  <c r="R691" i="1" s="1"/>
  <c r="S690" i="1"/>
  <c r="S691" i="1" s="1"/>
  <c r="T690" i="1"/>
  <c r="T691" i="1" s="1"/>
  <c r="V690" i="1"/>
  <c r="V691" i="1" s="1"/>
  <c r="W690" i="1"/>
  <c r="W691" i="1" s="1"/>
  <c r="X690" i="1"/>
  <c r="X691" i="1" s="1"/>
  <c r="Y690" i="1"/>
  <c r="Y691" i="1" s="1"/>
  <c r="Z690" i="1"/>
  <c r="Z691" i="1" s="1"/>
  <c r="D691" i="1"/>
  <c r="A692" i="1"/>
  <c r="A693" i="1" s="1"/>
  <c r="B692" i="1"/>
  <c r="B693" i="1" s="1"/>
  <c r="C692" i="1"/>
  <c r="C693" i="1" s="1"/>
  <c r="D692" i="1"/>
  <c r="D693" i="1" s="1"/>
  <c r="E692" i="1"/>
  <c r="E693" i="1" s="1"/>
  <c r="F692" i="1"/>
  <c r="F693" i="1" s="1"/>
  <c r="G692" i="1"/>
  <c r="H692" i="1"/>
  <c r="I692" i="1"/>
  <c r="J692" i="1"/>
  <c r="K692" i="1"/>
  <c r="M692" i="1"/>
  <c r="N692" i="1"/>
  <c r="P692" i="1"/>
  <c r="P693" i="1" s="1"/>
  <c r="Q692" i="1"/>
  <c r="Q693" i="1" s="1"/>
  <c r="R692" i="1"/>
  <c r="R693" i="1" s="1"/>
  <c r="S692" i="1"/>
  <c r="S693" i="1" s="1"/>
  <c r="T692" i="1"/>
  <c r="V692" i="1"/>
  <c r="V693" i="1" s="1"/>
  <c r="W692" i="1"/>
  <c r="W693" i="1" s="1"/>
  <c r="X692" i="1"/>
  <c r="X693" i="1" s="1"/>
  <c r="Y692" i="1"/>
  <c r="Y693" i="1" s="1"/>
  <c r="Z692" i="1"/>
  <c r="Z693" i="1" s="1"/>
  <c r="T693" i="1"/>
  <c r="A694" i="1"/>
  <c r="A695" i="1" s="1"/>
  <c r="B694" i="1"/>
  <c r="C694" i="1"/>
  <c r="D694" i="1"/>
  <c r="D695" i="1" s="1"/>
  <c r="E694" i="1"/>
  <c r="E695" i="1" s="1"/>
  <c r="F694" i="1"/>
  <c r="F695" i="1" s="1"/>
  <c r="G694" i="1"/>
  <c r="H694" i="1"/>
  <c r="I694" i="1"/>
  <c r="J694" i="1"/>
  <c r="K694" i="1"/>
  <c r="M694" i="1"/>
  <c r="N694" i="1"/>
  <c r="P694" i="1"/>
  <c r="P695" i="1" s="1"/>
  <c r="Q694" i="1"/>
  <c r="Q695" i="1" s="1"/>
  <c r="R694" i="1"/>
  <c r="R695" i="1" s="1"/>
  <c r="S694" i="1"/>
  <c r="S695" i="1" s="1"/>
  <c r="T694" i="1"/>
  <c r="T695" i="1" s="1"/>
  <c r="V694" i="1"/>
  <c r="V695" i="1" s="1"/>
  <c r="W694" i="1"/>
  <c r="W695" i="1" s="1"/>
  <c r="X694" i="1"/>
  <c r="X695" i="1" s="1"/>
  <c r="Y694" i="1"/>
  <c r="Z694" i="1"/>
  <c r="Z695" i="1" s="1"/>
  <c r="B695" i="1"/>
  <c r="C695" i="1"/>
  <c r="A696" i="1"/>
  <c r="A697" i="1" s="1"/>
  <c r="B696" i="1"/>
  <c r="B697" i="1" s="1"/>
  <c r="C696" i="1"/>
  <c r="C697" i="1" s="1"/>
  <c r="D696" i="1"/>
  <c r="E696" i="1"/>
  <c r="F696" i="1"/>
  <c r="F697" i="1" s="1"/>
  <c r="G696" i="1"/>
  <c r="H696" i="1"/>
  <c r="I696" i="1"/>
  <c r="J696" i="1"/>
  <c r="K696" i="1"/>
  <c r="M696" i="1"/>
  <c r="N696" i="1"/>
  <c r="P696" i="1"/>
  <c r="P697" i="1" s="1"/>
  <c r="Q696" i="1"/>
  <c r="Q697" i="1" s="1"/>
  <c r="R696" i="1"/>
  <c r="R697" i="1" s="1"/>
  <c r="S696" i="1"/>
  <c r="S697" i="1" s="1"/>
  <c r="T696" i="1"/>
  <c r="T697" i="1" s="1"/>
  <c r="V696" i="1"/>
  <c r="V697" i="1" s="1"/>
  <c r="W696" i="1"/>
  <c r="W697" i="1" s="1"/>
  <c r="X696" i="1"/>
  <c r="Y696" i="1"/>
  <c r="Y697" i="1" s="1"/>
  <c r="Z696" i="1"/>
  <c r="Z697" i="1" s="1"/>
  <c r="D697" i="1"/>
  <c r="X697" i="1"/>
  <c r="A698" i="1"/>
  <c r="A699" i="1" s="1"/>
  <c r="B698" i="1"/>
  <c r="B699" i="1" s="1"/>
  <c r="C698" i="1"/>
  <c r="C699" i="1" s="1"/>
  <c r="D698" i="1"/>
  <c r="D699" i="1" s="1"/>
  <c r="E698" i="1"/>
  <c r="E699" i="1" s="1"/>
  <c r="F698" i="1"/>
  <c r="F699" i="1" s="1"/>
  <c r="G698" i="1"/>
  <c r="H698" i="1"/>
  <c r="I698" i="1"/>
  <c r="J698" i="1"/>
  <c r="K698" i="1"/>
  <c r="M698" i="1"/>
  <c r="N698" i="1"/>
  <c r="P698" i="1"/>
  <c r="P699" i="1" s="1"/>
  <c r="Q698" i="1"/>
  <c r="Q699" i="1" s="1"/>
  <c r="R698" i="1"/>
  <c r="R699" i="1" s="1"/>
  <c r="S698" i="1"/>
  <c r="S699" i="1" s="1"/>
  <c r="T698" i="1"/>
  <c r="T699" i="1" s="1"/>
  <c r="V698" i="1"/>
  <c r="V699" i="1" s="1"/>
  <c r="W698" i="1"/>
  <c r="W699" i="1" s="1"/>
  <c r="X698" i="1"/>
  <c r="X699" i="1" s="1"/>
  <c r="Y698" i="1"/>
  <c r="Y699" i="1" s="1"/>
  <c r="Z698" i="1"/>
  <c r="Z699" i="1" s="1"/>
  <c r="A700" i="1"/>
  <c r="A701" i="1" s="1"/>
  <c r="B700" i="1"/>
  <c r="B701" i="1" s="1"/>
  <c r="C700" i="1"/>
  <c r="C701" i="1" s="1"/>
  <c r="D700" i="1"/>
  <c r="E700" i="1"/>
  <c r="E701" i="1" s="1"/>
  <c r="F700" i="1"/>
  <c r="F701" i="1" s="1"/>
  <c r="G700" i="1"/>
  <c r="H700" i="1"/>
  <c r="I700" i="1"/>
  <c r="J700" i="1"/>
  <c r="K700" i="1"/>
  <c r="M700" i="1"/>
  <c r="N700" i="1"/>
  <c r="P700" i="1"/>
  <c r="P701" i="1" s="1"/>
  <c r="Q700" i="1"/>
  <c r="Q701" i="1" s="1"/>
  <c r="R700" i="1"/>
  <c r="R701" i="1" s="1"/>
  <c r="S700" i="1"/>
  <c r="S701" i="1" s="1"/>
  <c r="T700" i="1"/>
  <c r="T701" i="1" s="1"/>
  <c r="V700" i="1"/>
  <c r="V701" i="1" s="1"/>
  <c r="W700" i="1"/>
  <c r="W701" i="1" s="1"/>
  <c r="X700" i="1"/>
  <c r="X701" i="1" s="1"/>
  <c r="Y700" i="1"/>
  <c r="Y701" i="1" s="1"/>
  <c r="Z700" i="1"/>
  <c r="Z701" i="1" s="1"/>
  <c r="D701" i="1"/>
  <c r="A702" i="1"/>
  <c r="A703" i="1" s="1"/>
  <c r="B702" i="1"/>
  <c r="B703" i="1" s="1"/>
  <c r="C702" i="1"/>
  <c r="C703" i="1" s="1"/>
  <c r="D702" i="1"/>
  <c r="D703" i="1" s="1"/>
  <c r="E702" i="1"/>
  <c r="E703" i="1" s="1"/>
  <c r="F702" i="1"/>
  <c r="F703" i="1" s="1"/>
  <c r="G702" i="1"/>
  <c r="H702" i="1"/>
  <c r="I702" i="1"/>
  <c r="J702" i="1"/>
  <c r="K702" i="1"/>
  <c r="M702" i="1"/>
  <c r="N702" i="1"/>
  <c r="P702" i="1"/>
  <c r="P703" i="1" s="1"/>
  <c r="Q702" i="1"/>
  <c r="Q703" i="1" s="1"/>
  <c r="R702" i="1"/>
  <c r="R703" i="1" s="1"/>
  <c r="S702" i="1"/>
  <c r="S703" i="1" s="1"/>
  <c r="T702" i="1"/>
  <c r="T703" i="1" s="1"/>
  <c r="V702" i="1"/>
  <c r="V703" i="1" s="1"/>
  <c r="W702" i="1"/>
  <c r="W703" i="1" s="1"/>
  <c r="X702" i="1"/>
  <c r="X703" i="1" s="1"/>
  <c r="Y702" i="1"/>
  <c r="Y703" i="1" s="1"/>
  <c r="Z702" i="1"/>
  <c r="Z703" i="1" s="1"/>
  <c r="A704" i="1"/>
  <c r="A705" i="1" s="1"/>
  <c r="B704" i="1"/>
  <c r="B705" i="1" s="1"/>
  <c r="C704" i="1"/>
  <c r="C705" i="1" s="1"/>
  <c r="D704" i="1"/>
  <c r="D705" i="1" s="1"/>
  <c r="E704" i="1"/>
  <c r="F704" i="1"/>
  <c r="F705" i="1" s="1"/>
  <c r="G704" i="1"/>
  <c r="H704" i="1"/>
  <c r="I704" i="1"/>
  <c r="J704" i="1"/>
  <c r="K704" i="1"/>
  <c r="M704" i="1"/>
  <c r="N704" i="1"/>
  <c r="P704" i="1"/>
  <c r="P705" i="1" s="1"/>
  <c r="Q704" i="1"/>
  <c r="Q705" i="1" s="1"/>
  <c r="R704" i="1"/>
  <c r="S704" i="1"/>
  <c r="S705" i="1" s="1"/>
  <c r="T704" i="1"/>
  <c r="T705" i="1" s="1"/>
  <c r="V704" i="1"/>
  <c r="V705" i="1" s="1"/>
  <c r="W704" i="1"/>
  <c r="W705" i="1" s="1"/>
  <c r="X704" i="1"/>
  <c r="X705" i="1" s="1"/>
  <c r="Y704" i="1"/>
  <c r="Y705" i="1" s="1"/>
  <c r="Z704" i="1"/>
  <c r="Z705" i="1" s="1"/>
  <c r="R705" i="1"/>
  <c r="A706" i="1"/>
  <c r="A707" i="1" s="1"/>
  <c r="B706" i="1"/>
  <c r="B707" i="1" s="1"/>
  <c r="C706" i="1"/>
  <c r="C707" i="1" s="1"/>
  <c r="D706" i="1"/>
  <c r="D707" i="1" s="1"/>
  <c r="E706" i="1"/>
  <c r="E707" i="1" s="1"/>
  <c r="F706" i="1"/>
  <c r="F707" i="1" s="1"/>
  <c r="G706" i="1"/>
  <c r="H706" i="1"/>
  <c r="I706" i="1"/>
  <c r="J706" i="1"/>
  <c r="K706" i="1"/>
  <c r="M706" i="1"/>
  <c r="N706" i="1"/>
  <c r="P706" i="1"/>
  <c r="Q706" i="1"/>
  <c r="Q707" i="1" s="1"/>
  <c r="R706" i="1"/>
  <c r="R707" i="1" s="1"/>
  <c r="S706" i="1"/>
  <c r="S707" i="1" s="1"/>
  <c r="T706" i="1"/>
  <c r="T707" i="1" s="1"/>
  <c r="V706" i="1"/>
  <c r="V707" i="1" s="1"/>
  <c r="W706" i="1"/>
  <c r="W707" i="1" s="1"/>
  <c r="X706" i="1"/>
  <c r="X707" i="1" s="1"/>
  <c r="Y706" i="1"/>
  <c r="Y707" i="1" s="1"/>
  <c r="Z706" i="1"/>
  <c r="Z707" i="1" s="1"/>
  <c r="P707" i="1"/>
  <c r="A708" i="1"/>
  <c r="A709" i="1" s="1"/>
  <c r="B708" i="1"/>
  <c r="B709" i="1" s="1"/>
  <c r="C708" i="1"/>
  <c r="C709" i="1" s="1"/>
  <c r="D708" i="1"/>
  <c r="E708" i="1"/>
  <c r="E709" i="1" s="1"/>
  <c r="F708" i="1"/>
  <c r="G708" i="1"/>
  <c r="H708" i="1"/>
  <c r="I708" i="1"/>
  <c r="J708" i="1"/>
  <c r="K708" i="1"/>
  <c r="M708" i="1"/>
  <c r="N708" i="1"/>
  <c r="P708" i="1"/>
  <c r="P709" i="1" s="1"/>
  <c r="Q708" i="1"/>
  <c r="Q709" i="1" s="1"/>
  <c r="R708" i="1"/>
  <c r="R709" i="1" s="1"/>
  <c r="S708" i="1"/>
  <c r="S709" i="1" s="1"/>
  <c r="T708" i="1"/>
  <c r="T709" i="1" s="1"/>
  <c r="V708" i="1"/>
  <c r="V709" i="1" s="1"/>
  <c r="W708" i="1"/>
  <c r="W709" i="1" s="1"/>
  <c r="X708" i="1"/>
  <c r="X709" i="1" s="1"/>
  <c r="Y708" i="1"/>
  <c r="Y709" i="1" s="1"/>
  <c r="Z708" i="1"/>
  <c r="Z709" i="1" s="1"/>
  <c r="D709" i="1"/>
  <c r="A710" i="1"/>
  <c r="A711" i="1" s="1"/>
  <c r="B710" i="1"/>
  <c r="B711" i="1" s="1"/>
  <c r="C710" i="1"/>
  <c r="C711" i="1" s="1"/>
  <c r="D710" i="1"/>
  <c r="D711" i="1" s="1"/>
  <c r="E710" i="1"/>
  <c r="E711" i="1" s="1"/>
  <c r="F710" i="1"/>
  <c r="F711" i="1" s="1"/>
  <c r="G710" i="1"/>
  <c r="H710" i="1"/>
  <c r="I710" i="1"/>
  <c r="J710" i="1"/>
  <c r="K710" i="1"/>
  <c r="M710" i="1"/>
  <c r="N710" i="1"/>
  <c r="P710" i="1"/>
  <c r="P711" i="1" s="1"/>
  <c r="Q710" i="1"/>
  <c r="Q711" i="1" s="1"/>
  <c r="R710" i="1"/>
  <c r="R711" i="1" s="1"/>
  <c r="S710" i="1"/>
  <c r="S711" i="1" s="1"/>
  <c r="T710" i="1"/>
  <c r="T711" i="1" s="1"/>
  <c r="V710" i="1"/>
  <c r="V711" i="1" s="1"/>
  <c r="W710" i="1"/>
  <c r="W711" i="1" s="1"/>
  <c r="X710" i="1"/>
  <c r="X711" i="1" s="1"/>
  <c r="Y710" i="1"/>
  <c r="Y711" i="1" s="1"/>
  <c r="Z710" i="1"/>
  <c r="Z711" i="1" s="1"/>
  <c r="A712" i="1"/>
  <c r="A713" i="1" s="1"/>
  <c r="B712" i="1"/>
  <c r="B713" i="1" s="1"/>
  <c r="C712" i="1"/>
  <c r="C713" i="1" s="1"/>
  <c r="D712" i="1"/>
  <c r="D713" i="1" s="1"/>
  <c r="E712" i="1"/>
  <c r="E713" i="1" s="1"/>
  <c r="F712" i="1"/>
  <c r="F713" i="1" s="1"/>
  <c r="G712" i="1"/>
  <c r="H712" i="1"/>
  <c r="I712" i="1"/>
  <c r="J712" i="1"/>
  <c r="K712" i="1"/>
  <c r="M712" i="1"/>
  <c r="N712" i="1"/>
  <c r="P712" i="1"/>
  <c r="P713" i="1" s="1"/>
  <c r="Q712" i="1"/>
  <c r="Q713" i="1" s="1"/>
  <c r="R712" i="1"/>
  <c r="R713" i="1" s="1"/>
  <c r="S712" i="1"/>
  <c r="S713" i="1" s="1"/>
  <c r="T712" i="1"/>
  <c r="T713" i="1" s="1"/>
  <c r="V712" i="1"/>
  <c r="V713" i="1" s="1"/>
  <c r="W712" i="1"/>
  <c r="W713" i="1" s="1"/>
  <c r="X712" i="1"/>
  <c r="X713" i="1" s="1"/>
  <c r="Y712" i="1"/>
  <c r="Y713" i="1" s="1"/>
  <c r="Z712" i="1"/>
  <c r="Z713" i="1" s="1"/>
  <c r="A714" i="1"/>
  <c r="A715" i="1" s="1"/>
  <c r="B714" i="1"/>
  <c r="B715" i="1" s="1"/>
  <c r="C714" i="1"/>
  <c r="D714" i="1"/>
  <c r="E714" i="1"/>
  <c r="E715" i="1" s="1"/>
  <c r="F714" i="1"/>
  <c r="F715" i="1" s="1"/>
  <c r="G714" i="1"/>
  <c r="H714" i="1"/>
  <c r="I714" i="1"/>
  <c r="J714" i="1"/>
  <c r="K714" i="1"/>
  <c r="M714" i="1"/>
  <c r="N714" i="1"/>
  <c r="P714" i="1"/>
  <c r="P715" i="1" s="1"/>
  <c r="Q714" i="1"/>
  <c r="Q715" i="1" s="1"/>
  <c r="R714" i="1"/>
  <c r="R715" i="1" s="1"/>
  <c r="S714" i="1"/>
  <c r="S715" i="1" s="1"/>
  <c r="T714" i="1"/>
  <c r="T715" i="1" s="1"/>
  <c r="V714" i="1"/>
  <c r="V715" i="1" s="1"/>
  <c r="W714" i="1"/>
  <c r="W715" i="1" s="1"/>
  <c r="X714" i="1"/>
  <c r="X715" i="1" s="1"/>
  <c r="Y714" i="1"/>
  <c r="Y715" i="1" s="1"/>
  <c r="Z714" i="1"/>
  <c r="Z715" i="1" s="1"/>
  <c r="D715" i="1"/>
  <c r="A716" i="1"/>
  <c r="A717" i="1" s="1"/>
  <c r="B716" i="1"/>
  <c r="B717" i="1" s="1"/>
  <c r="C716" i="1"/>
  <c r="C717" i="1" s="1"/>
  <c r="D716" i="1"/>
  <c r="E716" i="1"/>
  <c r="F716" i="1"/>
  <c r="F717" i="1" s="1"/>
  <c r="G716" i="1"/>
  <c r="H716" i="1"/>
  <c r="I716" i="1"/>
  <c r="J716" i="1"/>
  <c r="K716" i="1"/>
  <c r="M716" i="1"/>
  <c r="N716" i="1"/>
  <c r="P716" i="1"/>
  <c r="P717" i="1" s="1"/>
  <c r="Q716" i="1"/>
  <c r="Q717" i="1" s="1"/>
  <c r="R716" i="1"/>
  <c r="R717" i="1" s="1"/>
  <c r="S716" i="1"/>
  <c r="S717" i="1" s="1"/>
  <c r="T716" i="1"/>
  <c r="T717" i="1" s="1"/>
  <c r="V716" i="1"/>
  <c r="V717" i="1" s="1"/>
  <c r="W716" i="1"/>
  <c r="W717" i="1" s="1"/>
  <c r="X716" i="1"/>
  <c r="X717" i="1" s="1"/>
  <c r="Y716" i="1"/>
  <c r="Y717" i="1" s="1"/>
  <c r="Z716" i="1"/>
  <c r="Z717" i="1" s="1"/>
  <c r="D717" i="1"/>
  <c r="A718" i="1"/>
  <c r="A719" i="1" s="1"/>
  <c r="B718" i="1"/>
  <c r="B719" i="1" s="1"/>
  <c r="C718" i="1"/>
  <c r="C719" i="1" s="1"/>
  <c r="D718" i="1"/>
  <c r="D719" i="1" s="1"/>
  <c r="E718" i="1"/>
  <c r="E719" i="1" s="1"/>
  <c r="F718" i="1"/>
  <c r="F719" i="1" s="1"/>
  <c r="G718" i="1"/>
  <c r="H718" i="1"/>
  <c r="I718" i="1"/>
  <c r="J718" i="1"/>
  <c r="K718" i="1"/>
  <c r="M718" i="1"/>
  <c r="N718" i="1"/>
  <c r="P718" i="1"/>
  <c r="P719" i="1" s="1"/>
  <c r="Q718" i="1"/>
  <c r="Q719" i="1" s="1"/>
  <c r="R718" i="1"/>
  <c r="R719" i="1" s="1"/>
  <c r="S718" i="1"/>
  <c r="S719" i="1" s="1"/>
  <c r="T718" i="1"/>
  <c r="T719" i="1" s="1"/>
  <c r="V718" i="1"/>
  <c r="V719" i="1" s="1"/>
  <c r="W718" i="1"/>
  <c r="W719" i="1" s="1"/>
  <c r="X718" i="1"/>
  <c r="X719" i="1" s="1"/>
  <c r="Y718" i="1"/>
  <c r="Y719" i="1" s="1"/>
  <c r="Z718" i="1"/>
  <c r="Z719" i="1" s="1"/>
  <c r="A720" i="1"/>
  <c r="A721" i="1" s="1"/>
  <c r="B720" i="1"/>
  <c r="B721" i="1" s="1"/>
  <c r="C720" i="1"/>
  <c r="C721" i="1" s="1"/>
  <c r="D720" i="1"/>
  <c r="E720" i="1"/>
  <c r="E721" i="1" s="1"/>
  <c r="F720" i="1"/>
  <c r="F721" i="1" s="1"/>
  <c r="G720" i="1"/>
  <c r="H720" i="1"/>
  <c r="I720" i="1"/>
  <c r="J720" i="1"/>
  <c r="K720" i="1"/>
  <c r="M720" i="1"/>
  <c r="N720" i="1"/>
  <c r="P720" i="1"/>
  <c r="P721" i="1" s="1"/>
  <c r="Q720" i="1"/>
  <c r="Q721" i="1" s="1"/>
  <c r="R720" i="1"/>
  <c r="R721" i="1" s="1"/>
  <c r="S720" i="1"/>
  <c r="S721" i="1" s="1"/>
  <c r="T720" i="1"/>
  <c r="T721" i="1" s="1"/>
  <c r="V720" i="1"/>
  <c r="V721" i="1" s="1"/>
  <c r="W720" i="1"/>
  <c r="W721" i="1" s="1"/>
  <c r="X720" i="1"/>
  <c r="X721" i="1" s="1"/>
  <c r="Y720" i="1"/>
  <c r="Y721" i="1" s="1"/>
  <c r="Z720" i="1"/>
  <c r="Z721" i="1" s="1"/>
  <c r="D721" i="1"/>
  <c r="A722" i="1"/>
  <c r="A723" i="1" s="1"/>
  <c r="B722" i="1"/>
  <c r="B723" i="1" s="1"/>
  <c r="C722" i="1"/>
  <c r="D722" i="1"/>
  <c r="D723" i="1" s="1"/>
  <c r="E722" i="1"/>
  <c r="E723" i="1" s="1"/>
  <c r="F722" i="1"/>
  <c r="F723" i="1" s="1"/>
  <c r="G722" i="1"/>
  <c r="H722" i="1"/>
  <c r="I722" i="1"/>
  <c r="J722" i="1"/>
  <c r="K722" i="1"/>
  <c r="M722" i="1"/>
  <c r="N722" i="1"/>
  <c r="P722" i="1"/>
  <c r="P723" i="1" s="1"/>
  <c r="Q722" i="1"/>
  <c r="Q723" i="1" s="1"/>
  <c r="R722" i="1"/>
  <c r="R723" i="1" s="1"/>
  <c r="S722" i="1"/>
  <c r="S723" i="1" s="1"/>
  <c r="T722" i="1"/>
  <c r="T723" i="1" s="1"/>
  <c r="V722" i="1"/>
  <c r="V723" i="1" s="1"/>
  <c r="W722" i="1"/>
  <c r="W723" i="1" s="1"/>
  <c r="X722" i="1"/>
  <c r="X723" i="1" s="1"/>
  <c r="Y722" i="1"/>
  <c r="Y723" i="1" s="1"/>
  <c r="Z722" i="1"/>
  <c r="Z723" i="1" s="1"/>
  <c r="A724" i="1"/>
  <c r="A725" i="1" s="1"/>
  <c r="B724" i="1"/>
  <c r="B725" i="1" s="1"/>
  <c r="C724" i="1"/>
  <c r="C725" i="1" s="1"/>
  <c r="D724" i="1"/>
  <c r="D725" i="1" s="1"/>
  <c r="E724" i="1"/>
  <c r="E725" i="1" s="1"/>
  <c r="F724" i="1"/>
  <c r="F725" i="1" s="1"/>
  <c r="G724" i="1"/>
  <c r="H724" i="1"/>
  <c r="I724" i="1"/>
  <c r="J724" i="1"/>
  <c r="K724" i="1"/>
  <c r="M724" i="1"/>
  <c r="N724" i="1"/>
  <c r="P724" i="1"/>
  <c r="P725" i="1" s="1"/>
  <c r="Q724" i="1"/>
  <c r="Q725" i="1" s="1"/>
  <c r="R724" i="1"/>
  <c r="R725" i="1" s="1"/>
  <c r="S724" i="1"/>
  <c r="S725" i="1" s="1"/>
  <c r="T724" i="1"/>
  <c r="T725" i="1" s="1"/>
  <c r="V724" i="1"/>
  <c r="V725" i="1" s="1"/>
  <c r="W724" i="1"/>
  <c r="W725" i="1" s="1"/>
  <c r="X724" i="1"/>
  <c r="X725" i="1" s="1"/>
  <c r="Y724" i="1"/>
  <c r="Y725" i="1" s="1"/>
  <c r="Z724" i="1"/>
  <c r="Z725" i="1" s="1"/>
  <c r="A726" i="1"/>
  <c r="A727" i="1" s="1"/>
  <c r="B726" i="1"/>
  <c r="B727" i="1" s="1"/>
  <c r="C726" i="1"/>
  <c r="C727" i="1" s="1"/>
  <c r="D726" i="1"/>
  <c r="E726" i="1"/>
  <c r="F726" i="1"/>
  <c r="F727" i="1" s="1"/>
  <c r="G726" i="1"/>
  <c r="H726" i="1"/>
  <c r="I726" i="1"/>
  <c r="J726" i="1"/>
  <c r="K726" i="1"/>
  <c r="M726" i="1"/>
  <c r="N726" i="1"/>
  <c r="P726" i="1"/>
  <c r="P727" i="1" s="1"/>
  <c r="Q726" i="1"/>
  <c r="Q727" i="1" s="1"/>
  <c r="R726" i="1"/>
  <c r="R727" i="1" s="1"/>
  <c r="S726" i="1"/>
  <c r="S727" i="1" s="1"/>
  <c r="T726" i="1"/>
  <c r="T727" i="1" s="1"/>
  <c r="V726" i="1"/>
  <c r="V727" i="1" s="1"/>
  <c r="W726" i="1"/>
  <c r="W727" i="1" s="1"/>
  <c r="X726" i="1"/>
  <c r="X727" i="1" s="1"/>
  <c r="Y726" i="1"/>
  <c r="Y727" i="1" s="1"/>
  <c r="Z726" i="1"/>
  <c r="Z727" i="1" s="1"/>
  <c r="D727" i="1"/>
  <c r="A728" i="1"/>
  <c r="A729" i="1" s="1"/>
  <c r="B728" i="1"/>
  <c r="B729" i="1" s="1"/>
  <c r="C728" i="1"/>
  <c r="C729" i="1" s="1"/>
  <c r="D728" i="1"/>
  <c r="D729" i="1" s="1"/>
  <c r="E728" i="1"/>
  <c r="E729" i="1" s="1"/>
  <c r="F728" i="1"/>
  <c r="F729" i="1" s="1"/>
  <c r="G728" i="1"/>
  <c r="H728" i="1"/>
  <c r="I728" i="1"/>
  <c r="J728" i="1"/>
  <c r="K728" i="1"/>
  <c r="M728" i="1"/>
  <c r="N728" i="1"/>
  <c r="P728" i="1"/>
  <c r="P729" i="1" s="1"/>
  <c r="Q728" i="1"/>
  <c r="Q729" i="1" s="1"/>
  <c r="R728" i="1"/>
  <c r="R729" i="1" s="1"/>
  <c r="S728" i="1"/>
  <c r="S729" i="1" s="1"/>
  <c r="T728" i="1"/>
  <c r="T729" i="1" s="1"/>
  <c r="V728" i="1"/>
  <c r="V729" i="1" s="1"/>
  <c r="W728" i="1"/>
  <c r="W729" i="1" s="1"/>
  <c r="X728" i="1"/>
  <c r="X729" i="1" s="1"/>
  <c r="Y728" i="1"/>
  <c r="Y729" i="1" s="1"/>
  <c r="Z728" i="1"/>
  <c r="Z729" i="1" s="1"/>
  <c r="A730" i="1"/>
  <c r="A731" i="1" s="1"/>
  <c r="B730" i="1"/>
  <c r="B731" i="1" s="1"/>
  <c r="C730" i="1"/>
  <c r="C731" i="1" s="1"/>
  <c r="D730" i="1"/>
  <c r="D731" i="1" s="1"/>
  <c r="E730" i="1"/>
  <c r="E731" i="1" s="1"/>
  <c r="F730" i="1"/>
  <c r="F731" i="1" s="1"/>
  <c r="G730" i="1"/>
  <c r="H730" i="1"/>
  <c r="I730" i="1"/>
  <c r="J730" i="1"/>
  <c r="K730" i="1"/>
  <c r="M730" i="1"/>
  <c r="N730" i="1"/>
  <c r="P730" i="1"/>
  <c r="P731" i="1" s="1"/>
  <c r="Q730" i="1"/>
  <c r="Q731" i="1" s="1"/>
  <c r="R730" i="1"/>
  <c r="R731" i="1" s="1"/>
  <c r="S730" i="1"/>
  <c r="S731" i="1" s="1"/>
  <c r="T730" i="1"/>
  <c r="T731" i="1" s="1"/>
  <c r="V730" i="1"/>
  <c r="V731" i="1" s="1"/>
  <c r="W730" i="1"/>
  <c r="W731" i="1" s="1"/>
  <c r="X730" i="1"/>
  <c r="X731" i="1" s="1"/>
  <c r="Y730" i="1"/>
  <c r="Y731" i="1" s="1"/>
  <c r="Z730" i="1"/>
  <c r="Z731" i="1" s="1"/>
  <c r="A732" i="1"/>
  <c r="A733" i="1" s="1"/>
  <c r="B732" i="1"/>
  <c r="B733" i="1" s="1"/>
  <c r="C732" i="1"/>
  <c r="C733" i="1" s="1"/>
  <c r="D732" i="1"/>
  <c r="D733" i="1" s="1"/>
  <c r="E732" i="1"/>
  <c r="E733" i="1" s="1"/>
  <c r="F732" i="1"/>
  <c r="F733" i="1" s="1"/>
  <c r="G732" i="1"/>
  <c r="H732" i="1"/>
  <c r="I732" i="1"/>
  <c r="J732" i="1"/>
  <c r="K732" i="1"/>
  <c r="M732" i="1"/>
  <c r="N732" i="1"/>
  <c r="P732" i="1"/>
  <c r="P733" i="1" s="1"/>
  <c r="Q732" i="1"/>
  <c r="Q733" i="1" s="1"/>
  <c r="R732" i="1"/>
  <c r="S732" i="1"/>
  <c r="S733" i="1" s="1"/>
  <c r="T732" i="1"/>
  <c r="T733" i="1" s="1"/>
  <c r="V732" i="1"/>
  <c r="V733" i="1" s="1"/>
  <c r="W732" i="1"/>
  <c r="W733" i="1" s="1"/>
  <c r="X732" i="1"/>
  <c r="X733" i="1" s="1"/>
  <c r="Y732" i="1"/>
  <c r="Y733" i="1" s="1"/>
  <c r="Z732" i="1"/>
  <c r="Z733" i="1" s="1"/>
  <c r="R733" i="1"/>
  <c r="A734" i="1"/>
  <c r="A735" i="1" s="1"/>
  <c r="B734" i="1"/>
  <c r="B735" i="1" s="1"/>
  <c r="C734" i="1"/>
  <c r="C735" i="1" s="1"/>
  <c r="D734" i="1"/>
  <c r="D735" i="1" s="1"/>
  <c r="E734" i="1"/>
  <c r="E735" i="1" s="1"/>
  <c r="F734" i="1"/>
  <c r="F735" i="1" s="1"/>
  <c r="G734" i="1"/>
  <c r="H734" i="1"/>
  <c r="I734" i="1"/>
  <c r="J734" i="1"/>
  <c r="K734" i="1"/>
  <c r="M734" i="1"/>
  <c r="N734" i="1"/>
  <c r="P734" i="1"/>
  <c r="P735" i="1" s="1"/>
  <c r="Q734" i="1"/>
  <c r="Q735" i="1" s="1"/>
  <c r="R734" i="1"/>
  <c r="S734" i="1"/>
  <c r="S735" i="1" s="1"/>
  <c r="T734" i="1"/>
  <c r="T735" i="1" s="1"/>
  <c r="V734" i="1"/>
  <c r="V735" i="1" s="1"/>
  <c r="W734" i="1"/>
  <c r="W735" i="1" s="1"/>
  <c r="X734" i="1"/>
  <c r="X735" i="1" s="1"/>
  <c r="Y734" i="1"/>
  <c r="Y735" i="1" s="1"/>
  <c r="Z734" i="1"/>
  <c r="Z735" i="1" s="1"/>
  <c r="R735" i="1"/>
  <c r="A736" i="1"/>
  <c r="A737" i="1" s="1"/>
  <c r="B736" i="1"/>
  <c r="C736" i="1"/>
  <c r="C737" i="1" s="1"/>
  <c r="D736" i="1"/>
  <c r="D737" i="1" s="1"/>
  <c r="E736" i="1"/>
  <c r="E737" i="1" s="1"/>
  <c r="F736" i="1"/>
  <c r="F737" i="1" s="1"/>
  <c r="G736" i="1"/>
  <c r="H736" i="1"/>
  <c r="I736" i="1"/>
  <c r="J736" i="1"/>
  <c r="K736" i="1"/>
  <c r="M736" i="1"/>
  <c r="N736" i="1"/>
  <c r="P736" i="1"/>
  <c r="P737" i="1" s="1"/>
  <c r="Q736" i="1"/>
  <c r="Q737" i="1" s="1"/>
  <c r="R736" i="1"/>
  <c r="R737" i="1" s="1"/>
  <c r="S736" i="1"/>
  <c r="S737" i="1" s="1"/>
  <c r="T736" i="1"/>
  <c r="T737" i="1" s="1"/>
  <c r="V736" i="1"/>
  <c r="V737" i="1" s="1"/>
  <c r="W736" i="1"/>
  <c r="W737" i="1" s="1"/>
  <c r="X736" i="1"/>
  <c r="X737" i="1" s="1"/>
  <c r="Y736" i="1"/>
  <c r="Z736" i="1"/>
  <c r="Z737" i="1" s="1"/>
  <c r="B737" i="1"/>
  <c r="A738" i="1"/>
  <c r="A739" i="1" s="1"/>
  <c r="B738" i="1"/>
  <c r="B739" i="1" s="1"/>
  <c r="C738" i="1"/>
  <c r="C739" i="1" s="1"/>
  <c r="D738" i="1"/>
  <c r="D739" i="1" s="1"/>
  <c r="E738" i="1"/>
  <c r="E739" i="1" s="1"/>
  <c r="F738" i="1"/>
  <c r="F739" i="1" s="1"/>
  <c r="G738" i="1"/>
  <c r="H738" i="1"/>
  <c r="I738" i="1"/>
  <c r="J738" i="1"/>
  <c r="K738" i="1"/>
  <c r="M738" i="1"/>
  <c r="N738" i="1"/>
  <c r="P738" i="1"/>
  <c r="P739" i="1" s="1"/>
  <c r="Q738" i="1"/>
  <c r="Q739" i="1" s="1"/>
  <c r="R738" i="1"/>
  <c r="S738" i="1"/>
  <c r="S739" i="1" s="1"/>
  <c r="T738" i="1"/>
  <c r="T739" i="1" s="1"/>
  <c r="V738" i="1"/>
  <c r="V739" i="1" s="1"/>
  <c r="W738" i="1"/>
  <c r="W739" i="1" s="1"/>
  <c r="X738" i="1"/>
  <c r="X739" i="1" s="1"/>
  <c r="Y738" i="1"/>
  <c r="Y739" i="1" s="1"/>
  <c r="Z738" i="1"/>
  <c r="Z739" i="1" s="1"/>
  <c r="R739" i="1"/>
  <c r="A740" i="1"/>
  <c r="A741" i="1" s="1"/>
  <c r="B740" i="1"/>
  <c r="B741" i="1" s="1"/>
  <c r="C740" i="1"/>
  <c r="C741" i="1" s="1"/>
  <c r="D740" i="1"/>
  <c r="E740" i="1"/>
  <c r="E741" i="1" s="1"/>
  <c r="F740" i="1"/>
  <c r="F741" i="1" s="1"/>
  <c r="G740" i="1"/>
  <c r="H740" i="1"/>
  <c r="I740" i="1"/>
  <c r="J740" i="1"/>
  <c r="K740" i="1"/>
  <c r="M740" i="1"/>
  <c r="N740" i="1"/>
  <c r="P740" i="1"/>
  <c r="P741" i="1" s="1"/>
  <c r="Q740" i="1"/>
  <c r="Q741" i="1" s="1"/>
  <c r="R740" i="1"/>
  <c r="R741" i="1" s="1"/>
  <c r="S740" i="1"/>
  <c r="S741" i="1" s="1"/>
  <c r="T740" i="1"/>
  <c r="T741" i="1" s="1"/>
  <c r="V740" i="1"/>
  <c r="V741" i="1" s="1"/>
  <c r="W740" i="1"/>
  <c r="W741" i="1" s="1"/>
  <c r="X740" i="1"/>
  <c r="X741" i="1" s="1"/>
  <c r="Y740" i="1"/>
  <c r="Y741" i="1" s="1"/>
  <c r="Z740" i="1"/>
  <c r="Z741" i="1" s="1"/>
  <c r="D741" i="1"/>
  <c r="A742" i="1"/>
  <c r="A743" i="1" s="1"/>
  <c r="B742" i="1"/>
  <c r="B743" i="1" s="1"/>
  <c r="C742" i="1"/>
  <c r="C743" i="1" s="1"/>
  <c r="D742" i="1"/>
  <c r="D743" i="1" s="1"/>
  <c r="E742" i="1"/>
  <c r="E743" i="1" s="1"/>
  <c r="F742" i="1"/>
  <c r="F743" i="1" s="1"/>
  <c r="G742" i="1"/>
  <c r="H742" i="1"/>
  <c r="I742" i="1"/>
  <c r="J742" i="1"/>
  <c r="K742" i="1"/>
  <c r="M742" i="1"/>
  <c r="N742" i="1"/>
  <c r="P742" i="1"/>
  <c r="P743" i="1" s="1"/>
  <c r="Q742" i="1"/>
  <c r="Q743" i="1" s="1"/>
  <c r="R742" i="1"/>
  <c r="S742" i="1"/>
  <c r="S743" i="1" s="1"/>
  <c r="T742" i="1"/>
  <c r="T743" i="1" s="1"/>
  <c r="V742" i="1"/>
  <c r="V743" i="1" s="1"/>
  <c r="W742" i="1"/>
  <c r="W743" i="1" s="1"/>
  <c r="X742" i="1"/>
  <c r="X743" i="1" s="1"/>
  <c r="Y742" i="1"/>
  <c r="Y743" i="1" s="1"/>
  <c r="Z742" i="1"/>
  <c r="Z743" i="1" s="1"/>
  <c r="R743" i="1"/>
  <c r="A744" i="1"/>
  <c r="A745" i="1" s="1"/>
  <c r="B744" i="1"/>
  <c r="B745" i="1" s="1"/>
  <c r="C744" i="1"/>
  <c r="C745" i="1" s="1"/>
  <c r="D744" i="1"/>
  <c r="D745" i="1" s="1"/>
  <c r="E744" i="1"/>
  <c r="E745" i="1" s="1"/>
  <c r="F744" i="1"/>
  <c r="F745" i="1" s="1"/>
  <c r="G744" i="1"/>
  <c r="H744" i="1"/>
  <c r="I744" i="1"/>
  <c r="J744" i="1"/>
  <c r="K744" i="1"/>
  <c r="M744" i="1"/>
  <c r="N744" i="1"/>
  <c r="P744" i="1"/>
  <c r="P745" i="1" s="1"/>
  <c r="Q744" i="1"/>
  <c r="Q745" i="1" s="1"/>
  <c r="R744" i="1"/>
  <c r="R745" i="1" s="1"/>
  <c r="S744" i="1"/>
  <c r="S745" i="1" s="1"/>
  <c r="T744" i="1"/>
  <c r="T745" i="1" s="1"/>
  <c r="V744" i="1"/>
  <c r="V745" i="1" s="1"/>
  <c r="W744" i="1"/>
  <c r="W745" i="1" s="1"/>
  <c r="X744" i="1"/>
  <c r="X745" i="1" s="1"/>
  <c r="Y744" i="1"/>
  <c r="Y745" i="1" s="1"/>
  <c r="Z744" i="1"/>
  <c r="Z745" i="1" s="1"/>
  <c r="A746" i="1"/>
  <c r="A747" i="1" s="1"/>
  <c r="B746" i="1"/>
  <c r="B747" i="1" s="1"/>
  <c r="C746" i="1"/>
  <c r="C747" i="1" s="1"/>
  <c r="D746" i="1"/>
  <c r="D747" i="1" s="1"/>
  <c r="E746" i="1"/>
  <c r="E747" i="1" s="1"/>
  <c r="F746" i="1"/>
  <c r="F747" i="1" s="1"/>
  <c r="G746" i="1"/>
  <c r="H746" i="1"/>
  <c r="I746" i="1"/>
  <c r="J746" i="1"/>
  <c r="K746" i="1"/>
  <c r="M746" i="1"/>
  <c r="N746" i="1"/>
  <c r="P746" i="1"/>
  <c r="P747" i="1" s="1"/>
  <c r="Q746" i="1"/>
  <c r="Q747" i="1" s="1"/>
  <c r="R746" i="1"/>
  <c r="R747" i="1" s="1"/>
  <c r="S746" i="1"/>
  <c r="S747" i="1" s="1"/>
  <c r="T746" i="1"/>
  <c r="T747" i="1" s="1"/>
  <c r="V746" i="1"/>
  <c r="V747" i="1" s="1"/>
  <c r="W746" i="1"/>
  <c r="W747" i="1" s="1"/>
  <c r="X746" i="1"/>
  <c r="X747" i="1" s="1"/>
  <c r="Y746" i="1"/>
  <c r="Y747" i="1" s="1"/>
  <c r="Z746" i="1"/>
  <c r="Z747" i="1" s="1"/>
  <c r="A748" i="1"/>
  <c r="A749" i="1" s="1"/>
  <c r="B748" i="1"/>
  <c r="B749" i="1" s="1"/>
  <c r="C748" i="1"/>
  <c r="C749" i="1" s="1"/>
  <c r="D748" i="1"/>
  <c r="D749" i="1" s="1"/>
  <c r="E748" i="1"/>
  <c r="E749" i="1" s="1"/>
  <c r="F748" i="1"/>
  <c r="F749" i="1" s="1"/>
  <c r="G748" i="1"/>
  <c r="H748" i="1"/>
  <c r="I748" i="1"/>
  <c r="J748" i="1"/>
  <c r="K748" i="1"/>
  <c r="M748" i="1"/>
  <c r="N748" i="1"/>
  <c r="P748" i="1"/>
  <c r="P749" i="1" s="1"/>
  <c r="Q748" i="1"/>
  <c r="Q749" i="1" s="1"/>
  <c r="R748" i="1"/>
  <c r="R749" i="1" s="1"/>
  <c r="S748" i="1"/>
  <c r="S749" i="1" s="1"/>
  <c r="T748" i="1"/>
  <c r="T749" i="1" s="1"/>
  <c r="V748" i="1"/>
  <c r="V749" i="1" s="1"/>
  <c r="W748" i="1"/>
  <c r="W749" i="1" s="1"/>
  <c r="X748" i="1"/>
  <c r="X749" i="1" s="1"/>
  <c r="Y748" i="1"/>
  <c r="Y749" i="1" s="1"/>
  <c r="Z748" i="1"/>
  <c r="Z749" i="1" s="1"/>
  <c r="A750" i="1"/>
  <c r="A751" i="1" s="1"/>
  <c r="B750" i="1"/>
  <c r="B751" i="1" s="1"/>
  <c r="C750" i="1"/>
  <c r="C751" i="1" s="1"/>
  <c r="D750" i="1"/>
  <c r="D751" i="1" s="1"/>
  <c r="E750" i="1"/>
  <c r="E751" i="1" s="1"/>
  <c r="F750" i="1"/>
  <c r="F751" i="1" s="1"/>
  <c r="G750" i="1"/>
  <c r="H750" i="1"/>
  <c r="I750" i="1"/>
  <c r="J750" i="1"/>
  <c r="K750" i="1"/>
  <c r="M750" i="1"/>
  <c r="N750" i="1"/>
  <c r="P750" i="1"/>
  <c r="P751" i="1" s="1"/>
  <c r="Q750" i="1"/>
  <c r="Q751" i="1" s="1"/>
  <c r="R750" i="1"/>
  <c r="R751" i="1" s="1"/>
  <c r="S750" i="1"/>
  <c r="S751" i="1" s="1"/>
  <c r="T750" i="1"/>
  <c r="V750" i="1"/>
  <c r="V751" i="1" s="1"/>
  <c r="W750" i="1"/>
  <c r="W751" i="1" s="1"/>
  <c r="X750" i="1"/>
  <c r="X751" i="1" s="1"/>
  <c r="Y750" i="1"/>
  <c r="Y751" i="1" s="1"/>
  <c r="Z750" i="1"/>
  <c r="Z751" i="1" s="1"/>
  <c r="T751" i="1"/>
  <c r="A752" i="1"/>
  <c r="A753" i="1" s="1"/>
  <c r="B752" i="1"/>
  <c r="B753" i="1" s="1"/>
  <c r="C752" i="1"/>
  <c r="C753" i="1" s="1"/>
  <c r="D752" i="1"/>
  <c r="D753" i="1" s="1"/>
  <c r="E752" i="1"/>
  <c r="F752" i="1"/>
  <c r="F753" i="1" s="1"/>
  <c r="G752" i="1"/>
  <c r="H752" i="1"/>
  <c r="I752" i="1"/>
  <c r="J752" i="1"/>
  <c r="K752" i="1"/>
  <c r="M752" i="1"/>
  <c r="N752" i="1"/>
  <c r="P752" i="1"/>
  <c r="P753" i="1" s="1"/>
  <c r="Q752" i="1"/>
  <c r="Q753" i="1" s="1"/>
  <c r="R752" i="1"/>
  <c r="R753" i="1" s="1"/>
  <c r="S752" i="1"/>
  <c r="S753" i="1" s="1"/>
  <c r="T752" i="1"/>
  <c r="T753" i="1" s="1"/>
  <c r="V752" i="1"/>
  <c r="V753" i="1" s="1"/>
  <c r="W752" i="1"/>
  <c r="W753" i="1" s="1"/>
  <c r="X752" i="1"/>
  <c r="X753" i="1" s="1"/>
  <c r="Y752" i="1"/>
  <c r="Y753" i="1" s="1"/>
  <c r="Z752" i="1"/>
  <c r="Z753" i="1" s="1"/>
  <c r="A754" i="1"/>
  <c r="A755" i="1" s="1"/>
  <c r="B754" i="1"/>
  <c r="B755" i="1" s="1"/>
  <c r="C754" i="1"/>
  <c r="C755" i="1" s="1"/>
  <c r="D754" i="1"/>
  <c r="D755" i="1" s="1"/>
  <c r="E754" i="1"/>
  <c r="E755" i="1" s="1"/>
  <c r="F754" i="1"/>
  <c r="F755" i="1" s="1"/>
  <c r="G754" i="1"/>
  <c r="H754" i="1"/>
  <c r="I754" i="1"/>
  <c r="J754" i="1"/>
  <c r="K754" i="1"/>
  <c r="M754" i="1"/>
  <c r="N754" i="1"/>
  <c r="P754" i="1"/>
  <c r="P755" i="1" s="1"/>
  <c r="Q754" i="1"/>
  <c r="Q755" i="1" s="1"/>
  <c r="R754" i="1"/>
  <c r="R755" i="1" s="1"/>
  <c r="S754" i="1"/>
  <c r="S755" i="1" s="1"/>
  <c r="T754" i="1"/>
  <c r="T755" i="1" s="1"/>
  <c r="V754" i="1"/>
  <c r="V755" i="1" s="1"/>
  <c r="W754" i="1"/>
  <c r="W755" i="1" s="1"/>
  <c r="X754" i="1"/>
  <c r="X755" i="1" s="1"/>
  <c r="Y754" i="1"/>
  <c r="Y755" i="1" s="1"/>
  <c r="Z754" i="1"/>
  <c r="Z755" i="1" s="1"/>
  <c r="A756" i="1"/>
  <c r="A757" i="1" s="1"/>
  <c r="B756" i="1"/>
  <c r="B757" i="1" s="1"/>
  <c r="C756" i="1"/>
  <c r="C757" i="1" s="1"/>
  <c r="D756" i="1"/>
  <c r="E756" i="1"/>
  <c r="E757" i="1" s="1"/>
  <c r="F756" i="1"/>
  <c r="G756" i="1"/>
  <c r="H756" i="1"/>
  <c r="I756" i="1"/>
  <c r="J756" i="1"/>
  <c r="K756" i="1"/>
  <c r="M756" i="1"/>
  <c r="N756" i="1"/>
  <c r="P756" i="1"/>
  <c r="P757" i="1" s="1"/>
  <c r="Q756" i="1"/>
  <c r="Q757" i="1" s="1"/>
  <c r="R756" i="1"/>
  <c r="R757" i="1" s="1"/>
  <c r="S756" i="1"/>
  <c r="S757" i="1" s="1"/>
  <c r="T756" i="1"/>
  <c r="T757" i="1" s="1"/>
  <c r="V756" i="1"/>
  <c r="V757" i="1" s="1"/>
  <c r="W756" i="1"/>
  <c r="X756" i="1"/>
  <c r="X757" i="1" s="1"/>
  <c r="Y756" i="1"/>
  <c r="Y757" i="1" s="1"/>
  <c r="Z756" i="1"/>
  <c r="Z757" i="1" s="1"/>
  <c r="W757" i="1"/>
  <c r="A758" i="1"/>
  <c r="A759" i="1" s="1"/>
  <c r="B758" i="1"/>
  <c r="B759" i="1" s="1"/>
  <c r="C758" i="1"/>
  <c r="C759" i="1" s="1"/>
  <c r="D758" i="1"/>
  <c r="D759" i="1" s="1"/>
  <c r="E758" i="1"/>
  <c r="F758" i="1"/>
  <c r="F759" i="1" s="1"/>
  <c r="G758" i="1"/>
  <c r="H758" i="1"/>
  <c r="I758" i="1"/>
  <c r="J758" i="1"/>
  <c r="K758" i="1"/>
  <c r="M758" i="1"/>
  <c r="N758" i="1"/>
  <c r="P758" i="1"/>
  <c r="P759" i="1" s="1"/>
  <c r="Q758" i="1"/>
  <c r="Q759" i="1" s="1"/>
  <c r="R758" i="1"/>
  <c r="R759" i="1" s="1"/>
  <c r="S758" i="1"/>
  <c r="S759" i="1" s="1"/>
  <c r="T758" i="1"/>
  <c r="V758" i="1"/>
  <c r="V759" i="1" s="1"/>
  <c r="W758" i="1"/>
  <c r="W759" i="1" s="1"/>
  <c r="X758" i="1"/>
  <c r="X759" i="1" s="1"/>
  <c r="Y758" i="1"/>
  <c r="Y759" i="1" s="1"/>
  <c r="Z758" i="1"/>
  <c r="Z759" i="1" s="1"/>
  <c r="T759" i="1"/>
  <c r="A760" i="1"/>
  <c r="A761" i="1" s="1"/>
  <c r="B760" i="1"/>
  <c r="B761" i="1" s="1"/>
  <c r="C760" i="1"/>
  <c r="C761" i="1" s="1"/>
  <c r="D760" i="1"/>
  <c r="E760" i="1"/>
  <c r="E761" i="1" s="1"/>
  <c r="F760" i="1"/>
  <c r="F761" i="1" s="1"/>
  <c r="G760" i="1"/>
  <c r="H760" i="1"/>
  <c r="I760" i="1"/>
  <c r="J760" i="1"/>
  <c r="K760" i="1"/>
  <c r="M760" i="1"/>
  <c r="N760" i="1"/>
  <c r="P760" i="1"/>
  <c r="P761" i="1" s="1"/>
  <c r="Q760" i="1"/>
  <c r="Q761" i="1" s="1"/>
  <c r="R760" i="1"/>
  <c r="R761" i="1" s="1"/>
  <c r="S760" i="1"/>
  <c r="S761" i="1" s="1"/>
  <c r="T760" i="1"/>
  <c r="T761" i="1" s="1"/>
  <c r="V760" i="1"/>
  <c r="V761" i="1" s="1"/>
  <c r="W760" i="1"/>
  <c r="W761" i="1" s="1"/>
  <c r="X760" i="1"/>
  <c r="X761" i="1" s="1"/>
  <c r="Y760" i="1"/>
  <c r="Y761" i="1" s="1"/>
  <c r="Z760" i="1"/>
  <c r="Z761" i="1" s="1"/>
  <c r="D761" i="1"/>
  <c r="A762" i="1"/>
  <c r="A763" i="1" s="1"/>
  <c r="B762" i="1"/>
  <c r="B763" i="1" s="1"/>
  <c r="C762" i="1"/>
  <c r="C763" i="1" s="1"/>
  <c r="D762" i="1"/>
  <c r="D763" i="1" s="1"/>
  <c r="E762" i="1"/>
  <c r="E763" i="1" s="1"/>
  <c r="F762" i="1"/>
  <c r="F763" i="1" s="1"/>
  <c r="G762" i="1"/>
  <c r="H762" i="1"/>
  <c r="I762" i="1"/>
  <c r="J762" i="1"/>
  <c r="K762" i="1"/>
  <c r="M762" i="1"/>
  <c r="N762" i="1"/>
  <c r="P762" i="1"/>
  <c r="P763" i="1" s="1"/>
  <c r="Q762" i="1"/>
  <c r="Q763" i="1" s="1"/>
  <c r="R762" i="1"/>
  <c r="R763" i="1" s="1"/>
  <c r="S762" i="1"/>
  <c r="S763" i="1" s="1"/>
  <c r="T762" i="1"/>
  <c r="T763" i="1" s="1"/>
  <c r="V762" i="1"/>
  <c r="V763" i="1" s="1"/>
  <c r="W762" i="1"/>
  <c r="W763" i="1" s="1"/>
  <c r="X762" i="1"/>
  <c r="X763" i="1" s="1"/>
  <c r="Y762" i="1"/>
  <c r="Y763" i="1" s="1"/>
  <c r="Z762" i="1"/>
  <c r="Z763" i="1" s="1"/>
  <c r="A764" i="1"/>
  <c r="A765" i="1" s="1"/>
  <c r="B764" i="1"/>
  <c r="B765" i="1" s="1"/>
  <c r="C764" i="1"/>
  <c r="C765" i="1" s="1"/>
  <c r="D764" i="1"/>
  <c r="D765" i="1" s="1"/>
  <c r="E764" i="1"/>
  <c r="E765" i="1" s="1"/>
  <c r="F764" i="1"/>
  <c r="F765" i="1" s="1"/>
  <c r="G764" i="1"/>
  <c r="H764" i="1"/>
  <c r="I764" i="1"/>
  <c r="J764" i="1"/>
  <c r="K764" i="1"/>
  <c r="M764" i="1"/>
  <c r="N764" i="1"/>
  <c r="P764" i="1"/>
  <c r="P765" i="1" s="1"/>
  <c r="Q764" i="1"/>
  <c r="Q765" i="1" s="1"/>
  <c r="R764" i="1"/>
  <c r="R765" i="1" s="1"/>
  <c r="S764" i="1"/>
  <c r="S765" i="1" s="1"/>
  <c r="T764" i="1"/>
  <c r="T765" i="1" s="1"/>
  <c r="V764" i="1"/>
  <c r="V765" i="1" s="1"/>
  <c r="W764" i="1"/>
  <c r="W765" i="1" s="1"/>
  <c r="X764" i="1"/>
  <c r="X765" i="1" s="1"/>
  <c r="Y764" i="1"/>
  <c r="Y765" i="1" s="1"/>
  <c r="Z764" i="1"/>
  <c r="Z765" i="1" s="1"/>
  <c r="A766" i="1"/>
  <c r="A767" i="1" s="1"/>
  <c r="B766" i="1"/>
  <c r="B767" i="1" s="1"/>
  <c r="C766" i="1"/>
  <c r="C767" i="1" s="1"/>
  <c r="D766" i="1"/>
  <c r="D767" i="1" s="1"/>
  <c r="E766" i="1"/>
  <c r="E767" i="1" s="1"/>
  <c r="F766" i="1"/>
  <c r="F767" i="1" s="1"/>
  <c r="G766" i="1"/>
  <c r="H766" i="1"/>
  <c r="I766" i="1"/>
  <c r="J766" i="1"/>
  <c r="K766" i="1"/>
  <c r="M766" i="1"/>
  <c r="N766" i="1"/>
  <c r="P766" i="1"/>
  <c r="P767" i="1" s="1"/>
  <c r="Q766" i="1"/>
  <c r="Q767" i="1" s="1"/>
  <c r="R766" i="1"/>
  <c r="R767" i="1" s="1"/>
  <c r="S766" i="1"/>
  <c r="S767" i="1" s="1"/>
  <c r="T766" i="1"/>
  <c r="T767" i="1" s="1"/>
  <c r="V766" i="1"/>
  <c r="V767" i="1" s="1"/>
  <c r="W766" i="1"/>
  <c r="W767" i="1" s="1"/>
  <c r="X766" i="1"/>
  <c r="X767" i="1" s="1"/>
  <c r="Y766" i="1"/>
  <c r="Y767" i="1" s="1"/>
  <c r="Z766" i="1"/>
  <c r="Z767" i="1" s="1"/>
  <c r="A768" i="1"/>
  <c r="A769" i="1" s="1"/>
  <c r="B768" i="1"/>
  <c r="B769" i="1" s="1"/>
  <c r="C768" i="1"/>
  <c r="C769" i="1" s="1"/>
  <c r="D768" i="1"/>
  <c r="D769" i="1" s="1"/>
  <c r="E768" i="1"/>
  <c r="E769" i="1" s="1"/>
  <c r="F768" i="1"/>
  <c r="F769" i="1" s="1"/>
  <c r="G768" i="1"/>
  <c r="H768" i="1"/>
  <c r="I768" i="1"/>
  <c r="J768" i="1"/>
  <c r="K768" i="1"/>
  <c r="M768" i="1"/>
  <c r="N768" i="1"/>
  <c r="P768" i="1"/>
  <c r="P769" i="1" s="1"/>
  <c r="Q768" i="1"/>
  <c r="Q769" i="1" s="1"/>
  <c r="R768" i="1"/>
  <c r="S768" i="1"/>
  <c r="S769" i="1" s="1"/>
  <c r="T768" i="1"/>
  <c r="T769" i="1" s="1"/>
  <c r="V768" i="1"/>
  <c r="V769" i="1" s="1"/>
  <c r="W768" i="1"/>
  <c r="W769" i="1" s="1"/>
  <c r="X768" i="1"/>
  <c r="X769" i="1" s="1"/>
  <c r="Y768" i="1"/>
  <c r="Y769" i="1" s="1"/>
  <c r="Z768" i="1"/>
  <c r="Z769" i="1" s="1"/>
  <c r="R769" i="1"/>
  <c r="A770" i="1"/>
  <c r="A771" i="1" s="1"/>
  <c r="B770" i="1"/>
  <c r="B771" i="1" s="1"/>
  <c r="C770" i="1"/>
  <c r="C771" i="1" s="1"/>
  <c r="D770" i="1"/>
  <c r="D771" i="1" s="1"/>
  <c r="E770" i="1"/>
  <c r="E771" i="1" s="1"/>
  <c r="F770" i="1"/>
  <c r="F771" i="1" s="1"/>
  <c r="G770" i="1"/>
  <c r="H770" i="1"/>
  <c r="I770" i="1"/>
  <c r="J770" i="1"/>
  <c r="K770" i="1"/>
  <c r="M770" i="1"/>
  <c r="N770" i="1"/>
  <c r="P770" i="1"/>
  <c r="P771" i="1" s="1"/>
  <c r="Q770" i="1"/>
  <c r="Q771" i="1" s="1"/>
  <c r="R770" i="1"/>
  <c r="R771" i="1" s="1"/>
  <c r="S770" i="1"/>
  <c r="S771" i="1" s="1"/>
  <c r="T770" i="1"/>
  <c r="T771" i="1" s="1"/>
  <c r="V770" i="1"/>
  <c r="V771" i="1" s="1"/>
  <c r="W770" i="1"/>
  <c r="W771" i="1" s="1"/>
  <c r="X770" i="1"/>
  <c r="X771" i="1" s="1"/>
  <c r="Y770" i="1"/>
  <c r="Y771" i="1" s="1"/>
  <c r="Z770" i="1"/>
  <c r="Z771" i="1" s="1"/>
  <c r="A772" i="1"/>
  <c r="A773" i="1" s="1"/>
  <c r="B772" i="1"/>
  <c r="B773" i="1" s="1"/>
  <c r="C772" i="1"/>
  <c r="C773" i="1" s="1"/>
  <c r="D772" i="1"/>
  <c r="E772" i="1"/>
  <c r="F772" i="1"/>
  <c r="F773" i="1" s="1"/>
  <c r="G772" i="1"/>
  <c r="H772" i="1"/>
  <c r="I772" i="1"/>
  <c r="J772" i="1"/>
  <c r="K772" i="1"/>
  <c r="M772" i="1"/>
  <c r="N772" i="1"/>
  <c r="P772" i="1"/>
  <c r="P773" i="1" s="1"/>
  <c r="Q772" i="1"/>
  <c r="Q773" i="1" s="1"/>
  <c r="R772" i="1"/>
  <c r="R773" i="1" s="1"/>
  <c r="S772" i="1"/>
  <c r="S773" i="1" s="1"/>
  <c r="T772" i="1"/>
  <c r="T773" i="1" s="1"/>
  <c r="V772" i="1"/>
  <c r="V773" i="1" s="1"/>
  <c r="W772" i="1"/>
  <c r="W773" i="1" s="1"/>
  <c r="X772" i="1"/>
  <c r="X773" i="1" s="1"/>
  <c r="Y772" i="1"/>
  <c r="Y773" i="1" s="1"/>
  <c r="Z772" i="1"/>
  <c r="Z773" i="1" s="1"/>
  <c r="A774" i="1"/>
  <c r="A775" i="1" s="1"/>
  <c r="B774" i="1"/>
  <c r="B775" i="1" s="1"/>
  <c r="C774" i="1"/>
  <c r="C775" i="1" s="1"/>
  <c r="D774" i="1"/>
  <c r="D775" i="1" s="1"/>
  <c r="E774" i="1"/>
  <c r="E775" i="1" s="1"/>
  <c r="F774" i="1"/>
  <c r="F775" i="1" s="1"/>
  <c r="G774" i="1"/>
  <c r="H774" i="1"/>
  <c r="I774" i="1"/>
  <c r="J774" i="1"/>
  <c r="K774" i="1"/>
  <c r="M774" i="1"/>
  <c r="N774" i="1"/>
  <c r="P774" i="1"/>
  <c r="P775" i="1" s="1"/>
  <c r="Q774" i="1"/>
  <c r="Q775" i="1" s="1"/>
  <c r="R774" i="1"/>
  <c r="R775" i="1" s="1"/>
  <c r="S774" i="1"/>
  <c r="S775" i="1" s="1"/>
  <c r="T774" i="1"/>
  <c r="V774" i="1"/>
  <c r="V775" i="1" s="1"/>
  <c r="W774" i="1"/>
  <c r="W775" i="1" s="1"/>
  <c r="X774" i="1"/>
  <c r="X775" i="1" s="1"/>
  <c r="Y774" i="1"/>
  <c r="Y775" i="1" s="1"/>
  <c r="Z774" i="1"/>
  <c r="Z775" i="1" s="1"/>
  <c r="T775" i="1"/>
  <c r="A776" i="1"/>
  <c r="A777" i="1" s="1"/>
  <c r="B776" i="1"/>
  <c r="B777" i="1" s="1"/>
  <c r="C776" i="1"/>
  <c r="C777" i="1" s="1"/>
  <c r="D776" i="1"/>
  <c r="D777" i="1" s="1"/>
  <c r="E776" i="1"/>
  <c r="E777" i="1" s="1"/>
  <c r="F776" i="1"/>
  <c r="F777" i="1" s="1"/>
  <c r="G776" i="1"/>
  <c r="H776" i="1"/>
  <c r="I776" i="1"/>
  <c r="J776" i="1"/>
  <c r="K776" i="1"/>
  <c r="M776" i="1"/>
  <c r="N776" i="1"/>
  <c r="P776" i="1"/>
  <c r="P777" i="1" s="1"/>
  <c r="Q776" i="1"/>
  <c r="Q777" i="1" s="1"/>
  <c r="R776" i="1"/>
  <c r="R777" i="1" s="1"/>
  <c r="S776" i="1"/>
  <c r="S777" i="1" s="1"/>
  <c r="T776" i="1"/>
  <c r="T777" i="1" s="1"/>
  <c r="V776" i="1"/>
  <c r="V777" i="1" s="1"/>
  <c r="W776" i="1"/>
  <c r="W777" i="1" s="1"/>
  <c r="X776" i="1"/>
  <c r="X777" i="1" s="1"/>
  <c r="Y776" i="1"/>
  <c r="Y777" i="1" s="1"/>
  <c r="Z776" i="1"/>
  <c r="Z777" i="1" s="1"/>
  <c r="A778" i="1"/>
  <c r="A779" i="1" s="1"/>
  <c r="B778" i="1"/>
  <c r="B779" i="1" s="1"/>
  <c r="C778" i="1"/>
  <c r="C779" i="1" s="1"/>
  <c r="D778" i="1"/>
  <c r="E778" i="1"/>
  <c r="E779" i="1" s="1"/>
  <c r="F778" i="1"/>
  <c r="F779" i="1" s="1"/>
  <c r="G778" i="1"/>
  <c r="H778" i="1"/>
  <c r="I778" i="1"/>
  <c r="J778" i="1"/>
  <c r="K778" i="1"/>
  <c r="M778" i="1"/>
  <c r="N778" i="1"/>
  <c r="P778" i="1"/>
  <c r="P779" i="1" s="1"/>
  <c r="Q778" i="1"/>
  <c r="Q779" i="1" s="1"/>
  <c r="R778" i="1"/>
  <c r="R779" i="1" s="1"/>
  <c r="S778" i="1"/>
  <c r="S779" i="1" s="1"/>
  <c r="T778" i="1"/>
  <c r="T779" i="1" s="1"/>
  <c r="V778" i="1"/>
  <c r="V779" i="1" s="1"/>
  <c r="W778" i="1"/>
  <c r="W779" i="1" s="1"/>
  <c r="X778" i="1"/>
  <c r="X779" i="1" s="1"/>
  <c r="Y778" i="1"/>
  <c r="Y779" i="1" s="1"/>
  <c r="Z778" i="1"/>
  <c r="Z779" i="1" s="1"/>
  <c r="A780" i="1"/>
  <c r="A781" i="1" s="1"/>
  <c r="B780" i="1"/>
  <c r="B781" i="1" s="1"/>
  <c r="C780" i="1"/>
  <c r="D780" i="1"/>
  <c r="E780" i="1"/>
  <c r="F780" i="1"/>
  <c r="F781" i="1" s="1"/>
  <c r="G780" i="1"/>
  <c r="H780" i="1"/>
  <c r="I780" i="1"/>
  <c r="J780" i="1"/>
  <c r="K780" i="1"/>
  <c r="M780" i="1"/>
  <c r="N780" i="1"/>
  <c r="P780" i="1"/>
  <c r="P781" i="1" s="1"/>
  <c r="Q780" i="1"/>
  <c r="Q781" i="1" s="1"/>
  <c r="R780" i="1"/>
  <c r="R781" i="1" s="1"/>
  <c r="S780" i="1"/>
  <c r="S781" i="1" s="1"/>
  <c r="T780" i="1"/>
  <c r="T781" i="1" s="1"/>
  <c r="V780" i="1"/>
  <c r="V781" i="1" s="1"/>
  <c r="W780" i="1"/>
  <c r="W781" i="1" s="1"/>
  <c r="X780" i="1"/>
  <c r="X781" i="1" s="1"/>
  <c r="Y780" i="1"/>
  <c r="Y781" i="1" s="1"/>
  <c r="Z780" i="1"/>
  <c r="Z781" i="1" s="1"/>
  <c r="D781" i="1"/>
  <c r="E781" i="1"/>
  <c r="A782" i="1"/>
  <c r="A783" i="1" s="1"/>
  <c r="B782" i="1"/>
  <c r="B783" i="1" s="1"/>
  <c r="C782" i="1"/>
  <c r="C783" i="1" s="1"/>
  <c r="D782" i="1"/>
  <c r="E782" i="1"/>
  <c r="E783" i="1" s="1"/>
  <c r="F782" i="1"/>
  <c r="F783" i="1" s="1"/>
  <c r="G782" i="1"/>
  <c r="H782" i="1"/>
  <c r="I782" i="1"/>
  <c r="J782" i="1"/>
  <c r="K782" i="1"/>
  <c r="M782" i="1"/>
  <c r="N782" i="1"/>
  <c r="P782" i="1"/>
  <c r="P783" i="1" s="1"/>
  <c r="Q782" i="1"/>
  <c r="Q783" i="1" s="1"/>
  <c r="R782" i="1"/>
  <c r="R783" i="1" s="1"/>
  <c r="S782" i="1"/>
  <c r="S783" i="1" s="1"/>
  <c r="T782" i="1"/>
  <c r="T783" i="1" s="1"/>
  <c r="V782" i="1"/>
  <c r="V783" i="1" s="1"/>
  <c r="W782" i="1"/>
  <c r="W783" i="1" s="1"/>
  <c r="X782" i="1"/>
  <c r="X783" i="1" s="1"/>
  <c r="Y782" i="1"/>
  <c r="Y783" i="1" s="1"/>
  <c r="Z782" i="1"/>
  <c r="Z783" i="1" s="1"/>
  <c r="D783" i="1"/>
  <c r="A784" i="1"/>
  <c r="A785" i="1" s="1"/>
  <c r="B784" i="1"/>
  <c r="B785" i="1" s="1"/>
  <c r="C784" i="1"/>
  <c r="D784" i="1"/>
  <c r="E784" i="1"/>
  <c r="F784" i="1"/>
  <c r="F785" i="1" s="1"/>
  <c r="G784" i="1"/>
  <c r="H784" i="1"/>
  <c r="I784" i="1"/>
  <c r="J784" i="1"/>
  <c r="K784" i="1"/>
  <c r="M784" i="1"/>
  <c r="N784" i="1"/>
  <c r="P784" i="1"/>
  <c r="P785" i="1" s="1"/>
  <c r="Q784" i="1"/>
  <c r="Q785" i="1" s="1"/>
  <c r="R784" i="1"/>
  <c r="R785" i="1" s="1"/>
  <c r="S784" i="1"/>
  <c r="T784" i="1"/>
  <c r="T785" i="1" s="1"/>
  <c r="V784" i="1"/>
  <c r="V785" i="1" s="1"/>
  <c r="W784" i="1"/>
  <c r="W785" i="1" s="1"/>
  <c r="X784" i="1"/>
  <c r="X785" i="1" s="1"/>
  <c r="Y784" i="1"/>
  <c r="Y785" i="1" s="1"/>
  <c r="Z784" i="1"/>
  <c r="Z785" i="1" s="1"/>
  <c r="E785" i="1"/>
  <c r="S785" i="1"/>
  <c r="A786" i="1"/>
  <c r="A787" i="1" s="1"/>
  <c r="B786" i="1"/>
  <c r="B787" i="1" s="1"/>
  <c r="C786" i="1"/>
  <c r="C787" i="1" s="1"/>
  <c r="D786" i="1"/>
  <c r="E786" i="1"/>
  <c r="F786" i="1"/>
  <c r="G786" i="1"/>
  <c r="H786" i="1"/>
  <c r="I786" i="1"/>
  <c r="J786" i="1"/>
  <c r="K786" i="1"/>
  <c r="M786" i="1"/>
  <c r="N786" i="1"/>
  <c r="P786" i="1"/>
  <c r="P787" i="1" s="1"/>
  <c r="Q786" i="1"/>
  <c r="Q787" i="1" s="1"/>
  <c r="R786" i="1"/>
  <c r="S786" i="1"/>
  <c r="S787" i="1" s="1"/>
  <c r="T786" i="1"/>
  <c r="T787" i="1" s="1"/>
  <c r="V786" i="1"/>
  <c r="V787" i="1" s="1"/>
  <c r="W786" i="1"/>
  <c r="W787" i="1" s="1"/>
  <c r="X786" i="1"/>
  <c r="X787" i="1" s="1"/>
  <c r="Y786" i="1"/>
  <c r="Y787" i="1" s="1"/>
  <c r="Z786" i="1"/>
  <c r="Z787" i="1" s="1"/>
  <c r="D787" i="1"/>
  <c r="E787" i="1"/>
  <c r="R787" i="1"/>
  <c r="A788" i="1"/>
  <c r="A789" i="1" s="1"/>
  <c r="B788" i="1"/>
  <c r="B789" i="1" s="1"/>
  <c r="C788" i="1"/>
  <c r="C789" i="1" s="1"/>
  <c r="D788" i="1"/>
  <c r="E788" i="1"/>
  <c r="E789" i="1" s="1"/>
  <c r="F788" i="1"/>
  <c r="G788" i="1"/>
  <c r="H788" i="1"/>
  <c r="I788" i="1"/>
  <c r="J788" i="1"/>
  <c r="K788" i="1"/>
  <c r="M788" i="1"/>
  <c r="N788" i="1"/>
  <c r="P788" i="1"/>
  <c r="P789" i="1" s="1"/>
  <c r="Q788" i="1"/>
  <c r="Q789" i="1" s="1"/>
  <c r="R788" i="1"/>
  <c r="R789" i="1" s="1"/>
  <c r="S788" i="1"/>
  <c r="S789" i="1" s="1"/>
  <c r="T788" i="1"/>
  <c r="T789" i="1" s="1"/>
  <c r="V788" i="1"/>
  <c r="V789" i="1" s="1"/>
  <c r="W788" i="1"/>
  <c r="W789" i="1" s="1"/>
  <c r="X788" i="1"/>
  <c r="X789" i="1" s="1"/>
  <c r="Y788" i="1"/>
  <c r="Y789" i="1" s="1"/>
  <c r="Z788" i="1"/>
  <c r="Z789" i="1" s="1"/>
  <c r="F789" i="1"/>
  <c r="A790" i="1"/>
  <c r="A791" i="1" s="1"/>
  <c r="B790" i="1"/>
  <c r="B791" i="1" s="1"/>
  <c r="C790" i="1"/>
  <c r="D790" i="1"/>
  <c r="E790" i="1"/>
  <c r="F790" i="1"/>
  <c r="F791" i="1" s="1"/>
  <c r="G790" i="1"/>
  <c r="H790" i="1"/>
  <c r="I790" i="1"/>
  <c r="J790" i="1"/>
  <c r="K790" i="1"/>
  <c r="M790" i="1"/>
  <c r="N790" i="1"/>
  <c r="P790" i="1"/>
  <c r="P791" i="1" s="1"/>
  <c r="Q790" i="1"/>
  <c r="Q791" i="1" s="1"/>
  <c r="R790" i="1"/>
  <c r="R791" i="1" s="1"/>
  <c r="S790" i="1"/>
  <c r="S791" i="1" s="1"/>
  <c r="T790" i="1"/>
  <c r="V790" i="1"/>
  <c r="V791" i="1" s="1"/>
  <c r="W790" i="1"/>
  <c r="W791" i="1" s="1"/>
  <c r="X790" i="1"/>
  <c r="X791" i="1" s="1"/>
  <c r="Y790" i="1"/>
  <c r="Y791" i="1" s="1"/>
  <c r="Z790" i="1"/>
  <c r="Z791" i="1" s="1"/>
  <c r="D791" i="1"/>
  <c r="E791" i="1"/>
  <c r="T791" i="1"/>
  <c r="A792" i="1"/>
  <c r="A793" i="1" s="1"/>
  <c r="B792" i="1"/>
  <c r="B793" i="1" s="1"/>
  <c r="C792" i="1"/>
  <c r="C793" i="1" s="1"/>
  <c r="D792" i="1"/>
  <c r="D793" i="1" s="1"/>
  <c r="E792" i="1"/>
  <c r="E793" i="1" s="1"/>
  <c r="F792" i="1"/>
  <c r="G792" i="1"/>
  <c r="H792" i="1"/>
  <c r="I792" i="1"/>
  <c r="J792" i="1"/>
  <c r="K792" i="1"/>
  <c r="M792" i="1"/>
  <c r="N792" i="1"/>
  <c r="P792" i="1"/>
  <c r="P793" i="1" s="1"/>
  <c r="Q792" i="1"/>
  <c r="R792" i="1"/>
  <c r="S792" i="1"/>
  <c r="S793" i="1" s="1"/>
  <c r="T792" i="1"/>
  <c r="T793" i="1" s="1"/>
  <c r="V792" i="1"/>
  <c r="V793" i="1" s="1"/>
  <c r="W792" i="1"/>
  <c r="W793" i="1" s="1"/>
  <c r="X792" i="1"/>
  <c r="X793" i="1" s="1"/>
  <c r="Y792" i="1"/>
  <c r="Y793" i="1" s="1"/>
  <c r="Z792" i="1"/>
  <c r="Z793" i="1" s="1"/>
  <c r="F793" i="1"/>
  <c r="Q793" i="1"/>
  <c r="R793" i="1"/>
  <c r="A794" i="1"/>
  <c r="A795" i="1" s="1"/>
  <c r="B794" i="1"/>
  <c r="B795" i="1" s="1"/>
  <c r="C794" i="1"/>
  <c r="C795" i="1" s="1"/>
  <c r="D794" i="1"/>
  <c r="E794" i="1"/>
  <c r="F794" i="1"/>
  <c r="F795" i="1" s="1"/>
  <c r="G794" i="1"/>
  <c r="H794" i="1"/>
  <c r="I794" i="1"/>
  <c r="J794" i="1"/>
  <c r="K794" i="1"/>
  <c r="M794" i="1"/>
  <c r="N794" i="1"/>
  <c r="P794" i="1"/>
  <c r="P795" i="1" s="1"/>
  <c r="Q794" i="1"/>
  <c r="Q795" i="1" s="1"/>
  <c r="R794" i="1"/>
  <c r="R795" i="1" s="1"/>
  <c r="S794" i="1"/>
  <c r="S795" i="1" s="1"/>
  <c r="T794" i="1"/>
  <c r="T795" i="1" s="1"/>
  <c r="V794" i="1"/>
  <c r="V795" i="1" s="1"/>
  <c r="W794" i="1"/>
  <c r="W795" i="1" s="1"/>
  <c r="X794" i="1"/>
  <c r="X795" i="1" s="1"/>
  <c r="Y794" i="1"/>
  <c r="Y795" i="1" s="1"/>
  <c r="Z794" i="1"/>
  <c r="Z795" i="1" s="1"/>
  <c r="D795" i="1"/>
  <c r="E795" i="1"/>
  <c r="A796" i="1"/>
  <c r="A797" i="1" s="1"/>
  <c r="B796" i="1"/>
  <c r="B797" i="1" s="1"/>
  <c r="C796" i="1"/>
  <c r="C797" i="1" s="1"/>
  <c r="D796" i="1"/>
  <c r="E796" i="1"/>
  <c r="F796" i="1"/>
  <c r="G796" i="1"/>
  <c r="H796" i="1"/>
  <c r="I796" i="1"/>
  <c r="J796" i="1"/>
  <c r="K796" i="1"/>
  <c r="M796" i="1"/>
  <c r="N796" i="1"/>
  <c r="P796" i="1"/>
  <c r="P797" i="1" s="1"/>
  <c r="Q796" i="1"/>
  <c r="Q797" i="1" s="1"/>
  <c r="R796" i="1"/>
  <c r="R797" i="1" s="1"/>
  <c r="S796" i="1"/>
  <c r="S797" i="1" s="1"/>
  <c r="T796" i="1"/>
  <c r="T797" i="1" s="1"/>
  <c r="V796" i="1"/>
  <c r="V797" i="1" s="1"/>
  <c r="W796" i="1"/>
  <c r="W797" i="1" s="1"/>
  <c r="X796" i="1"/>
  <c r="X797" i="1" s="1"/>
  <c r="Y796" i="1"/>
  <c r="Y797" i="1" s="1"/>
  <c r="Z796" i="1"/>
  <c r="Z797" i="1" s="1"/>
  <c r="D797" i="1"/>
  <c r="E797" i="1"/>
  <c r="A798" i="1"/>
  <c r="A799" i="1" s="1"/>
  <c r="B798" i="1"/>
  <c r="B799" i="1" s="1"/>
  <c r="C798" i="1"/>
  <c r="C799" i="1" s="1"/>
  <c r="D798" i="1"/>
  <c r="E798" i="1"/>
  <c r="F798" i="1"/>
  <c r="F799" i="1" s="1"/>
  <c r="G798" i="1"/>
  <c r="H798" i="1"/>
  <c r="I798" i="1"/>
  <c r="J798" i="1"/>
  <c r="K798" i="1"/>
  <c r="M798" i="1"/>
  <c r="N798" i="1"/>
  <c r="P798" i="1"/>
  <c r="P799" i="1" s="1"/>
  <c r="Q798" i="1"/>
  <c r="Q799" i="1" s="1"/>
  <c r="R798" i="1"/>
  <c r="R799" i="1" s="1"/>
  <c r="S798" i="1"/>
  <c r="S799" i="1" s="1"/>
  <c r="T798" i="1"/>
  <c r="T799" i="1" s="1"/>
  <c r="V798" i="1"/>
  <c r="V799" i="1" s="1"/>
  <c r="W798" i="1"/>
  <c r="W799" i="1" s="1"/>
  <c r="X798" i="1"/>
  <c r="X799" i="1" s="1"/>
  <c r="Y798" i="1"/>
  <c r="Y799" i="1" s="1"/>
  <c r="Z798" i="1"/>
  <c r="Z799" i="1" s="1"/>
  <c r="D799" i="1"/>
  <c r="E799" i="1"/>
  <c r="A800" i="1"/>
  <c r="A801" i="1" s="1"/>
  <c r="B800" i="1"/>
  <c r="B801" i="1" s="1"/>
  <c r="C800" i="1"/>
  <c r="C801" i="1" s="1"/>
  <c r="D800" i="1"/>
  <c r="E800" i="1"/>
  <c r="E801" i="1" s="1"/>
  <c r="F800" i="1"/>
  <c r="F801" i="1" s="1"/>
  <c r="G800" i="1"/>
  <c r="H800" i="1"/>
  <c r="I800" i="1"/>
  <c r="J800" i="1"/>
  <c r="K800" i="1"/>
  <c r="M800" i="1"/>
  <c r="N800" i="1"/>
  <c r="P800" i="1"/>
  <c r="P801" i="1" s="1"/>
  <c r="Q800" i="1"/>
  <c r="Q801" i="1" s="1"/>
  <c r="R800" i="1"/>
  <c r="R801" i="1" s="1"/>
  <c r="S800" i="1"/>
  <c r="S801" i="1" s="1"/>
  <c r="T800" i="1"/>
  <c r="T801" i="1" s="1"/>
  <c r="V800" i="1"/>
  <c r="V801" i="1" s="1"/>
  <c r="W800" i="1"/>
  <c r="X800" i="1"/>
  <c r="X801" i="1" s="1"/>
  <c r="Y800" i="1"/>
  <c r="Y801" i="1" s="1"/>
  <c r="Z800" i="1"/>
  <c r="Z801" i="1" s="1"/>
  <c r="W801" i="1"/>
  <c r="A802" i="1"/>
  <c r="A803" i="1" s="1"/>
  <c r="B802" i="1"/>
  <c r="B803" i="1" s="1"/>
  <c r="C802" i="1"/>
  <c r="C803" i="1" s="1"/>
  <c r="D802" i="1"/>
  <c r="E802" i="1"/>
  <c r="F802" i="1"/>
  <c r="F803" i="1" s="1"/>
  <c r="G802" i="1"/>
  <c r="H802" i="1"/>
  <c r="I802" i="1"/>
  <c r="J802" i="1"/>
  <c r="K802" i="1"/>
  <c r="M802" i="1"/>
  <c r="N802" i="1"/>
  <c r="P802" i="1"/>
  <c r="Q802" i="1"/>
  <c r="Q803" i="1" s="1"/>
  <c r="R802" i="1"/>
  <c r="R803" i="1" s="1"/>
  <c r="S802" i="1"/>
  <c r="S803" i="1" s="1"/>
  <c r="T802" i="1"/>
  <c r="T803" i="1" s="1"/>
  <c r="V802" i="1"/>
  <c r="V803" i="1" s="1"/>
  <c r="W802" i="1"/>
  <c r="W803" i="1" s="1"/>
  <c r="X802" i="1"/>
  <c r="X803" i="1" s="1"/>
  <c r="Y802" i="1"/>
  <c r="Y803" i="1" s="1"/>
  <c r="Z802" i="1"/>
  <c r="Z803" i="1" s="1"/>
  <c r="D803" i="1"/>
  <c r="E803" i="1"/>
  <c r="P803" i="1"/>
  <c r="A804" i="1"/>
  <c r="A805" i="1" s="1"/>
  <c r="B804" i="1"/>
  <c r="B805" i="1" s="1"/>
  <c r="C804" i="1"/>
  <c r="C805" i="1" s="1"/>
  <c r="D804" i="1"/>
  <c r="D805" i="1" s="1"/>
  <c r="E804" i="1"/>
  <c r="E805" i="1" s="1"/>
  <c r="F804" i="1"/>
  <c r="F805" i="1" s="1"/>
  <c r="G804" i="1"/>
  <c r="H804" i="1"/>
  <c r="I804" i="1"/>
  <c r="J804" i="1"/>
  <c r="K804" i="1"/>
  <c r="M804" i="1"/>
  <c r="N804" i="1"/>
  <c r="P804" i="1"/>
  <c r="P805" i="1" s="1"/>
  <c r="Q804" i="1"/>
  <c r="Q805" i="1" s="1"/>
  <c r="R804" i="1"/>
  <c r="R805" i="1" s="1"/>
  <c r="S804" i="1"/>
  <c r="S805" i="1" s="1"/>
  <c r="T804" i="1"/>
  <c r="T805" i="1" s="1"/>
  <c r="V804" i="1"/>
  <c r="V805" i="1" s="1"/>
  <c r="W804" i="1"/>
  <c r="W805" i="1" s="1"/>
  <c r="X804" i="1"/>
  <c r="X805" i="1" s="1"/>
  <c r="Y804" i="1"/>
  <c r="Y805" i="1" s="1"/>
  <c r="Z804" i="1"/>
  <c r="Z805" i="1" s="1"/>
  <c r="A806" i="1"/>
  <c r="A807" i="1" s="1"/>
  <c r="B806" i="1"/>
  <c r="C806" i="1"/>
  <c r="C807" i="1" s="1"/>
  <c r="D806" i="1"/>
  <c r="D807" i="1" s="1"/>
  <c r="E806" i="1"/>
  <c r="E807" i="1" s="1"/>
  <c r="F806" i="1"/>
  <c r="F807" i="1" s="1"/>
  <c r="G806" i="1"/>
  <c r="H806" i="1"/>
  <c r="I806" i="1"/>
  <c r="J806" i="1"/>
  <c r="K806" i="1"/>
  <c r="M806" i="1"/>
  <c r="N806" i="1"/>
  <c r="P806" i="1"/>
  <c r="P807" i="1" s="1"/>
  <c r="Q806" i="1"/>
  <c r="Q807" i="1" s="1"/>
  <c r="R806" i="1"/>
  <c r="R807" i="1" s="1"/>
  <c r="S806" i="1"/>
  <c r="S807" i="1" s="1"/>
  <c r="T806" i="1"/>
  <c r="T807" i="1" s="1"/>
  <c r="V806" i="1"/>
  <c r="V807" i="1" s="1"/>
  <c r="W806" i="1"/>
  <c r="W807" i="1" s="1"/>
  <c r="X806" i="1"/>
  <c r="X807" i="1" s="1"/>
  <c r="Y806" i="1"/>
  <c r="Z806" i="1"/>
  <c r="Z807" i="1" s="1"/>
  <c r="B807" i="1"/>
  <c r="A808" i="1"/>
  <c r="A809" i="1" s="1"/>
  <c r="B808" i="1"/>
  <c r="B809" i="1" s="1"/>
  <c r="C808" i="1"/>
  <c r="C809" i="1" s="1"/>
  <c r="D808" i="1"/>
  <c r="E808" i="1"/>
  <c r="E809" i="1" s="1"/>
  <c r="F808" i="1"/>
  <c r="F809" i="1" s="1"/>
  <c r="G808" i="1"/>
  <c r="H808" i="1"/>
  <c r="I808" i="1"/>
  <c r="J808" i="1"/>
  <c r="K808" i="1"/>
  <c r="M808" i="1"/>
  <c r="N808" i="1"/>
  <c r="P808" i="1"/>
  <c r="P809" i="1" s="1"/>
  <c r="Q808" i="1"/>
  <c r="Q809" i="1" s="1"/>
  <c r="R808" i="1"/>
  <c r="R809" i="1" s="1"/>
  <c r="S808" i="1"/>
  <c r="S809" i="1" s="1"/>
  <c r="T808" i="1"/>
  <c r="T809" i="1" s="1"/>
  <c r="V808" i="1"/>
  <c r="V809" i="1" s="1"/>
  <c r="W808" i="1"/>
  <c r="W809" i="1" s="1"/>
  <c r="X808" i="1"/>
  <c r="X809" i="1" s="1"/>
  <c r="Y808" i="1"/>
  <c r="Y809" i="1" s="1"/>
  <c r="Z808" i="1"/>
  <c r="Z809" i="1" s="1"/>
  <c r="A810" i="1"/>
  <c r="A811" i="1" s="1"/>
  <c r="B810" i="1"/>
  <c r="B811" i="1" s="1"/>
  <c r="C810" i="1"/>
  <c r="C811" i="1" s="1"/>
  <c r="D810" i="1"/>
  <c r="D811" i="1" s="1"/>
  <c r="E810" i="1"/>
  <c r="E811" i="1" s="1"/>
  <c r="F810" i="1"/>
  <c r="F811" i="1" s="1"/>
  <c r="G810" i="1"/>
  <c r="H810" i="1"/>
  <c r="I810" i="1"/>
  <c r="J810" i="1"/>
  <c r="K810" i="1"/>
  <c r="M810" i="1"/>
  <c r="N810" i="1"/>
  <c r="P810" i="1"/>
  <c r="P811" i="1" s="1"/>
  <c r="Q810" i="1"/>
  <c r="Q811" i="1" s="1"/>
  <c r="R810" i="1"/>
  <c r="R811" i="1" s="1"/>
  <c r="S810" i="1"/>
  <c r="S811" i="1" s="1"/>
  <c r="T810" i="1"/>
  <c r="T811" i="1" s="1"/>
  <c r="V810" i="1"/>
  <c r="V811" i="1" s="1"/>
  <c r="W810" i="1"/>
  <c r="W811" i="1" s="1"/>
  <c r="X810" i="1"/>
  <c r="X811" i="1" s="1"/>
  <c r="Y810" i="1"/>
  <c r="Y811" i="1" s="1"/>
  <c r="Z810" i="1"/>
  <c r="Z811" i="1" s="1"/>
  <c r="A812" i="1"/>
  <c r="A813" i="1" s="1"/>
  <c r="B812" i="1"/>
  <c r="B813" i="1" s="1"/>
  <c r="C812" i="1"/>
  <c r="C813" i="1" s="1"/>
  <c r="D812" i="1"/>
  <c r="E812" i="1"/>
  <c r="F812" i="1"/>
  <c r="F813" i="1" s="1"/>
  <c r="G812" i="1"/>
  <c r="H812" i="1"/>
  <c r="I812" i="1"/>
  <c r="J812" i="1"/>
  <c r="K812" i="1"/>
  <c r="M812" i="1"/>
  <c r="N812" i="1"/>
  <c r="P812" i="1"/>
  <c r="P813" i="1" s="1"/>
  <c r="Q812" i="1"/>
  <c r="Q813" i="1" s="1"/>
  <c r="R812" i="1"/>
  <c r="R813" i="1" s="1"/>
  <c r="S812" i="1"/>
  <c r="S813" i="1" s="1"/>
  <c r="T812" i="1"/>
  <c r="T813" i="1" s="1"/>
  <c r="V812" i="1"/>
  <c r="V813" i="1" s="1"/>
  <c r="W812" i="1"/>
  <c r="X812" i="1"/>
  <c r="X813" i="1" s="1"/>
  <c r="Y812" i="1"/>
  <c r="Y813" i="1" s="1"/>
  <c r="Z812" i="1"/>
  <c r="Z813" i="1" s="1"/>
  <c r="D813" i="1"/>
  <c r="E813" i="1"/>
  <c r="W813" i="1"/>
  <c r="A814" i="1"/>
  <c r="A815" i="1" s="1"/>
  <c r="B814" i="1"/>
  <c r="C814" i="1"/>
  <c r="C815" i="1" s="1"/>
  <c r="D814" i="1"/>
  <c r="E814" i="1"/>
  <c r="E815" i="1" s="1"/>
  <c r="F814" i="1"/>
  <c r="F815" i="1" s="1"/>
  <c r="G814" i="1"/>
  <c r="H814" i="1"/>
  <c r="I814" i="1"/>
  <c r="J814" i="1"/>
  <c r="K814" i="1"/>
  <c r="M814" i="1"/>
  <c r="N814" i="1"/>
  <c r="P814" i="1"/>
  <c r="P815" i="1" s="1"/>
  <c r="Q814" i="1"/>
  <c r="Q815" i="1" s="1"/>
  <c r="R814" i="1"/>
  <c r="R815" i="1" s="1"/>
  <c r="S814" i="1"/>
  <c r="S815" i="1" s="1"/>
  <c r="T814" i="1"/>
  <c r="T815" i="1" s="1"/>
  <c r="V814" i="1"/>
  <c r="V815" i="1" s="1"/>
  <c r="W814" i="1"/>
  <c r="W815" i="1" s="1"/>
  <c r="X814" i="1"/>
  <c r="X815" i="1" s="1"/>
  <c r="Y814" i="1"/>
  <c r="Z814" i="1"/>
  <c r="Z815" i="1" s="1"/>
  <c r="B815" i="1"/>
  <c r="A816" i="1"/>
  <c r="A817" i="1" s="1"/>
  <c r="B816" i="1"/>
  <c r="B817" i="1" s="1"/>
  <c r="C816" i="1"/>
  <c r="C817" i="1" s="1"/>
  <c r="D816" i="1"/>
  <c r="D817" i="1" s="1"/>
  <c r="E816" i="1"/>
  <c r="E817" i="1" s="1"/>
  <c r="F816" i="1"/>
  <c r="F817" i="1" s="1"/>
  <c r="G816" i="1"/>
  <c r="H816" i="1"/>
  <c r="I816" i="1"/>
  <c r="J816" i="1"/>
  <c r="K816" i="1"/>
  <c r="M816" i="1"/>
  <c r="N816" i="1"/>
  <c r="P816" i="1"/>
  <c r="P817" i="1" s="1"/>
  <c r="Q816" i="1"/>
  <c r="Q817" i="1" s="1"/>
  <c r="R816" i="1"/>
  <c r="R817" i="1" s="1"/>
  <c r="S816" i="1"/>
  <c r="S817" i="1" s="1"/>
  <c r="T816" i="1"/>
  <c r="T817" i="1" s="1"/>
  <c r="V816" i="1"/>
  <c r="V817" i="1" s="1"/>
  <c r="W816" i="1"/>
  <c r="X816" i="1"/>
  <c r="X817" i="1" s="1"/>
  <c r="Y816" i="1"/>
  <c r="Y817" i="1" s="1"/>
  <c r="Z816" i="1"/>
  <c r="Z817" i="1" s="1"/>
  <c r="W817" i="1"/>
  <c r="A818" i="1"/>
  <c r="A819" i="1" s="1"/>
  <c r="B818" i="1"/>
  <c r="B819" i="1" s="1"/>
  <c r="C818" i="1"/>
  <c r="C819" i="1" s="1"/>
  <c r="D818" i="1"/>
  <c r="D819" i="1" s="1"/>
  <c r="E818" i="1"/>
  <c r="E819" i="1" s="1"/>
  <c r="F818" i="1"/>
  <c r="F819" i="1" s="1"/>
  <c r="G818" i="1"/>
  <c r="H818" i="1"/>
  <c r="I818" i="1"/>
  <c r="J818" i="1"/>
  <c r="K818" i="1"/>
  <c r="M818" i="1"/>
  <c r="N818" i="1"/>
  <c r="P818" i="1"/>
  <c r="P819" i="1" s="1"/>
  <c r="Q818" i="1"/>
  <c r="Q819" i="1" s="1"/>
  <c r="R818" i="1"/>
  <c r="R819" i="1" s="1"/>
  <c r="S818" i="1"/>
  <c r="S819" i="1" s="1"/>
  <c r="T818" i="1"/>
  <c r="T819" i="1" s="1"/>
  <c r="V818" i="1"/>
  <c r="V819" i="1" s="1"/>
  <c r="W818" i="1"/>
  <c r="W819" i="1" s="1"/>
  <c r="X818" i="1"/>
  <c r="X819" i="1" s="1"/>
  <c r="Y818" i="1"/>
  <c r="Y819" i="1" s="1"/>
  <c r="Z818" i="1"/>
  <c r="Z819" i="1" s="1"/>
  <c r="A820" i="1"/>
  <c r="A821" i="1" s="1"/>
  <c r="B820" i="1"/>
  <c r="B821" i="1" s="1"/>
  <c r="C820" i="1"/>
  <c r="C821" i="1" s="1"/>
  <c r="D820" i="1"/>
  <c r="E820" i="1"/>
  <c r="E821" i="1" s="1"/>
  <c r="F820" i="1"/>
  <c r="F821" i="1" s="1"/>
  <c r="G820" i="1"/>
  <c r="H820" i="1"/>
  <c r="I820" i="1"/>
  <c r="J820" i="1"/>
  <c r="K820" i="1"/>
  <c r="M820" i="1"/>
  <c r="N820" i="1"/>
  <c r="P820" i="1"/>
  <c r="P821" i="1" s="1"/>
  <c r="Q820" i="1"/>
  <c r="Q821" i="1" s="1"/>
  <c r="R820" i="1"/>
  <c r="R821" i="1" s="1"/>
  <c r="S820" i="1"/>
  <c r="S821" i="1" s="1"/>
  <c r="T820" i="1"/>
  <c r="T821" i="1" s="1"/>
  <c r="V820" i="1"/>
  <c r="V821" i="1" s="1"/>
  <c r="W820" i="1"/>
  <c r="W821" i="1" s="1"/>
  <c r="X820" i="1"/>
  <c r="X821" i="1" s="1"/>
  <c r="Y820" i="1"/>
  <c r="Y821" i="1" s="1"/>
  <c r="Z820" i="1"/>
  <c r="Z821" i="1" s="1"/>
  <c r="D821" i="1"/>
  <c r="A822" i="1"/>
  <c r="A823" i="1" s="1"/>
  <c r="B822" i="1"/>
  <c r="B823" i="1" s="1"/>
  <c r="C822" i="1"/>
  <c r="C823" i="1" s="1"/>
  <c r="D822" i="1"/>
  <c r="D823" i="1" s="1"/>
  <c r="E822" i="1"/>
  <c r="E823" i="1" s="1"/>
  <c r="F822" i="1"/>
  <c r="F823" i="1" s="1"/>
  <c r="G822" i="1"/>
  <c r="H822" i="1"/>
  <c r="I822" i="1"/>
  <c r="J822" i="1"/>
  <c r="K822" i="1"/>
  <c r="M822" i="1"/>
  <c r="N822" i="1"/>
  <c r="P822" i="1"/>
  <c r="P823" i="1" s="1"/>
  <c r="Q822" i="1"/>
  <c r="Q823" i="1" s="1"/>
  <c r="R822" i="1"/>
  <c r="R823" i="1" s="1"/>
  <c r="S822" i="1"/>
  <c r="S823" i="1" s="1"/>
  <c r="T822" i="1"/>
  <c r="V822" i="1"/>
  <c r="V823" i="1" s="1"/>
  <c r="W822" i="1"/>
  <c r="W823" i="1" s="1"/>
  <c r="X822" i="1"/>
  <c r="X823" i="1" s="1"/>
  <c r="Y822" i="1"/>
  <c r="Y823" i="1" s="1"/>
  <c r="Z822" i="1"/>
  <c r="Z823" i="1" s="1"/>
  <c r="T823" i="1"/>
  <c r="A824" i="1"/>
  <c r="A825" i="1" s="1"/>
  <c r="B824" i="1"/>
  <c r="B825" i="1" s="1"/>
  <c r="C824" i="1"/>
  <c r="C825" i="1" s="1"/>
  <c r="D824" i="1"/>
  <c r="E824" i="1"/>
  <c r="F824" i="1"/>
  <c r="F825" i="1" s="1"/>
  <c r="G824" i="1"/>
  <c r="H824" i="1"/>
  <c r="I824" i="1"/>
  <c r="J824" i="1"/>
  <c r="K824" i="1"/>
  <c r="M824" i="1"/>
  <c r="N824" i="1"/>
  <c r="P824" i="1"/>
  <c r="P825" i="1" s="1"/>
  <c r="Q824" i="1"/>
  <c r="Q825" i="1" s="1"/>
  <c r="R824" i="1"/>
  <c r="R825" i="1" s="1"/>
  <c r="S824" i="1"/>
  <c r="S825" i="1" s="1"/>
  <c r="T824" i="1"/>
  <c r="T825" i="1" s="1"/>
  <c r="V824" i="1"/>
  <c r="V825" i="1" s="1"/>
  <c r="W824" i="1"/>
  <c r="W825" i="1" s="1"/>
  <c r="X824" i="1"/>
  <c r="X825" i="1" s="1"/>
  <c r="Y824" i="1"/>
  <c r="Y825" i="1" s="1"/>
  <c r="Z824" i="1"/>
  <c r="Z825" i="1" s="1"/>
  <c r="D825" i="1"/>
  <c r="A826" i="1"/>
  <c r="A827" i="1" s="1"/>
  <c r="B826" i="1"/>
  <c r="B827" i="1" s="1"/>
  <c r="C826" i="1"/>
  <c r="C827" i="1" s="1"/>
  <c r="D826" i="1"/>
  <c r="E826" i="1"/>
  <c r="E827" i="1" s="1"/>
  <c r="F826" i="1"/>
  <c r="F827" i="1" s="1"/>
  <c r="G826" i="1"/>
  <c r="H826" i="1"/>
  <c r="I826" i="1"/>
  <c r="J826" i="1"/>
  <c r="K826" i="1"/>
  <c r="M826" i="1"/>
  <c r="N826" i="1"/>
  <c r="P826" i="1"/>
  <c r="P827" i="1" s="1"/>
  <c r="Q826" i="1"/>
  <c r="Q827" i="1" s="1"/>
  <c r="R826" i="1"/>
  <c r="R827" i="1" s="1"/>
  <c r="S826" i="1"/>
  <c r="S827" i="1" s="1"/>
  <c r="T826" i="1"/>
  <c r="T827" i="1" s="1"/>
  <c r="V826" i="1"/>
  <c r="W826" i="1"/>
  <c r="W827" i="1" s="1"/>
  <c r="X826" i="1"/>
  <c r="X827" i="1" s="1"/>
  <c r="Y826" i="1"/>
  <c r="Y827" i="1" s="1"/>
  <c r="Z826" i="1"/>
  <c r="Z827" i="1" s="1"/>
  <c r="D827" i="1"/>
  <c r="V827" i="1"/>
  <c r="A828" i="1"/>
  <c r="A829" i="1" s="1"/>
  <c r="B828" i="1"/>
  <c r="B829" i="1" s="1"/>
  <c r="C828" i="1"/>
  <c r="C829" i="1" s="1"/>
  <c r="D828" i="1"/>
  <c r="D829" i="1" s="1"/>
  <c r="E828" i="1"/>
  <c r="E829" i="1" s="1"/>
  <c r="F828" i="1"/>
  <c r="G828" i="1"/>
  <c r="H828" i="1"/>
  <c r="I828" i="1"/>
  <c r="J828" i="1"/>
  <c r="K828" i="1"/>
  <c r="M828" i="1"/>
  <c r="N828" i="1"/>
  <c r="P828" i="1"/>
  <c r="P829" i="1" s="1"/>
  <c r="Q828" i="1"/>
  <c r="Q829" i="1" s="1"/>
  <c r="R828" i="1"/>
  <c r="R829" i="1" s="1"/>
  <c r="S828" i="1"/>
  <c r="S829" i="1" s="1"/>
  <c r="T828" i="1"/>
  <c r="T829" i="1" s="1"/>
  <c r="V828" i="1"/>
  <c r="V829" i="1" s="1"/>
  <c r="W828" i="1"/>
  <c r="W829" i="1" s="1"/>
  <c r="X828" i="1"/>
  <c r="X829" i="1" s="1"/>
  <c r="Y828" i="1"/>
  <c r="Y829" i="1" s="1"/>
  <c r="Z828" i="1"/>
  <c r="Z829" i="1" s="1"/>
  <c r="A830" i="1"/>
  <c r="A831" i="1" s="1"/>
  <c r="B830" i="1"/>
  <c r="B831" i="1" s="1"/>
  <c r="C830" i="1"/>
  <c r="C831" i="1" s="1"/>
  <c r="D830" i="1"/>
  <c r="D831" i="1" s="1"/>
  <c r="E830" i="1"/>
  <c r="E831" i="1" s="1"/>
  <c r="F830" i="1"/>
  <c r="F831" i="1" s="1"/>
  <c r="G830" i="1"/>
  <c r="H830" i="1"/>
  <c r="I830" i="1"/>
  <c r="J830" i="1"/>
  <c r="K830" i="1"/>
  <c r="M830" i="1"/>
  <c r="N830" i="1"/>
  <c r="P830" i="1"/>
  <c r="P831" i="1" s="1"/>
  <c r="Q830" i="1"/>
  <c r="Q831" i="1" s="1"/>
  <c r="R830" i="1"/>
  <c r="R831" i="1" s="1"/>
  <c r="S830" i="1"/>
  <c r="S831" i="1" s="1"/>
  <c r="T830" i="1"/>
  <c r="T831" i="1" s="1"/>
  <c r="V830" i="1"/>
  <c r="V831" i="1" s="1"/>
  <c r="W830" i="1"/>
  <c r="W831" i="1" s="1"/>
  <c r="X830" i="1"/>
  <c r="X831" i="1" s="1"/>
  <c r="Y830" i="1"/>
  <c r="Y831" i="1" s="1"/>
  <c r="Z830" i="1"/>
  <c r="Z831" i="1" s="1"/>
  <c r="A832" i="1"/>
  <c r="A833" i="1" s="1"/>
  <c r="B832" i="1"/>
  <c r="B833" i="1" s="1"/>
  <c r="C832" i="1"/>
  <c r="C833" i="1" s="1"/>
  <c r="D832" i="1"/>
  <c r="D833" i="1" s="1"/>
  <c r="E832" i="1"/>
  <c r="E833" i="1" s="1"/>
  <c r="F832" i="1"/>
  <c r="G832" i="1"/>
  <c r="H832" i="1"/>
  <c r="I832" i="1"/>
  <c r="J832" i="1"/>
  <c r="K832" i="1"/>
  <c r="M832" i="1"/>
  <c r="N832" i="1"/>
  <c r="P832" i="1"/>
  <c r="P833" i="1" s="1"/>
  <c r="Q832" i="1"/>
  <c r="Q833" i="1" s="1"/>
  <c r="R832" i="1"/>
  <c r="R833" i="1" s="1"/>
  <c r="S832" i="1"/>
  <c r="S833" i="1" s="1"/>
  <c r="T832" i="1"/>
  <c r="T833" i="1" s="1"/>
  <c r="V832" i="1"/>
  <c r="V833" i="1" s="1"/>
  <c r="W832" i="1"/>
  <c r="W833" i="1" s="1"/>
  <c r="X832" i="1"/>
  <c r="Y832" i="1"/>
  <c r="Y833" i="1" s="1"/>
  <c r="Z832" i="1"/>
  <c r="Z833" i="1" s="1"/>
  <c r="X833" i="1"/>
  <c r="A834" i="1"/>
  <c r="A835" i="1" s="1"/>
  <c r="B834" i="1"/>
  <c r="B835" i="1" s="1"/>
  <c r="C834" i="1"/>
  <c r="C835" i="1" s="1"/>
  <c r="D834" i="1"/>
  <c r="D835" i="1" s="1"/>
  <c r="E834" i="1"/>
  <c r="E835" i="1" s="1"/>
  <c r="F834" i="1"/>
  <c r="F835" i="1" s="1"/>
  <c r="G834" i="1"/>
  <c r="H834" i="1"/>
  <c r="I834" i="1"/>
  <c r="J834" i="1"/>
  <c r="K834" i="1"/>
  <c r="M834" i="1"/>
  <c r="N834" i="1"/>
  <c r="P834" i="1"/>
  <c r="P835" i="1" s="1"/>
  <c r="Q834" i="1"/>
  <c r="Q835" i="1" s="1"/>
  <c r="R834" i="1"/>
  <c r="R835" i="1" s="1"/>
  <c r="S834" i="1"/>
  <c r="S835" i="1" s="1"/>
  <c r="T834" i="1"/>
  <c r="T835" i="1" s="1"/>
  <c r="V834" i="1"/>
  <c r="V835" i="1" s="1"/>
  <c r="W834" i="1"/>
  <c r="W835" i="1" s="1"/>
  <c r="X834" i="1"/>
  <c r="X835" i="1" s="1"/>
  <c r="Y834" i="1"/>
  <c r="Y835" i="1" s="1"/>
  <c r="Z834" i="1"/>
  <c r="Z835" i="1" s="1"/>
  <c r="A836" i="1"/>
  <c r="A837" i="1" s="1"/>
  <c r="B836" i="1"/>
  <c r="B837" i="1" s="1"/>
  <c r="C836" i="1"/>
  <c r="C837" i="1" s="1"/>
  <c r="D836" i="1"/>
  <c r="E836" i="1"/>
  <c r="E837" i="1" s="1"/>
  <c r="F836" i="1"/>
  <c r="F837" i="1" s="1"/>
  <c r="G836" i="1"/>
  <c r="H836" i="1"/>
  <c r="I836" i="1"/>
  <c r="J836" i="1"/>
  <c r="K836" i="1"/>
  <c r="M836" i="1"/>
  <c r="N836" i="1"/>
  <c r="P836" i="1"/>
  <c r="P837" i="1" s="1"/>
  <c r="Q836" i="1"/>
  <c r="Q837" i="1" s="1"/>
  <c r="R836" i="1"/>
  <c r="R837" i="1" s="1"/>
  <c r="S836" i="1"/>
  <c r="S837" i="1" s="1"/>
  <c r="T836" i="1"/>
  <c r="T837" i="1" s="1"/>
  <c r="V836" i="1"/>
  <c r="V837" i="1" s="1"/>
  <c r="W836" i="1"/>
  <c r="W837" i="1" s="1"/>
  <c r="X836" i="1"/>
  <c r="X837" i="1" s="1"/>
  <c r="Y836" i="1"/>
  <c r="Y837" i="1" s="1"/>
  <c r="Z836" i="1"/>
  <c r="Z837" i="1" s="1"/>
  <c r="A838" i="1"/>
  <c r="A839" i="1" s="1"/>
  <c r="B838" i="1"/>
  <c r="C838" i="1"/>
  <c r="D838" i="1"/>
  <c r="D839" i="1" s="1"/>
  <c r="E838" i="1"/>
  <c r="F838" i="1"/>
  <c r="F839" i="1" s="1"/>
  <c r="G838" i="1"/>
  <c r="H838" i="1"/>
  <c r="I838" i="1"/>
  <c r="J838" i="1"/>
  <c r="K838" i="1"/>
  <c r="M838" i="1"/>
  <c r="N838" i="1"/>
  <c r="P838" i="1"/>
  <c r="P839" i="1" s="1"/>
  <c r="Q838" i="1"/>
  <c r="Q839" i="1" s="1"/>
  <c r="R838" i="1"/>
  <c r="R839" i="1" s="1"/>
  <c r="S838" i="1"/>
  <c r="S839" i="1" s="1"/>
  <c r="T838" i="1"/>
  <c r="T839" i="1" s="1"/>
  <c r="V838" i="1"/>
  <c r="V839" i="1" s="1"/>
  <c r="W838" i="1"/>
  <c r="W839" i="1" s="1"/>
  <c r="X838" i="1"/>
  <c r="X839" i="1" s="1"/>
  <c r="Y838" i="1"/>
  <c r="Z838" i="1"/>
  <c r="Z839" i="1" s="1"/>
  <c r="B839" i="1"/>
  <c r="A840" i="1"/>
  <c r="A841" i="1" s="1"/>
  <c r="B840" i="1"/>
  <c r="B841" i="1" s="1"/>
  <c r="C840" i="1"/>
  <c r="C841" i="1" s="1"/>
  <c r="D840" i="1"/>
  <c r="D841" i="1" s="1"/>
  <c r="E840" i="1"/>
  <c r="E841" i="1" s="1"/>
  <c r="F840" i="1"/>
  <c r="G840" i="1"/>
  <c r="H840" i="1"/>
  <c r="I840" i="1"/>
  <c r="J840" i="1"/>
  <c r="K840" i="1"/>
  <c r="M840" i="1"/>
  <c r="N840" i="1"/>
  <c r="P840" i="1"/>
  <c r="P841" i="1" s="1"/>
  <c r="Q840" i="1"/>
  <c r="Q841" i="1" s="1"/>
  <c r="R840" i="1"/>
  <c r="R841" i="1" s="1"/>
  <c r="S840" i="1"/>
  <c r="S841" i="1" s="1"/>
  <c r="T840" i="1"/>
  <c r="T841" i="1" s="1"/>
  <c r="V840" i="1"/>
  <c r="V841" i="1" s="1"/>
  <c r="W840" i="1"/>
  <c r="X840" i="1"/>
  <c r="X841" i="1" s="1"/>
  <c r="Y840" i="1"/>
  <c r="Y841" i="1" s="1"/>
  <c r="Z840" i="1"/>
  <c r="Z841" i="1" s="1"/>
  <c r="W841" i="1"/>
  <c r="A842" i="1"/>
  <c r="A843" i="1" s="1"/>
  <c r="B842" i="1"/>
  <c r="B843" i="1" s="1"/>
  <c r="C842" i="1"/>
  <c r="C843" i="1" s="1"/>
  <c r="D842" i="1"/>
  <c r="D843" i="1" s="1"/>
  <c r="E842" i="1"/>
  <c r="E843" i="1" s="1"/>
  <c r="F842" i="1"/>
  <c r="F843" i="1" s="1"/>
  <c r="G842" i="1"/>
  <c r="H842" i="1"/>
  <c r="I842" i="1"/>
  <c r="J842" i="1"/>
  <c r="K842" i="1"/>
  <c r="M842" i="1"/>
  <c r="N842" i="1"/>
  <c r="P842" i="1"/>
  <c r="P843" i="1" s="1"/>
  <c r="Q842" i="1"/>
  <c r="Q843" i="1" s="1"/>
  <c r="R842" i="1"/>
  <c r="R843" i="1" s="1"/>
  <c r="S842" i="1"/>
  <c r="S843" i="1" s="1"/>
  <c r="T842" i="1"/>
  <c r="T843" i="1" s="1"/>
  <c r="V842" i="1"/>
  <c r="V843" i="1" s="1"/>
  <c r="W842" i="1"/>
  <c r="W843" i="1" s="1"/>
  <c r="X842" i="1"/>
  <c r="X843" i="1" s="1"/>
  <c r="Y842" i="1"/>
  <c r="Y843" i="1" s="1"/>
  <c r="Z842" i="1"/>
  <c r="Z843" i="1" s="1"/>
  <c r="A844" i="1"/>
  <c r="A845" i="1" s="1"/>
  <c r="B844" i="1"/>
  <c r="C844" i="1"/>
  <c r="C845" i="1" s="1"/>
  <c r="D844" i="1"/>
  <c r="D845" i="1" s="1"/>
  <c r="E844" i="1"/>
  <c r="E845" i="1" s="1"/>
  <c r="F844" i="1"/>
  <c r="F845" i="1" s="1"/>
  <c r="G844" i="1"/>
  <c r="H844" i="1"/>
  <c r="I844" i="1"/>
  <c r="J844" i="1"/>
  <c r="K844" i="1"/>
  <c r="M844" i="1"/>
  <c r="N844" i="1"/>
  <c r="P844" i="1"/>
  <c r="P845" i="1" s="1"/>
  <c r="Q844" i="1"/>
  <c r="Q845" i="1" s="1"/>
  <c r="R844" i="1"/>
  <c r="R845" i="1" s="1"/>
  <c r="S844" i="1"/>
  <c r="S845" i="1" s="1"/>
  <c r="T844" i="1"/>
  <c r="T845" i="1" s="1"/>
  <c r="V844" i="1"/>
  <c r="V845" i="1" s="1"/>
  <c r="W844" i="1"/>
  <c r="W845" i="1" s="1"/>
  <c r="X844" i="1"/>
  <c r="X845" i="1" s="1"/>
  <c r="Y844" i="1"/>
  <c r="Z844" i="1"/>
  <c r="Z845" i="1" s="1"/>
  <c r="B845" i="1"/>
  <c r="A846" i="1"/>
  <c r="A847" i="1" s="1"/>
  <c r="B846" i="1"/>
  <c r="B847" i="1" s="1"/>
  <c r="C846" i="1"/>
  <c r="C847" i="1" s="1"/>
  <c r="D846" i="1"/>
  <c r="E846" i="1"/>
  <c r="F846" i="1"/>
  <c r="F847" i="1" s="1"/>
  <c r="G846" i="1"/>
  <c r="H846" i="1"/>
  <c r="I846" i="1"/>
  <c r="J846" i="1"/>
  <c r="K846" i="1"/>
  <c r="M846" i="1"/>
  <c r="N846" i="1"/>
  <c r="P846" i="1"/>
  <c r="P847" i="1" s="1"/>
  <c r="Q846" i="1"/>
  <c r="Q847" i="1" s="1"/>
  <c r="R846" i="1"/>
  <c r="R847" i="1" s="1"/>
  <c r="S846" i="1"/>
  <c r="S847" i="1" s="1"/>
  <c r="T846" i="1"/>
  <c r="T847" i="1" s="1"/>
  <c r="V846" i="1"/>
  <c r="V847" i="1" s="1"/>
  <c r="W846" i="1"/>
  <c r="W847" i="1" s="1"/>
  <c r="X846" i="1"/>
  <c r="X847" i="1" s="1"/>
  <c r="Y846" i="1"/>
  <c r="Y847" i="1" s="1"/>
  <c r="Z846" i="1"/>
  <c r="Z847" i="1" s="1"/>
  <c r="D847" i="1"/>
  <c r="A848" i="1"/>
  <c r="A849" i="1" s="1"/>
  <c r="B848" i="1"/>
  <c r="B849" i="1" s="1"/>
  <c r="C848" i="1"/>
  <c r="C849" i="1" s="1"/>
  <c r="D848" i="1"/>
  <c r="E848" i="1"/>
  <c r="E849" i="1" s="1"/>
  <c r="F848" i="1"/>
  <c r="F849" i="1" s="1"/>
  <c r="G848" i="1"/>
  <c r="H848" i="1"/>
  <c r="I848" i="1"/>
  <c r="J848" i="1"/>
  <c r="K848" i="1"/>
  <c r="M848" i="1"/>
  <c r="N848" i="1"/>
  <c r="P848" i="1"/>
  <c r="P849" i="1" s="1"/>
  <c r="Q848" i="1"/>
  <c r="Q849" i="1" s="1"/>
  <c r="R848" i="1"/>
  <c r="R849" i="1" s="1"/>
  <c r="S848" i="1"/>
  <c r="S849" i="1" s="1"/>
  <c r="T848" i="1"/>
  <c r="T849" i="1" s="1"/>
  <c r="V848" i="1"/>
  <c r="V849" i="1" s="1"/>
  <c r="W848" i="1"/>
  <c r="W849" i="1" s="1"/>
  <c r="X848" i="1"/>
  <c r="X849" i="1" s="1"/>
  <c r="Y848" i="1"/>
  <c r="Y849" i="1" s="1"/>
  <c r="Z848" i="1"/>
  <c r="Z849" i="1" s="1"/>
  <c r="D849" i="1"/>
  <c r="A850" i="1"/>
  <c r="A851" i="1" s="1"/>
  <c r="B850" i="1"/>
  <c r="C850" i="1"/>
  <c r="C851" i="1" s="1"/>
  <c r="D850" i="1"/>
  <c r="D851" i="1" s="1"/>
  <c r="E850" i="1"/>
  <c r="E851" i="1" s="1"/>
  <c r="F850" i="1"/>
  <c r="F851" i="1" s="1"/>
  <c r="G850" i="1"/>
  <c r="H850" i="1"/>
  <c r="I850" i="1"/>
  <c r="J850" i="1"/>
  <c r="K850" i="1"/>
  <c r="M850" i="1"/>
  <c r="N850" i="1"/>
  <c r="P850" i="1"/>
  <c r="P851" i="1" s="1"/>
  <c r="Q850" i="1"/>
  <c r="Q851" i="1" s="1"/>
  <c r="R850" i="1"/>
  <c r="R851" i="1" s="1"/>
  <c r="S850" i="1"/>
  <c r="S851" i="1" s="1"/>
  <c r="T850" i="1"/>
  <c r="T851" i="1" s="1"/>
  <c r="V850" i="1"/>
  <c r="V851" i="1" s="1"/>
  <c r="W850" i="1"/>
  <c r="W851" i="1" s="1"/>
  <c r="X850" i="1"/>
  <c r="X851" i="1" s="1"/>
  <c r="Y850" i="1"/>
  <c r="Z850" i="1"/>
  <c r="Z851" i="1" s="1"/>
  <c r="B851" i="1"/>
  <c r="A852" i="1"/>
  <c r="A853" i="1" s="1"/>
  <c r="B852" i="1"/>
  <c r="B853" i="1" s="1"/>
  <c r="C852" i="1"/>
  <c r="C853" i="1" s="1"/>
  <c r="D852" i="1"/>
  <c r="D853" i="1" s="1"/>
  <c r="E852" i="1"/>
  <c r="E853" i="1" s="1"/>
  <c r="F852" i="1"/>
  <c r="F853" i="1" s="1"/>
  <c r="G852" i="1"/>
  <c r="H852" i="1"/>
  <c r="I852" i="1"/>
  <c r="J852" i="1"/>
  <c r="K852" i="1"/>
  <c r="M852" i="1"/>
  <c r="N852" i="1"/>
  <c r="P852" i="1"/>
  <c r="P853" i="1" s="1"/>
  <c r="Q852" i="1"/>
  <c r="Q853" i="1" s="1"/>
  <c r="R852" i="1"/>
  <c r="R853" i="1" s="1"/>
  <c r="S852" i="1"/>
  <c r="S853" i="1" s="1"/>
  <c r="T852" i="1"/>
  <c r="T853" i="1" s="1"/>
  <c r="V852" i="1"/>
  <c r="V853" i="1" s="1"/>
  <c r="W852" i="1"/>
  <c r="W853" i="1" s="1"/>
  <c r="X852" i="1"/>
  <c r="X853" i="1" s="1"/>
  <c r="Y852" i="1"/>
  <c r="Y853" i="1" s="1"/>
  <c r="Z852" i="1"/>
  <c r="Z853" i="1" s="1"/>
  <c r="A854" i="1"/>
  <c r="A855" i="1" s="1"/>
  <c r="B854" i="1"/>
  <c r="B855" i="1" s="1"/>
  <c r="C854" i="1"/>
  <c r="D854" i="1"/>
  <c r="E854" i="1"/>
  <c r="E855" i="1" s="1"/>
  <c r="F854" i="1"/>
  <c r="F855" i="1" s="1"/>
  <c r="G854" i="1"/>
  <c r="H854" i="1"/>
  <c r="I854" i="1"/>
  <c r="J854" i="1"/>
  <c r="K854" i="1"/>
  <c r="M854" i="1"/>
  <c r="N854" i="1"/>
  <c r="P854" i="1"/>
  <c r="P855" i="1" s="1"/>
  <c r="Q854" i="1"/>
  <c r="Q855" i="1" s="1"/>
  <c r="R854" i="1"/>
  <c r="R855" i="1" s="1"/>
  <c r="S854" i="1"/>
  <c r="S855" i="1" s="1"/>
  <c r="T854" i="1"/>
  <c r="T855" i="1" s="1"/>
  <c r="V854" i="1"/>
  <c r="V855" i="1" s="1"/>
  <c r="W854" i="1"/>
  <c r="W855" i="1" s="1"/>
  <c r="X854" i="1"/>
  <c r="X855" i="1" s="1"/>
  <c r="Y854" i="1"/>
  <c r="Y855" i="1" s="1"/>
  <c r="Z854" i="1"/>
  <c r="Z855" i="1" s="1"/>
  <c r="D855" i="1"/>
  <c r="A856" i="1"/>
  <c r="A857" i="1" s="1"/>
  <c r="B856" i="1"/>
  <c r="B857" i="1" s="1"/>
  <c r="C856" i="1"/>
  <c r="C857" i="1" s="1"/>
  <c r="D856" i="1"/>
  <c r="D857" i="1" s="1"/>
  <c r="E856" i="1"/>
  <c r="E857" i="1" s="1"/>
  <c r="F856" i="1"/>
  <c r="G856" i="1"/>
  <c r="H856" i="1"/>
  <c r="I856" i="1"/>
  <c r="J856" i="1"/>
  <c r="K856" i="1"/>
  <c r="M856" i="1"/>
  <c r="N856" i="1"/>
  <c r="P856" i="1"/>
  <c r="P857" i="1" s="1"/>
  <c r="Q856" i="1"/>
  <c r="Q857" i="1" s="1"/>
  <c r="R856" i="1"/>
  <c r="R857" i="1" s="1"/>
  <c r="S856" i="1"/>
  <c r="S857" i="1" s="1"/>
  <c r="T856" i="1"/>
  <c r="T857" i="1" s="1"/>
  <c r="V856" i="1"/>
  <c r="V857" i="1" s="1"/>
  <c r="W856" i="1"/>
  <c r="W857" i="1" s="1"/>
  <c r="X856" i="1"/>
  <c r="X857" i="1" s="1"/>
  <c r="Y856" i="1"/>
  <c r="Y857" i="1" s="1"/>
  <c r="Z856" i="1"/>
  <c r="Z857" i="1" s="1"/>
  <c r="F857" i="1"/>
  <c r="A858" i="1"/>
  <c r="A859" i="1" s="1"/>
  <c r="B858" i="1"/>
  <c r="B859" i="1" s="1"/>
  <c r="C858" i="1"/>
  <c r="C859" i="1" s="1"/>
  <c r="D858" i="1"/>
  <c r="D859" i="1" s="1"/>
  <c r="E858" i="1"/>
  <c r="E859" i="1" s="1"/>
  <c r="F858" i="1"/>
  <c r="F859" i="1" s="1"/>
  <c r="G858" i="1"/>
  <c r="H858" i="1"/>
  <c r="I858" i="1"/>
  <c r="J858" i="1"/>
  <c r="K858" i="1"/>
  <c r="M858" i="1"/>
  <c r="N858" i="1"/>
  <c r="P858" i="1"/>
  <c r="P859" i="1" s="1"/>
  <c r="Q858" i="1"/>
  <c r="Q859" i="1" s="1"/>
  <c r="R858" i="1"/>
  <c r="R859" i="1" s="1"/>
  <c r="S858" i="1"/>
  <c r="S859" i="1" s="1"/>
  <c r="T858" i="1"/>
  <c r="V858" i="1"/>
  <c r="V859" i="1" s="1"/>
  <c r="W858" i="1"/>
  <c r="W859" i="1" s="1"/>
  <c r="X858" i="1"/>
  <c r="X859" i="1" s="1"/>
  <c r="Y858" i="1"/>
  <c r="Y859" i="1" s="1"/>
  <c r="Z858" i="1"/>
  <c r="Z859" i="1" s="1"/>
  <c r="T859" i="1"/>
  <c r="A860" i="1"/>
  <c r="A861" i="1" s="1"/>
  <c r="B860" i="1"/>
  <c r="C860" i="1"/>
  <c r="C861" i="1" s="1"/>
  <c r="D860" i="1"/>
  <c r="D861" i="1" s="1"/>
  <c r="E860" i="1"/>
  <c r="E861" i="1" s="1"/>
  <c r="F860" i="1"/>
  <c r="F861" i="1" s="1"/>
  <c r="G860" i="1"/>
  <c r="H860" i="1"/>
  <c r="I860" i="1"/>
  <c r="J860" i="1"/>
  <c r="K860" i="1"/>
  <c r="M860" i="1"/>
  <c r="N860" i="1"/>
  <c r="P860" i="1"/>
  <c r="P861" i="1" s="1"/>
  <c r="Q860" i="1"/>
  <c r="Q861" i="1" s="1"/>
  <c r="R860" i="1"/>
  <c r="R861" i="1" s="1"/>
  <c r="S860" i="1"/>
  <c r="S861" i="1" s="1"/>
  <c r="T860" i="1"/>
  <c r="T861" i="1" s="1"/>
  <c r="V860" i="1"/>
  <c r="V861" i="1" s="1"/>
  <c r="W860" i="1"/>
  <c r="W861" i="1" s="1"/>
  <c r="X860" i="1"/>
  <c r="X861" i="1" s="1"/>
  <c r="Y860" i="1"/>
  <c r="Z860" i="1"/>
  <c r="Z861" i="1" s="1"/>
  <c r="B861" i="1"/>
  <c r="A862" i="1"/>
  <c r="A863" i="1" s="1"/>
  <c r="B862" i="1"/>
  <c r="B863" i="1" s="1"/>
  <c r="C862" i="1"/>
  <c r="C863" i="1" s="1"/>
  <c r="D862" i="1"/>
  <c r="E862" i="1"/>
  <c r="E863" i="1" s="1"/>
  <c r="F862" i="1"/>
  <c r="F863" i="1" s="1"/>
  <c r="G862" i="1"/>
  <c r="H862" i="1"/>
  <c r="I862" i="1"/>
  <c r="J862" i="1"/>
  <c r="K862" i="1"/>
  <c r="M862" i="1"/>
  <c r="N862" i="1"/>
  <c r="P862" i="1"/>
  <c r="P863" i="1" s="1"/>
  <c r="Q862" i="1"/>
  <c r="Q863" i="1" s="1"/>
  <c r="R862" i="1"/>
  <c r="R863" i="1" s="1"/>
  <c r="S862" i="1"/>
  <c r="S863" i="1" s="1"/>
  <c r="T862" i="1"/>
  <c r="T863" i="1" s="1"/>
  <c r="V862" i="1"/>
  <c r="V863" i="1" s="1"/>
  <c r="W862" i="1"/>
  <c r="W863" i="1" s="1"/>
  <c r="X862" i="1"/>
  <c r="X863" i="1" s="1"/>
  <c r="Y862" i="1"/>
  <c r="Y863" i="1" s="1"/>
  <c r="Z862" i="1"/>
  <c r="Z863" i="1" s="1"/>
  <c r="D863" i="1"/>
  <c r="A864" i="1"/>
  <c r="A865" i="1" s="1"/>
  <c r="B864" i="1"/>
  <c r="B865" i="1" s="1"/>
  <c r="C864" i="1"/>
  <c r="C865" i="1" s="1"/>
  <c r="D864" i="1"/>
  <c r="D865" i="1" s="1"/>
  <c r="E864" i="1"/>
  <c r="E865" i="1" s="1"/>
  <c r="F864" i="1"/>
  <c r="F865" i="1" s="1"/>
  <c r="G864" i="1"/>
  <c r="H864" i="1"/>
  <c r="I864" i="1"/>
  <c r="J864" i="1"/>
  <c r="K864" i="1"/>
  <c r="M864" i="1"/>
  <c r="N864" i="1"/>
  <c r="P864" i="1"/>
  <c r="P865" i="1" s="1"/>
  <c r="Q864" i="1"/>
  <c r="Q865" i="1" s="1"/>
  <c r="R864" i="1"/>
  <c r="R865" i="1" s="1"/>
  <c r="S864" i="1"/>
  <c r="S865" i="1" s="1"/>
  <c r="T864" i="1"/>
  <c r="T865" i="1" s="1"/>
  <c r="V864" i="1"/>
  <c r="V865" i="1" s="1"/>
  <c r="W864" i="1"/>
  <c r="W865" i="1" s="1"/>
  <c r="X864" i="1"/>
  <c r="X865" i="1" s="1"/>
  <c r="Y864" i="1"/>
  <c r="Y865" i="1" s="1"/>
  <c r="Z864" i="1"/>
  <c r="Z865" i="1" s="1"/>
  <c r="A866" i="1"/>
  <c r="A867" i="1" s="1"/>
  <c r="B866" i="1"/>
  <c r="B867" i="1" s="1"/>
  <c r="C866" i="1"/>
  <c r="C867" i="1" s="1"/>
  <c r="D866" i="1"/>
  <c r="D867" i="1" s="1"/>
  <c r="E866" i="1"/>
  <c r="F866" i="1"/>
  <c r="F867" i="1" s="1"/>
  <c r="G866" i="1"/>
  <c r="H866" i="1"/>
  <c r="I866" i="1"/>
  <c r="J866" i="1"/>
  <c r="K866" i="1"/>
  <c r="M866" i="1"/>
  <c r="N866" i="1"/>
  <c r="P866" i="1"/>
  <c r="P867" i="1" s="1"/>
  <c r="Q866" i="1"/>
  <c r="Q867" i="1" s="1"/>
  <c r="R866" i="1"/>
  <c r="R867" i="1" s="1"/>
  <c r="S866" i="1"/>
  <c r="S867" i="1" s="1"/>
  <c r="T866" i="1"/>
  <c r="T867" i="1" s="1"/>
  <c r="V866" i="1"/>
  <c r="V867" i="1" s="1"/>
  <c r="W866" i="1"/>
  <c r="W867" i="1" s="1"/>
  <c r="X866" i="1"/>
  <c r="X867" i="1" s="1"/>
  <c r="Y866" i="1"/>
  <c r="Y867" i="1" s="1"/>
  <c r="Z866" i="1"/>
  <c r="Z867" i="1" s="1"/>
  <c r="A868" i="1"/>
  <c r="A869" i="1" s="1"/>
  <c r="B868" i="1"/>
  <c r="B869" i="1" s="1"/>
  <c r="C868" i="1"/>
  <c r="D868" i="1"/>
  <c r="E868" i="1"/>
  <c r="F868" i="1"/>
  <c r="F869" i="1" s="1"/>
  <c r="G868" i="1"/>
  <c r="H868" i="1"/>
  <c r="I868" i="1"/>
  <c r="J868" i="1"/>
  <c r="K868" i="1"/>
  <c r="M868" i="1"/>
  <c r="N868" i="1"/>
  <c r="P868" i="1"/>
  <c r="P869" i="1" s="1"/>
  <c r="Q868" i="1"/>
  <c r="Q869" i="1" s="1"/>
  <c r="R868" i="1"/>
  <c r="R869" i="1" s="1"/>
  <c r="S868" i="1"/>
  <c r="S869" i="1" s="1"/>
  <c r="T868" i="1"/>
  <c r="T869" i="1" s="1"/>
  <c r="V868" i="1"/>
  <c r="V869" i="1" s="1"/>
  <c r="W868" i="1"/>
  <c r="W869" i="1" s="1"/>
  <c r="X868" i="1"/>
  <c r="X869" i="1" s="1"/>
  <c r="Y868" i="1"/>
  <c r="Y869" i="1" s="1"/>
  <c r="Z868" i="1"/>
  <c r="Z869" i="1" s="1"/>
  <c r="C869" i="1"/>
  <c r="E869" i="1"/>
  <c r="A870" i="1"/>
  <c r="A871" i="1" s="1"/>
  <c r="B870" i="1"/>
  <c r="B871" i="1" s="1"/>
  <c r="C870" i="1"/>
  <c r="C871" i="1" s="1"/>
  <c r="D870" i="1"/>
  <c r="D871" i="1" s="1"/>
  <c r="E870" i="1"/>
  <c r="F870" i="1"/>
  <c r="G870" i="1"/>
  <c r="H870" i="1"/>
  <c r="I870" i="1"/>
  <c r="J870" i="1"/>
  <c r="K870" i="1"/>
  <c r="M870" i="1"/>
  <c r="N870" i="1"/>
  <c r="P870" i="1"/>
  <c r="Q870" i="1"/>
  <c r="Q871" i="1" s="1"/>
  <c r="R870" i="1"/>
  <c r="R871" i="1" s="1"/>
  <c r="S870" i="1"/>
  <c r="S871" i="1" s="1"/>
  <c r="T870" i="1"/>
  <c r="T871" i="1" s="1"/>
  <c r="V870" i="1"/>
  <c r="V871" i="1" s="1"/>
  <c r="W870" i="1"/>
  <c r="W871" i="1" s="1"/>
  <c r="X870" i="1"/>
  <c r="X871" i="1" s="1"/>
  <c r="Y870" i="1"/>
  <c r="Y871" i="1" s="1"/>
  <c r="Z870" i="1"/>
  <c r="Z871" i="1" s="1"/>
  <c r="F871" i="1"/>
  <c r="P871" i="1"/>
  <c r="A872" i="1"/>
  <c r="A873" i="1" s="1"/>
  <c r="B872" i="1"/>
  <c r="B873" i="1" s="1"/>
  <c r="C872" i="1"/>
  <c r="C873" i="1" s="1"/>
  <c r="D872" i="1"/>
  <c r="D873" i="1" s="1"/>
  <c r="E872" i="1"/>
  <c r="E873" i="1" s="1"/>
  <c r="F872" i="1"/>
  <c r="F873" i="1" s="1"/>
  <c r="G872" i="1"/>
  <c r="H872" i="1"/>
  <c r="I872" i="1"/>
  <c r="J872" i="1"/>
  <c r="K872" i="1"/>
  <c r="M872" i="1"/>
  <c r="N872" i="1"/>
  <c r="P872" i="1"/>
  <c r="P873" i="1" s="1"/>
  <c r="Q872" i="1"/>
  <c r="Q873" i="1" s="1"/>
  <c r="R872" i="1"/>
  <c r="R873" i="1" s="1"/>
  <c r="S872" i="1"/>
  <c r="S873" i="1" s="1"/>
  <c r="T872" i="1"/>
  <c r="T873" i="1" s="1"/>
  <c r="V872" i="1"/>
  <c r="W872" i="1"/>
  <c r="W873" i="1" s="1"/>
  <c r="X872" i="1"/>
  <c r="X873" i="1" s="1"/>
  <c r="Y872" i="1"/>
  <c r="Y873" i="1" s="1"/>
  <c r="Z872" i="1"/>
  <c r="Z873" i="1" s="1"/>
  <c r="V873" i="1"/>
  <c r="A874" i="1"/>
  <c r="A875" i="1" s="1"/>
  <c r="B874" i="1"/>
  <c r="B875" i="1" s="1"/>
  <c r="C874" i="1"/>
  <c r="C875" i="1" s="1"/>
  <c r="D874" i="1"/>
  <c r="D875" i="1" s="1"/>
  <c r="E874" i="1"/>
  <c r="F874" i="1"/>
  <c r="F875" i="1" s="1"/>
  <c r="G874" i="1"/>
  <c r="H874" i="1"/>
  <c r="I874" i="1"/>
  <c r="J874" i="1"/>
  <c r="K874" i="1"/>
  <c r="M874" i="1"/>
  <c r="N874" i="1"/>
  <c r="P874" i="1"/>
  <c r="P875" i="1" s="1"/>
  <c r="Q874" i="1"/>
  <c r="Q875" i="1" s="1"/>
  <c r="R874" i="1"/>
  <c r="R875" i="1" s="1"/>
  <c r="S874" i="1"/>
  <c r="S875" i="1" s="1"/>
  <c r="T874" i="1"/>
  <c r="T875" i="1" s="1"/>
  <c r="V874" i="1"/>
  <c r="V875" i="1" s="1"/>
  <c r="W874" i="1"/>
  <c r="W875" i="1" s="1"/>
  <c r="X874" i="1"/>
  <c r="X875" i="1" s="1"/>
  <c r="Y874" i="1"/>
  <c r="Y875" i="1" s="1"/>
  <c r="Z874" i="1"/>
  <c r="Z875" i="1" s="1"/>
  <c r="E875" i="1"/>
  <c r="A876" i="1"/>
  <c r="A877" i="1" s="1"/>
  <c r="B876" i="1"/>
  <c r="B877" i="1" s="1"/>
  <c r="C876" i="1"/>
  <c r="C877" i="1" s="1"/>
  <c r="D876" i="1"/>
  <c r="E876" i="1"/>
  <c r="E877" i="1" s="1"/>
  <c r="F876" i="1"/>
  <c r="F877" i="1" s="1"/>
  <c r="G876" i="1"/>
  <c r="H876" i="1"/>
  <c r="I876" i="1"/>
  <c r="J876" i="1"/>
  <c r="K876" i="1"/>
  <c r="M876" i="1"/>
  <c r="N876" i="1"/>
  <c r="P876" i="1"/>
  <c r="P877" i="1" s="1"/>
  <c r="Q876" i="1"/>
  <c r="Q877" i="1" s="1"/>
  <c r="R876" i="1"/>
  <c r="R877" i="1" s="1"/>
  <c r="S876" i="1"/>
  <c r="S877" i="1" s="1"/>
  <c r="T876" i="1"/>
  <c r="T877" i="1" s="1"/>
  <c r="V876" i="1"/>
  <c r="V877" i="1" s="1"/>
  <c r="W876" i="1"/>
  <c r="W877" i="1" s="1"/>
  <c r="X876" i="1"/>
  <c r="X877" i="1" s="1"/>
  <c r="Y876" i="1"/>
  <c r="Y877" i="1" s="1"/>
  <c r="Z876" i="1"/>
  <c r="Z877" i="1" s="1"/>
  <c r="D877" i="1"/>
  <c r="A878" i="1"/>
  <c r="A879" i="1" s="1"/>
  <c r="B878" i="1"/>
  <c r="B879" i="1" s="1"/>
  <c r="C878" i="1"/>
  <c r="C879" i="1" s="1"/>
  <c r="D878" i="1"/>
  <c r="E878" i="1"/>
  <c r="E879" i="1" s="1"/>
  <c r="F878" i="1"/>
  <c r="F879" i="1" s="1"/>
  <c r="G878" i="1"/>
  <c r="H878" i="1"/>
  <c r="I878" i="1"/>
  <c r="J878" i="1"/>
  <c r="K878" i="1"/>
  <c r="M878" i="1"/>
  <c r="N878" i="1"/>
  <c r="P878" i="1"/>
  <c r="P879" i="1" s="1"/>
  <c r="Q878" i="1"/>
  <c r="Q879" i="1" s="1"/>
  <c r="R878" i="1"/>
  <c r="R879" i="1" s="1"/>
  <c r="S878" i="1"/>
  <c r="S879" i="1" s="1"/>
  <c r="T878" i="1"/>
  <c r="T879" i="1" s="1"/>
  <c r="V878" i="1"/>
  <c r="V879" i="1" s="1"/>
  <c r="W878" i="1"/>
  <c r="W879" i="1" s="1"/>
  <c r="X878" i="1"/>
  <c r="X879" i="1" s="1"/>
  <c r="Y878" i="1"/>
  <c r="Y879" i="1" s="1"/>
  <c r="Z878" i="1"/>
  <c r="Z879" i="1" s="1"/>
  <c r="D879" i="1"/>
  <c r="A880" i="1"/>
  <c r="A881" i="1" s="1"/>
  <c r="B880" i="1"/>
  <c r="B881" i="1" s="1"/>
  <c r="C880" i="1"/>
  <c r="C881" i="1" s="1"/>
  <c r="D880" i="1"/>
  <c r="E880" i="1"/>
  <c r="E881" i="1" s="1"/>
  <c r="F880" i="1"/>
  <c r="F881" i="1" s="1"/>
  <c r="G880" i="1"/>
  <c r="H880" i="1"/>
  <c r="I880" i="1"/>
  <c r="J880" i="1"/>
  <c r="K880" i="1"/>
  <c r="M880" i="1"/>
  <c r="N880" i="1"/>
  <c r="P880" i="1"/>
  <c r="P881" i="1" s="1"/>
  <c r="Q880" i="1"/>
  <c r="Q881" i="1" s="1"/>
  <c r="R880" i="1"/>
  <c r="R881" i="1" s="1"/>
  <c r="S880" i="1"/>
  <c r="S881" i="1" s="1"/>
  <c r="T880" i="1"/>
  <c r="T881" i="1" s="1"/>
  <c r="V880" i="1"/>
  <c r="V881" i="1" s="1"/>
  <c r="W880" i="1"/>
  <c r="W881" i="1" s="1"/>
  <c r="X880" i="1"/>
  <c r="X881" i="1" s="1"/>
  <c r="Y880" i="1"/>
  <c r="Y881" i="1" s="1"/>
  <c r="Z880" i="1"/>
  <c r="Z881" i="1" s="1"/>
  <c r="A882" i="1"/>
  <c r="A883" i="1" s="1"/>
  <c r="B882" i="1"/>
  <c r="B883" i="1" s="1"/>
  <c r="C882" i="1"/>
  <c r="C883" i="1" s="1"/>
  <c r="D882" i="1"/>
  <c r="D883" i="1" s="1"/>
  <c r="E882" i="1"/>
  <c r="E883" i="1" s="1"/>
  <c r="F882" i="1"/>
  <c r="F883" i="1" s="1"/>
  <c r="G882" i="1"/>
  <c r="H882" i="1"/>
  <c r="I882" i="1"/>
  <c r="J882" i="1"/>
  <c r="K882" i="1"/>
  <c r="M882" i="1"/>
  <c r="N882" i="1"/>
  <c r="P882" i="1"/>
  <c r="P883" i="1" s="1"/>
  <c r="Q882" i="1"/>
  <c r="Q883" i="1" s="1"/>
  <c r="R882" i="1"/>
  <c r="R883" i="1" s="1"/>
  <c r="S882" i="1"/>
  <c r="S883" i="1" s="1"/>
  <c r="T882" i="1"/>
  <c r="T883" i="1" s="1"/>
  <c r="V882" i="1"/>
  <c r="V883" i="1" s="1"/>
  <c r="W882" i="1"/>
  <c r="W883" i="1" s="1"/>
  <c r="X882" i="1"/>
  <c r="X883" i="1" s="1"/>
  <c r="Y882" i="1"/>
  <c r="Y883" i="1" s="1"/>
  <c r="Z882" i="1"/>
  <c r="Z883" i="1" s="1"/>
  <c r="A884" i="1"/>
  <c r="A885" i="1" s="1"/>
  <c r="B884" i="1"/>
  <c r="B885" i="1" s="1"/>
  <c r="C884" i="1"/>
  <c r="C885" i="1" s="1"/>
  <c r="D884" i="1"/>
  <c r="D885" i="1" s="1"/>
  <c r="E884" i="1"/>
  <c r="E885" i="1" s="1"/>
  <c r="F884" i="1"/>
  <c r="G884" i="1"/>
  <c r="H884" i="1"/>
  <c r="I884" i="1"/>
  <c r="J884" i="1"/>
  <c r="K884" i="1"/>
  <c r="M884" i="1"/>
  <c r="N884" i="1"/>
  <c r="P884" i="1"/>
  <c r="P885" i="1" s="1"/>
  <c r="Q884" i="1"/>
  <c r="Q885" i="1" s="1"/>
  <c r="R884" i="1"/>
  <c r="R885" i="1" s="1"/>
  <c r="S884" i="1"/>
  <c r="T884" i="1"/>
  <c r="T885" i="1" s="1"/>
  <c r="V884" i="1"/>
  <c r="V885" i="1" s="1"/>
  <c r="W884" i="1"/>
  <c r="W885" i="1" s="1"/>
  <c r="X884" i="1"/>
  <c r="X885" i="1" s="1"/>
  <c r="Y884" i="1"/>
  <c r="Y885" i="1" s="1"/>
  <c r="Z884" i="1"/>
  <c r="Z885" i="1" s="1"/>
  <c r="F885" i="1"/>
  <c r="S885" i="1"/>
  <c r="A886" i="1"/>
  <c r="A887" i="1" s="1"/>
  <c r="B886" i="1"/>
  <c r="B887" i="1" s="1"/>
  <c r="C886" i="1"/>
  <c r="C887" i="1" s="1"/>
  <c r="D886" i="1"/>
  <c r="D887" i="1" s="1"/>
  <c r="E886" i="1"/>
  <c r="E887" i="1" s="1"/>
  <c r="F886" i="1"/>
  <c r="F887" i="1" s="1"/>
  <c r="G886" i="1"/>
  <c r="H886" i="1"/>
  <c r="I886" i="1"/>
  <c r="J886" i="1"/>
  <c r="K886" i="1"/>
  <c r="M886" i="1"/>
  <c r="N886" i="1"/>
  <c r="P886" i="1"/>
  <c r="P887" i="1" s="1"/>
  <c r="Q886" i="1"/>
  <c r="Q887" i="1" s="1"/>
  <c r="R886" i="1"/>
  <c r="R887" i="1" s="1"/>
  <c r="S886" i="1"/>
  <c r="S887" i="1" s="1"/>
  <c r="T886" i="1"/>
  <c r="T887" i="1" s="1"/>
  <c r="V886" i="1"/>
  <c r="V887" i="1" s="1"/>
  <c r="W886" i="1"/>
  <c r="W887" i="1" s="1"/>
  <c r="X886" i="1"/>
  <c r="X887" i="1" s="1"/>
  <c r="Y886" i="1"/>
  <c r="Y887" i="1" s="1"/>
  <c r="Z886" i="1"/>
  <c r="Z887" i="1" s="1"/>
  <c r="A888" i="1"/>
  <c r="A889" i="1" s="1"/>
  <c r="B888" i="1"/>
  <c r="B889" i="1" s="1"/>
  <c r="C888" i="1"/>
  <c r="C889" i="1" s="1"/>
  <c r="D888" i="1"/>
  <c r="D889" i="1" s="1"/>
  <c r="E888" i="1"/>
  <c r="E889" i="1" s="1"/>
  <c r="F888" i="1"/>
  <c r="G888" i="1"/>
  <c r="H888" i="1"/>
  <c r="I888" i="1"/>
  <c r="J888" i="1"/>
  <c r="K888" i="1"/>
  <c r="M888" i="1"/>
  <c r="N888" i="1"/>
  <c r="P888" i="1"/>
  <c r="P889" i="1" s="1"/>
  <c r="Q888" i="1"/>
  <c r="Q889" i="1" s="1"/>
  <c r="R888" i="1"/>
  <c r="R889" i="1" s="1"/>
  <c r="S888" i="1"/>
  <c r="S889" i="1" s="1"/>
  <c r="T888" i="1"/>
  <c r="T889" i="1" s="1"/>
  <c r="V888" i="1"/>
  <c r="V889" i="1" s="1"/>
  <c r="W888" i="1"/>
  <c r="W889" i="1" s="1"/>
  <c r="X888" i="1"/>
  <c r="X889" i="1" s="1"/>
  <c r="Y888" i="1"/>
  <c r="Y889" i="1" s="1"/>
  <c r="Z888" i="1"/>
  <c r="Z889" i="1" s="1"/>
  <c r="A890" i="1"/>
  <c r="A891" i="1" s="1"/>
  <c r="B890" i="1"/>
  <c r="B891" i="1" s="1"/>
  <c r="C890" i="1"/>
  <c r="C891" i="1" s="1"/>
  <c r="D890" i="1"/>
  <c r="D891" i="1" s="1"/>
  <c r="E890" i="1"/>
  <c r="E891" i="1" s="1"/>
  <c r="F890" i="1"/>
  <c r="F891" i="1" s="1"/>
  <c r="G890" i="1"/>
  <c r="H890" i="1"/>
  <c r="I890" i="1"/>
  <c r="J890" i="1"/>
  <c r="K890" i="1"/>
  <c r="M890" i="1"/>
  <c r="N890" i="1"/>
  <c r="P890" i="1"/>
  <c r="P891" i="1" s="1"/>
  <c r="Q890" i="1"/>
  <c r="Q891" i="1" s="1"/>
  <c r="R890" i="1"/>
  <c r="R891" i="1" s="1"/>
  <c r="S890" i="1"/>
  <c r="S891" i="1" s="1"/>
  <c r="T890" i="1"/>
  <c r="T891" i="1" s="1"/>
  <c r="V890" i="1"/>
  <c r="V891" i="1" s="1"/>
  <c r="W890" i="1"/>
  <c r="W891" i="1" s="1"/>
  <c r="X890" i="1"/>
  <c r="X891" i="1" s="1"/>
  <c r="Y890" i="1"/>
  <c r="Y891" i="1" s="1"/>
  <c r="Z890" i="1"/>
  <c r="Z891" i="1" s="1"/>
  <c r="A892" i="1"/>
  <c r="A893" i="1" s="1"/>
  <c r="B892" i="1"/>
  <c r="B893" i="1" s="1"/>
  <c r="C892" i="1"/>
  <c r="C893" i="1" s="1"/>
  <c r="D892" i="1"/>
  <c r="E892" i="1"/>
  <c r="E893" i="1" s="1"/>
  <c r="F892" i="1"/>
  <c r="F893" i="1" s="1"/>
  <c r="G892" i="1"/>
  <c r="H892" i="1"/>
  <c r="I892" i="1"/>
  <c r="J892" i="1"/>
  <c r="K892" i="1"/>
  <c r="M892" i="1"/>
  <c r="N892" i="1"/>
  <c r="P892" i="1"/>
  <c r="P893" i="1" s="1"/>
  <c r="Q892" i="1"/>
  <c r="Q893" i="1" s="1"/>
  <c r="R892" i="1"/>
  <c r="R893" i="1" s="1"/>
  <c r="S892" i="1"/>
  <c r="S893" i="1" s="1"/>
  <c r="T892" i="1"/>
  <c r="T893" i="1" s="1"/>
  <c r="V892" i="1"/>
  <c r="V893" i="1" s="1"/>
  <c r="W892" i="1"/>
  <c r="W893" i="1" s="1"/>
  <c r="X892" i="1"/>
  <c r="X893" i="1" s="1"/>
  <c r="Y892" i="1"/>
  <c r="Y893" i="1" s="1"/>
  <c r="Z892" i="1"/>
  <c r="Z893" i="1" s="1"/>
  <c r="D893" i="1"/>
  <c r="A894" i="1"/>
  <c r="A895" i="1" s="1"/>
  <c r="B894" i="1"/>
  <c r="B895" i="1" s="1"/>
  <c r="C894" i="1"/>
  <c r="C895" i="1" s="1"/>
  <c r="D894" i="1"/>
  <c r="D895" i="1" s="1"/>
  <c r="E894" i="1"/>
  <c r="E895" i="1" s="1"/>
  <c r="F894" i="1"/>
  <c r="G894" i="1"/>
  <c r="H894" i="1"/>
  <c r="I894" i="1"/>
  <c r="J894" i="1"/>
  <c r="K894" i="1"/>
  <c r="M894" i="1"/>
  <c r="N894" i="1"/>
  <c r="P894" i="1"/>
  <c r="P895" i="1" s="1"/>
  <c r="Q894" i="1"/>
  <c r="Q895" i="1" s="1"/>
  <c r="R894" i="1"/>
  <c r="R895" i="1" s="1"/>
  <c r="S894" i="1"/>
  <c r="S895" i="1" s="1"/>
  <c r="T894" i="1"/>
  <c r="T895" i="1" s="1"/>
  <c r="V894" i="1"/>
  <c r="V895" i="1" s="1"/>
  <c r="W894" i="1"/>
  <c r="W895" i="1" s="1"/>
  <c r="X894" i="1"/>
  <c r="X895" i="1" s="1"/>
  <c r="Y894" i="1"/>
  <c r="Y895" i="1" s="1"/>
  <c r="Z894" i="1"/>
  <c r="Z895" i="1" s="1"/>
  <c r="A896" i="1"/>
  <c r="A897" i="1" s="1"/>
  <c r="B896" i="1"/>
  <c r="B897" i="1" s="1"/>
  <c r="C896" i="1"/>
  <c r="C897" i="1" s="1"/>
  <c r="D896" i="1"/>
  <c r="D897" i="1" s="1"/>
  <c r="E896" i="1"/>
  <c r="E897" i="1" s="1"/>
  <c r="F896" i="1"/>
  <c r="F897" i="1" s="1"/>
  <c r="G896" i="1"/>
  <c r="H896" i="1"/>
  <c r="I896" i="1"/>
  <c r="J896" i="1"/>
  <c r="K896" i="1"/>
  <c r="M896" i="1"/>
  <c r="N896" i="1"/>
  <c r="P896" i="1"/>
  <c r="P897" i="1" s="1"/>
  <c r="Q896" i="1"/>
  <c r="Q897" i="1" s="1"/>
  <c r="R896" i="1"/>
  <c r="R897" i="1" s="1"/>
  <c r="S896" i="1"/>
  <c r="S897" i="1" s="1"/>
  <c r="T896" i="1"/>
  <c r="T897" i="1" s="1"/>
  <c r="V896" i="1"/>
  <c r="V897" i="1" s="1"/>
  <c r="W896" i="1"/>
  <c r="W897" i="1" s="1"/>
  <c r="X896" i="1"/>
  <c r="X897" i="1" s="1"/>
  <c r="Y896" i="1"/>
  <c r="Y897" i="1" s="1"/>
  <c r="Z896" i="1"/>
  <c r="Z897" i="1" s="1"/>
  <c r="A898" i="1"/>
  <c r="A899" i="1" s="1"/>
  <c r="B898" i="1"/>
  <c r="B899" i="1" s="1"/>
  <c r="C898" i="1"/>
  <c r="C899" i="1" s="1"/>
  <c r="D898" i="1"/>
  <c r="D899" i="1" s="1"/>
  <c r="E898" i="1"/>
  <c r="E899" i="1" s="1"/>
  <c r="F898" i="1"/>
  <c r="F899" i="1" s="1"/>
  <c r="G898" i="1"/>
  <c r="H898" i="1"/>
  <c r="I898" i="1"/>
  <c r="J898" i="1"/>
  <c r="K898" i="1"/>
  <c r="M898" i="1"/>
  <c r="N898" i="1"/>
  <c r="P898" i="1"/>
  <c r="Q898" i="1"/>
  <c r="R898" i="1"/>
  <c r="R899" i="1" s="1"/>
  <c r="S898" i="1"/>
  <c r="S899" i="1" s="1"/>
  <c r="T898" i="1"/>
  <c r="T899" i="1" s="1"/>
  <c r="V898" i="1"/>
  <c r="V899" i="1" s="1"/>
  <c r="W898" i="1"/>
  <c r="W899" i="1" s="1"/>
  <c r="X898" i="1"/>
  <c r="X899" i="1" s="1"/>
  <c r="Y898" i="1"/>
  <c r="Y899" i="1" s="1"/>
  <c r="Z898" i="1"/>
  <c r="Z899" i="1" s="1"/>
  <c r="P899" i="1"/>
  <c r="Q899" i="1"/>
  <c r="A900" i="1"/>
  <c r="A901" i="1" s="1"/>
  <c r="B900" i="1"/>
  <c r="B901" i="1" s="1"/>
  <c r="C900" i="1"/>
  <c r="C901" i="1" s="1"/>
  <c r="D900" i="1"/>
  <c r="D901" i="1" s="1"/>
  <c r="E900" i="1"/>
  <c r="E901" i="1" s="1"/>
  <c r="F900" i="1"/>
  <c r="F901" i="1" s="1"/>
  <c r="G900" i="1"/>
  <c r="H900" i="1"/>
  <c r="I900" i="1"/>
  <c r="J900" i="1"/>
  <c r="K900" i="1"/>
  <c r="M900" i="1"/>
  <c r="N900" i="1"/>
  <c r="P900" i="1"/>
  <c r="P901" i="1" s="1"/>
  <c r="Q900" i="1"/>
  <c r="Q901" i="1" s="1"/>
  <c r="R900" i="1"/>
  <c r="R901" i="1" s="1"/>
  <c r="S900" i="1"/>
  <c r="S901" i="1" s="1"/>
  <c r="T900" i="1"/>
  <c r="T901" i="1" s="1"/>
  <c r="V900" i="1"/>
  <c r="V901" i="1" s="1"/>
  <c r="W900" i="1"/>
  <c r="W901" i="1" s="1"/>
  <c r="X900" i="1"/>
  <c r="X901" i="1" s="1"/>
  <c r="Y900" i="1"/>
  <c r="Y901" i="1" s="1"/>
  <c r="Z900" i="1"/>
  <c r="Z901" i="1" s="1"/>
  <c r="A902" i="1"/>
  <c r="A903" i="1" s="1"/>
  <c r="B902" i="1"/>
  <c r="B903" i="1" s="1"/>
  <c r="C902" i="1"/>
  <c r="C903" i="1" s="1"/>
  <c r="D902" i="1"/>
  <c r="E902" i="1"/>
  <c r="E903" i="1" s="1"/>
  <c r="F902" i="1"/>
  <c r="G902" i="1"/>
  <c r="H902" i="1"/>
  <c r="I902" i="1"/>
  <c r="J902" i="1"/>
  <c r="K902" i="1"/>
  <c r="M902" i="1"/>
  <c r="N902" i="1"/>
  <c r="P902" i="1"/>
  <c r="P903" i="1" s="1"/>
  <c r="Q902" i="1"/>
  <c r="Q903" i="1" s="1"/>
  <c r="R902" i="1"/>
  <c r="R903" i="1" s="1"/>
  <c r="S902" i="1"/>
  <c r="S903" i="1" s="1"/>
  <c r="T902" i="1"/>
  <c r="T903" i="1" s="1"/>
  <c r="V902" i="1"/>
  <c r="V903" i="1" s="1"/>
  <c r="W902" i="1"/>
  <c r="W903" i="1" s="1"/>
  <c r="X902" i="1"/>
  <c r="X903" i="1" s="1"/>
  <c r="Y902" i="1"/>
  <c r="Y903" i="1" s="1"/>
  <c r="Z902" i="1"/>
  <c r="Z903" i="1" s="1"/>
  <c r="A904" i="1"/>
  <c r="A905" i="1" s="1"/>
  <c r="B904" i="1"/>
  <c r="B905" i="1" s="1"/>
  <c r="C904" i="1"/>
  <c r="C905" i="1" s="1"/>
  <c r="D904" i="1"/>
  <c r="E904" i="1"/>
  <c r="E905" i="1" s="1"/>
  <c r="F904" i="1"/>
  <c r="F905" i="1" s="1"/>
  <c r="G904" i="1"/>
  <c r="H904" i="1"/>
  <c r="I904" i="1"/>
  <c r="J904" i="1"/>
  <c r="K904" i="1"/>
  <c r="M904" i="1"/>
  <c r="N904" i="1"/>
  <c r="P904" i="1"/>
  <c r="P905" i="1" s="1"/>
  <c r="Q904" i="1"/>
  <c r="Q905" i="1" s="1"/>
  <c r="R904" i="1"/>
  <c r="R905" i="1" s="1"/>
  <c r="S904" i="1"/>
  <c r="S905" i="1" s="1"/>
  <c r="T904" i="1"/>
  <c r="T905" i="1" s="1"/>
  <c r="V904" i="1"/>
  <c r="V905" i="1" s="1"/>
  <c r="W904" i="1"/>
  <c r="W905" i="1" s="1"/>
  <c r="X904" i="1"/>
  <c r="X905" i="1" s="1"/>
  <c r="Y904" i="1"/>
  <c r="Y905" i="1" s="1"/>
  <c r="Z904" i="1"/>
  <c r="Z905" i="1" s="1"/>
  <c r="D905" i="1"/>
  <c r="A906" i="1"/>
  <c r="A907" i="1" s="1"/>
  <c r="B906" i="1"/>
  <c r="B907" i="1" s="1"/>
  <c r="C906" i="1"/>
  <c r="C907" i="1" s="1"/>
  <c r="D906" i="1"/>
  <c r="E906" i="1"/>
  <c r="E907" i="1" s="1"/>
  <c r="F906" i="1"/>
  <c r="F907" i="1" s="1"/>
  <c r="G906" i="1"/>
  <c r="H906" i="1"/>
  <c r="I906" i="1"/>
  <c r="J906" i="1"/>
  <c r="K906" i="1"/>
  <c r="M906" i="1"/>
  <c r="N906" i="1"/>
  <c r="P906" i="1"/>
  <c r="P907" i="1" s="1"/>
  <c r="Q906" i="1"/>
  <c r="Q907" i="1" s="1"/>
  <c r="R906" i="1"/>
  <c r="R907" i="1" s="1"/>
  <c r="S906" i="1"/>
  <c r="S907" i="1" s="1"/>
  <c r="T906" i="1"/>
  <c r="T907" i="1" s="1"/>
  <c r="V906" i="1"/>
  <c r="V907" i="1" s="1"/>
  <c r="W906" i="1"/>
  <c r="W907" i="1" s="1"/>
  <c r="X906" i="1"/>
  <c r="X907" i="1" s="1"/>
  <c r="Y906" i="1"/>
  <c r="Y907" i="1" s="1"/>
  <c r="Z906" i="1"/>
  <c r="Z907" i="1" s="1"/>
  <c r="A908" i="1"/>
  <c r="A909" i="1" s="1"/>
  <c r="B908" i="1"/>
  <c r="C908" i="1"/>
  <c r="C909" i="1" s="1"/>
  <c r="D908" i="1"/>
  <c r="D909" i="1" s="1"/>
  <c r="E908" i="1"/>
  <c r="E909" i="1" s="1"/>
  <c r="F908" i="1"/>
  <c r="F909" i="1" s="1"/>
  <c r="G908" i="1"/>
  <c r="H908" i="1"/>
  <c r="I908" i="1"/>
  <c r="J908" i="1"/>
  <c r="K908" i="1"/>
  <c r="M908" i="1"/>
  <c r="N908" i="1"/>
  <c r="P908" i="1"/>
  <c r="P909" i="1" s="1"/>
  <c r="Q908" i="1"/>
  <c r="Q909" i="1" s="1"/>
  <c r="R908" i="1"/>
  <c r="R909" i="1" s="1"/>
  <c r="S908" i="1"/>
  <c r="S909" i="1" s="1"/>
  <c r="T908" i="1"/>
  <c r="T909" i="1" s="1"/>
  <c r="V908" i="1"/>
  <c r="V909" i="1" s="1"/>
  <c r="W908" i="1"/>
  <c r="W909" i="1" s="1"/>
  <c r="X908" i="1"/>
  <c r="X909" i="1" s="1"/>
  <c r="Y908" i="1"/>
  <c r="Z908" i="1"/>
  <c r="Z909" i="1" s="1"/>
  <c r="B909" i="1"/>
  <c r="A910" i="1"/>
  <c r="A911" i="1" s="1"/>
  <c r="B910" i="1"/>
  <c r="C910" i="1"/>
  <c r="C911" i="1" s="1"/>
  <c r="D910" i="1"/>
  <c r="D911" i="1" s="1"/>
  <c r="E910" i="1"/>
  <c r="E911" i="1" s="1"/>
  <c r="F910" i="1"/>
  <c r="F911" i="1" s="1"/>
  <c r="G910" i="1"/>
  <c r="H910" i="1"/>
  <c r="I910" i="1"/>
  <c r="J910" i="1"/>
  <c r="K910" i="1"/>
  <c r="M910" i="1"/>
  <c r="N910" i="1"/>
  <c r="P910" i="1"/>
  <c r="P911" i="1" s="1"/>
  <c r="Q910" i="1"/>
  <c r="Q911" i="1" s="1"/>
  <c r="R910" i="1"/>
  <c r="R911" i="1" s="1"/>
  <c r="S910" i="1"/>
  <c r="S911" i="1" s="1"/>
  <c r="T910" i="1"/>
  <c r="T911" i="1" s="1"/>
  <c r="V910" i="1"/>
  <c r="V911" i="1" s="1"/>
  <c r="W910" i="1"/>
  <c r="W911" i="1" s="1"/>
  <c r="X910" i="1"/>
  <c r="X911" i="1" s="1"/>
  <c r="Y910" i="1"/>
  <c r="Z910" i="1"/>
  <c r="Z911" i="1" s="1"/>
  <c r="B911" i="1"/>
  <c r="A912" i="1"/>
  <c r="A913" i="1" s="1"/>
  <c r="B912" i="1"/>
  <c r="B913" i="1" s="1"/>
  <c r="C912" i="1"/>
  <c r="C913" i="1" s="1"/>
  <c r="D912" i="1"/>
  <c r="D913" i="1" s="1"/>
  <c r="E912" i="1"/>
  <c r="E913" i="1" s="1"/>
  <c r="F912" i="1"/>
  <c r="F913" i="1" s="1"/>
  <c r="G912" i="1"/>
  <c r="H912" i="1"/>
  <c r="I912" i="1"/>
  <c r="J912" i="1"/>
  <c r="K912" i="1"/>
  <c r="M912" i="1"/>
  <c r="N912" i="1"/>
  <c r="P912" i="1"/>
  <c r="P913" i="1" s="1"/>
  <c r="Q912" i="1"/>
  <c r="Q913" i="1" s="1"/>
  <c r="R912" i="1"/>
  <c r="R913" i="1" s="1"/>
  <c r="S912" i="1"/>
  <c r="S913" i="1" s="1"/>
  <c r="T912" i="1"/>
  <c r="T913" i="1" s="1"/>
  <c r="V912" i="1"/>
  <c r="V913" i="1" s="1"/>
  <c r="W912" i="1"/>
  <c r="W913" i="1" s="1"/>
  <c r="X912" i="1"/>
  <c r="X913" i="1" s="1"/>
  <c r="Y912" i="1"/>
  <c r="Y913" i="1" s="1"/>
  <c r="Z912" i="1"/>
  <c r="Z913" i="1" s="1"/>
  <c r="A914" i="1"/>
  <c r="A915" i="1" s="1"/>
  <c r="B914" i="1"/>
  <c r="C914" i="1"/>
  <c r="C915" i="1" s="1"/>
  <c r="D914" i="1"/>
  <c r="D915" i="1" s="1"/>
  <c r="E914" i="1"/>
  <c r="E915" i="1" s="1"/>
  <c r="F914" i="1"/>
  <c r="F915" i="1" s="1"/>
  <c r="G914" i="1"/>
  <c r="H914" i="1"/>
  <c r="I914" i="1"/>
  <c r="J914" i="1"/>
  <c r="K914" i="1"/>
  <c r="M914" i="1"/>
  <c r="N914" i="1"/>
  <c r="P914" i="1"/>
  <c r="P915" i="1" s="1"/>
  <c r="Q914" i="1"/>
  <c r="Q915" i="1" s="1"/>
  <c r="R914" i="1"/>
  <c r="R915" i="1" s="1"/>
  <c r="S914" i="1"/>
  <c r="S915" i="1" s="1"/>
  <c r="T914" i="1"/>
  <c r="T915" i="1" s="1"/>
  <c r="V914" i="1"/>
  <c r="V915" i="1" s="1"/>
  <c r="W914" i="1"/>
  <c r="W915" i="1" s="1"/>
  <c r="X914" i="1"/>
  <c r="X915" i="1" s="1"/>
  <c r="Y914" i="1"/>
  <c r="Z914" i="1"/>
  <c r="Z915" i="1" s="1"/>
  <c r="B915" i="1"/>
  <c r="A916" i="1"/>
  <c r="A917" i="1" s="1"/>
  <c r="B916" i="1"/>
  <c r="B917" i="1" s="1"/>
  <c r="C916" i="1"/>
  <c r="C917" i="1" s="1"/>
  <c r="D916" i="1"/>
  <c r="D917" i="1" s="1"/>
  <c r="E916" i="1"/>
  <c r="E917" i="1" s="1"/>
  <c r="F916" i="1"/>
  <c r="F917" i="1" s="1"/>
  <c r="G916" i="1"/>
  <c r="H916" i="1"/>
  <c r="I916" i="1"/>
  <c r="J916" i="1"/>
  <c r="K916" i="1"/>
  <c r="M916" i="1"/>
  <c r="N916" i="1"/>
  <c r="P916" i="1"/>
  <c r="P917" i="1" s="1"/>
  <c r="Q916" i="1"/>
  <c r="Q917" i="1" s="1"/>
  <c r="R916" i="1"/>
  <c r="R917" i="1" s="1"/>
  <c r="S916" i="1"/>
  <c r="S917" i="1" s="1"/>
  <c r="T916" i="1"/>
  <c r="T917" i="1" s="1"/>
  <c r="V916" i="1"/>
  <c r="V917" i="1" s="1"/>
  <c r="W916" i="1"/>
  <c r="W917" i="1" s="1"/>
  <c r="X916" i="1"/>
  <c r="X917" i="1" s="1"/>
  <c r="Y916" i="1"/>
  <c r="Y917" i="1" s="1"/>
  <c r="Z916" i="1"/>
  <c r="Z917" i="1" s="1"/>
  <c r="A918" i="1"/>
  <c r="A919" i="1" s="1"/>
  <c r="B918" i="1"/>
  <c r="B919" i="1" s="1"/>
  <c r="C918" i="1"/>
  <c r="C919" i="1" s="1"/>
  <c r="D918" i="1"/>
  <c r="E918" i="1"/>
  <c r="E919" i="1" s="1"/>
  <c r="F918" i="1"/>
  <c r="F919" i="1" s="1"/>
  <c r="G918" i="1"/>
  <c r="H918" i="1"/>
  <c r="I918" i="1"/>
  <c r="J918" i="1"/>
  <c r="K918" i="1"/>
  <c r="M918" i="1"/>
  <c r="N918" i="1"/>
  <c r="P918" i="1"/>
  <c r="P919" i="1" s="1"/>
  <c r="Q918" i="1"/>
  <c r="Q919" i="1" s="1"/>
  <c r="R918" i="1"/>
  <c r="R919" i="1" s="1"/>
  <c r="S918" i="1"/>
  <c r="S919" i="1" s="1"/>
  <c r="T918" i="1"/>
  <c r="T919" i="1" s="1"/>
  <c r="V918" i="1"/>
  <c r="V919" i="1" s="1"/>
  <c r="W918" i="1"/>
  <c r="W919" i="1" s="1"/>
  <c r="X918" i="1"/>
  <c r="X919" i="1" s="1"/>
  <c r="Y918" i="1"/>
  <c r="Y919" i="1" s="1"/>
  <c r="Z918" i="1"/>
  <c r="Z919" i="1" s="1"/>
  <c r="A920" i="1"/>
  <c r="A921" i="1" s="1"/>
  <c r="B920" i="1"/>
  <c r="B921" i="1" s="1"/>
  <c r="C920" i="1"/>
  <c r="C921" i="1" s="1"/>
  <c r="D920" i="1"/>
  <c r="E920" i="1"/>
  <c r="E921" i="1" s="1"/>
  <c r="F920" i="1"/>
  <c r="F921" i="1" s="1"/>
  <c r="G920" i="1"/>
  <c r="H920" i="1"/>
  <c r="I920" i="1"/>
  <c r="J920" i="1"/>
  <c r="K920" i="1"/>
  <c r="M920" i="1"/>
  <c r="N920" i="1"/>
  <c r="P920" i="1"/>
  <c r="P921" i="1" s="1"/>
  <c r="Q920" i="1"/>
  <c r="Q921" i="1" s="1"/>
  <c r="R920" i="1"/>
  <c r="R921" i="1" s="1"/>
  <c r="S920" i="1"/>
  <c r="S921" i="1" s="1"/>
  <c r="T920" i="1"/>
  <c r="T921" i="1" s="1"/>
  <c r="V920" i="1"/>
  <c r="V921" i="1" s="1"/>
  <c r="W920" i="1"/>
  <c r="W921" i="1" s="1"/>
  <c r="X920" i="1"/>
  <c r="X921" i="1" s="1"/>
  <c r="Y920" i="1"/>
  <c r="Y921" i="1" s="1"/>
  <c r="Z920" i="1"/>
  <c r="Z921" i="1" s="1"/>
  <c r="D921" i="1"/>
  <c r="A922" i="1"/>
  <c r="A923" i="1" s="1"/>
  <c r="B922" i="1"/>
  <c r="B923" i="1" s="1"/>
  <c r="C922" i="1"/>
  <c r="C923" i="1" s="1"/>
  <c r="D922" i="1"/>
  <c r="E922" i="1"/>
  <c r="E923" i="1" s="1"/>
  <c r="F922" i="1"/>
  <c r="F923" i="1" s="1"/>
  <c r="G922" i="1"/>
  <c r="H922" i="1"/>
  <c r="I922" i="1"/>
  <c r="J922" i="1"/>
  <c r="K922" i="1"/>
  <c r="M922" i="1"/>
  <c r="N922" i="1"/>
  <c r="P922" i="1"/>
  <c r="P923" i="1" s="1"/>
  <c r="Q922" i="1"/>
  <c r="Q923" i="1" s="1"/>
  <c r="R922" i="1"/>
  <c r="R923" i="1" s="1"/>
  <c r="S922" i="1"/>
  <c r="S923" i="1" s="1"/>
  <c r="T922" i="1"/>
  <c r="T923" i="1" s="1"/>
  <c r="V922" i="1"/>
  <c r="V923" i="1" s="1"/>
  <c r="W922" i="1"/>
  <c r="W923" i="1" s="1"/>
  <c r="X922" i="1"/>
  <c r="X923" i="1" s="1"/>
  <c r="Y922" i="1"/>
  <c r="Y923" i="1" s="1"/>
  <c r="Z922" i="1"/>
  <c r="Z923" i="1" s="1"/>
  <c r="A924" i="1"/>
  <c r="A925" i="1" s="1"/>
  <c r="B924" i="1"/>
  <c r="B925" i="1" s="1"/>
  <c r="C924" i="1"/>
  <c r="C925" i="1" s="1"/>
  <c r="D924" i="1"/>
  <c r="E924" i="1"/>
  <c r="E925" i="1" s="1"/>
  <c r="F924" i="1"/>
  <c r="F925" i="1" s="1"/>
  <c r="G924" i="1"/>
  <c r="H924" i="1"/>
  <c r="I924" i="1"/>
  <c r="J924" i="1"/>
  <c r="K924" i="1"/>
  <c r="M924" i="1"/>
  <c r="N924" i="1"/>
  <c r="P924" i="1"/>
  <c r="P925" i="1" s="1"/>
  <c r="Q924" i="1"/>
  <c r="Q925" i="1" s="1"/>
  <c r="R924" i="1"/>
  <c r="R925" i="1" s="1"/>
  <c r="S924" i="1"/>
  <c r="S925" i="1" s="1"/>
  <c r="T924" i="1"/>
  <c r="T925" i="1" s="1"/>
  <c r="V924" i="1"/>
  <c r="V925" i="1" s="1"/>
  <c r="W924" i="1"/>
  <c r="W925" i="1" s="1"/>
  <c r="X924" i="1"/>
  <c r="X925" i="1" s="1"/>
  <c r="Y924" i="1"/>
  <c r="Y925" i="1" s="1"/>
  <c r="Z924" i="1"/>
  <c r="Z925" i="1" s="1"/>
  <c r="D925" i="1"/>
  <c r="A926" i="1"/>
  <c r="A927" i="1" s="1"/>
  <c r="B926" i="1"/>
  <c r="B927" i="1" s="1"/>
  <c r="C926" i="1"/>
  <c r="C927" i="1" s="1"/>
  <c r="D926" i="1"/>
  <c r="E926" i="1"/>
  <c r="E927" i="1" s="1"/>
  <c r="F926" i="1"/>
  <c r="F927" i="1" s="1"/>
  <c r="G926" i="1"/>
  <c r="H926" i="1"/>
  <c r="I926" i="1"/>
  <c r="J926" i="1"/>
  <c r="K926" i="1"/>
  <c r="M926" i="1"/>
  <c r="N926" i="1"/>
  <c r="P926" i="1"/>
  <c r="P927" i="1" s="1"/>
  <c r="Q926" i="1"/>
  <c r="Q927" i="1" s="1"/>
  <c r="R926" i="1"/>
  <c r="R927" i="1" s="1"/>
  <c r="S926" i="1"/>
  <c r="S927" i="1" s="1"/>
  <c r="T926" i="1"/>
  <c r="T927" i="1" s="1"/>
  <c r="V926" i="1"/>
  <c r="V927" i="1" s="1"/>
  <c r="W926" i="1"/>
  <c r="W927" i="1" s="1"/>
  <c r="X926" i="1"/>
  <c r="X927" i="1" s="1"/>
  <c r="Y926" i="1"/>
  <c r="Y927" i="1" s="1"/>
  <c r="Z926" i="1"/>
  <c r="Z927" i="1" s="1"/>
  <c r="D927" i="1"/>
  <c r="A928" i="1"/>
  <c r="A929" i="1" s="1"/>
  <c r="B928" i="1"/>
  <c r="B929" i="1" s="1"/>
  <c r="C928" i="1"/>
  <c r="C929" i="1" s="1"/>
  <c r="D928" i="1"/>
  <c r="D929" i="1" s="1"/>
  <c r="E928" i="1"/>
  <c r="E929" i="1" s="1"/>
  <c r="F928" i="1"/>
  <c r="F929" i="1" s="1"/>
  <c r="G928" i="1"/>
  <c r="H928" i="1"/>
  <c r="I928" i="1"/>
  <c r="J928" i="1"/>
  <c r="K928" i="1"/>
  <c r="M928" i="1"/>
  <c r="N928" i="1"/>
  <c r="P928" i="1"/>
  <c r="P929" i="1" s="1"/>
  <c r="Q928" i="1"/>
  <c r="Q929" i="1" s="1"/>
  <c r="R928" i="1"/>
  <c r="R929" i="1" s="1"/>
  <c r="S928" i="1"/>
  <c r="S929" i="1" s="1"/>
  <c r="T928" i="1"/>
  <c r="T929" i="1" s="1"/>
  <c r="V928" i="1"/>
  <c r="V929" i="1" s="1"/>
  <c r="W928" i="1"/>
  <c r="W929" i="1" s="1"/>
  <c r="X928" i="1"/>
  <c r="X929" i="1" s="1"/>
  <c r="Y928" i="1"/>
  <c r="Y929" i="1" s="1"/>
  <c r="Z928" i="1"/>
  <c r="Z929" i="1" s="1"/>
  <c r="A930" i="1"/>
  <c r="A931" i="1" s="1"/>
  <c r="B930" i="1"/>
  <c r="B931" i="1" s="1"/>
  <c r="C930" i="1"/>
  <c r="C931" i="1" s="1"/>
  <c r="D930" i="1"/>
  <c r="D931" i="1" s="1"/>
  <c r="E930" i="1"/>
  <c r="E931" i="1" s="1"/>
  <c r="F930" i="1"/>
  <c r="F931" i="1" s="1"/>
  <c r="G930" i="1"/>
  <c r="H930" i="1"/>
  <c r="I930" i="1"/>
  <c r="J930" i="1"/>
  <c r="K930" i="1"/>
  <c r="M930" i="1"/>
  <c r="N930" i="1"/>
  <c r="P930" i="1"/>
  <c r="P931" i="1" s="1"/>
  <c r="Q930" i="1"/>
  <c r="Q931" i="1" s="1"/>
  <c r="R930" i="1"/>
  <c r="R931" i="1" s="1"/>
  <c r="S930" i="1"/>
  <c r="S931" i="1" s="1"/>
  <c r="T930" i="1"/>
  <c r="T931" i="1" s="1"/>
  <c r="V930" i="1"/>
  <c r="V931" i="1" s="1"/>
  <c r="W930" i="1"/>
  <c r="W931" i="1" s="1"/>
  <c r="X930" i="1"/>
  <c r="X931" i="1" s="1"/>
  <c r="Y930" i="1"/>
  <c r="Z930" i="1"/>
  <c r="Z931" i="1" s="1"/>
  <c r="A932" i="1"/>
  <c r="A933" i="1" s="1"/>
  <c r="B932" i="1"/>
  <c r="B933" i="1" s="1"/>
  <c r="C932" i="1"/>
  <c r="C933" i="1" s="1"/>
  <c r="D932" i="1"/>
  <c r="D933" i="1" s="1"/>
  <c r="E932" i="1"/>
  <c r="E933" i="1" s="1"/>
  <c r="F932" i="1"/>
  <c r="F933" i="1" s="1"/>
  <c r="G932" i="1"/>
  <c r="H932" i="1"/>
  <c r="I932" i="1"/>
  <c r="J932" i="1"/>
  <c r="K932" i="1"/>
  <c r="M932" i="1"/>
  <c r="N932" i="1"/>
  <c r="P932" i="1"/>
  <c r="P933" i="1" s="1"/>
  <c r="Q932" i="1"/>
  <c r="Q933" i="1" s="1"/>
  <c r="R932" i="1"/>
  <c r="R933" i="1" s="1"/>
  <c r="S932" i="1"/>
  <c r="S933" i="1" s="1"/>
  <c r="T932" i="1"/>
  <c r="T933" i="1" s="1"/>
  <c r="V932" i="1"/>
  <c r="V933" i="1" s="1"/>
  <c r="W932" i="1"/>
  <c r="W933" i="1" s="1"/>
  <c r="X932" i="1"/>
  <c r="X933" i="1" s="1"/>
  <c r="Y932" i="1"/>
  <c r="Y933" i="1" s="1"/>
  <c r="Z932" i="1"/>
  <c r="Z933" i="1" s="1"/>
  <c r="A934" i="1"/>
  <c r="A935" i="1" s="1"/>
  <c r="B934" i="1"/>
  <c r="B935" i="1" s="1"/>
  <c r="C934" i="1"/>
  <c r="C935" i="1" s="1"/>
  <c r="D934" i="1"/>
  <c r="D935" i="1" s="1"/>
  <c r="E934" i="1"/>
  <c r="E935" i="1" s="1"/>
  <c r="F934" i="1"/>
  <c r="G934" i="1"/>
  <c r="H934" i="1"/>
  <c r="I934" i="1"/>
  <c r="J934" i="1"/>
  <c r="K934" i="1"/>
  <c r="M934" i="1"/>
  <c r="N934" i="1"/>
  <c r="P934" i="1"/>
  <c r="P935" i="1" s="1"/>
  <c r="Q934" i="1"/>
  <c r="Q935" i="1" s="1"/>
  <c r="R934" i="1"/>
  <c r="R935" i="1" s="1"/>
  <c r="S934" i="1"/>
  <c r="S935" i="1" s="1"/>
  <c r="T934" i="1"/>
  <c r="T935" i="1" s="1"/>
  <c r="V934" i="1"/>
  <c r="V935" i="1" s="1"/>
  <c r="W934" i="1"/>
  <c r="W935" i="1" s="1"/>
  <c r="X934" i="1"/>
  <c r="X935" i="1" s="1"/>
  <c r="Y934" i="1"/>
  <c r="Y935" i="1" s="1"/>
  <c r="Z934" i="1"/>
  <c r="Z935" i="1" s="1"/>
  <c r="A936" i="1"/>
  <c r="A937" i="1" s="1"/>
  <c r="B936" i="1"/>
  <c r="B937" i="1" s="1"/>
  <c r="C936" i="1"/>
  <c r="C937" i="1" s="1"/>
  <c r="D936" i="1"/>
  <c r="D937" i="1" s="1"/>
  <c r="E936" i="1"/>
  <c r="E937" i="1" s="1"/>
  <c r="F936" i="1"/>
  <c r="F937" i="1" s="1"/>
  <c r="G936" i="1"/>
  <c r="H936" i="1"/>
  <c r="I936" i="1"/>
  <c r="J936" i="1"/>
  <c r="K936" i="1"/>
  <c r="M936" i="1"/>
  <c r="N936" i="1"/>
  <c r="P936" i="1"/>
  <c r="P937" i="1" s="1"/>
  <c r="Q936" i="1"/>
  <c r="Q937" i="1" s="1"/>
  <c r="R936" i="1"/>
  <c r="R937" i="1" s="1"/>
  <c r="S936" i="1"/>
  <c r="S937" i="1" s="1"/>
  <c r="T936" i="1"/>
  <c r="T937" i="1" s="1"/>
  <c r="V936" i="1"/>
  <c r="V937" i="1" s="1"/>
  <c r="W936" i="1"/>
  <c r="W937" i="1" s="1"/>
  <c r="X936" i="1"/>
  <c r="X937" i="1" s="1"/>
  <c r="Y936" i="1"/>
  <c r="Y937" i="1" s="1"/>
  <c r="Z936" i="1"/>
  <c r="Z937" i="1" s="1"/>
  <c r="A938" i="1"/>
  <c r="A939" i="1" s="1"/>
  <c r="B938" i="1"/>
  <c r="B939" i="1" s="1"/>
  <c r="C938" i="1"/>
  <c r="C939" i="1" s="1"/>
  <c r="D938" i="1"/>
  <c r="E938" i="1"/>
  <c r="E939" i="1" s="1"/>
  <c r="F938" i="1"/>
  <c r="G938" i="1"/>
  <c r="H938" i="1"/>
  <c r="I938" i="1"/>
  <c r="J938" i="1"/>
  <c r="K938" i="1"/>
  <c r="M938" i="1"/>
  <c r="N938" i="1"/>
  <c r="P938" i="1"/>
  <c r="P939" i="1" s="1"/>
  <c r="Q938" i="1"/>
  <c r="Q939" i="1" s="1"/>
  <c r="R938" i="1"/>
  <c r="R939" i="1" s="1"/>
  <c r="S938" i="1"/>
  <c r="S939" i="1" s="1"/>
  <c r="T938" i="1"/>
  <c r="T939" i="1" s="1"/>
  <c r="V938" i="1"/>
  <c r="V939" i="1" s="1"/>
  <c r="W938" i="1"/>
  <c r="W939" i="1" s="1"/>
  <c r="X938" i="1"/>
  <c r="X939" i="1" s="1"/>
  <c r="Y938" i="1"/>
  <c r="Y939" i="1" s="1"/>
  <c r="Z938" i="1"/>
  <c r="Z939" i="1" s="1"/>
  <c r="F939" i="1"/>
  <c r="A940" i="1"/>
  <c r="A941" i="1" s="1"/>
  <c r="B940" i="1"/>
  <c r="B941" i="1" s="1"/>
  <c r="C940" i="1"/>
  <c r="C941" i="1" s="1"/>
  <c r="D940" i="1"/>
  <c r="D941" i="1" s="1"/>
  <c r="E940" i="1"/>
  <c r="E941" i="1" s="1"/>
  <c r="F940" i="1"/>
  <c r="F941" i="1" s="1"/>
  <c r="G940" i="1"/>
  <c r="H940" i="1"/>
  <c r="I940" i="1"/>
  <c r="J940" i="1"/>
  <c r="K940" i="1"/>
  <c r="M940" i="1"/>
  <c r="N940" i="1"/>
  <c r="P940" i="1"/>
  <c r="P941" i="1" s="1"/>
  <c r="Q940" i="1"/>
  <c r="Q941" i="1" s="1"/>
  <c r="R940" i="1"/>
  <c r="R941" i="1" s="1"/>
  <c r="S940" i="1"/>
  <c r="S941" i="1" s="1"/>
  <c r="T940" i="1"/>
  <c r="T941" i="1" s="1"/>
  <c r="V940" i="1"/>
  <c r="V941" i="1" s="1"/>
  <c r="W940" i="1"/>
  <c r="W941" i="1" s="1"/>
  <c r="X940" i="1"/>
  <c r="X941" i="1" s="1"/>
  <c r="Y940" i="1"/>
  <c r="Y941" i="1" s="1"/>
  <c r="Z940" i="1"/>
  <c r="Z941" i="1" s="1"/>
  <c r="A942" i="1"/>
  <c r="A943" i="1" s="1"/>
  <c r="B942" i="1"/>
  <c r="B943" i="1" s="1"/>
  <c r="C942" i="1"/>
  <c r="C943" i="1" s="1"/>
  <c r="D942" i="1"/>
  <c r="E942" i="1"/>
  <c r="F942" i="1"/>
  <c r="G942" i="1"/>
  <c r="H942" i="1"/>
  <c r="I942" i="1"/>
  <c r="J942" i="1"/>
  <c r="K942" i="1"/>
  <c r="M942" i="1"/>
  <c r="N942" i="1"/>
  <c r="P942" i="1"/>
  <c r="P943" i="1" s="1"/>
  <c r="Q942" i="1"/>
  <c r="Q943" i="1" s="1"/>
  <c r="R942" i="1"/>
  <c r="R943" i="1" s="1"/>
  <c r="S942" i="1"/>
  <c r="S943" i="1" s="1"/>
  <c r="T942" i="1"/>
  <c r="T943" i="1" s="1"/>
  <c r="V942" i="1"/>
  <c r="V943" i="1" s="1"/>
  <c r="W942" i="1"/>
  <c r="W943" i="1" s="1"/>
  <c r="X942" i="1"/>
  <c r="X943" i="1" s="1"/>
  <c r="Y942" i="1"/>
  <c r="Y943" i="1" s="1"/>
  <c r="Z942" i="1"/>
  <c r="Z943" i="1" s="1"/>
  <c r="E943" i="1"/>
  <c r="A944" i="1"/>
  <c r="A945" i="1" s="1"/>
  <c r="B944" i="1"/>
  <c r="B945" i="1" s="1"/>
  <c r="C944" i="1"/>
  <c r="C945" i="1" s="1"/>
  <c r="D944" i="1"/>
  <c r="E944" i="1"/>
  <c r="F944" i="1"/>
  <c r="F945" i="1" s="1"/>
  <c r="G944" i="1"/>
  <c r="H944" i="1"/>
  <c r="I944" i="1"/>
  <c r="J944" i="1"/>
  <c r="K944" i="1"/>
  <c r="M944" i="1"/>
  <c r="N944" i="1"/>
  <c r="P944" i="1"/>
  <c r="P945" i="1" s="1"/>
  <c r="Q944" i="1"/>
  <c r="Q945" i="1" s="1"/>
  <c r="R944" i="1"/>
  <c r="R945" i="1" s="1"/>
  <c r="S944" i="1"/>
  <c r="S945" i="1" s="1"/>
  <c r="T944" i="1"/>
  <c r="T945" i="1" s="1"/>
  <c r="V944" i="1"/>
  <c r="V945" i="1" s="1"/>
  <c r="W944" i="1"/>
  <c r="W945" i="1" s="1"/>
  <c r="X944" i="1"/>
  <c r="X945" i="1" s="1"/>
  <c r="Y944" i="1"/>
  <c r="Y945" i="1" s="1"/>
  <c r="Z944" i="1"/>
  <c r="Z945" i="1" s="1"/>
  <c r="D945" i="1"/>
  <c r="A946" i="1"/>
  <c r="A947" i="1" s="1"/>
  <c r="B946" i="1"/>
  <c r="B947" i="1" s="1"/>
  <c r="C946" i="1"/>
  <c r="C947" i="1" s="1"/>
  <c r="D946" i="1"/>
  <c r="E946" i="1"/>
  <c r="E947" i="1" s="1"/>
  <c r="F946" i="1"/>
  <c r="F947" i="1" s="1"/>
  <c r="G946" i="1"/>
  <c r="H946" i="1"/>
  <c r="I946" i="1"/>
  <c r="J946" i="1"/>
  <c r="K946" i="1"/>
  <c r="M946" i="1"/>
  <c r="N946" i="1"/>
  <c r="P946" i="1"/>
  <c r="Q946" i="1"/>
  <c r="Q947" i="1" s="1"/>
  <c r="R946" i="1"/>
  <c r="R947" i="1" s="1"/>
  <c r="S946" i="1"/>
  <c r="S947" i="1" s="1"/>
  <c r="T946" i="1"/>
  <c r="T947" i="1" s="1"/>
  <c r="V946" i="1"/>
  <c r="V947" i="1" s="1"/>
  <c r="W946" i="1"/>
  <c r="W947" i="1" s="1"/>
  <c r="X946" i="1"/>
  <c r="X947" i="1" s="1"/>
  <c r="Y946" i="1"/>
  <c r="Y947" i="1" s="1"/>
  <c r="Z946" i="1"/>
  <c r="Z947" i="1" s="1"/>
  <c r="P947" i="1"/>
  <c r="A948" i="1"/>
  <c r="A949" i="1" s="1"/>
  <c r="B948" i="1"/>
  <c r="B949" i="1" s="1"/>
  <c r="C948" i="1"/>
  <c r="D948" i="1"/>
  <c r="D949" i="1" s="1"/>
  <c r="E948" i="1"/>
  <c r="E949" i="1" s="1"/>
  <c r="F948" i="1"/>
  <c r="G948" i="1"/>
  <c r="H948" i="1"/>
  <c r="I948" i="1"/>
  <c r="J948" i="1"/>
  <c r="K948" i="1"/>
  <c r="M948" i="1"/>
  <c r="N948" i="1"/>
  <c r="P948" i="1"/>
  <c r="P949" i="1" s="1"/>
  <c r="Q948" i="1"/>
  <c r="Q949" i="1" s="1"/>
  <c r="R948" i="1"/>
  <c r="R949" i="1" s="1"/>
  <c r="S948" i="1"/>
  <c r="S949" i="1" s="1"/>
  <c r="T948" i="1"/>
  <c r="T949" i="1" s="1"/>
  <c r="V948" i="1"/>
  <c r="V949" i="1" s="1"/>
  <c r="W948" i="1"/>
  <c r="W949" i="1" s="1"/>
  <c r="X948" i="1"/>
  <c r="X949" i="1" s="1"/>
  <c r="Y948" i="1"/>
  <c r="Y949" i="1" s="1"/>
  <c r="Z948" i="1"/>
  <c r="Z949" i="1" s="1"/>
  <c r="F949" i="1"/>
  <c r="A950" i="1"/>
  <c r="A951" i="1" s="1"/>
  <c r="B950" i="1"/>
  <c r="B951" i="1" s="1"/>
  <c r="C950" i="1"/>
  <c r="C951" i="1" s="1"/>
  <c r="D950" i="1"/>
  <c r="E950" i="1"/>
  <c r="E951" i="1" s="1"/>
  <c r="F950" i="1"/>
  <c r="F951" i="1" s="1"/>
  <c r="G950" i="1"/>
  <c r="H950" i="1"/>
  <c r="I950" i="1"/>
  <c r="J950" i="1"/>
  <c r="K950" i="1"/>
  <c r="M950" i="1"/>
  <c r="N950" i="1"/>
  <c r="P950" i="1"/>
  <c r="P951" i="1" s="1"/>
  <c r="Q950" i="1"/>
  <c r="Q951" i="1" s="1"/>
  <c r="R950" i="1"/>
  <c r="R951" i="1" s="1"/>
  <c r="S950" i="1"/>
  <c r="S951" i="1" s="1"/>
  <c r="T950" i="1"/>
  <c r="T951" i="1" s="1"/>
  <c r="V950" i="1"/>
  <c r="V951" i="1" s="1"/>
  <c r="W950" i="1"/>
  <c r="W951" i="1" s="1"/>
  <c r="X950" i="1"/>
  <c r="X951" i="1" s="1"/>
  <c r="Y950" i="1"/>
  <c r="Y951" i="1" s="1"/>
  <c r="Z950" i="1"/>
  <c r="Z951" i="1" s="1"/>
  <c r="D951" i="1"/>
  <c r="A952" i="1"/>
  <c r="A953" i="1" s="1"/>
  <c r="B952" i="1"/>
  <c r="B953" i="1" s="1"/>
  <c r="C952" i="1"/>
  <c r="C953" i="1" s="1"/>
  <c r="D952" i="1"/>
  <c r="D953" i="1" s="1"/>
  <c r="E952" i="1"/>
  <c r="E953" i="1" s="1"/>
  <c r="F952" i="1"/>
  <c r="F953" i="1" s="1"/>
  <c r="G952" i="1"/>
  <c r="H952" i="1"/>
  <c r="I952" i="1"/>
  <c r="J952" i="1"/>
  <c r="K952" i="1"/>
  <c r="M952" i="1"/>
  <c r="N952" i="1"/>
  <c r="P952" i="1"/>
  <c r="P953" i="1" s="1"/>
  <c r="Q952" i="1"/>
  <c r="Q953" i="1" s="1"/>
  <c r="R952" i="1"/>
  <c r="R953" i="1" s="1"/>
  <c r="S952" i="1"/>
  <c r="S953" i="1" s="1"/>
  <c r="T952" i="1"/>
  <c r="T953" i="1" s="1"/>
  <c r="V952" i="1"/>
  <c r="V953" i="1" s="1"/>
  <c r="W952" i="1"/>
  <c r="W953" i="1" s="1"/>
  <c r="X952" i="1"/>
  <c r="X953" i="1" s="1"/>
  <c r="Y952" i="1"/>
  <c r="Y953" i="1" s="1"/>
  <c r="Z952" i="1"/>
  <c r="Z953" i="1" s="1"/>
  <c r="A954" i="1"/>
  <c r="A955" i="1" s="1"/>
  <c r="B954" i="1"/>
  <c r="B955" i="1" s="1"/>
  <c r="C954" i="1"/>
  <c r="C955" i="1" s="1"/>
  <c r="D954" i="1"/>
  <c r="D955" i="1" s="1"/>
  <c r="E954" i="1"/>
  <c r="E955" i="1" s="1"/>
  <c r="F954" i="1"/>
  <c r="G954" i="1"/>
  <c r="H954" i="1"/>
  <c r="I954" i="1"/>
  <c r="J954" i="1"/>
  <c r="K954" i="1"/>
  <c r="M954" i="1"/>
  <c r="N954" i="1"/>
  <c r="P954" i="1"/>
  <c r="P955" i="1" s="1"/>
  <c r="Q954" i="1"/>
  <c r="Q955" i="1" s="1"/>
  <c r="R954" i="1"/>
  <c r="R955" i="1" s="1"/>
  <c r="S954" i="1"/>
  <c r="S955" i="1" s="1"/>
  <c r="T954" i="1"/>
  <c r="T955" i="1" s="1"/>
  <c r="V954" i="1"/>
  <c r="V955" i="1" s="1"/>
  <c r="W954" i="1"/>
  <c r="W955" i="1" s="1"/>
  <c r="X954" i="1"/>
  <c r="X955" i="1" s="1"/>
  <c r="Y954" i="1"/>
  <c r="Y955" i="1" s="1"/>
  <c r="Z954" i="1"/>
  <c r="Z955" i="1" s="1"/>
  <c r="F955" i="1"/>
  <c r="A956" i="1"/>
  <c r="A957" i="1" s="1"/>
  <c r="B956" i="1"/>
  <c r="B957" i="1" s="1"/>
  <c r="C956" i="1"/>
  <c r="C957" i="1" s="1"/>
  <c r="D956" i="1"/>
  <c r="E956" i="1"/>
  <c r="E957" i="1" s="1"/>
  <c r="F956" i="1"/>
  <c r="F957" i="1" s="1"/>
  <c r="G956" i="1"/>
  <c r="H956" i="1"/>
  <c r="I956" i="1"/>
  <c r="J956" i="1"/>
  <c r="K956" i="1"/>
  <c r="M956" i="1"/>
  <c r="N956" i="1"/>
  <c r="P956" i="1"/>
  <c r="P957" i="1" s="1"/>
  <c r="Q956" i="1"/>
  <c r="Q957" i="1" s="1"/>
  <c r="R956" i="1"/>
  <c r="R957" i="1" s="1"/>
  <c r="S956" i="1"/>
  <c r="S957" i="1" s="1"/>
  <c r="T956" i="1"/>
  <c r="T957" i="1" s="1"/>
  <c r="V956" i="1"/>
  <c r="V957" i="1" s="1"/>
  <c r="W956" i="1"/>
  <c r="W957" i="1" s="1"/>
  <c r="X956" i="1"/>
  <c r="X957" i="1" s="1"/>
  <c r="Y956" i="1"/>
  <c r="Y957" i="1" s="1"/>
  <c r="Z956" i="1"/>
  <c r="Z957" i="1" s="1"/>
  <c r="A958" i="1"/>
  <c r="A959" i="1" s="1"/>
  <c r="B958" i="1"/>
  <c r="B959" i="1" s="1"/>
  <c r="C958" i="1"/>
  <c r="C959" i="1" s="1"/>
  <c r="D958" i="1"/>
  <c r="E958" i="1"/>
  <c r="E959" i="1" s="1"/>
  <c r="F958" i="1"/>
  <c r="F959" i="1" s="1"/>
  <c r="G958" i="1"/>
  <c r="H958" i="1"/>
  <c r="I958" i="1"/>
  <c r="J958" i="1"/>
  <c r="K958" i="1"/>
  <c r="M958" i="1"/>
  <c r="N958" i="1"/>
  <c r="P958" i="1"/>
  <c r="P959" i="1" s="1"/>
  <c r="Q958" i="1"/>
  <c r="Q959" i="1" s="1"/>
  <c r="R958" i="1"/>
  <c r="R959" i="1" s="1"/>
  <c r="S958" i="1"/>
  <c r="S959" i="1" s="1"/>
  <c r="T958" i="1"/>
  <c r="T959" i="1" s="1"/>
  <c r="V958" i="1"/>
  <c r="V959" i="1" s="1"/>
  <c r="W958" i="1"/>
  <c r="W959" i="1" s="1"/>
  <c r="X958" i="1"/>
  <c r="X959" i="1" s="1"/>
  <c r="Y958" i="1"/>
  <c r="Y959" i="1" s="1"/>
  <c r="Z958" i="1"/>
  <c r="Z959" i="1" s="1"/>
  <c r="D959" i="1"/>
  <c r="A960" i="1"/>
  <c r="A961" i="1" s="1"/>
  <c r="B960" i="1"/>
  <c r="B961" i="1" s="1"/>
  <c r="C960" i="1"/>
  <c r="C961" i="1" s="1"/>
  <c r="D960" i="1"/>
  <c r="D961" i="1" s="1"/>
  <c r="E960" i="1"/>
  <c r="F960" i="1"/>
  <c r="F961" i="1" s="1"/>
  <c r="G960" i="1"/>
  <c r="H960" i="1"/>
  <c r="I960" i="1"/>
  <c r="J960" i="1"/>
  <c r="K960" i="1"/>
  <c r="M960" i="1"/>
  <c r="N960" i="1"/>
  <c r="P960" i="1"/>
  <c r="P961" i="1" s="1"/>
  <c r="Q960" i="1"/>
  <c r="Q961" i="1" s="1"/>
  <c r="R960" i="1"/>
  <c r="R961" i="1" s="1"/>
  <c r="S960" i="1"/>
  <c r="S961" i="1" s="1"/>
  <c r="T960" i="1"/>
  <c r="T961" i="1" s="1"/>
  <c r="V960" i="1"/>
  <c r="V961" i="1" s="1"/>
  <c r="W960" i="1"/>
  <c r="W961" i="1" s="1"/>
  <c r="X960" i="1"/>
  <c r="X961" i="1" s="1"/>
  <c r="Y960" i="1"/>
  <c r="Y961" i="1" s="1"/>
  <c r="Z960" i="1"/>
  <c r="Z961" i="1" s="1"/>
  <c r="E961" i="1"/>
  <c r="A962" i="1"/>
  <c r="A963" i="1" s="1"/>
  <c r="B962" i="1"/>
  <c r="B963" i="1" s="1"/>
  <c r="C962" i="1"/>
  <c r="C963" i="1" s="1"/>
  <c r="D962" i="1"/>
  <c r="E962" i="1"/>
  <c r="E963" i="1" s="1"/>
  <c r="F962" i="1"/>
  <c r="F963" i="1" s="1"/>
  <c r="G962" i="1"/>
  <c r="H962" i="1"/>
  <c r="I962" i="1"/>
  <c r="J962" i="1"/>
  <c r="K962" i="1"/>
  <c r="M962" i="1"/>
  <c r="N962" i="1"/>
  <c r="P962" i="1"/>
  <c r="P963" i="1" s="1"/>
  <c r="Q962" i="1"/>
  <c r="Q963" i="1" s="1"/>
  <c r="R962" i="1"/>
  <c r="R963" i="1" s="1"/>
  <c r="S962" i="1"/>
  <c r="S963" i="1" s="1"/>
  <c r="T962" i="1"/>
  <c r="T963" i="1" s="1"/>
  <c r="V962" i="1"/>
  <c r="V963" i="1" s="1"/>
  <c r="W962" i="1"/>
  <c r="W963" i="1" s="1"/>
  <c r="X962" i="1"/>
  <c r="X963" i="1" s="1"/>
  <c r="Y962" i="1"/>
  <c r="Y963" i="1" s="1"/>
  <c r="Z962" i="1"/>
  <c r="Z963" i="1" s="1"/>
  <c r="D963" i="1"/>
  <c r="A964" i="1"/>
  <c r="A965" i="1" s="1"/>
  <c r="B964" i="1"/>
  <c r="B965" i="1" s="1"/>
  <c r="C964" i="1"/>
  <c r="C965" i="1" s="1"/>
  <c r="D964" i="1"/>
  <c r="D965" i="1" s="1"/>
  <c r="E964" i="1"/>
  <c r="E965" i="1" s="1"/>
  <c r="F964" i="1"/>
  <c r="F965" i="1" s="1"/>
  <c r="G964" i="1"/>
  <c r="H964" i="1"/>
  <c r="I964" i="1"/>
  <c r="J964" i="1"/>
  <c r="K964" i="1"/>
  <c r="M964" i="1"/>
  <c r="N964" i="1"/>
  <c r="P964" i="1"/>
  <c r="P965" i="1" s="1"/>
  <c r="Q964" i="1"/>
  <c r="Q965" i="1" s="1"/>
  <c r="R964" i="1"/>
  <c r="R965" i="1" s="1"/>
  <c r="S964" i="1"/>
  <c r="S965" i="1" s="1"/>
  <c r="T964" i="1"/>
  <c r="T965" i="1" s="1"/>
  <c r="V964" i="1"/>
  <c r="V965" i="1" s="1"/>
  <c r="W964" i="1"/>
  <c r="W965" i="1" s="1"/>
  <c r="X964" i="1"/>
  <c r="X965" i="1" s="1"/>
  <c r="Y964" i="1"/>
  <c r="Y965" i="1" s="1"/>
  <c r="Z964" i="1"/>
  <c r="Z965" i="1" s="1"/>
  <c r="A966" i="1"/>
  <c r="A967" i="1" s="1"/>
  <c r="B966" i="1"/>
  <c r="B967" i="1" s="1"/>
  <c r="C966" i="1"/>
  <c r="C967" i="1" s="1"/>
  <c r="D966" i="1"/>
  <c r="D967" i="1" s="1"/>
  <c r="E966" i="1"/>
  <c r="E967" i="1" s="1"/>
  <c r="F966" i="1"/>
  <c r="F967" i="1" s="1"/>
  <c r="G966" i="1"/>
  <c r="H966" i="1"/>
  <c r="I966" i="1"/>
  <c r="J966" i="1"/>
  <c r="K966" i="1"/>
  <c r="M966" i="1"/>
  <c r="N966" i="1"/>
  <c r="P966" i="1"/>
  <c r="P967" i="1" s="1"/>
  <c r="Q966" i="1"/>
  <c r="Q967" i="1" s="1"/>
  <c r="R966" i="1"/>
  <c r="S966" i="1"/>
  <c r="T966" i="1"/>
  <c r="T967" i="1" s="1"/>
  <c r="V966" i="1"/>
  <c r="V967" i="1" s="1"/>
  <c r="W966" i="1"/>
  <c r="W967" i="1" s="1"/>
  <c r="X966" i="1"/>
  <c r="X967" i="1" s="1"/>
  <c r="Y966" i="1"/>
  <c r="Y967" i="1" s="1"/>
  <c r="Z966" i="1"/>
  <c r="Z967" i="1" s="1"/>
  <c r="R967" i="1"/>
  <c r="S967" i="1"/>
  <c r="A968" i="1"/>
  <c r="A969" i="1" s="1"/>
  <c r="B968" i="1"/>
  <c r="B969" i="1" s="1"/>
  <c r="C968" i="1"/>
  <c r="C969" i="1" s="1"/>
  <c r="D968" i="1"/>
  <c r="D969" i="1" s="1"/>
  <c r="E968" i="1"/>
  <c r="E969" i="1" s="1"/>
  <c r="F968" i="1"/>
  <c r="F969" i="1" s="1"/>
  <c r="G968" i="1"/>
  <c r="H968" i="1"/>
  <c r="I968" i="1"/>
  <c r="J968" i="1"/>
  <c r="K968" i="1"/>
  <c r="M968" i="1"/>
  <c r="N968" i="1"/>
  <c r="P968" i="1"/>
  <c r="P969" i="1" s="1"/>
  <c r="Q968" i="1"/>
  <c r="Q969" i="1" s="1"/>
  <c r="R968" i="1"/>
  <c r="R969" i="1" s="1"/>
  <c r="S968" i="1"/>
  <c r="S969" i="1" s="1"/>
  <c r="T968" i="1"/>
  <c r="T969" i="1" s="1"/>
  <c r="V968" i="1"/>
  <c r="V969" i="1" s="1"/>
  <c r="W968" i="1"/>
  <c r="W969" i="1" s="1"/>
  <c r="X968" i="1"/>
  <c r="X969" i="1" s="1"/>
  <c r="Y968" i="1"/>
  <c r="Y969" i="1" s="1"/>
  <c r="Z968" i="1"/>
  <c r="Z969" i="1" s="1"/>
  <c r="A970" i="1"/>
  <c r="A971" i="1" s="1"/>
  <c r="B970" i="1"/>
  <c r="B971" i="1" s="1"/>
  <c r="C970" i="1"/>
  <c r="C971" i="1" s="1"/>
  <c r="D970" i="1"/>
  <c r="E970" i="1"/>
  <c r="E971" i="1" s="1"/>
  <c r="F970" i="1"/>
  <c r="F971" i="1" s="1"/>
  <c r="G970" i="1"/>
  <c r="H970" i="1"/>
  <c r="I970" i="1"/>
  <c r="J970" i="1"/>
  <c r="K970" i="1"/>
  <c r="M970" i="1"/>
  <c r="N970" i="1"/>
  <c r="P970" i="1"/>
  <c r="Q970" i="1"/>
  <c r="Q971" i="1" s="1"/>
  <c r="R970" i="1"/>
  <c r="R971" i="1" s="1"/>
  <c r="S970" i="1"/>
  <c r="S971" i="1" s="1"/>
  <c r="T970" i="1"/>
  <c r="T971" i="1" s="1"/>
  <c r="V970" i="1"/>
  <c r="V971" i="1" s="1"/>
  <c r="W970" i="1"/>
  <c r="W971" i="1" s="1"/>
  <c r="X970" i="1"/>
  <c r="X971" i="1" s="1"/>
  <c r="Y970" i="1"/>
  <c r="Y971" i="1" s="1"/>
  <c r="Z970" i="1"/>
  <c r="Z971" i="1" s="1"/>
  <c r="D971" i="1"/>
  <c r="P971" i="1"/>
  <c r="A972" i="1"/>
  <c r="A973" i="1" s="1"/>
  <c r="B972" i="1"/>
  <c r="B973" i="1" s="1"/>
  <c r="C972" i="1"/>
  <c r="C973" i="1" s="1"/>
  <c r="D972" i="1"/>
  <c r="E972" i="1"/>
  <c r="E973" i="1" s="1"/>
  <c r="F972" i="1"/>
  <c r="F973" i="1" s="1"/>
  <c r="G972" i="1"/>
  <c r="H972" i="1"/>
  <c r="I972" i="1"/>
  <c r="J972" i="1"/>
  <c r="K972" i="1"/>
  <c r="M972" i="1"/>
  <c r="N972" i="1"/>
  <c r="P972" i="1"/>
  <c r="P973" i="1" s="1"/>
  <c r="Q972" i="1"/>
  <c r="Q973" i="1" s="1"/>
  <c r="R972" i="1"/>
  <c r="R973" i="1" s="1"/>
  <c r="S972" i="1"/>
  <c r="S973" i="1" s="1"/>
  <c r="T972" i="1"/>
  <c r="T973" i="1" s="1"/>
  <c r="V972" i="1"/>
  <c r="V973" i="1" s="1"/>
  <c r="W972" i="1"/>
  <c r="W973" i="1" s="1"/>
  <c r="X972" i="1"/>
  <c r="X973" i="1" s="1"/>
  <c r="Y972" i="1"/>
  <c r="Y973" i="1" s="1"/>
  <c r="Z972" i="1"/>
  <c r="Z973" i="1" s="1"/>
  <c r="A974" i="1"/>
  <c r="A975" i="1" s="1"/>
  <c r="B974" i="1"/>
  <c r="B975" i="1" s="1"/>
  <c r="C974" i="1"/>
  <c r="C975" i="1" s="1"/>
  <c r="D974" i="1"/>
  <c r="E974" i="1"/>
  <c r="E975" i="1" s="1"/>
  <c r="F974" i="1"/>
  <c r="F975" i="1" s="1"/>
  <c r="G974" i="1"/>
  <c r="H974" i="1"/>
  <c r="I974" i="1"/>
  <c r="J974" i="1"/>
  <c r="K974" i="1"/>
  <c r="M974" i="1"/>
  <c r="N974" i="1"/>
  <c r="P974" i="1"/>
  <c r="P975" i="1" s="1"/>
  <c r="Q974" i="1"/>
  <c r="Q975" i="1" s="1"/>
  <c r="R974" i="1"/>
  <c r="R975" i="1" s="1"/>
  <c r="S974" i="1"/>
  <c r="S975" i="1" s="1"/>
  <c r="T974" i="1"/>
  <c r="T975" i="1" s="1"/>
  <c r="V974" i="1"/>
  <c r="V975" i="1" s="1"/>
  <c r="W974" i="1"/>
  <c r="W975" i="1" s="1"/>
  <c r="X974" i="1"/>
  <c r="X975" i="1" s="1"/>
  <c r="Y974" i="1"/>
  <c r="Y975" i="1" s="1"/>
  <c r="Z974" i="1"/>
  <c r="Z975" i="1" s="1"/>
  <c r="D975" i="1"/>
  <c r="A976" i="1"/>
  <c r="A977" i="1" s="1"/>
  <c r="B976" i="1"/>
  <c r="B977" i="1" s="1"/>
  <c r="C976" i="1"/>
  <c r="C977" i="1" s="1"/>
  <c r="D976" i="1"/>
  <c r="D977" i="1" s="1"/>
  <c r="E976" i="1"/>
  <c r="E977" i="1" s="1"/>
  <c r="F976" i="1"/>
  <c r="F977" i="1" s="1"/>
  <c r="G976" i="1"/>
  <c r="H976" i="1"/>
  <c r="I976" i="1"/>
  <c r="J976" i="1"/>
  <c r="K976" i="1"/>
  <c r="M976" i="1"/>
  <c r="N976" i="1"/>
  <c r="P976" i="1"/>
  <c r="P977" i="1" s="1"/>
  <c r="Q976" i="1"/>
  <c r="Q977" i="1" s="1"/>
  <c r="R976" i="1"/>
  <c r="R977" i="1" s="1"/>
  <c r="S976" i="1"/>
  <c r="S977" i="1" s="1"/>
  <c r="T976" i="1"/>
  <c r="T977" i="1" s="1"/>
  <c r="V976" i="1"/>
  <c r="V977" i="1" s="1"/>
  <c r="W976" i="1"/>
  <c r="W977" i="1" s="1"/>
  <c r="X976" i="1"/>
  <c r="X977" i="1" s="1"/>
  <c r="Y976" i="1"/>
  <c r="Y977" i="1" s="1"/>
  <c r="Z976" i="1"/>
  <c r="Z977" i="1" s="1"/>
  <c r="A978" i="1"/>
  <c r="A979" i="1" s="1"/>
  <c r="B978" i="1"/>
  <c r="B979" i="1" s="1"/>
  <c r="C978" i="1"/>
  <c r="C979" i="1" s="1"/>
  <c r="D978" i="1"/>
  <c r="E978" i="1"/>
  <c r="E979" i="1" s="1"/>
  <c r="F978" i="1"/>
  <c r="F979" i="1" s="1"/>
  <c r="G978" i="1"/>
  <c r="H978" i="1"/>
  <c r="I978" i="1"/>
  <c r="J978" i="1"/>
  <c r="K978" i="1"/>
  <c r="M978" i="1"/>
  <c r="N978" i="1"/>
  <c r="P978" i="1"/>
  <c r="P979" i="1" s="1"/>
  <c r="Q978" i="1"/>
  <c r="Q979" i="1" s="1"/>
  <c r="R978" i="1"/>
  <c r="R979" i="1" s="1"/>
  <c r="S978" i="1"/>
  <c r="S979" i="1" s="1"/>
  <c r="T978" i="1"/>
  <c r="T979" i="1" s="1"/>
  <c r="V978" i="1"/>
  <c r="V979" i="1" s="1"/>
  <c r="W978" i="1"/>
  <c r="W979" i="1" s="1"/>
  <c r="X978" i="1"/>
  <c r="X979" i="1" s="1"/>
  <c r="Y978" i="1"/>
  <c r="Y979" i="1" s="1"/>
  <c r="Z978" i="1"/>
  <c r="Z979" i="1" s="1"/>
  <c r="D979" i="1"/>
  <c r="A980" i="1"/>
  <c r="A981" i="1" s="1"/>
  <c r="B980" i="1"/>
  <c r="B981" i="1" s="1"/>
  <c r="C980" i="1"/>
  <c r="C981" i="1" s="1"/>
  <c r="D980" i="1"/>
  <c r="D981" i="1" s="1"/>
  <c r="E980" i="1"/>
  <c r="E981" i="1" s="1"/>
  <c r="F980" i="1"/>
  <c r="F981" i="1" s="1"/>
  <c r="G980" i="1"/>
  <c r="H980" i="1"/>
  <c r="I980" i="1"/>
  <c r="J980" i="1"/>
  <c r="K980" i="1"/>
  <c r="M980" i="1"/>
  <c r="N980" i="1"/>
  <c r="P980" i="1"/>
  <c r="P981" i="1" s="1"/>
  <c r="Q980" i="1"/>
  <c r="Q981" i="1" s="1"/>
  <c r="R980" i="1"/>
  <c r="R981" i="1" s="1"/>
  <c r="S980" i="1"/>
  <c r="S981" i="1" s="1"/>
  <c r="T980" i="1"/>
  <c r="T981" i="1" s="1"/>
  <c r="V980" i="1"/>
  <c r="V981" i="1" s="1"/>
  <c r="W980" i="1"/>
  <c r="W981" i="1" s="1"/>
  <c r="X980" i="1"/>
  <c r="X981" i="1" s="1"/>
  <c r="Y980" i="1"/>
  <c r="Y981" i="1" s="1"/>
  <c r="Z980" i="1"/>
  <c r="Z981" i="1" s="1"/>
  <c r="A982" i="1"/>
  <c r="A983" i="1" s="1"/>
  <c r="B982" i="1"/>
  <c r="B983" i="1" s="1"/>
  <c r="C982" i="1"/>
  <c r="C983" i="1" s="1"/>
  <c r="D982" i="1"/>
  <c r="E982" i="1"/>
  <c r="E983" i="1" s="1"/>
  <c r="F982" i="1"/>
  <c r="F983" i="1" s="1"/>
  <c r="G982" i="1"/>
  <c r="H982" i="1"/>
  <c r="I982" i="1"/>
  <c r="J982" i="1"/>
  <c r="K982" i="1"/>
  <c r="M982" i="1"/>
  <c r="N982" i="1"/>
  <c r="P982" i="1"/>
  <c r="P983" i="1" s="1"/>
  <c r="Q982" i="1"/>
  <c r="Q983" i="1" s="1"/>
  <c r="R982" i="1"/>
  <c r="R983" i="1" s="1"/>
  <c r="S982" i="1"/>
  <c r="S983" i="1" s="1"/>
  <c r="T982" i="1"/>
  <c r="T983" i="1" s="1"/>
  <c r="V982" i="1"/>
  <c r="V983" i="1" s="1"/>
  <c r="W982" i="1"/>
  <c r="W983" i="1" s="1"/>
  <c r="X982" i="1"/>
  <c r="X983" i="1" s="1"/>
  <c r="Y982" i="1"/>
  <c r="Y983" i="1" s="1"/>
  <c r="Z982" i="1"/>
  <c r="Z983" i="1" s="1"/>
  <c r="A984" i="1"/>
  <c r="A985" i="1" s="1"/>
  <c r="B984" i="1"/>
  <c r="B985" i="1" s="1"/>
  <c r="C984" i="1"/>
  <c r="C985" i="1" s="1"/>
  <c r="D984" i="1"/>
  <c r="E984" i="1"/>
  <c r="E985" i="1" s="1"/>
  <c r="F984" i="1"/>
  <c r="F985" i="1" s="1"/>
  <c r="G984" i="1"/>
  <c r="H984" i="1"/>
  <c r="I984" i="1"/>
  <c r="J984" i="1"/>
  <c r="K984" i="1"/>
  <c r="M984" i="1"/>
  <c r="N984" i="1"/>
  <c r="P984" i="1"/>
  <c r="P985" i="1" s="1"/>
  <c r="Q984" i="1"/>
  <c r="Q985" i="1" s="1"/>
  <c r="R984" i="1"/>
  <c r="R985" i="1" s="1"/>
  <c r="S984" i="1"/>
  <c r="S985" i="1" s="1"/>
  <c r="T984" i="1"/>
  <c r="T985" i="1" s="1"/>
  <c r="V984" i="1"/>
  <c r="V985" i="1" s="1"/>
  <c r="W984" i="1"/>
  <c r="W985" i="1" s="1"/>
  <c r="X984" i="1"/>
  <c r="X985" i="1" s="1"/>
  <c r="Y984" i="1"/>
  <c r="Y985" i="1" s="1"/>
  <c r="Z984" i="1"/>
  <c r="Z985" i="1" s="1"/>
  <c r="D985" i="1"/>
  <c r="A986" i="1"/>
  <c r="A987" i="1" s="1"/>
  <c r="B986" i="1"/>
  <c r="B987" i="1" s="1"/>
  <c r="C986" i="1"/>
  <c r="C987" i="1" s="1"/>
  <c r="D986" i="1"/>
  <c r="D987" i="1" s="1"/>
  <c r="E986" i="1"/>
  <c r="E987" i="1" s="1"/>
  <c r="F986" i="1"/>
  <c r="F987" i="1" s="1"/>
  <c r="G986" i="1"/>
  <c r="H986" i="1"/>
  <c r="I986" i="1"/>
  <c r="J986" i="1"/>
  <c r="K986" i="1"/>
  <c r="M986" i="1"/>
  <c r="N986" i="1"/>
  <c r="P986" i="1"/>
  <c r="P987" i="1" s="1"/>
  <c r="Q986" i="1"/>
  <c r="Q987" i="1" s="1"/>
  <c r="R986" i="1"/>
  <c r="R987" i="1" s="1"/>
  <c r="S986" i="1"/>
  <c r="S987" i="1" s="1"/>
  <c r="T986" i="1"/>
  <c r="T987" i="1" s="1"/>
  <c r="V986" i="1"/>
  <c r="V987" i="1" s="1"/>
  <c r="W986" i="1"/>
  <c r="W987" i="1" s="1"/>
  <c r="X986" i="1"/>
  <c r="X987" i="1" s="1"/>
  <c r="Y986" i="1"/>
  <c r="Y987" i="1" s="1"/>
  <c r="Z986" i="1"/>
  <c r="Z987" i="1" s="1"/>
  <c r="A988" i="1"/>
  <c r="A989" i="1" s="1"/>
  <c r="B988" i="1"/>
  <c r="B989" i="1" s="1"/>
  <c r="C988" i="1"/>
  <c r="C989" i="1" s="1"/>
  <c r="D988" i="1"/>
  <c r="D989" i="1" s="1"/>
  <c r="E988" i="1"/>
  <c r="E989" i="1" s="1"/>
  <c r="F988" i="1"/>
  <c r="F989" i="1" s="1"/>
  <c r="G988" i="1"/>
  <c r="H988" i="1"/>
  <c r="I988" i="1"/>
  <c r="J988" i="1"/>
  <c r="K988" i="1"/>
  <c r="M988" i="1"/>
  <c r="N988" i="1"/>
  <c r="P988" i="1"/>
  <c r="P989" i="1" s="1"/>
  <c r="Q988" i="1"/>
  <c r="Q989" i="1" s="1"/>
  <c r="R988" i="1"/>
  <c r="R989" i="1" s="1"/>
  <c r="S988" i="1"/>
  <c r="S989" i="1" s="1"/>
  <c r="T988" i="1"/>
  <c r="T989" i="1" s="1"/>
  <c r="V988" i="1"/>
  <c r="V989" i="1" s="1"/>
  <c r="W988" i="1"/>
  <c r="W989" i="1" s="1"/>
  <c r="X988" i="1"/>
  <c r="X989" i="1" s="1"/>
  <c r="Y988" i="1"/>
  <c r="Y989" i="1" s="1"/>
  <c r="Z988" i="1"/>
  <c r="Z989" i="1" s="1"/>
  <c r="A990" i="1"/>
  <c r="A991" i="1" s="1"/>
  <c r="B990" i="1"/>
  <c r="B991" i="1" s="1"/>
  <c r="C990" i="1"/>
  <c r="C991" i="1" s="1"/>
  <c r="D990" i="1"/>
  <c r="D991" i="1" s="1"/>
  <c r="E990" i="1"/>
  <c r="F990" i="1"/>
  <c r="G990" i="1"/>
  <c r="H990" i="1"/>
  <c r="I990" i="1"/>
  <c r="J990" i="1"/>
  <c r="K990" i="1"/>
  <c r="M990" i="1"/>
  <c r="N990" i="1"/>
  <c r="P990" i="1"/>
  <c r="P991" i="1" s="1"/>
  <c r="Q990" i="1"/>
  <c r="Q991" i="1" s="1"/>
  <c r="R990" i="1"/>
  <c r="R991" i="1" s="1"/>
  <c r="S990" i="1"/>
  <c r="S991" i="1" s="1"/>
  <c r="T990" i="1"/>
  <c r="T991" i="1" s="1"/>
  <c r="V990" i="1"/>
  <c r="V991" i="1" s="1"/>
  <c r="W990" i="1"/>
  <c r="W991" i="1" s="1"/>
  <c r="X990" i="1"/>
  <c r="X991" i="1" s="1"/>
  <c r="Y990" i="1"/>
  <c r="Y991" i="1" s="1"/>
  <c r="Z990" i="1"/>
  <c r="Z991" i="1" s="1"/>
  <c r="E991" i="1"/>
  <c r="A992" i="1"/>
  <c r="A993" i="1" s="1"/>
  <c r="B992" i="1"/>
  <c r="B993" i="1" s="1"/>
  <c r="C992" i="1"/>
  <c r="C993" i="1" s="1"/>
  <c r="D992" i="1"/>
  <c r="D993" i="1" s="1"/>
  <c r="E992" i="1"/>
  <c r="F992" i="1"/>
  <c r="F993" i="1" s="1"/>
  <c r="G992" i="1"/>
  <c r="H992" i="1"/>
  <c r="I992" i="1"/>
  <c r="J992" i="1"/>
  <c r="K992" i="1"/>
  <c r="M992" i="1"/>
  <c r="N992" i="1"/>
  <c r="P992" i="1"/>
  <c r="P993" i="1" s="1"/>
  <c r="Q992" i="1"/>
  <c r="Q993" i="1" s="1"/>
  <c r="R992" i="1"/>
  <c r="R993" i="1" s="1"/>
  <c r="S992" i="1"/>
  <c r="S993" i="1" s="1"/>
  <c r="T992" i="1"/>
  <c r="T993" i="1" s="1"/>
  <c r="V992" i="1"/>
  <c r="V993" i="1" s="1"/>
  <c r="W992" i="1"/>
  <c r="W993" i="1" s="1"/>
  <c r="X992" i="1"/>
  <c r="X993" i="1" s="1"/>
  <c r="Y992" i="1"/>
  <c r="Z992" i="1"/>
  <c r="Z993" i="1" s="1"/>
  <c r="A994" i="1"/>
  <c r="A995" i="1" s="1"/>
  <c r="B994" i="1"/>
  <c r="B995" i="1" s="1"/>
  <c r="C994" i="1"/>
  <c r="D994" i="1"/>
  <c r="D995" i="1" s="1"/>
  <c r="E994" i="1"/>
  <c r="E995" i="1" s="1"/>
  <c r="F994" i="1"/>
  <c r="F995" i="1" s="1"/>
  <c r="G994" i="1"/>
  <c r="H994" i="1"/>
  <c r="I994" i="1"/>
  <c r="J994" i="1"/>
  <c r="K994" i="1"/>
  <c r="M994" i="1"/>
  <c r="N994" i="1"/>
  <c r="P994" i="1"/>
  <c r="P995" i="1" s="1"/>
  <c r="Q994" i="1"/>
  <c r="Q995" i="1" s="1"/>
  <c r="R994" i="1"/>
  <c r="R995" i="1" s="1"/>
  <c r="S994" i="1"/>
  <c r="S995" i="1" s="1"/>
  <c r="T994" i="1"/>
  <c r="T995" i="1" s="1"/>
  <c r="V994" i="1"/>
  <c r="V995" i="1" s="1"/>
  <c r="W994" i="1"/>
  <c r="W995" i="1" s="1"/>
  <c r="X994" i="1"/>
  <c r="X995" i="1" s="1"/>
  <c r="Y994" i="1"/>
  <c r="Y995" i="1" s="1"/>
  <c r="Z994" i="1"/>
  <c r="Z995" i="1" s="1"/>
  <c r="A996" i="1"/>
  <c r="A997" i="1" s="1"/>
  <c r="B996" i="1"/>
  <c r="B997" i="1" s="1"/>
  <c r="C996" i="1"/>
  <c r="C997" i="1" s="1"/>
  <c r="D996" i="1"/>
  <c r="D997" i="1" s="1"/>
  <c r="E996" i="1"/>
  <c r="E997" i="1" s="1"/>
  <c r="F996" i="1"/>
  <c r="F997" i="1" s="1"/>
  <c r="G996" i="1"/>
  <c r="H996" i="1"/>
  <c r="I996" i="1"/>
  <c r="J996" i="1"/>
  <c r="K996" i="1"/>
  <c r="M996" i="1"/>
  <c r="N996" i="1"/>
  <c r="P996" i="1"/>
  <c r="P997" i="1" s="1"/>
  <c r="Q996" i="1"/>
  <c r="Q997" i="1" s="1"/>
  <c r="R996" i="1"/>
  <c r="R997" i="1" s="1"/>
  <c r="S996" i="1"/>
  <c r="S997" i="1" s="1"/>
  <c r="T996" i="1"/>
  <c r="T997" i="1" s="1"/>
  <c r="V996" i="1"/>
  <c r="V997" i="1" s="1"/>
  <c r="W996" i="1"/>
  <c r="W997" i="1" s="1"/>
  <c r="X996" i="1"/>
  <c r="X997" i="1" s="1"/>
  <c r="Y996" i="1"/>
  <c r="Y997" i="1" s="1"/>
  <c r="Z996" i="1"/>
  <c r="Z997" i="1" s="1"/>
  <c r="A998" i="1"/>
  <c r="A999" i="1" s="1"/>
  <c r="B998" i="1"/>
  <c r="B999" i="1" s="1"/>
  <c r="C998" i="1"/>
  <c r="C999" i="1" s="1"/>
  <c r="D998" i="1"/>
  <c r="E998" i="1"/>
  <c r="E999" i="1" s="1"/>
  <c r="F998" i="1"/>
  <c r="F999" i="1" s="1"/>
  <c r="G998" i="1"/>
  <c r="H998" i="1"/>
  <c r="I998" i="1"/>
  <c r="J998" i="1"/>
  <c r="K998" i="1"/>
  <c r="M998" i="1"/>
  <c r="N998" i="1"/>
  <c r="P998" i="1"/>
  <c r="P999" i="1" s="1"/>
  <c r="Q998" i="1"/>
  <c r="Q999" i="1" s="1"/>
  <c r="R998" i="1"/>
  <c r="R999" i="1" s="1"/>
  <c r="S998" i="1"/>
  <c r="S999" i="1" s="1"/>
  <c r="T998" i="1"/>
  <c r="T999" i="1" s="1"/>
  <c r="V998" i="1"/>
  <c r="V999" i="1" s="1"/>
  <c r="W998" i="1"/>
  <c r="W999" i="1" s="1"/>
  <c r="X998" i="1"/>
  <c r="X999" i="1" s="1"/>
  <c r="Y998" i="1"/>
  <c r="Y999" i="1" s="1"/>
  <c r="Z998" i="1"/>
  <c r="Z999" i="1" s="1"/>
  <c r="D999" i="1"/>
  <c r="A1000" i="1"/>
  <c r="A1001" i="1" s="1"/>
  <c r="B1000" i="1"/>
  <c r="B1001" i="1" s="1"/>
  <c r="C1000" i="1"/>
  <c r="C1001" i="1" s="1"/>
  <c r="D1000" i="1"/>
  <c r="D1001" i="1" s="1"/>
  <c r="E1000" i="1"/>
  <c r="E1001" i="1" s="1"/>
  <c r="F1000" i="1"/>
  <c r="F1001" i="1" s="1"/>
  <c r="G1000" i="1"/>
  <c r="H1000" i="1"/>
  <c r="I1000" i="1"/>
  <c r="J1000" i="1"/>
  <c r="K1000" i="1"/>
  <c r="M1000" i="1"/>
  <c r="N1000" i="1"/>
  <c r="P1000" i="1"/>
  <c r="P1001" i="1" s="1"/>
  <c r="Q1000" i="1"/>
  <c r="Q1001" i="1" s="1"/>
  <c r="R1000" i="1"/>
  <c r="R1001" i="1" s="1"/>
  <c r="S1000" i="1"/>
  <c r="S1001" i="1" s="1"/>
  <c r="T1000" i="1"/>
  <c r="T1001" i="1" s="1"/>
  <c r="V1000" i="1"/>
  <c r="V1001" i="1" s="1"/>
  <c r="W1000" i="1"/>
  <c r="W1001" i="1" s="1"/>
  <c r="X1000" i="1"/>
  <c r="X1001" i="1" s="1"/>
  <c r="Y1000" i="1"/>
  <c r="Y1001" i="1" s="1"/>
  <c r="Z1000" i="1"/>
  <c r="Z1001" i="1" s="1"/>
  <c r="A1002" i="1"/>
  <c r="A1003" i="1" s="1"/>
  <c r="B1002" i="1"/>
  <c r="B1003" i="1" s="1"/>
  <c r="C1002" i="1"/>
  <c r="C1003" i="1" s="1"/>
  <c r="D1002" i="1"/>
  <c r="E1002" i="1"/>
  <c r="E1003" i="1" s="1"/>
  <c r="F1002" i="1"/>
  <c r="F1003" i="1" s="1"/>
  <c r="G1002" i="1"/>
  <c r="H1002" i="1"/>
  <c r="I1002" i="1"/>
  <c r="J1002" i="1"/>
  <c r="K1002" i="1"/>
  <c r="M1002" i="1"/>
  <c r="N1002" i="1"/>
  <c r="P1002" i="1"/>
  <c r="P1003" i="1" s="1"/>
  <c r="Q1002" i="1"/>
  <c r="Q1003" i="1" s="1"/>
  <c r="R1002" i="1"/>
  <c r="R1003" i="1" s="1"/>
  <c r="S1002" i="1"/>
  <c r="S1003" i="1" s="1"/>
  <c r="T1002" i="1"/>
  <c r="T1003" i="1" s="1"/>
  <c r="V1002" i="1"/>
  <c r="V1003" i="1" s="1"/>
  <c r="W1002" i="1"/>
  <c r="W1003" i="1" s="1"/>
  <c r="X1002" i="1"/>
  <c r="X1003" i="1" s="1"/>
  <c r="Y1002" i="1"/>
  <c r="Y1003" i="1" s="1"/>
  <c r="Z1002" i="1"/>
  <c r="Z1003" i="1" s="1"/>
  <c r="D1003" i="1"/>
  <c r="A1004" i="1"/>
  <c r="A1005" i="1" s="1"/>
  <c r="B1004" i="1"/>
  <c r="B1005" i="1" s="1"/>
  <c r="C1004" i="1"/>
  <c r="D1004" i="1"/>
  <c r="E1004" i="1"/>
  <c r="E1005" i="1" s="1"/>
  <c r="F1004" i="1"/>
  <c r="F1005" i="1" s="1"/>
  <c r="G1004" i="1"/>
  <c r="H1004" i="1"/>
  <c r="I1004" i="1"/>
  <c r="J1004" i="1"/>
  <c r="K1004" i="1"/>
  <c r="M1004" i="1"/>
  <c r="N1004" i="1"/>
  <c r="P1004" i="1"/>
  <c r="P1005" i="1" s="1"/>
  <c r="Q1004" i="1"/>
  <c r="Q1005" i="1" s="1"/>
  <c r="R1004" i="1"/>
  <c r="R1005" i="1" s="1"/>
  <c r="S1004" i="1"/>
  <c r="S1005" i="1" s="1"/>
  <c r="T1004" i="1"/>
  <c r="T1005" i="1" s="1"/>
  <c r="V1004" i="1"/>
  <c r="V1005" i="1" s="1"/>
  <c r="W1004" i="1"/>
  <c r="W1005" i="1" s="1"/>
  <c r="X1004" i="1"/>
  <c r="X1005" i="1" s="1"/>
  <c r="Y1004" i="1"/>
  <c r="Y1005" i="1" s="1"/>
  <c r="Z1004" i="1"/>
  <c r="Z1005" i="1" s="1"/>
  <c r="D1005" i="1"/>
  <c r="A1006" i="1"/>
  <c r="A1007" i="1" s="1"/>
  <c r="B1006" i="1"/>
  <c r="B1007" i="1" s="1"/>
  <c r="C1006" i="1"/>
  <c r="C1007" i="1" s="1"/>
  <c r="D1006" i="1"/>
  <c r="D1007" i="1" s="1"/>
  <c r="E1006" i="1"/>
  <c r="E1007" i="1" s="1"/>
  <c r="F1006" i="1"/>
  <c r="F1007" i="1" s="1"/>
  <c r="G1006" i="1"/>
  <c r="H1006" i="1"/>
  <c r="I1006" i="1"/>
  <c r="J1006" i="1"/>
  <c r="K1006" i="1"/>
  <c r="M1006" i="1"/>
  <c r="N1006" i="1"/>
  <c r="P1006" i="1"/>
  <c r="P1007" i="1" s="1"/>
  <c r="Q1006" i="1"/>
  <c r="Q1007" i="1" s="1"/>
  <c r="R1006" i="1"/>
  <c r="R1007" i="1" s="1"/>
  <c r="S1006" i="1"/>
  <c r="S1007" i="1" s="1"/>
  <c r="T1006" i="1"/>
  <c r="T1007" i="1" s="1"/>
  <c r="V1006" i="1"/>
  <c r="V1007" i="1" s="1"/>
  <c r="W1006" i="1"/>
  <c r="W1007" i="1" s="1"/>
  <c r="X1006" i="1"/>
  <c r="X1007" i="1" s="1"/>
  <c r="Y1006" i="1"/>
  <c r="Y1007" i="1" s="1"/>
  <c r="Z1006" i="1"/>
  <c r="Z1007" i="1" s="1"/>
  <c r="A1008" i="1"/>
  <c r="A1009" i="1" s="1"/>
  <c r="B1008" i="1"/>
  <c r="B1009" i="1" s="1"/>
  <c r="C1008" i="1"/>
  <c r="C1009" i="1" s="1"/>
  <c r="D1008" i="1"/>
  <c r="E1008" i="1"/>
  <c r="E1009" i="1" s="1"/>
  <c r="F1008" i="1"/>
  <c r="F1009" i="1" s="1"/>
  <c r="G1008" i="1"/>
  <c r="H1008" i="1"/>
  <c r="I1008" i="1"/>
  <c r="J1008" i="1"/>
  <c r="K1008" i="1"/>
  <c r="M1008" i="1"/>
  <c r="N1008" i="1"/>
  <c r="P1008" i="1"/>
  <c r="P1009" i="1" s="1"/>
  <c r="Q1008" i="1"/>
  <c r="Q1009" i="1" s="1"/>
  <c r="R1008" i="1"/>
  <c r="R1009" i="1" s="1"/>
  <c r="S1008" i="1"/>
  <c r="S1009" i="1" s="1"/>
  <c r="T1008" i="1"/>
  <c r="T1009" i="1" s="1"/>
  <c r="V1008" i="1"/>
  <c r="V1009" i="1" s="1"/>
  <c r="W1008" i="1"/>
  <c r="W1009" i="1" s="1"/>
  <c r="X1008" i="1"/>
  <c r="X1009" i="1" s="1"/>
  <c r="Y1008" i="1"/>
  <c r="Y1009" i="1" s="1"/>
  <c r="Z1008" i="1"/>
  <c r="Z1009" i="1" s="1"/>
  <c r="A1010" i="1"/>
  <c r="A1011" i="1" s="1"/>
  <c r="B1010" i="1"/>
  <c r="B1011" i="1" s="1"/>
  <c r="C1010" i="1"/>
  <c r="C1011" i="1" s="1"/>
  <c r="D1010" i="1"/>
  <c r="E1010" i="1"/>
  <c r="E1011" i="1" s="1"/>
  <c r="F1010" i="1"/>
  <c r="F1011" i="1" s="1"/>
  <c r="G1010" i="1"/>
  <c r="H1010" i="1"/>
  <c r="I1010" i="1"/>
  <c r="J1010" i="1"/>
  <c r="K1010" i="1"/>
  <c r="M1010" i="1"/>
  <c r="N1010" i="1"/>
  <c r="P1010" i="1"/>
  <c r="P1011" i="1" s="1"/>
  <c r="Q1010" i="1"/>
  <c r="Q1011" i="1" s="1"/>
  <c r="R1010" i="1"/>
  <c r="R1011" i="1" s="1"/>
  <c r="S1010" i="1"/>
  <c r="S1011" i="1" s="1"/>
  <c r="T1010" i="1"/>
  <c r="T1011" i="1" s="1"/>
  <c r="V1010" i="1"/>
  <c r="V1011" i="1" s="1"/>
  <c r="W1010" i="1"/>
  <c r="W1011" i="1" s="1"/>
  <c r="X1010" i="1"/>
  <c r="X1011" i="1" s="1"/>
  <c r="Y1010" i="1"/>
  <c r="Y1011" i="1" s="1"/>
  <c r="Z1010" i="1"/>
  <c r="Z1011" i="1" s="1"/>
  <c r="D1011" i="1"/>
  <c r="A1012" i="1"/>
  <c r="A1013" i="1" s="1"/>
  <c r="B1012" i="1"/>
  <c r="B1013" i="1" s="1"/>
  <c r="C1012" i="1"/>
  <c r="D1012" i="1"/>
  <c r="E1012" i="1"/>
  <c r="E1013" i="1" s="1"/>
  <c r="F1012" i="1"/>
  <c r="F1013" i="1" s="1"/>
  <c r="G1012" i="1"/>
  <c r="H1012" i="1"/>
  <c r="I1012" i="1"/>
  <c r="J1012" i="1"/>
  <c r="K1012" i="1"/>
  <c r="M1012" i="1"/>
  <c r="N1012" i="1"/>
  <c r="P1012" i="1"/>
  <c r="P1013" i="1" s="1"/>
  <c r="Q1012" i="1"/>
  <c r="Q1013" i="1" s="1"/>
  <c r="R1012" i="1"/>
  <c r="R1013" i="1" s="1"/>
  <c r="S1012" i="1"/>
  <c r="S1013" i="1" s="1"/>
  <c r="T1012" i="1"/>
  <c r="T1013" i="1" s="1"/>
  <c r="V1012" i="1"/>
  <c r="V1013" i="1" s="1"/>
  <c r="W1012" i="1"/>
  <c r="W1013" i="1" s="1"/>
  <c r="X1012" i="1"/>
  <c r="X1013" i="1" s="1"/>
  <c r="Y1012" i="1"/>
  <c r="Y1013" i="1" s="1"/>
  <c r="Z1012" i="1"/>
  <c r="Z1013" i="1" s="1"/>
  <c r="D1013" i="1"/>
  <c r="A1014" i="1"/>
  <c r="A1015" i="1" s="1"/>
  <c r="B1014" i="1"/>
  <c r="B1015" i="1" s="1"/>
  <c r="C1014" i="1"/>
  <c r="C1015" i="1" s="1"/>
  <c r="D1014" i="1"/>
  <c r="D1015" i="1" s="1"/>
  <c r="E1014" i="1"/>
  <c r="E1015" i="1" s="1"/>
  <c r="F1014" i="1"/>
  <c r="F1015" i="1" s="1"/>
  <c r="G1014" i="1"/>
  <c r="H1014" i="1"/>
  <c r="I1014" i="1"/>
  <c r="J1014" i="1"/>
  <c r="K1014" i="1"/>
  <c r="M1014" i="1"/>
  <c r="N1014" i="1"/>
  <c r="P1014" i="1"/>
  <c r="P1015" i="1" s="1"/>
  <c r="Q1014" i="1"/>
  <c r="Q1015" i="1" s="1"/>
  <c r="R1014" i="1"/>
  <c r="R1015" i="1" s="1"/>
  <c r="S1014" i="1"/>
  <c r="S1015" i="1" s="1"/>
  <c r="T1014" i="1"/>
  <c r="T1015" i="1" s="1"/>
  <c r="V1014" i="1"/>
  <c r="V1015" i="1" s="1"/>
  <c r="W1014" i="1"/>
  <c r="W1015" i="1" s="1"/>
  <c r="X1014" i="1"/>
  <c r="X1015" i="1" s="1"/>
  <c r="Y1014" i="1"/>
  <c r="Y1015" i="1" s="1"/>
  <c r="Z1014" i="1"/>
  <c r="Z1015" i="1" s="1"/>
  <c r="A1016" i="1"/>
  <c r="A1017" i="1" s="1"/>
  <c r="B1016" i="1"/>
  <c r="B1017" i="1" s="1"/>
  <c r="C1016" i="1"/>
  <c r="D1016" i="1"/>
  <c r="E1016" i="1"/>
  <c r="F1016" i="1"/>
  <c r="F1017" i="1" s="1"/>
  <c r="G1016" i="1"/>
  <c r="H1016" i="1"/>
  <c r="I1016" i="1"/>
  <c r="J1016" i="1"/>
  <c r="K1016" i="1"/>
  <c r="M1016" i="1"/>
  <c r="N1016" i="1"/>
  <c r="P1016" i="1"/>
  <c r="P1017" i="1" s="1"/>
  <c r="Q1016" i="1"/>
  <c r="Q1017" i="1" s="1"/>
  <c r="R1016" i="1"/>
  <c r="R1017" i="1" s="1"/>
  <c r="S1016" i="1"/>
  <c r="S1017" i="1" s="1"/>
  <c r="T1016" i="1"/>
  <c r="T1017" i="1" s="1"/>
  <c r="V1016" i="1"/>
  <c r="V1017" i="1" s="1"/>
  <c r="W1016" i="1"/>
  <c r="W1017" i="1" s="1"/>
  <c r="X1016" i="1"/>
  <c r="X1017" i="1" s="1"/>
  <c r="Y1016" i="1"/>
  <c r="Y1017" i="1" s="1"/>
  <c r="Z1016" i="1"/>
  <c r="Z1017" i="1" s="1"/>
  <c r="D1017" i="1"/>
  <c r="A1018" i="1"/>
  <c r="A1019" i="1" s="1"/>
  <c r="B1018" i="1"/>
  <c r="B1019" i="1" s="1"/>
  <c r="C1018" i="1"/>
  <c r="C1019" i="1" s="1"/>
  <c r="D1018" i="1"/>
  <c r="D1019" i="1" s="1"/>
  <c r="E1018" i="1"/>
  <c r="E1019" i="1" s="1"/>
  <c r="F1018" i="1"/>
  <c r="F1019" i="1" s="1"/>
  <c r="G1018" i="1"/>
  <c r="H1018" i="1"/>
  <c r="I1018" i="1"/>
  <c r="J1018" i="1"/>
  <c r="K1018" i="1"/>
  <c r="M1018" i="1"/>
  <c r="N1018" i="1"/>
  <c r="P1018" i="1"/>
  <c r="P1019" i="1" s="1"/>
  <c r="Q1018" i="1"/>
  <c r="Q1019" i="1" s="1"/>
  <c r="R1018" i="1"/>
  <c r="R1019" i="1" s="1"/>
  <c r="S1018" i="1"/>
  <c r="S1019" i="1" s="1"/>
  <c r="T1018" i="1"/>
  <c r="T1019" i="1" s="1"/>
  <c r="V1018" i="1"/>
  <c r="V1019" i="1" s="1"/>
  <c r="W1018" i="1"/>
  <c r="W1019" i="1" s="1"/>
  <c r="X1018" i="1"/>
  <c r="X1019" i="1" s="1"/>
  <c r="Y1018" i="1"/>
  <c r="Y1019" i="1" s="1"/>
  <c r="Z1018" i="1"/>
  <c r="Z1019" i="1" s="1"/>
  <c r="A1020" i="1"/>
  <c r="A1021" i="1" s="1"/>
  <c r="B1020" i="1"/>
  <c r="B1021" i="1" s="1"/>
  <c r="C1020" i="1"/>
  <c r="D1020" i="1"/>
  <c r="E1020" i="1"/>
  <c r="F1020" i="1"/>
  <c r="F1021" i="1" s="1"/>
  <c r="G1020" i="1"/>
  <c r="H1020" i="1"/>
  <c r="I1020" i="1"/>
  <c r="J1020" i="1"/>
  <c r="K1020" i="1"/>
  <c r="M1020" i="1"/>
  <c r="N1020" i="1"/>
  <c r="P1020" i="1"/>
  <c r="P1021" i="1" s="1"/>
  <c r="Q1020" i="1"/>
  <c r="Q1021" i="1" s="1"/>
  <c r="R1020" i="1"/>
  <c r="R1021" i="1" s="1"/>
  <c r="S1020" i="1"/>
  <c r="S1021" i="1" s="1"/>
  <c r="T1020" i="1"/>
  <c r="T1021" i="1" s="1"/>
  <c r="V1020" i="1"/>
  <c r="V1021" i="1" s="1"/>
  <c r="W1020" i="1"/>
  <c r="W1021" i="1" s="1"/>
  <c r="X1020" i="1"/>
  <c r="X1021" i="1" s="1"/>
  <c r="Y1020" i="1"/>
  <c r="Y1021" i="1" s="1"/>
  <c r="Z1020" i="1"/>
  <c r="Z1021" i="1" s="1"/>
  <c r="D1021" i="1"/>
  <c r="A1022" i="1"/>
  <c r="A1023" i="1" s="1"/>
  <c r="B1022" i="1"/>
  <c r="B1023" i="1" s="1"/>
  <c r="C1022" i="1"/>
  <c r="C1023" i="1" s="1"/>
  <c r="D1022" i="1"/>
  <c r="D1023" i="1" s="1"/>
  <c r="E1022" i="1"/>
  <c r="E1023" i="1" s="1"/>
  <c r="F1022" i="1"/>
  <c r="F1023" i="1" s="1"/>
  <c r="G1022" i="1"/>
  <c r="H1022" i="1"/>
  <c r="I1022" i="1"/>
  <c r="J1022" i="1"/>
  <c r="K1022" i="1"/>
  <c r="M1022" i="1"/>
  <c r="N1022" i="1"/>
  <c r="P1022" i="1"/>
  <c r="P1023" i="1" s="1"/>
  <c r="Q1022" i="1"/>
  <c r="R1022" i="1"/>
  <c r="R1023" i="1" s="1"/>
  <c r="S1022" i="1"/>
  <c r="S1023" i="1" s="1"/>
  <c r="T1022" i="1"/>
  <c r="T1023" i="1" s="1"/>
  <c r="V1022" i="1"/>
  <c r="V1023" i="1" s="1"/>
  <c r="W1022" i="1"/>
  <c r="W1023" i="1" s="1"/>
  <c r="X1022" i="1"/>
  <c r="X1023" i="1" s="1"/>
  <c r="Y1022" i="1"/>
  <c r="Y1023" i="1" s="1"/>
  <c r="Z1022" i="1"/>
  <c r="Z1023" i="1" s="1"/>
  <c r="Q1023" i="1"/>
  <c r="A1024" i="1"/>
  <c r="A1025" i="1" s="1"/>
  <c r="B1024" i="1"/>
  <c r="B1025" i="1" s="1"/>
  <c r="C1024" i="1"/>
  <c r="D1024" i="1"/>
  <c r="D1025" i="1" s="1"/>
  <c r="E1024" i="1"/>
  <c r="F1024" i="1"/>
  <c r="F1025" i="1" s="1"/>
  <c r="G1024" i="1"/>
  <c r="H1024" i="1"/>
  <c r="I1024" i="1"/>
  <c r="J1024" i="1"/>
  <c r="K1024" i="1"/>
  <c r="M1024" i="1"/>
  <c r="N1024" i="1"/>
  <c r="P1024" i="1"/>
  <c r="Q1024" i="1"/>
  <c r="Q1025" i="1" s="1"/>
  <c r="R1024" i="1"/>
  <c r="R1025" i="1" s="1"/>
  <c r="S1024" i="1"/>
  <c r="S1025" i="1" s="1"/>
  <c r="T1024" i="1"/>
  <c r="T1025" i="1" s="1"/>
  <c r="V1024" i="1"/>
  <c r="V1025" i="1" s="1"/>
  <c r="W1024" i="1"/>
  <c r="W1025" i="1" s="1"/>
  <c r="X1024" i="1"/>
  <c r="X1025" i="1" s="1"/>
  <c r="Y1024" i="1"/>
  <c r="Y1025" i="1" s="1"/>
  <c r="Z1024" i="1"/>
  <c r="Z1025" i="1" s="1"/>
  <c r="P1025" i="1"/>
  <c r="A1026" i="1"/>
  <c r="A1027" i="1" s="1"/>
  <c r="B1026" i="1"/>
  <c r="B1027" i="1" s="1"/>
  <c r="C1026" i="1"/>
  <c r="C1027" i="1" s="1"/>
  <c r="D1026" i="1"/>
  <c r="D1027" i="1" s="1"/>
  <c r="E1026" i="1"/>
  <c r="E1027" i="1" s="1"/>
  <c r="F1026" i="1"/>
  <c r="F1027" i="1" s="1"/>
  <c r="G1026" i="1"/>
  <c r="H1026" i="1"/>
  <c r="I1026" i="1"/>
  <c r="J1026" i="1"/>
  <c r="K1026" i="1"/>
  <c r="M1026" i="1"/>
  <c r="N1026" i="1"/>
  <c r="P1026" i="1"/>
  <c r="P1027" i="1" s="1"/>
  <c r="Q1026" i="1"/>
  <c r="Q1027" i="1" s="1"/>
  <c r="R1026" i="1"/>
  <c r="R1027" i="1" s="1"/>
  <c r="S1026" i="1"/>
  <c r="S1027" i="1" s="1"/>
  <c r="T1026" i="1"/>
  <c r="T1027" i="1" s="1"/>
  <c r="V1026" i="1"/>
  <c r="V1027" i="1" s="1"/>
  <c r="W1026" i="1"/>
  <c r="W1027" i="1" s="1"/>
  <c r="X1026" i="1"/>
  <c r="X1027" i="1" s="1"/>
  <c r="Y1026" i="1"/>
  <c r="Y1027" i="1" s="1"/>
  <c r="Z1026" i="1"/>
  <c r="Z1027" i="1" s="1"/>
  <c r="A1028" i="1"/>
  <c r="A1029" i="1" s="1"/>
  <c r="B1028" i="1"/>
  <c r="B1029" i="1" s="1"/>
  <c r="C1028" i="1"/>
  <c r="C1029" i="1" s="1"/>
  <c r="D1028" i="1"/>
  <c r="D1029" i="1" s="1"/>
  <c r="E1028" i="1"/>
  <c r="F1028" i="1"/>
  <c r="F1029" i="1" s="1"/>
  <c r="G1028" i="1"/>
  <c r="H1028" i="1"/>
  <c r="I1028" i="1"/>
  <c r="J1028" i="1"/>
  <c r="K1028" i="1"/>
  <c r="M1028" i="1"/>
  <c r="N1028" i="1"/>
  <c r="P1028" i="1"/>
  <c r="P1029" i="1" s="1"/>
  <c r="Q1028" i="1"/>
  <c r="Q1029" i="1" s="1"/>
  <c r="R1028" i="1"/>
  <c r="R1029" i="1" s="1"/>
  <c r="S1028" i="1"/>
  <c r="S1029" i="1" s="1"/>
  <c r="T1028" i="1"/>
  <c r="T1029" i="1" s="1"/>
  <c r="V1028" i="1"/>
  <c r="V1029" i="1" s="1"/>
  <c r="W1028" i="1"/>
  <c r="X1028" i="1"/>
  <c r="X1029" i="1" s="1"/>
  <c r="Y1028" i="1"/>
  <c r="Y1029" i="1" s="1"/>
  <c r="Z1028" i="1"/>
  <c r="Z1029" i="1" s="1"/>
  <c r="W1029" i="1"/>
  <c r="A1030" i="1"/>
  <c r="A1031" i="1" s="1"/>
  <c r="B1030" i="1"/>
  <c r="B1031" i="1" s="1"/>
  <c r="C1030" i="1"/>
  <c r="C1031" i="1" s="1"/>
  <c r="D1030" i="1"/>
  <c r="D1031" i="1" s="1"/>
  <c r="E1030" i="1"/>
  <c r="E1031" i="1" s="1"/>
  <c r="F1030" i="1"/>
  <c r="G1030" i="1"/>
  <c r="H1030" i="1"/>
  <c r="I1030" i="1"/>
  <c r="J1030" i="1"/>
  <c r="K1030" i="1"/>
  <c r="M1030" i="1"/>
  <c r="N1030" i="1"/>
  <c r="P1030" i="1"/>
  <c r="P1031" i="1" s="1"/>
  <c r="Q1030" i="1"/>
  <c r="Q1031" i="1" s="1"/>
  <c r="R1030" i="1"/>
  <c r="R1031" i="1" s="1"/>
  <c r="S1030" i="1"/>
  <c r="S1031" i="1" s="1"/>
  <c r="T1030" i="1"/>
  <c r="T1031" i="1" s="1"/>
  <c r="V1030" i="1"/>
  <c r="V1031" i="1" s="1"/>
  <c r="W1030" i="1"/>
  <c r="W1031" i="1" s="1"/>
  <c r="X1030" i="1"/>
  <c r="X1031" i="1" s="1"/>
  <c r="Y1030" i="1"/>
  <c r="Y1031" i="1" s="1"/>
  <c r="Z1030" i="1"/>
  <c r="Z1031" i="1" s="1"/>
  <c r="F1031" i="1"/>
  <c r="A1032" i="1"/>
  <c r="A1033" i="1" s="1"/>
  <c r="B1032" i="1"/>
  <c r="B1033" i="1" s="1"/>
  <c r="C1032" i="1"/>
  <c r="D1032" i="1"/>
  <c r="E1032" i="1"/>
  <c r="E1033" i="1" s="1"/>
  <c r="F1032" i="1"/>
  <c r="G1032" i="1"/>
  <c r="H1032" i="1"/>
  <c r="I1032" i="1"/>
  <c r="J1032" i="1"/>
  <c r="K1032" i="1"/>
  <c r="M1032" i="1"/>
  <c r="N1032" i="1"/>
  <c r="P1032" i="1"/>
  <c r="P1033" i="1" s="1"/>
  <c r="Q1032" i="1"/>
  <c r="Q1033" i="1" s="1"/>
  <c r="R1032" i="1"/>
  <c r="R1033" i="1" s="1"/>
  <c r="S1032" i="1"/>
  <c r="S1033" i="1" s="1"/>
  <c r="T1032" i="1"/>
  <c r="T1033" i="1" s="1"/>
  <c r="V1032" i="1"/>
  <c r="V1033" i="1" s="1"/>
  <c r="W1032" i="1"/>
  <c r="W1033" i="1" s="1"/>
  <c r="X1032" i="1"/>
  <c r="X1033" i="1" s="1"/>
  <c r="Y1032" i="1"/>
  <c r="Y1033" i="1" s="1"/>
  <c r="Z1032" i="1"/>
  <c r="Z1033" i="1" s="1"/>
  <c r="D1033" i="1"/>
  <c r="A1034" i="1"/>
  <c r="A1035" i="1" s="1"/>
  <c r="B1034" i="1"/>
  <c r="B1035" i="1" s="1"/>
  <c r="C1034" i="1"/>
  <c r="C1035" i="1" s="1"/>
  <c r="D1034" i="1"/>
  <c r="D1035" i="1" s="1"/>
  <c r="E1034" i="1"/>
  <c r="E1035" i="1" s="1"/>
  <c r="F1034" i="1"/>
  <c r="F1035" i="1" s="1"/>
  <c r="G1034" i="1"/>
  <c r="H1034" i="1"/>
  <c r="I1034" i="1"/>
  <c r="J1034" i="1"/>
  <c r="K1034" i="1"/>
  <c r="M1034" i="1"/>
  <c r="N1034" i="1"/>
  <c r="P1034" i="1"/>
  <c r="P1035" i="1" s="1"/>
  <c r="Q1034" i="1"/>
  <c r="Q1035" i="1" s="1"/>
  <c r="R1034" i="1"/>
  <c r="R1035" i="1" s="1"/>
  <c r="S1034" i="1"/>
  <c r="S1035" i="1" s="1"/>
  <c r="T1034" i="1"/>
  <c r="T1035" i="1" s="1"/>
  <c r="V1034" i="1"/>
  <c r="V1035" i="1" s="1"/>
  <c r="W1034" i="1"/>
  <c r="W1035" i="1" s="1"/>
  <c r="X1034" i="1"/>
  <c r="X1035" i="1" s="1"/>
  <c r="Y1034" i="1"/>
  <c r="Y1035" i="1" s="1"/>
  <c r="Z1034" i="1"/>
  <c r="Z1035" i="1" s="1"/>
  <c r="A1036" i="1"/>
  <c r="A1037" i="1" s="1"/>
  <c r="B1036" i="1"/>
  <c r="C1036" i="1"/>
  <c r="C1037" i="1" s="1"/>
  <c r="D1036" i="1"/>
  <c r="D1037" i="1" s="1"/>
  <c r="E1036" i="1"/>
  <c r="F1036" i="1"/>
  <c r="F1037" i="1" s="1"/>
  <c r="G1036" i="1"/>
  <c r="H1036" i="1"/>
  <c r="I1036" i="1"/>
  <c r="J1036" i="1"/>
  <c r="K1036" i="1"/>
  <c r="M1036" i="1"/>
  <c r="N1036" i="1"/>
  <c r="P1036" i="1"/>
  <c r="P1037" i="1" s="1"/>
  <c r="Q1036" i="1"/>
  <c r="Q1037" i="1" s="1"/>
  <c r="R1036" i="1"/>
  <c r="R1037" i="1" s="1"/>
  <c r="S1036" i="1"/>
  <c r="S1037" i="1" s="1"/>
  <c r="T1036" i="1"/>
  <c r="T1037" i="1" s="1"/>
  <c r="V1036" i="1"/>
  <c r="V1037" i="1" s="1"/>
  <c r="W1036" i="1"/>
  <c r="W1037" i="1" s="1"/>
  <c r="X1036" i="1"/>
  <c r="X1037" i="1" s="1"/>
  <c r="Y1036" i="1"/>
  <c r="Z1036" i="1"/>
  <c r="Z1037" i="1" s="1"/>
  <c r="B1037" i="1"/>
  <c r="A1038" i="1"/>
  <c r="A1039" i="1" s="1"/>
  <c r="B1038" i="1"/>
  <c r="B1039" i="1" s="1"/>
  <c r="C1038" i="1"/>
  <c r="C1039" i="1" s="1"/>
  <c r="D1038" i="1"/>
  <c r="E1038" i="1"/>
  <c r="E1039" i="1" s="1"/>
  <c r="F1038" i="1"/>
  <c r="F1039" i="1" s="1"/>
  <c r="G1038" i="1"/>
  <c r="H1038" i="1"/>
  <c r="I1038" i="1"/>
  <c r="J1038" i="1"/>
  <c r="K1038" i="1"/>
  <c r="M1038" i="1"/>
  <c r="N1038" i="1"/>
  <c r="P1038" i="1"/>
  <c r="P1039" i="1" s="1"/>
  <c r="Q1038" i="1"/>
  <c r="Q1039" i="1" s="1"/>
  <c r="R1038" i="1"/>
  <c r="R1039" i="1" s="1"/>
  <c r="S1038" i="1"/>
  <c r="S1039" i="1" s="1"/>
  <c r="T1038" i="1"/>
  <c r="T1039" i="1" s="1"/>
  <c r="V1038" i="1"/>
  <c r="V1039" i="1" s="1"/>
  <c r="W1038" i="1"/>
  <c r="W1039" i="1" s="1"/>
  <c r="X1038" i="1"/>
  <c r="X1039" i="1" s="1"/>
  <c r="Y1038" i="1"/>
  <c r="Y1039" i="1" s="1"/>
  <c r="Z1038" i="1"/>
  <c r="Z1039" i="1" s="1"/>
  <c r="D1039" i="1"/>
  <c r="A1040" i="1"/>
  <c r="A1041" i="1" s="1"/>
  <c r="B1040" i="1"/>
  <c r="C1040" i="1"/>
  <c r="D1040" i="1"/>
  <c r="E1040" i="1"/>
  <c r="E1041" i="1" s="1"/>
  <c r="F1040" i="1"/>
  <c r="G1040" i="1"/>
  <c r="H1040" i="1"/>
  <c r="I1040" i="1"/>
  <c r="J1040" i="1"/>
  <c r="K1040" i="1"/>
  <c r="M1040" i="1"/>
  <c r="N1040" i="1"/>
  <c r="P1040" i="1"/>
  <c r="Q1040" i="1"/>
  <c r="Q1041" i="1" s="1"/>
  <c r="R1040" i="1"/>
  <c r="R1041" i="1" s="1"/>
  <c r="S1040" i="1"/>
  <c r="S1041" i="1" s="1"/>
  <c r="T1040" i="1"/>
  <c r="T1041" i="1" s="1"/>
  <c r="V1040" i="1"/>
  <c r="V1041" i="1" s="1"/>
  <c r="W1040" i="1"/>
  <c r="W1041" i="1" s="1"/>
  <c r="X1040" i="1"/>
  <c r="X1041" i="1" s="1"/>
  <c r="Y1040" i="1"/>
  <c r="Z1040" i="1"/>
  <c r="Z1041" i="1" s="1"/>
  <c r="B1041" i="1"/>
  <c r="F1041" i="1"/>
  <c r="P1041" i="1"/>
  <c r="A1042" i="1"/>
  <c r="A1043" i="1" s="1"/>
  <c r="B1042" i="1"/>
  <c r="B1043" i="1" s="1"/>
  <c r="C1042" i="1"/>
  <c r="C1043" i="1" s="1"/>
  <c r="D1042" i="1"/>
  <c r="D1043" i="1" s="1"/>
  <c r="E1042" i="1"/>
  <c r="F1042" i="1"/>
  <c r="F1043" i="1" s="1"/>
  <c r="G1042" i="1"/>
  <c r="H1042" i="1"/>
  <c r="I1042" i="1"/>
  <c r="J1042" i="1"/>
  <c r="K1042" i="1"/>
  <c r="M1042" i="1"/>
  <c r="N1042" i="1"/>
  <c r="P1042" i="1"/>
  <c r="P1043" i="1" s="1"/>
  <c r="Q1042" i="1"/>
  <c r="Q1043" i="1" s="1"/>
  <c r="R1042" i="1"/>
  <c r="R1043" i="1" s="1"/>
  <c r="S1042" i="1"/>
  <c r="S1043" i="1" s="1"/>
  <c r="T1042" i="1"/>
  <c r="T1043" i="1" s="1"/>
  <c r="V1042" i="1"/>
  <c r="V1043" i="1" s="1"/>
  <c r="W1042" i="1"/>
  <c r="X1042" i="1"/>
  <c r="X1043" i="1" s="1"/>
  <c r="Y1042" i="1"/>
  <c r="Y1043" i="1" s="1"/>
  <c r="Z1042" i="1"/>
  <c r="Z1043" i="1" s="1"/>
  <c r="W1043" i="1"/>
  <c r="A1044" i="1"/>
  <c r="A1045" i="1" s="1"/>
  <c r="B1044" i="1"/>
  <c r="B1045" i="1" s="1"/>
  <c r="C1044" i="1"/>
  <c r="C1045" i="1" s="1"/>
  <c r="D1044" i="1"/>
  <c r="E1044" i="1"/>
  <c r="F1044" i="1"/>
  <c r="F1045" i="1" s="1"/>
  <c r="G1044" i="1"/>
  <c r="H1044" i="1"/>
  <c r="I1044" i="1"/>
  <c r="J1044" i="1"/>
  <c r="K1044" i="1"/>
  <c r="M1044" i="1"/>
  <c r="N1044" i="1"/>
  <c r="P1044" i="1"/>
  <c r="P1045" i="1" s="1"/>
  <c r="Q1044" i="1"/>
  <c r="Q1045" i="1" s="1"/>
  <c r="R1044" i="1"/>
  <c r="R1045" i="1" s="1"/>
  <c r="S1044" i="1"/>
  <c r="S1045" i="1" s="1"/>
  <c r="T1044" i="1"/>
  <c r="T1045" i="1" s="1"/>
  <c r="V1044" i="1"/>
  <c r="V1045" i="1" s="1"/>
  <c r="W1044" i="1"/>
  <c r="X1044" i="1"/>
  <c r="X1045" i="1" s="1"/>
  <c r="Y1044" i="1"/>
  <c r="Y1045" i="1" s="1"/>
  <c r="Z1044" i="1"/>
  <c r="Z1045" i="1" s="1"/>
  <c r="D1045" i="1"/>
  <c r="W1045" i="1"/>
  <c r="A1046" i="1"/>
  <c r="A1047" i="1" s="1"/>
  <c r="B1046" i="1"/>
  <c r="B1047" i="1" s="1"/>
  <c r="C1046" i="1"/>
  <c r="C1047" i="1" s="1"/>
  <c r="D1046" i="1"/>
  <c r="E1046" i="1"/>
  <c r="E1047" i="1" s="1"/>
  <c r="F1046" i="1"/>
  <c r="G1046" i="1"/>
  <c r="H1046" i="1"/>
  <c r="I1046" i="1"/>
  <c r="J1046" i="1"/>
  <c r="K1046" i="1"/>
  <c r="M1046" i="1"/>
  <c r="N1046" i="1"/>
  <c r="P1046" i="1"/>
  <c r="P1047" i="1" s="1"/>
  <c r="Q1046" i="1"/>
  <c r="Q1047" i="1" s="1"/>
  <c r="R1046" i="1"/>
  <c r="R1047" i="1" s="1"/>
  <c r="S1046" i="1"/>
  <c r="S1047" i="1" s="1"/>
  <c r="T1046" i="1"/>
  <c r="T1047" i="1" s="1"/>
  <c r="V1046" i="1"/>
  <c r="V1047" i="1" s="1"/>
  <c r="W1046" i="1"/>
  <c r="W1047" i="1" s="1"/>
  <c r="X1046" i="1"/>
  <c r="X1047" i="1" s="1"/>
  <c r="Y1046" i="1"/>
  <c r="Y1047" i="1" s="1"/>
  <c r="Z1046" i="1"/>
  <c r="Z1047" i="1" s="1"/>
  <c r="D1047" i="1"/>
  <c r="A1048" i="1"/>
  <c r="A1049" i="1" s="1"/>
  <c r="B1048" i="1"/>
  <c r="C1048" i="1"/>
  <c r="D1048" i="1"/>
  <c r="E1048" i="1"/>
  <c r="E1049" i="1" s="1"/>
  <c r="F1048" i="1"/>
  <c r="G1048" i="1"/>
  <c r="H1048" i="1"/>
  <c r="I1048" i="1"/>
  <c r="J1048" i="1"/>
  <c r="K1048" i="1"/>
  <c r="M1048" i="1"/>
  <c r="N1048" i="1"/>
  <c r="P1048" i="1"/>
  <c r="P1049" i="1" s="1"/>
  <c r="Q1048" i="1"/>
  <c r="Q1049" i="1" s="1"/>
  <c r="R1048" i="1"/>
  <c r="R1049" i="1" s="1"/>
  <c r="S1048" i="1"/>
  <c r="S1049" i="1" s="1"/>
  <c r="T1048" i="1"/>
  <c r="T1049" i="1" s="1"/>
  <c r="V1048" i="1"/>
  <c r="V1049" i="1" s="1"/>
  <c r="W1048" i="1"/>
  <c r="W1049" i="1" s="1"/>
  <c r="X1048" i="1"/>
  <c r="X1049" i="1" s="1"/>
  <c r="Y1048" i="1"/>
  <c r="Z1048" i="1"/>
  <c r="Z1049" i="1" s="1"/>
  <c r="B1049" i="1"/>
  <c r="C1049" i="1"/>
  <c r="F1049" i="1"/>
  <c r="A1050" i="1"/>
  <c r="A1051" i="1" s="1"/>
  <c r="B1050" i="1"/>
  <c r="B1051" i="1" s="1"/>
  <c r="C1050" i="1"/>
  <c r="C1051" i="1" s="1"/>
  <c r="D1050" i="1"/>
  <c r="E1050" i="1"/>
  <c r="E1051" i="1" s="1"/>
  <c r="F1050" i="1"/>
  <c r="F1051" i="1" s="1"/>
  <c r="G1050" i="1"/>
  <c r="H1050" i="1"/>
  <c r="I1050" i="1"/>
  <c r="J1050" i="1"/>
  <c r="K1050" i="1"/>
  <c r="M1050" i="1"/>
  <c r="N1050" i="1"/>
  <c r="P1050" i="1"/>
  <c r="P1051" i="1" s="1"/>
  <c r="Q1050" i="1"/>
  <c r="Q1051" i="1" s="1"/>
  <c r="R1050" i="1"/>
  <c r="R1051" i="1" s="1"/>
  <c r="S1050" i="1"/>
  <c r="S1051" i="1" s="1"/>
  <c r="T1050" i="1"/>
  <c r="T1051" i="1" s="1"/>
  <c r="V1050" i="1"/>
  <c r="V1051" i="1" s="1"/>
  <c r="W1050" i="1"/>
  <c r="W1051" i="1" s="1"/>
  <c r="X1050" i="1"/>
  <c r="X1051" i="1" s="1"/>
  <c r="Y1050" i="1"/>
  <c r="Y1051" i="1" s="1"/>
  <c r="Z1050" i="1"/>
  <c r="Z1051" i="1" s="1"/>
  <c r="D1051" i="1"/>
  <c r="A1052" i="1"/>
  <c r="A1053" i="1" s="1"/>
  <c r="B1052" i="1"/>
  <c r="B1053" i="1" s="1"/>
  <c r="C1052" i="1"/>
  <c r="C1053" i="1" s="1"/>
  <c r="D1052" i="1"/>
  <c r="D1053" i="1" s="1"/>
  <c r="E1052" i="1"/>
  <c r="E1053" i="1" s="1"/>
  <c r="F1052" i="1"/>
  <c r="F1053" i="1" s="1"/>
  <c r="G1052" i="1"/>
  <c r="H1052" i="1"/>
  <c r="I1052" i="1"/>
  <c r="J1052" i="1"/>
  <c r="K1052" i="1"/>
  <c r="M1052" i="1"/>
  <c r="N1052" i="1"/>
  <c r="P1052" i="1"/>
  <c r="P1053" i="1" s="1"/>
  <c r="Q1052" i="1"/>
  <c r="R1052" i="1"/>
  <c r="R1053" i="1" s="1"/>
  <c r="S1052" i="1"/>
  <c r="S1053" i="1" s="1"/>
  <c r="T1052" i="1"/>
  <c r="T1053" i="1" s="1"/>
  <c r="V1052" i="1"/>
  <c r="V1053" i="1" s="1"/>
  <c r="W1052" i="1"/>
  <c r="W1053" i="1" s="1"/>
  <c r="X1052" i="1"/>
  <c r="X1053" i="1" s="1"/>
  <c r="Y1052" i="1"/>
  <c r="Z1052" i="1"/>
  <c r="Z1053" i="1" s="1"/>
  <c r="Q1053" i="1"/>
  <c r="A1054" i="1"/>
  <c r="A1055" i="1" s="1"/>
  <c r="B1054" i="1"/>
  <c r="B1055" i="1" s="1"/>
  <c r="C1054" i="1"/>
  <c r="C1055" i="1" s="1"/>
  <c r="D1054" i="1"/>
  <c r="E1054" i="1"/>
  <c r="E1055" i="1" s="1"/>
  <c r="F1054" i="1"/>
  <c r="F1055" i="1" s="1"/>
  <c r="G1054" i="1"/>
  <c r="H1054" i="1"/>
  <c r="I1054" i="1"/>
  <c r="J1054" i="1"/>
  <c r="K1054" i="1"/>
  <c r="M1054" i="1"/>
  <c r="N1054" i="1"/>
  <c r="P1054" i="1"/>
  <c r="P1055" i="1" s="1"/>
  <c r="Q1054" i="1"/>
  <c r="Q1055" i="1" s="1"/>
  <c r="R1054" i="1"/>
  <c r="R1055" i="1" s="1"/>
  <c r="S1054" i="1"/>
  <c r="S1055" i="1" s="1"/>
  <c r="T1054" i="1"/>
  <c r="T1055" i="1" s="1"/>
  <c r="V1054" i="1"/>
  <c r="V1055" i="1" s="1"/>
  <c r="W1054" i="1"/>
  <c r="W1055" i="1" s="1"/>
  <c r="X1054" i="1"/>
  <c r="X1055" i="1" s="1"/>
  <c r="Y1054" i="1"/>
  <c r="Z1054" i="1"/>
  <c r="Z1055" i="1" s="1"/>
  <c r="A1056" i="1"/>
  <c r="A1057" i="1" s="1"/>
  <c r="B1056" i="1"/>
  <c r="B1057" i="1" s="1"/>
  <c r="C1056" i="1"/>
  <c r="C1057" i="1" s="1"/>
  <c r="D1056" i="1"/>
  <c r="D1057" i="1" s="1"/>
  <c r="E1056" i="1"/>
  <c r="E1057" i="1" s="1"/>
  <c r="F1056" i="1"/>
  <c r="F1057" i="1" s="1"/>
  <c r="G1056" i="1"/>
  <c r="H1056" i="1"/>
  <c r="I1056" i="1"/>
  <c r="J1056" i="1"/>
  <c r="K1056" i="1"/>
  <c r="M1056" i="1"/>
  <c r="N1056" i="1"/>
  <c r="P1056" i="1"/>
  <c r="P1057" i="1" s="1"/>
  <c r="Q1056" i="1"/>
  <c r="Q1057" i="1" s="1"/>
  <c r="R1056" i="1"/>
  <c r="R1057" i="1" s="1"/>
  <c r="S1056" i="1"/>
  <c r="S1057" i="1" s="1"/>
  <c r="T1056" i="1"/>
  <c r="T1057" i="1" s="1"/>
  <c r="V1056" i="1"/>
  <c r="V1057" i="1" s="1"/>
  <c r="W1056" i="1"/>
  <c r="W1057" i="1" s="1"/>
  <c r="X1056" i="1"/>
  <c r="X1057" i="1" s="1"/>
  <c r="Y1056" i="1"/>
  <c r="Y1057" i="1" s="1"/>
  <c r="Z1056" i="1"/>
  <c r="Z1057" i="1" s="1"/>
  <c r="A1058" i="1"/>
  <c r="A1059" i="1" s="1"/>
  <c r="B1058" i="1"/>
  <c r="B1059" i="1" s="1"/>
  <c r="C1058" i="1"/>
  <c r="C1059" i="1" s="1"/>
  <c r="D1058" i="1"/>
  <c r="D1059" i="1" s="1"/>
  <c r="E1058" i="1"/>
  <c r="F1058" i="1"/>
  <c r="F1059" i="1" s="1"/>
  <c r="G1058" i="1"/>
  <c r="H1058" i="1"/>
  <c r="I1058" i="1"/>
  <c r="J1058" i="1"/>
  <c r="K1058" i="1"/>
  <c r="M1058" i="1"/>
  <c r="N1058" i="1"/>
  <c r="P1058" i="1"/>
  <c r="P1059" i="1" s="1"/>
  <c r="Q1058" i="1"/>
  <c r="Q1059" i="1" s="1"/>
  <c r="R1058" i="1"/>
  <c r="R1059" i="1" s="1"/>
  <c r="S1058" i="1"/>
  <c r="S1059" i="1" s="1"/>
  <c r="T1058" i="1"/>
  <c r="T1059" i="1" s="1"/>
  <c r="V1058" i="1"/>
  <c r="V1059" i="1" s="1"/>
  <c r="W1058" i="1"/>
  <c r="W1059" i="1" s="1"/>
  <c r="X1058" i="1"/>
  <c r="X1059" i="1" s="1"/>
  <c r="Y1058" i="1"/>
  <c r="Y1059" i="1" s="1"/>
  <c r="Z1058" i="1"/>
  <c r="Z1059" i="1" s="1"/>
  <c r="A1060" i="1"/>
  <c r="A1061" i="1" s="1"/>
  <c r="B1060" i="1"/>
  <c r="B1061" i="1" s="1"/>
  <c r="C1060" i="1"/>
  <c r="C1061" i="1" s="1"/>
  <c r="D1060" i="1"/>
  <c r="D1061" i="1" s="1"/>
  <c r="E1060" i="1"/>
  <c r="E1061" i="1" s="1"/>
  <c r="F1060" i="1"/>
  <c r="F1061" i="1" s="1"/>
  <c r="G1060" i="1"/>
  <c r="H1060" i="1"/>
  <c r="I1060" i="1"/>
  <c r="J1060" i="1"/>
  <c r="K1060" i="1"/>
  <c r="M1060" i="1"/>
  <c r="N1060" i="1"/>
  <c r="P1060" i="1"/>
  <c r="P1061" i="1" s="1"/>
  <c r="Q1060" i="1"/>
  <c r="Q1061" i="1" s="1"/>
  <c r="R1060" i="1"/>
  <c r="R1061" i="1" s="1"/>
  <c r="S1060" i="1"/>
  <c r="S1061" i="1" s="1"/>
  <c r="T1060" i="1"/>
  <c r="T1061" i="1" s="1"/>
  <c r="V1060" i="1"/>
  <c r="V1061" i="1" s="1"/>
  <c r="W1060" i="1"/>
  <c r="W1061" i="1" s="1"/>
  <c r="X1060" i="1"/>
  <c r="X1061" i="1" s="1"/>
  <c r="Y1060" i="1"/>
  <c r="Y1061" i="1" s="1"/>
  <c r="Z1060" i="1"/>
  <c r="Z1061" i="1" s="1"/>
  <c r="A1062" i="1"/>
  <c r="A1063" i="1" s="1"/>
  <c r="B1062" i="1"/>
  <c r="B1063" i="1" s="1"/>
  <c r="C1062" i="1"/>
  <c r="D1062" i="1"/>
  <c r="E1062" i="1"/>
  <c r="E1063" i="1" s="1"/>
  <c r="F1062" i="1"/>
  <c r="F1063" i="1" s="1"/>
  <c r="G1062" i="1"/>
  <c r="H1062" i="1"/>
  <c r="I1062" i="1"/>
  <c r="J1062" i="1"/>
  <c r="K1062" i="1"/>
  <c r="M1062" i="1"/>
  <c r="N1062" i="1"/>
  <c r="P1062" i="1"/>
  <c r="P1063" i="1" s="1"/>
  <c r="Q1062" i="1"/>
  <c r="Q1063" i="1" s="1"/>
  <c r="R1062" i="1"/>
  <c r="R1063" i="1" s="1"/>
  <c r="S1062" i="1"/>
  <c r="S1063" i="1" s="1"/>
  <c r="T1062" i="1"/>
  <c r="T1063" i="1" s="1"/>
  <c r="V1062" i="1"/>
  <c r="V1063" i="1" s="1"/>
  <c r="W1062" i="1"/>
  <c r="W1063" i="1" s="1"/>
  <c r="X1062" i="1"/>
  <c r="X1063" i="1" s="1"/>
  <c r="Y1062" i="1"/>
  <c r="Y1063" i="1" s="1"/>
  <c r="Z1062" i="1"/>
  <c r="Z1063" i="1" s="1"/>
  <c r="D1063" i="1"/>
  <c r="A1064" i="1"/>
  <c r="A1065" i="1" s="1"/>
  <c r="B1064" i="1"/>
  <c r="B1065" i="1" s="1"/>
  <c r="C1064" i="1"/>
  <c r="C1065" i="1" s="1"/>
  <c r="D1064" i="1"/>
  <c r="E1064" i="1"/>
  <c r="E1065" i="1" s="1"/>
  <c r="F1064" i="1"/>
  <c r="F1065" i="1" s="1"/>
  <c r="G1064" i="1"/>
  <c r="H1064" i="1"/>
  <c r="I1064" i="1"/>
  <c r="J1064" i="1"/>
  <c r="K1064" i="1"/>
  <c r="M1064" i="1"/>
  <c r="N1064" i="1"/>
  <c r="P1064" i="1"/>
  <c r="P1065" i="1" s="1"/>
  <c r="Q1064" i="1"/>
  <c r="Q1065" i="1" s="1"/>
  <c r="R1064" i="1"/>
  <c r="R1065" i="1" s="1"/>
  <c r="S1064" i="1"/>
  <c r="S1065" i="1" s="1"/>
  <c r="T1064" i="1"/>
  <c r="T1065" i="1" s="1"/>
  <c r="V1064" i="1"/>
  <c r="V1065" i="1" s="1"/>
  <c r="W1064" i="1"/>
  <c r="X1064" i="1"/>
  <c r="X1065" i="1" s="1"/>
  <c r="Y1064" i="1"/>
  <c r="Y1065" i="1" s="1"/>
  <c r="Z1064" i="1"/>
  <c r="Z1065" i="1" s="1"/>
  <c r="W1065" i="1"/>
  <c r="A1066" i="1"/>
  <c r="A1067" i="1" s="1"/>
  <c r="B1066" i="1"/>
  <c r="B1067" i="1" s="1"/>
  <c r="C1066" i="1"/>
  <c r="C1067" i="1" s="1"/>
  <c r="D1066" i="1"/>
  <c r="E1066" i="1"/>
  <c r="E1067" i="1" s="1"/>
  <c r="F1066" i="1"/>
  <c r="F1067" i="1" s="1"/>
  <c r="G1066" i="1"/>
  <c r="H1066" i="1"/>
  <c r="I1066" i="1"/>
  <c r="J1066" i="1"/>
  <c r="K1066" i="1"/>
  <c r="M1066" i="1"/>
  <c r="N1066" i="1"/>
  <c r="P1066" i="1"/>
  <c r="P1067" i="1" s="1"/>
  <c r="Q1066" i="1"/>
  <c r="Q1067" i="1" s="1"/>
  <c r="R1066" i="1"/>
  <c r="R1067" i="1" s="1"/>
  <c r="S1066" i="1"/>
  <c r="S1067" i="1" s="1"/>
  <c r="T1066" i="1"/>
  <c r="T1067" i="1" s="1"/>
  <c r="V1066" i="1"/>
  <c r="V1067" i="1" s="1"/>
  <c r="W1066" i="1"/>
  <c r="W1067" i="1" s="1"/>
  <c r="X1066" i="1"/>
  <c r="X1067" i="1" s="1"/>
  <c r="Y1066" i="1"/>
  <c r="Y1067" i="1" s="1"/>
  <c r="Z1066" i="1"/>
  <c r="Z1067" i="1" s="1"/>
  <c r="D1067" i="1"/>
  <c r="A1068" i="1"/>
  <c r="A1069" i="1" s="1"/>
  <c r="B1068" i="1"/>
  <c r="B1069" i="1" s="1"/>
  <c r="C1068" i="1"/>
  <c r="C1069" i="1" s="1"/>
  <c r="D1068" i="1"/>
  <c r="D1069" i="1" s="1"/>
  <c r="E1068" i="1"/>
  <c r="F1068" i="1"/>
  <c r="F1069" i="1" s="1"/>
  <c r="G1068" i="1"/>
  <c r="H1068" i="1"/>
  <c r="I1068" i="1"/>
  <c r="J1068" i="1"/>
  <c r="K1068" i="1"/>
  <c r="M1068" i="1"/>
  <c r="N1068" i="1"/>
  <c r="P1068" i="1"/>
  <c r="Q1068" i="1"/>
  <c r="R1068" i="1"/>
  <c r="R1069" i="1" s="1"/>
  <c r="S1068" i="1"/>
  <c r="S1069" i="1" s="1"/>
  <c r="T1068" i="1"/>
  <c r="T1069" i="1" s="1"/>
  <c r="V1068" i="1"/>
  <c r="V1069" i="1" s="1"/>
  <c r="W1068" i="1"/>
  <c r="W1069" i="1" s="1"/>
  <c r="X1068" i="1"/>
  <c r="X1069" i="1" s="1"/>
  <c r="Y1068" i="1"/>
  <c r="Y1069" i="1" s="1"/>
  <c r="Z1068" i="1"/>
  <c r="Z1069" i="1" s="1"/>
  <c r="P1069" i="1"/>
  <c r="Q1069" i="1"/>
  <c r="A1070" i="1"/>
  <c r="A1071" i="1" s="1"/>
  <c r="B1070" i="1"/>
  <c r="B1071" i="1" s="1"/>
  <c r="C1070" i="1"/>
  <c r="C1071" i="1" s="1"/>
  <c r="D1070" i="1"/>
  <c r="E1070" i="1"/>
  <c r="E1071" i="1" s="1"/>
  <c r="F1070" i="1"/>
  <c r="F1071" i="1" s="1"/>
  <c r="G1070" i="1"/>
  <c r="H1070" i="1"/>
  <c r="I1070" i="1"/>
  <c r="J1070" i="1"/>
  <c r="K1070" i="1"/>
  <c r="M1070" i="1"/>
  <c r="N1070" i="1"/>
  <c r="P1070" i="1"/>
  <c r="P1071" i="1" s="1"/>
  <c r="Q1070" i="1"/>
  <c r="Q1071" i="1" s="1"/>
  <c r="R1070" i="1"/>
  <c r="R1071" i="1" s="1"/>
  <c r="S1070" i="1"/>
  <c r="S1071" i="1" s="1"/>
  <c r="T1070" i="1"/>
  <c r="T1071" i="1" s="1"/>
  <c r="V1070" i="1"/>
  <c r="V1071" i="1" s="1"/>
  <c r="W1070" i="1"/>
  <c r="W1071" i="1" s="1"/>
  <c r="X1070" i="1"/>
  <c r="X1071" i="1" s="1"/>
  <c r="Y1070" i="1"/>
  <c r="Y1071" i="1" s="1"/>
  <c r="Z1070" i="1"/>
  <c r="Z1071" i="1" s="1"/>
  <c r="D1071" i="1"/>
  <c r="A1072" i="1"/>
  <c r="A1073" i="1" s="1"/>
  <c r="B1072" i="1"/>
  <c r="B1073" i="1" s="1"/>
  <c r="C1072" i="1"/>
  <c r="C1073" i="1" s="1"/>
  <c r="D1072" i="1"/>
  <c r="E1072" i="1"/>
  <c r="E1073" i="1" s="1"/>
  <c r="F1072" i="1"/>
  <c r="F1073" i="1" s="1"/>
  <c r="G1072" i="1"/>
  <c r="H1072" i="1"/>
  <c r="I1072" i="1"/>
  <c r="J1072" i="1"/>
  <c r="K1072" i="1"/>
  <c r="M1072" i="1"/>
  <c r="N1072" i="1"/>
  <c r="P1072" i="1"/>
  <c r="P1073" i="1" s="1"/>
  <c r="Q1072" i="1"/>
  <c r="Q1073" i="1" s="1"/>
  <c r="R1072" i="1"/>
  <c r="R1073" i="1" s="1"/>
  <c r="S1072" i="1"/>
  <c r="S1073" i="1" s="1"/>
  <c r="T1072" i="1"/>
  <c r="T1073" i="1" s="1"/>
  <c r="V1072" i="1"/>
  <c r="V1073" i="1" s="1"/>
  <c r="W1072" i="1"/>
  <c r="W1073" i="1" s="1"/>
  <c r="X1072" i="1"/>
  <c r="X1073" i="1" s="1"/>
  <c r="Y1072" i="1"/>
  <c r="Y1073" i="1" s="1"/>
  <c r="Z1072" i="1"/>
  <c r="Z1073" i="1" s="1"/>
  <c r="D1073" i="1"/>
  <c r="A1074" i="1"/>
  <c r="A1075" i="1" s="1"/>
  <c r="B1074" i="1"/>
  <c r="B1075" i="1" s="1"/>
  <c r="C1074" i="1"/>
  <c r="C1075" i="1" s="1"/>
  <c r="D1074" i="1"/>
  <c r="D1075" i="1" s="1"/>
  <c r="E1074" i="1"/>
  <c r="F1074" i="1"/>
  <c r="G1074" i="1"/>
  <c r="H1074" i="1"/>
  <c r="I1074" i="1"/>
  <c r="J1074" i="1"/>
  <c r="K1074" i="1"/>
  <c r="M1074" i="1"/>
  <c r="N1074" i="1"/>
  <c r="P1074" i="1"/>
  <c r="P1075" i="1" s="1"/>
  <c r="Q1074" i="1"/>
  <c r="Q1075" i="1" s="1"/>
  <c r="R1074" i="1"/>
  <c r="R1075" i="1" s="1"/>
  <c r="S1074" i="1"/>
  <c r="S1075" i="1" s="1"/>
  <c r="T1074" i="1"/>
  <c r="T1075" i="1" s="1"/>
  <c r="V1074" i="1"/>
  <c r="V1075" i="1" s="1"/>
  <c r="W1074" i="1"/>
  <c r="W1075" i="1" s="1"/>
  <c r="X1074" i="1"/>
  <c r="X1075" i="1" s="1"/>
  <c r="Y1074" i="1"/>
  <c r="Y1075" i="1" s="1"/>
  <c r="Z1074" i="1"/>
  <c r="Z1075" i="1" s="1"/>
  <c r="F1075" i="1"/>
  <c r="A1076" i="1"/>
  <c r="A1077" i="1" s="1"/>
  <c r="B1076" i="1"/>
  <c r="B1077" i="1" s="1"/>
  <c r="C1076" i="1"/>
  <c r="C1077" i="1" s="1"/>
  <c r="D1076" i="1"/>
  <c r="D1077" i="1" s="1"/>
  <c r="E1076" i="1"/>
  <c r="F1076" i="1"/>
  <c r="F1077" i="1" s="1"/>
  <c r="G1076" i="1"/>
  <c r="H1076" i="1"/>
  <c r="I1076" i="1"/>
  <c r="J1076" i="1"/>
  <c r="K1076" i="1"/>
  <c r="M1076" i="1"/>
  <c r="N1076" i="1"/>
  <c r="P1076" i="1"/>
  <c r="Q1076" i="1"/>
  <c r="Q1077" i="1" s="1"/>
  <c r="R1076" i="1"/>
  <c r="R1077" i="1" s="1"/>
  <c r="S1076" i="1"/>
  <c r="S1077" i="1" s="1"/>
  <c r="T1076" i="1"/>
  <c r="T1077" i="1" s="1"/>
  <c r="V1076" i="1"/>
  <c r="V1077" i="1" s="1"/>
  <c r="W1076" i="1"/>
  <c r="W1077" i="1" s="1"/>
  <c r="X1076" i="1"/>
  <c r="X1077" i="1" s="1"/>
  <c r="Y1076" i="1"/>
  <c r="Y1077" i="1" s="1"/>
  <c r="Z1076" i="1"/>
  <c r="Z1077" i="1" s="1"/>
  <c r="P1077" i="1"/>
  <c r="A1078" i="1"/>
  <c r="A1079" i="1" s="1"/>
  <c r="B1078" i="1"/>
  <c r="B1079" i="1" s="1"/>
  <c r="C1078" i="1"/>
  <c r="D1078" i="1"/>
  <c r="E1078" i="1"/>
  <c r="E1079" i="1" s="1"/>
  <c r="F1078" i="1"/>
  <c r="F1079" i="1" s="1"/>
  <c r="G1078" i="1"/>
  <c r="H1078" i="1"/>
  <c r="I1078" i="1"/>
  <c r="J1078" i="1"/>
  <c r="K1078" i="1"/>
  <c r="M1078" i="1"/>
  <c r="N1078" i="1"/>
  <c r="P1078" i="1"/>
  <c r="P1079" i="1" s="1"/>
  <c r="Q1078" i="1"/>
  <c r="Q1079" i="1" s="1"/>
  <c r="R1078" i="1"/>
  <c r="R1079" i="1" s="1"/>
  <c r="S1078" i="1"/>
  <c r="T1078" i="1"/>
  <c r="T1079" i="1" s="1"/>
  <c r="V1078" i="1"/>
  <c r="V1079" i="1" s="1"/>
  <c r="W1078" i="1"/>
  <c r="W1079" i="1" s="1"/>
  <c r="X1078" i="1"/>
  <c r="X1079" i="1" s="1"/>
  <c r="Y1078" i="1"/>
  <c r="Y1079" i="1" s="1"/>
  <c r="Z1078" i="1"/>
  <c r="Z1079" i="1" s="1"/>
  <c r="D1079" i="1"/>
  <c r="S1079" i="1"/>
  <c r="A1080" i="1"/>
  <c r="A1081" i="1" s="1"/>
  <c r="B1080" i="1"/>
  <c r="B1081" i="1" s="1"/>
  <c r="C1080" i="1"/>
  <c r="C1081" i="1" s="1"/>
  <c r="D1080" i="1"/>
  <c r="E1080" i="1"/>
  <c r="E1081" i="1" s="1"/>
  <c r="F1080" i="1"/>
  <c r="F1081" i="1" s="1"/>
  <c r="G1080" i="1"/>
  <c r="H1080" i="1"/>
  <c r="I1080" i="1"/>
  <c r="J1080" i="1"/>
  <c r="K1080" i="1"/>
  <c r="M1080" i="1"/>
  <c r="N1080" i="1"/>
  <c r="P1080" i="1"/>
  <c r="P1081" i="1" s="1"/>
  <c r="Q1080" i="1"/>
  <c r="Q1081" i="1" s="1"/>
  <c r="R1080" i="1"/>
  <c r="R1081" i="1" s="1"/>
  <c r="S1080" i="1"/>
  <c r="S1081" i="1" s="1"/>
  <c r="T1080" i="1"/>
  <c r="T1081" i="1" s="1"/>
  <c r="V1080" i="1"/>
  <c r="V1081" i="1" s="1"/>
  <c r="W1080" i="1"/>
  <c r="W1081" i="1" s="1"/>
  <c r="X1080" i="1"/>
  <c r="X1081" i="1" s="1"/>
  <c r="Y1080" i="1"/>
  <c r="Y1081" i="1" s="1"/>
  <c r="Z1080" i="1"/>
  <c r="Z1081" i="1" s="1"/>
  <c r="A1082" i="1"/>
  <c r="A1083" i="1" s="1"/>
  <c r="B1082" i="1"/>
  <c r="B1083" i="1" s="1"/>
  <c r="C1082" i="1"/>
  <c r="C1083" i="1" s="1"/>
  <c r="D1082" i="1"/>
  <c r="D1083" i="1" s="1"/>
  <c r="E1082" i="1"/>
  <c r="F1082" i="1"/>
  <c r="F1083" i="1" s="1"/>
  <c r="G1082" i="1"/>
  <c r="H1082" i="1"/>
  <c r="I1082" i="1"/>
  <c r="J1082" i="1"/>
  <c r="K1082" i="1"/>
  <c r="M1082" i="1"/>
  <c r="N1082" i="1"/>
  <c r="P1082" i="1"/>
  <c r="P1083" i="1" s="1"/>
  <c r="Q1082" i="1"/>
  <c r="Q1083" i="1" s="1"/>
  <c r="R1082" i="1"/>
  <c r="R1083" i="1" s="1"/>
  <c r="S1082" i="1"/>
  <c r="S1083" i="1" s="1"/>
  <c r="T1082" i="1"/>
  <c r="T1083" i="1" s="1"/>
  <c r="V1082" i="1"/>
  <c r="V1083" i="1" s="1"/>
  <c r="W1082" i="1"/>
  <c r="X1082" i="1"/>
  <c r="X1083" i="1" s="1"/>
  <c r="Y1082" i="1"/>
  <c r="Y1083" i="1" s="1"/>
  <c r="Z1082" i="1"/>
  <c r="Z1083" i="1" s="1"/>
  <c r="W1083" i="1"/>
  <c r="A1084" i="1"/>
  <c r="A1085" i="1" s="1"/>
  <c r="B1084" i="1"/>
  <c r="B1085" i="1" s="1"/>
  <c r="C1084" i="1"/>
  <c r="C1085" i="1" s="1"/>
  <c r="D1084" i="1"/>
  <c r="D1085" i="1" s="1"/>
  <c r="E1084" i="1"/>
  <c r="F1084" i="1"/>
  <c r="F1085" i="1" s="1"/>
  <c r="G1084" i="1"/>
  <c r="H1084" i="1"/>
  <c r="I1084" i="1"/>
  <c r="J1084" i="1"/>
  <c r="K1084" i="1"/>
  <c r="M1084" i="1"/>
  <c r="N1084" i="1"/>
  <c r="P1084" i="1"/>
  <c r="P1085" i="1" s="1"/>
  <c r="Q1084" i="1"/>
  <c r="Q1085" i="1" s="1"/>
  <c r="R1084" i="1"/>
  <c r="R1085" i="1" s="1"/>
  <c r="S1084" i="1"/>
  <c r="S1085" i="1" s="1"/>
  <c r="T1084" i="1"/>
  <c r="T1085" i="1" s="1"/>
  <c r="V1084" i="1"/>
  <c r="V1085" i="1" s="1"/>
  <c r="W1084" i="1"/>
  <c r="W1085" i="1" s="1"/>
  <c r="X1084" i="1"/>
  <c r="X1085" i="1" s="1"/>
  <c r="Y1084" i="1"/>
  <c r="Y1085" i="1" s="1"/>
  <c r="Z1084" i="1"/>
  <c r="Z1085" i="1" s="1"/>
  <c r="A1086" i="1"/>
  <c r="A1087" i="1" s="1"/>
  <c r="B1086" i="1"/>
  <c r="C1086" i="1"/>
  <c r="D1086" i="1"/>
  <c r="E1086" i="1"/>
  <c r="E1087" i="1" s="1"/>
  <c r="F1086" i="1"/>
  <c r="G1086" i="1"/>
  <c r="H1086" i="1"/>
  <c r="I1086" i="1"/>
  <c r="J1086" i="1"/>
  <c r="K1086" i="1"/>
  <c r="M1086" i="1"/>
  <c r="N1086" i="1"/>
  <c r="P1086" i="1"/>
  <c r="P1087" i="1" s="1"/>
  <c r="Q1086" i="1"/>
  <c r="Q1087" i="1" s="1"/>
  <c r="R1086" i="1"/>
  <c r="R1087" i="1" s="1"/>
  <c r="S1086" i="1"/>
  <c r="S1087" i="1" s="1"/>
  <c r="T1086" i="1"/>
  <c r="T1087" i="1" s="1"/>
  <c r="V1086" i="1"/>
  <c r="W1086" i="1"/>
  <c r="W1087" i="1" s="1"/>
  <c r="X1086" i="1"/>
  <c r="X1087" i="1" s="1"/>
  <c r="Y1086" i="1"/>
  <c r="Z1086" i="1"/>
  <c r="Z1087" i="1" s="1"/>
  <c r="B1087" i="1"/>
  <c r="C1087" i="1"/>
  <c r="F1087" i="1"/>
  <c r="V1087" i="1"/>
  <c r="A1088" i="1"/>
  <c r="A1089" i="1" s="1"/>
  <c r="B1088" i="1"/>
  <c r="B1089" i="1" s="1"/>
  <c r="C1088" i="1"/>
  <c r="C1089" i="1" s="1"/>
  <c r="D1088" i="1"/>
  <c r="D1089" i="1" s="1"/>
  <c r="E1088" i="1"/>
  <c r="F1088" i="1"/>
  <c r="F1089" i="1" s="1"/>
  <c r="G1088" i="1"/>
  <c r="H1088" i="1"/>
  <c r="I1088" i="1"/>
  <c r="J1088" i="1"/>
  <c r="K1088" i="1"/>
  <c r="M1088" i="1"/>
  <c r="N1088" i="1"/>
  <c r="P1088" i="1"/>
  <c r="P1089" i="1" s="1"/>
  <c r="Q1088" i="1"/>
  <c r="Q1089" i="1" s="1"/>
  <c r="R1088" i="1"/>
  <c r="R1089" i="1" s="1"/>
  <c r="S1088" i="1"/>
  <c r="S1089" i="1" s="1"/>
  <c r="T1088" i="1"/>
  <c r="T1089" i="1" s="1"/>
  <c r="V1088" i="1"/>
  <c r="V1089" i="1" s="1"/>
  <c r="W1088" i="1"/>
  <c r="W1089" i="1" s="1"/>
  <c r="X1088" i="1"/>
  <c r="X1089" i="1" s="1"/>
  <c r="Y1088" i="1"/>
  <c r="Y1089" i="1" s="1"/>
  <c r="Z1088" i="1"/>
  <c r="Z1089" i="1" s="1"/>
  <c r="A1090" i="1"/>
  <c r="A1091" i="1" s="1"/>
  <c r="B1090" i="1"/>
  <c r="B1091" i="1" s="1"/>
  <c r="C1090" i="1"/>
  <c r="C1091" i="1" s="1"/>
  <c r="D1090" i="1"/>
  <c r="E1090" i="1"/>
  <c r="E1091" i="1" s="1"/>
  <c r="F1090" i="1"/>
  <c r="G1090" i="1"/>
  <c r="H1090" i="1"/>
  <c r="I1090" i="1"/>
  <c r="J1090" i="1"/>
  <c r="K1090" i="1"/>
  <c r="M1090" i="1"/>
  <c r="N1090" i="1"/>
  <c r="P1090" i="1"/>
  <c r="P1091" i="1" s="1"/>
  <c r="Q1090" i="1"/>
  <c r="Q1091" i="1" s="1"/>
  <c r="R1090" i="1"/>
  <c r="R1091" i="1" s="1"/>
  <c r="S1090" i="1"/>
  <c r="S1091" i="1" s="1"/>
  <c r="T1090" i="1"/>
  <c r="T1091" i="1" s="1"/>
  <c r="V1090" i="1"/>
  <c r="V1091" i="1" s="1"/>
  <c r="W1090" i="1"/>
  <c r="W1091" i="1" s="1"/>
  <c r="X1090" i="1"/>
  <c r="X1091" i="1" s="1"/>
  <c r="Y1090" i="1"/>
  <c r="Y1091" i="1" s="1"/>
  <c r="Z1090" i="1"/>
  <c r="Z1091" i="1" s="1"/>
  <c r="F1091" i="1"/>
  <c r="A1092" i="1"/>
  <c r="A1093" i="1" s="1"/>
  <c r="B1092" i="1"/>
  <c r="B1093" i="1" s="1"/>
  <c r="C1092" i="1"/>
  <c r="C1093" i="1" s="1"/>
  <c r="D1092" i="1"/>
  <c r="E1092" i="1"/>
  <c r="F1092" i="1"/>
  <c r="F1093" i="1" s="1"/>
  <c r="G1092" i="1"/>
  <c r="H1092" i="1"/>
  <c r="I1092" i="1"/>
  <c r="J1092" i="1"/>
  <c r="K1092" i="1"/>
  <c r="M1092" i="1"/>
  <c r="N1092" i="1"/>
  <c r="P1092" i="1"/>
  <c r="P1093" i="1" s="1"/>
  <c r="Q1092" i="1"/>
  <c r="Q1093" i="1" s="1"/>
  <c r="R1092" i="1"/>
  <c r="R1093" i="1" s="1"/>
  <c r="S1092" i="1"/>
  <c r="S1093" i="1" s="1"/>
  <c r="T1092" i="1"/>
  <c r="T1093" i="1" s="1"/>
  <c r="V1092" i="1"/>
  <c r="V1093" i="1" s="1"/>
  <c r="W1092" i="1"/>
  <c r="W1093" i="1" s="1"/>
  <c r="X1092" i="1"/>
  <c r="X1093" i="1" s="1"/>
  <c r="Y1092" i="1"/>
  <c r="Y1093" i="1" s="1"/>
  <c r="Z1092" i="1"/>
  <c r="Z1093" i="1" s="1"/>
  <c r="D1093" i="1"/>
  <c r="A1094" i="1"/>
  <c r="A1095" i="1" s="1"/>
  <c r="B1094" i="1"/>
  <c r="B1095" i="1" s="1"/>
  <c r="C1094" i="1"/>
  <c r="C1095" i="1" s="1"/>
  <c r="D1094" i="1"/>
  <c r="E1094" i="1"/>
  <c r="E1095" i="1" s="1"/>
  <c r="F1094" i="1"/>
  <c r="G1094" i="1"/>
  <c r="H1094" i="1"/>
  <c r="I1094" i="1"/>
  <c r="J1094" i="1"/>
  <c r="K1094" i="1"/>
  <c r="M1094" i="1"/>
  <c r="N1094" i="1"/>
  <c r="P1094" i="1"/>
  <c r="P1095" i="1" s="1"/>
  <c r="Q1094" i="1"/>
  <c r="Q1095" i="1" s="1"/>
  <c r="R1094" i="1"/>
  <c r="R1095" i="1" s="1"/>
  <c r="S1094" i="1"/>
  <c r="S1095" i="1" s="1"/>
  <c r="T1094" i="1"/>
  <c r="T1095" i="1" s="1"/>
  <c r="V1094" i="1"/>
  <c r="V1095" i="1" s="1"/>
  <c r="W1094" i="1"/>
  <c r="W1095" i="1" s="1"/>
  <c r="X1094" i="1"/>
  <c r="X1095" i="1" s="1"/>
  <c r="Y1094" i="1"/>
  <c r="Y1095" i="1" s="1"/>
  <c r="Z1094" i="1"/>
  <c r="Z1095" i="1" s="1"/>
  <c r="F1095" i="1"/>
  <c r="A1096" i="1"/>
  <c r="A1097" i="1" s="1"/>
  <c r="B1096" i="1"/>
  <c r="B1097" i="1" s="1"/>
  <c r="C1096" i="1"/>
  <c r="C1097" i="1" s="1"/>
  <c r="D1096" i="1"/>
  <c r="D1097" i="1" s="1"/>
  <c r="E1096" i="1"/>
  <c r="E1097" i="1" s="1"/>
  <c r="F1096" i="1"/>
  <c r="F1097" i="1" s="1"/>
  <c r="G1096" i="1"/>
  <c r="H1096" i="1"/>
  <c r="I1096" i="1"/>
  <c r="J1096" i="1"/>
  <c r="K1096" i="1"/>
  <c r="M1096" i="1"/>
  <c r="N1096" i="1"/>
  <c r="P1096" i="1"/>
  <c r="P1097" i="1" s="1"/>
  <c r="Q1096" i="1"/>
  <c r="Q1097" i="1" s="1"/>
  <c r="R1096" i="1"/>
  <c r="R1097" i="1" s="1"/>
  <c r="S1096" i="1"/>
  <c r="S1097" i="1" s="1"/>
  <c r="T1096" i="1"/>
  <c r="T1097" i="1" s="1"/>
  <c r="V1096" i="1"/>
  <c r="V1097" i="1" s="1"/>
  <c r="W1096" i="1"/>
  <c r="W1097" i="1" s="1"/>
  <c r="X1096" i="1"/>
  <c r="X1097" i="1" s="1"/>
  <c r="Y1096" i="1"/>
  <c r="Y1097" i="1" s="1"/>
  <c r="Z1096" i="1"/>
  <c r="Z1097" i="1" s="1"/>
  <c r="A1098" i="1"/>
  <c r="A1099" i="1" s="1"/>
  <c r="B1098" i="1"/>
  <c r="B1099" i="1" s="1"/>
  <c r="C1098" i="1"/>
  <c r="C1099" i="1" s="1"/>
  <c r="D1098" i="1"/>
  <c r="D1099" i="1" s="1"/>
  <c r="E1098" i="1"/>
  <c r="E1099" i="1" s="1"/>
  <c r="F1098" i="1"/>
  <c r="F1099" i="1" s="1"/>
  <c r="G1098" i="1"/>
  <c r="H1098" i="1"/>
  <c r="I1098" i="1"/>
  <c r="J1098" i="1"/>
  <c r="K1098" i="1"/>
  <c r="M1098" i="1"/>
  <c r="N1098" i="1"/>
  <c r="P1098" i="1"/>
  <c r="P1099" i="1" s="1"/>
  <c r="Q1098" i="1"/>
  <c r="Q1099" i="1" s="1"/>
  <c r="R1098" i="1"/>
  <c r="R1099" i="1" s="1"/>
  <c r="S1098" i="1"/>
  <c r="S1099" i="1" s="1"/>
  <c r="T1098" i="1"/>
  <c r="T1099" i="1" s="1"/>
  <c r="V1098" i="1"/>
  <c r="V1099" i="1" s="1"/>
  <c r="W1098" i="1"/>
  <c r="X1098" i="1"/>
  <c r="X1099" i="1" s="1"/>
  <c r="Y1098" i="1"/>
  <c r="Z1098" i="1"/>
  <c r="Z1099" i="1" s="1"/>
  <c r="W1099" i="1"/>
  <c r="A1100" i="1"/>
  <c r="A1101" i="1" s="1"/>
  <c r="B1100" i="1"/>
  <c r="B1101" i="1" s="1"/>
  <c r="C1100" i="1"/>
  <c r="C1101" i="1" s="1"/>
  <c r="D1100" i="1"/>
  <c r="D1101" i="1" s="1"/>
  <c r="E1100" i="1"/>
  <c r="E1101" i="1" s="1"/>
  <c r="F1100" i="1"/>
  <c r="F1101" i="1" s="1"/>
  <c r="G1100" i="1"/>
  <c r="H1100" i="1"/>
  <c r="I1100" i="1"/>
  <c r="J1100" i="1"/>
  <c r="K1100" i="1"/>
  <c r="M1100" i="1"/>
  <c r="N1100" i="1"/>
  <c r="P1100" i="1"/>
  <c r="P1101" i="1" s="1"/>
  <c r="Q1100" i="1"/>
  <c r="Q1101" i="1" s="1"/>
  <c r="R1100" i="1"/>
  <c r="R1101" i="1" s="1"/>
  <c r="S1100" i="1"/>
  <c r="S1101" i="1" s="1"/>
  <c r="T1100" i="1"/>
  <c r="T1101" i="1" s="1"/>
  <c r="V1100" i="1"/>
  <c r="V1101" i="1" s="1"/>
  <c r="W1100" i="1"/>
  <c r="W1101" i="1" s="1"/>
  <c r="X1100" i="1"/>
  <c r="X1101" i="1" s="1"/>
  <c r="Y1100" i="1"/>
  <c r="Y1101" i="1" s="1"/>
  <c r="Z1100" i="1"/>
  <c r="Z1101" i="1" s="1"/>
  <c r="A1102" i="1"/>
  <c r="A1103" i="1" s="1"/>
  <c r="B1102" i="1"/>
  <c r="B1103" i="1" s="1"/>
  <c r="C1102" i="1"/>
  <c r="C1103" i="1" s="1"/>
  <c r="D1102" i="1"/>
  <c r="E1102" i="1"/>
  <c r="E1103" i="1" s="1"/>
  <c r="F1102" i="1"/>
  <c r="G1102" i="1"/>
  <c r="H1102" i="1"/>
  <c r="I1102" i="1"/>
  <c r="J1102" i="1"/>
  <c r="K1102" i="1"/>
  <c r="M1102" i="1"/>
  <c r="N1102" i="1"/>
  <c r="P1102" i="1"/>
  <c r="P1103" i="1" s="1"/>
  <c r="Q1102" i="1"/>
  <c r="Q1103" i="1" s="1"/>
  <c r="R1102" i="1"/>
  <c r="R1103" i="1" s="1"/>
  <c r="S1102" i="1"/>
  <c r="S1103" i="1" s="1"/>
  <c r="T1102" i="1"/>
  <c r="T1103" i="1" s="1"/>
  <c r="V1102" i="1"/>
  <c r="V1103" i="1" s="1"/>
  <c r="W1102" i="1"/>
  <c r="W1103" i="1" s="1"/>
  <c r="X1102" i="1"/>
  <c r="X1103" i="1" s="1"/>
  <c r="Y1102" i="1"/>
  <c r="Y1103" i="1" s="1"/>
  <c r="Z1102" i="1"/>
  <c r="Z1103" i="1" s="1"/>
  <c r="D1103" i="1"/>
  <c r="A1104" i="1"/>
  <c r="A1105" i="1" s="1"/>
  <c r="B1104" i="1"/>
  <c r="B1105" i="1" s="1"/>
  <c r="C1104" i="1"/>
  <c r="C1105" i="1" s="1"/>
  <c r="D1104" i="1"/>
  <c r="E1104" i="1"/>
  <c r="E1105" i="1" s="1"/>
  <c r="F1104" i="1"/>
  <c r="F1105" i="1" s="1"/>
  <c r="G1104" i="1"/>
  <c r="H1104" i="1"/>
  <c r="I1104" i="1"/>
  <c r="J1104" i="1"/>
  <c r="K1104" i="1"/>
  <c r="M1104" i="1"/>
  <c r="N1104" i="1"/>
  <c r="P1104" i="1"/>
  <c r="P1105" i="1" s="1"/>
  <c r="Q1104" i="1"/>
  <c r="Q1105" i="1" s="1"/>
  <c r="R1104" i="1"/>
  <c r="R1105" i="1" s="1"/>
  <c r="S1104" i="1"/>
  <c r="S1105" i="1" s="1"/>
  <c r="T1104" i="1"/>
  <c r="T1105" i="1" s="1"/>
  <c r="V1104" i="1"/>
  <c r="V1105" i="1" s="1"/>
  <c r="W1104" i="1"/>
  <c r="W1105" i="1" s="1"/>
  <c r="X1104" i="1"/>
  <c r="X1105" i="1" s="1"/>
  <c r="Y1104" i="1"/>
  <c r="Y1105" i="1" s="1"/>
  <c r="Z1104" i="1"/>
  <c r="Z1105" i="1" s="1"/>
  <c r="A1106" i="1"/>
  <c r="A1107" i="1" s="1"/>
  <c r="B1106" i="1"/>
  <c r="B1107" i="1" s="1"/>
  <c r="C1106" i="1"/>
  <c r="C1107" i="1" s="1"/>
  <c r="D1106" i="1"/>
  <c r="D1107" i="1" s="1"/>
  <c r="E1106" i="1"/>
  <c r="E1107" i="1" s="1"/>
  <c r="F1106" i="1"/>
  <c r="G1106" i="1"/>
  <c r="H1106" i="1"/>
  <c r="I1106" i="1"/>
  <c r="J1106" i="1"/>
  <c r="K1106" i="1"/>
  <c r="M1106" i="1"/>
  <c r="N1106" i="1"/>
  <c r="P1106" i="1"/>
  <c r="P1107" i="1" s="1"/>
  <c r="Q1106" i="1"/>
  <c r="Q1107" i="1" s="1"/>
  <c r="R1106" i="1"/>
  <c r="R1107" i="1" s="1"/>
  <c r="S1106" i="1"/>
  <c r="S1107" i="1" s="1"/>
  <c r="T1106" i="1"/>
  <c r="T1107" i="1" s="1"/>
  <c r="V1106" i="1"/>
  <c r="V1107" i="1" s="1"/>
  <c r="W1106" i="1"/>
  <c r="W1107" i="1" s="1"/>
  <c r="X1106" i="1"/>
  <c r="X1107" i="1" s="1"/>
  <c r="Y1106" i="1"/>
  <c r="Y1107" i="1" s="1"/>
  <c r="Z1106" i="1"/>
  <c r="Z1107" i="1"/>
  <c r="A1108" i="1"/>
  <c r="A1109" i="1" s="1"/>
  <c r="B1108" i="1"/>
  <c r="B1109" i="1" s="1"/>
  <c r="C1108" i="1"/>
  <c r="C1109" i="1" s="1"/>
  <c r="D1108" i="1"/>
  <c r="E1108" i="1"/>
  <c r="F1108" i="1"/>
  <c r="F1109" i="1" s="1"/>
  <c r="G1108" i="1"/>
  <c r="H1108" i="1"/>
  <c r="I1108" i="1"/>
  <c r="J1108" i="1"/>
  <c r="K1108" i="1"/>
  <c r="M1108" i="1"/>
  <c r="N1108" i="1"/>
  <c r="P1108" i="1"/>
  <c r="P1109" i="1" s="1"/>
  <c r="Q1108" i="1"/>
  <c r="Q1109" i="1" s="1"/>
  <c r="R1108" i="1"/>
  <c r="R1109" i="1" s="1"/>
  <c r="S1108" i="1"/>
  <c r="S1109" i="1" s="1"/>
  <c r="T1108" i="1"/>
  <c r="T1109" i="1" s="1"/>
  <c r="V1108" i="1"/>
  <c r="V1109" i="1" s="1"/>
  <c r="W1108" i="1"/>
  <c r="W1109" i="1" s="1"/>
  <c r="X1108" i="1"/>
  <c r="X1109" i="1" s="1"/>
  <c r="Y1108" i="1"/>
  <c r="Y1109" i="1" s="1"/>
  <c r="Z1108" i="1"/>
  <c r="Z1109" i="1" s="1"/>
  <c r="E1109" i="1"/>
  <c r="A1110" i="1"/>
  <c r="A1111" i="1" s="1"/>
  <c r="B1110" i="1"/>
  <c r="B1111" i="1" s="1"/>
  <c r="C1110" i="1"/>
  <c r="C1111" i="1" s="1"/>
  <c r="D1110" i="1"/>
  <c r="D1111" i="1" s="1"/>
  <c r="E1110" i="1"/>
  <c r="E1111" i="1" s="1"/>
  <c r="F1110" i="1"/>
  <c r="G1110" i="1"/>
  <c r="H1110" i="1"/>
  <c r="I1110" i="1"/>
  <c r="J1110" i="1"/>
  <c r="K1110" i="1"/>
  <c r="M1110" i="1"/>
  <c r="N1110" i="1"/>
  <c r="P1110" i="1"/>
  <c r="P1111" i="1" s="1"/>
  <c r="Q1110" i="1"/>
  <c r="Q1111" i="1" s="1"/>
  <c r="R1110" i="1"/>
  <c r="R1111" i="1" s="1"/>
  <c r="S1110" i="1"/>
  <c r="S1111" i="1" s="1"/>
  <c r="T1110" i="1"/>
  <c r="T1111" i="1" s="1"/>
  <c r="V1110" i="1"/>
  <c r="V1111" i="1" s="1"/>
  <c r="W1110" i="1"/>
  <c r="W1111" i="1" s="1"/>
  <c r="X1110" i="1"/>
  <c r="X1111" i="1" s="1"/>
  <c r="Y1110" i="1"/>
  <c r="Y1111" i="1" s="1"/>
  <c r="Z1110" i="1"/>
  <c r="Z1111" i="1" s="1"/>
  <c r="A1112" i="1"/>
  <c r="A1113" i="1" s="1"/>
  <c r="B1112" i="1"/>
  <c r="B1113" i="1" s="1"/>
  <c r="C1112" i="1"/>
  <c r="C1113" i="1" s="1"/>
  <c r="D1112" i="1"/>
  <c r="E1112" i="1"/>
  <c r="E1113" i="1" s="1"/>
  <c r="F1112" i="1"/>
  <c r="F1113" i="1" s="1"/>
  <c r="G1112" i="1"/>
  <c r="H1112" i="1"/>
  <c r="I1112" i="1"/>
  <c r="J1112" i="1"/>
  <c r="K1112" i="1"/>
  <c r="M1112" i="1"/>
  <c r="N1112" i="1"/>
  <c r="P1112" i="1"/>
  <c r="P1113" i="1" s="1"/>
  <c r="Q1112" i="1"/>
  <c r="Q1113" i="1" s="1"/>
  <c r="R1112" i="1"/>
  <c r="R1113" i="1" s="1"/>
  <c r="S1112" i="1"/>
  <c r="S1113" i="1" s="1"/>
  <c r="T1112" i="1"/>
  <c r="T1113" i="1" s="1"/>
  <c r="V1112" i="1"/>
  <c r="V1113" i="1" s="1"/>
  <c r="W1112" i="1"/>
  <c r="W1113" i="1" s="1"/>
  <c r="X1112" i="1"/>
  <c r="X1113" i="1" s="1"/>
  <c r="Y1112" i="1"/>
  <c r="Y1113" i="1" s="1"/>
  <c r="Z1112" i="1"/>
  <c r="Z1113" i="1" s="1"/>
  <c r="A1114" i="1"/>
  <c r="A1115" i="1" s="1"/>
  <c r="B1114" i="1"/>
  <c r="B1115" i="1" s="1"/>
  <c r="C1114" i="1"/>
  <c r="C1115" i="1" s="1"/>
  <c r="D1114" i="1"/>
  <c r="E1114" i="1"/>
  <c r="F1114" i="1"/>
  <c r="G1114" i="1"/>
  <c r="H1114" i="1"/>
  <c r="I1114" i="1"/>
  <c r="J1114" i="1"/>
  <c r="K1114" i="1"/>
  <c r="M1114" i="1"/>
  <c r="N1114" i="1"/>
  <c r="P1114" i="1"/>
  <c r="P1115" i="1" s="1"/>
  <c r="Q1114" i="1"/>
  <c r="Q1115" i="1" s="1"/>
  <c r="R1114" i="1"/>
  <c r="R1115" i="1" s="1"/>
  <c r="S1114" i="1"/>
  <c r="S1115" i="1" s="1"/>
  <c r="T1114" i="1"/>
  <c r="T1115" i="1" s="1"/>
  <c r="V1114" i="1"/>
  <c r="V1115" i="1" s="1"/>
  <c r="W1114" i="1"/>
  <c r="W1115" i="1" s="1"/>
  <c r="X1114" i="1"/>
  <c r="X1115" i="1" s="1"/>
  <c r="Y1114" i="1"/>
  <c r="Y1115" i="1" s="1"/>
  <c r="Z1114" i="1"/>
  <c r="Z1115" i="1" s="1"/>
  <c r="D1115" i="1"/>
  <c r="E1115" i="1"/>
  <c r="A1116" i="1"/>
  <c r="A1117" i="1" s="1"/>
  <c r="B1116" i="1"/>
  <c r="B1117" i="1" s="1"/>
  <c r="C1116" i="1"/>
  <c r="C1117" i="1" s="1"/>
  <c r="D1116" i="1"/>
  <c r="E1116" i="1"/>
  <c r="E1117" i="1" s="1"/>
  <c r="F1116" i="1"/>
  <c r="F1117" i="1" s="1"/>
  <c r="G1116" i="1"/>
  <c r="H1116" i="1"/>
  <c r="I1116" i="1"/>
  <c r="J1116" i="1"/>
  <c r="K1116" i="1"/>
  <c r="M1116" i="1"/>
  <c r="N1116" i="1"/>
  <c r="P1116" i="1"/>
  <c r="P1117" i="1" s="1"/>
  <c r="Q1116" i="1"/>
  <c r="Q1117" i="1" s="1"/>
  <c r="R1116" i="1"/>
  <c r="R1117" i="1" s="1"/>
  <c r="S1116" i="1"/>
  <c r="S1117" i="1" s="1"/>
  <c r="T1116" i="1"/>
  <c r="T1117" i="1" s="1"/>
  <c r="V1116" i="1"/>
  <c r="V1117" i="1" s="1"/>
  <c r="W1116" i="1"/>
  <c r="W1117" i="1" s="1"/>
  <c r="X1116" i="1"/>
  <c r="X1117" i="1" s="1"/>
  <c r="Y1116" i="1"/>
  <c r="Y1117" i="1" s="1"/>
  <c r="Z1116" i="1"/>
  <c r="Z1117" i="1" s="1"/>
  <c r="A1118" i="1"/>
  <c r="A1119" i="1" s="1"/>
  <c r="B1118" i="1"/>
  <c r="B1119" i="1" s="1"/>
  <c r="C1118" i="1"/>
  <c r="C1119" i="1" s="1"/>
  <c r="D1118" i="1"/>
  <c r="D1119" i="1" s="1"/>
  <c r="E1118" i="1"/>
  <c r="E1119" i="1" s="1"/>
  <c r="F1118" i="1"/>
  <c r="F1119" i="1" s="1"/>
  <c r="G1118" i="1"/>
  <c r="H1118" i="1"/>
  <c r="I1118" i="1"/>
  <c r="J1118" i="1"/>
  <c r="K1118" i="1"/>
  <c r="M1118" i="1"/>
  <c r="N1118" i="1"/>
  <c r="P1118" i="1"/>
  <c r="P1119" i="1" s="1"/>
  <c r="Q1118" i="1"/>
  <c r="Q1119" i="1" s="1"/>
  <c r="R1118" i="1"/>
  <c r="R1119" i="1" s="1"/>
  <c r="S1118" i="1"/>
  <c r="S1119" i="1" s="1"/>
  <c r="T1118" i="1"/>
  <c r="T1119" i="1" s="1"/>
  <c r="V1118" i="1"/>
  <c r="V1119" i="1" s="1"/>
  <c r="W1118" i="1"/>
  <c r="W1119" i="1" s="1"/>
  <c r="X1118" i="1"/>
  <c r="X1119" i="1" s="1"/>
  <c r="Y1118" i="1"/>
  <c r="Z1118" i="1"/>
  <c r="Z1119" i="1" s="1"/>
  <c r="A1120" i="1"/>
  <c r="A1121" i="1" s="1"/>
  <c r="B1120" i="1"/>
  <c r="B1121" i="1" s="1"/>
  <c r="C1120" i="1"/>
  <c r="C1121" i="1" s="1"/>
  <c r="D1120" i="1"/>
  <c r="D1121" i="1" s="1"/>
  <c r="E1120" i="1"/>
  <c r="E1121" i="1" s="1"/>
  <c r="F1120" i="1"/>
  <c r="F1121" i="1" s="1"/>
  <c r="G1120" i="1"/>
  <c r="H1120" i="1"/>
  <c r="I1120" i="1"/>
  <c r="J1120" i="1"/>
  <c r="K1120" i="1"/>
  <c r="M1120" i="1"/>
  <c r="N1120" i="1"/>
  <c r="P1120" i="1"/>
  <c r="P1121" i="1" s="1"/>
  <c r="Q1120" i="1"/>
  <c r="Q1121" i="1" s="1"/>
  <c r="R1120" i="1"/>
  <c r="R1121" i="1" s="1"/>
  <c r="S1120" i="1"/>
  <c r="S1121" i="1" s="1"/>
  <c r="T1120" i="1"/>
  <c r="T1121" i="1" s="1"/>
  <c r="V1120" i="1"/>
  <c r="V1121" i="1" s="1"/>
  <c r="W1120" i="1"/>
  <c r="W1121" i="1" s="1"/>
  <c r="X1120" i="1"/>
  <c r="X1121" i="1" s="1"/>
  <c r="Y1120" i="1"/>
  <c r="Y1121" i="1" s="1"/>
  <c r="Z1120" i="1"/>
  <c r="Z1121" i="1" s="1"/>
  <c r="A1122" i="1"/>
  <c r="A1123" i="1" s="1"/>
  <c r="B1122" i="1"/>
  <c r="B1123" i="1" s="1"/>
  <c r="C1122" i="1"/>
  <c r="C1123" i="1" s="1"/>
  <c r="D1122" i="1"/>
  <c r="D1123" i="1" s="1"/>
  <c r="E1122" i="1"/>
  <c r="E1123" i="1" s="1"/>
  <c r="F1122" i="1"/>
  <c r="F1123" i="1" s="1"/>
  <c r="G1122" i="1"/>
  <c r="H1122" i="1"/>
  <c r="I1122" i="1"/>
  <c r="J1122" i="1"/>
  <c r="K1122" i="1"/>
  <c r="M1122" i="1"/>
  <c r="N1122" i="1"/>
  <c r="P1122" i="1"/>
  <c r="P1123" i="1" s="1"/>
  <c r="Q1122" i="1"/>
  <c r="Q1123" i="1" s="1"/>
  <c r="R1122" i="1"/>
  <c r="R1123" i="1" s="1"/>
  <c r="S1122" i="1"/>
  <c r="S1123" i="1" s="1"/>
  <c r="T1122" i="1"/>
  <c r="T1123" i="1" s="1"/>
  <c r="V1122" i="1"/>
  <c r="V1123" i="1" s="1"/>
  <c r="W1122" i="1"/>
  <c r="W1123" i="1" s="1"/>
  <c r="X1122" i="1"/>
  <c r="X1123" i="1" s="1"/>
  <c r="Y1122" i="1"/>
  <c r="Y1123" i="1" s="1"/>
  <c r="Z1122" i="1"/>
  <c r="Z1123" i="1" s="1"/>
  <c r="A1124" i="1"/>
  <c r="A1125" i="1" s="1"/>
  <c r="B1124" i="1"/>
  <c r="B1125" i="1" s="1"/>
  <c r="C1124" i="1"/>
  <c r="C1125" i="1" s="1"/>
  <c r="D1124" i="1"/>
  <c r="D1125" i="1" s="1"/>
  <c r="E1124" i="1"/>
  <c r="E1125" i="1" s="1"/>
  <c r="F1124" i="1"/>
  <c r="F1125" i="1" s="1"/>
  <c r="G1124" i="1"/>
  <c r="H1124" i="1"/>
  <c r="I1124" i="1"/>
  <c r="J1124" i="1"/>
  <c r="K1124" i="1"/>
  <c r="M1124" i="1"/>
  <c r="N1124" i="1"/>
  <c r="P1124" i="1"/>
  <c r="P1125" i="1" s="1"/>
  <c r="Q1124" i="1"/>
  <c r="Q1125" i="1" s="1"/>
  <c r="R1124" i="1"/>
  <c r="R1125" i="1" s="1"/>
  <c r="S1124" i="1"/>
  <c r="S1125" i="1" s="1"/>
  <c r="T1124" i="1"/>
  <c r="T1125" i="1" s="1"/>
  <c r="V1124" i="1"/>
  <c r="V1125" i="1" s="1"/>
  <c r="W1124" i="1"/>
  <c r="W1125" i="1" s="1"/>
  <c r="X1124" i="1"/>
  <c r="X1125" i="1" s="1"/>
  <c r="Y1124" i="1"/>
  <c r="Y1125" i="1" s="1"/>
  <c r="Z1124" i="1"/>
  <c r="Z1125" i="1" s="1"/>
  <c r="A1126" i="1"/>
  <c r="A1127" i="1" s="1"/>
  <c r="B1126" i="1"/>
  <c r="C1126" i="1"/>
  <c r="C1127" i="1" s="1"/>
  <c r="D1126" i="1"/>
  <c r="D1127" i="1" s="1"/>
  <c r="E1126" i="1"/>
  <c r="E1127" i="1" s="1"/>
  <c r="F1126" i="1"/>
  <c r="F1127" i="1" s="1"/>
  <c r="G1126" i="1"/>
  <c r="H1126" i="1"/>
  <c r="I1126" i="1"/>
  <c r="J1126" i="1"/>
  <c r="K1126" i="1"/>
  <c r="M1126" i="1"/>
  <c r="N1126" i="1"/>
  <c r="P1126" i="1"/>
  <c r="P1127" i="1" s="1"/>
  <c r="Q1126" i="1"/>
  <c r="Q1127" i="1" s="1"/>
  <c r="R1126" i="1"/>
  <c r="R1127" i="1" s="1"/>
  <c r="S1126" i="1"/>
  <c r="S1127" i="1" s="1"/>
  <c r="T1126" i="1"/>
  <c r="T1127" i="1" s="1"/>
  <c r="V1126" i="1"/>
  <c r="V1127" i="1" s="1"/>
  <c r="W1126" i="1"/>
  <c r="W1127" i="1" s="1"/>
  <c r="X1126" i="1"/>
  <c r="X1127" i="1" s="1"/>
  <c r="Y1126" i="1"/>
  <c r="Z1126" i="1"/>
  <c r="Z1127" i="1" s="1"/>
  <c r="B1127" i="1"/>
  <c r="A1128" i="1"/>
  <c r="A1129" i="1" s="1"/>
  <c r="B1128" i="1"/>
  <c r="B1129" i="1" s="1"/>
  <c r="C1128" i="1"/>
  <c r="C1129" i="1" s="1"/>
  <c r="D1128" i="1"/>
  <c r="E1128" i="1"/>
  <c r="E1129" i="1" s="1"/>
  <c r="F1128" i="1"/>
  <c r="F1129" i="1" s="1"/>
  <c r="G1128" i="1"/>
  <c r="H1128" i="1"/>
  <c r="I1128" i="1"/>
  <c r="J1128" i="1"/>
  <c r="K1128" i="1"/>
  <c r="M1128" i="1"/>
  <c r="N1128" i="1"/>
  <c r="P1128" i="1"/>
  <c r="P1129" i="1" s="1"/>
  <c r="Q1128" i="1"/>
  <c r="Q1129" i="1" s="1"/>
  <c r="R1128" i="1"/>
  <c r="R1129" i="1" s="1"/>
  <c r="S1128" i="1"/>
  <c r="S1129" i="1" s="1"/>
  <c r="T1128" i="1"/>
  <c r="T1129" i="1" s="1"/>
  <c r="V1128" i="1"/>
  <c r="V1129" i="1" s="1"/>
  <c r="W1128" i="1"/>
  <c r="W1129" i="1" s="1"/>
  <c r="X1128" i="1"/>
  <c r="X1129" i="1" s="1"/>
  <c r="Y1128" i="1"/>
  <c r="Y1129" i="1" s="1"/>
  <c r="Z1128" i="1"/>
  <c r="Z1129" i="1" s="1"/>
  <c r="D1129" i="1"/>
  <c r="A1130" i="1"/>
  <c r="A1131" i="1" s="1"/>
  <c r="B1130" i="1"/>
  <c r="B1131" i="1" s="1"/>
  <c r="C1130" i="1"/>
  <c r="C1131" i="1" s="1"/>
  <c r="D1130" i="1"/>
  <c r="D1131" i="1" s="1"/>
  <c r="E1130" i="1"/>
  <c r="E1131" i="1" s="1"/>
  <c r="F1130" i="1"/>
  <c r="F1131" i="1" s="1"/>
  <c r="G1130" i="1"/>
  <c r="H1130" i="1"/>
  <c r="I1130" i="1"/>
  <c r="J1130" i="1"/>
  <c r="K1130" i="1"/>
  <c r="M1130" i="1"/>
  <c r="N1130" i="1"/>
  <c r="P1130" i="1"/>
  <c r="P1131" i="1" s="1"/>
  <c r="Q1130" i="1"/>
  <c r="Q1131" i="1" s="1"/>
  <c r="R1130" i="1"/>
  <c r="R1131" i="1" s="1"/>
  <c r="S1130" i="1"/>
  <c r="S1131" i="1" s="1"/>
  <c r="T1130" i="1"/>
  <c r="T1131" i="1" s="1"/>
  <c r="V1130" i="1"/>
  <c r="V1131" i="1" s="1"/>
  <c r="W1130" i="1"/>
  <c r="W1131" i="1" s="1"/>
  <c r="X1130" i="1"/>
  <c r="X1131" i="1" s="1"/>
  <c r="Y1130" i="1"/>
  <c r="Y1131" i="1" s="1"/>
  <c r="Z1130" i="1"/>
  <c r="Z1131" i="1" s="1"/>
  <c r="A1132" i="1"/>
  <c r="A1133" i="1" s="1"/>
  <c r="B1132" i="1"/>
  <c r="B1133" i="1" s="1"/>
  <c r="C1132" i="1"/>
  <c r="C1133" i="1" s="1"/>
  <c r="D1132" i="1"/>
  <c r="D1133" i="1" s="1"/>
  <c r="E1132" i="1"/>
  <c r="E1133" i="1" s="1"/>
  <c r="F1132" i="1"/>
  <c r="F1133" i="1" s="1"/>
  <c r="G1132" i="1"/>
  <c r="H1132" i="1"/>
  <c r="I1132" i="1"/>
  <c r="J1132" i="1"/>
  <c r="K1132" i="1"/>
  <c r="M1132" i="1"/>
  <c r="N1132" i="1"/>
  <c r="P1132" i="1"/>
  <c r="P1133" i="1" s="1"/>
  <c r="Q1132" i="1"/>
  <c r="Q1133" i="1" s="1"/>
  <c r="R1132" i="1"/>
  <c r="R1133" i="1" s="1"/>
  <c r="S1132" i="1"/>
  <c r="S1133" i="1" s="1"/>
  <c r="T1132" i="1"/>
  <c r="T1133" i="1" s="1"/>
  <c r="V1132" i="1"/>
  <c r="V1133" i="1" s="1"/>
  <c r="W1132" i="1"/>
  <c r="W1133" i="1" s="1"/>
  <c r="X1132" i="1"/>
  <c r="X1133" i="1" s="1"/>
  <c r="Y1132" i="1"/>
  <c r="Y1133" i="1" s="1"/>
  <c r="Z1132" i="1"/>
  <c r="Z1133" i="1" s="1"/>
  <c r="A1134" i="1"/>
  <c r="A1135" i="1" s="1"/>
  <c r="B1134" i="1"/>
  <c r="B1135" i="1" s="1"/>
  <c r="C1134" i="1"/>
  <c r="C1135" i="1" s="1"/>
  <c r="D1134" i="1"/>
  <c r="D1135" i="1" s="1"/>
  <c r="E1134" i="1"/>
  <c r="E1135" i="1" s="1"/>
  <c r="F1134" i="1"/>
  <c r="G1134" i="1"/>
  <c r="H1134" i="1"/>
  <c r="I1134" i="1"/>
  <c r="J1134" i="1"/>
  <c r="K1134" i="1"/>
  <c r="M1134" i="1"/>
  <c r="N1134" i="1"/>
  <c r="P1134" i="1"/>
  <c r="P1135" i="1" s="1"/>
  <c r="Q1134" i="1"/>
  <c r="Q1135" i="1" s="1"/>
  <c r="R1134" i="1"/>
  <c r="R1135" i="1" s="1"/>
  <c r="S1134" i="1"/>
  <c r="S1135" i="1" s="1"/>
  <c r="T1134" i="1"/>
  <c r="T1135" i="1" s="1"/>
  <c r="V1134" i="1"/>
  <c r="V1135" i="1" s="1"/>
  <c r="W1134" i="1"/>
  <c r="W1135" i="1" s="1"/>
  <c r="X1134" i="1"/>
  <c r="X1135" i="1" s="1"/>
  <c r="Y1134" i="1"/>
  <c r="Y1135" i="1" s="1"/>
  <c r="Z1134" i="1"/>
  <c r="Z1135" i="1" s="1"/>
  <c r="A1136" i="1"/>
  <c r="A1137" i="1" s="1"/>
  <c r="B1136" i="1"/>
  <c r="B1137" i="1" s="1"/>
  <c r="C1136" i="1"/>
  <c r="C1137" i="1" s="1"/>
  <c r="D1136" i="1"/>
  <c r="D1137" i="1" s="1"/>
  <c r="E1136" i="1"/>
  <c r="E1137" i="1" s="1"/>
  <c r="F1136" i="1"/>
  <c r="F1137" i="1" s="1"/>
  <c r="G1136" i="1"/>
  <c r="H1136" i="1"/>
  <c r="I1136" i="1"/>
  <c r="J1136" i="1"/>
  <c r="K1136" i="1"/>
  <c r="M1136" i="1"/>
  <c r="N1136" i="1"/>
  <c r="P1136" i="1"/>
  <c r="Q1136" i="1"/>
  <c r="Q1137" i="1" s="1"/>
  <c r="R1136" i="1"/>
  <c r="R1137" i="1" s="1"/>
  <c r="S1136" i="1"/>
  <c r="S1137" i="1" s="1"/>
  <c r="T1136" i="1"/>
  <c r="T1137" i="1" s="1"/>
  <c r="V1136" i="1"/>
  <c r="V1137" i="1" s="1"/>
  <c r="W1136" i="1"/>
  <c r="W1137" i="1" s="1"/>
  <c r="X1136" i="1"/>
  <c r="X1137" i="1" s="1"/>
  <c r="Y1136" i="1"/>
  <c r="Y1137" i="1" s="1"/>
  <c r="Z1136" i="1"/>
  <c r="Z1137" i="1" s="1"/>
  <c r="P1137" i="1"/>
  <c r="A1138" i="1"/>
  <c r="A1139" i="1" s="1"/>
  <c r="B1138" i="1"/>
  <c r="B1139" i="1" s="1"/>
  <c r="C1138" i="1"/>
  <c r="C1139" i="1" s="1"/>
  <c r="D1138" i="1"/>
  <c r="D1139" i="1" s="1"/>
  <c r="E1138" i="1"/>
  <c r="E1139" i="1" s="1"/>
  <c r="F1138" i="1"/>
  <c r="F1139" i="1" s="1"/>
  <c r="G1138" i="1"/>
  <c r="H1138" i="1"/>
  <c r="I1138" i="1"/>
  <c r="J1138" i="1"/>
  <c r="K1138" i="1"/>
  <c r="M1138" i="1"/>
  <c r="N1138" i="1"/>
  <c r="P1138" i="1"/>
  <c r="P1139" i="1" s="1"/>
  <c r="Q1138" i="1"/>
  <c r="Q1139" i="1" s="1"/>
  <c r="R1138" i="1"/>
  <c r="R1139" i="1" s="1"/>
  <c r="S1138" i="1"/>
  <c r="S1139" i="1" s="1"/>
  <c r="T1138" i="1"/>
  <c r="T1139" i="1" s="1"/>
  <c r="V1138" i="1"/>
  <c r="V1139" i="1" s="1"/>
  <c r="W1138" i="1"/>
  <c r="W1139" i="1" s="1"/>
  <c r="X1138" i="1"/>
  <c r="X1139" i="1" s="1"/>
  <c r="Y1138" i="1"/>
  <c r="Z1138" i="1"/>
  <c r="Z1139" i="1" s="1"/>
  <c r="A1140" i="1"/>
  <c r="A1141" i="1" s="1"/>
  <c r="B1140" i="1"/>
  <c r="B1141" i="1" s="1"/>
  <c r="C1140" i="1"/>
  <c r="C1141" i="1" s="1"/>
  <c r="D1140" i="1"/>
  <c r="D1141" i="1" s="1"/>
  <c r="E1140" i="1"/>
  <c r="E1141" i="1" s="1"/>
  <c r="F1140" i="1"/>
  <c r="G1140" i="1"/>
  <c r="H1140" i="1"/>
  <c r="I1140" i="1"/>
  <c r="J1140" i="1"/>
  <c r="K1140" i="1"/>
  <c r="M1140" i="1"/>
  <c r="N1140" i="1"/>
  <c r="P1140" i="1"/>
  <c r="P1141" i="1" s="1"/>
  <c r="Q1140" i="1"/>
  <c r="Q1141" i="1" s="1"/>
  <c r="R1140" i="1"/>
  <c r="R1141" i="1" s="1"/>
  <c r="S1140" i="1"/>
  <c r="S1141" i="1" s="1"/>
  <c r="T1140" i="1"/>
  <c r="T1141" i="1" s="1"/>
  <c r="V1140" i="1"/>
  <c r="V1141" i="1" s="1"/>
  <c r="W1140" i="1"/>
  <c r="W1141" i="1" s="1"/>
  <c r="X1140" i="1"/>
  <c r="X1141" i="1" s="1"/>
  <c r="Y1140" i="1"/>
  <c r="Y1141" i="1" s="1"/>
  <c r="Z1140" i="1"/>
  <c r="Z1141" i="1" s="1"/>
  <c r="F1141" i="1"/>
  <c r="A1142" i="1"/>
  <c r="A1143" i="1" s="1"/>
  <c r="B1142" i="1"/>
  <c r="B1143" i="1" s="1"/>
  <c r="C1142" i="1"/>
  <c r="C1143" i="1" s="1"/>
  <c r="D1142" i="1"/>
  <c r="D1143" i="1" s="1"/>
  <c r="E1142" i="1"/>
  <c r="E1143" i="1" s="1"/>
  <c r="F1142" i="1"/>
  <c r="F1143" i="1" s="1"/>
  <c r="G1142" i="1"/>
  <c r="H1142" i="1"/>
  <c r="I1142" i="1"/>
  <c r="J1142" i="1"/>
  <c r="K1142" i="1"/>
  <c r="M1142" i="1"/>
  <c r="N1142" i="1"/>
  <c r="P1142" i="1"/>
  <c r="P1143" i="1" s="1"/>
  <c r="Q1142" i="1"/>
  <c r="Q1143" i="1" s="1"/>
  <c r="R1142" i="1"/>
  <c r="R1143" i="1" s="1"/>
  <c r="S1142" i="1"/>
  <c r="S1143" i="1" s="1"/>
  <c r="T1142" i="1"/>
  <c r="T1143" i="1" s="1"/>
  <c r="V1142" i="1"/>
  <c r="V1143" i="1" s="1"/>
  <c r="W1142" i="1"/>
  <c r="W1143" i="1" s="1"/>
  <c r="X1142" i="1"/>
  <c r="X1143" i="1" s="1"/>
  <c r="Y1142" i="1"/>
  <c r="Y1143" i="1" s="1"/>
  <c r="Z1142" i="1"/>
  <c r="Z1143" i="1" s="1"/>
  <c r="A1144" i="1"/>
  <c r="A1145" i="1" s="1"/>
  <c r="B1144" i="1"/>
  <c r="B1145" i="1" s="1"/>
  <c r="C1144" i="1"/>
  <c r="C1145" i="1" s="1"/>
  <c r="D1144" i="1"/>
  <c r="D1145" i="1" s="1"/>
  <c r="E1144" i="1"/>
  <c r="E1145" i="1" s="1"/>
  <c r="F1144" i="1"/>
  <c r="F1145" i="1" s="1"/>
  <c r="G1144" i="1"/>
  <c r="H1144" i="1"/>
  <c r="I1144" i="1"/>
  <c r="J1144" i="1"/>
  <c r="K1144" i="1"/>
  <c r="M1144" i="1"/>
  <c r="N1144" i="1"/>
  <c r="P1144" i="1"/>
  <c r="P1145" i="1" s="1"/>
  <c r="Q1144" i="1"/>
  <c r="Q1145" i="1" s="1"/>
  <c r="R1144" i="1"/>
  <c r="R1145" i="1" s="1"/>
  <c r="S1144" i="1"/>
  <c r="S1145" i="1" s="1"/>
  <c r="T1144" i="1"/>
  <c r="T1145" i="1" s="1"/>
  <c r="V1144" i="1"/>
  <c r="V1145" i="1" s="1"/>
  <c r="W1144" i="1"/>
  <c r="W1145" i="1" s="1"/>
  <c r="X1144" i="1"/>
  <c r="X1145" i="1" s="1"/>
  <c r="Y1144" i="1"/>
  <c r="Y1145" i="1" s="1"/>
  <c r="Z1144" i="1"/>
  <c r="Z1145" i="1" s="1"/>
  <c r="A1146" i="1"/>
  <c r="A1147" i="1" s="1"/>
  <c r="B1146" i="1"/>
  <c r="B1147" i="1" s="1"/>
  <c r="C1146" i="1"/>
  <c r="C1147" i="1" s="1"/>
  <c r="D1146" i="1"/>
  <c r="E1146" i="1"/>
  <c r="E1147" i="1" s="1"/>
  <c r="F1146" i="1"/>
  <c r="G1146" i="1"/>
  <c r="H1146" i="1"/>
  <c r="I1146" i="1"/>
  <c r="J1146" i="1"/>
  <c r="K1146" i="1"/>
  <c r="M1146" i="1"/>
  <c r="N1146" i="1"/>
  <c r="P1146" i="1"/>
  <c r="P1147" i="1" s="1"/>
  <c r="Q1146" i="1"/>
  <c r="Q1147" i="1" s="1"/>
  <c r="R1146" i="1"/>
  <c r="R1147" i="1" s="1"/>
  <c r="S1146" i="1"/>
  <c r="S1147" i="1" s="1"/>
  <c r="T1146" i="1"/>
  <c r="T1147" i="1" s="1"/>
  <c r="V1146" i="1"/>
  <c r="V1147" i="1" s="1"/>
  <c r="W1146" i="1"/>
  <c r="W1147" i="1" s="1"/>
  <c r="X1146" i="1"/>
  <c r="X1147" i="1" s="1"/>
  <c r="Y1146" i="1"/>
  <c r="Y1147" i="1" s="1"/>
  <c r="Z1146" i="1"/>
  <c r="Z1147" i="1" s="1"/>
  <c r="F1147" i="1"/>
  <c r="A1148" i="1"/>
  <c r="A1149" i="1" s="1"/>
  <c r="B1148" i="1"/>
  <c r="B1149" i="1" s="1"/>
  <c r="C1148" i="1"/>
  <c r="C1149" i="1" s="1"/>
  <c r="D1148" i="1"/>
  <c r="D1149" i="1" s="1"/>
  <c r="E1148" i="1"/>
  <c r="F1148" i="1"/>
  <c r="F1149" i="1" s="1"/>
  <c r="G1148" i="1"/>
  <c r="H1148" i="1"/>
  <c r="I1148" i="1"/>
  <c r="J1148" i="1"/>
  <c r="K1148" i="1"/>
  <c r="M1148" i="1"/>
  <c r="N1148" i="1"/>
  <c r="P1148" i="1"/>
  <c r="P1149" i="1" s="1"/>
  <c r="Q1148" i="1"/>
  <c r="Q1149" i="1" s="1"/>
  <c r="R1148" i="1"/>
  <c r="S1148" i="1"/>
  <c r="S1149" i="1" s="1"/>
  <c r="T1148" i="1"/>
  <c r="T1149" i="1" s="1"/>
  <c r="V1148" i="1"/>
  <c r="V1149" i="1" s="1"/>
  <c r="W1148" i="1"/>
  <c r="W1149" i="1" s="1"/>
  <c r="X1148" i="1"/>
  <c r="X1149" i="1" s="1"/>
  <c r="Y1148" i="1"/>
  <c r="Y1149" i="1" s="1"/>
  <c r="Z1148" i="1"/>
  <c r="Z1149" i="1" s="1"/>
  <c r="R1149" i="1"/>
  <c r="A1150" i="1"/>
  <c r="A1151" i="1" s="1"/>
  <c r="B1150" i="1"/>
  <c r="B1151" i="1" s="1"/>
  <c r="C1150" i="1"/>
  <c r="C1151" i="1" s="1"/>
  <c r="D1150" i="1"/>
  <c r="D1151" i="1" s="1"/>
  <c r="E1150" i="1"/>
  <c r="E1151" i="1" s="1"/>
  <c r="F1150" i="1"/>
  <c r="G1150" i="1"/>
  <c r="H1150" i="1"/>
  <c r="I1150" i="1"/>
  <c r="J1150" i="1"/>
  <c r="K1150" i="1"/>
  <c r="M1150" i="1"/>
  <c r="N1150" i="1"/>
  <c r="P1150" i="1"/>
  <c r="P1151" i="1" s="1"/>
  <c r="Q1150" i="1"/>
  <c r="Q1151" i="1" s="1"/>
  <c r="R1150" i="1"/>
  <c r="R1151" i="1" s="1"/>
  <c r="S1150" i="1"/>
  <c r="S1151" i="1" s="1"/>
  <c r="T1150" i="1"/>
  <c r="V1150" i="1"/>
  <c r="V1151" i="1" s="1"/>
  <c r="W1150" i="1"/>
  <c r="W1151" i="1" s="1"/>
  <c r="X1150" i="1"/>
  <c r="X1151" i="1" s="1"/>
  <c r="Y1150" i="1"/>
  <c r="Y1151" i="1" s="1"/>
  <c r="Z1150" i="1"/>
  <c r="Z1151" i="1" s="1"/>
  <c r="F1151" i="1"/>
  <c r="T1151" i="1"/>
  <c r="A1152" i="1"/>
  <c r="A1153" i="1" s="1"/>
  <c r="B1152" i="1"/>
  <c r="B1153" i="1" s="1"/>
  <c r="C1152" i="1"/>
  <c r="D1152" i="1"/>
  <c r="E1152" i="1"/>
  <c r="E1153" i="1" s="1"/>
  <c r="F1152" i="1"/>
  <c r="F1153" i="1" s="1"/>
  <c r="G1152" i="1"/>
  <c r="H1152" i="1"/>
  <c r="I1152" i="1"/>
  <c r="J1152" i="1"/>
  <c r="K1152" i="1"/>
  <c r="M1152" i="1"/>
  <c r="N1152" i="1"/>
  <c r="P1152" i="1"/>
  <c r="P1153" i="1" s="1"/>
  <c r="Q1152" i="1"/>
  <c r="Q1153" i="1" s="1"/>
  <c r="R1152" i="1"/>
  <c r="R1153" i="1" s="1"/>
  <c r="S1152" i="1"/>
  <c r="S1153" i="1" s="1"/>
  <c r="T1152" i="1"/>
  <c r="T1153" i="1" s="1"/>
  <c r="V1152" i="1"/>
  <c r="V1153" i="1" s="1"/>
  <c r="W1152" i="1"/>
  <c r="W1153" i="1" s="1"/>
  <c r="X1152" i="1"/>
  <c r="X1153" i="1" s="1"/>
  <c r="Y1152" i="1"/>
  <c r="Y1153" i="1" s="1"/>
  <c r="Z1152" i="1"/>
  <c r="Z1153" i="1" s="1"/>
  <c r="D1153" i="1"/>
  <c r="A1154" i="1"/>
  <c r="A1155" i="1" s="1"/>
  <c r="B1154" i="1"/>
  <c r="B1155" i="1" s="1"/>
  <c r="C1154" i="1"/>
  <c r="C1155" i="1" s="1"/>
  <c r="D1154" i="1"/>
  <c r="D1155" i="1" s="1"/>
  <c r="E1154" i="1"/>
  <c r="F1154" i="1"/>
  <c r="F1155" i="1" s="1"/>
  <c r="G1154" i="1"/>
  <c r="H1154" i="1"/>
  <c r="I1154" i="1"/>
  <c r="J1154" i="1"/>
  <c r="K1154" i="1"/>
  <c r="M1154" i="1"/>
  <c r="N1154" i="1"/>
  <c r="P1154" i="1"/>
  <c r="P1155" i="1" s="1"/>
  <c r="Q1154" i="1"/>
  <c r="Q1155" i="1" s="1"/>
  <c r="R1154" i="1"/>
  <c r="S1154" i="1"/>
  <c r="S1155" i="1" s="1"/>
  <c r="T1154" i="1"/>
  <c r="T1155" i="1" s="1"/>
  <c r="V1154" i="1"/>
  <c r="V1155" i="1" s="1"/>
  <c r="W1154" i="1"/>
  <c r="W1155" i="1" s="1"/>
  <c r="X1154" i="1"/>
  <c r="X1155" i="1" s="1"/>
  <c r="Y1154" i="1"/>
  <c r="Y1155" i="1" s="1"/>
  <c r="Z1154" i="1"/>
  <c r="Z1155" i="1" s="1"/>
  <c r="R1155" i="1"/>
  <c r="A1156" i="1"/>
  <c r="A1157" i="1" s="1"/>
  <c r="B1156" i="1"/>
  <c r="B1157" i="1" s="1"/>
  <c r="C1156" i="1"/>
  <c r="C1157" i="1" s="1"/>
  <c r="D1156" i="1"/>
  <c r="E1156" i="1"/>
  <c r="F1156" i="1"/>
  <c r="F1157" i="1" s="1"/>
  <c r="G1156" i="1"/>
  <c r="H1156" i="1"/>
  <c r="I1156" i="1"/>
  <c r="J1156" i="1"/>
  <c r="K1156" i="1"/>
  <c r="M1156" i="1"/>
  <c r="N1156" i="1"/>
  <c r="P1156" i="1"/>
  <c r="P1157" i="1" s="1"/>
  <c r="Q1156" i="1"/>
  <c r="Q1157" i="1" s="1"/>
  <c r="R1156" i="1"/>
  <c r="R1157" i="1" s="1"/>
  <c r="S1156" i="1"/>
  <c r="S1157" i="1" s="1"/>
  <c r="T1156" i="1"/>
  <c r="T1157" i="1" s="1"/>
  <c r="V1156" i="1"/>
  <c r="V1157" i="1" s="1"/>
  <c r="W1156" i="1"/>
  <c r="W1157" i="1" s="1"/>
  <c r="X1156" i="1"/>
  <c r="Y1156" i="1"/>
  <c r="Y1157" i="1" s="1"/>
  <c r="Z1156" i="1"/>
  <c r="Z1157" i="1" s="1"/>
  <c r="D1157" i="1"/>
  <c r="X1157" i="1"/>
  <c r="A1158" i="1"/>
  <c r="A1159" i="1" s="1"/>
  <c r="B1158" i="1"/>
  <c r="B1159" i="1" s="1"/>
  <c r="C1158" i="1"/>
  <c r="C1159" i="1" s="1"/>
  <c r="D1158" i="1"/>
  <c r="D1159" i="1" s="1"/>
  <c r="E1158" i="1"/>
  <c r="E1159" i="1" s="1"/>
  <c r="F1158" i="1"/>
  <c r="G1158" i="1"/>
  <c r="H1158" i="1"/>
  <c r="I1158" i="1"/>
  <c r="J1158" i="1"/>
  <c r="K1158" i="1"/>
  <c r="M1158" i="1"/>
  <c r="N1158" i="1"/>
  <c r="P1158" i="1"/>
  <c r="P1159" i="1" s="1"/>
  <c r="Q1158" i="1"/>
  <c r="Q1159" i="1" s="1"/>
  <c r="R1158" i="1"/>
  <c r="R1159" i="1" s="1"/>
  <c r="S1158" i="1"/>
  <c r="S1159" i="1" s="1"/>
  <c r="T1158" i="1"/>
  <c r="T1159" i="1" s="1"/>
  <c r="V1158" i="1"/>
  <c r="V1159" i="1" s="1"/>
  <c r="W1158" i="1"/>
  <c r="W1159" i="1" s="1"/>
  <c r="X1158" i="1"/>
  <c r="X1159" i="1" s="1"/>
  <c r="Y1158" i="1"/>
  <c r="Y1159" i="1" s="1"/>
  <c r="Z1158" i="1"/>
  <c r="Z1159" i="1" s="1"/>
  <c r="A1160" i="1"/>
  <c r="A1161" i="1" s="1"/>
  <c r="B1160" i="1"/>
  <c r="B1161" i="1" s="1"/>
  <c r="C1160" i="1"/>
  <c r="C1161" i="1" s="1"/>
  <c r="D1160" i="1"/>
  <c r="D1161" i="1" s="1"/>
  <c r="E1160" i="1"/>
  <c r="E1161" i="1" s="1"/>
  <c r="F1160" i="1"/>
  <c r="F1161" i="1" s="1"/>
  <c r="G1160" i="1"/>
  <c r="H1160" i="1"/>
  <c r="I1160" i="1"/>
  <c r="J1160" i="1"/>
  <c r="K1160" i="1"/>
  <c r="M1160" i="1"/>
  <c r="N1160" i="1"/>
  <c r="P1160" i="1"/>
  <c r="P1161" i="1" s="1"/>
  <c r="Q1160" i="1"/>
  <c r="Q1161" i="1" s="1"/>
  <c r="R1160" i="1"/>
  <c r="R1161" i="1" s="1"/>
  <c r="S1160" i="1"/>
  <c r="S1161" i="1" s="1"/>
  <c r="T1160" i="1"/>
  <c r="T1161" i="1" s="1"/>
  <c r="V1160" i="1"/>
  <c r="V1161" i="1" s="1"/>
  <c r="W1160" i="1"/>
  <c r="W1161" i="1" s="1"/>
  <c r="X1160" i="1"/>
  <c r="X1161" i="1" s="1"/>
  <c r="Y1160" i="1"/>
  <c r="Y1161" i="1" s="1"/>
  <c r="Z1160" i="1"/>
  <c r="Z1161" i="1" s="1"/>
  <c r="A1162" i="1"/>
  <c r="A1163" i="1" s="1"/>
  <c r="B1162" i="1"/>
  <c r="B1163" i="1" s="1"/>
  <c r="C1162" i="1"/>
  <c r="D1162" i="1"/>
  <c r="E1162" i="1"/>
  <c r="E1163" i="1" s="1"/>
  <c r="F1162" i="1"/>
  <c r="F1163" i="1" s="1"/>
  <c r="G1162" i="1"/>
  <c r="H1162" i="1"/>
  <c r="I1162" i="1"/>
  <c r="J1162" i="1"/>
  <c r="K1162" i="1"/>
  <c r="M1162" i="1"/>
  <c r="N1162" i="1"/>
  <c r="P1162" i="1"/>
  <c r="P1163" i="1" s="1"/>
  <c r="Q1162" i="1"/>
  <c r="Q1163" i="1" s="1"/>
  <c r="R1162" i="1"/>
  <c r="R1163" i="1" s="1"/>
  <c r="S1162" i="1"/>
  <c r="S1163" i="1" s="1"/>
  <c r="T1162" i="1"/>
  <c r="T1163" i="1" s="1"/>
  <c r="V1162" i="1"/>
  <c r="V1163" i="1" s="1"/>
  <c r="W1162" i="1"/>
  <c r="W1163" i="1" s="1"/>
  <c r="X1162" i="1"/>
  <c r="X1163" i="1" s="1"/>
  <c r="Y1162" i="1"/>
  <c r="Y1163" i="1" s="1"/>
  <c r="Z1162" i="1"/>
  <c r="Z1163" i="1" s="1"/>
  <c r="D1163" i="1"/>
  <c r="A1164" i="1"/>
  <c r="A1165" i="1" s="1"/>
  <c r="B1164" i="1"/>
  <c r="B1165" i="1" s="1"/>
  <c r="C1164" i="1"/>
  <c r="C1165" i="1" s="1"/>
  <c r="D1164" i="1"/>
  <c r="D1165" i="1" s="1"/>
  <c r="E1164" i="1"/>
  <c r="E1165" i="1" s="1"/>
  <c r="F1164" i="1"/>
  <c r="F1165" i="1" s="1"/>
  <c r="G1164" i="1"/>
  <c r="H1164" i="1"/>
  <c r="I1164" i="1"/>
  <c r="J1164" i="1"/>
  <c r="K1164" i="1"/>
  <c r="M1164" i="1"/>
  <c r="N1164" i="1"/>
  <c r="P1164" i="1"/>
  <c r="P1165" i="1" s="1"/>
  <c r="Q1164" i="1"/>
  <c r="Q1165" i="1" s="1"/>
  <c r="R1164" i="1"/>
  <c r="R1165" i="1" s="1"/>
  <c r="S1164" i="1"/>
  <c r="S1165" i="1" s="1"/>
  <c r="T1164" i="1"/>
  <c r="T1165" i="1" s="1"/>
  <c r="V1164" i="1"/>
  <c r="V1165" i="1" s="1"/>
  <c r="W1164" i="1"/>
  <c r="W1165" i="1" s="1"/>
  <c r="X1164" i="1"/>
  <c r="X1165" i="1" s="1"/>
  <c r="Y1164" i="1"/>
  <c r="Y1165" i="1" s="1"/>
  <c r="Z1164" i="1"/>
  <c r="Z1165" i="1" s="1"/>
  <c r="A1166" i="1"/>
  <c r="A1167" i="1" s="1"/>
  <c r="B1166" i="1"/>
  <c r="B1167" i="1" s="1"/>
  <c r="C1166" i="1"/>
  <c r="C1167" i="1" s="1"/>
  <c r="D1166" i="1"/>
  <c r="D1167" i="1" s="1"/>
  <c r="E1166" i="1"/>
  <c r="E1167" i="1" s="1"/>
  <c r="F1166" i="1"/>
  <c r="F1167" i="1" s="1"/>
  <c r="G1166" i="1"/>
  <c r="H1166" i="1"/>
  <c r="I1166" i="1"/>
  <c r="J1166" i="1"/>
  <c r="K1166" i="1"/>
  <c r="M1166" i="1"/>
  <c r="N1166" i="1"/>
  <c r="P1166" i="1"/>
  <c r="P1167" i="1" s="1"/>
  <c r="Q1166" i="1"/>
  <c r="Q1167" i="1" s="1"/>
  <c r="R1166" i="1"/>
  <c r="R1167" i="1" s="1"/>
  <c r="S1166" i="1"/>
  <c r="S1167" i="1" s="1"/>
  <c r="T1166" i="1"/>
  <c r="T1167" i="1" s="1"/>
  <c r="V1166" i="1"/>
  <c r="V1167" i="1" s="1"/>
  <c r="W1166" i="1"/>
  <c r="W1167" i="1" s="1"/>
  <c r="X1166" i="1"/>
  <c r="X1167" i="1" s="1"/>
  <c r="Y1166" i="1"/>
  <c r="Y1167" i="1" s="1"/>
  <c r="Z1166" i="1"/>
  <c r="Z1167" i="1" s="1"/>
  <c r="A1168" i="1"/>
  <c r="A1169" i="1" s="1"/>
  <c r="B1168" i="1"/>
  <c r="B1169" i="1" s="1"/>
  <c r="C1168" i="1"/>
  <c r="D1168" i="1"/>
  <c r="E1168" i="1"/>
  <c r="E1169" i="1" s="1"/>
  <c r="F1168" i="1"/>
  <c r="F1169" i="1" s="1"/>
  <c r="G1168" i="1"/>
  <c r="H1168" i="1"/>
  <c r="I1168" i="1"/>
  <c r="J1168" i="1"/>
  <c r="K1168" i="1"/>
  <c r="M1168" i="1"/>
  <c r="N1168" i="1"/>
  <c r="P1168" i="1"/>
  <c r="P1169" i="1" s="1"/>
  <c r="Q1168" i="1"/>
  <c r="Q1169" i="1" s="1"/>
  <c r="R1168" i="1"/>
  <c r="R1169" i="1" s="1"/>
  <c r="S1168" i="1"/>
  <c r="S1169" i="1" s="1"/>
  <c r="T1168" i="1"/>
  <c r="T1169" i="1" s="1"/>
  <c r="V1168" i="1"/>
  <c r="V1169" i="1" s="1"/>
  <c r="W1168" i="1"/>
  <c r="W1169" i="1" s="1"/>
  <c r="X1168" i="1"/>
  <c r="X1169" i="1" s="1"/>
  <c r="Y1168" i="1"/>
  <c r="Y1169" i="1" s="1"/>
  <c r="Z1168" i="1"/>
  <c r="D1169" i="1"/>
  <c r="Z1169" i="1"/>
  <c r="A1170" i="1"/>
  <c r="A1171" i="1" s="1"/>
  <c r="B1170" i="1"/>
  <c r="B1171" i="1" s="1"/>
  <c r="C1170" i="1"/>
  <c r="C1171" i="1" s="1"/>
  <c r="D1170" i="1"/>
  <c r="D1171" i="1" s="1"/>
  <c r="E1170" i="1"/>
  <c r="E1171" i="1" s="1"/>
  <c r="F1170" i="1"/>
  <c r="G1170" i="1"/>
  <c r="H1170" i="1"/>
  <c r="I1170" i="1"/>
  <c r="J1170" i="1"/>
  <c r="K1170" i="1"/>
  <c r="M1170" i="1"/>
  <c r="N1170" i="1"/>
  <c r="P1170" i="1"/>
  <c r="P1171" i="1" s="1"/>
  <c r="Q1170" i="1"/>
  <c r="Q1171" i="1" s="1"/>
  <c r="R1170" i="1"/>
  <c r="R1171" i="1" s="1"/>
  <c r="S1170" i="1"/>
  <c r="S1171" i="1" s="1"/>
  <c r="T1170" i="1"/>
  <c r="T1171" i="1" s="1"/>
  <c r="V1170" i="1"/>
  <c r="W1170" i="1"/>
  <c r="W1171" i="1" s="1"/>
  <c r="X1170" i="1"/>
  <c r="X1171" i="1" s="1"/>
  <c r="Y1170" i="1"/>
  <c r="Y1171" i="1" s="1"/>
  <c r="Z1170" i="1"/>
  <c r="Z1171" i="1" s="1"/>
  <c r="V1171" i="1"/>
  <c r="A1172" i="1"/>
  <c r="A1173" i="1" s="1"/>
  <c r="B1172" i="1"/>
  <c r="B1173" i="1" s="1"/>
  <c r="C1172" i="1"/>
  <c r="C1173" i="1" s="1"/>
  <c r="D1172" i="1"/>
  <c r="D1173" i="1" s="1"/>
  <c r="E1172" i="1"/>
  <c r="E1173" i="1" s="1"/>
  <c r="F1172" i="1"/>
  <c r="F1173" i="1" s="1"/>
  <c r="G1172" i="1"/>
  <c r="H1172" i="1"/>
  <c r="I1172" i="1"/>
  <c r="J1172" i="1"/>
  <c r="K1172" i="1"/>
  <c r="M1172" i="1"/>
  <c r="N1172" i="1"/>
  <c r="P1172" i="1"/>
  <c r="P1173" i="1" s="1"/>
  <c r="Q1172" i="1"/>
  <c r="Q1173" i="1" s="1"/>
  <c r="R1172" i="1"/>
  <c r="R1173" i="1" s="1"/>
  <c r="S1172" i="1"/>
  <c r="S1173" i="1" s="1"/>
  <c r="T1172" i="1"/>
  <c r="T1173" i="1" s="1"/>
  <c r="V1172" i="1"/>
  <c r="V1173" i="1" s="1"/>
  <c r="W1172" i="1"/>
  <c r="W1173" i="1" s="1"/>
  <c r="X1172" i="1"/>
  <c r="X1173" i="1" s="1"/>
  <c r="Y1172" i="1"/>
  <c r="Y1173" i="1" s="1"/>
  <c r="Z1172" i="1"/>
  <c r="Z1173" i="1" s="1"/>
  <c r="A1174" i="1"/>
  <c r="A1175" i="1" s="1"/>
  <c r="B1174" i="1"/>
  <c r="B1175" i="1" s="1"/>
  <c r="C1174" i="1"/>
  <c r="D1174" i="1"/>
  <c r="E1174" i="1"/>
  <c r="E1175" i="1" s="1"/>
  <c r="F1174" i="1"/>
  <c r="F1175" i="1" s="1"/>
  <c r="G1174" i="1"/>
  <c r="H1174" i="1"/>
  <c r="I1174" i="1"/>
  <c r="J1174" i="1"/>
  <c r="K1174" i="1"/>
  <c r="M1174" i="1"/>
  <c r="N1174" i="1"/>
  <c r="P1174" i="1"/>
  <c r="P1175" i="1" s="1"/>
  <c r="Q1174" i="1"/>
  <c r="Q1175" i="1" s="1"/>
  <c r="R1174" i="1"/>
  <c r="R1175" i="1" s="1"/>
  <c r="S1174" i="1"/>
  <c r="S1175" i="1" s="1"/>
  <c r="T1174" i="1"/>
  <c r="T1175" i="1" s="1"/>
  <c r="V1174" i="1"/>
  <c r="V1175" i="1" s="1"/>
  <c r="W1174" i="1"/>
  <c r="X1174" i="1"/>
  <c r="X1175" i="1" s="1"/>
  <c r="Y1174" i="1"/>
  <c r="Y1175" i="1" s="1"/>
  <c r="Z1174" i="1"/>
  <c r="Z1175" i="1" s="1"/>
  <c r="W1175" i="1"/>
  <c r="A1176" i="1"/>
  <c r="A1177" i="1" s="1"/>
  <c r="B1176" i="1"/>
  <c r="B1177" i="1" s="1"/>
  <c r="C1176" i="1"/>
  <c r="D1176" i="1"/>
  <c r="D1177" i="1" s="1"/>
  <c r="E1176" i="1"/>
  <c r="E1177" i="1" s="1"/>
  <c r="F1176" i="1"/>
  <c r="G1176" i="1"/>
  <c r="H1176" i="1"/>
  <c r="I1176" i="1"/>
  <c r="J1176" i="1"/>
  <c r="K1176" i="1"/>
  <c r="M1176" i="1"/>
  <c r="N1176" i="1"/>
  <c r="P1176" i="1"/>
  <c r="P1177" i="1" s="1"/>
  <c r="Q1176" i="1"/>
  <c r="Q1177" i="1" s="1"/>
  <c r="R1176" i="1"/>
  <c r="R1177" i="1" s="1"/>
  <c r="S1176" i="1"/>
  <c r="S1177" i="1" s="1"/>
  <c r="T1176" i="1"/>
  <c r="T1177" i="1" s="1"/>
  <c r="V1176" i="1"/>
  <c r="W1176" i="1"/>
  <c r="W1177" i="1" s="1"/>
  <c r="X1176" i="1"/>
  <c r="X1177" i="1" s="1"/>
  <c r="Y1176" i="1"/>
  <c r="Y1177" i="1" s="1"/>
  <c r="Z1176" i="1"/>
  <c r="Z1177" i="1" s="1"/>
  <c r="F1177" i="1"/>
  <c r="V1177" i="1"/>
  <c r="A1178" i="1"/>
  <c r="A1179" i="1" s="1"/>
  <c r="B1178" i="1"/>
  <c r="B1179" i="1" s="1"/>
  <c r="C1178" i="1"/>
  <c r="C1179" i="1" s="1"/>
  <c r="D1178" i="1"/>
  <c r="E1178" i="1"/>
  <c r="E1179" i="1" s="1"/>
  <c r="F1178" i="1"/>
  <c r="F1179" i="1" s="1"/>
  <c r="G1178" i="1"/>
  <c r="H1178" i="1"/>
  <c r="I1178" i="1"/>
  <c r="J1178" i="1"/>
  <c r="K1178" i="1"/>
  <c r="M1178" i="1"/>
  <c r="N1178" i="1"/>
  <c r="P1178" i="1"/>
  <c r="P1179" i="1" s="1"/>
  <c r="Q1178" i="1"/>
  <c r="Q1179" i="1" s="1"/>
  <c r="R1178" i="1"/>
  <c r="R1179" i="1" s="1"/>
  <c r="S1178" i="1"/>
  <c r="S1179" i="1" s="1"/>
  <c r="T1178" i="1"/>
  <c r="T1179" i="1" s="1"/>
  <c r="V1178" i="1"/>
  <c r="V1179" i="1" s="1"/>
  <c r="W1178" i="1"/>
  <c r="W1179" i="1" s="1"/>
  <c r="X1178" i="1"/>
  <c r="X1179" i="1" s="1"/>
  <c r="Y1178" i="1"/>
  <c r="Y1179" i="1" s="1"/>
  <c r="Z1178" i="1"/>
  <c r="Z1179" i="1" s="1"/>
  <c r="D1179" i="1"/>
  <c r="A1180" i="1"/>
  <c r="A1181" i="1" s="1"/>
  <c r="B1180" i="1"/>
  <c r="B1181" i="1" s="1"/>
  <c r="C1180" i="1"/>
  <c r="D1180" i="1"/>
  <c r="D1181" i="1" s="1"/>
  <c r="E1180" i="1"/>
  <c r="E1181" i="1" s="1"/>
  <c r="F1180" i="1"/>
  <c r="G1180" i="1"/>
  <c r="H1180" i="1"/>
  <c r="I1180" i="1"/>
  <c r="J1180" i="1"/>
  <c r="K1180" i="1"/>
  <c r="M1180" i="1"/>
  <c r="N1180" i="1"/>
  <c r="P1180" i="1"/>
  <c r="P1181" i="1" s="1"/>
  <c r="Q1180" i="1"/>
  <c r="Q1181" i="1" s="1"/>
  <c r="R1180" i="1"/>
  <c r="R1181" i="1" s="1"/>
  <c r="S1180" i="1"/>
  <c r="S1181" i="1" s="1"/>
  <c r="T1180" i="1"/>
  <c r="T1181" i="1" s="1"/>
  <c r="V1180" i="1"/>
  <c r="V1181" i="1" s="1"/>
  <c r="W1180" i="1"/>
  <c r="W1181" i="1" s="1"/>
  <c r="X1180" i="1"/>
  <c r="X1181" i="1" s="1"/>
  <c r="Y1180" i="1"/>
  <c r="Y1181" i="1" s="1"/>
  <c r="Z1180" i="1"/>
  <c r="Z1181" i="1" s="1"/>
  <c r="F1181" i="1"/>
  <c r="A1182" i="1"/>
  <c r="A1183" i="1" s="1"/>
  <c r="B1182" i="1"/>
  <c r="B1183" i="1" s="1"/>
  <c r="C1182" i="1"/>
  <c r="D1182" i="1"/>
  <c r="D1183" i="1" s="1"/>
  <c r="E1182" i="1"/>
  <c r="F1182" i="1"/>
  <c r="F1183" i="1" s="1"/>
  <c r="G1182" i="1"/>
  <c r="H1182" i="1"/>
  <c r="I1182" i="1"/>
  <c r="J1182" i="1"/>
  <c r="K1182" i="1"/>
  <c r="M1182" i="1"/>
  <c r="N1182" i="1"/>
  <c r="P1182" i="1"/>
  <c r="P1183" i="1" s="1"/>
  <c r="Q1182" i="1"/>
  <c r="Q1183" i="1" s="1"/>
  <c r="R1182" i="1"/>
  <c r="R1183" i="1" s="1"/>
  <c r="S1182" i="1"/>
  <c r="S1183" i="1" s="1"/>
  <c r="T1182" i="1"/>
  <c r="T1183" i="1" s="1"/>
  <c r="V1182" i="1"/>
  <c r="V1183" i="1" s="1"/>
  <c r="W1182" i="1"/>
  <c r="W1183" i="1" s="1"/>
  <c r="X1182" i="1"/>
  <c r="X1183" i="1" s="1"/>
  <c r="Y1182" i="1"/>
  <c r="Y1183" i="1" s="1"/>
  <c r="Z1182" i="1"/>
  <c r="Z1183" i="1" s="1"/>
  <c r="A1184" i="1"/>
  <c r="A1185" i="1" s="1"/>
  <c r="B1184" i="1"/>
  <c r="B1185" i="1" s="1"/>
  <c r="C1184" i="1"/>
  <c r="D1184" i="1"/>
  <c r="D1185" i="1" s="1"/>
  <c r="E1184" i="1"/>
  <c r="E1185" i="1" s="1"/>
  <c r="F1184" i="1"/>
  <c r="F1185" i="1" s="1"/>
  <c r="G1184" i="1"/>
  <c r="H1184" i="1"/>
  <c r="I1184" i="1"/>
  <c r="J1184" i="1"/>
  <c r="K1184" i="1"/>
  <c r="M1184" i="1"/>
  <c r="N1184" i="1"/>
  <c r="P1184" i="1"/>
  <c r="P1185" i="1" s="1"/>
  <c r="Q1184" i="1"/>
  <c r="Q1185" i="1" s="1"/>
  <c r="R1184" i="1"/>
  <c r="R1185" i="1" s="1"/>
  <c r="S1184" i="1"/>
  <c r="S1185" i="1" s="1"/>
  <c r="T1184" i="1"/>
  <c r="T1185" i="1" s="1"/>
  <c r="V1184" i="1"/>
  <c r="V1185" i="1" s="1"/>
  <c r="W1184" i="1"/>
  <c r="W1185" i="1" s="1"/>
  <c r="X1184" i="1"/>
  <c r="X1185" i="1" s="1"/>
  <c r="Y1184" i="1"/>
  <c r="Z1184" i="1"/>
  <c r="Z1185" i="1" s="1"/>
  <c r="A1186" i="1"/>
  <c r="A1187" i="1" s="1"/>
  <c r="B1186" i="1"/>
  <c r="B1187" i="1" s="1"/>
  <c r="C1186" i="1"/>
  <c r="D1186" i="1"/>
  <c r="E1186" i="1"/>
  <c r="E1187" i="1" s="1"/>
  <c r="F1186" i="1"/>
  <c r="F1187" i="1" s="1"/>
  <c r="G1186" i="1"/>
  <c r="H1186" i="1"/>
  <c r="I1186" i="1"/>
  <c r="J1186" i="1"/>
  <c r="K1186" i="1"/>
  <c r="M1186" i="1"/>
  <c r="N1186" i="1"/>
  <c r="P1186" i="1"/>
  <c r="P1187" i="1" s="1"/>
  <c r="Q1186" i="1"/>
  <c r="Q1187" i="1" s="1"/>
  <c r="R1186" i="1"/>
  <c r="R1187" i="1" s="1"/>
  <c r="S1186" i="1"/>
  <c r="S1187" i="1" s="1"/>
  <c r="T1186" i="1"/>
  <c r="T1187" i="1" s="1"/>
  <c r="V1186" i="1"/>
  <c r="V1187" i="1" s="1"/>
  <c r="W1186" i="1"/>
  <c r="W1187" i="1" s="1"/>
  <c r="X1186" i="1"/>
  <c r="X1187" i="1" s="1"/>
  <c r="Y1186" i="1"/>
  <c r="Y1187" i="1" s="1"/>
  <c r="Z1186" i="1"/>
  <c r="Z1187" i="1" s="1"/>
  <c r="D1187" i="1"/>
  <c r="A1188" i="1"/>
  <c r="A1189" i="1" s="1"/>
  <c r="B1188" i="1"/>
  <c r="B1189" i="1" s="1"/>
  <c r="C1188" i="1"/>
  <c r="C1189" i="1" s="1"/>
  <c r="D1188" i="1"/>
  <c r="E1188" i="1"/>
  <c r="E1189" i="1" s="1"/>
  <c r="F1188" i="1"/>
  <c r="F1189" i="1" s="1"/>
  <c r="G1188" i="1"/>
  <c r="H1188" i="1"/>
  <c r="I1188" i="1"/>
  <c r="J1188" i="1"/>
  <c r="K1188" i="1"/>
  <c r="M1188" i="1"/>
  <c r="N1188" i="1"/>
  <c r="P1188" i="1"/>
  <c r="P1189" i="1" s="1"/>
  <c r="Q1188" i="1"/>
  <c r="Q1189" i="1" s="1"/>
  <c r="R1188" i="1"/>
  <c r="R1189" i="1" s="1"/>
  <c r="S1188" i="1"/>
  <c r="S1189" i="1" s="1"/>
  <c r="T1188" i="1"/>
  <c r="T1189" i="1" s="1"/>
  <c r="V1188" i="1"/>
  <c r="V1189" i="1" s="1"/>
  <c r="W1188" i="1"/>
  <c r="W1189" i="1" s="1"/>
  <c r="X1188" i="1"/>
  <c r="X1189" i="1" s="1"/>
  <c r="Y1188" i="1"/>
  <c r="Y1189" i="1" s="1"/>
  <c r="Z1188" i="1"/>
  <c r="Z1189" i="1" s="1"/>
  <c r="A1190" i="1"/>
  <c r="A1191" i="1" s="1"/>
  <c r="B1190" i="1"/>
  <c r="B1191" i="1" s="1"/>
  <c r="C1190" i="1"/>
  <c r="C1191" i="1" s="1"/>
  <c r="D1190" i="1"/>
  <c r="E1190" i="1"/>
  <c r="E1191" i="1" s="1"/>
  <c r="F1190" i="1"/>
  <c r="F1191" i="1" s="1"/>
  <c r="G1190" i="1"/>
  <c r="H1190" i="1"/>
  <c r="I1190" i="1"/>
  <c r="J1190" i="1"/>
  <c r="K1190" i="1"/>
  <c r="M1190" i="1"/>
  <c r="N1190" i="1"/>
  <c r="P1190" i="1"/>
  <c r="P1191" i="1" s="1"/>
  <c r="Q1190" i="1"/>
  <c r="Q1191" i="1" s="1"/>
  <c r="R1190" i="1"/>
  <c r="R1191" i="1" s="1"/>
  <c r="S1190" i="1"/>
  <c r="S1191" i="1" s="1"/>
  <c r="T1190" i="1"/>
  <c r="T1191" i="1" s="1"/>
  <c r="V1190" i="1"/>
  <c r="V1191" i="1" s="1"/>
  <c r="W1190" i="1"/>
  <c r="W1191" i="1" s="1"/>
  <c r="X1190" i="1"/>
  <c r="X1191" i="1" s="1"/>
  <c r="Y1190" i="1"/>
  <c r="Y1191" i="1" s="1"/>
  <c r="Z1190" i="1"/>
  <c r="Z1191" i="1" s="1"/>
  <c r="A1192" i="1"/>
  <c r="A1193" i="1" s="1"/>
  <c r="B1192" i="1"/>
  <c r="B1193" i="1" s="1"/>
  <c r="C1192" i="1"/>
  <c r="D1192" i="1"/>
  <c r="D1193" i="1" s="1"/>
  <c r="E1192" i="1"/>
  <c r="E1193" i="1" s="1"/>
  <c r="F1192" i="1"/>
  <c r="G1192" i="1"/>
  <c r="H1192" i="1"/>
  <c r="I1192" i="1"/>
  <c r="J1192" i="1"/>
  <c r="K1192" i="1"/>
  <c r="M1192" i="1"/>
  <c r="N1192" i="1"/>
  <c r="P1192" i="1"/>
  <c r="P1193" i="1" s="1"/>
  <c r="Q1192" i="1"/>
  <c r="Q1193" i="1" s="1"/>
  <c r="R1192" i="1"/>
  <c r="R1193" i="1" s="1"/>
  <c r="S1192" i="1"/>
  <c r="S1193" i="1" s="1"/>
  <c r="T1192" i="1"/>
  <c r="T1193" i="1" s="1"/>
  <c r="V1192" i="1"/>
  <c r="V1193" i="1" s="1"/>
  <c r="W1192" i="1"/>
  <c r="W1193" i="1" s="1"/>
  <c r="X1192" i="1"/>
  <c r="X1193" i="1" s="1"/>
  <c r="Y1192" i="1"/>
  <c r="Y1193" i="1" s="1"/>
  <c r="Z1192" i="1"/>
  <c r="Z1193" i="1" s="1"/>
  <c r="F1193" i="1"/>
  <c r="A1194" i="1"/>
  <c r="A1195" i="1" s="1"/>
  <c r="B1194" i="1"/>
  <c r="C1194" i="1"/>
  <c r="C1195" i="1" s="1"/>
  <c r="D1194" i="1"/>
  <c r="D1195" i="1" s="1"/>
  <c r="E1194" i="1"/>
  <c r="E1195" i="1" s="1"/>
  <c r="F1194" i="1"/>
  <c r="F1195" i="1" s="1"/>
  <c r="G1194" i="1"/>
  <c r="H1194" i="1"/>
  <c r="I1194" i="1"/>
  <c r="J1194" i="1"/>
  <c r="K1194" i="1"/>
  <c r="M1194" i="1"/>
  <c r="N1194" i="1"/>
  <c r="P1194" i="1"/>
  <c r="P1195" i="1" s="1"/>
  <c r="Q1194" i="1"/>
  <c r="Q1195" i="1" s="1"/>
  <c r="R1194" i="1"/>
  <c r="R1195" i="1" s="1"/>
  <c r="S1194" i="1"/>
  <c r="S1195" i="1" s="1"/>
  <c r="T1194" i="1"/>
  <c r="T1195" i="1" s="1"/>
  <c r="V1194" i="1"/>
  <c r="V1195" i="1" s="1"/>
  <c r="W1194" i="1"/>
  <c r="W1195" i="1" s="1"/>
  <c r="X1194" i="1"/>
  <c r="X1195" i="1" s="1"/>
  <c r="Y1194" i="1"/>
  <c r="Z1194" i="1"/>
  <c r="Z1195" i="1" s="1"/>
  <c r="B1195" i="1"/>
  <c r="A1196" i="1"/>
  <c r="A1197" i="1" s="1"/>
  <c r="B1196" i="1"/>
  <c r="B1197" i="1" s="1"/>
  <c r="C1196" i="1"/>
  <c r="C1197" i="1" s="1"/>
  <c r="D1196" i="1"/>
  <c r="E1196" i="1"/>
  <c r="E1197" i="1" s="1"/>
  <c r="F1196" i="1"/>
  <c r="F1197" i="1" s="1"/>
  <c r="G1196" i="1"/>
  <c r="H1196" i="1"/>
  <c r="I1196" i="1"/>
  <c r="J1196" i="1"/>
  <c r="K1196" i="1"/>
  <c r="M1196" i="1"/>
  <c r="N1196" i="1"/>
  <c r="P1196" i="1"/>
  <c r="P1197" i="1" s="1"/>
  <c r="Q1196" i="1"/>
  <c r="Q1197" i="1" s="1"/>
  <c r="R1196" i="1"/>
  <c r="R1197" i="1" s="1"/>
  <c r="S1196" i="1"/>
  <c r="S1197" i="1" s="1"/>
  <c r="T1196" i="1"/>
  <c r="T1197" i="1" s="1"/>
  <c r="V1196" i="1"/>
  <c r="V1197" i="1" s="1"/>
  <c r="W1196" i="1"/>
  <c r="W1197" i="1" s="1"/>
  <c r="X1196" i="1"/>
  <c r="X1197" i="1" s="1"/>
  <c r="Y1196" i="1"/>
  <c r="Y1197" i="1" s="1"/>
  <c r="Z1196" i="1"/>
  <c r="Z1197" i="1" s="1"/>
  <c r="A1198" i="1"/>
  <c r="A1199" i="1" s="1"/>
  <c r="B1198" i="1"/>
  <c r="B1199" i="1" s="1"/>
  <c r="C1198" i="1"/>
  <c r="C1199" i="1" s="1"/>
  <c r="D1198" i="1"/>
  <c r="E1198" i="1"/>
  <c r="E1199" i="1" s="1"/>
  <c r="F1198" i="1"/>
  <c r="F1199" i="1" s="1"/>
  <c r="G1198" i="1"/>
  <c r="H1198" i="1"/>
  <c r="I1198" i="1"/>
  <c r="J1198" i="1"/>
  <c r="K1198" i="1"/>
  <c r="M1198" i="1"/>
  <c r="N1198" i="1"/>
  <c r="P1198" i="1"/>
  <c r="P1199" i="1" s="1"/>
  <c r="Q1198" i="1"/>
  <c r="Q1199" i="1" s="1"/>
  <c r="R1198" i="1"/>
  <c r="R1199" i="1" s="1"/>
  <c r="S1198" i="1"/>
  <c r="S1199" i="1" s="1"/>
  <c r="T1198" i="1"/>
  <c r="T1199" i="1" s="1"/>
  <c r="V1198" i="1"/>
  <c r="V1199" i="1" s="1"/>
  <c r="W1198" i="1"/>
  <c r="W1199" i="1" s="1"/>
  <c r="X1198" i="1"/>
  <c r="X1199" i="1" s="1"/>
  <c r="Y1198" i="1"/>
  <c r="Y1199" i="1" s="1"/>
  <c r="Z1198" i="1"/>
  <c r="Z1199" i="1" s="1"/>
  <c r="A1200" i="1"/>
  <c r="A1201" i="1" s="1"/>
  <c r="B1200" i="1"/>
  <c r="B1201" i="1" s="1"/>
  <c r="C1200" i="1"/>
  <c r="C1201" i="1" s="1"/>
  <c r="D1200" i="1"/>
  <c r="E1200" i="1"/>
  <c r="E1201" i="1" s="1"/>
  <c r="F1200" i="1"/>
  <c r="F1201" i="1" s="1"/>
  <c r="G1200" i="1"/>
  <c r="H1200" i="1"/>
  <c r="I1200" i="1"/>
  <c r="J1200" i="1"/>
  <c r="K1200" i="1"/>
  <c r="M1200" i="1"/>
  <c r="N1200" i="1"/>
  <c r="P1200" i="1"/>
  <c r="P1201" i="1" s="1"/>
  <c r="Q1200" i="1"/>
  <c r="Q1201" i="1" s="1"/>
  <c r="R1200" i="1"/>
  <c r="R1201" i="1" s="1"/>
  <c r="S1200" i="1"/>
  <c r="S1201" i="1" s="1"/>
  <c r="T1200" i="1"/>
  <c r="T1201" i="1" s="1"/>
  <c r="V1200" i="1"/>
  <c r="V1201" i="1" s="1"/>
  <c r="W1200" i="1"/>
  <c r="W1201" i="1" s="1"/>
  <c r="X1200" i="1"/>
  <c r="X1201" i="1" s="1"/>
  <c r="Y1200" i="1"/>
  <c r="Y1201" i="1" s="1"/>
  <c r="Z1200" i="1"/>
  <c r="Z1201" i="1" s="1"/>
  <c r="A1202" i="1"/>
  <c r="A1203" i="1" s="1"/>
  <c r="B1202" i="1"/>
  <c r="B1203" i="1" s="1"/>
  <c r="C1202" i="1"/>
  <c r="C1203" i="1" s="1"/>
  <c r="D1202" i="1"/>
  <c r="D1203" i="1" s="1"/>
  <c r="E1202" i="1"/>
  <c r="E1203" i="1" s="1"/>
  <c r="F1202" i="1"/>
  <c r="G1202" i="1"/>
  <c r="H1202" i="1"/>
  <c r="I1202" i="1"/>
  <c r="J1202" i="1"/>
  <c r="K1202" i="1"/>
  <c r="M1202" i="1"/>
  <c r="N1202" i="1"/>
  <c r="P1202" i="1"/>
  <c r="P1203" i="1" s="1"/>
  <c r="Q1202" i="1"/>
  <c r="Q1203" i="1" s="1"/>
  <c r="R1202" i="1"/>
  <c r="R1203" i="1" s="1"/>
  <c r="S1202" i="1"/>
  <c r="S1203" i="1" s="1"/>
  <c r="T1202" i="1"/>
  <c r="T1203" i="1" s="1"/>
  <c r="V1202" i="1"/>
  <c r="V1203" i="1" s="1"/>
  <c r="W1202" i="1"/>
  <c r="W1203" i="1" s="1"/>
  <c r="X1202" i="1"/>
  <c r="X1203" i="1" s="1"/>
  <c r="Y1202" i="1"/>
  <c r="Y1203" i="1" s="1"/>
  <c r="Z1202" i="1"/>
  <c r="Z1203" i="1" s="1"/>
  <c r="A1204" i="1"/>
  <c r="A1205" i="1" s="1"/>
  <c r="B1204" i="1"/>
  <c r="B1205" i="1" s="1"/>
  <c r="C1204" i="1"/>
  <c r="C1205" i="1" s="1"/>
  <c r="D1204" i="1"/>
  <c r="D1205" i="1" s="1"/>
  <c r="E1204" i="1"/>
  <c r="F1204" i="1"/>
  <c r="F1205" i="1" s="1"/>
  <c r="G1204" i="1"/>
  <c r="H1204" i="1"/>
  <c r="I1204" i="1"/>
  <c r="J1204" i="1"/>
  <c r="K1204" i="1"/>
  <c r="M1204" i="1"/>
  <c r="N1204" i="1"/>
  <c r="P1204" i="1"/>
  <c r="P1205" i="1" s="1"/>
  <c r="Q1204" i="1"/>
  <c r="Q1205" i="1" s="1"/>
  <c r="R1204" i="1"/>
  <c r="R1205" i="1" s="1"/>
  <c r="S1204" i="1"/>
  <c r="S1205" i="1" s="1"/>
  <c r="T1204" i="1"/>
  <c r="T1205" i="1" s="1"/>
  <c r="V1204" i="1"/>
  <c r="V1205" i="1" s="1"/>
  <c r="W1204" i="1"/>
  <c r="W1205" i="1" s="1"/>
  <c r="X1204" i="1"/>
  <c r="X1205" i="1" s="1"/>
  <c r="Y1204" i="1"/>
  <c r="Z1204" i="1"/>
  <c r="Z1205" i="1" s="1"/>
  <c r="A1206" i="1"/>
  <c r="A1207" i="1" s="1"/>
  <c r="B1206" i="1"/>
  <c r="B1207" i="1" s="1"/>
  <c r="C1206" i="1"/>
  <c r="D1206" i="1"/>
  <c r="D1207" i="1" s="1"/>
  <c r="E1206" i="1"/>
  <c r="E1207" i="1" s="1"/>
  <c r="F1206" i="1"/>
  <c r="F1207" i="1" s="1"/>
  <c r="G1206" i="1"/>
  <c r="H1206" i="1"/>
  <c r="I1206" i="1"/>
  <c r="J1206" i="1"/>
  <c r="K1206" i="1"/>
  <c r="M1206" i="1"/>
  <c r="N1206" i="1"/>
  <c r="P1206" i="1"/>
  <c r="P1207" i="1" s="1"/>
  <c r="Q1206" i="1"/>
  <c r="Q1207" i="1" s="1"/>
  <c r="R1206" i="1"/>
  <c r="R1207" i="1" s="1"/>
  <c r="S1206" i="1"/>
  <c r="S1207" i="1" s="1"/>
  <c r="T1206" i="1"/>
  <c r="T1207" i="1" s="1"/>
  <c r="V1206" i="1"/>
  <c r="V1207" i="1" s="1"/>
  <c r="W1206" i="1"/>
  <c r="W1207" i="1" s="1"/>
  <c r="X1206" i="1"/>
  <c r="X1207" i="1" s="1"/>
  <c r="Y1206" i="1"/>
  <c r="Y1207" i="1" s="1"/>
  <c r="Z1206" i="1"/>
  <c r="Z1207" i="1" s="1"/>
  <c r="A1208" i="1"/>
  <c r="A1209" i="1" s="1"/>
  <c r="B1208" i="1"/>
  <c r="B1209" i="1" s="1"/>
  <c r="C1208" i="1"/>
  <c r="C1209" i="1" s="1"/>
  <c r="D1208" i="1"/>
  <c r="D1209" i="1" s="1"/>
  <c r="E1208" i="1"/>
  <c r="E1209" i="1" s="1"/>
  <c r="F1208" i="1"/>
  <c r="G1208" i="1"/>
  <c r="H1208" i="1"/>
  <c r="I1208" i="1"/>
  <c r="J1208" i="1"/>
  <c r="K1208" i="1"/>
  <c r="M1208" i="1"/>
  <c r="N1208" i="1"/>
  <c r="P1208" i="1"/>
  <c r="P1209" i="1" s="1"/>
  <c r="Q1208" i="1"/>
  <c r="Q1209" i="1" s="1"/>
  <c r="R1208" i="1"/>
  <c r="R1209" i="1" s="1"/>
  <c r="S1208" i="1"/>
  <c r="S1209" i="1" s="1"/>
  <c r="T1208" i="1"/>
  <c r="T1209" i="1" s="1"/>
  <c r="V1208" i="1"/>
  <c r="V1209" i="1" s="1"/>
  <c r="W1208" i="1"/>
  <c r="W1209" i="1" s="1"/>
  <c r="X1208" i="1"/>
  <c r="X1209" i="1" s="1"/>
  <c r="Y1208" i="1"/>
  <c r="Y1209" i="1" s="1"/>
  <c r="Z1208" i="1"/>
  <c r="Z1209" i="1" s="1"/>
  <c r="A1210" i="1"/>
  <c r="A1211" i="1" s="1"/>
  <c r="B1210" i="1"/>
  <c r="B1211" i="1" s="1"/>
  <c r="C1210" i="1"/>
  <c r="C1211" i="1" s="1"/>
  <c r="D1210" i="1"/>
  <c r="E1210" i="1"/>
  <c r="E1211" i="1" s="1"/>
  <c r="F1210" i="1"/>
  <c r="F1211" i="1" s="1"/>
  <c r="G1210" i="1"/>
  <c r="H1210" i="1"/>
  <c r="I1210" i="1"/>
  <c r="J1210" i="1"/>
  <c r="K1210" i="1"/>
  <c r="M1210" i="1"/>
  <c r="N1210" i="1"/>
  <c r="P1210" i="1"/>
  <c r="Q1210" i="1"/>
  <c r="Q1211" i="1" s="1"/>
  <c r="R1210" i="1"/>
  <c r="R1211" i="1" s="1"/>
  <c r="S1210" i="1"/>
  <c r="S1211" i="1" s="1"/>
  <c r="T1210" i="1"/>
  <c r="T1211" i="1" s="1"/>
  <c r="V1210" i="1"/>
  <c r="V1211" i="1" s="1"/>
  <c r="W1210" i="1"/>
  <c r="W1211" i="1" s="1"/>
  <c r="X1210" i="1"/>
  <c r="X1211" i="1" s="1"/>
  <c r="Y1210" i="1"/>
  <c r="Y1211" i="1" s="1"/>
  <c r="Z1210" i="1"/>
  <c r="Z1211" i="1" s="1"/>
  <c r="P1211" i="1"/>
  <c r="A1212" i="1"/>
  <c r="A1213" i="1" s="1"/>
  <c r="B1212" i="1"/>
  <c r="B1213" i="1" s="1"/>
  <c r="C1212" i="1"/>
  <c r="D1212" i="1"/>
  <c r="E1212" i="1"/>
  <c r="E1213" i="1" s="1"/>
  <c r="F1212" i="1"/>
  <c r="F1213" i="1" s="1"/>
  <c r="G1212" i="1"/>
  <c r="H1212" i="1"/>
  <c r="I1212" i="1"/>
  <c r="J1212" i="1"/>
  <c r="K1212" i="1"/>
  <c r="M1212" i="1"/>
  <c r="N1212" i="1"/>
  <c r="P1212" i="1"/>
  <c r="P1213" i="1" s="1"/>
  <c r="Q1212" i="1"/>
  <c r="Q1213" i="1" s="1"/>
  <c r="R1212" i="1"/>
  <c r="R1213" i="1" s="1"/>
  <c r="S1212" i="1"/>
  <c r="S1213" i="1" s="1"/>
  <c r="T1212" i="1"/>
  <c r="T1213" i="1" s="1"/>
  <c r="V1212" i="1"/>
  <c r="V1213" i="1" s="1"/>
  <c r="W1212" i="1"/>
  <c r="W1213" i="1" s="1"/>
  <c r="X1212" i="1"/>
  <c r="X1213" i="1" s="1"/>
  <c r="Y1212" i="1"/>
  <c r="Y1213" i="1" s="1"/>
  <c r="Z1212" i="1"/>
  <c r="Z1213" i="1" s="1"/>
  <c r="D1213" i="1"/>
  <c r="A1214" i="1"/>
  <c r="A1215" i="1" s="1"/>
  <c r="B1214" i="1"/>
  <c r="B1215" i="1" s="1"/>
  <c r="C1214" i="1"/>
  <c r="C1215" i="1" s="1"/>
  <c r="D1214" i="1"/>
  <c r="D1215" i="1" s="1"/>
  <c r="E1214" i="1"/>
  <c r="F1214" i="1"/>
  <c r="F1215" i="1" s="1"/>
  <c r="G1214" i="1"/>
  <c r="H1214" i="1"/>
  <c r="I1214" i="1"/>
  <c r="J1214" i="1"/>
  <c r="K1214" i="1"/>
  <c r="M1214" i="1"/>
  <c r="N1214" i="1"/>
  <c r="P1214" i="1"/>
  <c r="P1215" i="1" s="1"/>
  <c r="Q1214" i="1"/>
  <c r="Q1215" i="1" s="1"/>
  <c r="R1214" i="1"/>
  <c r="R1215" i="1" s="1"/>
  <c r="S1214" i="1"/>
  <c r="S1215" i="1" s="1"/>
  <c r="T1214" i="1"/>
  <c r="T1215" i="1" s="1"/>
  <c r="V1214" i="1"/>
  <c r="V1215" i="1" s="1"/>
  <c r="W1214" i="1"/>
  <c r="W1215" i="1" s="1"/>
  <c r="X1214" i="1"/>
  <c r="X1215" i="1" s="1"/>
  <c r="Y1214" i="1"/>
  <c r="Z1214" i="1"/>
  <c r="Z1215" i="1" s="1"/>
  <c r="A1216" i="1"/>
  <c r="A1217" i="1" s="1"/>
  <c r="B1216" i="1"/>
  <c r="B1217" i="1" s="1"/>
  <c r="C1216" i="1"/>
  <c r="C1217" i="1" s="1"/>
  <c r="D1216" i="1"/>
  <c r="D1217" i="1" s="1"/>
  <c r="E1216" i="1"/>
  <c r="E1217" i="1" s="1"/>
  <c r="F1216" i="1"/>
  <c r="F1217" i="1" s="1"/>
  <c r="G1216" i="1"/>
  <c r="H1216" i="1"/>
  <c r="I1216" i="1"/>
  <c r="J1216" i="1"/>
  <c r="K1216" i="1"/>
  <c r="M1216" i="1"/>
  <c r="N1216" i="1"/>
  <c r="P1216" i="1"/>
  <c r="P1217" i="1" s="1"/>
  <c r="Q1216" i="1"/>
  <c r="Q1217" i="1" s="1"/>
  <c r="R1216" i="1"/>
  <c r="R1217" i="1" s="1"/>
  <c r="S1216" i="1"/>
  <c r="S1217" i="1" s="1"/>
  <c r="T1216" i="1"/>
  <c r="T1217" i="1" s="1"/>
  <c r="V1216" i="1"/>
  <c r="V1217" i="1" s="1"/>
  <c r="W1216" i="1"/>
  <c r="W1217" i="1" s="1"/>
  <c r="X1216" i="1"/>
  <c r="X1217" i="1" s="1"/>
  <c r="Y1216" i="1"/>
  <c r="Y1217" i="1" s="1"/>
  <c r="Z1216" i="1"/>
  <c r="Z1217" i="1" s="1"/>
  <c r="A1218" i="1"/>
  <c r="A1219" i="1" s="1"/>
  <c r="B1218" i="1"/>
  <c r="B1219" i="1" s="1"/>
  <c r="C1218" i="1"/>
  <c r="C1219" i="1" s="1"/>
  <c r="D1218" i="1"/>
  <c r="E1218" i="1"/>
  <c r="E1219" i="1" s="1"/>
  <c r="F1218" i="1"/>
  <c r="F1219" i="1" s="1"/>
  <c r="G1218" i="1"/>
  <c r="H1218" i="1"/>
  <c r="I1218" i="1"/>
  <c r="J1218" i="1"/>
  <c r="K1218" i="1"/>
  <c r="M1218" i="1"/>
  <c r="N1218" i="1"/>
  <c r="P1218" i="1"/>
  <c r="P1219" i="1" s="1"/>
  <c r="Q1218" i="1"/>
  <c r="Q1219" i="1" s="1"/>
  <c r="R1218" i="1"/>
  <c r="R1219" i="1" s="1"/>
  <c r="S1218" i="1"/>
  <c r="S1219" i="1" s="1"/>
  <c r="T1218" i="1"/>
  <c r="T1219" i="1" s="1"/>
  <c r="V1218" i="1"/>
  <c r="V1219" i="1" s="1"/>
  <c r="W1218" i="1"/>
  <c r="W1219" i="1" s="1"/>
  <c r="X1218" i="1"/>
  <c r="X1219" i="1" s="1"/>
  <c r="Y1218" i="1"/>
  <c r="Y1219" i="1" s="1"/>
  <c r="Z1218" i="1"/>
  <c r="Z1219" i="1" s="1"/>
  <c r="A1220" i="1"/>
  <c r="A1221" i="1" s="1"/>
  <c r="B1220" i="1"/>
  <c r="B1221" i="1" s="1"/>
  <c r="C1220" i="1"/>
  <c r="D1220" i="1"/>
  <c r="D1221" i="1" s="1"/>
  <c r="E1220" i="1"/>
  <c r="E1221" i="1" s="1"/>
  <c r="F1220" i="1"/>
  <c r="F1221" i="1" s="1"/>
  <c r="G1220" i="1"/>
  <c r="H1220" i="1"/>
  <c r="I1220" i="1"/>
  <c r="J1220" i="1"/>
  <c r="K1220" i="1"/>
  <c r="M1220" i="1"/>
  <c r="N1220" i="1"/>
  <c r="P1220" i="1"/>
  <c r="P1221" i="1" s="1"/>
  <c r="Q1220" i="1"/>
  <c r="Q1221" i="1" s="1"/>
  <c r="R1220" i="1"/>
  <c r="R1221" i="1" s="1"/>
  <c r="S1220" i="1"/>
  <c r="S1221" i="1" s="1"/>
  <c r="T1220" i="1"/>
  <c r="T1221" i="1" s="1"/>
  <c r="V1220" i="1"/>
  <c r="V1221" i="1" s="1"/>
  <c r="W1220" i="1"/>
  <c r="W1221" i="1" s="1"/>
  <c r="X1220" i="1"/>
  <c r="X1221" i="1" s="1"/>
  <c r="Y1220" i="1"/>
  <c r="Z1220" i="1"/>
  <c r="Z1221" i="1" s="1"/>
  <c r="A1222" i="1"/>
  <c r="A1223" i="1" s="1"/>
  <c r="B1222" i="1"/>
  <c r="B1223" i="1" s="1"/>
  <c r="C1222" i="1"/>
  <c r="C1223" i="1" s="1"/>
  <c r="D1222" i="1"/>
  <c r="D1223" i="1" s="1"/>
  <c r="E1222" i="1"/>
  <c r="E1223" i="1" s="1"/>
  <c r="F1222" i="1"/>
  <c r="F1223" i="1" s="1"/>
  <c r="G1222" i="1"/>
  <c r="H1222" i="1"/>
  <c r="I1222" i="1"/>
  <c r="J1222" i="1"/>
  <c r="K1222" i="1"/>
  <c r="M1222" i="1"/>
  <c r="N1222" i="1"/>
  <c r="P1222" i="1"/>
  <c r="P1223" i="1" s="1"/>
  <c r="Q1222" i="1"/>
  <c r="Q1223" i="1" s="1"/>
  <c r="R1222" i="1"/>
  <c r="R1223" i="1" s="1"/>
  <c r="S1222" i="1"/>
  <c r="S1223" i="1" s="1"/>
  <c r="T1222" i="1"/>
  <c r="T1223" i="1" s="1"/>
  <c r="V1222" i="1"/>
  <c r="V1223" i="1" s="1"/>
  <c r="W1222" i="1"/>
  <c r="W1223" i="1" s="1"/>
  <c r="X1222" i="1"/>
  <c r="X1223" i="1" s="1"/>
  <c r="Y1222" i="1"/>
  <c r="Y1223" i="1" s="1"/>
  <c r="Z1222" i="1"/>
  <c r="Z1223" i="1" s="1"/>
  <c r="A1224" i="1"/>
  <c r="A1225" i="1" s="1"/>
  <c r="B1224" i="1"/>
  <c r="B1225" i="1" s="1"/>
  <c r="C1224" i="1"/>
  <c r="D1224" i="1"/>
  <c r="E1224" i="1"/>
  <c r="E1225" i="1" s="1"/>
  <c r="F1224" i="1"/>
  <c r="F1225" i="1" s="1"/>
  <c r="G1224" i="1"/>
  <c r="H1224" i="1"/>
  <c r="I1224" i="1"/>
  <c r="J1224" i="1"/>
  <c r="K1224" i="1"/>
  <c r="M1224" i="1"/>
  <c r="N1224" i="1"/>
  <c r="P1224" i="1"/>
  <c r="P1225" i="1" s="1"/>
  <c r="Q1224" i="1"/>
  <c r="Q1225" i="1" s="1"/>
  <c r="R1224" i="1"/>
  <c r="R1225" i="1" s="1"/>
  <c r="S1224" i="1"/>
  <c r="S1225" i="1" s="1"/>
  <c r="T1224" i="1"/>
  <c r="T1225" i="1" s="1"/>
  <c r="V1224" i="1"/>
  <c r="V1225" i="1" s="1"/>
  <c r="W1224" i="1"/>
  <c r="W1225" i="1" s="1"/>
  <c r="X1224" i="1"/>
  <c r="X1225" i="1" s="1"/>
  <c r="Y1224" i="1"/>
  <c r="Y1225" i="1" s="1"/>
  <c r="Z1224" i="1"/>
  <c r="Z1225" i="1" s="1"/>
  <c r="D1225" i="1"/>
  <c r="A1226" i="1"/>
  <c r="A1227" i="1" s="1"/>
  <c r="B1226" i="1"/>
  <c r="B1227" i="1" s="1"/>
  <c r="C1226" i="1"/>
  <c r="C1227" i="1" s="1"/>
  <c r="D1226" i="1"/>
  <c r="E1226" i="1"/>
  <c r="F1226" i="1"/>
  <c r="F1227" i="1" s="1"/>
  <c r="G1226" i="1"/>
  <c r="H1226" i="1"/>
  <c r="I1226" i="1"/>
  <c r="J1226" i="1"/>
  <c r="K1226" i="1"/>
  <c r="M1226" i="1"/>
  <c r="N1226" i="1"/>
  <c r="P1226" i="1"/>
  <c r="P1227" i="1" s="1"/>
  <c r="Q1226" i="1"/>
  <c r="Q1227" i="1" s="1"/>
  <c r="R1226" i="1"/>
  <c r="R1227" i="1" s="1"/>
  <c r="S1226" i="1"/>
  <c r="S1227" i="1" s="1"/>
  <c r="T1226" i="1"/>
  <c r="T1227" i="1" s="1"/>
  <c r="V1226" i="1"/>
  <c r="V1227" i="1" s="1"/>
  <c r="W1226" i="1"/>
  <c r="W1227" i="1" s="1"/>
  <c r="X1226" i="1"/>
  <c r="Y1226" i="1"/>
  <c r="Y1227" i="1" s="1"/>
  <c r="Z1226" i="1"/>
  <c r="Z1227" i="1" s="1"/>
  <c r="D1227" i="1"/>
  <c r="X1227" i="1"/>
  <c r="A1228" i="1"/>
  <c r="A1229" i="1" s="1"/>
  <c r="B1228" i="1"/>
  <c r="B1229" i="1" s="1"/>
  <c r="C1228" i="1"/>
  <c r="C1229" i="1" s="1"/>
  <c r="D1228" i="1"/>
  <c r="E1228" i="1"/>
  <c r="E1229" i="1" s="1"/>
  <c r="F1228" i="1"/>
  <c r="F1229" i="1" s="1"/>
  <c r="G1228" i="1"/>
  <c r="H1228" i="1"/>
  <c r="I1228" i="1"/>
  <c r="J1228" i="1"/>
  <c r="K1228" i="1"/>
  <c r="M1228" i="1"/>
  <c r="N1228" i="1"/>
  <c r="P1228" i="1"/>
  <c r="P1229" i="1" s="1"/>
  <c r="Q1228" i="1"/>
  <c r="Q1229" i="1" s="1"/>
  <c r="R1228" i="1"/>
  <c r="R1229" i="1" s="1"/>
  <c r="S1228" i="1"/>
  <c r="S1229" i="1" s="1"/>
  <c r="T1228" i="1"/>
  <c r="T1229" i="1" s="1"/>
  <c r="V1228" i="1"/>
  <c r="V1229" i="1" s="1"/>
  <c r="W1228" i="1"/>
  <c r="W1229" i="1" s="1"/>
  <c r="X1228" i="1"/>
  <c r="X1229" i="1" s="1"/>
  <c r="Y1228" i="1"/>
  <c r="Y1229" i="1" s="1"/>
  <c r="Z1228" i="1"/>
  <c r="Z1229" i="1" s="1"/>
  <c r="A1230" i="1"/>
  <c r="A1231" i="1" s="1"/>
  <c r="B1230" i="1"/>
  <c r="B1231" i="1" s="1"/>
  <c r="C1230" i="1"/>
  <c r="C1231" i="1" s="1"/>
  <c r="D1230" i="1"/>
  <c r="E1230" i="1"/>
  <c r="E1231" i="1" s="1"/>
  <c r="F1230" i="1"/>
  <c r="F1231" i="1" s="1"/>
  <c r="G1230" i="1"/>
  <c r="H1230" i="1"/>
  <c r="I1230" i="1"/>
  <c r="J1230" i="1"/>
  <c r="K1230" i="1"/>
  <c r="M1230" i="1"/>
  <c r="N1230" i="1"/>
  <c r="P1230" i="1"/>
  <c r="P1231" i="1" s="1"/>
  <c r="Q1230" i="1"/>
  <c r="Q1231" i="1" s="1"/>
  <c r="R1230" i="1"/>
  <c r="R1231" i="1" s="1"/>
  <c r="S1230" i="1"/>
  <c r="S1231" i="1" s="1"/>
  <c r="T1230" i="1"/>
  <c r="T1231" i="1" s="1"/>
  <c r="V1230" i="1"/>
  <c r="V1231" i="1" s="1"/>
  <c r="W1230" i="1"/>
  <c r="W1231" i="1" s="1"/>
  <c r="X1230" i="1"/>
  <c r="X1231" i="1" s="1"/>
  <c r="Y1230" i="1"/>
  <c r="Y1231" i="1" s="1"/>
  <c r="Z1230" i="1"/>
  <c r="Z1231" i="1" s="1"/>
  <c r="A1232" i="1"/>
  <c r="A1233" i="1" s="1"/>
  <c r="B1232" i="1"/>
  <c r="B1233" i="1" s="1"/>
  <c r="C1232" i="1"/>
  <c r="D1232" i="1"/>
  <c r="D1233" i="1" s="1"/>
  <c r="E1232" i="1"/>
  <c r="E1233" i="1" s="1"/>
  <c r="F1232" i="1"/>
  <c r="F1233" i="1" s="1"/>
  <c r="G1232" i="1"/>
  <c r="H1232" i="1"/>
  <c r="I1232" i="1"/>
  <c r="J1232" i="1"/>
  <c r="K1232" i="1"/>
  <c r="M1232" i="1"/>
  <c r="N1232" i="1"/>
  <c r="P1232" i="1"/>
  <c r="Q1232" i="1"/>
  <c r="Q1233" i="1" s="1"/>
  <c r="R1232" i="1"/>
  <c r="R1233" i="1" s="1"/>
  <c r="S1232" i="1"/>
  <c r="S1233" i="1" s="1"/>
  <c r="T1232" i="1"/>
  <c r="T1233" i="1" s="1"/>
  <c r="V1232" i="1"/>
  <c r="V1233" i="1" s="1"/>
  <c r="W1232" i="1"/>
  <c r="W1233" i="1" s="1"/>
  <c r="X1232" i="1"/>
  <c r="X1233" i="1" s="1"/>
  <c r="Y1232" i="1"/>
  <c r="Y1233" i="1" s="1"/>
  <c r="Z1232" i="1"/>
  <c r="Z1233" i="1" s="1"/>
  <c r="P1233" i="1"/>
  <c r="A1234" i="1"/>
  <c r="A1235" i="1" s="1"/>
  <c r="B1234" i="1"/>
  <c r="B1235" i="1" s="1"/>
  <c r="C1234" i="1"/>
  <c r="C1235" i="1" s="1"/>
  <c r="D1234" i="1"/>
  <c r="D1235" i="1" s="1"/>
  <c r="E1234" i="1"/>
  <c r="F1234" i="1"/>
  <c r="F1235" i="1" s="1"/>
  <c r="G1234" i="1"/>
  <c r="H1234" i="1"/>
  <c r="I1234" i="1"/>
  <c r="J1234" i="1"/>
  <c r="K1234" i="1"/>
  <c r="M1234" i="1"/>
  <c r="N1234" i="1"/>
  <c r="P1234" i="1"/>
  <c r="P1235" i="1" s="1"/>
  <c r="Q1234" i="1"/>
  <c r="Q1235" i="1" s="1"/>
  <c r="R1234" i="1"/>
  <c r="S1234" i="1"/>
  <c r="S1235" i="1" s="1"/>
  <c r="T1234" i="1"/>
  <c r="T1235" i="1" s="1"/>
  <c r="V1234" i="1"/>
  <c r="V1235" i="1" s="1"/>
  <c r="W1234" i="1"/>
  <c r="W1235" i="1" s="1"/>
  <c r="X1234" i="1"/>
  <c r="Y1234" i="1"/>
  <c r="Y1235" i="1" s="1"/>
  <c r="Z1234" i="1"/>
  <c r="Z1235" i="1" s="1"/>
  <c r="R1235" i="1"/>
  <c r="X1235" i="1"/>
  <c r="A1236" i="1"/>
  <c r="A1237" i="1" s="1"/>
  <c r="B1236" i="1"/>
  <c r="B1237" i="1" s="1"/>
  <c r="C1236" i="1"/>
  <c r="C1237" i="1" s="1"/>
  <c r="D1236" i="1"/>
  <c r="D1237" i="1" s="1"/>
  <c r="E1236" i="1"/>
  <c r="E1237" i="1" s="1"/>
  <c r="F1236" i="1"/>
  <c r="G1236" i="1"/>
  <c r="H1236" i="1"/>
  <c r="I1236" i="1"/>
  <c r="J1236" i="1"/>
  <c r="K1236" i="1"/>
  <c r="M1236" i="1"/>
  <c r="N1236" i="1"/>
  <c r="P1236" i="1"/>
  <c r="P1237" i="1" s="1"/>
  <c r="Q1236" i="1"/>
  <c r="Q1237" i="1" s="1"/>
  <c r="R1236" i="1"/>
  <c r="R1237" i="1" s="1"/>
  <c r="S1236" i="1"/>
  <c r="S1237" i="1" s="1"/>
  <c r="T1236" i="1"/>
  <c r="T1237" i="1" s="1"/>
  <c r="V1236" i="1"/>
  <c r="V1237" i="1" s="1"/>
  <c r="W1236" i="1"/>
  <c r="W1237" i="1" s="1"/>
  <c r="X1236" i="1"/>
  <c r="X1237" i="1" s="1"/>
  <c r="Y1236" i="1"/>
  <c r="Y1237" i="1" s="1"/>
  <c r="Z1236" i="1"/>
  <c r="Z1237" i="1" s="1"/>
  <c r="A1238" i="1"/>
  <c r="A1239" i="1" s="1"/>
  <c r="B1238" i="1"/>
  <c r="B1239" i="1" s="1"/>
  <c r="C1238" i="1"/>
  <c r="C1239" i="1" s="1"/>
  <c r="D1238" i="1"/>
  <c r="E1238" i="1"/>
  <c r="E1239" i="1" s="1"/>
  <c r="F1238" i="1"/>
  <c r="F1239" i="1" s="1"/>
  <c r="G1238" i="1"/>
  <c r="H1238" i="1"/>
  <c r="I1238" i="1"/>
  <c r="J1238" i="1"/>
  <c r="K1238" i="1"/>
  <c r="M1238" i="1"/>
  <c r="N1238" i="1"/>
  <c r="P1238" i="1"/>
  <c r="P1239" i="1" s="1"/>
  <c r="Q1238" i="1"/>
  <c r="Q1239" i="1" s="1"/>
  <c r="R1238" i="1"/>
  <c r="R1239" i="1" s="1"/>
  <c r="S1238" i="1"/>
  <c r="S1239" i="1" s="1"/>
  <c r="T1238" i="1"/>
  <c r="T1239" i="1" s="1"/>
  <c r="V1238" i="1"/>
  <c r="V1239" i="1" s="1"/>
  <c r="W1238" i="1"/>
  <c r="W1239" i="1" s="1"/>
  <c r="X1238" i="1"/>
  <c r="X1239" i="1" s="1"/>
  <c r="Y1238" i="1"/>
  <c r="Y1239" i="1" s="1"/>
  <c r="Z1238" i="1"/>
  <c r="Z1239" i="1" s="1"/>
  <c r="A1240" i="1"/>
  <c r="A1241" i="1" s="1"/>
  <c r="B1240" i="1"/>
  <c r="B1241" i="1" s="1"/>
  <c r="C1240" i="1"/>
  <c r="D1240" i="1"/>
  <c r="E1240" i="1"/>
  <c r="E1241" i="1" s="1"/>
  <c r="F1240" i="1"/>
  <c r="F1241" i="1" s="1"/>
  <c r="G1240" i="1"/>
  <c r="H1240" i="1"/>
  <c r="I1240" i="1"/>
  <c r="J1240" i="1"/>
  <c r="K1240" i="1"/>
  <c r="M1240" i="1"/>
  <c r="N1240" i="1"/>
  <c r="P1240" i="1"/>
  <c r="P1241" i="1" s="1"/>
  <c r="Q1240" i="1"/>
  <c r="Q1241" i="1" s="1"/>
  <c r="R1240" i="1"/>
  <c r="R1241" i="1" s="1"/>
  <c r="S1240" i="1"/>
  <c r="S1241" i="1" s="1"/>
  <c r="T1240" i="1"/>
  <c r="T1241" i="1" s="1"/>
  <c r="V1240" i="1"/>
  <c r="V1241" i="1" s="1"/>
  <c r="W1240" i="1"/>
  <c r="W1241" i="1" s="1"/>
  <c r="X1240" i="1"/>
  <c r="X1241" i="1" s="1"/>
  <c r="Y1240" i="1"/>
  <c r="Y1241" i="1" s="1"/>
  <c r="Z1240" i="1"/>
  <c r="Z1241" i="1" s="1"/>
  <c r="D1241" i="1"/>
  <c r="A1242" i="1"/>
  <c r="A1243" i="1" s="1"/>
  <c r="B1242" i="1"/>
  <c r="B1243" i="1" s="1"/>
  <c r="C1242" i="1"/>
  <c r="C1243" i="1" s="1"/>
  <c r="D1242" i="1"/>
  <c r="D1243" i="1" s="1"/>
  <c r="E1242" i="1"/>
  <c r="E1243" i="1" s="1"/>
  <c r="F1242" i="1"/>
  <c r="F1243" i="1" s="1"/>
  <c r="G1242" i="1"/>
  <c r="H1242" i="1"/>
  <c r="I1242" i="1"/>
  <c r="J1242" i="1"/>
  <c r="K1242" i="1"/>
  <c r="M1242" i="1"/>
  <c r="N1242" i="1"/>
  <c r="P1242" i="1"/>
  <c r="P1243" i="1" s="1"/>
  <c r="Q1242" i="1"/>
  <c r="Q1243" i="1" s="1"/>
  <c r="R1242" i="1"/>
  <c r="R1243" i="1" s="1"/>
  <c r="S1242" i="1"/>
  <c r="S1243" i="1" s="1"/>
  <c r="T1242" i="1"/>
  <c r="T1243" i="1" s="1"/>
  <c r="V1242" i="1"/>
  <c r="V1243" i="1" s="1"/>
  <c r="W1242" i="1"/>
  <c r="W1243" i="1" s="1"/>
  <c r="X1242" i="1"/>
  <c r="X1243" i="1" s="1"/>
  <c r="Y1242" i="1"/>
  <c r="Z1242" i="1"/>
  <c r="Z1243" i="1" s="1"/>
  <c r="A1244" i="1"/>
  <c r="A1245" i="1" s="1"/>
  <c r="B1244" i="1"/>
  <c r="B1245" i="1" s="1"/>
  <c r="C1244" i="1"/>
  <c r="D1244" i="1"/>
  <c r="D1245" i="1" s="1"/>
  <c r="E1244" i="1"/>
  <c r="E1245" i="1" s="1"/>
  <c r="F1244" i="1"/>
  <c r="F1245" i="1" s="1"/>
  <c r="G1244" i="1"/>
  <c r="H1244" i="1"/>
  <c r="I1244" i="1"/>
  <c r="J1244" i="1"/>
  <c r="K1244" i="1"/>
  <c r="M1244" i="1"/>
  <c r="N1244" i="1"/>
  <c r="P1244" i="1"/>
  <c r="P1245" i="1" s="1"/>
  <c r="Q1244" i="1"/>
  <c r="Q1245" i="1" s="1"/>
  <c r="R1244" i="1"/>
  <c r="R1245" i="1" s="1"/>
  <c r="S1244" i="1"/>
  <c r="S1245" i="1" s="1"/>
  <c r="T1244" i="1"/>
  <c r="T1245" i="1" s="1"/>
  <c r="V1244" i="1"/>
  <c r="V1245" i="1" s="1"/>
  <c r="W1244" i="1"/>
  <c r="W1245" i="1" s="1"/>
  <c r="X1244" i="1"/>
  <c r="X1245" i="1" s="1"/>
  <c r="Y1244" i="1"/>
  <c r="Z1244" i="1"/>
  <c r="Z1245" i="1" s="1"/>
  <c r="A1246" i="1"/>
  <c r="A1247" i="1" s="1"/>
  <c r="B1246" i="1"/>
  <c r="B1247" i="1" s="1"/>
  <c r="C1246" i="1"/>
  <c r="C1247" i="1" s="1"/>
  <c r="D1246" i="1"/>
  <c r="E1246" i="1"/>
  <c r="F1246" i="1"/>
  <c r="F1247" i="1" s="1"/>
  <c r="G1246" i="1"/>
  <c r="H1246" i="1"/>
  <c r="I1246" i="1"/>
  <c r="J1246" i="1"/>
  <c r="K1246" i="1"/>
  <c r="M1246" i="1"/>
  <c r="N1246" i="1"/>
  <c r="P1246" i="1"/>
  <c r="P1247" i="1" s="1"/>
  <c r="Q1246" i="1"/>
  <c r="Q1247" i="1" s="1"/>
  <c r="R1246" i="1"/>
  <c r="R1247" i="1" s="1"/>
  <c r="S1246" i="1"/>
  <c r="S1247" i="1" s="1"/>
  <c r="T1246" i="1"/>
  <c r="T1247" i="1" s="1"/>
  <c r="V1246" i="1"/>
  <c r="V1247" i="1" s="1"/>
  <c r="W1246" i="1"/>
  <c r="W1247" i="1" s="1"/>
  <c r="X1246" i="1"/>
  <c r="X1247" i="1" s="1"/>
  <c r="Y1246" i="1"/>
  <c r="Y1247" i="1" s="1"/>
  <c r="Z1246" i="1"/>
  <c r="Z1247" i="1" s="1"/>
  <c r="A1248" i="1"/>
  <c r="A1249" i="1" s="1"/>
  <c r="B1248" i="1"/>
  <c r="B1249" i="1" s="1"/>
  <c r="C1248" i="1"/>
  <c r="C1249" i="1" s="1"/>
  <c r="D1248" i="1"/>
  <c r="D1249" i="1" s="1"/>
  <c r="E1248" i="1"/>
  <c r="E1249" i="1" s="1"/>
  <c r="F1248" i="1"/>
  <c r="F1249" i="1" s="1"/>
  <c r="G1248" i="1"/>
  <c r="H1248" i="1"/>
  <c r="I1248" i="1"/>
  <c r="J1248" i="1"/>
  <c r="K1248" i="1"/>
  <c r="M1248" i="1"/>
  <c r="N1248" i="1"/>
  <c r="P1248" i="1"/>
  <c r="P1249" i="1" s="1"/>
  <c r="Q1248" i="1"/>
  <c r="Q1249" i="1" s="1"/>
  <c r="R1248" i="1"/>
  <c r="S1248" i="1"/>
  <c r="S1249" i="1" s="1"/>
  <c r="T1248" i="1"/>
  <c r="T1249" i="1" s="1"/>
  <c r="V1248" i="1"/>
  <c r="V1249" i="1" s="1"/>
  <c r="W1248" i="1"/>
  <c r="W1249" i="1" s="1"/>
  <c r="X1248" i="1"/>
  <c r="X1249" i="1" s="1"/>
  <c r="Y1248" i="1"/>
  <c r="Y1249" i="1" s="1"/>
  <c r="Z1248" i="1"/>
  <c r="Z1249" i="1" s="1"/>
  <c r="R1249" i="1"/>
  <c r="A1250" i="1"/>
  <c r="A1251" i="1" s="1"/>
  <c r="B1250" i="1"/>
  <c r="C1250" i="1"/>
  <c r="C1251" i="1" s="1"/>
  <c r="D1250" i="1"/>
  <c r="D1251" i="1" s="1"/>
  <c r="E1250" i="1"/>
  <c r="E1251" i="1" s="1"/>
  <c r="F1250" i="1"/>
  <c r="F1251" i="1" s="1"/>
  <c r="G1250" i="1"/>
  <c r="H1250" i="1"/>
  <c r="I1250" i="1"/>
  <c r="J1250" i="1"/>
  <c r="K1250" i="1"/>
  <c r="M1250" i="1"/>
  <c r="N1250" i="1"/>
  <c r="P1250" i="1"/>
  <c r="Q1250" i="1"/>
  <c r="Q1251" i="1" s="1"/>
  <c r="R1250" i="1"/>
  <c r="R1251" i="1" s="1"/>
  <c r="S1250" i="1"/>
  <c r="S1251" i="1" s="1"/>
  <c r="T1250" i="1"/>
  <c r="T1251" i="1" s="1"/>
  <c r="V1250" i="1"/>
  <c r="V1251" i="1" s="1"/>
  <c r="W1250" i="1"/>
  <c r="W1251" i="1" s="1"/>
  <c r="X1250" i="1"/>
  <c r="X1251" i="1" s="1"/>
  <c r="Y1250" i="1"/>
  <c r="Z1250" i="1"/>
  <c r="Z1251" i="1" s="1"/>
  <c r="B1251" i="1"/>
  <c r="P1251" i="1"/>
  <c r="A1252" i="1"/>
  <c r="A1253" i="1" s="1"/>
  <c r="B1252" i="1"/>
  <c r="B1253" i="1" s="1"/>
  <c r="C1252" i="1"/>
  <c r="C1253" i="1" s="1"/>
  <c r="D1252" i="1"/>
  <c r="D1253" i="1" s="1"/>
  <c r="E1252" i="1"/>
  <c r="E1253" i="1" s="1"/>
  <c r="F1252" i="1"/>
  <c r="F1253" i="1" s="1"/>
  <c r="G1252" i="1"/>
  <c r="H1252" i="1"/>
  <c r="I1252" i="1"/>
  <c r="J1252" i="1"/>
  <c r="K1252" i="1"/>
  <c r="M1252" i="1"/>
  <c r="N1252" i="1"/>
  <c r="P1252" i="1"/>
  <c r="P1253" i="1" s="1"/>
  <c r="Q1252" i="1"/>
  <c r="Q1253" i="1" s="1"/>
  <c r="R1252" i="1"/>
  <c r="R1253" i="1" s="1"/>
  <c r="S1252" i="1"/>
  <c r="S1253" i="1" s="1"/>
  <c r="T1252" i="1"/>
  <c r="T1253" i="1" s="1"/>
  <c r="V1252" i="1"/>
  <c r="V1253" i="1" s="1"/>
  <c r="W1252" i="1"/>
  <c r="W1253" i="1" s="1"/>
  <c r="X1252" i="1"/>
  <c r="X1253" i="1" s="1"/>
  <c r="Y1252" i="1"/>
  <c r="Y1253" i="1" s="1"/>
  <c r="Z1252" i="1"/>
  <c r="Z1253" i="1" s="1"/>
  <c r="A1254" i="1"/>
  <c r="A1255" i="1" s="1"/>
  <c r="B1254" i="1"/>
  <c r="B1255" i="1" s="1"/>
  <c r="C1254" i="1"/>
  <c r="C1255" i="1" s="1"/>
  <c r="D1254" i="1"/>
  <c r="E1254" i="1"/>
  <c r="E1255" i="1" s="1"/>
  <c r="F1254" i="1"/>
  <c r="F1255" i="1" s="1"/>
  <c r="G1254" i="1"/>
  <c r="H1254" i="1"/>
  <c r="I1254" i="1"/>
  <c r="J1254" i="1"/>
  <c r="K1254" i="1"/>
  <c r="M1254" i="1"/>
  <c r="N1254" i="1"/>
  <c r="P1254" i="1"/>
  <c r="P1255" i="1" s="1"/>
  <c r="Q1254" i="1"/>
  <c r="Q1255" i="1" s="1"/>
  <c r="R1254" i="1"/>
  <c r="R1255" i="1" s="1"/>
  <c r="S1254" i="1"/>
  <c r="S1255" i="1" s="1"/>
  <c r="T1254" i="1"/>
  <c r="T1255" i="1" s="1"/>
  <c r="V1254" i="1"/>
  <c r="V1255" i="1" s="1"/>
  <c r="W1254" i="1"/>
  <c r="W1255" i="1" s="1"/>
  <c r="X1254" i="1"/>
  <c r="X1255" i="1" s="1"/>
  <c r="Y1254" i="1"/>
  <c r="Y1255" i="1" s="1"/>
  <c r="Z1254" i="1"/>
  <c r="Z1255" i="1" s="1"/>
  <c r="D1255" i="1"/>
  <c r="A1256" i="1"/>
  <c r="A1257" i="1" s="1"/>
  <c r="B1256" i="1"/>
  <c r="B1257" i="1" s="1"/>
  <c r="C1256" i="1"/>
  <c r="C1257" i="1" s="1"/>
  <c r="D1256" i="1"/>
  <c r="E1256" i="1"/>
  <c r="E1257" i="1" s="1"/>
  <c r="F1256" i="1"/>
  <c r="F1257" i="1" s="1"/>
  <c r="G1256" i="1"/>
  <c r="H1256" i="1"/>
  <c r="I1256" i="1"/>
  <c r="J1256" i="1"/>
  <c r="K1256" i="1"/>
  <c r="M1256" i="1"/>
  <c r="N1256" i="1"/>
  <c r="P1256" i="1"/>
  <c r="P1257" i="1" s="1"/>
  <c r="Q1256" i="1"/>
  <c r="Q1257" i="1" s="1"/>
  <c r="R1256" i="1"/>
  <c r="R1257" i="1" s="1"/>
  <c r="S1256" i="1"/>
  <c r="S1257" i="1" s="1"/>
  <c r="T1256" i="1"/>
  <c r="T1257" i="1" s="1"/>
  <c r="V1256" i="1"/>
  <c r="V1257" i="1" s="1"/>
  <c r="W1256" i="1"/>
  <c r="W1257" i="1" s="1"/>
  <c r="X1256" i="1"/>
  <c r="X1257" i="1" s="1"/>
  <c r="Y1256" i="1"/>
  <c r="Y1257" i="1" s="1"/>
  <c r="Z1256" i="1"/>
  <c r="Z1257" i="1" s="1"/>
  <c r="D1257" i="1"/>
  <c r="A1258" i="1"/>
  <c r="A1259" i="1" s="1"/>
  <c r="B1258" i="1"/>
  <c r="B1259" i="1" s="1"/>
  <c r="C1258" i="1"/>
  <c r="D1258" i="1"/>
  <c r="E1258" i="1"/>
  <c r="F1258" i="1"/>
  <c r="F1259" i="1" s="1"/>
  <c r="G1258" i="1"/>
  <c r="H1258" i="1"/>
  <c r="I1258" i="1"/>
  <c r="J1258" i="1"/>
  <c r="K1258" i="1"/>
  <c r="M1258" i="1"/>
  <c r="N1258" i="1"/>
  <c r="P1258" i="1"/>
  <c r="P1259" i="1" s="1"/>
  <c r="Q1258" i="1"/>
  <c r="Q1259" i="1" s="1"/>
  <c r="R1258" i="1"/>
  <c r="R1259" i="1" s="1"/>
  <c r="S1258" i="1"/>
  <c r="S1259" i="1" s="1"/>
  <c r="T1258" i="1"/>
  <c r="V1258" i="1"/>
  <c r="V1259" i="1" s="1"/>
  <c r="W1258" i="1"/>
  <c r="W1259" i="1" s="1"/>
  <c r="X1258" i="1"/>
  <c r="X1259" i="1" s="1"/>
  <c r="Y1258" i="1"/>
  <c r="Y1259" i="1" s="1"/>
  <c r="Z1258" i="1"/>
  <c r="Z1259" i="1" s="1"/>
  <c r="D1259" i="1"/>
  <c r="T1259" i="1"/>
  <c r="A1260" i="1"/>
  <c r="A1261" i="1" s="1"/>
  <c r="B1260" i="1"/>
  <c r="B1261" i="1" s="1"/>
  <c r="C1260" i="1"/>
  <c r="C1261" i="1" s="1"/>
  <c r="D1260" i="1"/>
  <c r="E1260" i="1"/>
  <c r="F1260" i="1"/>
  <c r="F1261" i="1" s="1"/>
  <c r="G1260" i="1"/>
  <c r="H1260" i="1"/>
  <c r="I1260" i="1"/>
  <c r="J1260" i="1"/>
  <c r="K1260" i="1"/>
  <c r="M1260" i="1"/>
  <c r="N1260" i="1"/>
  <c r="P1260" i="1"/>
  <c r="P1261" i="1" s="1"/>
  <c r="Q1260" i="1"/>
  <c r="Q1261" i="1" s="1"/>
  <c r="R1260" i="1"/>
  <c r="R1261" i="1" s="1"/>
  <c r="S1260" i="1"/>
  <c r="S1261" i="1" s="1"/>
  <c r="T1260" i="1"/>
  <c r="T1261" i="1" s="1"/>
  <c r="V1260" i="1"/>
  <c r="V1261" i="1" s="1"/>
  <c r="W1260" i="1"/>
  <c r="W1261" i="1" s="1"/>
  <c r="X1260" i="1"/>
  <c r="X1261" i="1" s="1"/>
  <c r="Y1260" i="1"/>
  <c r="Y1261" i="1" s="1"/>
  <c r="Z1260" i="1"/>
  <c r="Z1261" i="1" s="1"/>
  <c r="D1261" i="1"/>
  <c r="A1262" i="1"/>
  <c r="A1263" i="1" s="1"/>
  <c r="B1262" i="1"/>
  <c r="B1263" i="1" s="1"/>
  <c r="C1262" i="1"/>
  <c r="C1263" i="1" s="1"/>
  <c r="D1262" i="1"/>
  <c r="D1263" i="1" s="1"/>
  <c r="E1262" i="1"/>
  <c r="F1262" i="1"/>
  <c r="F1263" i="1" s="1"/>
  <c r="G1262" i="1"/>
  <c r="H1262" i="1"/>
  <c r="I1262" i="1"/>
  <c r="J1262" i="1"/>
  <c r="K1262" i="1"/>
  <c r="M1262" i="1"/>
  <c r="N1262" i="1"/>
  <c r="P1262" i="1"/>
  <c r="P1263" i="1" s="1"/>
  <c r="Q1262" i="1"/>
  <c r="Q1263" i="1" s="1"/>
  <c r="R1262" i="1"/>
  <c r="R1263" i="1" s="1"/>
  <c r="S1262" i="1"/>
  <c r="S1263" i="1" s="1"/>
  <c r="T1262" i="1"/>
  <c r="T1263" i="1" s="1"/>
  <c r="V1262" i="1"/>
  <c r="V1263" i="1" s="1"/>
  <c r="W1262" i="1"/>
  <c r="W1263" i="1" s="1"/>
  <c r="X1262" i="1"/>
  <c r="X1263" i="1" s="1"/>
  <c r="Y1262" i="1"/>
  <c r="Y1263" i="1" s="1"/>
  <c r="Z1262" i="1"/>
  <c r="Z1263" i="1" s="1"/>
  <c r="E1263" i="1"/>
  <c r="A1264" i="1"/>
  <c r="A1265" i="1" s="1"/>
  <c r="B1264" i="1"/>
  <c r="B1265" i="1" s="1"/>
  <c r="C1264" i="1"/>
  <c r="C1265" i="1" s="1"/>
  <c r="D1264" i="1"/>
  <c r="D1265" i="1" s="1"/>
  <c r="E1264" i="1"/>
  <c r="E1265" i="1" s="1"/>
  <c r="F1264" i="1"/>
  <c r="F1265" i="1" s="1"/>
  <c r="G1264" i="1"/>
  <c r="H1264" i="1"/>
  <c r="I1264" i="1"/>
  <c r="J1264" i="1"/>
  <c r="K1264" i="1"/>
  <c r="M1264" i="1"/>
  <c r="N1264" i="1"/>
  <c r="P1264" i="1"/>
  <c r="P1265" i="1" s="1"/>
  <c r="Q1264" i="1"/>
  <c r="Q1265" i="1" s="1"/>
  <c r="R1264" i="1"/>
  <c r="R1265" i="1" s="1"/>
  <c r="S1264" i="1"/>
  <c r="S1265" i="1" s="1"/>
  <c r="T1264" i="1"/>
  <c r="T1265" i="1" s="1"/>
  <c r="V1264" i="1"/>
  <c r="V1265" i="1" s="1"/>
  <c r="W1264" i="1"/>
  <c r="W1265" i="1" s="1"/>
  <c r="X1264" i="1"/>
  <c r="X1265" i="1" s="1"/>
  <c r="Y1264" i="1"/>
  <c r="Y1265" i="1" s="1"/>
  <c r="Z1264" i="1"/>
  <c r="Z1265" i="1" s="1"/>
  <c r="A1266" i="1"/>
  <c r="A1267" i="1" s="1"/>
  <c r="B1266" i="1"/>
  <c r="B1267" i="1" s="1"/>
  <c r="C1266" i="1"/>
  <c r="C1267" i="1" s="1"/>
  <c r="D1266" i="1"/>
  <c r="E1266" i="1"/>
  <c r="E1267" i="1" s="1"/>
  <c r="F1266" i="1"/>
  <c r="F1267" i="1" s="1"/>
  <c r="G1266" i="1"/>
  <c r="H1266" i="1"/>
  <c r="I1266" i="1"/>
  <c r="J1266" i="1"/>
  <c r="K1266" i="1"/>
  <c r="M1266" i="1"/>
  <c r="N1266" i="1"/>
  <c r="P1266" i="1"/>
  <c r="P1267" i="1" s="1"/>
  <c r="Q1266" i="1"/>
  <c r="Q1267" i="1" s="1"/>
  <c r="R1266" i="1"/>
  <c r="R1267" i="1" s="1"/>
  <c r="S1266" i="1"/>
  <c r="S1267" i="1" s="1"/>
  <c r="T1266" i="1"/>
  <c r="T1267" i="1" s="1"/>
  <c r="V1266" i="1"/>
  <c r="V1267" i="1" s="1"/>
  <c r="W1266" i="1"/>
  <c r="W1267" i="1" s="1"/>
  <c r="X1266" i="1"/>
  <c r="X1267" i="1" s="1"/>
  <c r="Y1266" i="1"/>
  <c r="Y1267" i="1" s="1"/>
  <c r="Z1266" i="1"/>
  <c r="Z1267" i="1" s="1"/>
  <c r="D1267" i="1"/>
  <c r="A1268" i="1"/>
  <c r="A1269" i="1" s="1"/>
  <c r="B1268" i="1"/>
  <c r="B1269" i="1" s="1"/>
  <c r="C1268" i="1"/>
  <c r="C1269" i="1" s="1"/>
  <c r="D1268" i="1"/>
  <c r="D1269" i="1" s="1"/>
  <c r="E1268" i="1"/>
  <c r="E1269" i="1" s="1"/>
  <c r="F1268" i="1"/>
  <c r="G1268" i="1"/>
  <c r="H1268" i="1"/>
  <c r="I1268" i="1"/>
  <c r="J1268" i="1"/>
  <c r="K1268" i="1"/>
  <c r="M1268" i="1"/>
  <c r="N1268" i="1"/>
  <c r="P1268" i="1"/>
  <c r="P1269" i="1" s="1"/>
  <c r="Q1268" i="1"/>
  <c r="Q1269" i="1" s="1"/>
  <c r="R1268" i="1"/>
  <c r="R1269" i="1" s="1"/>
  <c r="S1268" i="1"/>
  <c r="S1269" i="1" s="1"/>
  <c r="T1268" i="1"/>
  <c r="T1269" i="1" s="1"/>
  <c r="V1268" i="1"/>
  <c r="V1269" i="1" s="1"/>
  <c r="W1268" i="1"/>
  <c r="W1269" i="1" s="1"/>
  <c r="X1268" i="1"/>
  <c r="X1269" i="1" s="1"/>
  <c r="Y1268" i="1"/>
  <c r="Y1269" i="1" s="1"/>
  <c r="Z1268" i="1"/>
  <c r="Z1269" i="1" s="1"/>
  <c r="A1270" i="1"/>
  <c r="A1271" i="1" s="1"/>
  <c r="B1270" i="1"/>
  <c r="B1271" i="1" s="1"/>
  <c r="C1270" i="1"/>
  <c r="C1271" i="1" s="1"/>
  <c r="D1270" i="1"/>
  <c r="D1271" i="1" s="1"/>
  <c r="E1270" i="1"/>
  <c r="E1271" i="1" s="1"/>
  <c r="F1270" i="1"/>
  <c r="F1271" i="1" s="1"/>
  <c r="G1270" i="1"/>
  <c r="H1270" i="1"/>
  <c r="I1270" i="1"/>
  <c r="J1270" i="1"/>
  <c r="K1270" i="1"/>
  <c r="M1270" i="1"/>
  <c r="N1270" i="1"/>
  <c r="P1270" i="1"/>
  <c r="P1271" i="1" s="1"/>
  <c r="Q1270" i="1"/>
  <c r="Q1271" i="1" s="1"/>
  <c r="R1270" i="1"/>
  <c r="R1271" i="1" s="1"/>
  <c r="S1270" i="1"/>
  <c r="S1271" i="1" s="1"/>
  <c r="T1270" i="1"/>
  <c r="T1271" i="1" s="1"/>
  <c r="V1270" i="1"/>
  <c r="V1271" i="1" s="1"/>
  <c r="W1270" i="1"/>
  <c r="W1271" i="1" s="1"/>
  <c r="X1270" i="1"/>
  <c r="X1271" i="1" s="1"/>
  <c r="Y1270" i="1"/>
  <c r="Y1271" i="1" s="1"/>
  <c r="Z1270" i="1"/>
  <c r="Z1271" i="1" s="1"/>
  <c r="A1272" i="1"/>
  <c r="A1273" i="1" s="1"/>
  <c r="B1272" i="1"/>
  <c r="B1273" i="1" s="1"/>
  <c r="C1272" i="1"/>
  <c r="C1273" i="1" s="1"/>
  <c r="D1272" i="1"/>
  <c r="D1273" i="1" s="1"/>
  <c r="E1272" i="1"/>
  <c r="E1273" i="1" s="1"/>
  <c r="F1272" i="1"/>
  <c r="G1272" i="1"/>
  <c r="H1272" i="1"/>
  <c r="I1272" i="1"/>
  <c r="J1272" i="1"/>
  <c r="K1272" i="1"/>
  <c r="M1272" i="1"/>
  <c r="N1272" i="1"/>
  <c r="P1272" i="1"/>
  <c r="P1273" i="1" s="1"/>
  <c r="Q1272" i="1"/>
  <c r="Q1273" i="1" s="1"/>
  <c r="R1272" i="1"/>
  <c r="R1273" i="1" s="1"/>
  <c r="S1272" i="1"/>
  <c r="S1273" i="1" s="1"/>
  <c r="T1272" i="1"/>
  <c r="T1273" i="1" s="1"/>
  <c r="V1272" i="1"/>
  <c r="V1273" i="1" s="1"/>
  <c r="W1272" i="1"/>
  <c r="W1273" i="1" s="1"/>
  <c r="X1272" i="1"/>
  <c r="X1273" i="1" s="1"/>
  <c r="Y1272" i="1"/>
  <c r="Y1273" i="1" s="1"/>
  <c r="Z1272" i="1"/>
  <c r="Z1273" i="1" s="1"/>
  <c r="F1273" i="1"/>
  <c r="A1274" i="1"/>
  <c r="A1275" i="1" s="1"/>
  <c r="B1274" i="1"/>
  <c r="C1274" i="1"/>
  <c r="C1275" i="1" s="1"/>
  <c r="D1274" i="1"/>
  <c r="D1275" i="1" s="1"/>
  <c r="E1274" i="1"/>
  <c r="E1275" i="1" s="1"/>
  <c r="F1274" i="1"/>
  <c r="G1274" i="1"/>
  <c r="H1274" i="1"/>
  <c r="I1274" i="1"/>
  <c r="J1274" i="1"/>
  <c r="K1274" i="1"/>
  <c r="M1274" i="1"/>
  <c r="N1274" i="1"/>
  <c r="P1274" i="1"/>
  <c r="P1275" i="1" s="1"/>
  <c r="Q1274" i="1"/>
  <c r="Q1275" i="1" s="1"/>
  <c r="R1274" i="1"/>
  <c r="R1275" i="1" s="1"/>
  <c r="S1274" i="1"/>
  <c r="S1275" i="1" s="1"/>
  <c r="T1274" i="1"/>
  <c r="T1275" i="1" s="1"/>
  <c r="V1274" i="1"/>
  <c r="V1275" i="1" s="1"/>
  <c r="W1274" i="1"/>
  <c r="W1275" i="1" s="1"/>
  <c r="X1274" i="1"/>
  <c r="X1275" i="1" s="1"/>
  <c r="Y1274" i="1"/>
  <c r="Z1274" i="1"/>
  <c r="Z1275" i="1" s="1"/>
  <c r="B1275" i="1"/>
  <c r="F1275" i="1"/>
  <c r="A1276" i="1"/>
  <c r="A1277" i="1" s="1"/>
  <c r="B1276" i="1"/>
  <c r="C1276" i="1"/>
  <c r="C1277" i="1" s="1"/>
  <c r="D1276" i="1"/>
  <c r="D1277" i="1" s="1"/>
  <c r="E1276" i="1"/>
  <c r="E1277" i="1" s="1"/>
  <c r="F1276" i="1"/>
  <c r="F1277" i="1" s="1"/>
  <c r="G1276" i="1"/>
  <c r="H1276" i="1"/>
  <c r="I1276" i="1"/>
  <c r="J1276" i="1"/>
  <c r="K1276" i="1"/>
  <c r="M1276" i="1"/>
  <c r="N1276" i="1"/>
  <c r="P1276" i="1"/>
  <c r="P1277" i="1" s="1"/>
  <c r="Q1276" i="1"/>
  <c r="Q1277" i="1" s="1"/>
  <c r="R1276" i="1"/>
  <c r="R1277" i="1" s="1"/>
  <c r="S1276" i="1"/>
  <c r="S1277" i="1" s="1"/>
  <c r="T1276" i="1"/>
  <c r="T1277" i="1" s="1"/>
  <c r="V1276" i="1"/>
  <c r="V1277" i="1" s="1"/>
  <c r="W1276" i="1"/>
  <c r="W1277" i="1" s="1"/>
  <c r="X1276" i="1"/>
  <c r="Y1276" i="1"/>
  <c r="Z1276" i="1"/>
  <c r="Z1277" i="1" s="1"/>
  <c r="B1277" i="1"/>
  <c r="X1277" i="1"/>
  <c r="A1278" i="1"/>
  <c r="A1279" i="1" s="1"/>
  <c r="B1278" i="1"/>
  <c r="B1279" i="1" s="1"/>
  <c r="C1278" i="1"/>
  <c r="C1279" i="1" s="1"/>
  <c r="D1278" i="1"/>
  <c r="D1279" i="1" s="1"/>
  <c r="E1278" i="1"/>
  <c r="E1279" i="1" s="1"/>
  <c r="F1278" i="1"/>
  <c r="F1279" i="1" s="1"/>
  <c r="G1278" i="1"/>
  <c r="H1278" i="1"/>
  <c r="I1278" i="1"/>
  <c r="J1278" i="1"/>
  <c r="K1278" i="1"/>
  <c r="M1278" i="1"/>
  <c r="N1278" i="1"/>
  <c r="P1278" i="1"/>
  <c r="Q1278" i="1"/>
  <c r="Q1279" i="1" s="1"/>
  <c r="R1278" i="1"/>
  <c r="R1279" i="1" s="1"/>
  <c r="S1278" i="1"/>
  <c r="S1279" i="1" s="1"/>
  <c r="T1278" i="1"/>
  <c r="T1279" i="1" s="1"/>
  <c r="V1278" i="1"/>
  <c r="V1279" i="1" s="1"/>
  <c r="W1278" i="1"/>
  <c r="W1279" i="1" s="1"/>
  <c r="X1278" i="1"/>
  <c r="Y1278" i="1"/>
  <c r="Y1279" i="1" s="1"/>
  <c r="Z1278" i="1"/>
  <c r="Z1279" i="1" s="1"/>
  <c r="P1279" i="1"/>
  <c r="X1279" i="1"/>
  <c r="A1280" i="1"/>
  <c r="A1281" i="1" s="1"/>
  <c r="B1280" i="1"/>
  <c r="B1281" i="1" s="1"/>
  <c r="C1280" i="1"/>
  <c r="C1281" i="1" s="1"/>
  <c r="D1280" i="1"/>
  <c r="E1280" i="1"/>
  <c r="E1281" i="1" s="1"/>
  <c r="F1280" i="1"/>
  <c r="F1281" i="1" s="1"/>
  <c r="G1280" i="1"/>
  <c r="H1280" i="1"/>
  <c r="I1280" i="1"/>
  <c r="J1280" i="1"/>
  <c r="K1280" i="1"/>
  <c r="M1280" i="1"/>
  <c r="N1280" i="1"/>
  <c r="P1280" i="1"/>
  <c r="P1281" i="1" s="1"/>
  <c r="Q1280" i="1"/>
  <c r="Q1281" i="1" s="1"/>
  <c r="R1280" i="1"/>
  <c r="R1281" i="1" s="1"/>
  <c r="S1280" i="1"/>
  <c r="S1281" i="1" s="1"/>
  <c r="T1280" i="1"/>
  <c r="T1281" i="1" s="1"/>
  <c r="V1280" i="1"/>
  <c r="V1281" i="1" s="1"/>
  <c r="W1280" i="1"/>
  <c r="W1281" i="1" s="1"/>
  <c r="X1280" i="1"/>
  <c r="X1281" i="1" s="1"/>
  <c r="Y1280" i="1"/>
  <c r="Y1281" i="1" s="1"/>
  <c r="Z1280" i="1"/>
  <c r="Z1281" i="1" s="1"/>
  <c r="A1282" i="1"/>
  <c r="A1283" i="1" s="1"/>
  <c r="B1282" i="1"/>
  <c r="B1283" i="1" s="1"/>
  <c r="C1282" i="1"/>
  <c r="C1283" i="1" s="1"/>
  <c r="D1282" i="1"/>
  <c r="D1283" i="1" s="1"/>
  <c r="E1282" i="1"/>
  <c r="E1283" i="1" s="1"/>
  <c r="F1282" i="1"/>
  <c r="F1283" i="1" s="1"/>
  <c r="G1282" i="1"/>
  <c r="H1282" i="1"/>
  <c r="I1282" i="1"/>
  <c r="J1282" i="1"/>
  <c r="K1282" i="1"/>
  <c r="M1282" i="1"/>
  <c r="N1282" i="1"/>
  <c r="P1282" i="1"/>
  <c r="P1283" i="1" s="1"/>
  <c r="Q1282" i="1"/>
  <c r="Q1283" i="1" s="1"/>
  <c r="R1282" i="1"/>
  <c r="R1283" i="1" s="1"/>
  <c r="S1282" i="1"/>
  <c r="S1283" i="1" s="1"/>
  <c r="T1282" i="1"/>
  <c r="T1283" i="1" s="1"/>
  <c r="V1282" i="1"/>
  <c r="V1283" i="1" s="1"/>
  <c r="W1282" i="1"/>
  <c r="W1283" i="1" s="1"/>
  <c r="X1282" i="1"/>
  <c r="X1283" i="1" s="1"/>
  <c r="Y1282" i="1"/>
  <c r="Y1283" i="1" s="1"/>
  <c r="Z1282" i="1"/>
  <c r="Z1283" i="1" s="1"/>
  <c r="A1284" i="1"/>
  <c r="A1285" i="1" s="1"/>
  <c r="B1284" i="1"/>
  <c r="B1285" i="1" s="1"/>
  <c r="C1284" i="1"/>
  <c r="C1285" i="1" s="1"/>
  <c r="D1284" i="1"/>
  <c r="E1284" i="1"/>
  <c r="E1285" i="1" s="1"/>
  <c r="F1284" i="1"/>
  <c r="F1285" i="1" s="1"/>
  <c r="G1284" i="1"/>
  <c r="H1284" i="1"/>
  <c r="I1284" i="1"/>
  <c r="J1284" i="1"/>
  <c r="K1284" i="1"/>
  <c r="M1284" i="1"/>
  <c r="N1284" i="1"/>
  <c r="P1284" i="1"/>
  <c r="P1285" i="1" s="1"/>
  <c r="Q1284" i="1"/>
  <c r="Q1285" i="1" s="1"/>
  <c r="R1284" i="1"/>
  <c r="R1285" i="1" s="1"/>
  <c r="S1284" i="1"/>
  <c r="S1285" i="1" s="1"/>
  <c r="T1284" i="1"/>
  <c r="T1285" i="1" s="1"/>
  <c r="V1284" i="1"/>
  <c r="V1285" i="1" s="1"/>
  <c r="W1284" i="1"/>
  <c r="W1285" i="1" s="1"/>
  <c r="X1284" i="1"/>
  <c r="X1285" i="1" s="1"/>
  <c r="Y1284" i="1"/>
  <c r="Y1285" i="1" s="1"/>
  <c r="Z1284" i="1"/>
  <c r="Z1285" i="1" s="1"/>
  <c r="D1285" i="1"/>
  <c r="A1286" i="1"/>
  <c r="A1287" i="1" s="1"/>
  <c r="B1286" i="1"/>
  <c r="B1287" i="1" s="1"/>
  <c r="C1286" i="1"/>
  <c r="C1287" i="1" s="1"/>
  <c r="D1286" i="1"/>
  <c r="E1286" i="1"/>
  <c r="F1286" i="1"/>
  <c r="F1287" i="1" s="1"/>
  <c r="G1286" i="1"/>
  <c r="H1286" i="1"/>
  <c r="I1286" i="1"/>
  <c r="J1286" i="1"/>
  <c r="K1286" i="1"/>
  <c r="M1286" i="1"/>
  <c r="N1286" i="1"/>
  <c r="P1286" i="1"/>
  <c r="P1287" i="1" s="1"/>
  <c r="Q1286" i="1"/>
  <c r="Q1287" i="1" s="1"/>
  <c r="R1286" i="1"/>
  <c r="R1287" i="1" s="1"/>
  <c r="S1286" i="1"/>
  <c r="S1287" i="1" s="1"/>
  <c r="T1286" i="1"/>
  <c r="T1287" i="1" s="1"/>
  <c r="V1286" i="1"/>
  <c r="V1287" i="1" s="1"/>
  <c r="W1286" i="1"/>
  <c r="W1287" i="1" s="1"/>
  <c r="X1286" i="1"/>
  <c r="X1287" i="1" s="1"/>
  <c r="Y1286" i="1"/>
  <c r="Y1287" i="1" s="1"/>
  <c r="Z1286" i="1"/>
  <c r="Z1287" i="1" s="1"/>
  <c r="D1287" i="1"/>
  <c r="A1288" i="1"/>
  <c r="A1289" i="1" s="1"/>
  <c r="B1288" i="1"/>
  <c r="B1289" i="1" s="1"/>
  <c r="C1288" i="1"/>
  <c r="C1289" i="1" s="1"/>
  <c r="D1288" i="1"/>
  <c r="D1289" i="1" s="1"/>
  <c r="E1288" i="1"/>
  <c r="E1289" i="1" s="1"/>
  <c r="F1288" i="1"/>
  <c r="F1289" i="1" s="1"/>
  <c r="G1288" i="1"/>
  <c r="H1288" i="1"/>
  <c r="I1288" i="1"/>
  <c r="J1288" i="1"/>
  <c r="K1288" i="1"/>
  <c r="M1288" i="1"/>
  <c r="N1288" i="1"/>
  <c r="P1288" i="1"/>
  <c r="P1289" i="1" s="1"/>
  <c r="Q1288" i="1"/>
  <c r="Q1289" i="1" s="1"/>
  <c r="R1288" i="1"/>
  <c r="R1289" i="1" s="1"/>
  <c r="S1288" i="1"/>
  <c r="S1289" i="1" s="1"/>
  <c r="T1288" i="1"/>
  <c r="T1289" i="1" s="1"/>
  <c r="V1288" i="1"/>
  <c r="V1289" i="1" s="1"/>
  <c r="W1288" i="1"/>
  <c r="W1289" i="1" s="1"/>
  <c r="X1288" i="1"/>
  <c r="Y1288" i="1"/>
  <c r="Y1289" i="1" s="1"/>
  <c r="Z1288" i="1"/>
  <c r="Z1289" i="1" s="1"/>
  <c r="X1289" i="1"/>
  <c r="A1290" i="1"/>
  <c r="A1291" i="1" s="1"/>
  <c r="B1290" i="1"/>
  <c r="B1291" i="1" s="1"/>
  <c r="C1290" i="1"/>
  <c r="C1291" i="1" s="1"/>
  <c r="D1290" i="1"/>
  <c r="D1291" i="1" s="1"/>
  <c r="E1290" i="1"/>
  <c r="E1291" i="1" s="1"/>
  <c r="F1290" i="1"/>
  <c r="G1290" i="1"/>
  <c r="H1290" i="1"/>
  <c r="I1290" i="1"/>
  <c r="J1290" i="1"/>
  <c r="K1290" i="1"/>
  <c r="M1290" i="1"/>
  <c r="N1290" i="1"/>
  <c r="P1290" i="1"/>
  <c r="P1291" i="1" s="1"/>
  <c r="Q1290" i="1"/>
  <c r="Q1291" i="1" s="1"/>
  <c r="R1290" i="1"/>
  <c r="R1291" i="1" s="1"/>
  <c r="S1290" i="1"/>
  <c r="S1291" i="1" s="1"/>
  <c r="T1290" i="1"/>
  <c r="T1291" i="1" s="1"/>
  <c r="V1290" i="1"/>
  <c r="V1291" i="1" s="1"/>
  <c r="W1290" i="1"/>
  <c r="W1291" i="1" s="1"/>
  <c r="X1290" i="1"/>
  <c r="X1291" i="1" s="1"/>
  <c r="Y1290" i="1"/>
  <c r="Y1291" i="1" s="1"/>
  <c r="Z1290" i="1"/>
  <c r="Z1291" i="1" s="1"/>
  <c r="A1292" i="1"/>
  <c r="A1293" i="1" s="1"/>
  <c r="B1292" i="1"/>
  <c r="B1293" i="1" s="1"/>
  <c r="C1292" i="1"/>
  <c r="C1293" i="1" s="1"/>
  <c r="D1292" i="1"/>
  <c r="E1292" i="1"/>
  <c r="E1293" i="1" s="1"/>
  <c r="F1292" i="1"/>
  <c r="F1293" i="1" s="1"/>
  <c r="G1292" i="1"/>
  <c r="H1292" i="1"/>
  <c r="I1292" i="1"/>
  <c r="J1292" i="1"/>
  <c r="K1292" i="1"/>
  <c r="M1292" i="1"/>
  <c r="N1292" i="1"/>
  <c r="P1292" i="1"/>
  <c r="P1293" i="1" s="1"/>
  <c r="Q1292" i="1"/>
  <c r="Q1293" i="1" s="1"/>
  <c r="R1292" i="1"/>
  <c r="R1293" i="1" s="1"/>
  <c r="S1292" i="1"/>
  <c r="S1293" i="1" s="1"/>
  <c r="T1292" i="1"/>
  <c r="T1293" i="1" s="1"/>
  <c r="V1292" i="1"/>
  <c r="V1293" i="1" s="1"/>
  <c r="W1292" i="1"/>
  <c r="W1293" i="1" s="1"/>
  <c r="X1292" i="1"/>
  <c r="X1293" i="1" s="1"/>
  <c r="Y1292" i="1"/>
  <c r="Y1293" i="1" s="1"/>
  <c r="Z1292" i="1"/>
  <c r="Z1293" i="1" s="1"/>
  <c r="A1294" i="1"/>
  <c r="A1295" i="1" s="1"/>
  <c r="B1294" i="1"/>
  <c r="B1295" i="1" s="1"/>
  <c r="C1294" i="1"/>
  <c r="C1295" i="1" s="1"/>
  <c r="D1294" i="1"/>
  <c r="E1294" i="1"/>
  <c r="F1294" i="1"/>
  <c r="F1295" i="1" s="1"/>
  <c r="G1294" i="1"/>
  <c r="H1294" i="1"/>
  <c r="I1294" i="1"/>
  <c r="J1294" i="1"/>
  <c r="K1294" i="1"/>
  <c r="M1294" i="1"/>
  <c r="N1294" i="1"/>
  <c r="P1294" i="1"/>
  <c r="P1295" i="1" s="1"/>
  <c r="Q1294" i="1"/>
  <c r="Q1295" i="1" s="1"/>
  <c r="R1294" i="1"/>
  <c r="R1295" i="1" s="1"/>
  <c r="S1294" i="1"/>
  <c r="S1295" i="1" s="1"/>
  <c r="T1294" i="1"/>
  <c r="T1295" i="1" s="1"/>
  <c r="V1294" i="1"/>
  <c r="V1295" i="1" s="1"/>
  <c r="W1294" i="1"/>
  <c r="W1295" i="1" s="1"/>
  <c r="X1294" i="1"/>
  <c r="Y1294" i="1"/>
  <c r="Y1295" i="1" s="1"/>
  <c r="Z1294" i="1"/>
  <c r="Z1295" i="1" s="1"/>
  <c r="D1295" i="1"/>
  <c r="X1295" i="1"/>
  <c r="A1296" i="1"/>
  <c r="A1297" i="1" s="1"/>
  <c r="B1296" i="1"/>
  <c r="B1297" i="1" s="1"/>
  <c r="C1296" i="1"/>
  <c r="D1296" i="1"/>
  <c r="D1297" i="1" s="1"/>
  <c r="E1296" i="1"/>
  <c r="E1297" i="1" s="1"/>
  <c r="F1296" i="1"/>
  <c r="F1297" i="1" s="1"/>
  <c r="G1296" i="1"/>
  <c r="H1296" i="1"/>
  <c r="I1296" i="1"/>
  <c r="J1296" i="1"/>
  <c r="K1296" i="1"/>
  <c r="M1296" i="1"/>
  <c r="N1296" i="1"/>
  <c r="P1296" i="1"/>
  <c r="P1297" i="1" s="1"/>
  <c r="Q1296" i="1"/>
  <c r="Q1297" i="1" s="1"/>
  <c r="R1296" i="1"/>
  <c r="R1297" i="1" s="1"/>
  <c r="S1296" i="1"/>
  <c r="S1297" i="1" s="1"/>
  <c r="T1296" i="1"/>
  <c r="T1297" i="1" s="1"/>
  <c r="V1296" i="1"/>
  <c r="V1297" i="1" s="1"/>
  <c r="W1296" i="1"/>
  <c r="W1297" i="1" s="1"/>
  <c r="X1296" i="1"/>
  <c r="X1297" i="1" s="1"/>
  <c r="Y1296" i="1"/>
  <c r="Z1296" i="1"/>
  <c r="Z1297" i="1" s="1"/>
  <c r="A1298" i="1"/>
  <c r="A1299" i="1" s="1"/>
  <c r="B1298" i="1"/>
  <c r="B1299" i="1" s="1"/>
  <c r="C1298" i="1"/>
  <c r="C1299" i="1" s="1"/>
  <c r="D1298" i="1"/>
  <c r="E1298" i="1"/>
  <c r="E1299" i="1" s="1"/>
  <c r="F1298" i="1"/>
  <c r="F1299" i="1" s="1"/>
  <c r="G1298" i="1"/>
  <c r="H1298" i="1"/>
  <c r="I1298" i="1"/>
  <c r="J1298" i="1"/>
  <c r="K1298" i="1"/>
  <c r="M1298" i="1"/>
  <c r="N1298" i="1"/>
  <c r="P1298" i="1"/>
  <c r="P1299" i="1" s="1"/>
  <c r="Q1298" i="1"/>
  <c r="Q1299" i="1" s="1"/>
  <c r="R1298" i="1"/>
  <c r="R1299" i="1" s="1"/>
  <c r="S1298" i="1"/>
  <c r="S1299" i="1" s="1"/>
  <c r="T1298" i="1"/>
  <c r="T1299" i="1" s="1"/>
  <c r="V1298" i="1"/>
  <c r="V1299" i="1" s="1"/>
  <c r="W1298" i="1"/>
  <c r="W1299" i="1" s="1"/>
  <c r="X1298" i="1"/>
  <c r="X1299" i="1" s="1"/>
  <c r="Y1298" i="1"/>
  <c r="Y1299" i="1" s="1"/>
  <c r="Z1298" i="1"/>
  <c r="Z1299" i="1" s="1"/>
  <c r="A1300" i="1"/>
  <c r="A1301" i="1" s="1"/>
  <c r="B1300" i="1"/>
  <c r="C1300" i="1"/>
  <c r="C1301" i="1" s="1"/>
  <c r="D1300" i="1"/>
  <c r="D1301" i="1" s="1"/>
  <c r="E1300" i="1"/>
  <c r="E1301" i="1" s="1"/>
  <c r="F1300" i="1"/>
  <c r="F1301" i="1" s="1"/>
  <c r="G1300" i="1"/>
  <c r="H1300" i="1"/>
  <c r="I1300" i="1"/>
  <c r="J1300" i="1"/>
  <c r="K1300" i="1"/>
  <c r="M1300" i="1"/>
  <c r="N1300" i="1"/>
  <c r="P1300" i="1"/>
  <c r="P1301" i="1" s="1"/>
  <c r="Q1300" i="1"/>
  <c r="Q1301" i="1" s="1"/>
  <c r="R1300" i="1"/>
  <c r="R1301" i="1" s="1"/>
  <c r="S1300" i="1"/>
  <c r="S1301" i="1" s="1"/>
  <c r="T1300" i="1"/>
  <c r="T1301" i="1" s="1"/>
  <c r="V1300" i="1"/>
  <c r="V1301" i="1" s="1"/>
  <c r="W1300" i="1"/>
  <c r="W1301" i="1" s="1"/>
  <c r="X1300" i="1"/>
  <c r="X1301" i="1" s="1"/>
  <c r="Y1300" i="1"/>
  <c r="Z1300" i="1"/>
  <c r="Z1301" i="1" s="1"/>
  <c r="B1301" i="1"/>
  <c r="A1302" i="1"/>
  <c r="A1303" i="1" s="1"/>
  <c r="B1302" i="1"/>
  <c r="B1303" i="1" s="1"/>
  <c r="C1302" i="1"/>
  <c r="D1302" i="1"/>
  <c r="E1302" i="1"/>
  <c r="E1303" i="1" s="1"/>
  <c r="F1302" i="1"/>
  <c r="F1303" i="1" s="1"/>
  <c r="G1302" i="1"/>
  <c r="H1302" i="1"/>
  <c r="I1302" i="1"/>
  <c r="J1302" i="1"/>
  <c r="K1302" i="1"/>
  <c r="M1302" i="1"/>
  <c r="N1302" i="1"/>
  <c r="P1302" i="1"/>
  <c r="P1303" i="1" s="1"/>
  <c r="Q1302" i="1"/>
  <c r="Q1303" i="1" s="1"/>
  <c r="R1302" i="1"/>
  <c r="R1303" i="1" s="1"/>
  <c r="S1302" i="1"/>
  <c r="S1303" i="1" s="1"/>
  <c r="T1302" i="1"/>
  <c r="T1303" i="1" s="1"/>
  <c r="V1302" i="1"/>
  <c r="V1303" i="1" s="1"/>
  <c r="W1302" i="1"/>
  <c r="W1303" i="1" s="1"/>
  <c r="X1302" i="1"/>
  <c r="X1303" i="1" s="1"/>
  <c r="Y1302" i="1"/>
  <c r="Y1303" i="1" s="1"/>
  <c r="Z1302" i="1"/>
  <c r="Z1303" i="1" s="1"/>
  <c r="D1303" i="1"/>
  <c r="A1304" i="1"/>
  <c r="A1305" i="1" s="1"/>
  <c r="B1304" i="1"/>
  <c r="B1305" i="1" s="1"/>
  <c r="C1304" i="1"/>
  <c r="C1305" i="1" s="1"/>
  <c r="D1304" i="1"/>
  <c r="D1305" i="1" s="1"/>
  <c r="E1304" i="1"/>
  <c r="E1305" i="1" s="1"/>
  <c r="F1304" i="1"/>
  <c r="F1305" i="1" s="1"/>
  <c r="G1304" i="1"/>
  <c r="H1304" i="1"/>
  <c r="I1304" i="1"/>
  <c r="J1304" i="1"/>
  <c r="K1304" i="1"/>
  <c r="M1304" i="1"/>
  <c r="N1304" i="1"/>
  <c r="P1304" i="1"/>
  <c r="P1305" i="1" s="1"/>
  <c r="Q1304" i="1"/>
  <c r="Q1305" i="1" s="1"/>
  <c r="R1304" i="1"/>
  <c r="R1305" i="1" s="1"/>
  <c r="S1304" i="1"/>
  <c r="S1305" i="1" s="1"/>
  <c r="T1304" i="1"/>
  <c r="T1305" i="1" s="1"/>
  <c r="V1304" i="1"/>
  <c r="V1305" i="1" s="1"/>
  <c r="W1304" i="1"/>
  <c r="W1305" i="1" s="1"/>
  <c r="X1304" i="1"/>
  <c r="X1305" i="1" s="1"/>
  <c r="Y1304" i="1"/>
  <c r="Y1305" i="1" s="1"/>
  <c r="Z1304" i="1"/>
  <c r="Z1305" i="1" s="1"/>
  <c r="A1306" i="1"/>
  <c r="A1307" i="1" s="1"/>
  <c r="B1306" i="1"/>
  <c r="B1307" i="1" s="1"/>
  <c r="C1306" i="1"/>
  <c r="C1307" i="1" s="1"/>
  <c r="D1306" i="1"/>
  <c r="D1307" i="1" s="1"/>
  <c r="E1306" i="1"/>
  <c r="F1306" i="1"/>
  <c r="G1306" i="1"/>
  <c r="H1306" i="1"/>
  <c r="I1306" i="1"/>
  <c r="J1306" i="1"/>
  <c r="K1306" i="1"/>
  <c r="M1306" i="1"/>
  <c r="N1306" i="1"/>
  <c r="P1306" i="1"/>
  <c r="P1307" i="1" s="1"/>
  <c r="Q1306" i="1"/>
  <c r="Q1307" i="1" s="1"/>
  <c r="R1306" i="1"/>
  <c r="R1307" i="1" s="1"/>
  <c r="S1306" i="1"/>
  <c r="S1307" i="1" s="1"/>
  <c r="T1306" i="1"/>
  <c r="T1307" i="1" s="1"/>
  <c r="V1306" i="1"/>
  <c r="V1307" i="1" s="1"/>
  <c r="W1306" i="1"/>
  <c r="W1307" i="1" s="1"/>
  <c r="X1306" i="1"/>
  <c r="X1307" i="1" s="1"/>
  <c r="Y1306" i="1"/>
  <c r="Y1307" i="1" s="1"/>
  <c r="Z1306" i="1"/>
  <c r="Z1307" i="1" s="1"/>
  <c r="E1307" i="1"/>
  <c r="A1308" i="1"/>
  <c r="A1309" i="1" s="1"/>
  <c r="B1308" i="1"/>
  <c r="B1309" i="1" s="1"/>
  <c r="C1308" i="1"/>
  <c r="C1309" i="1" s="1"/>
  <c r="D1308" i="1"/>
  <c r="E1308" i="1"/>
  <c r="E1309" i="1" s="1"/>
  <c r="F1308" i="1"/>
  <c r="F1309" i="1" s="1"/>
  <c r="G1308" i="1"/>
  <c r="H1308" i="1"/>
  <c r="I1308" i="1"/>
  <c r="J1308" i="1"/>
  <c r="K1308" i="1"/>
  <c r="M1308" i="1"/>
  <c r="N1308" i="1"/>
  <c r="P1308" i="1"/>
  <c r="P1309" i="1" s="1"/>
  <c r="Q1308" i="1"/>
  <c r="Q1309" i="1" s="1"/>
  <c r="R1308" i="1"/>
  <c r="R1309" i="1" s="1"/>
  <c r="S1308" i="1"/>
  <c r="S1309" i="1" s="1"/>
  <c r="T1308" i="1"/>
  <c r="T1309" i="1" s="1"/>
  <c r="V1308" i="1"/>
  <c r="V1309" i="1" s="1"/>
  <c r="W1308" i="1"/>
  <c r="W1309" i="1" s="1"/>
  <c r="X1308" i="1"/>
  <c r="X1309" i="1" s="1"/>
  <c r="Y1308" i="1"/>
  <c r="Y1309" i="1" s="1"/>
  <c r="Z1308" i="1"/>
  <c r="Z1309" i="1" s="1"/>
  <c r="A1310" i="1"/>
  <c r="A1311" i="1" s="1"/>
  <c r="B1310" i="1"/>
  <c r="B1311" i="1" s="1"/>
  <c r="C1310" i="1"/>
  <c r="C1311" i="1" s="1"/>
  <c r="D1310" i="1"/>
  <c r="D1311" i="1" s="1"/>
  <c r="E1310" i="1"/>
  <c r="E1311" i="1" s="1"/>
  <c r="F1310" i="1"/>
  <c r="G1310" i="1"/>
  <c r="H1310" i="1"/>
  <c r="I1310" i="1"/>
  <c r="J1310" i="1"/>
  <c r="K1310" i="1"/>
  <c r="M1310" i="1"/>
  <c r="N1310" i="1"/>
  <c r="P1310" i="1"/>
  <c r="P1311" i="1" s="1"/>
  <c r="Q1310" i="1"/>
  <c r="Q1311" i="1" s="1"/>
  <c r="R1310" i="1"/>
  <c r="R1311" i="1" s="1"/>
  <c r="S1310" i="1"/>
  <c r="S1311" i="1" s="1"/>
  <c r="T1310" i="1"/>
  <c r="T1311" i="1" s="1"/>
  <c r="V1310" i="1"/>
  <c r="V1311" i="1" s="1"/>
  <c r="W1310" i="1"/>
  <c r="W1311" i="1" s="1"/>
  <c r="X1310" i="1"/>
  <c r="X1311" i="1" s="1"/>
  <c r="Y1310" i="1"/>
  <c r="Y1311" i="1" s="1"/>
  <c r="Z1310" i="1"/>
  <c r="Z1311" i="1" s="1"/>
  <c r="F1311" i="1"/>
  <c r="A1312" i="1"/>
  <c r="A1313" i="1" s="1"/>
  <c r="B1312" i="1"/>
  <c r="B1313" i="1" s="1"/>
  <c r="C1312" i="1"/>
  <c r="D1312" i="1"/>
  <c r="E1312" i="1"/>
  <c r="E1313" i="1" s="1"/>
  <c r="F1312" i="1"/>
  <c r="F1313" i="1" s="1"/>
  <c r="G1312" i="1"/>
  <c r="H1312" i="1"/>
  <c r="I1312" i="1"/>
  <c r="J1312" i="1"/>
  <c r="K1312" i="1"/>
  <c r="M1312" i="1"/>
  <c r="N1312" i="1"/>
  <c r="P1312" i="1"/>
  <c r="P1313" i="1" s="1"/>
  <c r="Q1312" i="1"/>
  <c r="Q1313" i="1" s="1"/>
  <c r="R1312" i="1"/>
  <c r="R1313" i="1" s="1"/>
  <c r="S1312" i="1"/>
  <c r="S1313" i="1" s="1"/>
  <c r="T1312" i="1"/>
  <c r="T1313" i="1" s="1"/>
  <c r="V1312" i="1"/>
  <c r="V1313" i="1" s="1"/>
  <c r="W1312" i="1"/>
  <c r="W1313" i="1" s="1"/>
  <c r="X1312" i="1"/>
  <c r="X1313" i="1" s="1"/>
  <c r="Y1312" i="1"/>
  <c r="Y1313" i="1" s="1"/>
  <c r="Z1312" i="1"/>
  <c r="Z1313" i="1" s="1"/>
  <c r="D1313" i="1"/>
  <c r="A1314" i="1"/>
  <c r="A1315" i="1" s="1"/>
  <c r="B1314" i="1"/>
  <c r="B1315" i="1" s="1"/>
  <c r="C1314" i="1"/>
  <c r="C1315" i="1" s="1"/>
  <c r="D1314" i="1"/>
  <c r="E1314" i="1"/>
  <c r="E1315" i="1" s="1"/>
  <c r="F1314" i="1"/>
  <c r="F1315" i="1" s="1"/>
  <c r="G1314" i="1"/>
  <c r="H1314" i="1"/>
  <c r="I1314" i="1"/>
  <c r="J1314" i="1"/>
  <c r="K1314" i="1"/>
  <c r="M1314" i="1"/>
  <c r="N1314" i="1"/>
  <c r="P1314" i="1"/>
  <c r="P1315" i="1" s="1"/>
  <c r="Q1314" i="1"/>
  <c r="Q1315" i="1" s="1"/>
  <c r="R1314" i="1"/>
  <c r="R1315" i="1" s="1"/>
  <c r="S1314" i="1"/>
  <c r="S1315" i="1" s="1"/>
  <c r="T1314" i="1"/>
  <c r="T1315" i="1" s="1"/>
  <c r="V1314" i="1"/>
  <c r="V1315" i="1" s="1"/>
  <c r="W1314" i="1"/>
  <c r="W1315" i="1" s="1"/>
  <c r="X1314" i="1"/>
  <c r="X1315" i="1" s="1"/>
  <c r="Y1314" i="1"/>
  <c r="Y1315" i="1" s="1"/>
  <c r="Z1314" i="1"/>
  <c r="Z1315" i="1" s="1"/>
  <c r="A1316" i="1"/>
  <c r="A1317" i="1" s="1"/>
  <c r="B1316" i="1"/>
  <c r="B1317" i="1" s="1"/>
  <c r="C1316" i="1"/>
  <c r="C1317" i="1" s="1"/>
  <c r="D1316" i="1"/>
  <c r="D1317" i="1" s="1"/>
  <c r="E1316" i="1"/>
  <c r="F1316" i="1"/>
  <c r="G1316" i="1"/>
  <c r="H1316" i="1"/>
  <c r="I1316" i="1"/>
  <c r="J1316" i="1"/>
  <c r="K1316" i="1"/>
  <c r="M1316" i="1"/>
  <c r="N1316" i="1"/>
  <c r="P1316" i="1"/>
  <c r="P1317" i="1" s="1"/>
  <c r="Q1316" i="1"/>
  <c r="Q1317" i="1" s="1"/>
  <c r="R1316" i="1"/>
  <c r="R1317" i="1" s="1"/>
  <c r="S1316" i="1"/>
  <c r="S1317" i="1" s="1"/>
  <c r="T1316" i="1"/>
  <c r="T1317" i="1" s="1"/>
  <c r="V1316" i="1"/>
  <c r="V1317" i="1" s="1"/>
  <c r="W1316" i="1"/>
  <c r="W1317" i="1" s="1"/>
  <c r="X1316" i="1"/>
  <c r="X1317" i="1" s="1"/>
  <c r="Y1316" i="1"/>
  <c r="Y1317" i="1" s="1"/>
  <c r="Z1316" i="1"/>
  <c r="Z1317" i="1" s="1"/>
  <c r="E1317" i="1"/>
  <c r="A1318" i="1"/>
  <c r="A1319" i="1" s="1"/>
  <c r="B1318" i="1"/>
  <c r="B1319" i="1" s="1"/>
  <c r="C1318" i="1"/>
  <c r="C1319" i="1" s="1"/>
  <c r="D1318" i="1"/>
  <c r="E1318" i="1"/>
  <c r="E1319" i="1" s="1"/>
  <c r="F1318" i="1"/>
  <c r="F1319" i="1" s="1"/>
  <c r="G1318" i="1"/>
  <c r="H1318" i="1"/>
  <c r="I1318" i="1"/>
  <c r="J1318" i="1"/>
  <c r="K1318" i="1"/>
  <c r="M1318" i="1"/>
  <c r="N1318" i="1"/>
  <c r="P1318" i="1"/>
  <c r="P1319" i="1" s="1"/>
  <c r="Q1318" i="1"/>
  <c r="Q1319" i="1" s="1"/>
  <c r="R1318" i="1"/>
  <c r="R1319" i="1" s="1"/>
  <c r="S1318" i="1"/>
  <c r="S1319" i="1" s="1"/>
  <c r="T1318" i="1"/>
  <c r="T1319" i="1" s="1"/>
  <c r="V1318" i="1"/>
  <c r="V1319" i="1" s="1"/>
  <c r="W1318" i="1"/>
  <c r="W1319" i="1" s="1"/>
  <c r="X1318" i="1"/>
  <c r="X1319" i="1" s="1"/>
  <c r="Y1318" i="1"/>
  <c r="Y1319" i="1" s="1"/>
  <c r="Z1318" i="1"/>
  <c r="Z1319" i="1" s="1"/>
  <c r="A1320" i="1"/>
  <c r="A1321" i="1" s="1"/>
  <c r="B1320" i="1"/>
  <c r="B1321" i="1" s="1"/>
  <c r="C1320" i="1"/>
  <c r="C1321" i="1" s="1"/>
  <c r="D1320" i="1"/>
  <c r="E1320" i="1"/>
  <c r="F1320" i="1"/>
  <c r="F1321" i="1" s="1"/>
  <c r="G1320" i="1"/>
  <c r="H1320" i="1"/>
  <c r="I1320" i="1"/>
  <c r="J1320" i="1"/>
  <c r="K1320" i="1"/>
  <c r="M1320" i="1"/>
  <c r="N1320" i="1"/>
  <c r="P1320" i="1"/>
  <c r="P1321" i="1" s="1"/>
  <c r="Q1320" i="1"/>
  <c r="Q1321" i="1" s="1"/>
  <c r="R1320" i="1"/>
  <c r="R1321" i="1" s="1"/>
  <c r="S1320" i="1"/>
  <c r="S1321" i="1" s="1"/>
  <c r="T1320" i="1"/>
  <c r="T1321" i="1" s="1"/>
  <c r="V1320" i="1"/>
  <c r="V1321" i="1" s="1"/>
  <c r="W1320" i="1"/>
  <c r="W1321" i="1" s="1"/>
  <c r="X1320" i="1"/>
  <c r="X1321" i="1" s="1"/>
  <c r="Y1320" i="1"/>
  <c r="Y1321" i="1" s="1"/>
  <c r="Z1320" i="1"/>
  <c r="Z1321" i="1" s="1"/>
  <c r="D1321" i="1"/>
  <c r="A1322" i="1"/>
  <c r="A1323" i="1" s="1"/>
  <c r="B1322" i="1"/>
  <c r="B1323" i="1" s="1"/>
  <c r="C1322" i="1"/>
  <c r="C1323" i="1" s="1"/>
  <c r="D1322" i="1"/>
  <c r="E1322" i="1"/>
  <c r="E1323" i="1" s="1"/>
  <c r="F1322" i="1"/>
  <c r="F1323" i="1" s="1"/>
  <c r="G1322" i="1"/>
  <c r="H1322" i="1"/>
  <c r="I1322" i="1"/>
  <c r="J1322" i="1"/>
  <c r="K1322" i="1"/>
  <c r="M1322" i="1"/>
  <c r="N1322" i="1"/>
  <c r="P1322" i="1"/>
  <c r="P1323" i="1" s="1"/>
  <c r="Q1322" i="1"/>
  <c r="Q1323" i="1" s="1"/>
  <c r="R1322" i="1"/>
  <c r="R1323" i="1" s="1"/>
  <c r="S1322" i="1"/>
  <c r="S1323" i="1" s="1"/>
  <c r="T1322" i="1"/>
  <c r="T1323" i="1" s="1"/>
  <c r="V1322" i="1"/>
  <c r="V1323" i="1" s="1"/>
  <c r="W1322" i="1"/>
  <c r="W1323" i="1" s="1"/>
  <c r="X1322" i="1"/>
  <c r="X1323" i="1" s="1"/>
  <c r="Y1322" i="1"/>
  <c r="Y1323" i="1" s="1"/>
  <c r="Z1322" i="1"/>
  <c r="Z1323" i="1" s="1"/>
  <c r="D1323" i="1"/>
  <c r="A1324" i="1"/>
  <c r="A1325" i="1" s="1"/>
  <c r="B1324" i="1"/>
  <c r="B1325" i="1" s="1"/>
  <c r="C1324" i="1"/>
  <c r="C1325" i="1" s="1"/>
  <c r="D1324" i="1"/>
  <c r="D1325" i="1" s="1"/>
  <c r="E1324" i="1"/>
  <c r="E1325" i="1" s="1"/>
  <c r="F1324" i="1"/>
  <c r="F1325" i="1" s="1"/>
  <c r="G1324" i="1"/>
  <c r="H1324" i="1"/>
  <c r="I1324" i="1"/>
  <c r="J1324" i="1"/>
  <c r="K1324" i="1"/>
  <c r="M1324" i="1"/>
  <c r="N1324" i="1"/>
  <c r="P1324" i="1"/>
  <c r="P1325" i="1" s="1"/>
  <c r="Q1324" i="1"/>
  <c r="Q1325" i="1" s="1"/>
  <c r="R1324" i="1"/>
  <c r="R1325" i="1" s="1"/>
  <c r="S1324" i="1"/>
  <c r="S1325" i="1" s="1"/>
  <c r="T1324" i="1"/>
  <c r="T1325" i="1" s="1"/>
  <c r="V1324" i="1"/>
  <c r="V1325" i="1" s="1"/>
  <c r="W1324" i="1"/>
  <c r="W1325" i="1" s="1"/>
  <c r="X1324" i="1"/>
  <c r="X1325" i="1" s="1"/>
  <c r="Y1324" i="1"/>
  <c r="Y1325" i="1" s="1"/>
  <c r="Z1324" i="1"/>
  <c r="Z1325" i="1" s="1"/>
  <c r="A1326" i="1"/>
  <c r="A1327" i="1" s="1"/>
  <c r="B1326" i="1"/>
  <c r="B1327" i="1" s="1"/>
  <c r="C1326" i="1"/>
  <c r="C1327" i="1" s="1"/>
  <c r="D1326" i="1"/>
  <c r="E1326" i="1"/>
  <c r="E1327" i="1" s="1"/>
  <c r="F1326" i="1"/>
  <c r="F1327" i="1" s="1"/>
  <c r="G1326" i="1"/>
  <c r="H1326" i="1"/>
  <c r="I1326" i="1"/>
  <c r="J1326" i="1"/>
  <c r="K1326" i="1"/>
  <c r="M1326" i="1"/>
  <c r="N1326" i="1"/>
  <c r="P1326" i="1"/>
  <c r="P1327" i="1" s="1"/>
  <c r="Q1326" i="1"/>
  <c r="Q1327" i="1" s="1"/>
  <c r="R1326" i="1"/>
  <c r="R1327" i="1" s="1"/>
  <c r="S1326" i="1"/>
  <c r="S1327" i="1" s="1"/>
  <c r="T1326" i="1"/>
  <c r="T1327" i="1" s="1"/>
  <c r="V1326" i="1"/>
  <c r="V1327" i="1" s="1"/>
  <c r="W1326" i="1"/>
  <c r="W1327" i="1" s="1"/>
  <c r="X1326" i="1"/>
  <c r="X1327" i="1" s="1"/>
  <c r="Y1326" i="1"/>
  <c r="Y1327" i="1" s="1"/>
  <c r="Z1326" i="1"/>
  <c r="Z1327" i="1" s="1"/>
  <c r="D1327" i="1"/>
  <c r="A1328" i="1"/>
  <c r="A1329" i="1" s="1"/>
  <c r="B1328" i="1"/>
  <c r="C1328" i="1"/>
  <c r="D1328" i="1"/>
  <c r="D1329" i="1" s="1"/>
  <c r="E1328" i="1"/>
  <c r="E1329" i="1" s="1"/>
  <c r="F1328" i="1"/>
  <c r="F1329" i="1" s="1"/>
  <c r="G1328" i="1"/>
  <c r="H1328" i="1"/>
  <c r="I1328" i="1"/>
  <c r="J1328" i="1"/>
  <c r="K1328" i="1"/>
  <c r="M1328" i="1"/>
  <c r="N1328" i="1"/>
  <c r="P1328" i="1"/>
  <c r="P1329" i="1" s="1"/>
  <c r="Q1328" i="1"/>
  <c r="Q1329" i="1" s="1"/>
  <c r="R1328" i="1"/>
  <c r="R1329" i="1" s="1"/>
  <c r="S1328" i="1"/>
  <c r="S1329" i="1" s="1"/>
  <c r="T1328" i="1"/>
  <c r="T1329" i="1" s="1"/>
  <c r="V1328" i="1"/>
  <c r="V1329" i="1" s="1"/>
  <c r="W1328" i="1"/>
  <c r="W1329" i="1" s="1"/>
  <c r="X1328" i="1"/>
  <c r="X1329" i="1" s="1"/>
  <c r="Y1328" i="1"/>
  <c r="Z1328" i="1"/>
  <c r="Z1329" i="1" s="1"/>
  <c r="B1329" i="1"/>
  <c r="A1330" i="1"/>
  <c r="A1331" i="1" s="1"/>
  <c r="B1330" i="1"/>
  <c r="B1331" i="1" s="1"/>
  <c r="C1330" i="1"/>
  <c r="C1331" i="1" s="1"/>
  <c r="D1330" i="1"/>
  <c r="E1330" i="1"/>
  <c r="E1331" i="1" s="1"/>
  <c r="F1330" i="1"/>
  <c r="F1331" i="1" s="1"/>
  <c r="G1330" i="1"/>
  <c r="H1330" i="1"/>
  <c r="I1330" i="1"/>
  <c r="J1330" i="1"/>
  <c r="K1330" i="1"/>
  <c r="M1330" i="1"/>
  <c r="N1330" i="1"/>
  <c r="P1330" i="1"/>
  <c r="P1331" i="1" s="1"/>
  <c r="Q1330" i="1"/>
  <c r="Q1331" i="1" s="1"/>
  <c r="R1330" i="1"/>
  <c r="R1331" i="1" s="1"/>
  <c r="S1330" i="1"/>
  <c r="S1331" i="1" s="1"/>
  <c r="T1330" i="1"/>
  <c r="T1331" i="1" s="1"/>
  <c r="V1330" i="1"/>
  <c r="V1331" i="1" s="1"/>
  <c r="W1330" i="1"/>
  <c r="W1331" i="1" s="1"/>
  <c r="X1330" i="1"/>
  <c r="X1331" i="1" s="1"/>
  <c r="Y1330" i="1"/>
  <c r="Y1331" i="1" s="1"/>
  <c r="Z1330" i="1"/>
  <c r="Z1331" i="1" s="1"/>
  <c r="A1332" i="1"/>
  <c r="A1333" i="1" s="1"/>
  <c r="B1332" i="1"/>
  <c r="B1333" i="1" s="1"/>
  <c r="C1332" i="1"/>
  <c r="C1333" i="1" s="1"/>
  <c r="D1332" i="1"/>
  <c r="D1333" i="1" s="1"/>
  <c r="E1332" i="1"/>
  <c r="E1333" i="1" s="1"/>
  <c r="F1332" i="1"/>
  <c r="G1332" i="1"/>
  <c r="H1332" i="1"/>
  <c r="I1332" i="1"/>
  <c r="J1332" i="1"/>
  <c r="K1332" i="1"/>
  <c r="M1332" i="1"/>
  <c r="N1332" i="1"/>
  <c r="P1332" i="1"/>
  <c r="P1333" i="1" s="1"/>
  <c r="Q1332" i="1"/>
  <c r="Q1333" i="1" s="1"/>
  <c r="R1332" i="1"/>
  <c r="R1333" i="1" s="1"/>
  <c r="S1332" i="1"/>
  <c r="S1333" i="1" s="1"/>
  <c r="T1332" i="1"/>
  <c r="T1333" i="1" s="1"/>
  <c r="V1332" i="1"/>
  <c r="V1333" i="1" s="1"/>
  <c r="W1332" i="1"/>
  <c r="W1333" i="1" s="1"/>
  <c r="X1332" i="1"/>
  <c r="X1333" i="1" s="1"/>
  <c r="Y1332" i="1"/>
  <c r="Y1333" i="1" s="1"/>
  <c r="Z1332" i="1"/>
  <c r="Z1333" i="1" s="1"/>
  <c r="A1334" i="1"/>
  <c r="A1335" i="1" s="1"/>
  <c r="B1334" i="1"/>
  <c r="B1335" i="1" s="1"/>
  <c r="C1334" i="1"/>
  <c r="C1335" i="1" s="1"/>
  <c r="D1334" i="1"/>
  <c r="E1334" i="1"/>
  <c r="E1335" i="1" s="1"/>
  <c r="F1334" i="1"/>
  <c r="F1335" i="1" s="1"/>
  <c r="G1334" i="1"/>
  <c r="H1334" i="1"/>
  <c r="I1334" i="1"/>
  <c r="J1334" i="1"/>
  <c r="K1334" i="1"/>
  <c r="M1334" i="1"/>
  <c r="N1334" i="1"/>
  <c r="P1334" i="1"/>
  <c r="P1335" i="1" s="1"/>
  <c r="Q1334" i="1"/>
  <c r="Q1335" i="1" s="1"/>
  <c r="R1334" i="1"/>
  <c r="R1335" i="1" s="1"/>
  <c r="S1334" i="1"/>
  <c r="S1335" i="1" s="1"/>
  <c r="T1334" i="1"/>
  <c r="T1335" i="1" s="1"/>
  <c r="V1334" i="1"/>
  <c r="V1335" i="1" s="1"/>
  <c r="W1334" i="1"/>
  <c r="W1335" i="1" s="1"/>
  <c r="X1334" i="1"/>
  <c r="X1335" i="1" s="1"/>
  <c r="Y1334" i="1"/>
  <c r="Y1335" i="1" s="1"/>
  <c r="Z1334" i="1"/>
  <c r="Z1335" i="1" s="1"/>
  <c r="A1336" i="1"/>
  <c r="A1337" i="1" s="1"/>
  <c r="B1336" i="1"/>
  <c r="B1337" i="1" s="1"/>
  <c r="C1336" i="1"/>
  <c r="C1337" i="1" s="1"/>
  <c r="D1336" i="1"/>
  <c r="E1336" i="1"/>
  <c r="F1336" i="1"/>
  <c r="F1337" i="1" s="1"/>
  <c r="G1336" i="1"/>
  <c r="H1336" i="1"/>
  <c r="I1336" i="1"/>
  <c r="J1336" i="1"/>
  <c r="K1336" i="1"/>
  <c r="M1336" i="1"/>
  <c r="N1336" i="1"/>
  <c r="P1336" i="1"/>
  <c r="P1337" i="1" s="1"/>
  <c r="Q1336" i="1"/>
  <c r="Q1337" i="1" s="1"/>
  <c r="R1336" i="1"/>
  <c r="R1337" i="1" s="1"/>
  <c r="S1336" i="1"/>
  <c r="S1337" i="1" s="1"/>
  <c r="T1336" i="1"/>
  <c r="T1337" i="1" s="1"/>
  <c r="V1336" i="1"/>
  <c r="V1337" i="1" s="1"/>
  <c r="W1336" i="1"/>
  <c r="W1337" i="1" s="1"/>
  <c r="X1336" i="1"/>
  <c r="X1337" i="1" s="1"/>
  <c r="Y1336" i="1"/>
  <c r="Y1337" i="1" s="1"/>
  <c r="Z1336" i="1"/>
  <c r="Z1337" i="1" s="1"/>
  <c r="D1337" i="1"/>
  <c r="A1338" i="1"/>
  <c r="A1339" i="1" s="1"/>
  <c r="B1338" i="1"/>
  <c r="B1339" i="1" s="1"/>
  <c r="C1338" i="1"/>
  <c r="C1339" i="1" s="1"/>
  <c r="D1338" i="1"/>
  <c r="D1339" i="1" s="1"/>
  <c r="E1338" i="1"/>
  <c r="F1338" i="1"/>
  <c r="F1339" i="1" s="1"/>
  <c r="G1338" i="1"/>
  <c r="H1338" i="1"/>
  <c r="I1338" i="1"/>
  <c r="J1338" i="1"/>
  <c r="K1338" i="1"/>
  <c r="M1338" i="1"/>
  <c r="N1338" i="1"/>
  <c r="P1338" i="1"/>
  <c r="P1339" i="1" s="1"/>
  <c r="Q1338" i="1"/>
  <c r="Q1339" i="1" s="1"/>
  <c r="R1338" i="1"/>
  <c r="R1339" i="1" s="1"/>
  <c r="S1338" i="1"/>
  <c r="S1339" i="1" s="1"/>
  <c r="T1338" i="1"/>
  <c r="T1339" i="1" s="1"/>
  <c r="V1338" i="1"/>
  <c r="V1339" i="1" s="1"/>
  <c r="W1338" i="1"/>
  <c r="W1339" i="1" s="1"/>
  <c r="X1338" i="1"/>
  <c r="X1339" i="1" s="1"/>
  <c r="Y1338" i="1"/>
  <c r="Z1338" i="1"/>
  <c r="Z1339" i="1" s="1"/>
  <c r="A1340" i="1"/>
  <c r="A1341" i="1" s="1"/>
  <c r="B1340" i="1"/>
  <c r="B1341" i="1" s="1"/>
  <c r="C1340" i="1"/>
  <c r="C1341" i="1" s="1"/>
  <c r="D1340" i="1"/>
  <c r="D1341" i="1" s="1"/>
  <c r="E1340" i="1"/>
  <c r="E1341" i="1" s="1"/>
  <c r="F1340" i="1"/>
  <c r="F1341" i="1" s="1"/>
  <c r="G1340" i="1"/>
  <c r="H1340" i="1"/>
  <c r="I1340" i="1"/>
  <c r="J1340" i="1"/>
  <c r="K1340" i="1"/>
  <c r="M1340" i="1"/>
  <c r="N1340" i="1"/>
  <c r="P1340" i="1"/>
  <c r="Q1340" i="1"/>
  <c r="Q1341" i="1" s="1"/>
  <c r="R1340" i="1"/>
  <c r="R1341" i="1" s="1"/>
  <c r="S1340" i="1"/>
  <c r="S1341" i="1" s="1"/>
  <c r="T1340" i="1"/>
  <c r="T1341" i="1" s="1"/>
  <c r="V1340" i="1"/>
  <c r="V1341" i="1" s="1"/>
  <c r="W1340" i="1"/>
  <c r="W1341" i="1" s="1"/>
  <c r="X1340" i="1"/>
  <c r="X1341" i="1" s="1"/>
  <c r="Y1340" i="1"/>
  <c r="Z1340" i="1"/>
  <c r="Z1341" i="1" s="1"/>
  <c r="P1341" i="1"/>
  <c r="A1342" i="1"/>
  <c r="A1343" i="1" s="1"/>
  <c r="B1342" i="1"/>
  <c r="B1343" i="1" s="1"/>
  <c r="C1342" i="1"/>
  <c r="C1343" i="1" s="1"/>
  <c r="D1342" i="1"/>
  <c r="D1343" i="1" s="1"/>
  <c r="E1342" i="1"/>
  <c r="E1343" i="1" s="1"/>
  <c r="F1342" i="1"/>
  <c r="F1343" i="1" s="1"/>
  <c r="G1342" i="1"/>
  <c r="H1342" i="1"/>
  <c r="I1342" i="1"/>
  <c r="J1342" i="1"/>
  <c r="K1342" i="1"/>
  <c r="M1342" i="1"/>
  <c r="N1342" i="1"/>
  <c r="P1342" i="1"/>
  <c r="P1343" i="1" s="1"/>
  <c r="Q1342" i="1"/>
  <c r="Q1343" i="1" s="1"/>
  <c r="R1342" i="1"/>
  <c r="R1343" i="1" s="1"/>
  <c r="S1342" i="1"/>
  <c r="S1343" i="1" s="1"/>
  <c r="T1342" i="1"/>
  <c r="T1343" i="1" s="1"/>
  <c r="V1342" i="1"/>
  <c r="V1343" i="1" s="1"/>
  <c r="W1342" i="1"/>
  <c r="W1343" i="1" s="1"/>
  <c r="X1342" i="1"/>
  <c r="X1343" i="1" s="1"/>
  <c r="Y1342" i="1"/>
  <c r="Y1343" i="1" s="1"/>
  <c r="Z1342" i="1"/>
  <c r="Z1343" i="1" s="1"/>
  <c r="A1344" i="1"/>
  <c r="A1345" i="1" s="1"/>
  <c r="B1344" i="1"/>
  <c r="B1345" i="1" s="1"/>
  <c r="C1344" i="1"/>
  <c r="C1345" i="1" s="1"/>
  <c r="D1344" i="1"/>
  <c r="E1344" i="1"/>
  <c r="E1345" i="1" s="1"/>
  <c r="F1344" i="1"/>
  <c r="F1345" i="1" s="1"/>
  <c r="G1344" i="1"/>
  <c r="H1344" i="1"/>
  <c r="I1344" i="1"/>
  <c r="J1344" i="1"/>
  <c r="K1344" i="1"/>
  <c r="M1344" i="1"/>
  <c r="N1344" i="1"/>
  <c r="P1344" i="1"/>
  <c r="P1345" i="1" s="1"/>
  <c r="Q1344" i="1"/>
  <c r="Q1345" i="1" s="1"/>
  <c r="R1344" i="1"/>
  <c r="R1345" i="1" s="1"/>
  <c r="S1344" i="1"/>
  <c r="S1345" i="1" s="1"/>
  <c r="T1344" i="1"/>
  <c r="T1345" i="1" s="1"/>
  <c r="V1344" i="1"/>
  <c r="V1345" i="1" s="1"/>
  <c r="W1344" i="1"/>
  <c r="W1345" i="1" s="1"/>
  <c r="X1344" i="1"/>
  <c r="X1345" i="1" s="1"/>
  <c r="Y1344" i="1"/>
  <c r="Y1345" i="1" s="1"/>
  <c r="Z1344" i="1"/>
  <c r="Z1345" i="1" s="1"/>
  <c r="A1346" i="1"/>
  <c r="A1347" i="1" s="1"/>
  <c r="B1346" i="1"/>
  <c r="B1347" i="1" s="1"/>
  <c r="C1346" i="1"/>
  <c r="C1347" i="1" s="1"/>
  <c r="D1346" i="1"/>
  <c r="E1346" i="1"/>
  <c r="E1347" i="1" s="1"/>
  <c r="F1346" i="1"/>
  <c r="F1347" i="1" s="1"/>
  <c r="G1346" i="1"/>
  <c r="H1346" i="1"/>
  <c r="I1346" i="1"/>
  <c r="J1346" i="1"/>
  <c r="K1346" i="1"/>
  <c r="M1346" i="1"/>
  <c r="N1346" i="1"/>
  <c r="P1346" i="1"/>
  <c r="P1347" i="1" s="1"/>
  <c r="Q1346" i="1"/>
  <c r="Q1347" i="1" s="1"/>
  <c r="R1346" i="1"/>
  <c r="R1347" i="1" s="1"/>
  <c r="S1346" i="1"/>
  <c r="S1347" i="1" s="1"/>
  <c r="T1346" i="1"/>
  <c r="T1347" i="1" s="1"/>
  <c r="V1346" i="1"/>
  <c r="V1347" i="1" s="1"/>
  <c r="W1346" i="1"/>
  <c r="W1347" i="1" s="1"/>
  <c r="X1346" i="1"/>
  <c r="X1347" i="1" s="1"/>
  <c r="Y1346" i="1"/>
  <c r="Y1347" i="1" s="1"/>
  <c r="Z1346" i="1"/>
  <c r="Z1347" i="1" s="1"/>
  <c r="A1348" i="1"/>
  <c r="A1349" i="1" s="1"/>
  <c r="B1348" i="1"/>
  <c r="B1349" i="1" s="1"/>
  <c r="C1348" i="1"/>
  <c r="C1349" i="1" s="1"/>
  <c r="D1348" i="1"/>
  <c r="D1349" i="1" s="1"/>
  <c r="E1348" i="1"/>
  <c r="E1349" i="1" s="1"/>
  <c r="F1348" i="1"/>
  <c r="G1348" i="1"/>
  <c r="H1348" i="1"/>
  <c r="I1348" i="1"/>
  <c r="J1348" i="1"/>
  <c r="K1348" i="1"/>
  <c r="M1348" i="1"/>
  <c r="N1348" i="1"/>
  <c r="P1348" i="1"/>
  <c r="P1349" i="1" s="1"/>
  <c r="Q1348" i="1"/>
  <c r="Q1349" i="1" s="1"/>
  <c r="R1348" i="1"/>
  <c r="R1349" i="1" s="1"/>
  <c r="S1348" i="1"/>
  <c r="S1349" i="1" s="1"/>
  <c r="T1348" i="1"/>
  <c r="T1349" i="1" s="1"/>
  <c r="V1348" i="1"/>
  <c r="V1349" i="1" s="1"/>
  <c r="W1348" i="1"/>
  <c r="W1349" i="1" s="1"/>
  <c r="X1348" i="1"/>
  <c r="X1349" i="1" s="1"/>
  <c r="Y1348" i="1"/>
  <c r="Y1349" i="1" s="1"/>
  <c r="Z1348" i="1"/>
  <c r="Z1349" i="1" s="1"/>
  <c r="A1350" i="1"/>
  <c r="A1351" i="1" s="1"/>
  <c r="B1350" i="1"/>
  <c r="B1351" i="1" s="1"/>
  <c r="C1350" i="1"/>
  <c r="C1351" i="1" s="1"/>
  <c r="D1350" i="1"/>
  <c r="E1350" i="1"/>
  <c r="E1351" i="1" s="1"/>
  <c r="F1350" i="1"/>
  <c r="F1351" i="1" s="1"/>
  <c r="G1350" i="1"/>
  <c r="H1350" i="1"/>
  <c r="I1350" i="1"/>
  <c r="J1350" i="1"/>
  <c r="K1350" i="1"/>
  <c r="M1350" i="1"/>
  <c r="N1350" i="1"/>
  <c r="P1350" i="1"/>
  <c r="P1351" i="1" s="1"/>
  <c r="Q1350" i="1"/>
  <c r="Q1351" i="1" s="1"/>
  <c r="R1350" i="1"/>
  <c r="R1351" i="1" s="1"/>
  <c r="S1350" i="1"/>
  <c r="S1351" i="1" s="1"/>
  <c r="T1350" i="1"/>
  <c r="T1351" i="1" s="1"/>
  <c r="V1350" i="1"/>
  <c r="V1351" i="1" s="1"/>
  <c r="W1350" i="1"/>
  <c r="W1351" i="1" s="1"/>
  <c r="X1350" i="1"/>
  <c r="X1351" i="1" s="1"/>
  <c r="Y1350" i="1"/>
  <c r="Y1351" i="1" s="1"/>
  <c r="Z1350" i="1"/>
  <c r="Z1351" i="1" s="1"/>
  <c r="A1352" i="1"/>
  <c r="A1353" i="1" s="1"/>
  <c r="B1352" i="1"/>
  <c r="B1353" i="1" s="1"/>
  <c r="C1352" i="1"/>
  <c r="C1353" i="1" s="1"/>
  <c r="D1352" i="1"/>
  <c r="E1352" i="1"/>
  <c r="F1352" i="1"/>
  <c r="F1353" i="1" s="1"/>
  <c r="G1352" i="1"/>
  <c r="H1352" i="1"/>
  <c r="I1352" i="1"/>
  <c r="J1352" i="1"/>
  <c r="K1352" i="1"/>
  <c r="M1352" i="1"/>
  <c r="N1352" i="1"/>
  <c r="P1352" i="1"/>
  <c r="P1353" i="1" s="1"/>
  <c r="Q1352" i="1"/>
  <c r="Q1353" i="1" s="1"/>
  <c r="R1352" i="1"/>
  <c r="R1353" i="1" s="1"/>
  <c r="S1352" i="1"/>
  <c r="S1353" i="1" s="1"/>
  <c r="T1352" i="1"/>
  <c r="T1353" i="1" s="1"/>
  <c r="V1352" i="1"/>
  <c r="V1353" i="1" s="1"/>
  <c r="W1352" i="1"/>
  <c r="W1353" i="1" s="1"/>
  <c r="X1352" i="1"/>
  <c r="X1353" i="1" s="1"/>
  <c r="Y1352" i="1"/>
  <c r="Y1353" i="1" s="1"/>
  <c r="Z1352" i="1"/>
  <c r="Z1353" i="1" s="1"/>
  <c r="D1353" i="1"/>
  <c r="A1354" i="1"/>
  <c r="A1355" i="1" s="1"/>
  <c r="B1354" i="1"/>
  <c r="B1355" i="1" s="1"/>
  <c r="C1354" i="1"/>
  <c r="C1355" i="1" s="1"/>
  <c r="D1354" i="1"/>
  <c r="D1355" i="1" s="1"/>
  <c r="E1354" i="1"/>
  <c r="F1354" i="1"/>
  <c r="F1355" i="1" s="1"/>
  <c r="G1354" i="1"/>
  <c r="H1354" i="1"/>
  <c r="I1354" i="1"/>
  <c r="J1354" i="1"/>
  <c r="K1354" i="1"/>
  <c r="M1354" i="1"/>
  <c r="N1354" i="1"/>
  <c r="P1354" i="1"/>
  <c r="P1355" i="1" s="1"/>
  <c r="Q1354" i="1"/>
  <c r="Q1355" i="1" s="1"/>
  <c r="R1354" i="1"/>
  <c r="R1355" i="1" s="1"/>
  <c r="S1354" i="1"/>
  <c r="S1355" i="1" s="1"/>
  <c r="T1354" i="1"/>
  <c r="T1355" i="1" s="1"/>
  <c r="V1354" i="1"/>
  <c r="V1355" i="1" s="1"/>
  <c r="W1354" i="1"/>
  <c r="W1355" i="1" s="1"/>
  <c r="X1354" i="1"/>
  <c r="X1355" i="1" s="1"/>
  <c r="Y1354" i="1"/>
  <c r="Y1355" i="1" s="1"/>
  <c r="Z1354" i="1"/>
  <c r="Z1355" i="1" s="1"/>
  <c r="A1356" i="1"/>
  <c r="A1357" i="1" s="1"/>
  <c r="B1356" i="1"/>
  <c r="B1357" i="1" s="1"/>
  <c r="C1356" i="1"/>
  <c r="C1357" i="1" s="1"/>
  <c r="D1356" i="1"/>
  <c r="D1357" i="1" s="1"/>
  <c r="E1356" i="1"/>
  <c r="E1357" i="1" s="1"/>
  <c r="F1356" i="1"/>
  <c r="F1357" i="1" s="1"/>
  <c r="G1356" i="1"/>
  <c r="H1356" i="1"/>
  <c r="I1356" i="1"/>
  <c r="J1356" i="1"/>
  <c r="K1356" i="1"/>
  <c r="M1356" i="1"/>
  <c r="N1356" i="1"/>
  <c r="P1356" i="1"/>
  <c r="Q1356" i="1"/>
  <c r="R1356" i="1"/>
  <c r="R1357" i="1" s="1"/>
  <c r="S1356" i="1"/>
  <c r="S1357" i="1" s="1"/>
  <c r="T1356" i="1"/>
  <c r="T1357" i="1" s="1"/>
  <c r="V1356" i="1"/>
  <c r="V1357" i="1" s="1"/>
  <c r="W1356" i="1"/>
  <c r="W1357" i="1" s="1"/>
  <c r="X1356" i="1"/>
  <c r="X1357" i="1" s="1"/>
  <c r="Y1356" i="1"/>
  <c r="Z1356" i="1"/>
  <c r="Z1357" i="1" s="1"/>
  <c r="P1357" i="1"/>
  <c r="Q1357" i="1"/>
  <c r="A1358" i="1"/>
  <c r="A1359" i="1" s="1"/>
  <c r="B1358" i="1"/>
  <c r="B1359" i="1" s="1"/>
  <c r="C1358" i="1"/>
  <c r="C1359" i="1" s="1"/>
  <c r="D1358" i="1"/>
  <c r="E1358" i="1"/>
  <c r="E1359" i="1" s="1"/>
  <c r="F1358" i="1"/>
  <c r="F1359" i="1" s="1"/>
  <c r="G1358" i="1"/>
  <c r="H1358" i="1"/>
  <c r="I1358" i="1"/>
  <c r="J1358" i="1"/>
  <c r="K1358" i="1"/>
  <c r="M1358" i="1"/>
  <c r="N1358" i="1"/>
  <c r="P1358" i="1"/>
  <c r="P1359" i="1" s="1"/>
  <c r="Q1358" i="1"/>
  <c r="Q1359" i="1" s="1"/>
  <c r="R1358" i="1"/>
  <c r="R1359" i="1" s="1"/>
  <c r="S1358" i="1"/>
  <c r="S1359" i="1" s="1"/>
  <c r="T1358" i="1"/>
  <c r="T1359" i="1" s="1"/>
  <c r="V1358" i="1"/>
  <c r="V1359" i="1" s="1"/>
  <c r="W1358" i="1"/>
  <c r="W1359" i="1" s="1"/>
  <c r="X1358" i="1"/>
  <c r="X1359" i="1" s="1"/>
  <c r="Y1358" i="1"/>
  <c r="Y1359" i="1" s="1"/>
  <c r="Z1358" i="1"/>
  <c r="Z1359" i="1" s="1"/>
  <c r="D1359" i="1"/>
  <c r="A1360" i="1"/>
  <c r="A1361" i="1" s="1"/>
  <c r="B1360" i="1"/>
  <c r="B1361" i="1" s="1"/>
  <c r="C1360" i="1"/>
  <c r="D1360" i="1"/>
  <c r="E1360" i="1"/>
  <c r="E1361" i="1" s="1"/>
  <c r="F1360" i="1"/>
  <c r="F1361" i="1" s="1"/>
  <c r="G1360" i="1"/>
  <c r="H1360" i="1"/>
  <c r="I1360" i="1"/>
  <c r="J1360" i="1"/>
  <c r="K1360" i="1"/>
  <c r="M1360" i="1"/>
  <c r="N1360" i="1"/>
  <c r="P1360" i="1"/>
  <c r="P1361" i="1" s="1"/>
  <c r="Q1360" i="1"/>
  <c r="Q1361" i="1" s="1"/>
  <c r="R1360" i="1"/>
  <c r="R1361" i="1" s="1"/>
  <c r="S1360" i="1"/>
  <c r="S1361" i="1" s="1"/>
  <c r="T1360" i="1"/>
  <c r="T1361" i="1" s="1"/>
  <c r="V1360" i="1"/>
  <c r="V1361" i="1" s="1"/>
  <c r="W1360" i="1"/>
  <c r="W1361" i="1" s="1"/>
  <c r="X1360" i="1"/>
  <c r="X1361" i="1" s="1"/>
  <c r="Y1360" i="1"/>
  <c r="Y1361" i="1" s="1"/>
  <c r="Z1360" i="1"/>
  <c r="Z1361" i="1" s="1"/>
  <c r="D1361" i="1"/>
  <c r="A1362" i="1"/>
  <c r="A1363" i="1" s="1"/>
  <c r="B1362" i="1"/>
  <c r="B1363" i="1" s="1"/>
  <c r="C1362" i="1"/>
  <c r="C1363" i="1" s="1"/>
  <c r="D1362" i="1"/>
  <c r="E1362" i="1"/>
  <c r="E1363" i="1" s="1"/>
  <c r="F1362" i="1"/>
  <c r="F1363" i="1" s="1"/>
  <c r="G1362" i="1"/>
  <c r="H1362" i="1"/>
  <c r="I1362" i="1"/>
  <c r="J1362" i="1"/>
  <c r="K1362" i="1"/>
  <c r="M1362" i="1"/>
  <c r="N1362" i="1"/>
  <c r="P1362" i="1"/>
  <c r="P1363" i="1" s="1"/>
  <c r="Q1362" i="1"/>
  <c r="Q1363" i="1" s="1"/>
  <c r="R1362" i="1"/>
  <c r="R1363" i="1" s="1"/>
  <c r="S1362" i="1"/>
  <c r="S1363" i="1" s="1"/>
  <c r="T1362" i="1"/>
  <c r="T1363" i="1" s="1"/>
  <c r="V1362" i="1"/>
  <c r="V1363" i="1" s="1"/>
  <c r="W1362" i="1"/>
  <c r="W1363" i="1" s="1"/>
  <c r="X1362" i="1"/>
  <c r="X1363" i="1" s="1"/>
  <c r="Y1362" i="1"/>
  <c r="Y1363" i="1" s="1"/>
  <c r="Z1362" i="1"/>
  <c r="Z1363" i="1" s="1"/>
  <c r="A1364" i="1"/>
  <c r="A1365" i="1" s="1"/>
  <c r="B1364" i="1"/>
  <c r="B1365" i="1" s="1"/>
  <c r="C1364" i="1"/>
  <c r="C1365" i="1" s="1"/>
  <c r="D1364" i="1"/>
  <c r="D1365" i="1" s="1"/>
  <c r="E1364" i="1"/>
  <c r="E1365" i="1" s="1"/>
  <c r="F1364" i="1"/>
  <c r="F1365" i="1" s="1"/>
  <c r="G1364" i="1"/>
  <c r="H1364" i="1"/>
  <c r="I1364" i="1"/>
  <c r="J1364" i="1"/>
  <c r="K1364" i="1"/>
  <c r="M1364" i="1"/>
  <c r="N1364" i="1"/>
  <c r="P1364" i="1"/>
  <c r="P1365" i="1" s="1"/>
  <c r="Q1364" i="1"/>
  <c r="Q1365" i="1" s="1"/>
  <c r="R1364" i="1"/>
  <c r="R1365" i="1" s="1"/>
  <c r="S1364" i="1"/>
  <c r="S1365" i="1" s="1"/>
  <c r="T1364" i="1"/>
  <c r="T1365" i="1" s="1"/>
  <c r="V1364" i="1"/>
  <c r="V1365" i="1" s="1"/>
  <c r="W1364" i="1"/>
  <c r="W1365" i="1" s="1"/>
  <c r="X1364" i="1"/>
  <c r="X1365" i="1" s="1"/>
  <c r="Y1364" i="1"/>
  <c r="Z1364" i="1"/>
  <c r="Z1365" i="1" s="1"/>
  <c r="A1366" i="1"/>
  <c r="A1367" i="1" s="1"/>
  <c r="B1366" i="1"/>
  <c r="B1367" i="1" s="1"/>
  <c r="C1366" i="1"/>
  <c r="C1367" i="1" s="1"/>
  <c r="D1366" i="1"/>
  <c r="E1366" i="1"/>
  <c r="E1367" i="1" s="1"/>
  <c r="F1366" i="1"/>
  <c r="F1367" i="1" s="1"/>
  <c r="G1366" i="1"/>
  <c r="H1366" i="1"/>
  <c r="I1366" i="1"/>
  <c r="J1366" i="1"/>
  <c r="K1366" i="1"/>
  <c r="M1366" i="1"/>
  <c r="N1366" i="1"/>
  <c r="P1366" i="1"/>
  <c r="P1367" i="1" s="1"/>
  <c r="Q1366" i="1"/>
  <c r="Q1367" i="1" s="1"/>
  <c r="R1366" i="1"/>
  <c r="R1367" i="1" s="1"/>
  <c r="S1366" i="1"/>
  <c r="S1367" i="1" s="1"/>
  <c r="T1366" i="1"/>
  <c r="T1367" i="1" s="1"/>
  <c r="V1366" i="1"/>
  <c r="W1366" i="1"/>
  <c r="W1367" i="1" s="1"/>
  <c r="X1366" i="1"/>
  <c r="X1367" i="1" s="1"/>
  <c r="Y1366" i="1"/>
  <c r="Y1367" i="1" s="1"/>
  <c r="Z1366" i="1"/>
  <c r="Z1367" i="1" s="1"/>
  <c r="V1367" i="1"/>
  <c r="A1368" i="1"/>
  <c r="A1369" i="1" s="1"/>
  <c r="B1368" i="1"/>
  <c r="C1368" i="1"/>
  <c r="C1369" i="1" s="1"/>
  <c r="D1368" i="1"/>
  <c r="D1369" i="1" s="1"/>
  <c r="E1368" i="1"/>
  <c r="F1368" i="1"/>
  <c r="F1369" i="1" s="1"/>
  <c r="G1368" i="1"/>
  <c r="H1368" i="1"/>
  <c r="I1368" i="1"/>
  <c r="J1368" i="1"/>
  <c r="K1368" i="1"/>
  <c r="M1368" i="1"/>
  <c r="N1368" i="1"/>
  <c r="P1368" i="1"/>
  <c r="P1369" i="1" s="1"/>
  <c r="Q1368" i="1"/>
  <c r="Q1369" i="1" s="1"/>
  <c r="R1368" i="1"/>
  <c r="R1369" i="1" s="1"/>
  <c r="S1368" i="1"/>
  <c r="S1369" i="1" s="1"/>
  <c r="T1368" i="1"/>
  <c r="T1369" i="1" s="1"/>
  <c r="V1368" i="1"/>
  <c r="V1369" i="1" s="1"/>
  <c r="W1368" i="1"/>
  <c r="W1369" i="1" s="1"/>
  <c r="X1368" i="1"/>
  <c r="X1369" i="1" s="1"/>
  <c r="Y1368" i="1"/>
  <c r="Z1368" i="1"/>
  <c r="Z1369" i="1" s="1"/>
  <c r="B1369" i="1"/>
  <c r="A1370" i="1"/>
  <c r="A1371" i="1" s="1"/>
  <c r="B1370" i="1"/>
  <c r="B1371" i="1" s="1"/>
  <c r="C1370" i="1"/>
  <c r="C1371" i="1" s="1"/>
  <c r="D1370" i="1"/>
  <c r="D1371" i="1" s="1"/>
  <c r="E1370" i="1"/>
  <c r="F1370" i="1"/>
  <c r="F1371" i="1" s="1"/>
  <c r="G1370" i="1"/>
  <c r="H1370" i="1"/>
  <c r="I1370" i="1"/>
  <c r="J1370" i="1"/>
  <c r="K1370" i="1"/>
  <c r="M1370" i="1"/>
  <c r="N1370" i="1"/>
  <c r="P1370" i="1"/>
  <c r="P1371" i="1" s="1"/>
  <c r="Q1370" i="1"/>
  <c r="Q1371" i="1" s="1"/>
  <c r="R1370" i="1"/>
  <c r="R1371" i="1" s="1"/>
  <c r="S1370" i="1"/>
  <c r="S1371" i="1" s="1"/>
  <c r="T1370" i="1"/>
  <c r="T1371" i="1" s="1"/>
  <c r="V1370" i="1"/>
  <c r="V1371" i="1" s="1"/>
  <c r="W1370" i="1"/>
  <c r="W1371" i="1" s="1"/>
  <c r="X1370" i="1"/>
  <c r="X1371" i="1" s="1"/>
  <c r="Y1370" i="1"/>
  <c r="Z1370" i="1"/>
  <c r="Z1371" i="1" s="1"/>
  <c r="A1372" i="1"/>
  <c r="A1373" i="1" s="1"/>
  <c r="B1372" i="1"/>
  <c r="B1373" i="1" s="1"/>
  <c r="C1372" i="1"/>
  <c r="C1373" i="1" s="1"/>
  <c r="D1372" i="1"/>
  <c r="E1372" i="1"/>
  <c r="E1373" i="1" s="1"/>
  <c r="F1372" i="1"/>
  <c r="F1373" i="1" s="1"/>
  <c r="G1372" i="1"/>
  <c r="H1372" i="1"/>
  <c r="I1372" i="1"/>
  <c r="J1372" i="1"/>
  <c r="K1372" i="1"/>
  <c r="M1372" i="1"/>
  <c r="N1372" i="1"/>
  <c r="P1372" i="1"/>
  <c r="P1373" i="1" s="1"/>
  <c r="Q1372" i="1"/>
  <c r="Q1373" i="1" s="1"/>
  <c r="R1372" i="1"/>
  <c r="R1373" i="1" s="1"/>
  <c r="S1372" i="1"/>
  <c r="S1373" i="1" s="1"/>
  <c r="T1372" i="1"/>
  <c r="T1373" i="1" s="1"/>
  <c r="V1372" i="1"/>
  <c r="V1373" i="1" s="1"/>
  <c r="W1372" i="1"/>
  <c r="W1373" i="1" s="1"/>
  <c r="X1372" i="1"/>
  <c r="X1373" i="1" s="1"/>
  <c r="Y1372" i="1"/>
  <c r="Y1373" i="1" s="1"/>
  <c r="Z1372" i="1"/>
  <c r="Z1373" i="1" s="1"/>
  <c r="D1373" i="1"/>
  <c r="A1374" i="1"/>
  <c r="A1375" i="1" s="1"/>
  <c r="B1374" i="1"/>
  <c r="B1375" i="1" s="1"/>
  <c r="C1374" i="1"/>
  <c r="C1375" i="1" s="1"/>
  <c r="D1374" i="1"/>
  <c r="E1374" i="1"/>
  <c r="E1375" i="1" s="1"/>
  <c r="F1374" i="1"/>
  <c r="F1375" i="1" s="1"/>
  <c r="G1374" i="1"/>
  <c r="H1374" i="1"/>
  <c r="I1374" i="1"/>
  <c r="J1374" i="1"/>
  <c r="K1374" i="1"/>
  <c r="M1374" i="1"/>
  <c r="N1374" i="1"/>
  <c r="P1374" i="1"/>
  <c r="P1375" i="1" s="1"/>
  <c r="Q1374" i="1"/>
  <c r="Q1375" i="1" s="1"/>
  <c r="R1374" i="1"/>
  <c r="R1375" i="1" s="1"/>
  <c r="S1374" i="1"/>
  <c r="S1375" i="1" s="1"/>
  <c r="T1374" i="1"/>
  <c r="T1375" i="1" s="1"/>
  <c r="V1374" i="1"/>
  <c r="V1375" i="1" s="1"/>
  <c r="W1374" i="1"/>
  <c r="W1375" i="1" s="1"/>
  <c r="X1374" i="1"/>
  <c r="X1375" i="1" s="1"/>
  <c r="Y1374" i="1"/>
  <c r="Y1375" i="1" s="1"/>
  <c r="Z1374" i="1"/>
  <c r="Z1375" i="1" s="1"/>
  <c r="A1376" i="1"/>
  <c r="A1377" i="1" s="1"/>
  <c r="B1376" i="1"/>
  <c r="B1377" i="1" s="1"/>
  <c r="C1376" i="1"/>
  <c r="C1377" i="1" s="1"/>
  <c r="D1376" i="1"/>
  <c r="E1376" i="1"/>
  <c r="E1377" i="1" s="1"/>
  <c r="F1376" i="1"/>
  <c r="F1377" i="1" s="1"/>
  <c r="G1376" i="1"/>
  <c r="H1376" i="1"/>
  <c r="I1376" i="1"/>
  <c r="J1376" i="1"/>
  <c r="K1376" i="1"/>
  <c r="M1376" i="1"/>
  <c r="N1376" i="1"/>
  <c r="P1376" i="1"/>
  <c r="P1377" i="1" s="1"/>
  <c r="Q1376" i="1"/>
  <c r="Q1377" i="1" s="1"/>
  <c r="R1376" i="1"/>
  <c r="R1377" i="1" s="1"/>
  <c r="S1376" i="1"/>
  <c r="S1377" i="1" s="1"/>
  <c r="T1376" i="1"/>
  <c r="T1377" i="1" s="1"/>
  <c r="V1376" i="1"/>
  <c r="V1377" i="1" s="1"/>
  <c r="W1376" i="1"/>
  <c r="W1377" i="1" s="1"/>
  <c r="X1376" i="1"/>
  <c r="X1377" i="1" s="1"/>
  <c r="Y1376" i="1"/>
  <c r="Y1377" i="1" s="1"/>
  <c r="Z1376" i="1"/>
  <c r="Z1377" i="1" s="1"/>
  <c r="D1377" i="1"/>
  <c r="A1378" i="1"/>
  <c r="A1379" i="1" s="1"/>
  <c r="B1378" i="1"/>
  <c r="B1379" i="1" s="1"/>
  <c r="C1378" i="1"/>
  <c r="C1379" i="1" s="1"/>
  <c r="D1378" i="1"/>
  <c r="D1379" i="1" s="1"/>
  <c r="E1378" i="1"/>
  <c r="E1379" i="1" s="1"/>
  <c r="F1378" i="1"/>
  <c r="F1379" i="1" s="1"/>
  <c r="G1378" i="1"/>
  <c r="H1378" i="1"/>
  <c r="I1378" i="1"/>
  <c r="J1378" i="1"/>
  <c r="K1378" i="1"/>
  <c r="M1378" i="1"/>
  <c r="N1378" i="1"/>
  <c r="P1378" i="1"/>
  <c r="P1379" i="1" s="1"/>
  <c r="Q1378" i="1"/>
  <c r="Q1379" i="1" s="1"/>
  <c r="R1378" i="1"/>
  <c r="R1379" i="1" s="1"/>
  <c r="S1378" i="1"/>
  <c r="S1379" i="1" s="1"/>
  <c r="T1378" i="1"/>
  <c r="T1379" i="1" s="1"/>
  <c r="V1378" i="1"/>
  <c r="V1379" i="1" s="1"/>
  <c r="W1378" i="1"/>
  <c r="W1379" i="1" s="1"/>
  <c r="X1378" i="1"/>
  <c r="X1379" i="1" s="1"/>
  <c r="Y1378" i="1"/>
  <c r="Y1379" i="1" s="1"/>
  <c r="Z1378" i="1"/>
  <c r="Z1379" i="1" s="1"/>
  <c r="A1380" i="1"/>
  <c r="A1381" i="1" s="1"/>
  <c r="B1380" i="1"/>
  <c r="B1381" i="1" s="1"/>
  <c r="C1380" i="1"/>
  <c r="C1381" i="1" s="1"/>
  <c r="D1380" i="1"/>
  <c r="D1381" i="1" s="1"/>
  <c r="E1380" i="1"/>
  <c r="E1381" i="1" s="1"/>
  <c r="F1380" i="1"/>
  <c r="F1381" i="1" s="1"/>
  <c r="G1380" i="1"/>
  <c r="H1380" i="1"/>
  <c r="I1380" i="1"/>
  <c r="J1380" i="1"/>
  <c r="K1380" i="1"/>
  <c r="M1380" i="1"/>
  <c r="N1380" i="1"/>
  <c r="P1380" i="1"/>
  <c r="P1381" i="1" s="1"/>
  <c r="Q1380" i="1"/>
  <c r="Q1381" i="1" s="1"/>
  <c r="R1380" i="1"/>
  <c r="R1381" i="1" s="1"/>
  <c r="S1380" i="1"/>
  <c r="S1381" i="1" s="1"/>
  <c r="T1380" i="1"/>
  <c r="T1381" i="1" s="1"/>
  <c r="V1380" i="1"/>
  <c r="V1381" i="1" s="1"/>
  <c r="W1380" i="1"/>
  <c r="W1381" i="1" s="1"/>
  <c r="X1380" i="1"/>
  <c r="X1381" i="1" s="1"/>
  <c r="Y1380" i="1"/>
  <c r="Z1380" i="1"/>
  <c r="Z1381" i="1" s="1"/>
  <c r="A1382" i="1"/>
  <c r="A1383" i="1" s="1"/>
  <c r="B1382" i="1"/>
  <c r="B1383" i="1" s="1"/>
  <c r="C1382" i="1"/>
  <c r="C1383" i="1" s="1"/>
  <c r="D1382" i="1"/>
  <c r="D1383" i="1" s="1"/>
  <c r="E1382" i="1"/>
  <c r="E1383" i="1" s="1"/>
  <c r="F1382" i="1"/>
  <c r="F1383" i="1" s="1"/>
  <c r="G1382" i="1"/>
  <c r="H1382" i="1"/>
  <c r="I1382" i="1"/>
  <c r="J1382" i="1"/>
  <c r="K1382" i="1"/>
  <c r="M1382" i="1"/>
  <c r="N1382" i="1"/>
  <c r="P1382" i="1"/>
  <c r="P1383" i="1" s="1"/>
  <c r="Q1382" i="1"/>
  <c r="Q1383" i="1" s="1"/>
  <c r="R1382" i="1"/>
  <c r="R1383" i="1" s="1"/>
  <c r="S1382" i="1"/>
  <c r="S1383" i="1" s="1"/>
  <c r="T1382" i="1"/>
  <c r="T1383" i="1" s="1"/>
  <c r="V1382" i="1"/>
  <c r="V1383" i="1" s="1"/>
  <c r="W1382" i="1"/>
  <c r="W1383" i="1" s="1"/>
  <c r="X1382" i="1"/>
  <c r="X1383" i="1" s="1"/>
  <c r="Y1382" i="1"/>
  <c r="Y1383" i="1" s="1"/>
  <c r="Z1382" i="1"/>
  <c r="Z1383" i="1" s="1"/>
  <c r="A1384" i="1"/>
  <c r="A1385" i="1" s="1"/>
  <c r="B1384" i="1"/>
  <c r="B1385" i="1" s="1"/>
  <c r="C1384" i="1"/>
  <c r="C1385" i="1" s="1"/>
  <c r="D1384" i="1"/>
  <c r="E1384" i="1"/>
  <c r="E1385" i="1" s="1"/>
  <c r="F1384" i="1"/>
  <c r="F1385" i="1" s="1"/>
  <c r="G1384" i="1"/>
  <c r="H1384" i="1"/>
  <c r="I1384" i="1"/>
  <c r="J1384" i="1"/>
  <c r="K1384" i="1"/>
  <c r="M1384" i="1"/>
  <c r="N1384" i="1"/>
  <c r="P1384" i="1"/>
  <c r="P1385" i="1" s="1"/>
  <c r="Q1384" i="1"/>
  <c r="Q1385" i="1" s="1"/>
  <c r="R1384" i="1"/>
  <c r="R1385" i="1" s="1"/>
  <c r="S1384" i="1"/>
  <c r="S1385" i="1" s="1"/>
  <c r="T1384" i="1"/>
  <c r="T1385" i="1" s="1"/>
  <c r="V1384" i="1"/>
  <c r="V1385" i="1" s="1"/>
  <c r="W1384" i="1"/>
  <c r="W1385" i="1" s="1"/>
  <c r="X1384" i="1"/>
  <c r="X1385" i="1" s="1"/>
  <c r="Y1384" i="1"/>
  <c r="Y1385" i="1" s="1"/>
  <c r="Z1384" i="1"/>
  <c r="Z1385" i="1" s="1"/>
  <c r="D1385" i="1"/>
  <c r="A1386" i="1"/>
  <c r="A1387" i="1" s="1"/>
  <c r="B1386" i="1"/>
  <c r="C1386" i="1"/>
  <c r="C1387" i="1" s="1"/>
  <c r="D1386" i="1"/>
  <c r="D1387" i="1" s="1"/>
  <c r="E1386" i="1"/>
  <c r="F1386" i="1"/>
  <c r="F1387" i="1" s="1"/>
  <c r="G1386" i="1"/>
  <c r="H1386" i="1"/>
  <c r="I1386" i="1"/>
  <c r="J1386" i="1"/>
  <c r="K1386" i="1"/>
  <c r="M1386" i="1"/>
  <c r="N1386" i="1"/>
  <c r="P1386" i="1"/>
  <c r="P1387" i="1" s="1"/>
  <c r="Q1386" i="1"/>
  <c r="Q1387" i="1" s="1"/>
  <c r="R1386" i="1"/>
  <c r="R1387" i="1" s="1"/>
  <c r="S1386" i="1"/>
  <c r="S1387" i="1" s="1"/>
  <c r="T1386" i="1"/>
  <c r="T1387" i="1" s="1"/>
  <c r="V1386" i="1"/>
  <c r="V1387" i="1" s="1"/>
  <c r="W1386" i="1"/>
  <c r="W1387" i="1" s="1"/>
  <c r="X1386" i="1"/>
  <c r="X1387" i="1" s="1"/>
  <c r="Y1386" i="1"/>
  <c r="Z1386" i="1"/>
  <c r="Z1387" i="1" s="1"/>
  <c r="B1387" i="1"/>
  <c r="A1388" i="1"/>
  <c r="A1389" i="1" s="1"/>
  <c r="B1388" i="1"/>
  <c r="B1389" i="1" s="1"/>
  <c r="C1388" i="1"/>
  <c r="C1389" i="1" s="1"/>
  <c r="D1388" i="1"/>
  <c r="E1388" i="1"/>
  <c r="E1389" i="1" s="1"/>
  <c r="F1388" i="1"/>
  <c r="F1389" i="1" s="1"/>
  <c r="G1388" i="1"/>
  <c r="H1388" i="1"/>
  <c r="I1388" i="1"/>
  <c r="J1388" i="1"/>
  <c r="K1388" i="1"/>
  <c r="M1388" i="1"/>
  <c r="N1388" i="1"/>
  <c r="P1388" i="1"/>
  <c r="P1389" i="1" s="1"/>
  <c r="Q1388" i="1"/>
  <c r="Q1389" i="1" s="1"/>
  <c r="R1388" i="1"/>
  <c r="R1389" i="1" s="1"/>
  <c r="S1388" i="1"/>
  <c r="S1389" i="1" s="1"/>
  <c r="T1388" i="1"/>
  <c r="T1389" i="1" s="1"/>
  <c r="V1388" i="1"/>
  <c r="V1389" i="1" s="1"/>
  <c r="W1388" i="1"/>
  <c r="W1389" i="1" s="1"/>
  <c r="X1388" i="1"/>
  <c r="X1389" i="1" s="1"/>
  <c r="Y1388" i="1"/>
  <c r="Y1389" i="1" s="1"/>
  <c r="Z1388" i="1"/>
  <c r="Z1389" i="1" s="1"/>
  <c r="A1390" i="1"/>
  <c r="A1391" i="1" s="1"/>
  <c r="B1390" i="1"/>
  <c r="B1391" i="1" s="1"/>
  <c r="C1390" i="1"/>
  <c r="C1391" i="1" s="1"/>
  <c r="D1390" i="1"/>
  <c r="E1390" i="1"/>
  <c r="E1391" i="1" s="1"/>
  <c r="F1390" i="1"/>
  <c r="F1391" i="1" s="1"/>
  <c r="G1390" i="1"/>
  <c r="H1390" i="1"/>
  <c r="I1390" i="1"/>
  <c r="J1390" i="1"/>
  <c r="K1390" i="1"/>
  <c r="M1390" i="1"/>
  <c r="N1390" i="1"/>
  <c r="P1390" i="1"/>
  <c r="P1391" i="1" s="1"/>
  <c r="Q1390" i="1"/>
  <c r="Q1391" i="1" s="1"/>
  <c r="R1390" i="1"/>
  <c r="S1390" i="1"/>
  <c r="S1391" i="1" s="1"/>
  <c r="T1390" i="1"/>
  <c r="T1391" i="1" s="1"/>
  <c r="V1390" i="1"/>
  <c r="V1391" i="1" s="1"/>
  <c r="W1390" i="1"/>
  <c r="W1391" i="1" s="1"/>
  <c r="X1390" i="1"/>
  <c r="X1391" i="1" s="1"/>
  <c r="Y1390" i="1"/>
  <c r="Y1391" i="1" s="1"/>
  <c r="Z1390" i="1"/>
  <c r="Z1391" i="1" s="1"/>
  <c r="R1391" i="1"/>
  <c r="A1392" i="1"/>
  <c r="A1393" i="1" s="1"/>
  <c r="B1392" i="1"/>
  <c r="B1393" i="1" s="1"/>
  <c r="C1392" i="1"/>
  <c r="C1393" i="1" s="1"/>
  <c r="D1392" i="1"/>
  <c r="E1392" i="1"/>
  <c r="E1393" i="1" s="1"/>
  <c r="F1392" i="1"/>
  <c r="F1393" i="1" s="1"/>
  <c r="G1392" i="1"/>
  <c r="H1392" i="1"/>
  <c r="I1392" i="1"/>
  <c r="J1392" i="1"/>
  <c r="K1392" i="1"/>
  <c r="M1392" i="1"/>
  <c r="N1392" i="1"/>
  <c r="P1392" i="1"/>
  <c r="P1393" i="1" s="1"/>
  <c r="Q1392" i="1"/>
  <c r="Q1393" i="1" s="1"/>
  <c r="R1392" i="1"/>
  <c r="R1393" i="1" s="1"/>
  <c r="S1392" i="1"/>
  <c r="S1393" i="1" s="1"/>
  <c r="T1392" i="1"/>
  <c r="T1393" i="1" s="1"/>
  <c r="V1392" i="1"/>
  <c r="V1393" i="1" s="1"/>
  <c r="W1392" i="1"/>
  <c r="W1393" i="1" s="1"/>
  <c r="X1392" i="1"/>
  <c r="X1393" i="1" s="1"/>
  <c r="Y1392" i="1"/>
  <c r="Y1393" i="1" s="1"/>
  <c r="Z1392" i="1"/>
  <c r="Z1393" i="1" s="1"/>
  <c r="A1394" i="1"/>
  <c r="A1395" i="1" s="1"/>
  <c r="B1394" i="1"/>
  <c r="B1395" i="1" s="1"/>
  <c r="C1394" i="1"/>
  <c r="C1395" i="1" s="1"/>
  <c r="D1394" i="1"/>
  <c r="E1394" i="1"/>
  <c r="E1395" i="1" s="1"/>
  <c r="F1394" i="1"/>
  <c r="F1395" i="1" s="1"/>
  <c r="G1394" i="1"/>
  <c r="H1394" i="1"/>
  <c r="I1394" i="1"/>
  <c r="J1394" i="1"/>
  <c r="K1394" i="1"/>
  <c r="M1394" i="1"/>
  <c r="N1394" i="1"/>
  <c r="P1394" i="1"/>
  <c r="P1395" i="1" s="1"/>
  <c r="Q1394" i="1"/>
  <c r="Q1395" i="1" s="1"/>
  <c r="R1394" i="1"/>
  <c r="R1395" i="1" s="1"/>
  <c r="S1394" i="1"/>
  <c r="S1395" i="1" s="1"/>
  <c r="T1394" i="1"/>
  <c r="T1395" i="1" s="1"/>
  <c r="V1394" i="1"/>
  <c r="V1395" i="1" s="1"/>
  <c r="W1394" i="1"/>
  <c r="W1395" i="1" s="1"/>
  <c r="X1394" i="1"/>
  <c r="X1395" i="1" s="1"/>
  <c r="Y1394" i="1"/>
  <c r="Y1395" i="1" s="1"/>
  <c r="Z1394" i="1"/>
  <c r="Z1395" i="1" s="1"/>
  <c r="A1396" i="1"/>
  <c r="A1397" i="1" s="1"/>
  <c r="B1396" i="1"/>
  <c r="B1397" i="1" s="1"/>
  <c r="C1396" i="1"/>
  <c r="C1397" i="1" s="1"/>
  <c r="D1396" i="1"/>
  <c r="E1396" i="1"/>
  <c r="E1397" i="1" s="1"/>
  <c r="F1396" i="1"/>
  <c r="F1397" i="1" s="1"/>
  <c r="G1396" i="1"/>
  <c r="H1396" i="1"/>
  <c r="I1396" i="1"/>
  <c r="J1396" i="1"/>
  <c r="K1396" i="1"/>
  <c r="M1396" i="1"/>
  <c r="N1396" i="1"/>
  <c r="P1396" i="1"/>
  <c r="P1397" i="1" s="1"/>
  <c r="Q1396" i="1"/>
  <c r="Q1397" i="1" s="1"/>
  <c r="R1396" i="1"/>
  <c r="R1397" i="1" s="1"/>
  <c r="S1396" i="1"/>
  <c r="S1397" i="1" s="1"/>
  <c r="T1396" i="1"/>
  <c r="T1397" i="1" s="1"/>
  <c r="V1396" i="1"/>
  <c r="V1397" i="1" s="1"/>
  <c r="W1396" i="1"/>
  <c r="W1397" i="1" s="1"/>
  <c r="X1396" i="1"/>
  <c r="X1397" i="1" s="1"/>
  <c r="Y1396" i="1"/>
  <c r="Y1397" i="1" s="1"/>
  <c r="Z1396" i="1"/>
  <c r="Z1397" i="1" s="1"/>
  <c r="A1398" i="1"/>
  <c r="A1399" i="1" s="1"/>
  <c r="B1398" i="1"/>
  <c r="B1399" i="1" s="1"/>
  <c r="C1398" i="1"/>
  <c r="D1398" i="1"/>
  <c r="D1399" i="1" s="1"/>
  <c r="E1398" i="1"/>
  <c r="E1399" i="1" s="1"/>
  <c r="F1398" i="1"/>
  <c r="F1399" i="1" s="1"/>
  <c r="G1398" i="1"/>
  <c r="H1398" i="1"/>
  <c r="I1398" i="1"/>
  <c r="J1398" i="1"/>
  <c r="K1398" i="1"/>
  <c r="M1398" i="1"/>
  <c r="N1398" i="1"/>
  <c r="P1398" i="1"/>
  <c r="P1399" i="1" s="1"/>
  <c r="Q1398" i="1"/>
  <c r="Q1399" i="1" s="1"/>
  <c r="R1398" i="1"/>
  <c r="S1398" i="1"/>
  <c r="T1398" i="1"/>
  <c r="T1399" i="1" s="1"/>
  <c r="V1398" i="1"/>
  <c r="V1399" i="1" s="1"/>
  <c r="W1398" i="1"/>
  <c r="X1398" i="1"/>
  <c r="Y1398" i="1"/>
  <c r="Z1398" i="1"/>
  <c r="Z1399" i="1" s="1"/>
  <c r="R1399" i="1"/>
  <c r="S1399" i="1"/>
  <c r="W1399" i="1"/>
  <c r="X1399" i="1"/>
  <c r="A1400" i="1"/>
  <c r="A1401" i="1" s="1"/>
  <c r="B1400" i="1"/>
  <c r="B1401" i="1" s="1"/>
  <c r="C1400" i="1"/>
  <c r="D1400" i="1"/>
  <c r="D1401" i="1" s="1"/>
  <c r="E1400" i="1"/>
  <c r="E1401" i="1" s="1"/>
  <c r="F1400" i="1"/>
  <c r="G1400" i="1"/>
  <c r="H1400" i="1"/>
  <c r="I1400" i="1"/>
  <c r="J1400" i="1"/>
  <c r="K1400" i="1"/>
  <c r="M1400" i="1"/>
  <c r="N1400" i="1"/>
  <c r="P1400" i="1"/>
  <c r="P1401" i="1" s="1"/>
  <c r="Q1400" i="1"/>
  <c r="Q1401" i="1" s="1"/>
  <c r="R1400" i="1"/>
  <c r="R1401" i="1" s="1"/>
  <c r="S1400" i="1"/>
  <c r="S1401" i="1" s="1"/>
  <c r="T1400" i="1"/>
  <c r="T1401" i="1" s="1"/>
  <c r="V1400" i="1"/>
  <c r="V1401" i="1" s="1"/>
  <c r="W1400" i="1"/>
  <c r="W1401" i="1" s="1"/>
  <c r="X1400" i="1"/>
  <c r="X1401" i="1" s="1"/>
  <c r="Y1400" i="1"/>
  <c r="Y1401" i="1" s="1"/>
  <c r="Z1400" i="1"/>
  <c r="Z1401" i="1" s="1"/>
  <c r="F1401" i="1"/>
  <c r="A1402" i="1"/>
  <c r="A1403" i="1" s="1"/>
  <c r="B1402" i="1"/>
  <c r="B1403" i="1" s="1"/>
  <c r="C1402" i="1"/>
  <c r="C1403" i="1" s="1"/>
  <c r="D1402" i="1"/>
  <c r="E1402" i="1"/>
  <c r="E1403" i="1" s="1"/>
  <c r="F1402" i="1"/>
  <c r="F1403" i="1" s="1"/>
  <c r="G1402" i="1"/>
  <c r="H1402" i="1"/>
  <c r="I1402" i="1"/>
  <c r="J1402" i="1"/>
  <c r="K1402" i="1"/>
  <c r="M1402" i="1"/>
  <c r="N1402" i="1"/>
  <c r="P1402" i="1"/>
  <c r="P1403" i="1" s="1"/>
  <c r="Q1402" i="1"/>
  <c r="Q1403" i="1" s="1"/>
  <c r="R1402" i="1"/>
  <c r="R1403" i="1" s="1"/>
  <c r="S1402" i="1"/>
  <c r="S1403" i="1" s="1"/>
  <c r="T1402" i="1"/>
  <c r="T1403" i="1" s="1"/>
  <c r="V1402" i="1"/>
  <c r="V1403" i="1" s="1"/>
  <c r="W1402" i="1"/>
  <c r="W1403" i="1" s="1"/>
  <c r="X1402" i="1"/>
  <c r="X1403" i="1" s="1"/>
  <c r="Y1402" i="1"/>
  <c r="Y1403" i="1" s="1"/>
  <c r="Z1402" i="1"/>
  <c r="Z1403" i="1" s="1"/>
  <c r="A1404" i="1"/>
  <c r="A1405" i="1" s="1"/>
  <c r="B1404" i="1"/>
  <c r="B1405" i="1" s="1"/>
  <c r="C1404" i="1"/>
  <c r="C1405" i="1" s="1"/>
  <c r="D1404" i="1"/>
  <c r="E1404" i="1"/>
  <c r="E1405" i="1" s="1"/>
  <c r="F1404" i="1"/>
  <c r="F1405" i="1" s="1"/>
  <c r="G1404" i="1"/>
  <c r="H1404" i="1"/>
  <c r="I1404" i="1"/>
  <c r="J1404" i="1"/>
  <c r="K1404" i="1"/>
  <c r="M1404" i="1"/>
  <c r="N1404" i="1"/>
  <c r="P1404" i="1"/>
  <c r="P1405" i="1" s="1"/>
  <c r="Q1404" i="1"/>
  <c r="Q1405" i="1" s="1"/>
  <c r="R1404" i="1"/>
  <c r="R1405" i="1" s="1"/>
  <c r="S1404" i="1"/>
  <c r="S1405" i="1" s="1"/>
  <c r="T1404" i="1"/>
  <c r="T1405" i="1" s="1"/>
  <c r="V1404" i="1"/>
  <c r="V1405" i="1" s="1"/>
  <c r="W1404" i="1"/>
  <c r="W1405" i="1" s="1"/>
  <c r="X1404" i="1"/>
  <c r="X1405" i="1" s="1"/>
  <c r="Y1404" i="1"/>
  <c r="Y1405" i="1" s="1"/>
  <c r="Z1404" i="1"/>
  <c r="Z1405" i="1" s="1"/>
  <c r="A1406" i="1"/>
  <c r="A1407" i="1" s="1"/>
  <c r="B1406" i="1"/>
  <c r="B1407" i="1" s="1"/>
  <c r="C1406" i="1"/>
  <c r="C1407" i="1" s="1"/>
  <c r="D1406" i="1"/>
  <c r="E1406" i="1"/>
  <c r="E1407" i="1" s="1"/>
  <c r="F1406" i="1"/>
  <c r="F1407" i="1" s="1"/>
  <c r="G1406" i="1"/>
  <c r="H1406" i="1"/>
  <c r="I1406" i="1"/>
  <c r="J1406" i="1"/>
  <c r="K1406" i="1"/>
  <c r="M1406" i="1"/>
  <c r="N1406" i="1"/>
  <c r="P1406" i="1"/>
  <c r="P1407" i="1" s="1"/>
  <c r="Q1406" i="1"/>
  <c r="Q1407" i="1" s="1"/>
  <c r="R1406" i="1"/>
  <c r="R1407" i="1" s="1"/>
  <c r="S1406" i="1"/>
  <c r="S1407" i="1" s="1"/>
  <c r="T1406" i="1"/>
  <c r="V1406" i="1"/>
  <c r="V1407" i="1" s="1"/>
  <c r="W1406" i="1"/>
  <c r="W1407" i="1" s="1"/>
  <c r="X1406" i="1"/>
  <c r="X1407" i="1" s="1"/>
  <c r="Y1406" i="1"/>
  <c r="Y1407" i="1" s="1"/>
  <c r="Z1406" i="1"/>
  <c r="Z1407" i="1" s="1"/>
  <c r="T1407" i="1"/>
  <c r="A1408" i="1"/>
  <c r="A1409" i="1" s="1"/>
  <c r="B1408" i="1"/>
  <c r="B1409" i="1" s="1"/>
  <c r="C1408" i="1"/>
  <c r="C1409" i="1" s="1"/>
  <c r="D1408" i="1"/>
  <c r="E1408" i="1"/>
  <c r="E1409" i="1" s="1"/>
  <c r="F1408" i="1"/>
  <c r="F1409" i="1" s="1"/>
  <c r="G1408" i="1"/>
  <c r="H1408" i="1"/>
  <c r="I1408" i="1"/>
  <c r="J1408" i="1"/>
  <c r="K1408" i="1"/>
  <c r="M1408" i="1"/>
  <c r="N1408" i="1"/>
  <c r="P1408" i="1"/>
  <c r="P1409" i="1" s="1"/>
  <c r="Q1408" i="1"/>
  <c r="Q1409" i="1" s="1"/>
  <c r="R1408" i="1"/>
  <c r="R1409" i="1" s="1"/>
  <c r="S1408" i="1"/>
  <c r="S1409" i="1" s="1"/>
  <c r="T1408" i="1"/>
  <c r="T1409" i="1" s="1"/>
  <c r="V1408" i="1"/>
  <c r="V1409" i="1" s="1"/>
  <c r="W1408" i="1"/>
  <c r="W1409" i="1" s="1"/>
  <c r="X1408" i="1"/>
  <c r="X1409" i="1" s="1"/>
  <c r="Y1408" i="1"/>
  <c r="Y1409" i="1" s="1"/>
  <c r="Z1408" i="1"/>
  <c r="Z1409" i="1" s="1"/>
  <c r="A1410" i="1"/>
  <c r="A1411" i="1" s="1"/>
  <c r="B1410" i="1"/>
  <c r="B1411" i="1" s="1"/>
  <c r="C1410" i="1"/>
  <c r="C1411" i="1" s="1"/>
  <c r="D1410" i="1"/>
  <c r="E1410" i="1"/>
  <c r="E1411" i="1" s="1"/>
  <c r="F1410" i="1"/>
  <c r="F1411" i="1" s="1"/>
  <c r="G1410" i="1"/>
  <c r="H1410" i="1"/>
  <c r="I1410" i="1"/>
  <c r="J1410" i="1"/>
  <c r="K1410" i="1"/>
  <c r="M1410" i="1"/>
  <c r="N1410" i="1"/>
  <c r="P1410" i="1"/>
  <c r="P1411" i="1" s="1"/>
  <c r="Q1410" i="1"/>
  <c r="Q1411" i="1" s="1"/>
  <c r="R1410" i="1"/>
  <c r="S1410" i="1"/>
  <c r="S1411" i="1" s="1"/>
  <c r="T1410" i="1"/>
  <c r="T1411" i="1" s="1"/>
  <c r="V1410" i="1"/>
  <c r="V1411" i="1" s="1"/>
  <c r="W1410" i="1"/>
  <c r="W1411" i="1" s="1"/>
  <c r="X1410" i="1"/>
  <c r="X1411" i="1" s="1"/>
  <c r="Y1410" i="1"/>
  <c r="Y1411" i="1" s="1"/>
  <c r="Z1410" i="1"/>
  <c r="Z1411" i="1" s="1"/>
  <c r="R1411" i="1"/>
  <c r="A1412" i="1"/>
  <c r="A1413" i="1" s="1"/>
  <c r="B1412" i="1"/>
  <c r="B1413" i="1" s="1"/>
  <c r="C1412" i="1"/>
  <c r="C1413" i="1" s="1"/>
  <c r="D1412" i="1"/>
  <c r="E1412" i="1"/>
  <c r="E1413" i="1" s="1"/>
  <c r="F1412" i="1"/>
  <c r="F1413" i="1" s="1"/>
  <c r="G1412" i="1"/>
  <c r="H1412" i="1"/>
  <c r="I1412" i="1"/>
  <c r="J1412" i="1"/>
  <c r="K1412" i="1"/>
  <c r="M1412" i="1"/>
  <c r="N1412" i="1"/>
  <c r="P1412" i="1"/>
  <c r="P1413" i="1" s="1"/>
  <c r="Q1412" i="1"/>
  <c r="Q1413" i="1" s="1"/>
  <c r="R1412" i="1"/>
  <c r="R1413" i="1" s="1"/>
  <c r="S1412" i="1"/>
  <c r="S1413" i="1" s="1"/>
  <c r="T1412" i="1"/>
  <c r="T1413" i="1" s="1"/>
  <c r="V1412" i="1"/>
  <c r="V1413" i="1" s="1"/>
  <c r="W1412" i="1"/>
  <c r="W1413" i="1" s="1"/>
  <c r="X1412" i="1"/>
  <c r="X1413" i="1" s="1"/>
  <c r="Y1412" i="1"/>
  <c r="Y1413" i="1" s="1"/>
  <c r="Z1412" i="1"/>
  <c r="Z1413" i="1" s="1"/>
  <c r="A1414" i="1"/>
  <c r="A1415" i="1" s="1"/>
  <c r="B1414" i="1"/>
  <c r="B1415" i="1" s="1"/>
  <c r="C1414" i="1"/>
  <c r="D1414" i="1"/>
  <c r="E1414" i="1"/>
  <c r="E1415" i="1" s="1"/>
  <c r="F1414" i="1"/>
  <c r="F1415" i="1" s="1"/>
  <c r="G1414" i="1"/>
  <c r="H1414" i="1"/>
  <c r="I1414" i="1"/>
  <c r="J1414" i="1"/>
  <c r="K1414" i="1"/>
  <c r="M1414" i="1"/>
  <c r="N1414" i="1"/>
  <c r="P1414" i="1"/>
  <c r="P1415" i="1" s="1"/>
  <c r="Q1414" i="1"/>
  <c r="Q1415" i="1" s="1"/>
  <c r="R1414" i="1"/>
  <c r="R1415" i="1" s="1"/>
  <c r="S1414" i="1"/>
  <c r="S1415" i="1" s="1"/>
  <c r="T1414" i="1"/>
  <c r="T1415" i="1" s="1"/>
  <c r="V1414" i="1"/>
  <c r="V1415" i="1" s="1"/>
  <c r="W1414" i="1"/>
  <c r="W1415" i="1" s="1"/>
  <c r="X1414" i="1"/>
  <c r="X1415" i="1" s="1"/>
  <c r="Y1414" i="1"/>
  <c r="Y1415" i="1" s="1"/>
  <c r="Z1414" i="1"/>
  <c r="Z1415" i="1" s="1"/>
  <c r="D1415" i="1"/>
  <c r="A1416" i="1"/>
  <c r="A1417" i="1" s="1"/>
  <c r="B1416" i="1"/>
  <c r="C1416" i="1"/>
  <c r="D1416" i="1"/>
  <c r="D1417" i="1" s="1"/>
  <c r="E1416" i="1"/>
  <c r="E1417" i="1" s="1"/>
  <c r="F1416" i="1"/>
  <c r="F1417" i="1" s="1"/>
  <c r="G1416" i="1"/>
  <c r="H1416" i="1"/>
  <c r="I1416" i="1"/>
  <c r="J1416" i="1"/>
  <c r="K1416" i="1"/>
  <c r="M1416" i="1"/>
  <c r="N1416" i="1"/>
  <c r="P1416" i="1"/>
  <c r="P1417" i="1" s="1"/>
  <c r="Q1416" i="1"/>
  <c r="Q1417" i="1" s="1"/>
  <c r="R1416" i="1"/>
  <c r="R1417" i="1" s="1"/>
  <c r="S1416" i="1"/>
  <c r="S1417" i="1" s="1"/>
  <c r="T1416" i="1"/>
  <c r="T1417" i="1" s="1"/>
  <c r="V1416" i="1"/>
  <c r="V1417" i="1" s="1"/>
  <c r="W1416" i="1"/>
  <c r="W1417" i="1" s="1"/>
  <c r="X1416" i="1"/>
  <c r="X1417" i="1" s="1"/>
  <c r="Y1416" i="1"/>
  <c r="Z1416" i="1"/>
  <c r="Z1417" i="1" s="1"/>
  <c r="B1417" i="1"/>
  <c r="A1418" i="1"/>
  <c r="A1419" i="1" s="1"/>
  <c r="B1418" i="1"/>
  <c r="B1419" i="1" s="1"/>
  <c r="C1418" i="1"/>
  <c r="C1419" i="1" s="1"/>
  <c r="D1418" i="1"/>
  <c r="E1418" i="1"/>
  <c r="E1419" i="1" s="1"/>
  <c r="F1418" i="1"/>
  <c r="F1419" i="1" s="1"/>
  <c r="G1418" i="1"/>
  <c r="H1418" i="1"/>
  <c r="I1418" i="1"/>
  <c r="J1418" i="1"/>
  <c r="K1418" i="1"/>
  <c r="M1418" i="1"/>
  <c r="N1418" i="1"/>
  <c r="P1418" i="1"/>
  <c r="P1419" i="1" s="1"/>
  <c r="Q1418" i="1"/>
  <c r="Q1419" i="1" s="1"/>
  <c r="R1418" i="1"/>
  <c r="R1419" i="1" s="1"/>
  <c r="S1418" i="1"/>
  <c r="S1419" i="1" s="1"/>
  <c r="T1418" i="1"/>
  <c r="T1419" i="1" s="1"/>
  <c r="V1418" i="1"/>
  <c r="V1419" i="1" s="1"/>
  <c r="W1418" i="1"/>
  <c r="W1419" i="1" s="1"/>
  <c r="X1418" i="1"/>
  <c r="X1419" i="1" s="1"/>
  <c r="Y1418" i="1"/>
  <c r="Y1419" i="1" s="1"/>
  <c r="Z1418" i="1"/>
  <c r="Z1419" i="1" s="1"/>
  <c r="A1420" i="1"/>
  <c r="A1421" i="1" s="1"/>
  <c r="B1420" i="1"/>
  <c r="B1421" i="1" s="1"/>
  <c r="C1420" i="1"/>
  <c r="C1421" i="1" s="1"/>
  <c r="D1420" i="1"/>
  <c r="E1420" i="1"/>
  <c r="E1421" i="1" s="1"/>
  <c r="F1420" i="1"/>
  <c r="F1421" i="1" s="1"/>
  <c r="G1420" i="1"/>
  <c r="H1420" i="1"/>
  <c r="I1420" i="1"/>
  <c r="J1420" i="1"/>
  <c r="K1420" i="1"/>
  <c r="M1420" i="1"/>
  <c r="N1420" i="1"/>
  <c r="P1420" i="1"/>
  <c r="P1421" i="1" s="1"/>
  <c r="Q1420" i="1"/>
  <c r="Q1421" i="1" s="1"/>
  <c r="R1420" i="1"/>
  <c r="R1421" i="1" s="1"/>
  <c r="S1420" i="1"/>
  <c r="S1421" i="1" s="1"/>
  <c r="T1420" i="1"/>
  <c r="T1421" i="1" s="1"/>
  <c r="V1420" i="1"/>
  <c r="V1421" i="1" s="1"/>
  <c r="W1420" i="1"/>
  <c r="W1421" i="1" s="1"/>
  <c r="X1420" i="1"/>
  <c r="X1421" i="1" s="1"/>
  <c r="Y1420" i="1"/>
  <c r="Y1421" i="1" s="1"/>
  <c r="Z1420" i="1"/>
  <c r="Z1421" i="1" s="1"/>
  <c r="A1422" i="1"/>
  <c r="A1423" i="1" s="1"/>
  <c r="B1422" i="1"/>
  <c r="B1423" i="1" s="1"/>
  <c r="C1422" i="1"/>
  <c r="D1422" i="1"/>
  <c r="E1422" i="1"/>
  <c r="E1423" i="1" s="1"/>
  <c r="F1422" i="1"/>
  <c r="F1423" i="1" s="1"/>
  <c r="G1422" i="1"/>
  <c r="H1422" i="1"/>
  <c r="I1422" i="1"/>
  <c r="J1422" i="1"/>
  <c r="K1422" i="1"/>
  <c r="M1422" i="1"/>
  <c r="N1422" i="1"/>
  <c r="P1422" i="1"/>
  <c r="P1423" i="1" s="1"/>
  <c r="Q1422" i="1"/>
  <c r="Q1423" i="1" s="1"/>
  <c r="R1422" i="1"/>
  <c r="R1423" i="1" s="1"/>
  <c r="S1422" i="1"/>
  <c r="S1423" i="1" s="1"/>
  <c r="T1422" i="1"/>
  <c r="T1423" i="1" s="1"/>
  <c r="V1422" i="1"/>
  <c r="V1423" i="1" s="1"/>
  <c r="W1422" i="1"/>
  <c r="W1423" i="1" s="1"/>
  <c r="X1422" i="1"/>
  <c r="X1423" i="1" s="1"/>
  <c r="Y1422" i="1"/>
  <c r="Y1423" i="1" s="1"/>
  <c r="Z1422" i="1"/>
  <c r="Z1423" i="1" s="1"/>
  <c r="D1423" i="1"/>
  <c r="A1424" i="1"/>
  <c r="A1425" i="1" s="1"/>
  <c r="B1424" i="1"/>
  <c r="B1425" i="1" s="1"/>
  <c r="C1424" i="1"/>
  <c r="D1424" i="1"/>
  <c r="D1425" i="1" s="1"/>
  <c r="E1424" i="1"/>
  <c r="E1425" i="1" s="1"/>
  <c r="F1424" i="1"/>
  <c r="F1425" i="1" s="1"/>
  <c r="G1424" i="1"/>
  <c r="H1424" i="1"/>
  <c r="I1424" i="1"/>
  <c r="J1424" i="1"/>
  <c r="K1424" i="1"/>
  <c r="M1424" i="1"/>
  <c r="N1424" i="1"/>
  <c r="P1424" i="1"/>
  <c r="P1425" i="1" s="1"/>
  <c r="Q1424" i="1"/>
  <c r="Q1425" i="1" s="1"/>
  <c r="R1424" i="1"/>
  <c r="R1425" i="1" s="1"/>
  <c r="S1424" i="1"/>
  <c r="S1425" i="1" s="1"/>
  <c r="T1424" i="1"/>
  <c r="T1425" i="1" s="1"/>
  <c r="V1424" i="1"/>
  <c r="V1425" i="1" s="1"/>
  <c r="W1424" i="1"/>
  <c r="W1425" i="1" s="1"/>
  <c r="X1424" i="1"/>
  <c r="X1425" i="1" s="1"/>
  <c r="Y1424" i="1"/>
  <c r="Z1424" i="1"/>
  <c r="Z1425" i="1" s="1"/>
  <c r="A1426" i="1"/>
  <c r="A1427" i="1" s="1"/>
  <c r="B1426" i="1"/>
  <c r="B1427" i="1" s="1"/>
  <c r="C1426" i="1"/>
  <c r="D1426" i="1"/>
  <c r="E1426" i="1"/>
  <c r="E1427" i="1" s="1"/>
  <c r="F1426" i="1"/>
  <c r="F1427" i="1" s="1"/>
  <c r="G1426" i="1"/>
  <c r="H1426" i="1"/>
  <c r="I1426" i="1"/>
  <c r="J1426" i="1"/>
  <c r="K1426" i="1"/>
  <c r="M1426" i="1"/>
  <c r="N1426" i="1"/>
  <c r="P1426" i="1"/>
  <c r="P1427" i="1" s="1"/>
  <c r="Q1426" i="1"/>
  <c r="Q1427" i="1" s="1"/>
  <c r="R1426" i="1"/>
  <c r="R1427" i="1" s="1"/>
  <c r="S1426" i="1"/>
  <c r="T1426" i="1"/>
  <c r="T1427" i="1" s="1"/>
  <c r="V1426" i="1"/>
  <c r="V1427" i="1" s="1"/>
  <c r="W1426" i="1"/>
  <c r="W1427" i="1" s="1"/>
  <c r="X1426" i="1"/>
  <c r="X1427" i="1" s="1"/>
  <c r="Y1426" i="1"/>
  <c r="Y1427" i="1" s="1"/>
  <c r="Z1426" i="1"/>
  <c r="Z1427" i="1" s="1"/>
  <c r="D1427" i="1"/>
  <c r="S1427" i="1"/>
  <c r="A1428" i="1"/>
  <c r="A1429" i="1" s="1"/>
  <c r="B1428" i="1"/>
  <c r="B1429" i="1" s="1"/>
  <c r="C1428" i="1"/>
  <c r="D1428" i="1"/>
  <c r="D1429" i="1" s="1"/>
  <c r="E1428" i="1"/>
  <c r="E1429" i="1" s="1"/>
  <c r="F1428" i="1"/>
  <c r="F1429" i="1" s="1"/>
  <c r="G1428" i="1"/>
  <c r="H1428" i="1"/>
  <c r="I1428" i="1"/>
  <c r="J1428" i="1"/>
  <c r="K1428" i="1"/>
  <c r="M1428" i="1"/>
  <c r="N1428" i="1"/>
  <c r="P1428" i="1"/>
  <c r="P1429" i="1" s="1"/>
  <c r="Q1428" i="1"/>
  <c r="Q1429" i="1" s="1"/>
  <c r="R1428" i="1"/>
  <c r="R1429" i="1" s="1"/>
  <c r="S1428" i="1"/>
  <c r="S1429" i="1" s="1"/>
  <c r="T1428" i="1"/>
  <c r="T1429" i="1" s="1"/>
  <c r="V1428" i="1"/>
  <c r="V1429" i="1" s="1"/>
  <c r="W1428" i="1"/>
  <c r="W1429" i="1" s="1"/>
  <c r="X1428" i="1"/>
  <c r="X1429" i="1" s="1"/>
  <c r="Y1428" i="1"/>
  <c r="Z1428" i="1"/>
  <c r="Z1429" i="1" s="1"/>
  <c r="A1430" i="1"/>
  <c r="A1431" i="1" s="1"/>
  <c r="B1430" i="1"/>
  <c r="B1431" i="1" s="1"/>
  <c r="C1430" i="1"/>
  <c r="C1431" i="1" s="1"/>
  <c r="D1430" i="1"/>
  <c r="E1430" i="1"/>
  <c r="E1431" i="1" s="1"/>
  <c r="F1430" i="1"/>
  <c r="F1431" i="1" s="1"/>
  <c r="G1430" i="1"/>
  <c r="H1430" i="1"/>
  <c r="I1430" i="1"/>
  <c r="J1430" i="1"/>
  <c r="K1430" i="1"/>
  <c r="M1430" i="1"/>
  <c r="N1430" i="1"/>
  <c r="P1430" i="1"/>
  <c r="P1431" i="1" s="1"/>
  <c r="Q1430" i="1"/>
  <c r="Q1431" i="1" s="1"/>
  <c r="R1430" i="1"/>
  <c r="R1431" i="1" s="1"/>
  <c r="S1430" i="1"/>
  <c r="S1431" i="1" s="1"/>
  <c r="T1430" i="1"/>
  <c r="T1431" i="1" s="1"/>
  <c r="V1430" i="1"/>
  <c r="V1431" i="1" s="1"/>
  <c r="W1430" i="1"/>
  <c r="W1431" i="1" s="1"/>
  <c r="X1430" i="1"/>
  <c r="X1431" i="1" s="1"/>
  <c r="Y1430" i="1"/>
  <c r="Y1431" i="1" s="1"/>
  <c r="Z1430" i="1"/>
  <c r="Z1431" i="1" s="1"/>
  <c r="A1432" i="1"/>
  <c r="A1433" i="1" s="1"/>
  <c r="B1432" i="1"/>
  <c r="B1433" i="1" s="1"/>
  <c r="C1432" i="1"/>
  <c r="C1433" i="1" s="1"/>
  <c r="D1432" i="1"/>
  <c r="E1432" i="1"/>
  <c r="E1433" i="1" s="1"/>
  <c r="F1432" i="1"/>
  <c r="F1433" i="1" s="1"/>
  <c r="G1432" i="1"/>
  <c r="H1432" i="1"/>
  <c r="I1432" i="1"/>
  <c r="J1432" i="1"/>
  <c r="K1432" i="1"/>
  <c r="M1432" i="1"/>
  <c r="N1432" i="1"/>
  <c r="P1432" i="1"/>
  <c r="P1433" i="1" s="1"/>
  <c r="Q1432" i="1"/>
  <c r="Q1433" i="1" s="1"/>
  <c r="R1432" i="1"/>
  <c r="R1433" i="1" s="1"/>
  <c r="S1432" i="1"/>
  <c r="S1433" i="1" s="1"/>
  <c r="T1432" i="1"/>
  <c r="T1433" i="1" s="1"/>
  <c r="V1432" i="1"/>
  <c r="V1433" i="1" s="1"/>
  <c r="W1432" i="1"/>
  <c r="W1433" i="1" s="1"/>
  <c r="X1432" i="1"/>
  <c r="X1433" i="1" s="1"/>
  <c r="Y1432" i="1"/>
  <c r="Y1433" i="1" s="1"/>
  <c r="Z1432" i="1"/>
  <c r="Z1433" i="1"/>
  <c r="A1434" i="1"/>
  <c r="A1435" i="1" s="1"/>
  <c r="B1434" i="1"/>
  <c r="B1435" i="1" s="1"/>
  <c r="C1434" i="1"/>
  <c r="D1434" i="1"/>
  <c r="E1434" i="1"/>
  <c r="E1435" i="1" s="1"/>
  <c r="F1434" i="1"/>
  <c r="F1435" i="1" s="1"/>
  <c r="G1434" i="1"/>
  <c r="H1434" i="1"/>
  <c r="I1434" i="1"/>
  <c r="J1434" i="1"/>
  <c r="K1434" i="1"/>
  <c r="M1434" i="1"/>
  <c r="N1434" i="1"/>
  <c r="P1434" i="1"/>
  <c r="P1435" i="1" s="1"/>
  <c r="Q1434" i="1"/>
  <c r="Q1435" i="1" s="1"/>
  <c r="R1434" i="1"/>
  <c r="R1435" i="1" s="1"/>
  <c r="S1434" i="1"/>
  <c r="S1435" i="1" s="1"/>
  <c r="T1434" i="1"/>
  <c r="T1435" i="1" s="1"/>
  <c r="V1434" i="1"/>
  <c r="V1435" i="1" s="1"/>
  <c r="W1434" i="1"/>
  <c r="W1435" i="1" s="1"/>
  <c r="X1434" i="1"/>
  <c r="X1435" i="1" s="1"/>
  <c r="Y1434" i="1"/>
  <c r="Z1434" i="1"/>
  <c r="Z1435" i="1" s="1"/>
  <c r="D1435" i="1"/>
  <c r="A1436" i="1"/>
  <c r="A1437" i="1" s="1"/>
  <c r="B1436" i="1"/>
  <c r="B1437" i="1" s="1"/>
  <c r="C1436" i="1"/>
  <c r="C1437" i="1" s="1"/>
  <c r="D1436" i="1"/>
  <c r="E1436" i="1"/>
  <c r="E1437" i="1" s="1"/>
  <c r="F1436" i="1"/>
  <c r="F1437" i="1" s="1"/>
  <c r="G1436" i="1"/>
  <c r="H1436" i="1"/>
  <c r="I1436" i="1"/>
  <c r="J1436" i="1"/>
  <c r="K1436" i="1"/>
  <c r="M1436" i="1"/>
  <c r="N1436" i="1"/>
  <c r="P1436" i="1"/>
  <c r="P1437" i="1" s="1"/>
  <c r="Q1436" i="1"/>
  <c r="Q1437" i="1" s="1"/>
  <c r="R1436" i="1"/>
  <c r="R1437" i="1" s="1"/>
  <c r="S1436" i="1"/>
  <c r="S1437" i="1" s="1"/>
  <c r="T1436" i="1"/>
  <c r="T1437" i="1" s="1"/>
  <c r="V1436" i="1"/>
  <c r="V1437" i="1" s="1"/>
  <c r="W1436" i="1"/>
  <c r="W1437" i="1" s="1"/>
  <c r="X1436" i="1"/>
  <c r="X1437" i="1" s="1"/>
  <c r="Y1436" i="1"/>
  <c r="Y1437" i="1" s="1"/>
  <c r="Z1436" i="1"/>
  <c r="Z1437" i="1" s="1"/>
  <c r="A1438" i="1"/>
  <c r="A1439" i="1" s="1"/>
  <c r="B1438" i="1"/>
  <c r="B1439" i="1" s="1"/>
  <c r="C1438" i="1"/>
  <c r="D1438" i="1"/>
  <c r="E1438" i="1"/>
  <c r="F1438" i="1"/>
  <c r="F1439" i="1" s="1"/>
  <c r="G1438" i="1"/>
  <c r="H1438" i="1"/>
  <c r="I1438" i="1"/>
  <c r="J1438" i="1"/>
  <c r="K1438" i="1"/>
  <c r="M1438" i="1"/>
  <c r="N1438" i="1"/>
  <c r="P1438" i="1"/>
  <c r="P1439" i="1" s="1"/>
  <c r="Q1438" i="1"/>
  <c r="Q1439" i="1" s="1"/>
  <c r="R1438" i="1"/>
  <c r="R1439" i="1" s="1"/>
  <c r="S1438" i="1"/>
  <c r="S1439" i="1" s="1"/>
  <c r="T1438" i="1"/>
  <c r="T1439" i="1" s="1"/>
  <c r="V1438" i="1"/>
  <c r="V1439" i="1" s="1"/>
  <c r="W1438" i="1"/>
  <c r="W1439" i="1" s="1"/>
  <c r="X1438" i="1"/>
  <c r="X1439" i="1" s="1"/>
  <c r="Y1438" i="1"/>
  <c r="Y1439" i="1" s="1"/>
  <c r="Z1438" i="1"/>
  <c r="Z1439" i="1" s="1"/>
  <c r="D1439" i="1"/>
  <c r="A1440" i="1"/>
  <c r="A1441" i="1" s="1"/>
  <c r="B1440" i="1"/>
  <c r="B1441" i="1" s="1"/>
  <c r="C1440" i="1"/>
  <c r="C1441" i="1" s="1"/>
  <c r="D1440" i="1"/>
  <c r="E1440" i="1"/>
  <c r="E1441" i="1" s="1"/>
  <c r="F1440" i="1"/>
  <c r="F1441" i="1" s="1"/>
  <c r="G1440" i="1"/>
  <c r="H1440" i="1"/>
  <c r="I1440" i="1"/>
  <c r="J1440" i="1"/>
  <c r="K1440" i="1"/>
  <c r="M1440" i="1"/>
  <c r="N1440" i="1"/>
  <c r="P1440" i="1"/>
  <c r="P1441" i="1" s="1"/>
  <c r="Q1440" i="1"/>
  <c r="Q1441" i="1" s="1"/>
  <c r="R1440" i="1"/>
  <c r="R1441" i="1" s="1"/>
  <c r="S1440" i="1"/>
  <c r="S1441" i="1" s="1"/>
  <c r="T1440" i="1"/>
  <c r="T1441" i="1" s="1"/>
  <c r="V1440" i="1"/>
  <c r="V1441" i="1" s="1"/>
  <c r="W1440" i="1"/>
  <c r="W1441" i="1" s="1"/>
  <c r="X1440" i="1"/>
  <c r="X1441" i="1" s="1"/>
  <c r="Y1440" i="1"/>
  <c r="Y1441" i="1" s="1"/>
  <c r="Z1440" i="1"/>
  <c r="Z1441" i="1"/>
  <c r="A1442" i="1"/>
  <c r="A1443" i="1" s="1"/>
  <c r="B1442" i="1"/>
  <c r="C1442" i="1"/>
  <c r="D1442" i="1"/>
  <c r="D1443" i="1" s="1"/>
  <c r="E1442" i="1"/>
  <c r="F1442" i="1"/>
  <c r="F1443" i="1" s="1"/>
  <c r="G1442" i="1"/>
  <c r="H1442" i="1"/>
  <c r="I1442" i="1"/>
  <c r="J1442" i="1"/>
  <c r="K1442" i="1"/>
  <c r="M1442" i="1"/>
  <c r="N1442" i="1"/>
  <c r="P1442" i="1"/>
  <c r="P1443" i="1" s="1"/>
  <c r="Q1442" i="1"/>
  <c r="Q1443" i="1" s="1"/>
  <c r="R1442" i="1"/>
  <c r="R1443" i="1" s="1"/>
  <c r="S1442" i="1"/>
  <c r="S1443" i="1" s="1"/>
  <c r="T1442" i="1"/>
  <c r="T1443" i="1" s="1"/>
  <c r="V1442" i="1"/>
  <c r="V1443" i="1" s="1"/>
  <c r="W1442" i="1"/>
  <c r="W1443" i="1" s="1"/>
  <c r="X1442" i="1"/>
  <c r="X1443" i="1" s="1"/>
  <c r="Y1442" i="1"/>
  <c r="Z1442" i="1"/>
  <c r="Z1443" i="1" s="1"/>
  <c r="B1443" i="1"/>
  <c r="A1444" i="1"/>
  <c r="A1445" i="1" s="1"/>
  <c r="B1444" i="1"/>
  <c r="B1445" i="1" s="1"/>
  <c r="C1444" i="1"/>
  <c r="C1445" i="1" s="1"/>
  <c r="D1444" i="1"/>
  <c r="E1444" i="1"/>
  <c r="E1445" i="1" s="1"/>
  <c r="F1444" i="1"/>
  <c r="F1445" i="1" s="1"/>
  <c r="G1444" i="1"/>
  <c r="H1444" i="1"/>
  <c r="I1444" i="1"/>
  <c r="J1444" i="1"/>
  <c r="K1444" i="1"/>
  <c r="M1444" i="1"/>
  <c r="N1444" i="1"/>
  <c r="P1444" i="1"/>
  <c r="P1445" i="1" s="1"/>
  <c r="Q1444" i="1"/>
  <c r="Q1445" i="1" s="1"/>
  <c r="R1444" i="1"/>
  <c r="R1445" i="1" s="1"/>
  <c r="S1444" i="1"/>
  <c r="S1445" i="1" s="1"/>
  <c r="T1444" i="1"/>
  <c r="T1445" i="1" s="1"/>
  <c r="V1444" i="1"/>
  <c r="V1445" i="1" s="1"/>
  <c r="W1444" i="1"/>
  <c r="W1445" i="1" s="1"/>
  <c r="X1444" i="1"/>
  <c r="X1445" i="1" s="1"/>
  <c r="Y1444" i="1"/>
  <c r="Y1445" i="1" s="1"/>
  <c r="Z1444" i="1"/>
  <c r="Z1445" i="1" s="1"/>
  <c r="A1446" i="1"/>
  <c r="A1447" i="1" s="1"/>
  <c r="B1446" i="1"/>
  <c r="B1447" i="1" s="1"/>
  <c r="C1446" i="1"/>
  <c r="D1446" i="1"/>
  <c r="E1446" i="1"/>
  <c r="F1446" i="1"/>
  <c r="F1447" i="1" s="1"/>
  <c r="G1446" i="1"/>
  <c r="H1446" i="1"/>
  <c r="I1446" i="1"/>
  <c r="J1446" i="1"/>
  <c r="K1446" i="1"/>
  <c r="M1446" i="1"/>
  <c r="N1446" i="1"/>
  <c r="P1446" i="1"/>
  <c r="P1447" i="1" s="1"/>
  <c r="Q1446" i="1"/>
  <c r="Q1447" i="1" s="1"/>
  <c r="R1446" i="1"/>
  <c r="R1447" i="1" s="1"/>
  <c r="S1446" i="1"/>
  <c r="S1447" i="1" s="1"/>
  <c r="T1446" i="1"/>
  <c r="T1447" i="1" s="1"/>
  <c r="V1446" i="1"/>
  <c r="V1447" i="1" s="1"/>
  <c r="W1446" i="1"/>
  <c r="W1447" i="1" s="1"/>
  <c r="X1446" i="1"/>
  <c r="X1447" i="1" s="1"/>
  <c r="Y1446" i="1"/>
  <c r="Y1447" i="1" s="1"/>
  <c r="Z1446" i="1"/>
  <c r="Z1447" i="1" s="1"/>
  <c r="D1447" i="1"/>
  <c r="A1448" i="1"/>
  <c r="A1449" i="1" s="1"/>
  <c r="B1448" i="1"/>
  <c r="B1449" i="1" s="1"/>
  <c r="C1448" i="1"/>
  <c r="C1449" i="1" s="1"/>
  <c r="D1448" i="1"/>
  <c r="E1448" i="1"/>
  <c r="E1449" i="1" s="1"/>
  <c r="F1448" i="1"/>
  <c r="G1448" i="1"/>
  <c r="H1448" i="1"/>
  <c r="I1448" i="1"/>
  <c r="J1448" i="1"/>
  <c r="K1448" i="1"/>
  <c r="M1448" i="1"/>
  <c r="N1448" i="1"/>
  <c r="P1448" i="1"/>
  <c r="P1449" i="1" s="1"/>
  <c r="Q1448" i="1"/>
  <c r="Q1449" i="1" s="1"/>
  <c r="R1448" i="1"/>
  <c r="R1449" i="1" s="1"/>
  <c r="S1448" i="1"/>
  <c r="S1449" i="1" s="1"/>
  <c r="T1448" i="1"/>
  <c r="T1449" i="1" s="1"/>
  <c r="V1448" i="1"/>
  <c r="V1449" i="1" s="1"/>
  <c r="W1448" i="1"/>
  <c r="X1448" i="1"/>
  <c r="X1449" i="1" s="1"/>
  <c r="Y1448" i="1"/>
  <c r="Y1449" i="1" s="1"/>
  <c r="Z1448" i="1"/>
  <c r="Z1449" i="1" s="1"/>
  <c r="W1449" i="1"/>
  <c r="A1450" i="1"/>
  <c r="A1451" i="1" s="1"/>
  <c r="B1450" i="1"/>
  <c r="B1451" i="1" s="1"/>
  <c r="C1450" i="1"/>
  <c r="D1450" i="1"/>
  <c r="E1450" i="1"/>
  <c r="F1450" i="1"/>
  <c r="F1451" i="1" s="1"/>
  <c r="G1450" i="1"/>
  <c r="H1450" i="1"/>
  <c r="I1450" i="1"/>
  <c r="J1450" i="1"/>
  <c r="K1450" i="1"/>
  <c r="M1450" i="1"/>
  <c r="N1450" i="1"/>
  <c r="P1450" i="1"/>
  <c r="P1451" i="1" s="1"/>
  <c r="Q1450" i="1"/>
  <c r="Q1451" i="1" s="1"/>
  <c r="R1450" i="1"/>
  <c r="R1451" i="1" s="1"/>
  <c r="S1450" i="1"/>
  <c r="S1451" i="1" s="1"/>
  <c r="T1450" i="1"/>
  <c r="T1451" i="1" s="1"/>
  <c r="V1450" i="1"/>
  <c r="V1451" i="1" s="1"/>
  <c r="W1450" i="1"/>
  <c r="W1451" i="1" s="1"/>
  <c r="X1450" i="1"/>
  <c r="X1451" i="1" s="1"/>
  <c r="Y1450" i="1"/>
  <c r="Y1451" i="1" s="1"/>
  <c r="Z1450" i="1"/>
  <c r="Z1451" i="1" s="1"/>
  <c r="D1451" i="1"/>
  <c r="A1452" i="1"/>
  <c r="A1453" i="1" s="1"/>
  <c r="B1452" i="1"/>
  <c r="B1453" i="1" s="1"/>
  <c r="C1452" i="1"/>
  <c r="C1453" i="1" s="1"/>
  <c r="D1452" i="1"/>
  <c r="E1452" i="1"/>
  <c r="E1453" i="1" s="1"/>
  <c r="F1452" i="1"/>
  <c r="F1453" i="1" s="1"/>
  <c r="G1452" i="1"/>
  <c r="H1452" i="1"/>
  <c r="I1452" i="1"/>
  <c r="J1452" i="1"/>
  <c r="K1452" i="1"/>
  <c r="M1452" i="1"/>
  <c r="N1452" i="1"/>
  <c r="P1452" i="1"/>
  <c r="P1453" i="1" s="1"/>
  <c r="Q1452" i="1"/>
  <c r="Q1453" i="1" s="1"/>
  <c r="R1452" i="1"/>
  <c r="R1453" i="1" s="1"/>
  <c r="S1452" i="1"/>
  <c r="S1453" i="1" s="1"/>
  <c r="T1452" i="1"/>
  <c r="T1453" i="1" s="1"/>
  <c r="V1452" i="1"/>
  <c r="V1453" i="1" s="1"/>
  <c r="W1452" i="1"/>
  <c r="X1452" i="1"/>
  <c r="X1453" i="1" s="1"/>
  <c r="Y1452" i="1"/>
  <c r="Y1453" i="1" s="1"/>
  <c r="Z1452" i="1"/>
  <c r="Z1453" i="1" s="1"/>
  <c r="W1453" i="1"/>
  <c r="A1454" i="1"/>
  <c r="A1455" i="1" s="1"/>
  <c r="B1454" i="1"/>
  <c r="B1455" i="1" s="1"/>
  <c r="C1454" i="1"/>
  <c r="D1454" i="1"/>
  <c r="E1454" i="1"/>
  <c r="F1454" i="1"/>
  <c r="F1455" i="1" s="1"/>
  <c r="G1454" i="1"/>
  <c r="H1454" i="1"/>
  <c r="I1454" i="1"/>
  <c r="J1454" i="1"/>
  <c r="K1454" i="1"/>
  <c r="M1454" i="1"/>
  <c r="N1454" i="1"/>
  <c r="P1454" i="1"/>
  <c r="P1455" i="1" s="1"/>
  <c r="Q1454" i="1"/>
  <c r="Q1455" i="1" s="1"/>
  <c r="R1454" i="1"/>
  <c r="R1455" i="1" s="1"/>
  <c r="S1454" i="1"/>
  <c r="S1455" i="1" s="1"/>
  <c r="T1454" i="1"/>
  <c r="T1455" i="1" s="1"/>
  <c r="V1454" i="1"/>
  <c r="V1455" i="1" s="1"/>
  <c r="W1454" i="1"/>
  <c r="W1455" i="1" s="1"/>
  <c r="X1454" i="1"/>
  <c r="X1455" i="1" s="1"/>
  <c r="Y1454" i="1"/>
  <c r="Y1455" i="1" s="1"/>
  <c r="Z1454" i="1"/>
  <c r="Z1455" i="1" s="1"/>
  <c r="D1455" i="1"/>
  <c r="A1456" i="1"/>
  <c r="A1457" i="1" s="1"/>
  <c r="B1456" i="1"/>
  <c r="B1457" i="1" s="1"/>
  <c r="C1456" i="1"/>
  <c r="C1457" i="1" s="1"/>
  <c r="D1456" i="1"/>
  <c r="E1456" i="1"/>
  <c r="E1457" i="1" s="1"/>
  <c r="F1456" i="1"/>
  <c r="F1457" i="1" s="1"/>
  <c r="G1456" i="1"/>
  <c r="H1456" i="1"/>
  <c r="I1456" i="1"/>
  <c r="J1456" i="1"/>
  <c r="K1456" i="1"/>
  <c r="M1456" i="1"/>
  <c r="N1456" i="1"/>
  <c r="P1456" i="1"/>
  <c r="P1457" i="1" s="1"/>
  <c r="Q1456" i="1"/>
  <c r="Q1457" i="1" s="1"/>
  <c r="R1456" i="1"/>
  <c r="R1457" i="1" s="1"/>
  <c r="S1456" i="1"/>
  <c r="S1457" i="1" s="1"/>
  <c r="T1456" i="1"/>
  <c r="T1457" i="1" s="1"/>
  <c r="V1456" i="1"/>
  <c r="V1457" i="1" s="1"/>
  <c r="W1456" i="1"/>
  <c r="W1457" i="1" s="1"/>
  <c r="X1456" i="1"/>
  <c r="X1457" i="1" s="1"/>
  <c r="Y1456" i="1"/>
  <c r="Y1457" i="1" s="1"/>
  <c r="Z1456" i="1"/>
  <c r="Z1457" i="1" s="1"/>
  <c r="A1458" i="1"/>
  <c r="A1459" i="1" s="1"/>
  <c r="B1458" i="1"/>
  <c r="B1459" i="1" s="1"/>
  <c r="C1458" i="1"/>
  <c r="D1458" i="1"/>
  <c r="D1459" i="1" s="1"/>
  <c r="E1458" i="1"/>
  <c r="E1459" i="1" s="1"/>
  <c r="F1458" i="1"/>
  <c r="F1459" i="1" s="1"/>
  <c r="G1458" i="1"/>
  <c r="H1458" i="1"/>
  <c r="I1458" i="1"/>
  <c r="J1458" i="1"/>
  <c r="K1458" i="1"/>
  <c r="M1458" i="1"/>
  <c r="N1458" i="1"/>
  <c r="P1458" i="1"/>
  <c r="P1459" i="1" s="1"/>
  <c r="Q1458" i="1"/>
  <c r="Q1459" i="1" s="1"/>
  <c r="R1458" i="1"/>
  <c r="R1459" i="1" s="1"/>
  <c r="S1458" i="1"/>
  <c r="S1459" i="1" s="1"/>
  <c r="T1458" i="1"/>
  <c r="T1459" i="1" s="1"/>
  <c r="V1458" i="1"/>
  <c r="V1459" i="1" s="1"/>
  <c r="W1458" i="1"/>
  <c r="W1459" i="1" s="1"/>
  <c r="X1458" i="1"/>
  <c r="X1459" i="1" s="1"/>
  <c r="Y1458" i="1"/>
  <c r="Z1458" i="1"/>
  <c r="Z1459" i="1" s="1"/>
  <c r="A1460" i="1"/>
  <c r="A1461" i="1" s="1"/>
  <c r="B1460" i="1"/>
  <c r="B1461" i="1" s="1"/>
  <c r="C1460" i="1"/>
  <c r="D1460" i="1"/>
  <c r="E1460" i="1"/>
  <c r="E1461" i="1" s="1"/>
  <c r="F1460" i="1"/>
  <c r="F1461" i="1" s="1"/>
  <c r="G1460" i="1"/>
  <c r="H1460" i="1"/>
  <c r="I1460" i="1"/>
  <c r="J1460" i="1"/>
  <c r="K1460" i="1"/>
  <c r="M1460" i="1"/>
  <c r="N1460" i="1"/>
  <c r="P1460" i="1"/>
  <c r="P1461" i="1" s="1"/>
  <c r="Q1460" i="1"/>
  <c r="Q1461" i="1" s="1"/>
  <c r="R1460" i="1"/>
  <c r="R1461" i="1" s="1"/>
  <c r="S1460" i="1"/>
  <c r="S1461" i="1" s="1"/>
  <c r="T1460" i="1"/>
  <c r="T1461" i="1" s="1"/>
  <c r="V1460" i="1"/>
  <c r="V1461" i="1" s="1"/>
  <c r="W1460" i="1"/>
  <c r="W1461" i="1" s="1"/>
  <c r="X1460" i="1"/>
  <c r="X1461" i="1" s="1"/>
  <c r="Y1460" i="1"/>
  <c r="Y1461" i="1" s="1"/>
  <c r="Z1460" i="1"/>
  <c r="Z1461" i="1" s="1"/>
  <c r="D1461" i="1"/>
  <c r="A1462" i="1"/>
  <c r="A1463" i="1" s="1"/>
  <c r="B1462" i="1"/>
  <c r="B1463" i="1" s="1"/>
  <c r="C1462" i="1"/>
  <c r="C1463" i="1" s="1"/>
  <c r="D1462" i="1"/>
  <c r="E1462" i="1"/>
  <c r="E1463" i="1" s="1"/>
  <c r="F1462" i="1"/>
  <c r="G1462" i="1"/>
  <c r="H1462" i="1"/>
  <c r="I1462" i="1"/>
  <c r="J1462" i="1"/>
  <c r="K1462" i="1"/>
  <c r="M1462" i="1"/>
  <c r="N1462" i="1"/>
  <c r="P1462" i="1"/>
  <c r="P1463" i="1" s="1"/>
  <c r="Q1462" i="1"/>
  <c r="Q1463" i="1" s="1"/>
  <c r="R1462" i="1"/>
  <c r="R1463" i="1" s="1"/>
  <c r="S1462" i="1"/>
  <c r="T1462" i="1"/>
  <c r="T1463" i="1" s="1"/>
  <c r="V1462" i="1"/>
  <c r="V1463" i="1" s="1"/>
  <c r="W1462" i="1"/>
  <c r="W1463" i="1" s="1"/>
  <c r="X1462" i="1"/>
  <c r="X1463" i="1" s="1"/>
  <c r="Y1462" i="1"/>
  <c r="Y1463" i="1" s="1"/>
  <c r="Z1462" i="1"/>
  <c r="Z1463" i="1" s="1"/>
  <c r="S1463" i="1"/>
  <c r="A1464" i="1"/>
  <c r="A1465" i="1" s="1"/>
  <c r="B1464" i="1"/>
  <c r="B1465" i="1" s="1"/>
  <c r="C1464" i="1"/>
  <c r="C1465" i="1" s="1"/>
  <c r="D1464" i="1"/>
  <c r="E1464" i="1"/>
  <c r="E1465" i="1" s="1"/>
  <c r="F1464" i="1"/>
  <c r="F1465" i="1" s="1"/>
  <c r="G1464" i="1"/>
  <c r="H1464" i="1"/>
  <c r="I1464" i="1"/>
  <c r="J1464" i="1"/>
  <c r="K1464" i="1"/>
  <c r="M1464" i="1"/>
  <c r="N1464" i="1"/>
  <c r="P1464" i="1"/>
  <c r="P1465" i="1" s="1"/>
  <c r="Q1464" i="1"/>
  <c r="Q1465" i="1" s="1"/>
  <c r="R1464" i="1"/>
  <c r="R1465" i="1" s="1"/>
  <c r="S1464" i="1"/>
  <c r="S1465" i="1" s="1"/>
  <c r="T1464" i="1"/>
  <c r="T1465" i="1" s="1"/>
  <c r="V1464" i="1"/>
  <c r="V1465" i="1" s="1"/>
  <c r="W1464" i="1"/>
  <c r="W1465" i="1" s="1"/>
  <c r="X1464" i="1"/>
  <c r="X1465" i="1" s="1"/>
  <c r="Y1464" i="1"/>
  <c r="Y1465" i="1" s="1"/>
  <c r="Z1464" i="1"/>
  <c r="Z1465" i="1" s="1"/>
  <c r="A1466" i="1"/>
  <c r="A1467" i="1" s="1"/>
  <c r="B1466" i="1"/>
  <c r="B1467" i="1" s="1"/>
  <c r="C1466" i="1"/>
  <c r="C1467" i="1" s="1"/>
  <c r="D1466" i="1"/>
  <c r="E1466" i="1"/>
  <c r="E1467" i="1" s="1"/>
  <c r="F1466" i="1"/>
  <c r="F1467" i="1" s="1"/>
  <c r="G1466" i="1"/>
  <c r="H1466" i="1"/>
  <c r="I1466" i="1"/>
  <c r="J1466" i="1"/>
  <c r="K1466" i="1"/>
  <c r="M1466" i="1"/>
  <c r="N1466" i="1"/>
  <c r="P1466" i="1"/>
  <c r="P1467" i="1" s="1"/>
  <c r="Q1466" i="1"/>
  <c r="Q1467" i="1" s="1"/>
  <c r="R1466" i="1"/>
  <c r="R1467" i="1" s="1"/>
  <c r="S1466" i="1"/>
  <c r="S1467" i="1" s="1"/>
  <c r="T1466" i="1"/>
  <c r="T1467" i="1" s="1"/>
  <c r="V1466" i="1"/>
  <c r="V1467" i="1" s="1"/>
  <c r="W1466" i="1"/>
  <c r="W1467" i="1" s="1"/>
  <c r="X1466" i="1"/>
  <c r="X1467" i="1" s="1"/>
  <c r="Y1466" i="1"/>
  <c r="Y1467" i="1" s="1"/>
  <c r="Z1466" i="1"/>
  <c r="Z1467" i="1" s="1"/>
  <c r="A1468" i="1"/>
  <c r="A1469" i="1" s="1"/>
  <c r="B1468" i="1"/>
  <c r="B1469" i="1" s="1"/>
  <c r="C1468" i="1"/>
  <c r="C1469" i="1" s="1"/>
  <c r="D1468" i="1"/>
  <c r="E1468" i="1"/>
  <c r="E1469" i="1" s="1"/>
  <c r="F1468" i="1"/>
  <c r="G1468" i="1"/>
  <c r="H1468" i="1"/>
  <c r="I1468" i="1"/>
  <c r="J1468" i="1"/>
  <c r="K1468" i="1"/>
  <c r="M1468" i="1"/>
  <c r="N1468" i="1"/>
  <c r="P1468" i="1"/>
  <c r="P1469" i="1" s="1"/>
  <c r="Q1468" i="1"/>
  <c r="Q1469" i="1" s="1"/>
  <c r="R1468" i="1"/>
  <c r="R1469" i="1" s="1"/>
  <c r="S1468" i="1"/>
  <c r="S1469" i="1" s="1"/>
  <c r="T1468" i="1"/>
  <c r="T1469" i="1" s="1"/>
  <c r="V1468" i="1"/>
  <c r="V1469" i="1" s="1"/>
  <c r="W1468" i="1"/>
  <c r="W1469" i="1" s="1"/>
  <c r="X1468" i="1"/>
  <c r="X1469" i="1" s="1"/>
  <c r="Y1468" i="1"/>
  <c r="Y1469" i="1" s="1"/>
  <c r="Z1468" i="1"/>
  <c r="Z1469" i="1" s="1"/>
  <c r="F1469" i="1"/>
  <c r="A1470" i="1"/>
  <c r="A1471" i="1" s="1"/>
  <c r="B1470" i="1"/>
  <c r="C1470" i="1"/>
  <c r="C1471" i="1" s="1"/>
  <c r="D1470" i="1"/>
  <c r="E1470" i="1"/>
  <c r="F1470" i="1"/>
  <c r="F1471" i="1" s="1"/>
  <c r="G1470" i="1"/>
  <c r="H1470" i="1"/>
  <c r="I1470" i="1"/>
  <c r="J1470" i="1"/>
  <c r="K1470" i="1"/>
  <c r="M1470" i="1"/>
  <c r="N1470" i="1"/>
  <c r="P1470" i="1"/>
  <c r="P1471" i="1" s="1"/>
  <c r="Q1470" i="1"/>
  <c r="Q1471" i="1" s="1"/>
  <c r="R1470" i="1"/>
  <c r="R1471" i="1" s="1"/>
  <c r="S1470" i="1"/>
  <c r="S1471" i="1" s="1"/>
  <c r="T1470" i="1"/>
  <c r="T1471" i="1" s="1"/>
  <c r="V1470" i="1"/>
  <c r="V1471" i="1" s="1"/>
  <c r="W1470" i="1"/>
  <c r="W1471" i="1" s="1"/>
  <c r="X1470" i="1"/>
  <c r="X1471" i="1" s="1"/>
  <c r="Y1470" i="1"/>
  <c r="Z1470" i="1"/>
  <c r="Z1471" i="1" s="1"/>
  <c r="B1471" i="1"/>
  <c r="A1472" i="1"/>
  <c r="A1473" i="1" s="1"/>
  <c r="B1472" i="1"/>
  <c r="B1473" i="1" s="1"/>
  <c r="C1472" i="1"/>
  <c r="C1473" i="1" s="1"/>
  <c r="D1472" i="1"/>
  <c r="E1472" i="1"/>
  <c r="E1473" i="1" s="1"/>
  <c r="F1472" i="1"/>
  <c r="F1473" i="1" s="1"/>
  <c r="G1472" i="1"/>
  <c r="H1472" i="1"/>
  <c r="I1472" i="1"/>
  <c r="J1472" i="1"/>
  <c r="K1472" i="1"/>
  <c r="M1472" i="1"/>
  <c r="N1472" i="1"/>
  <c r="P1472" i="1"/>
  <c r="P1473" i="1" s="1"/>
  <c r="Q1472" i="1"/>
  <c r="Q1473" i="1" s="1"/>
  <c r="R1472" i="1"/>
  <c r="R1473" i="1" s="1"/>
  <c r="S1472" i="1"/>
  <c r="S1473" i="1" s="1"/>
  <c r="T1472" i="1"/>
  <c r="T1473" i="1" s="1"/>
  <c r="V1472" i="1"/>
  <c r="V1473" i="1" s="1"/>
  <c r="W1472" i="1"/>
  <c r="W1473" i="1" s="1"/>
  <c r="X1472" i="1"/>
  <c r="X1473" i="1" s="1"/>
  <c r="Y1472" i="1"/>
  <c r="Y1473" i="1" s="1"/>
  <c r="Z1472" i="1"/>
  <c r="Z1473" i="1" s="1"/>
  <c r="A1474" i="1"/>
  <c r="A1475" i="1" s="1"/>
  <c r="B1474" i="1"/>
  <c r="B1475" i="1" s="1"/>
  <c r="C1474" i="1"/>
  <c r="C1475" i="1" s="1"/>
  <c r="D1474" i="1"/>
  <c r="E1474" i="1"/>
  <c r="F1474" i="1"/>
  <c r="F1475" i="1" s="1"/>
  <c r="G1474" i="1"/>
  <c r="H1474" i="1"/>
  <c r="I1474" i="1"/>
  <c r="J1474" i="1"/>
  <c r="K1474" i="1"/>
  <c r="M1474" i="1"/>
  <c r="N1474" i="1"/>
  <c r="P1474" i="1"/>
  <c r="P1475" i="1" s="1"/>
  <c r="Q1474" i="1"/>
  <c r="Q1475" i="1" s="1"/>
  <c r="R1474" i="1"/>
  <c r="R1475" i="1" s="1"/>
  <c r="S1474" i="1"/>
  <c r="S1475" i="1" s="1"/>
  <c r="T1474" i="1"/>
  <c r="T1475" i="1" s="1"/>
  <c r="V1474" i="1"/>
  <c r="V1475" i="1" s="1"/>
  <c r="W1474" i="1"/>
  <c r="W1475" i="1" s="1"/>
  <c r="X1474" i="1"/>
  <c r="X1475" i="1" s="1"/>
  <c r="Y1474" i="1"/>
  <c r="Y1475" i="1" s="1"/>
  <c r="Z1474" i="1"/>
  <c r="Z1475" i="1" s="1"/>
  <c r="D1475" i="1"/>
  <c r="A1476" i="1"/>
  <c r="A1477" i="1" s="1"/>
  <c r="B1476" i="1"/>
  <c r="B1477" i="1" s="1"/>
  <c r="C1476" i="1"/>
  <c r="C1477" i="1" s="1"/>
  <c r="D1476" i="1"/>
  <c r="E1476" i="1"/>
  <c r="E1477" i="1" s="1"/>
  <c r="F1476" i="1"/>
  <c r="F1477" i="1" s="1"/>
  <c r="G1476" i="1"/>
  <c r="H1476" i="1"/>
  <c r="I1476" i="1"/>
  <c r="J1476" i="1"/>
  <c r="K1476" i="1"/>
  <c r="M1476" i="1"/>
  <c r="N1476" i="1"/>
  <c r="P1476" i="1"/>
  <c r="P1477" i="1" s="1"/>
  <c r="Q1476" i="1"/>
  <c r="Q1477" i="1" s="1"/>
  <c r="R1476" i="1"/>
  <c r="R1477" i="1" s="1"/>
  <c r="S1476" i="1"/>
  <c r="S1477" i="1" s="1"/>
  <c r="T1476" i="1"/>
  <c r="T1477" i="1" s="1"/>
  <c r="V1476" i="1"/>
  <c r="V1477" i="1" s="1"/>
  <c r="W1476" i="1"/>
  <c r="W1477" i="1" s="1"/>
  <c r="X1476" i="1"/>
  <c r="X1477" i="1" s="1"/>
  <c r="Y1476" i="1"/>
  <c r="Y1477" i="1" s="1"/>
  <c r="Z1476" i="1"/>
  <c r="Z1477" i="1" s="1"/>
  <c r="A1478" i="1"/>
  <c r="A1479" i="1" s="1"/>
  <c r="B1478" i="1"/>
  <c r="B1479" i="1" s="1"/>
  <c r="C1478" i="1"/>
  <c r="C1479" i="1" s="1"/>
  <c r="D1478" i="1"/>
  <c r="D1479" i="1" s="1"/>
  <c r="E1478" i="1"/>
  <c r="F1478" i="1"/>
  <c r="F1479" i="1" s="1"/>
  <c r="G1478" i="1"/>
  <c r="H1478" i="1"/>
  <c r="I1478" i="1"/>
  <c r="J1478" i="1"/>
  <c r="K1478" i="1"/>
  <c r="M1478" i="1"/>
  <c r="N1478" i="1"/>
  <c r="P1478" i="1"/>
  <c r="P1479" i="1" s="1"/>
  <c r="Q1478" i="1"/>
  <c r="Q1479" i="1" s="1"/>
  <c r="R1478" i="1"/>
  <c r="R1479" i="1" s="1"/>
  <c r="S1478" i="1"/>
  <c r="S1479" i="1" s="1"/>
  <c r="T1478" i="1"/>
  <c r="T1479" i="1" s="1"/>
  <c r="V1478" i="1"/>
  <c r="V1479" i="1" s="1"/>
  <c r="W1478" i="1"/>
  <c r="W1479" i="1" s="1"/>
  <c r="X1478" i="1"/>
  <c r="X1479" i="1" s="1"/>
  <c r="Y1478" i="1"/>
  <c r="Y1479" i="1" s="1"/>
  <c r="Z1478" i="1"/>
  <c r="Z1479" i="1" s="1"/>
  <c r="A1480" i="1"/>
  <c r="A1481" i="1" s="1"/>
  <c r="B1480" i="1"/>
  <c r="B1481" i="1" s="1"/>
  <c r="C1480" i="1"/>
  <c r="C1481" i="1" s="1"/>
  <c r="D1480" i="1"/>
  <c r="E1480" i="1"/>
  <c r="F1480" i="1"/>
  <c r="F1481" i="1" s="1"/>
  <c r="G1480" i="1"/>
  <c r="H1480" i="1"/>
  <c r="I1480" i="1"/>
  <c r="J1480" i="1"/>
  <c r="K1480" i="1"/>
  <c r="M1480" i="1"/>
  <c r="N1480" i="1"/>
  <c r="P1480" i="1"/>
  <c r="P1481" i="1" s="1"/>
  <c r="Q1480" i="1"/>
  <c r="Q1481" i="1" s="1"/>
  <c r="R1480" i="1"/>
  <c r="R1481" i="1" s="1"/>
  <c r="S1480" i="1"/>
  <c r="S1481" i="1" s="1"/>
  <c r="T1480" i="1"/>
  <c r="T1481" i="1" s="1"/>
  <c r="V1480" i="1"/>
  <c r="V1481" i="1" s="1"/>
  <c r="W1480" i="1"/>
  <c r="W1481" i="1" s="1"/>
  <c r="X1480" i="1"/>
  <c r="X1481" i="1" s="1"/>
  <c r="Y1480" i="1"/>
  <c r="Y1481" i="1" s="1"/>
  <c r="Z1480" i="1"/>
  <c r="Z1481" i="1" s="1"/>
  <c r="E1481" i="1"/>
  <c r="A1482" i="1"/>
  <c r="A1483" i="1" s="1"/>
  <c r="B1482" i="1"/>
  <c r="B1483" i="1" s="1"/>
  <c r="C1482" i="1"/>
  <c r="C1483" i="1" s="1"/>
  <c r="D1482" i="1"/>
  <c r="D1483" i="1" s="1"/>
  <c r="E1482" i="1"/>
  <c r="F1482" i="1"/>
  <c r="G1482" i="1"/>
  <c r="H1482" i="1"/>
  <c r="I1482" i="1"/>
  <c r="J1482" i="1"/>
  <c r="K1482" i="1"/>
  <c r="M1482" i="1"/>
  <c r="N1482" i="1"/>
  <c r="P1482" i="1"/>
  <c r="P1483" i="1" s="1"/>
  <c r="Q1482" i="1"/>
  <c r="R1482" i="1"/>
  <c r="R1483" i="1" s="1"/>
  <c r="S1482" i="1"/>
  <c r="S1483" i="1" s="1"/>
  <c r="T1482" i="1"/>
  <c r="T1483" i="1" s="1"/>
  <c r="V1482" i="1"/>
  <c r="V1483" i="1" s="1"/>
  <c r="W1482" i="1"/>
  <c r="W1483" i="1" s="1"/>
  <c r="X1482" i="1"/>
  <c r="X1483" i="1" s="1"/>
  <c r="Y1482" i="1"/>
  <c r="Y1483" i="1" s="1"/>
  <c r="Z1482" i="1"/>
  <c r="Z1483" i="1" s="1"/>
  <c r="F1483" i="1"/>
  <c r="Q1483" i="1"/>
  <c r="A1484" i="1"/>
  <c r="A1485" i="1" s="1"/>
  <c r="B1484" i="1"/>
  <c r="B1485" i="1" s="1"/>
  <c r="C1484" i="1"/>
  <c r="C1485" i="1" s="1"/>
  <c r="D1484" i="1"/>
  <c r="E1484" i="1"/>
  <c r="E1485" i="1" s="1"/>
  <c r="F1484" i="1"/>
  <c r="F1485" i="1" s="1"/>
  <c r="G1484" i="1"/>
  <c r="H1484" i="1"/>
  <c r="I1484" i="1"/>
  <c r="J1484" i="1"/>
  <c r="K1484" i="1"/>
  <c r="M1484" i="1"/>
  <c r="N1484" i="1"/>
  <c r="P1484" i="1"/>
  <c r="P1485" i="1" s="1"/>
  <c r="Q1484" i="1"/>
  <c r="Q1485" i="1" s="1"/>
  <c r="R1484" i="1"/>
  <c r="R1485" i="1" s="1"/>
  <c r="S1484" i="1"/>
  <c r="S1485" i="1" s="1"/>
  <c r="T1484" i="1"/>
  <c r="T1485" i="1" s="1"/>
  <c r="V1484" i="1"/>
  <c r="V1485" i="1" s="1"/>
  <c r="W1484" i="1"/>
  <c r="W1485" i="1" s="1"/>
  <c r="X1484" i="1"/>
  <c r="X1485" i="1" s="1"/>
  <c r="Y1484" i="1"/>
  <c r="Z1484" i="1"/>
  <c r="Z1485" i="1" s="1"/>
  <c r="A1486" i="1"/>
  <c r="A1487" i="1" s="1"/>
  <c r="B1486" i="1"/>
  <c r="B1487" i="1" s="1"/>
  <c r="C1486" i="1"/>
  <c r="C1487" i="1" s="1"/>
  <c r="D1486" i="1"/>
  <c r="D1487" i="1" s="1"/>
  <c r="E1486" i="1"/>
  <c r="F1486" i="1"/>
  <c r="F1487" i="1" s="1"/>
  <c r="G1486" i="1"/>
  <c r="H1486" i="1"/>
  <c r="I1486" i="1"/>
  <c r="J1486" i="1"/>
  <c r="K1486" i="1"/>
  <c r="M1486" i="1"/>
  <c r="N1486" i="1"/>
  <c r="P1486" i="1"/>
  <c r="P1487" i="1" s="1"/>
  <c r="Q1486" i="1"/>
  <c r="Q1487" i="1" s="1"/>
  <c r="R1486" i="1"/>
  <c r="R1487" i="1" s="1"/>
  <c r="S1486" i="1"/>
  <c r="S1487" i="1" s="1"/>
  <c r="T1486" i="1"/>
  <c r="T1487" i="1" s="1"/>
  <c r="V1486" i="1"/>
  <c r="V1487" i="1" s="1"/>
  <c r="W1486" i="1"/>
  <c r="W1487" i="1" s="1"/>
  <c r="X1486" i="1"/>
  <c r="X1487" i="1" s="1"/>
  <c r="Y1486" i="1"/>
  <c r="Y1487" i="1" s="1"/>
  <c r="Z1486" i="1"/>
  <c r="Z1487" i="1" s="1"/>
  <c r="A1488" i="1"/>
  <c r="A1489" i="1" s="1"/>
  <c r="B1488" i="1"/>
  <c r="B1489" i="1" s="1"/>
  <c r="C1488" i="1"/>
  <c r="C1489" i="1" s="1"/>
  <c r="D1488" i="1"/>
  <c r="E1488" i="1"/>
  <c r="E1489" i="1" s="1"/>
  <c r="F1488" i="1"/>
  <c r="F1489" i="1" s="1"/>
  <c r="G1488" i="1"/>
  <c r="H1488" i="1"/>
  <c r="I1488" i="1"/>
  <c r="J1488" i="1"/>
  <c r="K1488" i="1"/>
  <c r="M1488" i="1"/>
  <c r="N1488" i="1"/>
  <c r="P1488" i="1"/>
  <c r="P1489" i="1" s="1"/>
  <c r="Q1488" i="1"/>
  <c r="Q1489" i="1" s="1"/>
  <c r="R1488" i="1"/>
  <c r="R1489" i="1" s="1"/>
  <c r="S1488" i="1"/>
  <c r="S1489" i="1" s="1"/>
  <c r="T1488" i="1"/>
  <c r="T1489" i="1" s="1"/>
  <c r="V1488" i="1"/>
  <c r="V1489" i="1" s="1"/>
  <c r="W1488" i="1"/>
  <c r="W1489" i="1" s="1"/>
  <c r="X1488" i="1"/>
  <c r="X1489" i="1" s="1"/>
  <c r="Y1488" i="1"/>
  <c r="Y1489" i="1" s="1"/>
  <c r="Z1488" i="1"/>
  <c r="Z1489" i="1" s="1"/>
  <c r="A1490" i="1"/>
  <c r="A1491" i="1" s="1"/>
  <c r="B1490" i="1"/>
  <c r="B1491" i="1" s="1"/>
  <c r="C1490" i="1"/>
  <c r="C1491" i="1" s="1"/>
  <c r="D1490" i="1"/>
  <c r="E1490" i="1"/>
  <c r="F1490" i="1"/>
  <c r="F1491" i="1" s="1"/>
  <c r="G1490" i="1"/>
  <c r="H1490" i="1"/>
  <c r="I1490" i="1"/>
  <c r="J1490" i="1"/>
  <c r="K1490" i="1"/>
  <c r="M1490" i="1"/>
  <c r="N1490" i="1"/>
  <c r="P1490" i="1"/>
  <c r="P1491" i="1" s="1"/>
  <c r="Q1490" i="1"/>
  <c r="Q1491" i="1" s="1"/>
  <c r="R1490" i="1"/>
  <c r="S1490" i="1"/>
  <c r="S1491" i="1" s="1"/>
  <c r="T1490" i="1"/>
  <c r="T1491" i="1" s="1"/>
  <c r="V1490" i="1"/>
  <c r="V1491" i="1" s="1"/>
  <c r="W1490" i="1"/>
  <c r="W1491" i="1" s="1"/>
  <c r="X1490" i="1"/>
  <c r="X1491" i="1" s="1"/>
  <c r="Y1490" i="1"/>
  <c r="Y1491" i="1" s="1"/>
  <c r="Z1490" i="1"/>
  <c r="Z1491" i="1" s="1"/>
  <c r="D1491" i="1"/>
  <c r="R1491" i="1"/>
  <c r="A1492" i="1"/>
  <c r="A1493" i="1" s="1"/>
  <c r="B1492" i="1"/>
  <c r="B1493" i="1" s="1"/>
  <c r="C1492" i="1"/>
  <c r="C1493" i="1" s="1"/>
  <c r="D1492" i="1"/>
  <c r="D1493" i="1" s="1"/>
  <c r="E1492" i="1"/>
  <c r="F1492" i="1"/>
  <c r="F1493" i="1" s="1"/>
  <c r="G1492" i="1"/>
  <c r="H1492" i="1"/>
  <c r="I1492" i="1"/>
  <c r="J1492" i="1"/>
  <c r="K1492" i="1"/>
  <c r="M1492" i="1"/>
  <c r="N1492" i="1"/>
  <c r="P1492" i="1"/>
  <c r="P1493" i="1" s="1"/>
  <c r="Q1492" i="1"/>
  <c r="Q1493" i="1" s="1"/>
  <c r="R1492" i="1"/>
  <c r="R1493" i="1" s="1"/>
  <c r="S1492" i="1"/>
  <c r="S1493" i="1" s="1"/>
  <c r="T1492" i="1"/>
  <c r="T1493" i="1" s="1"/>
  <c r="V1492" i="1"/>
  <c r="V1493" i="1" s="1"/>
  <c r="W1492" i="1"/>
  <c r="W1493" i="1" s="1"/>
  <c r="X1492" i="1"/>
  <c r="X1493" i="1" s="1"/>
  <c r="Y1492" i="1"/>
  <c r="Y1493" i="1" s="1"/>
  <c r="Z1492" i="1"/>
  <c r="Z1493" i="1" s="1"/>
  <c r="E1493" i="1"/>
  <c r="A1494" i="1"/>
  <c r="A1495" i="1" s="1"/>
  <c r="B1494" i="1"/>
  <c r="B1495" i="1" s="1"/>
  <c r="C1494" i="1"/>
  <c r="C1495" i="1" s="1"/>
  <c r="D1494" i="1"/>
  <c r="E1494" i="1"/>
  <c r="F1494" i="1"/>
  <c r="F1495" i="1" s="1"/>
  <c r="G1494" i="1"/>
  <c r="H1494" i="1"/>
  <c r="I1494" i="1"/>
  <c r="J1494" i="1"/>
  <c r="K1494" i="1"/>
  <c r="M1494" i="1"/>
  <c r="N1494" i="1"/>
  <c r="P1494" i="1"/>
  <c r="P1495" i="1" s="1"/>
  <c r="Q1494" i="1"/>
  <c r="Q1495" i="1" s="1"/>
  <c r="R1494" i="1"/>
  <c r="R1495" i="1" s="1"/>
  <c r="S1494" i="1"/>
  <c r="S1495" i="1" s="1"/>
  <c r="T1494" i="1"/>
  <c r="T1495" i="1" s="1"/>
  <c r="V1494" i="1"/>
  <c r="V1495" i="1" s="1"/>
  <c r="W1494" i="1"/>
  <c r="W1495" i="1" s="1"/>
  <c r="X1494" i="1"/>
  <c r="X1495" i="1" s="1"/>
  <c r="Y1494" i="1"/>
  <c r="Y1495" i="1" s="1"/>
  <c r="Z1494" i="1"/>
  <c r="Z1495" i="1" s="1"/>
  <c r="D1495" i="1"/>
  <c r="A1496" i="1"/>
  <c r="A1497" i="1" s="1"/>
  <c r="B1496" i="1"/>
  <c r="B1497" i="1" s="1"/>
  <c r="C1496" i="1"/>
  <c r="C1497" i="1" s="1"/>
  <c r="D1496" i="1"/>
  <c r="E1496" i="1"/>
  <c r="E1497" i="1" s="1"/>
  <c r="F1496" i="1"/>
  <c r="F1497" i="1" s="1"/>
  <c r="G1496" i="1"/>
  <c r="H1496" i="1"/>
  <c r="I1496" i="1"/>
  <c r="J1496" i="1"/>
  <c r="K1496" i="1"/>
  <c r="M1496" i="1"/>
  <c r="N1496" i="1"/>
  <c r="P1496" i="1"/>
  <c r="P1497" i="1" s="1"/>
  <c r="Q1496" i="1"/>
  <c r="Q1497" i="1" s="1"/>
  <c r="R1496" i="1"/>
  <c r="R1497" i="1" s="1"/>
  <c r="S1496" i="1"/>
  <c r="S1497" i="1" s="1"/>
  <c r="T1496" i="1"/>
  <c r="T1497" i="1" s="1"/>
  <c r="V1496" i="1"/>
  <c r="V1497" i="1" s="1"/>
  <c r="W1496" i="1"/>
  <c r="W1497" i="1" s="1"/>
  <c r="X1496" i="1"/>
  <c r="X1497" i="1" s="1"/>
  <c r="Y1496" i="1"/>
  <c r="Y1497" i="1" s="1"/>
  <c r="Z1496" i="1"/>
  <c r="Z1497" i="1" s="1"/>
  <c r="A1498" i="1"/>
  <c r="A1499" i="1" s="1"/>
  <c r="B1498" i="1"/>
  <c r="B1499" i="1" s="1"/>
  <c r="C1498" i="1"/>
  <c r="C1499" i="1" s="1"/>
  <c r="D1498" i="1"/>
  <c r="E1498" i="1"/>
  <c r="E1499" i="1" s="1"/>
  <c r="F1498" i="1"/>
  <c r="F1499" i="1" s="1"/>
  <c r="G1498" i="1"/>
  <c r="H1498" i="1"/>
  <c r="I1498" i="1"/>
  <c r="J1498" i="1"/>
  <c r="K1498" i="1"/>
  <c r="M1498" i="1"/>
  <c r="N1498" i="1"/>
  <c r="P1498" i="1"/>
  <c r="P1499" i="1" s="1"/>
  <c r="Q1498" i="1"/>
  <c r="Q1499" i="1" s="1"/>
  <c r="R1498" i="1"/>
  <c r="R1499" i="1" s="1"/>
  <c r="S1498" i="1"/>
  <c r="S1499" i="1" s="1"/>
  <c r="T1498" i="1"/>
  <c r="T1499" i="1" s="1"/>
  <c r="V1498" i="1"/>
  <c r="V1499" i="1" s="1"/>
  <c r="W1498" i="1"/>
  <c r="W1499" i="1" s="1"/>
  <c r="X1498" i="1"/>
  <c r="X1499" i="1" s="1"/>
  <c r="Y1498" i="1"/>
  <c r="Y1499" i="1" s="1"/>
  <c r="Z1498" i="1"/>
  <c r="Z1499" i="1" s="1"/>
  <c r="A1500" i="1"/>
  <c r="A1501" i="1" s="1"/>
  <c r="B1500" i="1"/>
  <c r="B1501" i="1" s="1"/>
  <c r="C1500" i="1"/>
  <c r="C1501" i="1" s="1"/>
  <c r="D1500" i="1"/>
  <c r="E1500" i="1"/>
  <c r="E1501" i="1" s="1"/>
  <c r="F1500" i="1"/>
  <c r="F1501" i="1" s="1"/>
  <c r="G1500" i="1"/>
  <c r="H1500" i="1"/>
  <c r="I1500" i="1"/>
  <c r="J1500" i="1"/>
  <c r="K1500" i="1"/>
  <c r="M1500" i="1"/>
  <c r="N1500" i="1"/>
  <c r="P1500" i="1"/>
  <c r="P1501" i="1" s="1"/>
  <c r="Q1500" i="1"/>
  <c r="Q1501" i="1" s="1"/>
  <c r="R1500" i="1"/>
  <c r="R1501" i="1" s="1"/>
  <c r="S1500" i="1"/>
  <c r="S1501" i="1" s="1"/>
  <c r="T1500" i="1"/>
  <c r="T1501" i="1" s="1"/>
  <c r="V1500" i="1"/>
  <c r="V1501" i="1" s="1"/>
  <c r="W1500" i="1"/>
  <c r="W1501" i="1" s="1"/>
  <c r="X1500" i="1"/>
  <c r="X1501" i="1" s="1"/>
  <c r="Y1500" i="1"/>
  <c r="Y1501" i="1" s="1"/>
  <c r="Z1500" i="1"/>
  <c r="Z1501" i="1" s="1"/>
  <c r="D1501" i="1"/>
  <c r="A1502" i="1"/>
  <c r="A1503" i="1" s="1"/>
  <c r="B1502" i="1"/>
  <c r="B1503" i="1" s="1"/>
  <c r="C1502" i="1"/>
  <c r="C1503" i="1" s="1"/>
  <c r="D1502" i="1"/>
  <c r="E1502" i="1"/>
  <c r="E1503" i="1" s="1"/>
  <c r="F1502" i="1"/>
  <c r="F1503" i="1" s="1"/>
  <c r="G1502" i="1"/>
  <c r="H1502" i="1"/>
  <c r="I1502" i="1"/>
  <c r="J1502" i="1"/>
  <c r="K1502" i="1"/>
  <c r="M1502" i="1"/>
  <c r="N1502" i="1"/>
  <c r="P1502" i="1"/>
  <c r="P1503" i="1" s="1"/>
  <c r="Q1502" i="1"/>
  <c r="Q1503" i="1" s="1"/>
  <c r="R1502" i="1"/>
  <c r="R1503" i="1" s="1"/>
  <c r="S1502" i="1"/>
  <c r="S1503" i="1" s="1"/>
  <c r="T1502" i="1"/>
  <c r="T1503" i="1" s="1"/>
  <c r="V1502" i="1"/>
  <c r="V1503" i="1" s="1"/>
  <c r="W1502" i="1"/>
  <c r="W1503" i="1" s="1"/>
  <c r="X1502" i="1"/>
  <c r="X1503" i="1" s="1"/>
  <c r="Y1502" i="1"/>
  <c r="Y1503" i="1" s="1"/>
  <c r="Z1502" i="1"/>
  <c r="Z1503" i="1" s="1"/>
  <c r="A1504" i="1"/>
  <c r="A1505" i="1" s="1"/>
  <c r="B1504" i="1"/>
  <c r="B1505" i="1" s="1"/>
  <c r="C1504" i="1"/>
  <c r="D1504" i="1"/>
  <c r="D1505" i="1" s="1"/>
  <c r="E1504" i="1"/>
  <c r="E1505" i="1" s="1"/>
  <c r="F1504" i="1"/>
  <c r="F1505" i="1" s="1"/>
  <c r="G1504" i="1"/>
  <c r="H1504" i="1"/>
  <c r="I1504" i="1"/>
  <c r="J1504" i="1"/>
  <c r="K1504" i="1"/>
  <c r="M1504" i="1"/>
  <c r="N1504" i="1"/>
  <c r="P1504" i="1"/>
  <c r="P1505" i="1" s="1"/>
  <c r="Q1504" i="1"/>
  <c r="Q1505" i="1" s="1"/>
  <c r="R1504" i="1"/>
  <c r="R1505" i="1" s="1"/>
  <c r="S1504" i="1"/>
  <c r="S1505" i="1" s="1"/>
  <c r="T1504" i="1"/>
  <c r="T1505" i="1" s="1"/>
  <c r="V1504" i="1"/>
  <c r="V1505" i="1" s="1"/>
  <c r="W1504" i="1"/>
  <c r="W1505" i="1" s="1"/>
  <c r="X1504" i="1"/>
  <c r="X1505" i="1" s="1"/>
  <c r="Y1504" i="1"/>
  <c r="Y1505" i="1" s="1"/>
  <c r="Z1504" i="1"/>
  <c r="Z1505" i="1" s="1"/>
  <c r="A1506" i="1"/>
  <c r="A1507" i="1" s="1"/>
  <c r="B1506" i="1"/>
  <c r="B1507" i="1" s="1"/>
  <c r="C1506" i="1"/>
  <c r="C1507" i="1" s="1"/>
  <c r="D1506" i="1"/>
  <c r="E1506" i="1"/>
  <c r="E1507" i="1" s="1"/>
  <c r="F1506" i="1"/>
  <c r="F1507" i="1" s="1"/>
  <c r="G1506" i="1"/>
  <c r="H1506" i="1"/>
  <c r="I1506" i="1"/>
  <c r="J1506" i="1"/>
  <c r="K1506" i="1"/>
  <c r="M1506" i="1"/>
  <c r="N1506" i="1"/>
  <c r="P1506" i="1"/>
  <c r="P1507" i="1" s="1"/>
  <c r="Q1506" i="1"/>
  <c r="Q1507" i="1" s="1"/>
  <c r="R1506" i="1"/>
  <c r="R1507" i="1" s="1"/>
  <c r="S1506" i="1"/>
  <c r="S1507" i="1" s="1"/>
  <c r="T1506" i="1"/>
  <c r="T1507" i="1" s="1"/>
  <c r="V1506" i="1"/>
  <c r="V1507" i="1" s="1"/>
  <c r="W1506" i="1"/>
  <c r="W1507" i="1" s="1"/>
  <c r="X1506" i="1"/>
  <c r="X1507" i="1" s="1"/>
  <c r="Y1506" i="1"/>
  <c r="Y1507" i="1" s="1"/>
  <c r="Z1506" i="1"/>
  <c r="Z1507" i="1" s="1"/>
  <c r="A1508" i="1"/>
  <c r="A1509" i="1" s="1"/>
  <c r="B1508" i="1"/>
  <c r="B1509" i="1" s="1"/>
  <c r="C1508" i="1"/>
  <c r="C1509" i="1" s="1"/>
  <c r="D1508" i="1"/>
  <c r="D1509" i="1" s="1"/>
  <c r="E1508" i="1"/>
  <c r="E1509" i="1" s="1"/>
  <c r="F1508" i="1"/>
  <c r="F1509" i="1" s="1"/>
  <c r="G1508" i="1"/>
  <c r="H1508" i="1"/>
  <c r="I1508" i="1"/>
  <c r="J1508" i="1"/>
  <c r="K1508" i="1"/>
  <c r="M1508" i="1"/>
  <c r="N1508" i="1"/>
  <c r="P1508" i="1"/>
  <c r="P1509" i="1" s="1"/>
  <c r="Q1508" i="1"/>
  <c r="Q1509" i="1" s="1"/>
  <c r="R1508" i="1"/>
  <c r="R1509" i="1" s="1"/>
  <c r="S1508" i="1"/>
  <c r="S1509" i="1" s="1"/>
  <c r="T1508" i="1"/>
  <c r="T1509" i="1" s="1"/>
  <c r="V1508" i="1"/>
  <c r="V1509" i="1" s="1"/>
  <c r="W1508" i="1"/>
  <c r="W1509" i="1" s="1"/>
  <c r="X1508" i="1"/>
  <c r="X1509" i="1" s="1"/>
  <c r="Y1508" i="1"/>
  <c r="Z1508" i="1"/>
  <c r="Z1509" i="1" s="1"/>
  <c r="A1510" i="1"/>
  <c r="A1511" i="1" s="1"/>
  <c r="B1510" i="1"/>
  <c r="B1511" i="1" s="1"/>
  <c r="C1510" i="1"/>
  <c r="C1511" i="1" s="1"/>
  <c r="D1510" i="1"/>
  <c r="E1510" i="1"/>
  <c r="E1511" i="1" s="1"/>
  <c r="F1510" i="1"/>
  <c r="F1511" i="1" s="1"/>
  <c r="G1510" i="1"/>
  <c r="H1510" i="1"/>
  <c r="I1510" i="1"/>
  <c r="J1510" i="1"/>
  <c r="K1510" i="1"/>
  <c r="M1510" i="1"/>
  <c r="N1510" i="1"/>
  <c r="P1510" i="1"/>
  <c r="Q1510" i="1"/>
  <c r="Q1511" i="1" s="1"/>
  <c r="R1510" i="1"/>
  <c r="R1511" i="1" s="1"/>
  <c r="S1510" i="1"/>
  <c r="S1511" i="1" s="1"/>
  <c r="T1510" i="1"/>
  <c r="T1511" i="1" s="1"/>
  <c r="V1510" i="1"/>
  <c r="W1510" i="1"/>
  <c r="W1511" i="1" s="1"/>
  <c r="X1510" i="1"/>
  <c r="X1511" i="1" s="1"/>
  <c r="Y1510" i="1"/>
  <c r="Y1511" i="1" s="1"/>
  <c r="Z1510" i="1"/>
  <c r="Z1511" i="1" s="1"/>
  <c r="P1511" i="1"/>
  <c r="V1511" i="1"/>
  <c r="A1512" i="1"/>
  <c r="A1513" i="1" s="1"/>
  <c r="B1512" i="1"/>
  <c r="B1513" i="1" s="1"/>
  <c r="C1512" i="1"/>
  <c r="D1512" i="1"/>
  <c r="D1513" i="1" s="1"/>
  <c r="E1512" i="1"/>
  <c r="E1513" i="1" s="1"/>
  <c r="F1512" i="1"/>
  <c r="G1512" i="1"/>
  <c r="H1512" i="1"/>
  <c r="I1512" i="1"/>
  <c r="J1512" i="1"/>
  <c r="K1512" i="1"/>
  <c r="M1512" i="1"/>
  <c r="N1512" i="1"/>
  <c r="P1512" i="1"/>
  <c r="P1513" i="1" s="1"/>
  <c r="Q1512" i="1"/>
  <c r="Q1513" i="1" s="1"/>
  <c r="R1512" i="1"/>
  <c r="R1513" i="1" s="1"/>
  <c r="S1512" i="1"/>
  <c r="S1513" i="1" s="1"/>
  <c r="T1512" i="1"/>
  <c r="T1513" i="1" s="1"/>
  <c r="V1512" i="1"/>
  <c r="V1513" i="1" s="1"/>
  <c r="W1512" i="1"/>
  <c r="W1513" i="1" s="1"/>
  <c r="X1512" i="1"/>
  <c r="X1513" i="1" s="1"/>
  <c r="Y1512" i="1"/>
  <c r="Y1513" i="1" s="1"/>
  <c r="Z1512" i="1"/>
  <c r="Z1513" i="1" s="1"/>
  <c r="F1513" i="1"/>
  <c r="A1514" i="1"/>
  <c r="A1515" i="1" s="1"/>
  <c r="B1514" i="1"/>
  <c r="B1515" i="1" s="1"/>
  <c r="C1514" i="1"/>
  <c r="C1515" i="1" s="1"/>
  <c r="D1514" i="1"/>
  <c r="E1514" i="1"/>
  <c r="E1515" i="1" s="1"/>
  <c r="F1514" i="1"/>
  <c r="F1515" i="1" s="1"/>
  <c r="G1514" i="1"/>
  <c r="H1514" i="1"/>
  <c r="I1514" i="1"/>
  <c r="J1514" i="1"/>
  <c r="K1514" i="1"/>
  <c r="M1514" i="1"/>
  <c r="N1514" i="1"/>
  <c r="P1514" i="1"/>
  <c r="P1515" i="1" s="1"/>
  <c r="Q1514" i="1"/>
  <c r="Q1515" i="1" s="1"/>
  <c r="R1514" i="1"/>
  <c r="R1515" i="1" s="1"/>
  <c r="S1514" i="1"/>
  <c r="S1515" i="1" s="1"/>
  <c r="T1514" i="1"/>
  <c r="T1515" i="1" s="1"/>
  <c r="V1514" i="1"/>
  <c r="V1515" i="1" s="1"/>
  <c r="W1514" i="1"/>
  <c r="W1515" i="1" s="1"/>
  <c r="X1514" i="1"/>
  <c r="X1515" i="1" s="1"/>
  <c r="Y1514" i="1"/>
  <c r="Y1515" i="1" s="1"/>
  <c r="Z1514" i="1"/>
  <c r="Z1515" i="1" s="1"/>
  <c r="A1516" i="1"/>
  <c r="A1517" i="1" s="1"/>
  <c r="B1516" i="1"/>
  <c r="B1517" i="1" s="1"/>
  <c r="C1516" i="1"/>
  <c r="C1517" i="1" s="1"/>
  <c r="D1516" i="1"/>
  <c r="D1517" i="1" s="1"/>
  <c r="E1516" i="1"/>
  <c r="E1517" i="1" s="1"/>
  <c r="F1516" i="1"/>
  <c r="F1517" i="1" s="1"/>
  <c r="G1516" i="1"/>
  <c r="H1516" i="1"/>
  <c r="I1516" i="1"/>
  <c r="J1516" i="1"/>
  <c r="K1516" i="1"/>
  <c r="M1516" i="1"/>
  <c r="N1516" i="1"/>
  <c r="P1516" i="1"/>
  <c r="Q1516" i="1"/>
  <c r="Q1517" i="1" s="1"/>
  <c r="R1516" i="1"/>
  <c r="R1517" i="1" s="1"/>
  <c r="S1516" i="1"/>
  <c r="S1517" i="1" s="1"/>
  <c r="T1516" i="1"/>
  <c r="T1517" i="1" s="1"/>
  <c r="V1516" i="1"/>
  <c r="V1517" i="1" s="1"/>
  <c r="W1516" i="1"/>
  <c r="W1517" i="1" s="1"/>
  <c r="X1516" i="1"/>
  <c r="X1517" i="1" s="1"/>
  <c r="Y1516" i="1"/>
  <c r="Z1516" i="1"/>
  <c r="Z1517" i="1" s="1"/>
  <c r="P1517" i="1"/>
  <c r="A1518" i="1"/>
  <c r="A1519" i="1" s="1"/>
  <c r="B1518" i="1"/>
  <c r="C1518" i="1"/>
  <c r="C1519" i="1" s="1"/>
  <c r="D1518" i="1"/>
  <c r="E1518" i="1"/>
  <c r="E1519" i="1" s="1"/>
  <c r="F1518" i="1"/>
  <c r="F1519" i="1" s="1"/>
  <c r="G1518" i="1"/>
  <c r="H1518" i="1"/>
  <c r="I1518" i="1"/>
  <c r="J1518" i="1"/>
  <c r="K1518" i="1"/>
  <c r="M1518" i="1"/>
  <c r="N1518" i="1"/>
  <c r="P1518" i="1"/>
  <c r="P1519" i="1" s="1"/>
  <c r="Q1518" i="1"/>
  <c r="Q1519" i="1" s="1"/>
  <c r="R1518" i="1"/>
  <c r="R1519" i="1" s="1"/>
  <c r="S1518" i="1"/>
  <c r="S1519" i="1" s="1"/>
  <c r="T1518" i="1"/>
  <c r="T1519" i="1" s="1"/>
  <c r="V1518" i="1"/>
  <c r="V1519" i="1" s="1"/>
  <c r="W1518" i="1"/>
  <c r="W1519" i="1" s="1"/>
  <c r="X1518" i="1"/>
  <c r="X1519" i="1" s="1"/>
  <c r="Y1518" i="1"/>
  <c r="Z1518" i="1"/>
  <c r="Z1519" i="1" s="1"/>
  <c r="B1519" i="1"/>
  <c r="A1520" i="1"/>
  <c r="A1521" i="1" s="1"/>
  <c r="B1520" i="1"/>
  <c r="B1521" i="1" s="1"/>
  <c r="C1520" i="1"/>
  <c r="D1520" i="1"/>
  <c r="E1520" i="1"/>
  <c r="E1521" i="1" s="1"/>
  <c r="F1520" i="1"/>
  <c r="F1521" i="1" s="1"/>
  <c r="G1520" i="1"/>
  <c r="H1520" i="1"/>
  <c r="I1520" i="1"/>
  <c r="J1520" i="1"/>
  <c r="K1520" i="1"/>
  <c r="M1520" i="1"/>
  <c r="N1520" i="1"/>
  <c r="P1520" i="1"/>
  <c r="P1521" i="1" s="1"/>
  <c r="Q1520" i="1"/>
  <c r="Q1521" i="1" s="1"/>
  <c r="R1520" i="1"/>
  <c r="R1521" i="1" s="1"/>
  <c r="S1520" i="1"/>
  <c r="S1521" i="1" s="1"/>
  <c r="T1520" i="1"/>
  <c r="T1521" i="1" s="1"/>
  <c r="V1520" i="1"/>
  <c r="V1521" i="1" s="1"/>
  <c r="W1520" i="1"/>
  <c r="W1521" i="1" s="1"/>
  <c r="X1520" i="1"/>
  <c r="X1521" i="1" s="1"/>
  <c r="Y1520" i="1"/>
  <c r="Y1521" i="1" s="1"/>
  <c r="Z1520" i="1"/>
  <c r="Z1521" i="1" s="1"/>
  <c r="D1521" i="1"/>
  <c r="A1522" i="1"/>
  <c r="A1523" i="1" s="1"/>
  <c r="B1522" i="1"/>
  <c r="B1523" i="1" s="1"/>
  <c r="C1522" i="1"/>
  <c r="D1522" i="1"/>
  <c r="D1523" i="1" s="1"/>
  <c r="E1522" i="1"/>
  <c r="E1523" i="1" s="1"/>
  <c r="F1522" i="1"/>
  <c r="F1523" i="1" s="1"/>
  <c r="G1522" i="1"/>
  <c r="H1522" i="1"/>
  <c r="I1522" i="1"/>
  <c r="J1522" i="1"/>
  <c r="K1522" i="1"/>
  <c r="M1522" i="1"/>
  <c r="N1522" i="1"/>
  <c r="P1522" i="1"/>
  <c r="P1523" i="1" s="1"/>
  <c r="Q1522" i="1"/>
  <c r="Q1523" i="1" s="1"/>
  <c r="R1522" i="1"/>
  <c r="R1523" i="1" s="1"/>
  <c r="S1522" i="1"/>
  <c r="S1523" i="1" s="1"/>
  <c r="T1522" i="1"/>
  <c r="T1523" i="1" s="1"/>
  <c r="V1522" i="1"/>
  <c r="V1523" i="1" s="1"/>
  <c r="W1522" i="1"/>
  <c r="W1523" i="1" s="1"/>
  <c r="X1522" i="1"/>
  <c r="X1523" i="1" s="1"/>
  <c r="Y1522" i="1"/>
  <c r="Y1523" i="1" s="1"/>
  <c r="Z1522" i="1"/>
  <c r="Z1523" i="1" s="1"/>
  <c r="A1524" i="1"/>
  <c r="A1525" i="1" s="1"/>
  <c r="B1524" i="1"/>
  <c r="B1525" i="1" s="1"/>
  <c r="C1524" i="1"/>
  <c r="C1525" i="1" s="1"/>
  <c r="D1524" i="1"/>
  <c r="D1525" i="1" s="1"/>
  <c r="E1524" i="1"/>
  <c r="E1525" i="1" s="1"/>
  <c r="F1524" i="1"/>
  <c r="F1525" i="1" s="1"/>
  <c r="G1524" i="1"/>
  <c r="H1524" i="1"/>
  <c r="I1524" i="1"/>
  <c r="J1524" i="1"/>
  <c r="K1524" i="1"/>
  <c r="M1524" i="1"/>
  <c r="N1524" i="1"/>
  <c r="P1524" i="1"/>
  <c r="P1525" i="1" s="1"/>
  <c r="Q1524" i="1"/>
  <c r="Q1525" i="1" s="1"/>
  <c r="R1524" i="1"/>
  <c r="R1525" i="1" s="1"/>
  <c r="S1524" i="1"/>
  <c r="S1525" i="1" s="1"/>
  <c r="T1524" i="1"/>
  <c r="T1525" i="1" s="1"/>
  <c r="V1524" i="1"/>
  <c r="V1525" i="1" s="1"/>
  <c r="W1524" i="1"/>
  <c r="W1525" i="1" s="1"/>
  <c r="X1524" i="1"/>
  <c r="X1525" i="1" s="1"/>
  <c r="Y1524" i="1"/>
  <c r="Y1525" i="1" s="1"/>
  <c r="Z1524" i="1"/>
  <c r="Z1525" i="1" s="1"/>
  <c r="A1526" i="1"/>
  <c r="A1527" i="1" s="1"/>
  <c r="B1526" i="1"/>
  <c r="B1527" i="1" s="1"/>
  <c r="C1526" i="1"/>
  <c r="D1526" i="1"/>
  <c r="D1527" i="1" s="1"/>
  <c r="E1526" i="1"/>
  <c r="E1527" i="1" s="1"/>
  <c r="F1526" i="1"/>
  <c r="F1527" i="1" s="1"/>
  <c r="G1526" i="1"/>
  <c r="H1526" i="1"/>
  <c r="I1526" i="1"/>
  <c r="J1526" i="1"/>
  <c r="K1526" i="1"/>
  <c r="M1526" i="1"/>
  <c r="N1526" i="1"/>
  <c r="P1526" i="1"/>
  <c r="P1527" i="1" s="1"/>
  <c r="Q1526" i="1"/>
  <c r="Q1527" i="1" s="1"/>
  <c r="R1526" i="1"/>
  <c r="R1527" i="1" s="1"/>
  <c r="S1526" i="1"/>
  <c r="S1527" i="1" s="1"/>
  <c r="T1526" i="1"/>
  <c r="T1527" i="1" s="1"/>
  <c r="V1526" i="1"/>
  <c r="V1527" i="1" s="1"/>
  <c r="W1526" i="1"/>
  <c r="W1527" i="1" s="1"/>
  <c r="X1526" i="1"/>
  <c r="X1527" i="1" s="1"/>
  <c r="Y1526" i="1"/>
  <c r="Z1526" i="1"/>
  <c r="Z1527" i="1" s="1"/>
  <c r="A1528" i="1"/>
  <c r="A1529" i="1" s="1"/>
  <c r="B1528" i="1"/>
  <c r="B1529" i="1" s="1"/>
  <c r="C1528" i="1"/>
  <c r="C1529" i="1" s="1"/>
  <c r="D1528" i="1"/>
  <c r="E1528" i="1"/>
  <c r="E1529" i="1" s="1"/>
  <c r="F1528" i="1"/>
  <c r="F1529" i="1" s="1"/>
  <c r="G1528" i="1"/>
  <c r="H1528" i="1"/>
  <c r="I1528" i="1"/>
  <c r="J1528" i="1"/>
  <c r="K1528" i="1"/>
  <c r="M1528" i="1"/>
  <c r="N1528" i="1"/>
  <c r="P1528" i="1"/>
  <c r="P1529" i="1" s="1"/>
  <c r="Q1528" i="1"/>
  <c r="Q1529" i="1" s="1"/>
  <c r="R1528" i="1"/>
  <c r="R1529" i="1" s="1"/>
  <c r="S1528" i="1"/>
  <c r="S1529" i="1" s="1"/>
  <c r="T1528" i="1"/>
  <c r="T1529" i="1" s="1"/>
  <c r="V1528" i="1"/>
  <c r="V1529" i="1" s="1"/>
  <c r="W1528" i="1"/>
  <c r="W1529" i="1" s="1"/>
  <c r="X1528" i="1"/>
  <c r="X1529" i="1" s="1"/>
  <c r="Y1528" i="1"/>
  <c r="Y1529" i="1" s="1"/>
  <c r="Z1528" i="1"/>
  <c r="Z1529" i="1" s="1"/>
  <c r="A1530" i="1"/>
  <c r="A1531" i="1" s="1"/>
  <c r="B1530" i="1"/>
  <c r="C1530" i="1"/>
  <c r="C1531" i="1" s="1"/>
  <c r="D1530" i="1"/>
  <c r="D1531" i="1" s="1"/>
  <c r="E1530" i="1"/>
  <c r="F1530" i="1"/>
  <c r="F1531" i="1" s="1"/>
  <c r="G1530" i="1"/>
  <c r="H1530" i="1"/>
  <c r="I1530" i="1"/>
  <c r="J1530" i="1"/>
  <c r="K1530" i="1"/>
  <c r="M1530" i="1"/>
  <c r="N1530" i="1"/>
  <c r="P1530" i="1"/>
  <c r="P1531" i="1" s="1"/>
  <c r="Q1530" i="1"/>
  <c r="Q1531" i="1" s="1"/>
  <c r="R1530" i="1"/>
  <c r="R1531" i="1" s="1"/>
  <c r="S1530" i="1"/>
  <c r="S1531" i="1" s="1"/>
  <c r="T1530" i="1"/>
  <c r="T1531" i="1" s="1"/>
  <c r="V1530" i="1"/>
  <c r="V1531" i="1" s="1"/>
  <c r="W1530" i="1"/>
  <c r="W1531" i="1" s="1"/>
  <c r="X1530" i="1"/>
  <c r="X1531" i="1" s="1"/>
  <c r="Y1530" i="1"/>
  <c r="Z1530" i="1"/>
  <c r="Z1531" i="1" s="1"/>
  <c r="B1531" i="1"/>
  <c r="A1532" i="1"/>
  <c r="A1533" i="1" s="1"/>
  <c r="B1532" i="1"/>
  <c r="B1533" i="1" s="1"/>
  <c r="C1532" i="1"/>
  <c r="C1533" i="1" s="1"/>
  <c r="D1532" i="1"/>
  <c r="D1533" i="1" s="1"/>
  <c r="E1532" i="1"/>
  <c r="F1532" i="1"/>
  <c r="F1533" i="1" s="1"/>
  <c r="G1532" i="1"/>
  <c r="H1532" i="1"/>
  <c r="I1532" i="1"/>
  <c r="J1532" i="1"/>
  <c r="K1532" i="1"/>
  <c r="M1532" i="1"/>
  <c r="N1532" i="1"/>
  <c r="P1532" i="1"/>
  <c r="P1533" i="1" s="1"/>
  <c r="Q1532" i="1"/>
  <c r="Q1533" i="1" s="1"/>
  <c r="R1532" i="1"/>
  <c r="R1533" i="1" s="1"/>
  <c r="S1532" i="1"/>
  <c r="S1533" i="1" s="1"/>
  <c r="T1532" i="1"/>
  <c r="T1533" i="1" s="1"/>
  <c r="V1532" i="1"/>
  <c r="V1533" i="1" s="1"/>
  <c r="W1532" i="1"/>
  <c r="W1533" i="1" s="1"/>
  <c r="X1532" i="1"/>
  <c r="X1533" i="1" s="1"/>
  <c r="Y1532" i="1"/>
  <c r="Y1533" i="1" s="1"/>
  <c r="Z1532" i="1"/>
  <c r="Z1533" i="1" s="1"/>
  <c r="A1534" i="1"/>
  <c r="A1535" i="1" s="1"/>
  <c r="B1534" i="1"/>
  <c r="B1535" i="1" s="1"/>
  <c r="C1534" i="1"/>
  <c r="C1535" i="1" s="1"/>
  <c r="D1534" i="1"/>
  <c r="D1535" i="1" s="1"/>
  <c r="E1534" i="1"/>
  <c r="E1535" i="1" s="1"/>
  <c r="F1534" i="1"/>
  <c r="F1535" i="1" s="1"/>
  <c r="G1534" i="1"/>
  <c r="H1534" i="1"/>
  <c r="I1534" i="1"/>
  <c r="J1534" i="1"/>
  <c r="K1534" i="1"/>
  <c r="M1534" i="1"/>
  <c r="N1534" i="1"/>
  <c r="P1534" i="1"/>
  <c r="P1535" i="1" s="1"/>
  <c r="Q1534" i="1"/>
  <c r="Q1535" i="1" s="1"/>
  <c r="R1534" i="1"/>
  <c r="R1535" i="1" s="1"/>
  <c r="S1534" i="1"/>
  <c r="S1535" i="1" s="1"/>
  <c r="T1534" i="1"/>
  <c r="T1535" i="1" s="1"/>
  <c r="V1534" i="1"/>
  <c r="V1535" i="1" s="1"/>
  <c r="W1534" i="1"/>
  <c r="W1535" i="1" s="1"/>
  <c r="X1534" i="1"/>
  <c r="X1535" i="1" s="1"/>
  <c r="Y1534" i="1"/>
  <c r="Y1535" i="1" s="1"/>
  <c r="Z1534" i="1"/>
  <c r="Z1535" i="1" s="1"/>
  <c r="A1536" i="1"/>
  <c r="A1537" i="1" s="1"/>
  <c r="B1536" i="1"/>
  <c r="B1537" i="1" s="1"/>
  <c r="C1536" i="1"/>
  <c r="D1536" i="1"/>
  <c r="E1536" i="1"/>
  <c r="E1537" i="1" s="1"/>
  <c r="F1536" i="1"/>
  <c r="F1537" i="1" s="1"/>
  <c r="G1536" i="1"/>
  <c r="H1536" i="1"/>
  <c r="I1536" i="1"/>
  <c r="J1536" i="1"/>
  <c r="K1536" i="1"/>
  <c r="M1536" i="1"/>
  <c r="N1536" i="1"/>
  <c r="P1536" i="1"/>
  <c r="P1537" i="1" s="1"/>
  <c r="Q1536" i="1"/>
  <c r="Q1537" i="1" s="1"/>
  <c r="R1536" i="1"/>
  <c r="R1537" i="1" s="1"/>
  <c r="S1536" i="1"/>
  <c r="S1537" i="1" s="1"/>
  <c r="T1536" i="1"/>
  <c r="T1537" i="1" s="1"/>
  <c r="V1536" i="1"/>
  <c r="V1537" i="1" s="1"/>
  <c r="W1536" i="1"/>
  <c r="W1537" i="1" s="1"/>
  <c r="X1536" i="1"/>
  <c r="X1537" i="1" s="1"/>
  <c r="Y1536" i="1"/>
  <c r="Y1537" i="1" s="1"/>
  <c r="Z1536" i="1"/>
  <c r="Z1537" i="1" s="1"/>
  <c r="A1538" i="1"/>
  <c r="A1539" i="1" s="1"/>
  <c r="B1538" i="1"/>
  <c r="B1539" i="1" s="1"/>
  <c r="C1538" i="1"/>
  <c r="D1538" i="1"/>
  <c r="E1538" i="1"/>
  <c r="E1539" i="1" s="1"/>
  <c r="F1538" i="1"/>
  <c r="F1539" i="1" s="1"/>
  <c r="G1538" i="1"/>
  <c r="H1538" i="1"/>
  <c r="I1538" i="1"/>
  <c r="J1538" i="1"/>
  <c r="K1538" i="1"/>
  <c r="M1538" i="1"/>
  <c r="N1538" i="1"/>
  <c r="P1538" i="1"/>
  <c r="P1539" i="1" s="1"/>
  <c r="Q1538" i="1"/>
  <c r="Q1539" i="1" s="1"/>
  <c r="R1538" i="1"/>
  <c r="R1539" i="1" s="1"/>
  <c r="S1538" i="1"/>
  <c r="S1539" i="1" s="1"/>
  <c r="T1538" i="1"/>
  <c r="T1539" i="1" s="1"/>
  <c r="V1538" i="1"/>
  <c r="V1539" i="1" s="1"/>
  <c r="W1538" i="1"/>
  <c r="W1539" i="1" s="1"/>
  <c r="X1538" i="1"/>
  <c r="X1539" i="1" s="1"/>
  <c r="Y1538" i="1"/>
  <c r="Y1539" i="1" s="1"/>
  <c r="Z1538" i="1"/>
  <c r="Z1539" i="1" s="1"/>
  <c r="D1539" i="1"/>
  <c r="A1540" i="1"/>
  <c r="A1541" i="1" s="1"/>
  <c r="B1540" i="1"/>
  <c r="B1541" i="1" s="1"/>
  <c r="C1540" i="1"/>
  <c r="C1541" i="1" s="1"/>
  <c r="D1540" i="1"/>
  <c r="E1540" i="1"/>
  <c r="E1541" i="1" s="1"/>
  <c r="F1540" i="1"/>
  <c r="F1541" i="1" s="1"/>
  <c r="G1540" i="1"/>
  <c r="H1540" i="1"/>
  <c r="I1540" i="1"/>
  <c r="J1540" i="1"/>
  <c r="K1540" i="1"/>
  <c r="M1540" i="1"/>
  <c r="N1540" i="1"/>
  <c r="P1540" i="1"/>
  <c r="P1541" i="1" s="1"/>
  <c r="Q1540" i="1"/>
  <c r="Q1541" i="1" s="1"/>
  <c r="R1540" i="1"/>
  <c r="R1541" i="1" s="1"/>
  <c r="S1540" i="1"/>
  <c r="S1541" i="1" s="1"/>
  <c r="T1540" i="1"/>
  <c r="T1541" i="1" s="1"/>
  <c r="V1540" i="1"/>
  <c r="V1541" i="1" s="1"/>
  <c r="W1540" i="1"/>
  <c r="W1541" i="1" s="1"/>
  <c r="X1540" i="1"/>
  <c r="X1541" i="1" s="1"/>
  <c r="Y1540" i="1"/>
  <c r="Z1540" i="1"/>
  <c r="Z1541" i="1" s="1"/>
  <c r="A1542" i="1"/>
  <c r="A1543" i="1" s="1"/>
  <c r="B1542" i="1"/>
  <c r="B1543" i="1" s="1"/>
  <c r="C1542" i="1"/>
  <c r="C1543" i="1" s="1"/>
  <c r="D1542" i="1"/>
  <c r="E1542" i="1"/>
  <c r="E1543" i="1" s="1"/>
  <c r="F1542" i="1"/>
  <c r="F1543" i="1" s="1"/>
  <c r="G1542" i="1"/>
  <c r="H1542" i="1"/>
  <c r="I1542" i="1"/>
  <c r="J1542" i="1"/>
  <c r="K1542" i="1"/>
  <c r="M1542" i="1"/>
  <c r="N1542" i="1"/>
  <c r="P1542" i="1"/>
  <c r="P1543" i="1" s="1"/>
  <c r="Q1542" i="1"/>
  <c r="Q1543" i="1" s="1"/>
  <c r="R1542" i="1"/>
  <c r="R1543" i="1" s="1"/>
  <c r="S1542" i="1"/>
  <c r="S1543" i="1" s="1"/>
  <c r="T1542" i="1"/>
  <c r="T1543" i="1" s="1"/>
  <c r="V1542" i="1"/>
  <c r="V1543" i="1" s="1"/>
  <c r="W1542" i="1"/>
  <c r="W1543" i="1" s="1"/>
  <c r="X1542" i="1"/>
  <c r="X1543" i="1" s="1"/>
  <c r="Y1542" i="1"/>
  <c r="Y1543" i="1" s="1"/>
  <c r="Z1542" i="1"/>
  <c r="Z1543" i="1" s="1"/>
  <c r="A1544" i="1"/>
  <c r="A1545" i="1" s="1"/>
  <c r="B1544" i="1"/>
  <c r="B1545" i="1" s="1"/>
  <c r="C1544" i="1"/>
  <c r="C1545" i="1" s="1"/>
  <c r="D1544" i="1"/>
  <c r="E1544" i="1"/>
  <c r="F1544" i="1"/>
  <c r="F1545" i="1" s="1"/>
  <c r="G1544" i="1"/>
  <c r="H1544" i="1"/>
  <c r="I1544" i="1"/>
  <c r="J1544" i="1"/>
  <c r="K1544" i="1"/>
  <c r="M1544" i="1"/>
  <c r="N1544" i="1"/>
  <c r="P1544" i="1"/>
  <c r="P1545" i="1" s="1"/>
  <c r="Q1544" i="1"/>
  <c r="Q1545" i="1" s="1"/>
  <c r="R1544" i="1"/>
  <c r="R1545" i="1" s="1"/>
  <c r="S1544" i="1"/>
  <c r="S1545" i="1" s="1"/>
  <c r="T1544" i="1"/>
  <c r="T1545" i="1" s="1"/>
  <c r="V1544" i="1"/>
  <c r="V1545" i="1" s="1"/>
  <c r="W1544" i="1"/>
  <c r="W1545" i="1" s="1"/>
  <c r="X1544" i="1"/>
  <c r="X1545" i="1" s="1"/>
  <c r="Y1544" i="1"/>
  <c r="Y1545" i="1" s="1"/>
  <c r="Z1544" i="1"/>
  <c r="Z1545" i="1" s="1"/>
  <c r="D1545" i="1"/>
  <c r="A1546" i="1"/>
  <c r="A1547" i="1" s="1"/>
  <c r="B1546" i="1"/>
  <c r="B1547" i="1" s="1"/>
  <c r="C1546" i="1"/>
  <c r="C1547" i="1" s="1"/>
  <c r="D1546" i="1"/>
  <c r="E1546" i="1"/>
  <c r="F1546" i="1"/>
  <c r="F1547" i="1" s="1"/>
  <c r="G1546" i="1"/>
  <c r="H1546" i="1"/>
  <c r="I1546" i="1"/>
  <c r="J1546" i="1"/>
  <c r="K1546" i="1"/>
  <c r="M1546" i="1"/>
  <c r="N1546" i="1"/>
  <c r="P1546" i="1"/>
  <c r="P1547" i="1" s="1"/>
  <c r="Q1546" i="1"/>
  <c r="Q1547" i="1" s="1"/>
  <c r="R1546" i="1"/>
  <c r="R1547" i="1" s="1"/>
  <c r="S1546" i="1"/>
  <c r="S1547" i="1" s="1"/>
  <c r="T1546" i="1"/>
  <c r="T1547" i="1" s="1"/>
  <c r="V1546" i="1"/>
  <c r="V1547" i="1" s="1"/>
  <c r="W1546" i="1"/>
  <c r="W1547" i="1" s="1"/>
  <c r="X1546" i="1"/>
  <c r="X1547" i="1" s="1"/>
  <c r="Y1546" i="1"/>
  <c r="Y1547" i="1" s="1"/>
  <c r="Z1546" i="1"/>
  <c r="Z1547" i="1" s="1"/>
  <c r="D1547" i="1"/>
  <c r="A1548" i="1"/>
  <c r="A1549" i="1" s="1"/>
  <c r="B1548" i="1"/>
  <c r="B1549" i="1" s="1"/>
  <c r="C1548" i="1"/>
  <c r="C1549" i="1" s="1"/>
  <c r="D1548" i="1"/>
  <c r="D1549" i="1" s="1"/>
  <c r="E1548" i="1"/>
  <c r="E1549" i="1" s="1"/>
  <c r="F1548" i="1"/>
  <c r="F1549" i="1" s="1"/>
  <c r="G1548" i="1"/>
  <c r="H1548" i="1"/>
  <c r="I1548" i="1"/>
  <c r="J1548" i="1"/>
  <c r="K1548" i="1"/>
  <c r="M1548" i="1"/>
  <c r="N1548" i="1"/>
  <c r="P1548" i="1"/>
  <c r="P1549" i="1" s="1"/>
  <c r="Q1548" i="1"/>
  <c r="Q1549" i="1" s="1"/>
  <c r="R1548" i="1"/>
  <c r="R1549" i="1" s="1"/>
  <c r="S1548" i="1"/>
  <c r="S1549" i="1" s="1"/>
  <c r="T1548" i="1"/>
  <c r="T1549" i="1" s="1"/>
  <c r="V1548" i="1"/>
  <c r="V1549" i="1" s="1"/>
  <c r="W1548" i="1"/>
  <c r="W1549" i="1" s="1"/>
  <c r="X1548" i="1"/>
  <c r="X1549" i="1" s="1"/>
  <c r="Y1548" i="1"/>
  <c r="Y1549" i="1" s="1"/>
  <c r="Z1548" i="1"/>
  <c r="Z1549" i="1" s="1"/>
  <c r="A1550" i="1"/>
  <c r="A1551" i="1" s="1"/>
  <c r="B1550" i="1"/>
  <c r="B1551" i="1" s="1"/>
  <c r="C1550" i="1"/>
  <c r="C1551" i="1" s="1"/>
  <c r="D1550" i="1"/>
  <c r="D1551" i="1" s="1"/>
  <c r="E1550" i="1"/>
  <c r="E1551" i="1" s="1"/>
  <c r="F1550" i="1"/>
  <c r="F1551" i="1" s="1"/>
  <c r="G1550" i="1"/>
  <c r="H1550" i="1"/>
  <c r="I1550" i="1"/>
  <c r="J1550" i="1"/>
  <c r="K1550" i="1"/>
  <c r="M1550" i="1"/>
  <c r="N1550" i="1"/>
  <c r="P1550" i="1"/>
  <c r="P1551" i="1" s="1"/>
  <c r="Q1550" i="1"/>
  <c r="Q1551" i="1" s="1"/>
  <c r="R1550" i="1"/>
  <c r="R1551" i="1" s="1"/>
  <c r="S1550" i="1"/>
  <c r="S1551" i="1" s="1"/>
  <c r="T1550" i="1"/>
  <c r="T1551" i="1" s="1"/>
  <c r="V1550" i="1"/>
  <c r="V1551" i="1" s="1"/>
  <c r="W1550" i="1"/>
  <c r="W1551" i="1" s="1"/>
  <c r="X1550" i="1"/>
  <c r="X1551" i="1" s="1"/>
  <c r="Y1550" i="1"/>
  <c r="Y1551" i="1" s="1"/>
  <c r="Z1550" i="1"/>
  <c r="Z1551" i="1" s="1"/>
  <c r="A1552" i="1"/>
  <c r="A1553" i="1" s="1"/>
  <c r="B1552" i="1"/>
  <c r="B1553" i="1" s="1"/>
  <c r="C1552" i="1"/>
  <c r="D1552" i="1"/>
  <c r="E1552" i="1"/>
  <c r="F1552" i="1"/>
  <c r="F1553" i="1" s="1"/>
  <c r="G1552" i="1"/>
  <c r="H1552" i="1"/>
  <c r="I1552" i="1"/>
  <c r="J1552" i="1"/>
  <c r="K1552" i="1"/>
  <c r="M1552" i="1"/>
  <c r="N1552" i="1"/>
  <c r="P1552" i="1"/>
  <c r="P1553" i="1" s="1"/>
  <c r="Q1552" i="1"/>
  <c r="Q1553" i="1" s="1"/>
  <c r="R1552" i="1"/>
  <c r="R1553" i="1" s="1"/>
  <c r="S1552" i="1"/>
  <c r="S1553" i="1" s="1"/>
  <c r="T1552" i="1"/>
  <c r="V1552" i="1"/>
  <c r="V1553" i="1" s="1"/>
  <c r="W1552" i="1"/>
  <c r="W1553" i="1" s="1"/>
  <c r="X1552" i="1"/>
  <c r="X1553" i="1" s="1"/>
  <c r="Y1552" i="1"/>
  <c r="Y1553" i="1" s="1"/>
  <c r="Z1552" i="1"/>
  <c r="Z1553" i="1" s="1"/>
  <c r="D1553" i="1"/>
  <c r="E1553" i="1"/>
  <c r="T1553" i="1"/>
  <c r="A1554" i="1"/>
  <c r="A1555" i="1" s="1"/>
  <c r="B1554" i="1"/>
  <c r="B1555" i="1" s="1"/>
  <c r="C1554" i="1"/>
  <c r="D1554" i="1"/>
  <c r="E1554" i="1"/>
  <c r="E1555" i="1" s="1"/>
  <c r="F1554" i="1"/>
  <c r="G1554" i="1"/>
  <c r="H1554" i="1"/>
  <c r="I1554" i="1"/>
  <c r="J1554" i="1"/>
  <c r="K1554" i="1"/>
  <c r="M1554" i="1"/>
  <c r="N1554" i="1"/>
  <c r="P1554" i="1"/>
  <c r="P1555" i="1" s="1"/>
  <c r="Q1554" i="1"/>
  <c r="Q1555" i="1" s="1"/>
  <c r="R1554" i="1"/>
  <c r="R1555" i="1" s="1"/>
  <c r="S1554" i="1"/>
  <c r="S1555" i="1" s="1"/>
  <c r="T1554" i="1"/>
  <c r="T1555" i="1" s="1"/>
  <c r="V1554" i="1"/>
  <c r="V1555" i="1" s="1"/>
  <c r="W1554" i="1"/>
  <c r="W1555" i="1" s="1"/>
  <c r="X1554" i="1"/>
  <c r="X1555" i="1" s="1"/>
  <c r="Y1554" i="1"/>
  <c r="Y1555" i="1" s="1"/>
  <c r="Z1554" i="1"/>
  <c r="Z1555" i="1" s="1"/>
  <c r="F1555" i="1"/>
  <c r="A1556" i="1"/>
  <c r="A1557" i="1" s="1"/>
  <c r="B1556" i="1"/>
  <c r="B1557" i="1" s="1"/>
  <c r="C1556" i="1"/>
  <c r="C1557" i="1" s="1"/>
  <c r="D1556" i="1"/>
  <c r="E1556" i="1"/>
  <c r="E1557" i="1" s="1"/>
  <c r="F1556" i="1"/>
  <c r="F1557" i="1" s="1"/>
  <c r="G1556" i="1"/>
  <c r="H1556" i="1"/>
  <c r="I1556" i="1"/>
  <c r="J1556" i="1"/>
  <c r="K1556" i="1"/>
  <c r="M1556" i="1"/>
  <c r="N1556" i="1"/>
  <c r="P1556" i="1"/>
  <c r="P1557" i="1" s="1"/>
  <c r="Q1556" i="1"/>
  <c r="Q1557" i="1" s="1"/>
  <c r="R1556" i="1"/>
  <c r="R1557" i="1" s="1"/>
  <c r="S1556" i="1"/>
  <c r="S1557" i="1" s="1"/>
  <c r="T1556" i="1"/>
  <c r="T1557" i="1" s="1"/>
  <c r="V1556" i="1"/>
  <c r="V1557" i="1" s="1"/>
  <c r="W1556" i="1"/>
  <c r="W1557" i="1" s="1"/>
  <c r="X1556" i="1"/>
  <c r="X1557" i="1" s="1"/>
  <c r="Y1556" i="1"/>
  <c r="Y1557" i="1" s="1"/>
  <c r="Z1556" i="1"/>
  <c r="Z1557" i="1" s="1"/>
  <c r="A1558" i="1"/>
  <c r="A1559" i="1" s="1"/>
  <c r="B1558" i="1"/>
  <c r="C1558" i="1"/>
  <c r="C1559" i="1" s="1"/>
  <c r="D1558" i="1"/>
  <c r="E1558" i="1"/>
  <c r="E1559" i="1" s="1"/>
  <c r="F1558" i="1"/>
  <c r="F1559" i="1" s="1"/>
  <c r="G1558" i="1"/>
  <c r="H1558" i="1"/>
  <c r="I1558" i="1"/>
  <c r="J1558" i="1"/>
  <c r="K1558" i="1"/>
  <c r="M1558" i="1"/>
  <c r="N1558" i="1"/>
  <c r="P1558" i="1"/>
  <c r="P1559" i="1" s="1"/>
  <c r="Q1558" i="1"/>
  <c r="Q1559" i="1" s="1"/>
  <c r="R1558" i="1"/>
  <c r="R1559" i="1" s="1"/>
  <c r="S1558" i="1"/>
  <c r="S1559" i="1" s="1"/>
  <c r="T1558" i="1"/>
  <c r="T1559" i="1" s="1"/>
  <c r="V1558" i="1"/>
  <c r="V1559" i="1" s="1"/>
  <c r="W1558" i="1"/>
  <c r="W1559" i="1" s="1"/>
  <c r="X1558" i="1"/>
  <c r="X1559" i="1" s="1"/>
  <c r="Y1558" i="1"/>
  <c r="Z1558" i="1"/>
  <c r="Z1559" i="1" s="1"/>
  <c r="B1559" i="1"/>
  <c r="A1560" i="1"/>
  <c r="A1561" i="1" s="1"/>
  <c r="B1560" i="1"/>
  <c r="C1560" i="1"/>
  <c r="D1560" i="1"/>
  <c r="E1560" i="1"/>
  <c r="F1560" i="1"/>
  <c r="G1560" i="1"/>
  <c r="H1560" i="1"/>
  <c r="I1560" i="1"/>
  <c r="J1560" i="1"/>
  <c r="K1560" i="1"/>
  <c r="M1560" i="1"/>
  <c r="N1560" i="1"/>
  <c r="P1560" i="1"/>
  <c r="P1561" i="1" s="1"/>
  <c r="Q1560" i="1"/>
  <c r="Q1561" i="1" s="1"/>
  <c r="R1560" i="1"/>
  <c r="R1561" i="1" s="1"/>
  <c r="S1560" i="1"/>
  <c r="T1560" i="1"/>
  <c r="V1560" i="1"/>
  <c r="V1561" i="1" s="1"/>
  <c r="W1560" i="1"/>
  <c r="W1561" i="1" s="1"/>
  <c r="X1560" i="1"/>
  <c r="Y1560" i="1"/>
  <c r="Z1560" i="1"/>
  <c r="Z1561" i="1" s="1"/>
  <c r="B1561" i="1"/>
  <c r="E1561" i="1"/>
  <c r="F1561" i="1"/>
  <c r="S1561" i="1"/>
  <c r="T1561" i="1"/>
  <c r="X1561" i="1"/>
  <c r="A1562" i="1"/>
  <c r="A1563" i="1" s="1"/>
  <c r="B1562" i="1"/>
  <c r="B1563" i="1" s="1"/>
  <c r="C1562" i="1"/>
  <c r="C1563" i="1" s="1"/>
  <c r="D1562" i="1"/>
  <c r="D1563" i="1" s="1"/>
  <c r="E1562" i="1"/>
  <c r="E1563" i="1" s="1"/>
  <c r="F1562" i="1"/>
  <c r="G1562" i="1"/>
  <c r="H1562" i="1"/>
  <c r="I1562" i="1"/>
  <c r="J1562" i="1"/>
  <c r="K1562" i="1"/>
  <c r="M1562" i="1"/>
  <c r="N1562" i="1"/>
  <c r="P1562" i="1"/>
  <c r="P1563" i="1" s="1"/>
  <c r="Q1562" i="1"/>
  <c r="Q1563" i="1" s="1"/>
  <c r="R1562" i="1"/>
  <c r="R1563" i="1" s="1"/>
  <c r="S1562" i="1"/>
  <c r="S1563" i="1" s="1"/>
  <c r="T1562" i="1"/>
  <c r="T1563" i="1" s="1"/>
  <c r="V1562" i="1"/>
  <c r="V1563" i="1" s="1"/>
  <c r="W1562" i="1"/>
  <c r="W1563" i="1" s="1"/>
  <c r="X1562" i="1"/>
  <c r="X1563" i="1" s="1"/>
  <c r="Y1562" i="1"/>
  <c r="Y1563" i="1" s="1"/>
  <c r="Z1562" i="1"/>
  <c r="Z1563" i="1" s="1"/>
  <c r="A1564" i="1"/>
  <c r="A1565" i="1" s="1"/>
  <c r="B1564" i="1"/>
  <c r="B1565" i="1" s="1"/>
  <c r="C1564" i="1"/>
  <c r="C1565" i="1" s="1"/>
  <c r="D1564" i="1"/>
  <c r="E1564" i="1"/>
  <c r="F1564" i="1"/>
  <c r="F1565" i="1" s="1"/>
  <c r="G1564" i="1"/>
  <c r="H1564" i="1"/>
  <c r="I1564" i="1"/>
  <c r="J1564" i="1"/>
  <c r="K1564" i="1"/>
  <c r="M1564" i="1"/>
  <c r="N1564" i="1"/>
  <c r="P1564" i="1"/>
  <c r="P1565" i="1" s="1"/>
  <c r="Q1564" i="1"/>
  <c r="Q1565" i="1" s="1"/>
  <c r="R1564" i="1"/>
  <c r="R1565" i="1" s="1"/>
  <c r="S1564" i="1"/>
  <c r="S1565" i="1" s="1"/>
  <c r="T1564" i="1"/>
  <c r="T1565" i="1" s="1"/>
  <c r="V1564" i="1"/>
  <c r="V1565" i="1" s="1"/>
  <c r="W1564" i="1"/>
  <c r="W1565" i="1" s="1"/>
  <c r="X1564" i="1"/>
  <c r="X1565" i="1" s="1"/>
  <c r="Y1564" i="1"/>
  <c r="Y1565" i="1" s="1"/>
  <c r="Z1564" i="1"/>
  <c r="Z1565" i="1" s="1"/>
  <c r="D1565" i="1"/>
  <c r="A1566" i="1"/>
  <c r="A1567" i="1" s="1"/>
  <c r="B1566" i="1"/>
  <c r="B1567" i="1" s="1"/>
  <c r="C1566" i="1"/>
  <c r="C1567" i="1" s="1"/>
  <c r="D1566" i="1"/>
  <c r="E1566" i="1"/>
  <c r="F1566" i="1"/>
  <c r="F1567" i="1" s="1"/>
  <c r="G1566" i="1"/>
  <c r="H1566" i="1"/>
  <c r="I1566" i="1"/>
  <c r="J1566" i="1"/>
  <c r="K1566" i="1"/>
  <c r="M1566" i="1"/>
  <c r="N1566" i="1"/>
  <c r="P1566" i="1"/>
  <c r="P1567" i="1" s="1"/>
  <c r="Q1566" i="1"/>
  <c r="Q1567" i="1" s="1"/>
  <c r="R1566" i="1"/>
  <c r="R1567" i="1" s="1"/>
  <c r="S1566" i="1"/>
  <c r="S1567" i="1" s="1"/>
  <c r="T1566" i="1"/>
  <c r="T1567" i="1" s="1"/>
  <c r="V1566" i="1"/>
  <c r="V1567" i="1" s="1"/>
  <c r="W1566" i="1"/>
  <c r="W1567" i="1" s="1"/>
  <c r="X1566" i="1"/>
  <c r="X1567" i="1" s="1"/>
  <c r="Y1566" i="1"/>
  <c r="Y1567" i="1" s="1"/>
  <c r="Z1566" i="1"/>
  <c r="Z1567" i="1" s="1"/>
  <c r="D1567" i="1"/>
  <c r="A1568" i="1"/>
  <c r="A1569" i="1" s="1"/>
  <c r="B1568" i="1"/>
  <c r="B1569" i="1" s="1"/>
  <c r="C1568" i="1"/>
  <c r="C1569" i="1" s="1"/>
  <c r="D1568" i="1"/>
  <c r="D1569" i="1" s="1"/>
  <c r="E1568" i="1"/>
  <c r="E1569" i="1" s="1"/>
  <c r="F1568" i="1"/>
  <c r="F1569" i="1" s="1"/>
  <c r="G1568" i="1"/>
  <c r="H1568" i="1"/>
  <c r="I1568" i="1"/>
  <c r="J1568" i="1"/>
  <c r="K1568" i="1"/>
  <c r="M1568" i="1"/>
  <c r="N1568" i="1"/>
  <c r="P1568" i="1"/>
  <c r="P1569" i="1" s="1"/>
  <c r="Q1568" i="1"/>
  <c r="Q1569" i="1" s="1"/>
  <c r="R1568" i="1"/>
  <c r="R1569" i="1" s="1"/>
  <c r="S1568" i="1"/>
  <c r="S1569" i="1" s="1"/>
  <c r="T1568" i="1"/>
  <c r="T1569" i="1" s="1"/>
  <c r="V1568" i="1"/>
  <c r="V1569" i="1" s="1"/>
  <c r="W1568" i="1"/>
  <c r="W1569" i="1" s="1"/>
  <c r="X1568" i="1"/>
  <c r="X1569" i="1" s="1"/>
  <c r="Y1568" i="1"/>
  <c r="Y1569" i="1" s="1"/>
  <c r="Z1568" i="1"/>
  <c r="Z1569" i="1" s="1"/>
  <c r="A1570" i="1"/>
  <c r="A1571" i="1" s="1"/>
  <c r="B1570" i="1"/>
  <c r="B1571" i="1" s="1"/>
  <c r="C1570" i="1"/>
  <c r="C1571" i="1" s="1"/>
  <c r="D1570" i="1"/>
  <c r="D1571" i="1" s="1"/>
  <c r="E1570" i="1"/>
  <c r="E1571" i="1" s="1"/>
  <c r="F1570" i="1"/>
  <c r="F1571" i="1" s="1"/>
  <c r="G1570" i="1"/>
  <c r="H1570" i="1"/>
  <c r="I1570" i="1"/>
  <c r="J1570" i="1"/>
  <c r="K1570" i="1"/>
  <c r="M1570" i="1"/>
  <c r="N1570" i="1"/>
  <c r="P1570" i="1"/>
  <c r="P1571" i="1" s="1"/>
  <c r="Q1570" i="1"/>
  <c r="Q1571" i="1" s="1"/>
  <c r="R1570" i="1"/>
  <c r="R1571" i="1" s="1"/>
  <c r="S1570" i="1"/>
  <c r="S1571" i="1" s="1"/>
  <c r="T1570" i="1"/>
  <c r="T1571" i="1" s="1"/>
  <c r="V1570" i="1"/>
  <c r="V1571" i="1" s="1"/>
  <c r="W1570" i="1"/>
  <c r="W1571" i="1" s="1"/>
  <c r="X1570" i="1"/>
  <c r="Y1570" i="1"/>
  <c r="Y1571" i="1" s="1"/>
  <c r="Z1570" i="1"/>
  <c r="Z1571" i="1" s="1"/>
  <c r="X1571" i="1"/>
  <c r="A1572" i="1"/>
  <c r="A1573" i="1" s="1"/>
  <c r="B1572" i="1"/>
  <c r="B1573" i="1" s="1"/>
  <c r="C1572" i="1"/>
  <c r="D1572" i="1"/>
  <c r="E1572" i="1"/>
  <c r="E1573" i="1" s="1"/>
  <c r="F1572" i="1"/>
  <c r="G1572" i="1"/>
  <c r="H1572" i="1"/>
  <c r="I1572" i="1"/>
  <c r="J1572" i="1"/>
  <c r="K1572" i="1"/>
  <c r="M1572" i="1"/>
  <c r="N1572" i="1"/>
  <c r="P1572" i="1"/>
  <c r="P1573" i="1" s="1"/>
  <c r="Q1572" i="1"/>
  <c r="Q1573" i="1" s="1"/>
  <c r="R1572" i="1"/>
  <c r="R1573" i="1" s="1"/>
  <c r="S1572" i="1"/>
  <c r="S1573" i="1" s="1"/>
  <c r="T1572" i="1"/>
  <c r="T1573" i="1" s="1"/>
  <c r="V1572" i="1"/>
  <c r="V1573" i="1" s="1"/>
  <c r="W1572" i="1"/>
  <c r="W1573" i="1" s="1"/>
  <c r="X1572" i="1"/>
  <c r="X1573" i="1" s="1"/>
  <c r="Y1572" i="1"/>
  <c r="Y1573" i="1" s="1"/>
  <c r="Z1572" i="1"/>
  <c r="Z1573" i="1" s="1"/>
  <c r="F1573" i="1"/>
  <c r="A1574" i="1"/>
  <c r="A1575" i="1" s="1"/>
  <c r="B1574" i="1"/>
  <c r="B1575" i="1" s="1"/>
  <c r="C1574" i="1"/>
  <c r="C1575" i="1" s="1"/>
  <c r="D1574" i="1"/>
  <c r="E1574" i="1"/>
  <c r="E1575" i="1" s="1"/>
  <c r="F1574" i="1"/>
  <c r="G1574" i="1"/>
  <c r="H1574" i="1"/>
  <c r="I1574" i="1"/>
  <c r="J1574" i="1"/>
  <c r="K1574" i="1"/>
  <c r="M1574" i="1"/>
  <c r="N1574" i="1"/>
  <c r="P1574" i="1"/>
  <c r="P1575" i="1" s="1"/>
  <c r="Q1574" i="1"/>
  <c r="Q1575" i="1" s="1"/>
  <c r="R1574" i="1"/>
  <c r="R1575" i="1" s="1"/>
  <c r="S1574" i="1"/>
  <c r="S1575" i="1" s="1"/>
  <c r="T1574" i="1"/>
  <c r="T1575" i="1" s="1"/>
  <c r="V1574" i="1"/>
  <c r="V1575" i="1" s="1"/>
  <c r="W1574" i="1"/>
  <c r="W1575" i="1" s="1"/>
  <c r="X1574" i="1"/>
  <c r="X1575" i="1" s="1"/>
  <c r="Y1574" i="1"/>
  <c r="Y1575" i="1" s="1"/>
  <c r="Z1574" i="1"/>
  <c r="Z1575" i="1" s="1"/>
  <c r="D1575" i="1"/>
  <c r="A1576" i="1"/>
  <c r="A1577" i="1" s="1"/>
  <c r="B1576" i="1"/>
  <c r="B1577" i="1" s="1"/>
  <c r="C1576" i="1"/>
  <c r="C1577" i="1" s="1"/>
  <c r="D1576" i="1"/>
  <c r="D1577" i="1" s="1"/>
  <c r="E1576" i="1"/>
  <c r="F1576" i="1"/>
  <c r="F1577" i="1" s="1"/>
  <c r="G1576" i="1"/>
  <c r="H1576" i="1"/>
  <c r="I1576" i="1"/>
  <c r="J1576" i="1"/>
  <c r="K1576" i="1"/>
  <c r="M1576" i="1"/>
  <c r="N1576" i="1"/>
  <c r="P1576" i="1"/>
  <c r="P1577" i="1" s="1"/>
  <c r="Q1576" i="1"/>
  <c r="Q1577" i="1" s="1"/>
  <c r="R1576" i="1"/>
  <c r="R1577" i="1" s="1"/>
  <c r="S1576" i="1"/>
  <c r="S1577" i="1" s="1"/>
  <c r="T1576" i="1"/>
  <c r="T1577" i="1" s="1"/>
  <c r="V1576" i="1"/>
  <c r="V1577" i="1" s="1"/>
  <c r="W1576" i="1"/>
  <c r="W1577" i="1" s="1"/>
  <c r="X1576" i="1"/>
  <c r="X1577" i="1" s="1"/>
  <c r="Y1576" i="1"/>
  <c r="Y1577" i="1" s="1"/>
  <c r="Z1576" i="1"/>
  <c r="Z1577" i="1" s="1"/>
  <c r="A1578" i="1"/>
  <c r="A1579" i="1" s="1"/>
  <c r="B1578" i="1"/>
  <c r="C1578" i="1"/>
  <c r="C1579" i="1" s="1"/>
  <c r="D1578" i="1"/>
  <c r="E1578" i="1"/>
  <c r="E1579" i="1" s="1"/>
  <c r="F1578" i="1"/>
  <c r="F1579" i="1" s="1"/>
  <c r="G1578" i="1"/>
  <c r="H1578" i="1"/>
  <c r="I1578" i="1"/>
  <c r="J1578" i="1"/>
  <c r="K1578" i="1"/>
  <c r="M1578" i="1"/>
  <c r="N1578" i="1"/>
  <c r="P1578" i="1"/>
  <c r="P1579" i="1" s="1"/>
  <c r="Q1578" i="1"/>
  <c r="Q1579" i="1" s="1"/>
  <c r="R1578" i="1"/>
  <c r="R1579" i="1" s="1"/>
  <c r="S1578" i="1"/>
  <c r="S1579" i="1" s="1"/>
  <c r="T1578" i="1"/>
  <c r="T1579" i="1" s="1"/>
  <c r="V1578" i="1"/>
  <c r="V1579" i="1" s="1"/>
  <c r="W1578" i="1"/>
  <c r="W1579" i="1" s="1"/>
  <c r="X1578" i="1"/>
  <c r="X1579" i="1" s="1"/>
  <c r="Y1578" i="1"/>
  <c r="Z1578" i="1"/>
  <c r="Z1579" i="1" s="1"/>
  <c r="B1579" i="1"/>
  <c r="A1580" i="1"/>
  <c r="A1581" i="1" s="1"/>
  <c r="B1580" i="1"/>
  <c r="B1581" i="1" s="1"/>
  <c r="C1580" i="1"/>
  <c r="C1581" i="1" s="1"/>
  <c r="D1580" i="1"/>
  <c r="E1580" i="1"/>
  <c r="F1580" i="1"/>
  <c r="F1581" i="1" s="1"/>
  <c r="G1580" i="1"/>
  <c r="H1580" i="1"/>
  <c r="I1580" i="1"/>
  <c r="J1580" i="1"/>
  <c r="K1580" i="1"/>
  <c r="M1580" i="1"/>
  <c r="N1580" i="1"/>
  <c r="P1580" i="1"/>
  <c r="P1581" i="1" s="1"/>
  <c r="Q1580" i="1"/>
  <c r="Q1581" i="1" s="1"/>
  <c r="R1580" i="1"/>
  <c r="R1581" i="1" s="1"/>
  <c r="S1580" i="1"/>
  <c r="S1581" i="1" s="1"/>
  <c r="T1580" i="1"/>
  <c r="T1581" i="1" s="1"/>
  <c r="V1580" i="1"/>
  <c r="V1581" i="1" s="1"/>
  <c r="W1580" i="1"/>
  <c r="W1581" i="1" s="1"/>
  <c r="X1580" i="1"/>
  <c r="X1581" i="1" s="1"/>
  <c r="Y1580" i="1"/>
  <c r="Y1581" i="1" s="1"/>
  <c r="Z1580" i="1"/>
  <c r="Z1581" i="1" s="1"/>
  <c r="D1581" i="1"/>
  <c r="A1582" i="1"/>
  <c r="A1583" i="1" s="1"/>
  <c r="B1582" i="1"/>
  <c r="B1583" i="1" s="1"/>
  <c r="C1582" i="1"/>
  <c r="D1582" i="1"/>
  <c r="D1583" i="1" s="1"/>
  <c r="E1582" i="1"/>
  <c r="E1583" i="1" s="1"/>
  <c r="F1582" i="1"/>
  <c r="G1582" i="1"/>
  <c r="H1582" i="1"/>
  <c r="I1582" i="1"/>
  <c r="J1582" i="1"/>
  <c r="K1582" i="1"/>
  <c r="M1582" i="1"/>
  <c r="N1582" i="1"/>
  <c r="P1582" i="1"/>
  <c r="P1583" i="1" s="1"/>
  <c r="Q1582" i="1"/>
  <c r="Q1583" i="1" s="1"/>
  <c r="R1582" i="1"/>
  <c r="R1583" i="1" s="1"/>
  <c r="S1582" i="1"/>
  <c r="S1583" i="1" s="1"/>
  <c r="T1582" i="1"/>
  <c r="T1583" i="1" s="1"/>
  <c r="V1582" i="1"/>
  <c r="V1583" i="1" s="1"/>
  <c r="W1582" i="1"/>
  <c r="W1583" i="1" s="1"/>
  <c r="X1582" i="1"/>
  <c r="X1583" i="1" s="1"/>
  <c r="Y1582" i="1"/>
  <c r="Y1583" i="1" s="1"/>
  <c r="Z1582" i="1"/>
  <c r="Z1583" i="1" s="1"/>
  <c r="A1584" i="1"/>
  <c r="A1585" i="1" s="1"/>
  <c r="B1584" i="1"/>
  <c r="B1585" i="1" s="1"/>
  <c r="C1584" i="1"/>
  <c r="D1584" i="1"/>
  <c r="E1584" i="1"/>
  <c r="F1584" i="1"/>
  <c r="F1585" i="1" s="1"/>
  <c r="G1584" i="1"/>
  <c r="H1584" i="1"/>
  <c r="I1584" i="1"/>
  <c r="J1584" i="1"/>
  <c r="K1584" i="1"/>
  <c r="M1584" i="1"/>
  <c r="N1584" i="1"/>
  <c r="P1584" i="1"/>
  <c r="P1585" i="1" s="1"/>
  <c r="Q1584" i="1"/>
  <c r="Q1585" i="1" s="1"/>
  <c r="R1584" i="1"/>
  <c r="R1585" i="1" s="1"/>
  <c r="S1584" i="1"/>
  <c r="S1585" i="1" s="1"/>
  <c r="T1584" i="1"/>
  <c r="T1585" i="1" s="1"/>
  <c r="V1584" i="1"/>
  <c r="V1585" i="1" s="1"/>
  <c r="W1584" i="1"/>
  <c r="W1585" i="1" s="1"/>
  <c r="X1584" i="1"/>
  <c r="X1585" i="1" s="1"/>
  <c r="Y1584" i="1"/>
  <c r="Z1584" i="1"/>
  <c r="Z1585" i="1" s="1"/>
  <c r="A1586" i="1"/>
  <c r="A1587" i="1" s="1"/>
  <c r="B1586" i="1"/>
  <c r="B1587" i="1" s="1"/>
  <c r="C1586" i="1"/>
  <c r="C1587" i="1" s="1"/>
  <c r="D1586" i="1"/>
  <c r="D1587" i="1" s="1"/>
  <c r="E1586" i="1"/>
  <c r="E1587" i="1" s="1"/>
  <c r="F1586" i="1"/>
  <c r="F1587" i="1" s="1"/>
  <c r="G1586" i="1"/>
  <c r="H1586" i="1"/>
  <c r="I1586" i="1"/>
  <c r="J1586" i="1"/>
  <c r="K1586" i="1"/>
  <c r="M1586" i="1"/>
  <c r="N1586" i="1"/>
  <c r="P1586" i="1"/>
  <c r="P1587" i="1" s="1"/>
  <c r="Q1586" i="1"/>
  <c r="Q1587" i="1" s="1"/>
  <c r="R1586" i="1"/>
  <c r="R1587" i="1" s="1"/>
  <c r="S1586" i="1"/>
  <c r="S1587" i="1" s="1"/>
  <c r="T1586" i="1"/>
  <c r="T1587" i="1" s="1"/>
  <c r="V1586" i="1"/>
  <c r="V1587" i="1" s="1"/>
  <c r="W1586" i="1"/>
  <c r="W1587" i="1" s="1"/>
  <c r="X1586" i="1"/>
  <c r="X1587" i="1" s="1"/>
  <c r="Y1586" i="1"/>
  <c r="Y1587" i="1" s="1"/>
  <c r="Z1586" i="1"/>
  <c r="Z1587" i="1" s="1"/>
  <c r="A1588" i="1"/>
  <c r="A1589" i="1" s="1"/>
  <c r="B1588" i="1"/>
  <c r="B1589" i="1" s="1"/>
  <c r="C1588" i="1"/>
  <c r="C1589" i="1" s="1"/>
  <c r="D1588" i="1"/>
  <c r="E1588" i="1"/>
  <c r="E1589" i="1" s="1"/>
  <c r="F1588" i="1"/>
  <c r="F1589" i="1" s="1"/>
  <c r="G1588" i="1"/>
  <c r="H1588" i="1"/>
  <c r="I1588" i="1"/>
  <c r="J1588" i="1"/>
  <c r="K1588" i="1"/>
  <c r="M1588" i="1"/>
  <c r="N1588" i="1"/>
  <c r="P1588" i="1"/>
  <c r="P1589" i="1" s="1"/>
  <c r="Q1588" i="1"/>
  <c r="Q1589" i="1" s="1"/>
  <c r="R1588" i="1"/>
  <c r="R1589" i="1" s="1"/>
  <c r="S1588" i="1"/>
  <c r="S1589" i="1" s="1"/>
  <c r="T1588" i="1"/>
  <c r="T1589" i="1" s="1"/>
  <c r="V1588" i="1"/>
  <c r="V1589" i="1" s="1"/>
  <c r="W1588" i="1"/>
  <c r="W1589" i="1" s="1"/>
  <c r="X1588" i="1"/>
  <c r="X1589" i="1" s="1"/>
  <c r="Y1588" i="1"/>
  <c r="Y1589" i="1" s="1"/>
  <c r="Z1588" i="1"/>
  <c r="Z1589" i="1" s="1"/>
  <c r="D1589" i="1"/>
  <c r="A1590" i="1"/>
  <c r="A1591" i="1" s="1"/>
  <c r="B1590" i="1"/>
  <c r="B1591" i="1" s="1"/>
  <c r="C1590" i="1"/>
  <c r="C1591" i="1" s="1"/>
  <c r="D1590" i="1"/>
  <c r="D1591" i="1" s="1"/>
  <c r="E1590" i="1"/>
  <c r="E1591" i="1" s="1"/>
  <c r="F1590" i="1"/>
  <c r="F1591" i="1" s="1"/>
  <c r="G1590" i="1"/>
  <c r="H1590" i="1"/>
  <c r="I1590" i="1"/>
  <c r="J1590" i="1"/>
  <c r="K1590" i="1"/>
  <c r="M1590" i="1"/>
  <c r="N1590" i="1"/>
  <c r="P1590" i="1"/>
  <c r="P1591" i="1" s="1"/>
  <c r="Q1590" i="1"/>
  <c r="Q1591" i="1" s="1"/>
  <c r="R1590" i="1"/>
  <c r="R1591" i="1" s="1"/>
  <c r="S1590" i="1"/>
  <c r="S1591" i="1" s="1"/>
  <c r="T1590" i="1"/>
  <c r="T1591" i="1" s="1"/>
  <c r="V1590" i="1"/>
  <c r="V1591" i="1" s="1"/>
  <c r="W1590" i="1"/>
  <c r="W1591" i="1" s="1"/>
  <c r="X1590" i="1"/>
  <c r="X1591" i="1" s="1"/>
  <c r="Y1590" i="1"/>
  <c r="Y1591" i="1" s="1"/>
  <c r="Z1590" i="1"/>
  <c r="Z1591" i="1" s="1"/>
  <c r="A1592" i="1"/>
  <c r="A1593" i="1" s="1"/>
  <c r="B1592" i="1"/>
  <c r="B1593" i="1" s="1"/>
  <c r="C1592" i="1"/>
  <c r="C1593" i="1" s="1"/>
  <c r="D1592" i="1"/>
  <c r="D1593" i="1" s="1"/>
  <c r="E1592" i="1"/>
  <c r="E1593" i="1" s="1"/>
  <c r="F1592" i="1"/>
  <c r="F1593" i="1" s="1"/>
  <c r="G1592" i="1"/>
  <c r="H1592" i="1"/>
  <c r="I1592" i="1"/>
  <c r="J1592" i="1"/>
  <c r="K1592" i="1"/>
  <c r="M1592" i="1"/>
  <c r="N1592" i="1"/>
  <c r="P1592" i="1"/>
  <c r="P1593" i="1" s="1"/>
  <c r="Q1592" i="1"/>
  <c r="Q1593" i="1" s="1"/>
  <c r="R1592" i="1"/>
  <c r="R1593" i="1" s="1"/>
  <c r="S1592" i="1"/>
  <c r="S1593" i="1" s="1"/>
  <c r="T1592" i="1"/>
  <c r="T1593" i="1" s="1"/>
  <c r="V1592" i="1"/>
  <c r="V1593" i="1" s="1"/>
  <c r="W1592" i="1"/>
  <c r="W1593" i="1" s="1"/>
  <c r="X1592" i="1"/>
  <c r="X1593" i="1" s="1"/>
  <c r="Y1592" i="1"/>
  <c r="Y1593" i="1" s="1"/>
  <c r="Z1592" i="1"/>
  <c r="Z1593" i="1" s="1"/>
  <c r="A1594" i="1"/>
  <c r="A1595" i="1" s="1"/>
  <c r="B1594" i="1"/>
  <c r="B1595" i="1" s="1"/>
  <c r="C1594" i="1"/>
  <c r="C1595" i="1" s="1"/>
  <c r="D1594" i="1"/>
  <c r="D1595" i="1" s="1"/>
  <c r="E1594" i="1"/>
  <c r="E1595" i="1" s="1"/>
  <c r="F1594" i="1"/>
  <c r="G1594" i="1"/>
  <c r="H1594" i="1"/>
  <c r="I1594" i="1"/>
  <c r="J1594" i="1"/>
  <c r="K1594" i="1"/>
  <c r="M1594" i="1"/>
  <c r="N1594" i="1"/>
  <c r="P1594" i="1"/>
  <c r="P1595" i="1" s="1"/>
  <c r="Q1594" i="1"/>
  <c r="Q1595" i="1" s="1"/>
  <c r="R1594" i="1"/>
  <c r="R1595" i="1" s="1"/>
  <c r="S1594" i="1"/>
  <c r="S1595" i="1" s="1"/>
  <c r="T1594" i="1"/>
  <c r="T1595" i="1" s="1"/>
  <c r="V1594" i="1"/>
  <c r="V1595" i="1" s="1"/>
  <c r="W1594" i="1"/>
  <c r="W1595" i="1" s="1"/>
  <c r="X1594" i="1"/>
  <c r="X1595" i="1" s="1"/>
  <c r="Y1594" i="1"/>
  <c r="Y1595" i="1" s="1"/>
  <c r="Z1594" i="1"/>
  <c r="Z1595" i="1" s="1"/>
  <c r="A1596" i="1"/>
  <c r="A1597" i="1" s="1"/>
  <c r="B1596" i="1"/>
  <c r="B1597" i="1" s="1"/>
  <c r="C1596" i="1"/>
  <c r="C1597" i="1" s="1"/>
  <c r="D1596" i="1"/>
  <c r="E1596" i="1"/>
  <c r="F1596" i="1"/>
  <c r="F1597" i="1" s="1"/>
  <c r="G1596" i="1"/>
  <c r="H1596" i="1"/>
  <c r="I1596" i="1"/>
  <c r="J1596" i="1"/>
  <c r="K1596" i="1"/>
  <c r="M1596" i="1"/>
  <c r="N1596" i="1"/>
  <c r="P1596" i="1"/>
  <c r="P1597" i="1" s="1"/>
  <c r="Q1596" i="1"/>
  <c r="Q1597" i="1" s="1"/>
  <c r="R1596" i="1"/>
  <c r="R1597" i="1" s="1"/>
  <c r="S1596" i="1"/>
  <c r="S1597" i="1" s="1"/>
  <c r="T1596" i="1"/>
  <c r="T1597" i="1" s="1"/>
  <c r="V1596" i="1"/>
  <c r="V1597" i="1" s="1"/>
  <c r="W1596" i="1"/>
  <c r="W1597" i="1" s="1"/>
  <c r="X1596" i="1"/>
  <c r="X1597" i="1" s="1"/>
  <c r="Y1596" i="1"/>
  <c r="Y1597" i="1" s="1"/>
  <c r="Z1596" i="1"/>
  <c r="Z1597" i="1" s="1"/>
  <c r="D1597" i="1"/>
  <c r="A1598" i="1"/>
  <c r="A1599" i="1" s="1"/>
  <c r="B1598" i="1"/>
  <c r="B1599" i="1" s="1"/>
  <c r="C1598" i="1"/>
  <c r="C1599" i="1" s="1"/>
  <c r="D1598" i="1"/>
  <c r="E1598" i="1"/>
  <c r="E1599" i="1" s="1"/>
  <c r="F1598" i="1"/>
  <c r="F1599" i="1" s="1"/>
  <c r="G1598" i="1"/>
  <c r="H1598" i="1"/>
  <c r="I1598" i="1"/>
  <c r="J1598" i="1"/>
  <c r="K1598" i="1"/>
  <c r="M1598" i="1"/>
  <c r="N1598" i="1"/>
  <c r="P1598" i="1"/>
  <c r="P1599" i="1" s="1"/>
  <c r="Q1598" i="1"/>
  <c r="Q1599" i="1" s="1"/>
  <c r="R1598" i="1"/>
  <c r="R1599" i="1" s="1"/>
  <c r="S1598" i="1"/>
  <c r="S1599" i="1" s="1"/>
  <c r="T1598" i="1"/>
  <c r="T1599" i="1" s="1"/>
  <c r="V1598" i="1"/>
  <c r="W1598" i="1"/>
  <c r="W1599" i="1" s="1"/>
  <c r="X1598" i="1"/>
  <c r="X1599" i="1" s="1"/>
  <c r="Y1598" i="1"/>
  <c r="Y1599" i="1" s="1"/>
  <c r="Z1598" i="1"/>
  <c r="Z1599" i="1" s="1"/>
  <c r="D1599" i="1"/>
  <c r="V1599" i="1"/>
  <c r="A1600" i="1"/>
  <c r="A1601" i="1" s="1"/>
  <c r="B1600" i="1"/>
  <c r="B1601" i="1" s="1"/>
  <c r="C1600" i="1"/>
  <c r="C1601" i="1" s="1"/>
  <c r="D1600" i="1"/>
  <c r="D1601" i="1" s="1"/>
  <c r="E1600" i="1"/>
  <c r="F1600" i="1"/>
  <c r="F1601" i="1" s="1"/>
  <c r="G1600" i="1"/>
  <c r="H1600" i="1"/>
  <c r="I1600" i="1"/>
  <c r="J1600" i="1"/>
  <c r="K1600" i="1"/>
  <c r="M1600" i="1"/>
  <c r="N1600" i="1"/>
  <c r="P1600" i="1"/>
  <c r="P1601" i="1" s="1"/>
  <c r="Q1600" i="1"/>
  <c r="Q1601" i="1" s="1"/>
  <c r="R1600" i="1"/>
  <c r="R1601" i="1" s="1"/>
  <c r="S1600" i="1"/>
  <c r="S1601" i="1" s="1"/>
  <c r="T1600" i="1"/>
  <c r="T1601" i="1" s="1"/>
  <c r="V1600" i="1"/>
  <c r="V1601" i="1" s="1"/>
  <c r="W1600" i="1"/>
  <c r="W1601" i="1" s="1"/>
  <c r="X1600" i="1"/>
  <c r="X1601" i="1" s="1"/>
  <c r="Y1600" i="1"/>
  <c r="Y1601" i="1" s="1"/>
  <c r="Z1600" i="1"/>
  <c r="Z1601" i="1" s="1"/>
  <c r="E1601" i="1"/>
  <c r="A1602" i="1"/>
  <c r="A1603" i="1" s="1"/>
  <c r="B1602" i="1"/>
  <c r="B1603" i="1" s="1"/>
  <c r="C1602" i="1"/>
  <c r="C1603" i="1" s="1"/>
  <c r="D1602" i="1"/>
  <c r="E1602" i="1"/>
  <c r="E1603" i="1" s="1"/>
  <c r="F1602" i="1"/>
  <c r="F1603" i="1" s="1"/>
  <c r="G1602" i="1"/>
  <c r="H1602" i="1"/>
  <c r="I1602" i="1"/>
  <c r="J1602" i="1"/>
  <c r="K1602" i="1"/>
  <c r="M1602" i="1"/>
  <c r="N1602" i="1"/>
  <c r="P1602" i="1"/>
  <c r="P1603" i="1" s="1"/>
  <c r="Q1602" i="1"/>
  <c r="Q1603" i="1" s="1"/>
  <c r="R1602" i="1"/>
  <c r="R1603" i="1" s="1"/>
  <c r="S1602" i="1"/>
  <c r="S1603" i="1" s="1"/>
  <c r="T1602" i="1"/>
  <c r="T1603" i="1" s="1"/>
  <c r="V1602" i="1"/>
  <c r="V1603" i="1" s="1"/>
  <c r="W1602" i="1"/>
  <c r="W1603" i="1" s="1"/>
  <c r="X1602" i="1"/>
  <c r="X1603" i="1" s="1"/>
  <c r="Y1602" i="1"/>
  <c r="Y1603" i="1" s="1"/>
  <c r="Z1602" i="1"/>
  <c r="Z1603" i="1" s="1"/>
  <c r="D1603" i="1"/>
  <c r="A1604" i="1"/>
  <c r="A1605" i="1" s="1"/>
  <c r="B1604" i="1"/>
  <c r="B1605" i="1" s="1"/>
  <c r="C1604" i="1"/>
  <c r="C1605" i="1" s="1"/>
  <c r="D1604" i="1"/>
  <c r="E1604" i="1"/>
  <c r="E1605" i="1" s="1"/>
  <c r="F1604" i="1"/>
  <c r="F1605" i="1" s="1"/>
  <c r="G1604" i="1"/>
  <c r="H1604" i="1"/>
  <c r="I1604" i="1"/>
  <c r="J1604" i="1"/>
  <c r="K1604" i="1"/>
  <c r="M1604" i="1"/>
  <c r="N1604" i="1"/>
  <c r="P1604" i="1"/>
  <c r="P1605" i="1" s="1"/>
  <c r="Q1604" i="1"/>
  <c r="Q1605" i="1" s="1"/>
  <c r="R1604" i="1"/>
  <c r="R1605" i="1" s="1"/>
  <c r="S1604" i="1"/>
  <c r="S1605" i="1" s="1"/>
  <c r="T1604" i="1"/>
  <c r="T1605" i="1" s="1"/>
  <c r="V1604" i="1"/>
  <c r="V1605" i="1" s="1"/>
  <c r="W1604" i="1"/>
  <c r="W1605" i="1" s="1"/>
  <c r="X1604" i="1"/>
  <c r="X1605" i="1" s="1"/>
  <c r="Y1604" i="1"/>
  <c r="Y1605" i="1" s="1"/>
  <c r="Z1604" i="1"/>
  <c r="Z1605" i="1" s="1"/>
  <c r="A1606" i="1"/>
  <c r="A1607" i="1" s="1"/>
  <c r="B1606" i="1"/>
  <c r="B1607" i="1" s="1"/>
  <c r="C1606" i="1"/>
  <c r="C1607" i="1" s="1"/>
  <c r="D1606" i="1"/>
  <c r="D1607" i="1" s="1"/>
  <c r="E1606" i="1"/>
  <c r="E1607" i="1" s="1"/>
  <c r="F1606" i="1"/>
  <c r="F1607" i="1" s="1"/>
  <c r="G1606" i="1"/>
  <c r="H1606" i="1"/>
  <c r="I1606" i="1"/>
  <c r="J1606" i="1"/>
  <c r="K1606" i="1"/>
  <c r="M1606" i="1"/>
  <c r="N1606" i="1"/>
  <c r="P1606" i="1"/>
  <c r="P1607" i="1" s="1"/>
  <c r="Q1606" i="1"/>
  <c r="Q1607" i="1" s="1"/>
  <c r="R1606" i="1"/>
  <c r="R1607" i="1" s="1"/>
  <c r="S1606" i="1"/>
  <c r="S1607" i="1" s="1"/>
  <c r="T1606" i="1"/>
  <c r="T1607" i="1" s="1"/>
  <c r="V1606" i="1"/>
  <c r="V1607" i="1" s="1"/>
  <c r="W1606" i="1"/>
  <c r="X1606" i="1"/>
  <c r="X1607" i="1" s="1"/>
  <c r="Y1606" i="1"/>
  <c r="Y1607" i="1" s="1"/>
  <c r="Z1606" i="1"/>
  <c r="Z1607" i="1" s="1"/>
  <c r="W1607" i="1"/>
  <c r="A1608" i="1"/>
  <c r="A1609" i="1" s="1"/>
  <c r="B1608" i="1"/>
  <c r="B1609" i="1" s="1"/>
  <c r="C1608" i="1"/>
  <c r="C1609" i="1" s="1"/>
  <c r="D1608" i="1"/>
  <c r="D1609" i="1" s="1"/>
  <c r="E1608" i="1"/>
  <c r="E1609" i="1" s="1"/>
  <c r="F1608" i="1"/>
  <c r="F1609" i="1" s="1"/>
  <c r="G1608" i="1"/>
  <c r="H1608" i="1"/>
  <c r="I1608" i="1"/>
  <c r="J1608" i="1"/>
  <c r="K1608" i="1"/>
  <c r="M1608" i="1"/>
  <c r="N1608" i="1"/>
  <c r="P1608" i="1"/>
  <c r="P1609" i="1" s="1"/>
  <c r="Q1608" i="1"/>
  <c r="Q1609" i="1" s="1"/>
  <c r="R1608" i="1"/>
  <c r="R1609" i="1" s="1"/>
  <c r="S1608" i="1"/>
  <c r="S1609" i="1" s="1"/>
  <c r="T1608" i="1"/>
  <c r="T1609" i="1" s="1"/>
  <c r="V1608" i="1"/>
  <c r="V1609" i="1" s="1"/>
  <c r="W1608" i="1"/>
  <c r="W1609" i="1" s="1"/>
  <c r="X1608" i="1"/>
  <c r="X1609" i="1" s="1"/>
  <c r="Y1608" i="1"/>
  <c r="Z1608" i="1"/>
  <c r="Z1609" i="1" s="1"/>
  <c r="A1610" i="1"/>
  <c r="A1611" i="1" s="1"/>
  <c r="B1610" i="1"/>
  <c r="B1611" i="1" s="1"/>
  <c r="C1610" i="1"/>
  <c r="C1611" i="1" s="1"/>
  <c r="D1610" i="1"/>
  <c r="D1611" i="1" s="1"/>
  <c r="E1610" i="1"/>
  <c r="E1611" i="1" s="1"/>
  <c r="F1610" i="1"/>
  <c r="F1611" i="1" s="1"/>
  <c r="G1610" i="1"/>
  <c r="H1610" i="1"/>
  <c r="I1610" i="1"/>
  <c r="J1610" i="1"/>
  <c r="K1610" i="1"/>
  <c r="M1610" i="1"/>
  <c r="N1610" i="1"/>
  <c r="P1610" i="1"/>
  <c r="P1611" i="1" s="1"/>
  <c r="Q1610" i="1"/>
  <c r="Q1611" i="1" s="1"/>
  <c r="R1610" i="1"/>
  <c r="R1611" i="1" s="1"/>
  <c r="S1610" i="1"/>
  <c r="S1611" i="1" s="1"/>
  <c r="T1610" i="1"/>
  <c r="T1611" i="1" s="1"/>
  <c r="V1610" i="1"/>
  <c r="V1611" i="1" s="1"/>
  <c r="W1610" i="1"/>
  <c r="W1611" i="1" s="1"/>
  <c r="X1610" i="1"/>
  <c r="X1611" i="1" s="1"/>
  <c r="Y1610" i="1"/>
  <c r="Y1611" i="1" s="1"/>
  <c r="Z1610" i="1"/>
  <c r="Z1611" i="1" s="1"/>
  <c r="A1612" i="1"/>
  <c r="A1613" i="1" s="1"/>
  <c r="B1612" i="1"/>
  <c r="B1613" i="1" s="1"/>
  <c r="C1612" i="1"/>
  <c r="C1613" i="1" s="1"/>
  <c r="D1612" i="1"/>
  <c r="D1613" i="1" s="1"/>
  <c r="E1612" i="1"/>
  <c r="F1612" i="1"/>
  <c r="F1613" i="1" s="1"/>
  <c r="G1612" i="1"/>
  <c r="H1612" i="1"/>
  <c r="I1612" i="1"/>
  <c r="J1612" i="1"/>
  <c r="K1612" i="1"/>
  <c r="M1612" i="1"/>
  <c r="N1612" i="1"/>
  <c r="P1612" i="1"/>
  <c r="P1613" i="1" s="1"/>
  <c r="Q1612" i="1"/>
  <c r="Q1613" i="1" s="1"/>
  <c r="R1612" i="1"/>
  <c r="R1613" i="1" s="1"/>
  <c r="S1612" i="1"/>
  <c r="S1613" i="1" s="1"/>
  <c r="T1612" i="1"/>
  <c r="T1613" i="1" s="1"/>
  <c r="V1612" i="1"/>
  <c r="V1613" i="1" s="1"/>
  <c r="W1612" i="1"/>
  <c r="W1613" i="1" s="1"/>
  <c r="X1612" i="1"/>
  <c r="X1613" i="1" s="1"/>
  <c r="Y1612" i="1"/>
  <c r="Z1612" i="1"/>
  <c r="Z1613" i="1" s="1"/>
  <c r="A1614" i="1"/>
  <c r="A1615" i="1" s="1"/>
  <c r="B1614" i="1"/>
  <c r="B1615" i="1" s="1"/>
  <c r="C1614" i="1"/>
  <c r="C1615" i="1" s="1"/>
  <c r="D1614" i="1"/>
  <c r="D1615" i="1" s="1"/>
  <c r="E1614" i="1"/>
  <c r="E1615" i="1" s="1"/>
  <c r="F1614" i="1"/>
  <c r="F1615" i="1" s="1"/>
  <c r="G1614" i="1"/>
  <c r="H1614" i="1"/>
  <c r="I1614" i="1"/>
  <c r="J1614" i="1"/>
  <c r="K1614" i="1"/>
  <c r="M1614" i="1"/>
  <c r="N1614" i="1"/>
  <c r="P1614" i="1"/>
  <c r="P1615" i="1" s="1"/>
  <c r="Q1614" i="1"/>
  <c r="Q1615" i="1" s="1"/>
  <c r="R1614" i="1"/>
  <c r="R1615" i="1" s="1"/>
  <c r="S1614" i="1"/>
  <c r="S1615" i="1" s="1"/>
  <c r="T1614" i="1"/>
  <c r="T1615" i="1" s="1"/>
  <c r="V1614" i="1"/>
  <c r="V1615" i="1" s="1"/>
  <c r="W1614" i="1"/>
  <c r="W1615" i="1" s="1"/>
  <c r="X1614" i="1"/>
  <c r="X1615" i="1" s="1"/>
  <c r="Y1614" i="1"/>
  <c r="Y1615" i="1" s="1"/>
  <c r="Z1614" i="1"/>
  <c r="Z1615" i="1" s="1"/>
  <c r="A1616" i="1"/>
  <c r="A1617" i="1" s="1"/>
  <c r="B1616" i="1"/>
  <c r="B1617" i="1" s="1"/>
  <c r="C1616" i="1"/>
  <c r="C1617" i="1" s="1"/>
  <c r="D1616" i="1"/>
  <c r="D1617" i="1" s="1"/>
  <c r="E1616" i="1"/>
  <c r="E1617" i="1" s="1"/>
  <c r="F1616" i="1"/>
  <c r="F1617" i="1" s="1"/>
  <c r="G1616" i="1"/>
  <c r="H1616" i="1"/>
  <c r="I1616" i="1"/>
  <c r="J1616" i="1"/>
  <c r="K1616" i="1"/>
  <c r="M1616" i="1"/>
  <c r="N1616" i="1"/>
  <c r="P1616" i="1"/>
  <c r="P1617" i="1" s="1"/>
  <c r="Q1616" i="1"/>
  <c r="Q1617" i="1" s="1"/>
  <c r="R1616" i="1"/>
  <c r="R1617" i="1" s="1"/>
  <c r="S1616" i="1"/>
  <c r="S1617" i="1" s="1"/>
  <c r="T1616" i="1"/>
  <c r="T1617" i="1" s="1"/>
  <c r="V1616" i="1"/>
  <c r="V1617" i="1" s="1"/>
  <c r="W1616" i="1"/>
  <c r="W1617" i="1" s="1"/>
  <c r="X1616" i="1"/>
  <c r="X1617" i="1" s="1"/>
  <c r="Y1616" i="1"/>
  <c r="Y1617" i="1" s="1"/>
  <c r="Z1616" i="1"/>
  <c r="Z1617" i="1" s="1"/>
  <c r="A1618" i="1"/>
  <c r="A1619" i="1" s="1"/>
  <c r="B1618" i="1"/>
  <c r="B1619" i="1" s="1"/>
  <c r="C1618" i="1"/>
  <c r="D1618" i="1"/>
  <c r="D1619" i="1" s="1"/>
  <c r="E1618" i="1"/>
  <c r="E1619" i="1" s="1"/>
  <c r="F1618" i="1"/>
  <c r="F1619" i="1" s="1"/>
  <c r="G1618" i="1"/>
  <c r="H1618" i="1"/>
  <c r="I1618" i="1"/>
  <c r="J1618" i="1"/>
  <c r="K1618" i="1"/>
  <c r="M1618" i="1"/>
  <c r="N1618" i="1"/>
  <c r="P1618" i="1"/>
  <c r="P1619" i="1" s="1"/>
  <c r="Q1618" i="1"/>
  <c r="Q1619" i="1" s="1"/>
  <c r="R1618" i="1"/>
  <c r="R1619" i="1" s="1"/>
  <c r="S1618" i="1"/>
  <c r="S1619" i="1" s="1"/>
  <c r="T1618" i="1"/>
  <c r="T1619" i="1" s="1"/>
  <c r="V1618" i="1"/>
  <c r="V1619" i="1" s="1"/>
  <c r="W1618" i="1"/>
  <c r="W1619" i="1" s="1"/>
  <c r="X1618" i="1"/>
  <c r="X1619" i="1" s="1"/>
  <c r="Y1618" i="1"/>
  <c r="Y1619" i="1" s="1"/>
  <c r="Z1618" i="1"/>
  <c r="Z1619" i="1" s="1"/>
  <c r="C1619" i="1"/>
  <c r="A1620" i="1"/>
  <c r="A1621" i="1" s="1"/>
  <c r="B1620" i="1"/>
  <c r="B1621" i="1" s="1"/>
  <c r="C1620" i="1"/>
  <c r="C1621" i="1" s="1"/>
  <c r="D1620" i="1"/>
  <c r="E1620" i="1"/>
  <c r="F1620" i="1"/>
  <c r="F1621" i="1" s="1"/>
  <c r="G1620" i="1"/>
  <c r="H1620" i="1"/>
  <c r="I1620" i="1"/>
  <c r="J1620" i="1"/>
  <c r="K1620" i="1"/>
  <c r="M1620" i="1"/>
  <c r="N1620" i="1"/>
  <c r="P1620" i="1"/>
  <c r="P1621" i="1" s="1"/>
  <c r="Q1620" i="1"/>
  <c r="Q1621" i="1" s="1"/>
  <c r="R1620" i="1"/>
  <c r="R1621" i="1" s="1"/>
  <c r="S1620" i="1"/>
  <c r="S1621" i="1" s="1"/>
  <c r="T1620" i="1"/>
  <c r="T1621" i="1" s="1"/>
  <c r="V1620" i="1"/>
  <c r="V1621" i="1" s="1"/>
  <c r="W1620" i="1"/>
  <c r="W1621" i="1" s="1"/>
  <c r="X1620" i="1"/>
  <c r="X1621" i="1" s="1"/>
  <c r="Y1620" i="1"/>
  <c r="Y1621" i="1" s="1"/>
  <c r="Z1620" i="1"/>
  <c r="Z1621" i="1" s="1"/>
  <c r="D1621" i="1"/>
  <c r="A1622" i="1"/>
  <c r="A1623" i="1" s="1"/>
  <c r="B1622" i="1"/>
  <c r="B1623" i="1" s="1"/>
  <c r="C1622" i="1"/>
  <c r="C1623" i="1" s="1"/>
  <c r="D1622" i="1"/>
  <c r="D1623" i="1" s="1"/>
  <c r="E1622" i="1"/>
  <c r="E1623" i="1" s="1"/>
  <c r="F1622" i="1"/>
  <c r="F1623" i="1" s="1"/>
  <c r="G1622" i="1"/>
  <c r="H1622" i="1"/>
  <c r="I1622" i="1"/>
  <c r="J1622" i="1"/>
  <c r="K1622" i="1"/>
  <c r="M1622" i="1"/>
  <c r="N1622" i="1"/>
  <c r="P1622" i="1"/>
  <c r="P1623" i="1" s="1"/>
  <c r="Q1622" i="1"/>
  <c r="Q1623" i="1" s="1"/>
  <c r="R1622" i="1"/>
  <c r="R1623" i="1" s="1"/>
  <c r="S1622" i="1"/>
  <c r="S1623" i="1" s="1"/>
  <c r="T1622" i="1"/>
  <c r="T1623" i="1" s="1"/>
  <c r="V1622" i="1"/>
  <c r="V1623" i="1" s="1"/>
  <c r="W1622" i="1"/>
  <c r="W1623" i="1" s="1"/>
  <c r="X1622" i="1"/>
  <c r="X1623" i="1" s="1"/>
  <c r="Y1622" i="1"/>
  <c r="Y1623" i="1" s="1"/>
  <c r="Z1622" i="1"/>
  <c r="Z1623" i="1" s="1"/>
  <c r="A1624" i="1"/>
  <c r="A1625" i="1" s="1"/>
  <c r="B1624" i="1"/>
  <c r="B1625" i="1" s="1"/>
  <c r="C1624" i="1"/>
  <c r="C1625" i="1" s="1"/>
  <c r="D1624" i="1"/>
  <c r="E1624" i="1"/>
  <c r="E1625" i="1" s="1"/>
  <c r="F1624" i="1"/>
  <c r="F1625" i="1" s="1"/>
  <c r="G1624" i="1"/>
  <c r="H1624" i="1"/>
  <c r="I1624" i="1"/>
  <c r="J1624" i="1"/>
  <c r="K1624" i="1"/>
  <c r="M1624" i="1"/>
  <c r="N1624" i="1"/>
  <c r="P1624" i="1"/>
  <c r="P1625" i="1" s="1"/>
  <c r="Q1624" i="1"/>
  <c r="Q1625" i="1" s="1"/>
  <c r="R1624" i="1"/>
  <c r="R1625" i="1" s="1"/>
  <c r="S1624" i="1"/>
  <c r="S1625" i="1" s="1"/>
  <c r="T1624" i="1"/>
  <c r="V1624" i="1"/>
  <c r="V1625" i="1" s="1"/>
  <c r="W1624" i="1"/>
  <c r="X1624" i="1"/>
  <c r="X1625" i="1" s="1"/>
  <c r="Y1624" i="1"/>
  <c r="Y1625" i="1" s="1"/>
  <c r="Z1624" i="1"/>
  <c r="Z1625" i="1" s="1"/>
  <c r="D1625" i="1"/>
  <c r="T1625" i="1"/>
  <c r="W1625" i="1"/>
  <c r="A1626" i="1"/>
  <c r="A1627" i="1" s="1"/>
  <c r="B1626" i="1"/>
  <c r="B1627" i="1" s="1"/>
  <c r="C1626" i="1"/>
  <c r="C1627" i="1" s="1"/>
  <c r="D1626" i="1"/>
  <c r="D1627" i="1" s="1"/>
  <c r="E1626" i="1"/>
  <c r="E1627" i="1" s="1"/>
  <c r="F1626" i="1"/>
  <c r="F1627" i="1" s="1"/>
  <c r="G1626" i="1"/>
  <c r="H1626" i="1"/>
  <c r="I1626" i="1"/>
  <c r="J1626" i="1"/>
  <c r="K1626" i="1"/>
  <c r="M1626" i="1"/>
  <c r="N1626" i="1"/>
  <c r="P1626" i="1"/>
  <c r="P1627" i="1" s="1"/>
  <c r="Q1626" i="1"/>
  <c r="Q1627" i="1" s="1"/>
  <c r="R1626" i="1"/>
  <c r="R1627" i="1" s="1"/>
  <c r="S1626" i="1"/>
  <c r="S1627" i="1" s="1"/>
  <c r="T1626" i="1"/>
  <c r="T1627" i="1" s="1"/>
  <c r="V1626" i="1"/>
  <c r="V1627" i="1" s="1"/>
  <c r="W1626" i="1"/>
  <c r="W1627" i="1" s="1"/>
  <c r="X1626" i="1"/>
  <c r="X1627" i="1" s="1"/>
  <c r="Y1626" i="1"/>
  <c r="Y1627" i="1" s="1"/>
  <c r="Z1626" i="1"/>
  <c r="Z1627" i="1" s="1"/>
  <c r="A1628" i="1"/>
  <c r="A1629" i="1" s="1"/>
  <c r="B1628" i="1"/>
  <c r="B1629" i="1" s="1"/>
  <c r="C1628" i="1"/>
  <c r="C1629" i="1" s="1"/>
  <c r="D1628" i="1"/>
  <c r="D1629" i="1" s="1"/>
  <c r="E1628" i="1"/>
  <c r="E1629" i="1" s="1"/>
  <c r="F1628" i="1"/>
  <c r="F1629" i="1" s="1"/>
  <c r="G1628" i="1"/>
  <c r="H1628" i="1"/>
  <c r="I1628" i="1"/>
  <c r="J1628" i="1"/>
  <c r="K1628" i="1"/>
  <c r="M1628" i="1"/>
  <c r="N1628" i="1"/>
  <c r="P1628" i="1"/>
  <c r="P1629" i="1" s="1"/>
  <c r="Q1628" i="1"/>
  <c r="Q1629" i="1" s="1"/>
  <c r="R1628" i="1"/>
  <c r="R1629" i="1" s="1"/>
  <c r="S1628" i="1"/>
  <c r="S1629" i="1" s="1"/>
  <c r="T1628" i="1"/>
  <c r="T1629" i="1" s="1"/>
  <c r="V1628" i="1"/>
  <c r="V1629" i="1" s="1"/>
  <c r="W1628" i="1"/>
  <c r="W1629" i="1" s="1"/>
  <c r="X1628" i="1"/>
  <c r="X1629" i="1" s="1"/>
  <c r="Y1628" i="1"/>
  <c r="Y1629" i="1" s="1"/>
  <c r="Z1628" i="1"/>
  <c r="Z1629" i="1" s="1"/>
  <c r="A1630" i="1"/>
  <c r="A1631" i="1" s="1"/>
  <c r="B1630" i="1"/>
  <c r="B1631" i="1" s="1"/>
  <c r="C1630" i="1"/>
  <c r="C1631" i="1" s="1"/>
  <c r="D1630" i="1"/>
  <c r="D1631" i="1" s="1"/>
  <c r="E1630" i="1"/>
  <c r="E1631" i="1" s="1"/>
  <c r="F1630" i="1"/>
  <c r="F1631" i="1" s="1"/>
  <c r="G1630" i="1"/>
  <c r="H1630" i="1"/>
  <c r="I1630" i="1"/>
  <c r="J1630" i="1"/>
  <c r="K1630" i="1"/>
  <c r="M1630" i="1"/>
  <c r="N1630" i="1"/>
  <c r="P1630" i="1"/>
  <c r="P1631" i="1" s="1"/>
  <c r="Q1630" i="1"/>
  <c r="Q1631" i="1" s="1"/>
  <c r="R1630" i="1"/>
  <c r="R1631" i="1" s="1"/>
  <c r="S1630" i="1"/>
  <c r="S1631" i="1" s="1"/>
  <c r="T1630" i="1"/>
  <c r="T1631" i="1" s="1"/>
  <c r="V1630" i="1"/>
  <c r="V1631" i="1" s="1"/>
  <c r="W1630" i="1"/>
  <c r="W1631" i="1" s="1"/>
  <c r="X1630" i="1"/>
  <c r="X1631" i="1" s="1"/>
  <c r="Y1630" i="1"/>
  <c r="Y1631" i="1" s="1"/>
  <c r="Z1630" i="1"/>
  <c r="Z1631" i="1" s="1"/>
  <c r="A1632" i="1"/>
  <c r="A1633" i="1" s="1"/>
  <c r="B1632" i="1"/>
  <c r="B1633" i="1" s="1"/>
  <c r="C1632" i="1"/>
  <c r="C1633" i="1" s="1"/>
  <c r="D1632" i="1"/>
  <c r="E1632" i="1"/>
  <c r="E1633" i="1" s="1"/>
  <c r="F1632" i="1"/>
  <c r="F1633" i="1" s="1"/>
  <c r="G1632" i="1"/>
  <c r="H1632" i="1"/>
  <c r="I1632" i="1"/>
  <c r="J1632" i="1"/>
  <c r="K1632" i="1"/>
  <c r="M1632" i="1"/>
  <c r="N1632" i="1"/>
  <c r="P1632" i="1"/>
  <c r="P1633" i="1" s="1"/>
  <c r="Q1632" i="1"/>
  <c r="Q1633" i="1" s="1"/>
  <c r="R1632" i="1"/>
  <c r="R1633" i="1" s="1"/>
  <c r="S1632" i="1"/>
  <c r="S1633" i="1" s="1"/>
  <c r="T1632" i="1"/>
  <c r="T1633" i="1" s="1"/>
  <c r="V1632" i="1"/>
  <c r="V1633" i="1" s="1"/>
  <c r="W1632" i="1"/>
  <c r="W1633" i="1" s="1"/>
  <c r="X1632" i="1"/>
  <c r="X1633" i="1" s="1"/>
  <c r="Y1632" i="1"/>
  <c r="Y1633" i="1" s="1"/>
  <c r="Z1632" i="1"/>
  <c r="Z1633" i="1" s="1"/>
  <c r="D1633" i="1"/>
  <c r="A1634" i="1"/>
  <c r="A1635" i="1" s="1"/>
  <c r="B1634" i="1"/>
  <c r="B1635" i="1" s="1"/>
  <c r="C1634" i="1"/>
  <c r="C1635" i="1" s="1"/>
  <c r="D1634" i="1"/>
  <c r="D1635" i="1" s="1"/>
  <c r="E1634" i="1"/>
  <c r="E1635" i="1" s="1"/>
  <c r="F1634" i="1"/>
  <c r="F1635" i="1" s="1"/>
  <c r="G1634" i="1"/>
  <c r="H1634" i="1"/>
  <c r="I1634" i="1"/>
  <c r="J1634" i="1"/>
  <c r="K1634" i="1"/>
  <c r="M1634" i="1"/>
  <c r="N1634" i="1"/>
  <c r="P1634" i="1"/>
  <c r="P1635" i="1" s="1"/>
  <c r="Q1634" i="1"/>
  <c r="Q1635" i="1" s="1"/>
  <c r="R1634" i="1"/>
  <c r="R1635" i="1" s="1"/>
  <c r="S1634" i="1"/>
  <c r="S1635" i="1" s="1"/>
  <c r="T1634" i="1"/>
  <c r="T1635" i="1" s="1"/>
  <c r="V1634" i="1"/>
  <c r="V1635" i="1" s="1"/>
  <c r="W1634" i="1"/>
  <c r="W1635" i="1" s="1"/>
  <c r="X1634" i="1"/>
  <c r="X1635" i="1" s="1"/>
  <c r="Y1634" i="1"/>
  <c r="Z1634" i="1"/>
  <c r="Z1635" i="1" s="1"/>
  <c r="A1636" i="1"/>
  <c r="A1637" i="1" s="1"/>
  <c r="B1636" i="1"/>
  <c r="B1637" i="1" s="1"/>
  <c r="C1636" i="1"/>
  <c r="C1637" i="1" s="1"/>
  <c r="D1636" i="1"/>
  <c r="E1636" i="1"/>
  <c r="E1637" i="1" s="1"/>
  <c r="F1636" i="1"/>
  <c r="F1637" i="1" s="1"/>
  <c r="G1636" i="1"/>
  <c r="H1636" i="1"/>
  <c r="I1636" i="1"/>
  <c r="J1636" i="1"/>
  <c r="K1636" i="1"/>
  <c r="M1636" i="1"/>
  <c r="N1636" i="1"/>
  <c r="P1636" i="1"/>
  <c r="P1637" i="1" s="1"/>
  <c r="Q1636" i="1"/>
  <c r="Q1637" i="1" s="1"/>
  <c r="R1636" i="1"/>
  <c r="R1637" i="1" s="1"/>
  <c r="S1636" i="1"/>
  <c r="S1637" i="1" s="1"/>
  <c r="T1636" i="1"/>
  <c r="T1637" i="1" s="1"/>
  <c r="V1636" i="1"/>
  <c r="V1637" i="1" s="1"/>
  <c r="W1636" i="1"/>
  <c r="W1637" i="1" s="1"/>
  <c r="X1636" i="1"/>
  <c r="X1637" i="1" s="1"/>
  <c r="Y1636" i="1"/>
  <c r="Y1637" i="1" s="1"/>
  <c r="Z1636" i="1"/>
  <c r="Z1637" i="1" s="1"/>
  <c r="A1638" i="1"/>
  <c r="A1639" i="1" s="1"/>
  <c r="B1638" i="1"/>
  <c r="B1639" i="1" s="1"/>
  <c r="C1638" i="1"/>
  <c r="C1639" i="1" s="1"/>
  <c r="D1638" i="1"/>
  <c r="D1639" i="1" s="1"/>
  <c r="E1638" i="1"/>
  <c r="F1638" i="1"/>
  <c r="F1639" i="1" s="1"/>
  <c r="G1638" i="1"/>
  <c r="H1638" i="1"/>
  <c r="I1638" i="1"/>
  <c r="J1638" i="1"/>
  <c r="K1638" i="1"/>
  <c r="M1638" i="1"/>
  <c r="N1638" i="1"/>
  <c r="P1638" i="1"/>
  <c r="P1639" i="1" s="1"/>
  <c r="Q1638" i="1"/>
  <c r="Q1639" i="1" s="1"/>
  <c r="R1638" i="1"/>
  <c r="R1639" i="1" s="1"/>
  <c r="S1638" i="1"/>
  <c r="S1639" i="1" s="1"/>
  <c r="T1638" i="1"/>
  <c r="T1639" i="1" s="1"/>
  <c r="V1638" i="1"/>
  <c r="V1639" i="1" s="1"/>
  <c r="W1638" i="1"/>
  <c r="W1639" i="1" s="1"/>
  <c r="X1638" i="1"/>
  <c r="X1639" i="1" s="1"/>
  <c r="Y1638" i="1"/>
  <c r="Z1638" i="1"/>
  <c r="Z1639" i="1" s="1"/>
  <c r="A1640" i="1"/>
  <c r="A1641" i="1" s="1"/>
  <c r="B1640" i="1"/>
  <c r="B1641" i="1" s="1"/>
  <c r="C1640" i="1"/>
  <c r="C1641" i="1" s="1"/>
  <c r="D1640" i="1"/>
  <c r="D1641" i="1" s="1"/>
  <c r="E1640" i="1"/>
  <c r="E1641" i="1" s="1"/>
  <c r="F1640" i="1"/>
  <c r="F1641" i="1" s="1"/>
  <c r="G1640" i="1"/>
  <c r="H1640" i="1"/>
  <c r="I1640" i="1"/>
  <c r="J1640" i="1"/>
  <c r="K1640" i="1"/>
  <c r="M1640" i="1"/>
  <c r="N1640" i="1"/>
  <c r="P1640" i="1"/>
  <c r="P1641" i="1" s="1"/>
  <c r="Q1640" i="1"/>
  <c r="Q1641" i="1" s="1"/>
  <c r="R1640" i="1"/>
  <c r="R1641" i="1" s="1"/>
  <c r="S1640" i="1"/>
  <c r="S1641" i="1" s="1"/>
  <c r="T1640" i="1"/>
  <c r="T1641" i="1" s="1"/>
  <c r="V1640" i="1"/>
  <c r="V1641" i="1" s="1"/>
  <c r="W1640" i="1"/>
  <c r="W1641" i="1" s="1"/>
  <c r="X1640" i="1"/>
  <c r="X1641" i="1" s="1"/>
  <c r="Y1640" i="1"/>
  <c r="Y1641" i="1" s="1"/>
  <c r="Z1640" i="1"/>
  <c r="Z1641" i="1" s="1"/>
  <c r="A1642" i="1"/>
  <c r="A1643" i="1" s="1"/>
  <c r="B1642" i="1"/>
  <c r="B1643" i="1" s="1"/>
  <c r="C1642" i="1"/>
  <c r="C1643" i="1" s="1"/>
  <c r="D1642" i="1"/>
  <c r="D1643" i="1" s="1"/>
  <c r="E1642" i="1"/>
  <c r="E1643" i="1" s="1"/>
  <c r="F1642" i="1"/>
  <c r="F1643" i="1" s="1"/>
  <c r="G1642" i="1"/>
  <c r="H1642" i="1"/>
  <c r="I1642" i="1"/>
  <c r="J1642" i="1"/>
  <c r="K1642" i="1"/>
  <c r="M1642" i="1"/>
  <c r="N1642" i="1"/>
  <c r="P1642" i="1"/>
  <c r="P1643" i="1" s="1"/>
  <c r="Q1642" i="1"/>
  <c r="Q1643" i="1" s="1"/>
  <c r="R1642" i="1"/>
  <c r="R1643" i="1" s="1"/>
  <c r="S1642" i="1"/>
  <c r="S1643" i="1" s="1"/>
  <c r="T1642" i="1"/>
  <c r="T1643" i="1" s="1"/>
  <c r="V1642" i="1"/>
  <c r="V1643" i="1" s="1"/>
  <c r="W1642" i="1"/>
  <c r="W1643" i="1" s="1"/>
  <c r="X1642" i="1"/>
  <c r="X1643" i="1" s="1"/>
  <c r="Y1642" i="1"/>
  <c r="Y1643" i="1" s="1"/>
  <c r="Z1642" i="1"/>
  <c r="Z1643" i="1" s="1"/>
  <c r="A1644" i="1"/>
  <c r="A1645" i="1" s="1"/>
  <c r="B1644" i="1"/>
  <c r="B1645" i="1" s="1"/>
  <c r="C1644" i="1"/>
  <c r="C1645" i="1" s="1"/>
  <c r="D1644" i="1"/>
  <c r="D1645" i="1" s="1"/>
  <c r="E1644" i="1"/>
  <c r="E1645" i="1" s="1"/>
  <c r="F1644" i="1"/>
  <c r="F1645" i="1" s="1"/>
  <c r="G1644" i="1"/>
  <c r="H1644" i="1"/>
  <c r="I1644" i="1"/>
  <c r="J1644" i="1"/>
  <c r="K1644" i="1"/>
  <c r="M1644" i="1"/>
  <c r="N1644" i="1"/>
  <c r="P1644" i="1"/>
  <c r="P1645" i="1" s="1"/>
  <c r="Q1644" i="1"/>
  <c r="Q1645" i="1" s="1"/>
  <c r="R1644" i="1"/>
  <c r="R1645" i="1" s="1"/>
  <c r="S1644" i="1"/>
  <c r="S1645" i="1" s="1"/>
  <c r="T1644" i="1"/>
  <c r="T1645" i="1" s="1"/>
  <c r="V1644" i="1"/>
  <c r="V1645" i="1" s="1"/>
  <c r="W1644" i="1"/>
  <c r="W1645" i="1" s="1"/>
  <c r="X1644" i="1"/>
  <c r="X1645" i="1" s="1"/>
  <c r="Y1644" i="1"/>
  <c r="Y1645" i="1" s="1"/>
  <c r="Z1644" i="1"/>
  <c r="Z1645" i="1" s="1"/>
  <c r="A1646" i="1"/>
  <c r="A1647" i="1" s="1"/>
  <c r="B1646" i="1"/>
  <c r="B1647" i="1" s="1"/>
  <c r="C1646" i="1"/>
  <c r="C1647" i="1" s="1"/>
  <c r="D1646" i="1"/>
  <c r="D1647" i="1" s="1"/>
  <c r="E1646" i="1"/>
  <c r="E1647" i="1" s="1"/>
  <c r="F1646" i="1"/>
  <c r="F1647" i="1" s="1"/>
  <c r="G1646" i="1"/>
  <c r="H1646" i="1"/>
  <c r="I1646" i="1"/>
  <c r="J1646" i="1"/>
  <c r="K1646" i="1"/>
  <c r="M1646" i="1"/>
  <c r="N1646" i="1"/>
  <c r="P1646" i="1"/>
  <c r="P1647" i="1" s="1"/>
  <c r="Q1646" i="1"/>
  <c r="Q1647" i="1" s="1"/>
  <c r="R1646" i="1"/>
  <c r="R1647" i="1" s="1"/>
  <c r="S1646" i="1"/>
  <c r="S1647" i="1" s="1"/>
  <c r="T1646" i="1"/>
  <c r="T1647" i="1" s="1"/>
  <c r="V1646" i="1"/>
  <c r="V1647" i="1" s="1"/>
  <c r="W1646" i="1"/>
  <c r="W1647" i="1" s="1"/>
  <c r="X1646" i="1"/>
  <c r="X1647" i="1" s="1"/>
  <c r="Y1646" i="1"/>
  <c r="Y1647" i="1" s="1"/>
  <c r="Z1646" i="1"/>
  <c r="Z1647" i="1" s="1"/>
  <c r="A1648" i="1"/>
  <c r="A1649" i="1" s="1"/>
  <c r="B1648" i="1"/>
  <c r="B1649" i="1" s="1"/>
  <c r="C1648" i="1"/>
  <c r="C1649" i="1" s="1"/>
  <c r="D1648" i="1"/>
  <c r="E1648" i="1"/>
  <c r="E1649" i="1" s="1"/>
  <c r="F1648" i="1"/>
  <c r="F1649" i="1" s="1"/>
  <c r="G1648" i="1"/>
  <c r="H1648" i="1"/>
  <c r="I1648" i="1"/>
  <c r="J1648" i="1"/>
  <c r="K1648" i="1"/>
  <c r="M1648" i="1"/>
  <c r="N1648" i="1"/>
  <c r="P1648" i="1"/>
  <c r="P1649" i="1" s="1"/>
  <c r="Q1648" i="1"/>
  <c r="Q1649" i="1" s="1"/>
  <c r="R1648" i="1"/>
  <c r="R1649" i="1" s="1"/>
  <c r="S1648" i="1"/>
  <c r="S1649" i="1" s="1"/>
  <c r="T1648" i="1"/>
  <c r="T1649" i="1" s="1"/>
  <c r="V1648" i="1"/>
  <c r="V1649" i="1" s="1"/>
  <c r="W1648" i="1"/>
  <c r="W1649" i="1" s="1"/>
  <c r="X1648" i="1"/>
  <c r="X1649" i="1" s="1"/>
  <c r="Y1648" i="1"/>
  <c r="Y1649" i="1" s="1"/>
  <c r="Z1648" i="1"/>
  <c r="Z1649" i="1" s="1"/>
  <c r="D1649" i="1"/>
  <c r="A1650" i="1"/>
  <c r="A1651" i="1" s="1"/>
  <c r="B1650" i="1"/>
  <c r="B1651" i="1" s="1"/>
  <c r="C1650" i="1"/>
  <c r="C1651" i="1" s="1"/>
  <c r="D1650" i="1"/>
  <c r="E1650" i="1"/>
  <c r="E1651" i="1" s="1"/>
  <c r="F1650" i="1"/>
  <c r="F1651" i="1" s="1"/>
  <c r="G1650" i="1"/>
  <c r="H1650" i="1"/>
  <c r="I1650" i="1"/>
  <c r="J1650" i="1"/>
  <c r="K1650" i="1"/>
  <c r="M1650" i="1"/>
  <c r="N1650" i="1"/>
  <c r="P1650" i="1"/>
  <c r="P1651" i="1" s="1"/>
  <c r="Q1650" i="1"/>
  <c r="Q1651" i="1" s="1"/>
  <c r="R1650" i="1"/>
  <c r="R1651" i="1" s="1"/>
  <c r="S1650" i="1"/>
  <c r="S1651" i="1" s="1"/>
  <c r="T1650" i="1"/>
  <c r="T1651" i="1" s="1"/>
  <c r="V1650" i="1"/>
  <c r="V1651" i="1" s="1"/>
  <c r="W1650" i="1"/>
  <c r="W1651" i="1" s="1"/>
  <c r="X1650" i="1"/>
  <c r="X1651" i="1" s="1"/>
  <c r="Y1650" i="1"/>
  <c r="Y1651" i="1" s="1"/>
  <c r="Z1650" i="1"/>
  <c r="Z1651" i="1" s="1"/>
  <c r="D1651" i="1"/>
  <c r="A1652" i="1"/>
  <c r="A1653" i="1" s="1"/>
  <c r="B1652" i="1"/>
  <c r="B1653" i="1" s="1"/>
  <c r="C1652" i="1"/>
  <c r="C1653" i="1" s="1"/>
  <c r="D1652" i="1"/>
  <c r="D1653" i="1" s="1"/>
  <c r="E1652" i="1"/>
  <c r="E1653" i="1" s="1"/>
  <c r="F1652" i="1"/>
  <c r="F1653" i="1" s="1"/>
  <c r="G1652" i="1"/>
  <c r="H1652" i="1"/>
  <c r="I1652" i="1"/>
  <c r="J1652" i="1"/>
  <c r="K1652" i="1"/>
  <c r="M1652" i="1"/>
  <c r="N1652" i="1"/>
  <c r="P1652" i="1"/>
  <c r="P1653" i="1" s="1"/>
  <c r="Q1652" i="1"/>
  <c r="Q1653" i="1" s="1"/>
  <c r="R1652" i="1"/>
  <c r="R1653" i="1" s="1"/>
  <c r="S1652" i="1"/>
  <c r="S1653" i="1" s="1"/>
  <c r="T1652" i="1"/>
  <c r="T1653" i="1" s="1"/>
  <c r="V1652" i="1"/>
  <c r="V1653" i="1" s="1"/>
  <c r="W1652" i="1"/>
  <c r="W1653" i="1" s="1"/>
  <c r="X1652" i="1"/>
  <c r="X1653" i="1" s="1"/>
  <c r="Y1652" i="1"/>
  <c r="Y1653" i="1" s="1"/>
  <c r="Z1652" i="1"/>
  <c r="Z1653" i="1" s="1"/>
  <c r="A1654" i="1"/>
  <c r="A1655" i="1" s="1"/>
  <c r="B1654" i="1"/>
  <c r="B1655" i="1" s="1"/>
  <c r="C1654" i="1"/>
  <c r="C1655" i="1" s="1"/>
  <c r="D1654" i="1"/>
  <c r="D1655" i="1" s="1"/>
  <c r="E1654" i="1"/>
  <c r="E1655" i="1" s="1"/>
  <c r="F1654" i="1"/>
  <c r="F1655" i="1" s="1"/>
  <c r="G1654" i="1"/>
  <c r="H1654" i="1"/>
  <c r="I1654" i="1"/>
  <c r="J1654" i="1"/>
  <c r="K1654" i="1"/>
  <c r="M1654" i="1"/>
  <c r="N1654" i="1"/>
  <c r="P1654" i="1"/>
  <c r="Q1654" i="1"/>
  <c r="Q1655" i="1" s="1"/>
  <c r="R1654" i="1"/>
  <c r="R1655" i="1" s="1"/>
  <c r="S1654" i="1"/>
  <c r="S1655" i="1" s="1"/>
  <c r="T1654" i="1"/>
  <c r="T1655" i="1" s="1"/>
  <c r="V1654" i="1"/>
  <c r="V1655" i="1" s="1"/>
  <c r="W1654" i="1"/>
  <c r="W1655" i="1" s="1"/>
  <c r="X1654" i="1"/>
  <c r="X1655" i="1" s="1"/>
  <c r="Y1654" i="1"/>
  <c r="Y1655" i="1" s="1"/>
  <c r="Z1654" i="1"/>
  <c r="Z1655" i="1" s="1"/>
  <c r="P1655" i="1"/>
  <c r="A1656" i="1"/>
  <c r="A1657" i="1" s="1"/>
  <c r="B1656" i="1"/>
  <c r="C1656" i="1"/>
  <c r="C1657" i="1" s="1"/>
  <c r="D1656" i="1"/>
  <c r="D1657" i="1" s="1"/>
  <c r="E1656" i="1"/>
  <c r="E1657" i="1" s="1"/>
  <c r="F1656" i="1"/>
  <c r="F1657" i="1" s="1"/>
  <c r="G1656" i="1"/>
  <c r="H1656" i="1"/>
  <c r="I1656" i="1"/>
  <c r="J1656" i="1"/>
  <c r="K1656" i="1"/>
  <c r="M1656" i="1"/>
  <c r="N1656" i="1"/>
  <c r="P1656" i="1"/>
  <c r="P1657" i="1" s="1"/>
  <c r="Q1656" i="1"/>
  <c r="Q1657" i="1" s="1"/>
  <c r="R1656" i="1"/>
  <c r="R1657" i="1" s="1"/>
  <c r="S1656" i="1"/>
  <c r="S1657" i="1" s="1"/>
  <c r="T1656" i="1"/>
  <c r="T1657" i="1" s="1"/>
  <c r="V1656" i="1"/>
  <c r="V1657" i="1" s="1"/>
  <c r="W1656" i="1"/>
  <c r="W1657" i="1" s="1"/>
  <c r="X1656" i="1"/>
  <c r="X1657" i="1" s="1"/>
  <c r="Y1656" i="1"/>
  <c r="Z1656" i="1"/>
  <c r="Z1657" i="1" s="1"/>
  <c r="B1657" i="1"/>
  <c r="A1658" i="1"/>
  <c r="A1659" i="1" s="1"/>
  <c r="B1658" i="1"/>
  <c r="B1659" i="1" s="1"/>
  <c r="C1658" i="1"/>
  <c r="C1659" i="1" s="1"/>
  <c r="D1658" i="1"/>
  <c r="D1659" i="1" s="1"/>
  <c r="E1658" i="1"/>
  <c r="E1659" i="1" s="1"/>
  <c r="F1658" i="1"/>
  <c r="F1659" i="1" s="1"/>
  <c r="G1658" i="1"/>
  <c r="H1658" i="1"/>
  <c r="I1658" i="1"/>
  <c r="J1658" i="1"/>
  <c r="K1658" i="1"/>
  <c r="M1658" i="1"/>
  <c r="N1658" i="1"/>
  <c r="P1658" i="1"/>
  <c r="P1659" i="1" s="1"/>
  <c r="Q1658" i="1"/>
  <c r="Q1659" i="1" s="1"/>
  <c r="R1658" i="1"/>
  <c r="R1659" i="1" s="1"/>
  <c r="S1658" i="1"/>
  <c r="S1659" i="1" s="1"/>
  <c r="T1658" i="1"/>
  <c r="T1659" i="1" s="1"/>
  <c r="V1658" i="1"/>
  <c r="V1659" i="1" s="1"/>
  <c r="W1658" i="1"/>
  <c r="W1659" i="1" s="1"/>
  <c r="X1658" i="1"/>
  <c r="X1659" i="1" s="1"/>
  <c r="Y1658" i="1"/>
  <c r="Y1659" i="1" s="1"/>
  <c r="Z1658" i="1"/>
  <c r="Z1659" i="1" s="1"/>
  <c r="A1660" i="1"/>
  <c r="A1661" i="1" s="1"/>
  <c r="B1660" i="1"/>
  <c r="B1661" i="1" s="1"/>
  <c r="C1660" i="1"/>
  <c r="C1661" i="1" s="1"/>
  <c r="D1660" i="1"/>
  <c r="E1660" i="1"/>
  <c r="E1661" i="1" s="1"/>
  <c r="F1660" i="1"/>
  <c r="F1661" i="1" s="1"/>
  <c r="G1660" i="1"/>
  <c r="H1660" i="1"/>
  <c r="I1660" i="1"/>
  <c r="J1660" i="1"/>
  <c r="K1660" i="1"/>
  <c r="M1660" i="1"/>
  <c r="N1660" i="1"/>
  <c r="P1660" i="1"/>
  <c r="P1661" i="1" s="1"/>
  <c r="Q1660" i="1"/>
  <c r="Q1661" i="1" s="1"/>
  <c r="R1660" i="1"/>
  <c r="R1661" i="1" s="1"/>
  <c r="S1660" i="1"/>
  <c r="S1661" i="1" s="1"/>
  <c r="T1660" i="1"/>
  <c r="V1660" i="1"/>
  <c r="V1661" i="1" s="1"/>
  <c r="W1660" i="1"/>
  <c r="W1661" i="1" s="1"/>
  <c r="X1660" i="1"/>
  <c r="X1661" i="1" s="1"/>
  <c r="Y1660" i="1"/>
  <c r="Y1661" i="1" s="1"/>
  <c r="Z1660" i="1"/>
  <c r="Z1661" i="1" s="1"/>
  <c r="D1661" i="1"/>
  <c r="T1661" i="1"/>
  <c r="A1662" i="1"/>
  <c r="A1663" i="1" s="1"/>
  <c r="B1662" i="1"/>
  <c r="B1663" i="1" s="1"/>
  <c r="C1662" i="1"/>
  <c r="C1663" i="1" s="1"/>
  <c r="D1662" i="1"/>
  <c r="D1663" i="1" s="1"/>
  <c r="E1662" i="1"/>
  <c r="E1663" i="1" s="1"/>
  <c r="F1662" i="1"/>
  <c r="F1663" i="1" s="1"/>
  <c r="G1662" i="1"/>
  <c r="H1662" i="1"/>
  <c r="I1662" i="1"/>
  <c r="J1662" i="1"/>
  <c r="K1662" i="1"/>
  <c r="M1662" i="1"/>
  <c r="N1662" i="1"/>
  <c r="P1662" i="1"/>
  <c r="P1663" i="1" s="1"/>
  <c r="Q1662" i="1"/>
  <c r="Q1663" i="1" s="1"/>
  <c r="R1662" i="1"/>
  <c r="S1662" i="1"/>
  <c r="S1663" i="1" s="1"/>
  <c r="T1662" i="1"/>
  <c r="T1663" i="1" s="1"/>
  <c r="V1662" i="1"/>
  <c r="V1663" i="1" s="1"/>
  <c r="W1662" i="1"/>
  <c r="W1663" i="1" s="1"/>
  <c r="X1662" i="1"/>
  <c r="X1663" i="1" s="1"/>
  <c r="Y1662" i="1"/>
  <c r="Y1663" i="1" s="1"/>
  <c r="Z1662" i="1"/>
  <c r="Z1663" i="1" s="1"/>
  <c r="R1663" i="1"/>
  <c r="A1664" i="1"/>
  <c r="A1665" i="1" s="1"/>
  <c r="B1664" i="1"/>
  <c r="C1664" i="1"/>
  <c r="C1665" i="1" s="1"/>
  <c r="D1664" i="1"/>
  <c r="D1665" i="1" s="1"/>
  <c r="E1664" i="1"/>
  <c r="E1665" i="1" s="1"/>
  <c r="F1664" i="1"/>
  <c r="F1665" i="1" s="1"/>
  <c r="G1664" i="1"/>
  <c r="H1664" i="1"/>
  <c r="I1664" i="1"/>
  <c r="J1664" i="1"/>
  <c r="K1664" i="1"/>
  <c r="M1664" i="1"/>
  <c r="N1664" i="1"/>
  <c r="P1664" i="1"/>
  <c r="P1665" i="1" s="1"/>
  <c r="Q1664" i="1"/>
  <c r="Q1665" i="1" s="1"/>
  <c r="R1664" i="1"/>
  <c r="R1665" i="1" s="1"/>
  <c r="S1664" i="1"/>
  <c r="S1665" i="1" s="1"/>
  <c r="T1664" i="1"/>
  <c r="T1665" i="1" s="1"/>
  <c r="V1664" i="1"/>
  <c r="V1665" i="1" s="1"/>
  <c r="W1664" i="1"/>
  <c r="W1665" i="1" s="1"/>
  <c r="X1664" i="1"/>
  <c r="X1665" i="1" s="1"/>
  <c r="Y1664" i="1"/>
  <c r="Z1664" i="1"/>
  <c r="Z1665" i="1" s="1"/>
  <c r="B1665" i="1"/>
  <c r="A1666" i="1"/>
  <c r="A1667" i="1" s="1"/>
  <c r="B1666" i="1"/>
  <c r="C1666" i="1"/>
  <c r="C1667" i="1" s="1"/>
  <c r="D1666" i="1"/>
  <c r="D1667" i="1" s="1"/>
  <c r="E1666" i="1"/>
  <c r="E1667" i="1" s="1"/>
  <c r="F1666" i="1"/>
  <c r="F1667" i="1" s="1"/>
  <c r="G1666" i="1"/>
  <c r="H1666" i="1"/>
  <c r="I1666" i="1"/>
  <c r="J1666" i="1"/>
  <c r="K1666" i="1"/>
  <c r="M1666" i="1"/>
  <c r="N1666" i="1"/>
  <c r="P1666" i="1"/>
  <c r="P1667" i="1" s="1"/>
  <c r="Q1666" i="1"/>
  <c r="Q1667" i="1" s="1"/>
  <c r="R1666" i="1"/>
  <c r="R1667" i="1" s="1"/>
  <c r="S1666" i="1"/>
  <c r="S1667" i="1" s="1"/>
  <c r="T1666" i="1"/>
  <c r="T1667" i="1" s="1"/>
  <c r="V1666" i="1"/>
  <c r="V1667" i="1" s="1"/>
  <c r="W1666" i="1"/>
  <c r="W1667" i="1" s="1"/>
  <c r="X1666" i="1"/>
  <c r="X1667" i="1" s="1"/>
  <c r="Y1666" i="1"/>
  <c r="Z1666" i="1"/>
  <c r="Z1667" i="1" s="1"/>
  <c r="B1667" i="1"/>
  <c r="A1668" i="1"/>
  <c r="A1669" i="1" s="1"/>
  <c r="B1668" i="1"/>
  <c r="B1669" i="1" s="1"/>
  <c r="C1668" i="1"/>
  <c r="C1669" i="1" s="1"/>
  <c r="D1668" i="1"/>
  <c r="D1669" i="1" s="1"/>
  <c r="E1668" i="1"/>
  <c r="F1668" i="1"/>
  <c r="F1669" i="1" s="1"/>
  <c r="G1668" i="1"/>
  <c r="H1668" i="1"/>
  <c r="I1668" i="1"/>
  <c r="J1668" i="1"/>
  <c r="K1668" i="1"/>
  <c r="M1668" i="1"/>
  <c r="N1668" i="1"/>
  <c r="P1668" i="1"/>
  <c r="P1669" i="1" s="1"/>
  <c r="Q1668" i="1"/>
  <c r="Q1669" i="1" s="1"/>
  <c r="R1668" i="1"/>
  <c r="S1668" i="1"/>
  <c r="S1669" i="1" s="1"/>
  <c r="T1668" i="1"/>
  <c r="T1669" i="1" s="1"/>
  <c r="V1668" i="1"/>
  <c r="V1669" i="1" s="1"/>
  <c r="W1668" i="1"/>
  <c r="W1669" i="1" s="1"/>
  <c r="X1668" i="1"/>
  <c r="X1669" i="1" s="1"/>
  <c r="Y1668" i="1"/>
  <c r="Y1669" i="1" s="1"/>
  <c r="Z1668" i="1"/>
  <c r="Z1669" i="1" s="1"/>
  <c r="R1669" i="1"/>
  <c r="A1670" i="1"/>
  <c r="A1671" i="1" s="1"/>
  <c r="B1670" i="1"/>
  <c r="B1671" i="1" s="1"/>
  <c r="C1670" i="1"/>
  <c r="C1671" i="1" s="1"/>
  <c r="D1670" i="1"/>
  <c r="D1671" i="1" s="1"/>
  <c r="E1670" i="1"/>
  <c r="E1671" i="1" s="1"/>
  <c r="F1670" i="1"/>
  <c r="F1671" i="1" s="1"/>
  <c r="G1670" i="1"/>
  <c r="H1670" i="1"/>
  <c r="I1670" i="1"/>
  <c r="J1670" i="1"/>
  <c r="K1670" i="1"/>
  <c r="M1670" i="1"/>
  <c r="N1670" i="1"/>
  <c r="P1670" i="1"/>
  <c r="P1671" i="1" s="1"/>
  <c r="Q1670" i="1"/>
  <c r="Q1671" i="1" s="1"/>
  <c r="R1670" i="1"/>
  <c r="R1671" i="1" s="1"/>
  <c r="S1670" i="1"/>
  <c r="S1671" i="1" s="1"/>
  <c r="T1670" i="1"/>
  <c r="T1671" i="1" s="1"/>
  <c r="V1670" i="1"/>
  <c r="V1671" i="1" s="1"/>
  <c r="W1670" i="1"/>
  <c r="W1671" i="1" s="1"/>
  <c r="X1670" i="1"/>
  <c r="X1671" i="1" s="1"/>
  <c r="Y1670" i="1"/>
  <c r="Y1671" i="1" s="1"/>
  <c r="Z1670" i="1"/>
  <c r="Z1671" i="1" s="1"/>
  <c r="A1672" i="1"/>
  <c r="A1673" i="1" s="1"/>
  <c r="B1672" i="1"/>
  <c r="B1673" i="1" s="1"/>
  <c r="C1672" i="1"/>
  <c r="C1673" i="1" s="1"/>
  <c r="D1672" i="1"/>
  <c r="E1672" i="1"/>
  <c r="E1673" i="1" s="1"/>
  <c r="F1672" i="1"/>
  <c r="F1673" i="1" s="1"/>
  <c r="G1672" i="1"/>
  <c r="H1672" i="1"/>
  <c r="I1672" i="1"/>
  <c r="J1672" i="1"/>
  <c r="K1672" i="1"/>
  <c r="M1672" i="1"/>
  <c r="N1672" i="1"/>
  <c r="P1672" i="1"/>
  <c r="P1673" i="1" s="1"/>
  <c r="Q1672" i="1"/>
  <c r="Q1673" i="1" s="1"/>
  <c r="R1672" i="1"/>
  <c r="R1673" i="1" s="1"/>
  <c r="S1672" i="1"/>
  <c r="S1673" i="1" s="1"/>
  <c r="T1672" i="1"/>
  <c r="T1673" i="1" s="1"/>
  <c r="V1672" i="1"/>
  <c r="V1673" i="1" s="1"/>
  <c r="W1672" i="1"/>
  <c r="W1673" i="1" s="1"/>
  <c r="X1672" i="1"/>
  <c r="X1673" i="1" s="1"/>
  <c r="Y1672" i="1"/>
  <c r="Y1673" i="1" s="1"/>
  <c r="Z1672" i="1"/>
  <c r="Z1673" i="1" s="1"/>
  <c r="D1673" i="1"/>
  <c r="A1674" i="1"/>
  <c r="A1675" i="1" s="1"/>
  <c r="B1674" i="1"/>
  <c r="B1675" i="1" s="1"/>
  <c r="C1674" i="1"/>
  <c r="C1675" i="1" s="1"/>
  <c r="D1674" i="1"/>
  <c r="D1675" i="1" s="1"/>
  <c r="E1674" i="1"/>
  <c r="E1675" i="1" s="1"/>
  <c r="F1674" i="1"/>
  <c r="F1675" i="1" s="1"/>
  <c r="G1674" i="1"/>
  <c r="H1674" i="1"/>
  <c r="I1674" i="1"/>
  <c r="J1674" i="1"/>
  <c r="K1674" i="1"/>
  <c r="M1674" i="1"/>
  <c r="N1674" i="1"/>
  <c r="P1674" i="1"/>
  <c r="P1675" i="1" s="1"/>
  <c r="Q1674" i="1"/>
  <c r="Q1675" i="1" s="1"/>
  <c r="R1674" i="1"/>
  <c r="R1675" i="1" s="1"/>
  <c r="S1674" i="1"/>
  <c r="S1675" i="1" s="1"/>
  <c r="T1674" i="1"/>
  <c r="T1675" i="1" s="1"/>
  <c r="V1674" i="1"/>
  <c r="V1675" i="1" s="1"/>
  <c r="W1674" i="1"/>
  <c r="W1675" i="1" s="1"/>
  <c r="X1674" i="1"/>
  <c r="X1675" i="1" s="1"/>
  <c r="Y1674" i="1"/>
  <c r="Y1675" i="1" s="1"/>
  <c r="Z1674" i="1"/>
  <c r="Z1675" i="1" s="1"/>
  <c r="A1676" i="1"/>
  <c r="A1677" i="1" s="1"/>
  <c r="B1676" i="1"/>
  <c r="B1677" i="1" s="1"/>
  <c r="C1676" i="1"/>
  <c r="C1677" i="1" s="1"/>
  <c r="D1676" i="1"/>
  <c r="D1677" i="1" s="1"/>
  <c r="E1676" i="1"/>
  <c r="E1677" i="1" s="1"/>
  <c r="F1676" i="1"/>
  <c r="F1677" i="1" s="1"/>
  <c r="G1676" i="1"/>
  <c r="H1676" i="1"/>
  <c r="I1676" i="1"/>
  <c r="J1676" i="1"/>
  <c r="K1676" i="1"/>
  <c r="M1676" i="1"/>
  <c r="N1676" i="1"/>
  <c r="P1676" i="1"/>
  <c r="P1677" i="1" s="1"/>
  <c r="Q1676" i="1"/>
  <c r="Q1677" i="1" s="1"/>
  <c r="R1676" i="1"/>
  <c r="R1677" i="1" s="1"/>
  <c r="S1676" i="1"/>
  <c r="S1677" i="1" s="1"/>
  <c r="T1676" i="1"/>
  <c r="T1677" i="1" s="1"/>
  <c r="V1676" i="1"/>
  <c r="V1677" i="1" s="1"/>
  <c r="W1676" i="1"/>
  <c r="W1677" i="1" s="1"/>
  <c r="X1676" i="1"/>
  <c r="X1677" i="1" s="1"/>
  <c r="Y1676" i="1"/>
  <c r="Y1677" i="1" s="1"/>
  <c r="Z1676" i="1"/>
  <c r="Z1677" i="1" s="1"/>
  <c r="A1678" i="1"/>
  <c r="A1679" i="1" s="1"/>
  <c r="B1678" i="1"/>
  <c r="B1679" i="1" s="1"/>
  <c r="C1678" i="1"/>
  <c r="C1679" i="1" s="1"/>
  <c r="D1678" i="1"/>
  <c r="D1679" i="1" s="1"/>
  <c r="E1678" i="1"/>
  <c r="E1679" i="1" s="1"/>
  <c r="F1678" i="1"/>
  <c r="F1679" i="1" s="1"/>
  <c r="G1678" i="1"/>
  <c r="H1678" i="1"/>
  <c r="I1678" i="1"/>
  <c r="J1678" i="1"/>
  <c r="K1678" i="1"/>
  <c r="M1678" i="1"/>
  <c r="N1678" i="1"/>
  <c r="P1678" i="1"/>
  <c r="P1679" i="1" s="1"/>
  <c r="Q1678" i="1"/>
  <c r="Q1679" i="1" s="1"/>
  <c r="R1678" i="1"/>
  <c r="R1679" i="1" s="1"/>
  <c r="S1678" i="1"/>
  <c r="S1679" i="1" s="1"/>
  <c r="T1678" i="1"/>
  <c r="T1679" i="1" s="1"/>
  <c r="V1678" i="1"/>
  <c r="V1679" i="1" s="1"/>
  <c r="W1678" i="1"/>
  <c r="W1679" i="1" s="1"/>
  <c r="X1678" i="1"/>
  <c r="X1679" i="1" s="1"/>
  <c r="Y1678" i="1"/>
  <c r="Y1679" i="1" s="1"/>
  <c r="Z1678" i="1"/>
  <c r="Z1679" i="1" s="1"/>
  <c r="A1680" i="1"/>
  <c r="A1681" i="1" s="1"/>
  <c r="B1680" i="1"/>
  <c r="B1681" i="1" s="1"/>
  <c r="C1680" i="1"/>
  <c r="C1681" i="1" s="1"/>
  <c r="D1680" i="1"/>
  <c r="E1680" i="1"/>
  <c r="E1681" i="1" s="1"/>
  <c r="F1680" i="1"/>
  <c r="F1681" i="1" s="1"/>
  <c r="G1680" i="1"/>
  <c r="H1680" i="1"/>
  <c r="I1680" i="1"/>
  <c r="J1680" i="1"/>
  <c r="K1680" i="1"/>
  <c r="M1680" i="1"/>
  <c r="N1680" i="1"/>
  <c r="P1680" i="1"/>
  <c r="P1681" i="1" s="1"/>
  <c r="Q1680" i="1"/>
  <c r="Q1681" i="1" s="1"/>
  <c r="R1680" i="1"/>
  <c r="R1681" i="1" s="1"/>
  <c r="S1680" i="1"/>
  <c r="S1681" i="1" s="1"/>
  <c r="T1680" i="1"/>
  <c r="T1681" i="1" s="1"/>
  <c r="V1680" i="1"/>
  <c r="V1681" i="1" s="1"/>
  <c r="W1680" i="1"/>
  <c r="W1681" i="1" s="1"/>
  <c r="X1680" i="1"/>
  <c r="X1681" i="1" s="1"/>
  <c r="Y1680" i="1"/>
  <c r="Y1681" i="1" s="1"/>
  <c r="Z1680" i="1"/>
  <c r="Z1681" i="1" s="1"/>
  <c r="D1681" i="1"/>
  <c r="A1682" i="1"/>
  <c r="A1683" i="1" s="1"/>
  <c r="B1682" i="1"/>
  <c r="B1683" i="1" s="1"/>
  <c r="C1682" i="1"/>
  <c r="C1683" i="1" s="1"/>
  <c r="D1682" i="1"/>
  <c r="D1683" i="1" s="1"/>
  <c r="E1682" i="1"/>
  <c r="E1683" i="1" s="1"/>
  <c r="F1682" i="1"/>
  <c r="G1682" i="1"/>
  <c r="H1682" i="1"/>
  <c r="I1682" i="1"/>
  <c r="J1682" i="1"/>
  <c r="K1682" i="1"/>
  <c r="M1682" i="1"/>
  <c r="N1682" i="1"/>
  <c r="P1682" i="1"/>
  <c r="P1683" i="1" s="1"/>
  <c r="Q1682" i="1"/>
  <c r="Q1683" i="1" s="1"/>
  <c r="R1682" i="1"/>
  <c r="R1683" i="1" s="1"/>
  <c r="S1682" i="1"/>
  <c r="S1683" i="1" s="1"/>
  <c r="T1682" i="1"/>
  <c r="T1683" i="1" s="1"/>
  <c r="V1682" i="1"/>
  <c r="V1683" i="1" s="1"/>
  <c r="W1682" i="1"/>
  <c r="W1683" i="1" s="1"/>
  <c r="X1682" i="1"/>
  <c r="X1683" i="1" s="1"/>
  <c r="Y1682" i="1"/>
  <c r="Y1683" i="1" s="1"/>
  <c r="Z1682" i="1"/>
  <c r="Z1683" i="1" s="1"/>
  <c r="F1683" i="1"/>
  <c r="A1684" i="1"/>
  <c r="A1685" i="1" s="1"/>
  <c r="B1684" i="1"/>
  <c r="B1685" i="1" s="1"/>
  <c r="C1684" i="1"/>
  <c r="C1685" i="1" s="1"/>
  <c r="D1684" i="1"/>
  <c r="E1684" i="1"/>
  <c r="F1684" i="1"/>
  <c r="F1685" i="1" s="1"/>
  <c r="G1684" i="1"/>
  <c r="H1684" i="1"/>
  <c r="I1684" i="1"/>
  <c r="J1684" i="1"/>
  <c r="K1684" i="1"/>
  <c r="M1684" i="1"/>
  <c r="N1684" i="1"/>
  <c r="P1684" i="1"/>
  <c r="P1685" i="1" s="1"/>
  <c r="Q1684" i="1"/>
  <c r="Q1685" i="1" s="1"/>
  <c r="R1684" i="1"/>
  <c r="R1685" i="1" s="1"/>
  <c r="S1684" i="1"/>
  <c r="S1685" i="1" s="1"/>
  <c r="T1684" i="1"/>
  <c r="T1685" i="1" s="1"/>
  <c r="V1684" i="1"/>
  <c r="V1685" i="1" s="1"/>
  <c r="W1684" i="1"/>
  <c r="W1685" i="1" s="1"/>
  <c r="X1684" i="1"/>
  <c r="X1685" i="1" s="1"/>
  <c r="Y1684" i="1"/>
  <c r="Y1685" i="1" s="1"/>
  <c r="Z1684" i="1"/>
  <c r="Z1685" i="1" s="1"/>
  <c r="D1685" i="1"/>
  <c r="A1686" i="1"/>
  <c r="A1687" i="1" s="1"/>
  <c r="B1686" i="1"/>
  <c r="B1687" i="1" s="1"/>
  <c r="C1686" i="1"/>
  <c r="C1687" i="1" s="1"/>
  <c r="D1686" i="1"/>
  <c r="D1687" i="1" s="1"/>
  <c r="E1686" i="1"/>
  <c r="E1687" i="1" s="1"/>
  <c r="F1686" i="1"/>
  <c r="F1687" i="1" s="1"/>
  <c r="G1686" i="1"/>
  <c r="H1686" i="1"/>
  <c r="I1686" i="1"/>
  <c r="J1686" i="1"/>
  <c r="K1686" i="1"/>
  <c r="M1686" i="1"/>
  <c r="N1686" i="1"/>
  <c r="P1686" i="1"/>
  <c r="P1687" i="1" s="1"/>
  <c r="Q1686" i="1"/>
  <c r="Q1687" i="1" s="1"/>
  <c r="R1686" i="1"/>
  <c r="R1687" i="1" s="1"/>
  <c r="S1686" i="1"/>
  <c r="S1687" i="1" s="1"/>
  <c r="T1686" i="1"/>
  <c r="T1687" i="1" s="1"/>
  <c r="V1686" i="1"/>
  <c r="V1687" i="1" s="1"/>
  <c r="W1686" i="1"/>
  <c r="W1687" i="1" s="1"/>
  <c r="X1686" i="1"/>
  <c r="X1687" i="1" s="1"/>
  <c r="Y1686" i="1"/>
  <c r="Y1687" i="1" s="1"/>
  <c r="Z1686" i="1"/>
  <c r="Z1687" i="1" s="1"/>
  <c r="A1688" i="1"/>
  <c r="A1689" i="1" s="1"/>
  <c r="B1688" i="1"/>
  <c r="B1689" i="1" s="1"/>
  <c r="C1688" i="1"/>
  <c r="C1689" i="1" s="1"/>
  <c r="D1688" i="1"/>
  <c r="D1689" i="1" s="1"/>
  <c r="E1688" i="1"/>
  <c r="E1689" i="1" s="1"/>
  <c r="F1688" i="1"/>
  <c r="F1689" i="1" s="1"/>
  <c r="G1688" i="1"/>
  <c r="H1688" i="1"/>
  <c r="I1688" i="1"/>
  <c r="J1688" i="1"/>
  <c r="K1688" i="1"/>
  <c r="M1688" i="1"/>
  <c r="N1688" i="1"/>
  <c r="P1688" i="1"/>
  <c r="P1689" i="1" s="1"/>
  <c r="Q1688" i="1"/>
  <c r="Q1689" i="1" s="1"/>
  <c r="R1688" i="1"/>
  <c r="R1689" i="1" s="1"/>
  <c r="S1688" i="1"/>
  <c r="S1689" i="1" s="1"/>
  <c r="T1688" i="1"/>
  <c r="T1689" i="1" s="1"/>
  <c r="V1688" i="1"/>
  <c r="V1689" i="1" s="1"/>
  <c r="W1688" i="1"/>
  <c r="W1689" i="1" s="1"/>
  <c r="X1688" i="1"/>
  <c r="X1689" i="1" s="1"/>
  <c r="Y1688" i="1"/>
  <c r="Y1689" i="1" s="1"/>
  <c r="Z1688" i="1"/>
  <c r="Z1689" i="1" s="1"/>
  <c r="A1690" i="1"/>
  <c r="A1691" i="1" s="1"/>
  <c r="B1690" i="1"/>
  <c r="B1691" i="1" s="1"/>
  <c r="C1690" i="1"/>
  <c r="C1691" i="1" s="1"/>
  <c r="D1690" i="1"/>
  <c r="D1691" i="1" s="1"/>
  <c r="E1690" i="1"/>
  <c r="E1691" i="1" s="1"/>
  <c r="F1690" i="1"/>
  <c r="F1691" i="1" s="1"/>
  <c r="G1690" i="1"/>
  <c r="H1690" i="1"/>
  <c r="I1690" i="1"/>
  <c r="J1690" i="1"/>
  <c r="K1690" i="1"/>
  <c r="M1690" i="1"/>
  <c r="N1690" i="1"/>
  <c r="P1690" i="1"/>
  <c r="P1691" i="1" s="1"/>
  <c r="Q1690" i="1"/>
  <c r="Q1691" i="1" s="1"/>
  <c r="R1690" i="1"/>
  <c r="R1691" i="1" s="1"/>
  <c r="S1690" i="1"/>
  <c r="S1691" i="1" s="1"/>
  <c r="T1690" i="1"/>
  <c r="T1691" i="1" s="1"/>
  <c r="V1690" i="1"/>
  <c r="V1691" i="1" s="1"/>
  <c r="W1690" i="1"/>
  <c r="W1691" i="1" s="1"/>
  <c r="X1690" i="1"/>
  <c r="X1691" i="1" s="1"/>
  <c r="Y1690" i="1"/>
  <c r="Y1691" i="1" s="1"/>
  <c r="Z1690" i="1"/>
  <c r="Z1691" i="1" s="1"/>
  <c r="A1692" i="1"/>
  <c r="A1693" i="1" s="1"/>
  <c r="B1692" i="1"/>
  <c r="B1693" i="1" s="1"/>
  <c r="C1692" i="1"/>
  <c r="C1693" i="1" s="1"/>
  <c r="D1692" i="1"/>
  <c r="E1692" i="1"/>
  <c r="E1693" i="1" s="1"/>
  <c r="F1692" i="1"/>
  <c r="F1693" i="1" s="1"/>
  <c r="G1692" i="1"/>
  <c r="H1692" i="1"/>
  <c r="I1692" i="1"/>
  <c r="J1692" i="1"/>
  <c r="K1692" i="1"/>
  <c r="M1692" i="1"/>
  <c r="N1692" i="1"/>
  <c r="P1692" i="1"/>
  <c r="P1693" i="1" s="1"/>
  <c r="Q1692" i="1"/>
  <c r="Q1693" i="1" s="1"/>
  <c r="R1692" i="1"/>
  <c r="R1693" i="1" s="1"/>
  <c r="S1692" i="1"/>
  <c r="S1693" i="1" s="1"/>
  <c r="T1692" i="1"/>
  <c r="T1693" i="1" s="1"/>
  <c r="V1692" i="1"/>
  <c r="V1693" i="1" s="1"/>
  <c r="W1692" i="1"/>
  <c r="X1692" i="1"/>
  <c r="X1693" i="1" s="1"/>
  <c r="Y1692" i="1"/>
  <c r="Y1693" i="1" s="1"/>
  <c r="Z1692" i="1"/>
  <c r="Z1693" i="1" s="1"/>
  <c r="W1693" i="1"/>
  <c r="A1694" i="1"/>
  <c r="A1695" i="1" s="1"/>
  <c r="B1694" i="1"/>
  <c r="B1695" i="1" s="1"/>
  <c r="C1694" i="1"/>
  <c r="C1695" i="1" s="1"/>
  <c r="D1694" i="1"/>
  <c r="D1695" i="1" s="1"/>
  <c r="E1694" i="1"/>
  <c r="E1695" i="1" s="1"/>
  <c r="F1694" i="1"/>
  <c r="F1695" i="1" s="1"/>
  <c r="G1694" i="1"/>
  <c r="H1694" i="1"/>
  <c r="I1694" i="1"/>
  <c r="J1694" i="1"/>
  <c r="K1694" i="1"/>
  <c r="M1694" i="1"/>
  <c r="N1694" i="1"/>
  <c r="P1694" i="1"/>
  <c r="P1695" i="1" s="1"/>
  <c r="Q1694" i="1"/>
  <c r="Q1695" i="1" s="1"/>
  <c r="R1694" i="1"/>
  <c r="R1695" i="1" s="1"/>
  <c r="S1694" i="1"/>
  <c r="S1695" i="1" s="1"/>
  <c r="T1694" i="1"/>
  <c r="T1695" i="1" s="1"/>
  <c r="V1694" i="1"/>
  <c r="V1695" i="1" s="1"/>
  <c r="W1694" i="1"/>
  <c r="W1695" i="1" s="1"/>
  <c r="X1694" i="1"/>
  <c r="X1695" i="1" s="1"/>
  <c r="Y1694" i="1"/>
  <c r="Y1695" i="1" s="1"/>
  <c r="Z1694" i="1"/>
  <c r="Z1695" i="1" s="1"/>
  <c r="A1696" i="1"/>
  <c r="A1697" i="1" s="1"/>
  <c r="B1696" i="1"/>
  <c r="B1697" i="1" s="1"/>
  <c r="C1696" i="1"/>
  <c r="C1697" i="1" s="1"/>
  <c r="D1696" i="1"/>
  <c r="D1697" i="1" s="1"/>
  <c r="E1696" i="1"/>
  <c r="E1697" i="1" s="1"/>
  <c r="F1696" i="1"/>
  <c r="F1697" i="1" s="1"/>
  <c r="G1696" i="1"/>
  <c r="H1696" i="1"/>
  <c r="I1696" i="1"/>
  <c r="J1696" i="1"/>
  <c r="K1696" i="1"/>
  <c r="M1696" i="1"/>
  <c r="N1696" i="1"/>
  <c r="P1696" i="1"/>
  <c r="P1697" i="1" s="1"/>
  <c r="Q1696" i="1"/>
  <c r="Q1697" i="1" s="1"/>
  <c r="R1696" i="1"/>
  <c r="R1697" i="1" s="1"/>
  <c r="S1696" i="1"/>
  <c r="S1697" i="1" s="1"/>
  <c r="T1696" i="1"/>
  <c r="T1697" i="1" s="1"/>
  <c r="V1696" i="1"/>
  <c r="V1697" i="1" s="1"/>
  <c r="W1696" i="1"/>
  <c r="W1697" i="1" s="1"/>
  <c r="X1696" i="1"/>
  <c r="X1697" i="1" s="1"/>
  <c r="Y1696" i="1"/>
  <c r="Z1696" i="1"/>
  <c r="Z1697" i="1" s="1"/>
  <c r="A1698" i="1"/>
  <c r="A1699" i="1" s="1"/>
  <c r="B1698" i="1"/>
  <c r="B1699" i="1" s="1"/>
  <c r="C1698" i="1"/>
  <c r="C1699" i="1" s="1"/>
  <c r="D1698" i="1"/>
  <c r="E1698" i="1"/>
  <c r="E1699" i="1" s="1"/>
  <c r="F1698" i="1"/>
  <c r="F1699" i="1" s="1"/>
  <c r="G1698" i="1"/>
  <c r="H1698" i="1"/>
  <c r="I1698" i="1"/>
  <c r="J1698" i="1"/>
  <c r="K1698" i="1"/>
  <c r="M1698" i="1"/>
  <c r="N1698" i="1"/>
  <c r="P1698" i="1"/>
  <c r="P1699" i="1" s="1"/>
  <c r="Q1698" i="1"/>
  <c r="Q1699" i="1" s="1"/>
  <c r="R1698" i="1"/>
  <c r="R1699" i="1" s="1"/>
  <c r="S1698" i="1"/>
  <c r="S1699" i="1" s="1"/>
  <c r="T1698" i="1"/>
  <c r="T1699" i="1" s="1"/>
  <c r="V1698" i="1"/>
  <c r="V1699" i="1" s="1"/>
  <c r="W1698" i="1"/>
  <c r="W1699" i="1" s="1"/>
  <c r="X1698" i="1"/>
  <c r="X1699" i="1" s="1"/>
  <c r="Y1698" i="1"/>
  <c r="Y1699" i="1" s="1"/>
  <c r="Z1698" i="1"/>
  <c r="Z1699" i="1" s="1"/>
  <c r="D1699" i="1"/>
  <c r="A1700" i="1"/>
  <c r="A1701" i="1" s="1"/>
  <c r="B1700" i="1"/>
  <c r="B1701" i="1" s="1"/>
  <c r="C1700" i="1"/>
  <c r="D1700" i="1"/>
  <c r="E1700" i="1"/>
  <c r="E1701" i="1" s="1"/>
  <c r="F1700" i="1"/>
  <c r="F1701" i="1" s="1"/>
  <c r="G1700" i="1"/>
  <c r="H1700" i="1"/>
  <c r="I1700" i="1"/>
  <c r="J1700" i="1"/>
  <c r="K1700" i="1"/>
  <c r="M1700" i="1"/>
  <c r="N1700" i="1"/>
  <c r="P1700" i="1"/>
  <c r="P1701" i="1" s="1"/>
  <c r="Q1700" i="1"/>
  <c r="Q1701" i="1" s="1"/>
  <c r="R1700" i="1"/>
  <c r="R1701" i="1" s="1"/>
  <c r="S1700" i="1"/>
  <c r="S1701" i="1" s="1"/>
  <c r="T1700" i="1"/>
  <c r="T1701" i="1" s="1"/>
  <c r="V1700" i="1"/>
  <c r="V1701" i="1" s="1"/>
  <c r="W1700" i="1"/>
  <c r="W1701" i="1" s="1"/>
  <c r="X1700" i="1"/>
  <c r="X1701" i="1" s="1"/>
  <c r="Y1700" i="1"/>
  <c r="Y1701" i="1" s="1"/>
  <c r="Z1700" i="1"/>
  <c r="Z1701" i="1" s="1"/>
  <c r="D1701" i="1"/>
  <c r="A1702" i="1"/>
  <c r="A1703" i="1" s="1"/>
  <c r="B1702" i="1"/>
  <c r="B1703" i="1" s="1"/>
  <c r="C1702" i="1"/>
  <c r="C1703" i="1" s="1"/>
  <c r="D1702" i="1"/>
  <c r="E1702" i="1"/>
  <c r="E1703" i="1" s="1"/>
  <c r="F1702" i="1"/>
  <c r="F1703" i="1" s="1"/>
  <c r="G1702" i="1"/>
  <c r="H1702" i="1"/>
  <c r="I1702" i="1"/>
  <c r="J1702" i="1"/>
  <c r="K1702" i="1"/>
  <c r="M1702" i="1"/>
  <c r="N1702" i="1"/>
  <c r="P1702" i="1"/>
  <c r="P1703" i="1" s="1"/>
  <c r="Q1702" i="1"/>
  <c r="Q1703" i="1" s="1"/>
  <c r="R1702" i="1"/>
  <c r="R1703" i="1" s="1"/>
  <c r="S1702" i="1"/>
  <c r="S1703" i="1" s="1"/>
  <c r="T1702" i="1"/>
  <c r="T1703" i="1" s="1"/>
  <c r="V1702" i="1"/>
  <c r="V1703" i="1" s="1"/>
  <c r="W1702" i="1"/>
  <c r="W1703" i="1" s="1"/>
  <c r="X1702" i="1"/>
  <c r="X1703" i="1" s="1"/>
  <c r="Y1702" i="1"/>
  <c r="Y1703" i="1" s="1"/>
  <c r="Z1702" i="1"/>
  <c r="Z1703" i="1" s="1"/>
  <c r="D1703" i="1"/>
  <c r="A1704" i="1"/>
  <c r="A1705" i="1" s="1"/>
  <c r="B1704" i="1"/>
  <c r="B1705" i="1" s="1"/>
  <c r="C1704" i="1"/>
  <c r="C1705" i="1" s="1"/>
  <c r="D1704" i="1"/>
  <c r="D1705" i="1" s="1"/>
  <c r="E1704" i="1"/>
  <c r="E1705" i="1" s="1"/>
  <c r="F1704" i="1"/>
  <c r="F1705" i="1" s="1"/>
  <c r="G1704" i="1"/>
  <c r="H1704" i="1"/>
  <c r="I1704" i="1"/>
  <c r="J1704" i="1"/>
  <c r="K1704" i="1"/>
  <c r="M1704" i="1"/>
  <c r="N1704" i="1"/>
  <c r="P1704" i="1"/>
  <c r="P1705" i="1" s="1"/>
  <c r="Q1704" i="1"/>
  <c r="Q1705" i="1" s="1"/>
  <c r="R1704" i="1"/>
  <c r="R1705" i="1" s="1"/>
  <c r="S1704" i="1"/>
  <c r="S1705" i="1" s="1"/>
  <c r="T1704" i="1"/>
  <c r="T1705" i="1" s="1"/>
  <c r="V1704" i="1"/>
  <c r="V1705" i="1" s="1"/>
  <c r="W1704" i="1"/>
  <c r="W1705" i="1" s="1"/>
  <c r="X1704" i="1"/>
  <c r="X1705" i="1" s="1"/>
  <c r="Y1704" i="1"/>
  <c r="Y1705" i="1" s="1"/>
  <c r="Z1704" i="1"/>
  <c r="Z1705" i="1" s="1"/>
  <c r="A1706" i="1"/>
  <c r="A1707" i="1" s="1"/>
  <c r="B1706" i="1"/>
  <c r="B1707" i="1" s="1"/>
  <c r="C1706" i="1"/>
  <c r="C1707" i="1" s="1"/>
  <c r="D1706" i="1"/>
  <c r="D1707" i="1" s="1"/>
  <c r="E1706" i="1"/>
  <c r="E1707" i="1" s="1"/>
  <c r="F1706" i="1"/>
  <c r="G1706" i="1"/>
  <c r="H1706" i="1"/>
  <c r="I1706" i="1"/>
  <c r="J1706" i="1"/>
  <c r="K1706" i="1"/>
  <c r="M1706" i="1"/>
  <c r="N1706" i="1"/>
  <c r="P1706" i="1"/>
  <c r="P1707" i="1" s="1"/>
  <c r="Q1706" i="1"/>
  <c r="Q1707" i="1" s="1"/>
  <c r="R1706" i="1"/>
  <c r="R1707" i="1" s="1"/>
  <c r="S1706" i="1"/>
  <c r="S1707" i="1" s="1"/>
  <c r="T1706" i="1"/>
  <c r="T1707" i="1" s="1"/>
  <c r="V1706" i="1"/>
  <c r="V1707" i="1" s="1"/>
  <c r="W1706" i="1"/>
  <c r="W1707" i="1" s="1"/>
  <c r="X1706" i="1"/>
  <c r="X1707" i="1" s="1"/>
  <c r="Y1706" i="1"/>
  <c r="Y1707" i="1" s="1"/>
  <c r="Z1706" i="1"/>
  <c r="Z1707" i="1" s="1"/>
  <c r="A1708" i="1"/>
  <c r="A1709" i="1" s="1"/>
  <c r="B1708" i="1"/>
  <c r="B1709" i="1" s="1"/>
  <c r="C1708" i="1"/>
  <c r="C1709" i="1" s="1"/>
  <c r="D1708" i="1"/>
  <c r="E1708" i="1"/>
  <c r="E1709" i="1" s="1"/>
  <c r="F1708" i="1"/>
  <c r="G1708" i="1"/>
  <c r="H1708" i="1"/>
  <c r="I1708" i="1"/>
  <c r="J1708" i="1"/>
  <c r="K1708" i="1"/>
  <c r="M1708" i="1"/>
  <c r="N1708" i="1"/>
  <c r="P1708" i="1"/>
  <c r="P1709" i="1" s="1"/>
  <c r="Q1708" i="1"/>
  <c r="Q1709" i="1" s="1"/>
  <c r="R1708" i="1"/>
  <c r="R1709" i="1" s="1"/>
  <c r="S1708" i="1"/>
  <c r="S1709" i="1" s="1"/>
  <c r="T1708" i="1"/>
  <c r="T1709" i="1" s="1"/>
  <c r="V1708" i="1"/>
  <c r="V1709" i="1" s="1"/>
  <c r="W1708" i="1"/>
  <c r="W1709" i="1" s="1"/>
  <c r="X1708" i="1"/>
  <c r="X1709" i="1" s="1"/>
  <c r="Y1708" i="1"/>
  <c r="Y1709" i="1" s="1"/>
  <c r="Z1708" i="1"/>
  <c r="Z1709" i="1" s="1"/>
  <c r="A1710" i="1"/>
  <c r="A1711" i="1" s="1"/>
  <c r="B1710" i="1"/>
  <c r="B1711" i="1" s="1"/>
  <c r="C1710" i="1"/>
  <c r="C1711" i="1" s="1"/>
  <c r="D1710" i="1"/>
  <c r="D1711" i="1" s="1"/>
  <c r="E1710" i="1"/>
  <c r="E1711" i="1" s="1"/>
  <c r="F1710" i="1"/>
  <c r="F1711" i="1" s="1"/>
  <c r="G1710" i="1"/>
  <c r="H1710" i="1"/>
  <c r="I1710" i="1"/>
  <c r="J1710" i="1"/>
  <c r="K1710" i="1"/>
  <c r="M1710" i="1"/>
  <c r="N1710" i="1"/>
  <c r="P1710" i="1"/>
  <c r="P1711" i="1" s="1"/>
  <c r="Q1710" i="1"/>
  <c r="Q1711" i="1" s="1"/>
  <c r="R1710" i="1"/>
  <c r="R1711" i="1" s="1"/>
  <c r="S1710" i="1"/>
  <c r="S1711" i="1" s="1"/>
  <c r="T1710" i="1"/>
  <c r="T1711" i="1" s="1"/>
  <c r="V1710" i="1"/>
  <c r="V1711" i="1" s="1"/>
  <c r="W1710" i="1"/>
  <c r="W1711" i="1" s="1"/>
  <c r="X1710" i="1"/>
  <c r="X1711" i="1" s="1"/>
  <c r="Y1710" i="1"/>
  <c r="Y1711" i="1" s="1"/>
  <c r="Z1710" i="1"/>
  <c r="Z1711" i="1" s="1"/>
  <c r="A1712" i="1"/>
  <c r="A1713" i="1" s="1"/>
  <c r="B1712" i="1"/>
  <c r="C1712" i="1"/>
  <c r="C1713" i="1" s="1"/>
  <c r="D1712" i="1"/>
  <c r="D1713" i="1" s="1"/>
  <c r="E1712" i="1"/>
  <c r="E1713" i="1" s="1"/>
  <c r="F1712" i="1"/>
  <c r="F1713" i="1" s="1"/>
  <c r="G1712" i="1"/>
  <c r="H1712" i="1"/>
  <c r="I1712" i="1"/>
  <c r="J1712" i="1"/>
  <c r="K1712" i="1"/>
  <c r="M1712" i="1"/>
  <c r="N1712" i="1"/>
  <c r="P1712" i="1"/>
  <c r="P1713" i="1" s="1"/>
  <c r="Q1712" i="1"/>
  <c r="Q1713" i="1" s="1"/>
  <c r="R1712" i="1"/>
  <c r="R1713" i="1" s="1"/>
  <c r="S1712" i="1"/>
  <c r="S1713" i="1" s="1"/>
  <c r="T1712" i="1"/>
  <c r="T1713" i="1" s="1"/>
  <c r="V1712" i="1"/>
  <c r="V1713" i="1" s="1"/>
  <c r="W1712" i="1"/>
  <c r="W1713" i="1" s="1"/>
  <c r="X1712" i="1"/>
  <c r="X1713" i="1" s="1"/>
  <c r="Y1712" i="1"/>
  <c r="Z1712" i="1"/>
  <c r="Z1713" i="1" s="1"/>
  <c r="B1713" i="1"/>
  <c r="A1714" i="1"/>
  <c r="A1715" i="1" s="1"/>
  <c r="B1714" i="1"/>
  <c r="B1715" i="1" s="1"/>
  <c r="C1714" i="1"/>
  <c r="C1715" i="1" s="1"/>
  <c r="D1714" i="1"/>
  <c r="D1715" i="1" s="1"/>
  <c r="E1714" i="1"/>
  <c r="E1715" i="1" s="1"/>
  <c r="F1714" i="1"/>
  <c r="G1714" i="1"/>
  <c r="H1714" i="1"/>
  <c r="I1714" i="1"/>
  <c r="J1714" i="1"/>
  <c r="K1714" i="1"/>
  <c r="M1714" i="1"/>
  <c r="N1714" i="1"/>
  <c r="P1714" i="1"/>
  <c r="P1715" i="1" s="1"/>
  <c r="Q1714" i="1"/>
  <c r="Q1715" i="1" s="1"/>
  <c r="R1714" i="1"/>
  <c r="R1715" i="1" s="1"/>
  <c r="S1714" i="1"/>
  <c r="S1715" i="1" s="1"/>
  <c r="T1714" i="1"/>
  <c r="T1715" i="1" s="1"/>
  <c r="V1714" i="1"/>
  <c r="V1715" i="1" s="1"/>
  <c r="W1714" i="1"/>
  <c r="W1715" i="1" s="1"/>
  <c r="X1714" i="1"/>
  <c r="X1715" i="1" s="1"/>
  <c r="Y1714" i="1"/>
  <c r="Y1715" i="1" s="1"/>
  <c r="Z1714" i="1"/>
  <c r="Z1715" i="1" s="1"/>
  <c r="A1716" i="1"/>
  <c r="A1717" i="1" s="1"/>
  <c r="B1716" i="1"/>
  <c r="B1717" i="1" s="1"/>
  <c r="C1716" i="1"/>
  <c r="C1717" i="1" s="1"/>
  <c r="D1716" i="1"/>
  <c r="D1717" i="1" s="1"/>
  <c r="E1716" i="1"/>
  <c r="E1717" i="1" s="1"/>
  <c r="F1716" i="1"/>
  <c r="G1716" i="1"/>
  <c r="H1716" i="1"/>
  <c r="I1716" i="1"/>
  <c r="J1716" i="1"/>
  <c r="K1716" i="1"/>
  <c r="M1716" i="1"/>
  <c r="N1716" i="1"/>
  <c r="P1716" i="1"/>
  <c r="P1717" i="1" s="1"/>
  <c r="Q1716" i="1"/>
  <c r="Q1717" i="1" s="1"/>
  <c r="R1716" i="1"/>
  <c r="R1717" i="1" s="1"/>
  <c r="S1716" i="1"/>
  <c r="S1717" i="1" s="1"/>
  <c r="T1716" i="1"/>
  <c r="T1717" i="1" s="1"/>
  <c r="V1716" i="1"/>
  <c r="V1717" i="1" s="1"/>
  <c r="W1716" i="1"/>
  <c r="W1717" i="1" s="1"/>
  <c r="X1716" i="1"/>
  <c r="X1717" i="1" s="1"/>
  <c r="Y1716" i="1"/>
  <c r="Y1717" i="1" s="1"/>
  <c r="Z1716" i="1"/>
  <c r="Z1717" i="1" s="1"/>
  <c r="A1718" i="1"/>
  <c r="A1719" i="1" s="1"/>
  <c r="B1718" i="1"/>
  <c r="B1719" i="1" s="1"/>
  <c r="C1718" i="1"/>
  <c r="C1719" i="1" s="1"/>
  <c r="D1718" i="1"/>
  <c r="D1719" i="1" s="1"/>
  <c r="E1718" i="1"/>
  <c r="E1719" i="1" s="1"/>
  <c r="F1718" i="1"/>
  <c r="F1719" i="1" s="1"/>
  <c r="G1718" i="1"/>
  <c r="H1718" i="1"/>
  <c r="I1718" i="1"/>
  <c r="J1718" i="1"/>
  <c r="K1718" i="1"/>
  <c r="M1718" i="1"/>
  <c r="N1718" i="1"/>
  <c r="P1718" i="1"/>
  <c r="P1719" i="1" s="1"/>
  <c r="Q1718" i="1"/>
  <c r="Q1719" i="1" s="1"/>
  <c r="R1718" i="1"/>
  <c r="R1719" i="1" s="1"/>
  <c r="S1718" i="1"/>
  <c r="S1719" i="1" s="1"/>
  <c r="T1718" i="1"/>
  <c r="T1719" i="1" s="1"/>
  <c r="V1718" i="1"/>
  <c r="V1719" i="1" s="1"/>
  <c r="W1718" i="1"/>
  <c r="W1719" i="1" s="1"/>
  <c r="X1718" i="1"/>
  <c r="X1719" i="1" s="1"/>
  <c r="Y1718" i="1"/>
  <c r="Y1719" i="1" s="1"/>
  <c r="Z1718" i="1"/>
  <c r="Z1719" i="1" s="1"/>
  <c r="A1720" i="1"/>
  <c r="A1721" i="1" s="1"/>
  <c r="B1720" i="1"/>
  <c r="C1720" i="1"/>
  <c r="C1721" i="1" s="1"/>
  <c r="D1720" i="1"/>
  <c r="D1721" i="1" s="1"/>
  <c r="E1720" i="1"/>
  <c r="E1721" i="1" s="1"/>
  <c r="F1720" i="1"/>
  <c r="F1721" i="1" s="1"/>
  <c r="G1720" i="1"/>
  <c r="H1720" i="1"/>
  <c r="I1720" i="1"/>
  <c r="J1720" i="1"/>
  <c r="K1720" i="1"/>
  <c r="M1720" i="1"/>
  <c r="N1720" i="1"/>
  <c r="P1720" i="1"/>
  <c r="P1721" i="1" s="1"/>
  <c r="Q1720" i="1"/>
  <c r="Q1721" i="1" s="1"/>
  <c r="R1720" i="1"/>
  <c r="R1721" i="1" s="1"/>
  <c r="S1720" i="1"/>
  <c r="S1721" i="1" s="1"/>
  <c r="T1720" i="1"/>
  <c r="T1721" i="1" s="1"/>
  <c r="V1720" i="1"/>
  <c r="V1721" i="1" s="1"/>
  <c r="W1720" i="1"/>
  <c r="W1721" i="1" s="1"/>
  <c r="X1720" i="1"/>
  <c r="X1721" i="1" s="1"/>
  <c r="Y1720" i="1"/>
  <c r="Z1720" i="1"/>
  <c r="Z1721" i="1" s="1"/>
  <c r="B1721" i="1"/>
  <c r="A1722" i="1"/>
  <c r="A1723" i="1" s="1"/>
  <c r="B1722" i="1"/>
  <c r="B1723" i="1" s="1"/>
  <c r="C1722" i="1"/>
  <c r="C1723" i="1" s="1"/>
  <c r="D1722" i="1"/>
  <c r="D1723" i="1" s="1"/>
  <c r="E1722" i="1"/>
  <c r="E1723" i="1" s="1"/>
  <c r="F1722" i="1"/>
  <c r="F1723" i="1" s="1"/>
  <c r="G1722" i="1"/>
  <c r="H1722" i="1"/>
  <c r="I1722" i="1"/>
  <c r="J1722" i="1"/>
  <c r="K1722" i="1"/>
  <c r="M1722" i="1"/>
  <c r="N1722" i="1"/>
  <c r="P1722" i="1"/>
  <c r="P1723" i="1" s="1"/>
  <c r="Q1722" i="1"/>
  <c r="Q1723" i="1" s="1"/>
  <c r="R1722" i="1"/>
  <c r="R1723" i="1" s="1"/>
  <c r="S1722" i="1"/>
  <c r="S1723" i="1" s="1"/>
  <c r="T1722" i="1"/>
  <c r="T1723" i="1" s="1"/>
  <c r="V1722" i="1"/>
  <c r="V1723" i="1" s="1"/>
  <c r="W1722" i="1"/>
  <c r="W1723" i="1" s="1"/>
  <c r="X1722" i="1"/>
  <c r="Y1722" i="1"/>
  <c r="Y1723" i="1" s="1"/>
  <c r="Z1722" i="1"/>
  <c r="Z1723" i="1" s="1"/>
  <c r="X1723" i="1"/>
  <c r="A1724" i="1"/>
  <c r="A1725" i="1" s="1"/>
  <c r="B1724" i="1"/>
  <c r="B1725" i="1" s="1"/>
  <c r="C1724" i="1"/>
  <c r="C1725" i="1" s="1"/>
  <c r="D1724" i="1"/>
  <c r="D1725" i="1" s="1"/>
  <c r="E1724" i="1"/>
  <c r="E1725" i="1" s="1"/>
  <c r="F1724" i="1"/>
  <c r="G1724" i="1"/>
  <c r="H1724" i="1"/>
  <c r="I1724" i="1"/>
  <c r="J1724" i="1"/>
  <c r="K1724" i="1"/>
  <c r="M1724" i="1"/>
  <c r="N1724" i="1"/>
  <c r="P1724" i="1"/>
  <c r="P1725" i="1" s="1"/>
  <c r="Q1724" i="1"/>
  <c r="Q1725" i="1" s="1"/>
  <c r="R1724" i="1"/>
  <c r="R1725" i="1" s="1"/>
  <c r="S1724" i="1"/>
  <c r="S1725" i="1" s="1"/>
  <c r="T1724" i="1"/>
  <c r="T1725" i="1" s="1"/>
  <c r="V1724" i="1"/>
  <c r="V1725" i="1" s="1"/>
  <c r="W1724" i="1"/>
  <c r="W1725" i="1" s="1"/>
  <c r="X1724" i="1"/>
  <c r="X1725" i="1" s="1"/>
  <c r="Y1724" i="1"/>
  <c r="Y1725" i="1" s="1"/>
  <c r="Z1724" i="1"/>
  <c r="Z1725" i="1" s="1"/>
  <c r="A1726" i="1"/>
  <c r="A1727" i="1" s="1"/>
  <c r="B1726" i="1"/>
  <c r="B1727" i="1" s="1"/>
  <c r="C1726" i="1"/>
  <c r="C1727" i="1" s="1"/>
  <c r="D1726" i="1"/>
  <c r="D1727" i="1" s="1"/>
  <c r="E1726" i="1"/>
  <c r="E1727" i="1" s="1"/>
  <c r="F1726" i="1"/>
  <c r="F1727" i="1" s="1"/>
  <c r="G1726" i="1"/>
  <c r="H1726" i="1"/>
  <c r="I1726" i="1"/>
  <c r="J1726" i="1"/>
  <c r="K1726" i="1"/>
  <c r="M1726" i="1"/>
  <c r="N1726" i="1"/>
  <c r="P1726" i="1"/>
  <c r="P1727" i="1" s="1"/>
  <c r="Q1726" i="1"/>
  <c r="Q1727" i="1" s="1"/>
  <c r="R1726" i="1"/>
  <c r="R1727" i="1" s="1"/>
  <c r="S1726" i="1"/>
  <c r="S1727" i="1" s="1"/>
  <c r="T1726" i="1"/>
  <c r="T1727" i="1" s="1"/>
  <c r="V1726" i="1"/>
  <c r="V1727" i="1" s="1"/>
  <c r="W1726" i="1"/>
  <c r="W1727" i="1" s="1"/>
  <c r="X1726" i="1"/>
  <c r="X1727" i="1" s="1"/>
  <c r="Y1726" i="1"/>
  <c r="Y1727" i="1" s="1"/>
  <c r="Z1726" i="1"/>
  <c r="Z1727" i="1" s="1"/>
  <c r="A1728" i="1"/>
  <c r="A1729" i="1" s="1"/>
  <c r="B1728" i="1"/>
  <c r="C1728" i="1"/>
  <c r="C1729" i="1" s="1"/>
  <c r="D1728" i="1"/>
  <c r="D1729" i="1" s="1"/>
  <c r="E1728" i="1"/>
  <c r="E1729" i="1" s="1"/>
  <c r="F1728" i="1"/>
  <c r="F1729" i="1" s="1"/>
  <c r="G1728" i="1"/>
  <c r="H1728" i="1"/>
  <c r="I1728" i="1"/>
  <c r="J1728" i="1"/>
  <c r="K1728" i="1"/>
  <c r="M1728" i="1"/>
  <c r="N1728" i="1"/>
  <c r="P1728" i="1"/>
  <c r="P1729" i="1" s="1"/>
  <c r="Q1728" i="1"/>
  <c r="Q1729" i="1" s="1"/>
  <c r="R1728" i="1"/>
  <c r="R1729" i="1" s="1"/>
  <c r="S1728" i="1"/>
  <c r="S1729" i="1" s="1"/>
  <c r="T1728" i="1"/>
  <c r="T1729" i="1" s="1"/>
  <c r="V1728" i="1"/>
  <c r="V1729" i="1" s="1"/>
  <c r="W1728" i="1"/>
  <c r="W1729" i="1" s="1"/>
  <c r="X1728" i="1"/>
  <c r="X1729" i="1" s="1"/>
  <c r="Y1728" i="1"/>
  <c r="Z1728" i="1"/>
  <c r="Z1729" i="1" s="1"/>
  <c r="B1729" i="1"/>
  <c r="A1730" i="1"/>
  <c r="A1731" i="1" s="1"/>
  <c r="B1730" i="1"/>
  <c r="B1731" i="1" s="1"/>
  <c r="C1730" i="1"/>
  <c r="D1730" i="1"/>
  <c r="D1731" i="1" s="1"/>
  <c r="E1730" i="1"/>
  <c r="E1731" i="1" s="1"/>
  <c r="F1730" i="1"/>
  <c r="F1731" i="1" s="1"/>
  <c r="G1730" i="1"/>
  <c r="H1730" i="1"/>
  <c r="I1730" i="1"/>
  <c r="J1730" i="1"/>
  <c r="K1730" i="1"/>
  <c r="M1730" i="1"/>
  <c r="N1730" i="1"/>
  <c r="P1730" i="1"/>
  <c r="P1731" i="1" s="1"/>
  <c r="Q1730" i="1"/>
  <c r="Q1731" i="1" s="1"/>
  <c r="R1730" i="1"/>
  <c r="S1730" i="1"/>
  <c r="S1731" i="1" s="1"/>
  <c r="T1730" i="1"/>
  <c r="T1731" i="1" s="1"/>
  <c r="V1730" i="1"/>
  <c r="V1731" i="1" s="1"/>
  <c r="W1730" i="1"/>
  <c r="W1731" i="1" s="1"/>
  <c r="X1730" i="1"/>
  <c r="X1731" i="1" s="1"/>
  <c r="Y1730" i="1"/>
  <c r="Y1731" i="1" s="1"/>
  <c r="Z1730" i="1"/>
  <c r="Z1731" i="1" s="1"/>
  <c r="R1731" i="1"/>
  <c r="A1732" i="1"/>
  <c r="A1733" i="1" s="1"/>
  <c r="B1732" i="1"/>
  <c r="B1733" i="1" s="1"/>
  <c r="C1732" i="1"/>
  <c r="C1733" i="1" s="1"/>
  <c r="D1732" i="1"/>
  <c r="E1732" i="1"/>
  <c r="E1733" i="1" s="1"/>
  <c r="F1732" i="1"/>
  <c r="F1733" i="1" s="1"/>
  <c r="G1732" i="1"/>
  <c r="H1732" i="1"/>
  <c r="I1732" i="1"/>
  <c r="J1732" i="1"/>
  <c r="K1732" i="1"/>
  <c r="M1732" i="1"/>
  <c r="N1732" i="1"/>
  <c r="P1732" i="1"/>
  <c r="P1733" i="1" s="1"/>
  <c r="Q1732" i="1"/>
  <c r="Q1733" i="1" s="1"/>
  <c r="R1732" i="1"/>
  <c r="R1733" i="1" s="1"/>
  <c r="S1732" i="1"/>
  <c r="S1733" i="1" s="1"/>
  <c r="T1732" i="1"/>
  <c r="T1733" i="1" s="1"/>
  <c r="V1732" i="1"/>
  <c r="V1733" i="1" s="1"/>
  <c r="W1732" i="1"/>
  <c r="W1733" i="1" s="1"/>
  <c r="X1732" i="1"/>
  <c r="X1733" i="1" s="1"/>
  <c r="Y1732" i="1"/>
  <c r="Y1733" i="1" s="1"/>
  <c r="Z1732" i="1"/>
  <c r="Z1733" i="1" s="1"/>
  <c r="D1733" i="1"/>
  <c r="A1734" i="1"/>
  <c r="A1735" i="1" s="1"/>
  <c r="B1734" i="1"/>
  <c r="B1735" i="1" s="1"/>
  <c r="C1734" i="1"/>
  <c r="C1735" i="1" s="1"/>
  <c r="D1734" i="1"/>
  <c r="D1735" i="1" s="1"/>
  <c r="E1734" i="1"/>
  <c r="E1735" i="1" s="1"/>
  <c r="F1734" i="1"/>
  <c r="F1735" i="1" s="1"/>
  <c r="G1734" i="1"/>
  <c r="H1734" i="1"/>
  <c r="I1734" i="1"/>
  <c r="J1734" i="1"/>
  <c r="K1734" i="1"/>
  <c r="M1734" i="1"/>
  <c r="N1734" i="1"/>
  <c r="P1734" i="1"/>
  <c r="P1735" i="1" s="1"/>
  <c r="Q1734" i="1"/>
  <c r="Q1735" i="1" s="1"/>
  <c r="R1734" i="1"/>
  <c r="R1735" i="1" s="1"/>
  <c r="S1734" i="1"/>
  <c r="S1735" i="1" s="1"/>
  <c r="T1734" i="1"/>
  <c r="T1735" i="1" s="1"/>
  <c r="V1734" i="1"/>
  <c r="V1735" i="1" s="1"/>
  <c r="W1734" i="1"/>
  <c r="W1735" i="1" s="1"/>
  <c r="X1734" i="1"/>
  <c r="X1735" i="1" s="1"/>
  <c r="Y1734" i="1"/>
  <c r="Y1735" i="1" s="1"/>
  <c r="Z1734" i="1"/>
  <c r="Z1735" i="1" s="1"/>
  <c r="A1736" i="1"/>
  <c r="A1737" i="1" s="1"/>
  <c r="B1736" i="1"/>
  <c r="B1737" i="1" s="1"/>
  <c r="C1736" i="1"/>
  <c r="C1737" i="1" s="1"/>
  <c r="D1736" i="1"/>
  <c r="D1737" i="1" s="1"/>
  <c r="E1736" i="1"/>
  <c r="E1737" i="1" s="1"/>
  <c r="F1736" i="1"/>
  <c r="F1737" i="1" s="1"/>
  <c r="G1736" i="1"/>
  <c r="H1736" i="1"/>
  <c r="I1736" i="1"/>
  <c r="J1736" i="1"/>
  <c r="K1736" i="1"/>
  <c r="M1736" i="1"/>
  <c r="N1736" i="1"/>
  <c r="P1736" i="1"/>
  <c r="P1737" i="1" s="1"/>
  <c r="Q1736" i="1"/>
  <c r="Q1737" i="1" s="1"/>
  <c r="R1736" i="1"/>
  <c r="R1737" i="1" s="1"/>
  <c r="S1736" i="1"/>
  <c r="S1737" i="1" s="1"/>
  <c r="T1736" i="1"/>
  <c r="T1737" i="1" s="1"/>
  <c r="V1736" i="1"/>
  <c r="V1737" i="1" s="1"/>
  <c r="W1736" i="1"/>
  <c r="W1737" i="1" s="1"/>
  <c r="X1736" i="1"/>
  <c r="X1737" i="1" s="1"/>
  <c r="Y1736" i="1"/>
  <c r="Y1737" i="1" s="1"/>
  <c r="Z1736" i="1"/>
  <c r="Z1737" i="1" s="1"/>
  <c r="A1738" i="1"/>
  <c r="A1739" i="1" s="1"/>
  <c r="B1738" i="1"/>
  <c r="B1739" i="1" s="1"/>
  <c r="C1738" i="1"/>
  <c r="D1738" i="1"/>
  <c r="D1739" i="1" s="1"/>
  <c r="E1738" i="1"/>
  <c r="F1738" i="1"/>
  <c r="F1739" i="1" s="1"/>
  <c r="G1738" i="1"/>
  <c r="H1738" i="1"/>
  <c r="I1738" i="1"/>
  <c r="J1738" i="1"/>
  <c r="K1738" i="1"/>
  <c r="M1738" i="1"/>
  <c r="N1738" i="1"/>
  <c r="P1738" i="1"/>
  <c r="P1739" i="1" s="1"/>
  <c r="Q1738" i="1"/>
  <c r="Q1739" i="1" s="1"/>
  <c r="R1738" i="1"/>
  <c r="R1739" i="1" s="1"/>
  <c r="S1738" i="1"/>
  <c r="S1739" i="1" s="1"/>
  <c r="T1738" i="1"/>
  <c r="T1739" i="1" s="1"/>
  <c r="V1738" i="1"/>
  <c r="V1739" i="1" s="1"/>
  <c r="W1738" i="1"/>
  <c r="W1739" i="1" s="1"/>
  <c r="X1738" i="1"/>
  <c r="X1739" i="1" s="1"/>
  <c r="Y1738" i="1"/>
  <c r="Y1739" i="1" s="1"/>
  <c r="Z1738" i="1"/>
  <c r="Z1739" i="1" s="1"/>
  <c r="A1740" i="1"/>
  <c r="A1741" i="1" s="1"/>
  <c r="B1740" i="1"/>
  <c r="B1741" i="1" s="1"/>
  <c r="C1740" i="1"/>
  <c r="D1740" i="1"/>
  <c r="D1741" i="1" s="1"/>
  <c r="E1740" i="1"/>
  <c r="F1740" i="1"/>
  <c r="F1741" i="1" s="1"/>
  <c r="G1740" i="1"/>
  <c r="H1740" i="1"/>
  <c r="I1740" i="1"/>
  <c r="J1740" i="1"/>
  <c r="K1740" i="1"/>
  <c r="M1740" i="1"/>
  <c r="N1740" i="1"/>
  <c r="P1740" i="1"/>
  <c r="P1741" i="1" s="1"/>
  <c r="Q1740" i="1"/>
  <c r="Q1741" i="1" s="1"/>
  <c r="R1740" i="1"/>
  <c r="R1741" i="1" s="1"/>
  <c r="S1740" i="1"/>
  <c r="S1741" i="1" s="1"/>
  <c r="T1740" i="1"/>
  <c r="T1741" i="1" s="1"/>
  <c r="V1740" i="1"/>
  <c r="V1741" i="1" s="1"/>
  <c r="W1740" i="1"/>
  <c r="X1740" i="1"/>
  <c r="X1741" i="1" s="1"/>
  <c r="Y1740" i="1"/>
  <c r="Y1741" i="1" s="1"/>
  <c r="Z1740" i="1"/>
  <c r="Z1741" i="1" s="1"/>
  <c r="W1741" i="1"/>
  <c r="A1742" i="1"/>
  <c r="A1743" i="1" s="1"/>
  <c r="B1742" i="1"/>
  <c r="B1743" i="1" s="1"/>
  <c r="C1742" i="1"/>
  <c r="C1743" i="1" s="1"/>
  <c r="D1742" i="1"/>
  <c r="D1743" i="1" s="1"/>
  <c r="E1742" i="1"/>
  <c r="E1743" i="1" s="1"/>
  <c r="F1742" i="1"/>
  <c r="F1743" i="1" s="1"/>
  <c r="G1742" i="1"/>
  <c r="H1742" i="1"/>
  <c r="I1742" i="1"/>
  <c r="J1742" i="1"/>
  <c r="K1742" i="1"/>
  <c r="M1742" i="1"/>
  <c r="N1742" i="1"/>
  <c r="P1742" i="1"/>
  <c r="P1743" i="1" s="1"/>
  <c r="Q1742" i="1"/>
  <c r="Q1743" i="1" s="1"/>
  <c r="R1742" i="1"/>
  <c r="R1743" i="1" s="1"/>
  <c r="S1742" i="1"/>
  <c r="S1743" i="1" s="1"/>
  <c r="T1742" i="1"/>
  <c r="T1743" i="1" s="1"/>
  <c r="V1742" i="1"/>
  <c r="V1743" i="1" s="1"/>
  <c r="W1742" i="1"/>
  <c r="W1743" i="1" s="1"/>
  <c r="X1742" i="1"/>
  <c r="X1743" i="1" s="1"/>
  <c r="Y1742" i="1"/>
  <c r="Y1743" i="1" s="1"/>
  <c r="Z1742" i="1"/>
  <c r="Z1743" i="1" s="1"/>
  <c r="A1744" i="1"/>
  <c r="A1745" i="1" s="1"/>
  <c r="B1744" i="1"/>
  <c r="B1745" i="1" s="1"/>
  <c r="C1744" i="1"/>
  <c r="C1745" i="1" s="1"/>
  <c r="D1744" i="1"/>
  <c r="D1745" i="1" s="1"/>
  <c r="E1744" i="1"/>
  <c r="E1745" i="1" s="1"/>
  <c r="F1744" i="1"/>
  <c r="F1745" i="1" s="1"/>
  <c r="G1744" i="1"/>
  <c r="H1744" i="1"/>
  <c r="I1744" i="1"/>
  <c r="J1744" i="1"/>
  <c r="K1744" i="1"/>
  <c r="M1744" i="1"/>
  <c r="N1744" i="1"/>
  <c r="P1744" i="1"/>
  <c r="P1745" i="1" s="1"/>
  <c r="Q1744" i="1"/>
  <c r="Q1745" i="1" s="1"/>
  <c r="R1744" i="1"/>
  <c r="R1745" i="1" s="1"/>
  <c r="S1744" i="1"/>
  <c r="S1745" i="1" s="1"/>
  <c r="T1744" i="1"/>
  <c r="T1745" i="1" s="1"/>
  <c r="V1744" i="1"/>
  <c r="V1745" i="1" s="1"/>
  <c r="W1744" i="1"/>
  <c r="W1745" i="1" s="1"/>
  <c r="X1744" i="1"/>
  <c r="X1745" i="1" s="1"/>
  <c r="Y1744" i="1"/>
  <c r="Z1744" i="1"/>
  <c r="Z1745" i="1" s="1"/>
  <c r="A1746" i="1"/>
  <c r="A1747" i="1" s="1"/>
  <c r="B1746" i="1"/>
  <c r="B1747" i="1" s="1"/>
  <c r="C1746" i="1"/>
  <c r="C1747" i="1" s="1"/>
  <c r="D1746" i="1"/>
  <c r="D1747" i="1" s="1"/>
  <c r="E1746" i="1"/>
  <c r="E1747" i="1" s="1"/>
  <c r="F1746" i="1"/>
  <c r="F1747" i="1" s="1"/>
  <c r="G1746" i="1"/>
  <c r="H1746" i="1"/>
  <c r="I1746" i="1"/>
  <c r="J1746" i="1"/>
  <c r="K1746" i="1"/>
  <c r="M1746" i="1"/>
  <c r="N1746" i="1"/>
  <c r="P1746" i="1"/>
  <c r="P1747" i="1" s="1"/>
  <c r="Q1746" i="1"/>
  <c r="Q1747" i="1" s="1"/>
  <c r="R1746" i="1"/>
  <c r="R1747" i="1" s="1"/>
  <c r="S1746" i="1"/>
  <c r="S1747" i="1" s="1"/>
  <c r="T1746" i="1"/>
  <c r="T1747" i="1" s="1"/>
  <c r="V1746" i="1"/>
  <c r="W1746" i="1"/>
  <c r="W1747" i="1" s="1"/>
  <c r="X1746" i="1"/>
  <c r="X1747" i="1" s="1"/>
  <c r="Y1746" i="1"/>
  <c r="Y1747" i="1" s="1"/>
  <c r="Z1746" i="1"/>
  <c r="Z1747" i="1" s="1"/>
  <c r="V1747" i="1"/>
  <c r="A1748" i="1"/>
  <c r="A1749" i="1" s="1"/>
  <c r="B1748" i="1"/>
  <c r="B1749" i="1" s="1"/>
  <c r="C1748" i="1"/>
  <c r="C1749" i="1" s="1"/>
  <c r="D1748" i="1"/>
  <c r="D1749" i="1" s="1"/>
  <c r="E1748" i="1"/>
  <c r="E1749" i="1" s="1"/>
  <c r="F1748" i="1"/>
  <c r="G1748" i="1"/>
  <c r="H1748" i="1"/>
  <c r="I1748" i="1"/>
  <c r="J1748" i="1"/>
  <c r="K1748" i="1"/>
  <c r="M1748" i="1"/>
  <c r="N1748" i="1"/>
  <c r="P1748" i="1"/>
  <c r="P1749" i="1" s="1"/>
  <c r="Q1748" i="1"/>
  <c r="R1748" i="1"/>
  <c r="R1749" i="1" s="1"/>
  <c r="S1748" i="1"/>
  <c r="S1749" i="1" s="1"/>
  <c r="T1748" i="1"/>
  <c r="T1749" i="1" s="1"/>
  <c r="V1748" i="1"/>
  <c r="V1749" i="1" s="1"/>
  <c r="W1748" i="1"/>
  <c r="W1749" i="1" s="1"/>
  <c r="X1748" i="1"/>
  <c r="X1749" i="1" s="1"/>
  <c r="Y1748" i="1"/>
  <c r="Y1749" i="1" s="1"/>
  <c r="Z1748" i="1"/>
  <c r="Z1749" i="1" s="1"/>
  <c r="Q1749" i="1"/>
  <c r="A1750" i="1"/>
  <c r="A1751" i="1" s="1"/>
  <c r="B1750" i="1"/>
  <c r="B1751" i="1" s="1"/>
  <c r="C1750" i="1"/>
  <c r="C1751" i="1" s="1"/>
  <c r="D1750" i="1"/>
  <c r="D1751" i="1" s="1"/>
  <c r="E1750" i="1"/>
  <c r="E1751" i="1" s="1"/>
  <c r="F1750" i="1"/>
  <c r="F1751" i="1" s="1"/>
  <c r="G1750" i="1"/>
  <c r="H1750" i="1"/>
  <c r="I1750" i="1"/>
  <c r="J1750" i="1"/>
  <c r="K1750" i="1"/>
  <c r="M1750" i="1"/>
  <c r="N1750" i="1"/>
  <c r="P1750" i="1"/>
  <c r="P1751" i="1" s="1"/>
  <c r="Q1750" i="1"/>
  <c r="Q1751" i="1" s="1"/>
  <c r="R1750" i="1"/>
  <c r="R1751" i="1" s="1"/>
  <c r="S1750" i="1"/>
  <c r="S1751" i="1" s="1"/>
  <c r="T1750" i="1"/>
  <c r="T1751" i="1" s="1"/>
  <c r="V1750" i="1"/>
  <c r="V1751" i="1" s="1"/>
  <c r="W1750" i="1"/>
  <c r="W1751" i="1" s="1"/>
  <c r="X1750" i="1"/>
  <c r="X1751" i="1" s="1"/>
  <c r="Y1750" i="1"/>
  <c r="Y1751" i="1" s="1"/>
  <c r="Z1750" i="1"/>
  <c r="Z1751" i="1" s="1"/>
  <c r="A1752" i="1"/>
  <c r="A1753" i="1" s="1"/>
  <c r="B1752" i="1"/>
  <c r="B1753" i="1" s="1"/>
  <c r="C1752" i="1"/>
  <c r="C1753" i="1" s="1"/>
  <c r="D1752" i="1"/>
  <c r="E1752" i="1"/>
  <c r="E1753" i="1" s="1"/>
  <c r="F1752" i="1"/>
  <c r="F1753" i="1" s="1"/>
  <c r="G1752" i="1"/>
  <c r="H1752" i="1"/>
  <c r="I1752" i="1"/>
  <c r="J1752" i="1"/>
  <c r="K1752" i="1"/>
  <c r="M1752" i="1"/>
  <c r="N1752" i="1"/>
  <c r="P1752" i="1"/>
  <c r="P1753" i="1" s="1"/>
  <c r="Q1752" i="1"/>
  <c r="Q1753" i="1" s="1"/>
  <c r="R1752" i="1"/>
  <c r="R1753" i="1" s="1"/>
  <c r="S1752" i="1"/>
  <c r="S1753" i="1" s="1"/>
  <c r="T1752" i="1"/>
  <c r="T1753" i="1" s="1"/>
  <c r="V1752" i="1"/>
  <c r="V1753" i="1" s="1"/>
  <c r="W1752" i="1"/>
  <c r="W1753" i="1" s="1"/>
  <c r="X1752" i="1"/>
  <c r="X1753" i="1" s="1"/>
  <c r="Y1752" i="1"/>
  <c r="Y1753" i="1" s="1"/>
  <c r="Z1752" i="1"/>
  <c r="Z1753" i="1" s="1"/>
  <c r="D1753" i="1"/>
  <c r="A1754" i="1"/>
  <c r="A1755" i="1" s="1"/>
  <c r="B1754" i="1"/>
  <c r="B1755" i="1" s="1"/>
  <c r="C1754" i="1"/>
  <c r="C1755" i="1" s="1"/>
  <c r="D1754" i="1"/>
  <c r="D1755" i="1" s="1"/>
  <c r="E1754" i="1"/>
  <c r="F1754" i="1"/>
  <c r="F1755" i="1" s="1"/>
  <c r="G1754" i="1"/>
  <c r="H1754" i="1"/>
  <c r="I1754" i="1"/>
  <c r="J1754" i="1"/>
  <c r="K1754" i="1"/>
  <c r="M1754" i="1"/>
  <c r="N1754" i="1"/>
  <c r="P1754" i="1"/>
  <c r="P1755" i="1" s="1"/>
  <c r="Q1754" i="1"/>
  <c r="Q1755" i="1" s="1"/>
  <c r="R1754" i="1"/>
  <c r="R1755" i="1" s="1"/>
  <c r="S1754" i="1"/>
  <c r="S1755" i="1" s="1"/>
  <c r="T1754" i="1"/>
  <c r="T1755" i="1" s="1"/>
  <c r="V1754" i="1"/>
  <c r="V1755" i="1" s="1"/>
  <c r="W1754" i="1"/>
  <c r="W1755" i="1" s="1"/>
  <c r="X1754" i="1"/>
  <c r="X1755" i="1" s="1"/>
  <c r="Y1754" i="1"/>
  <c r="Y1755" i="1" s="1"/>
  <c r="Z1754" i="1"/>
  <c r="Z1755" i="1" s="1"/>
  <c r="A1756" i="1"/>
  <c r="A1757" i="1" s="1"/>
  <c r="B1756" i="1"/>
  <c r="B1757" i="1" s="1"/>
  <c r="C1756" i="1"/>
  <c r="C1757" i="1" s="1"/>
  <c r="D1756" i="1"/>
  <c r="E1756" i="1"/>
  <c r="E1757" i="1" s="1"/>
  <c r="F1756" i="1"/>
  <c r="F1757" i="1" s="1"/>
  <c r="G1756" i="1"/>
  <c r="H1756" i="1"/>
  <c r="I1756" i="1"/>
  <c r="J1756" i="1"/>
  <c r="K1756" i="1"/>
  <c r="M1756" i="1"/>
  <c r="N1756" i="1"/>
  <c r="P1756" i="1"/>
  <c r="P1757" i="1" s="1"/>
  <c r="Q1756" i="1"/>
  <c r="Q1757" i="1" s="1"/>
  <c r="R1756" i="1"/>
  <c r="R1757" i="1" s="1"/>
  <c r="S1756" i="1"/>
  <c r="S1757" i="1" s="1"/>
  <c r="T1756" i="1"/>
  <c r="T1757" i="1" s="1"/>
  <c r="V1756" i="1"/>
  <c r="V1757" i="1" s="1"/>
  <c r="W1756" i="1"/>
  <c r="W1757" i="1" s="1"/>
  <c r="X1756" i="1"/>
  <c r="X1757" i="1" s="1"/>
  <c r="Y1756" i="1"/>
  <c r="Y1757" i="1" s="1"/>
  <c r="Z1756" i="1"/>
  <c r="Z1757" i="1" s="1"/>
  <c r="A1758" i="1"/>
  <c r="A1759" i="1" s="1"/>
  <c r="B1758" i="1"/>
  <c r="B1759" i="1" s="1"/>
  <c r="C1758" i="1"/>
  <c r="C1759" i="1" s="1"/>
  <c r="D1758" i="1"/>
  <c r="D1759" i="1" s="1"/>
  <c r="E1758" i="1"/>
  <c r="E1759" i="1" s="1"/>
  <c r="F1758" i="1"/>
  <c r="F1759" i="1" s="1"/>
  <c r="G1758" i="1"/>
  <c r="H1758" i="1"/>
  <c r="I1758" i="1"/>
  <c r="J1758" i="1"/>
  <c r="K1758" i="1"/>
  <c r="M1758" i="1"/>
  <c r="N1758" i="1"/>
  <c r="P1758" i="1"/>
  <c r="P1759" i="1" s="1"/>
  <c r="Q1758" i="1"/>
  <c r="Q1759" i="1" s="1"/>
  <c r="R1758" i="1"/>
  <c r="R1759" i="1" s="1"/>
  <c r="S1758" i="1"/>
  <c r="S1759" i="1" s="1"/>
  <c r="T1758" i="1"/>
  <c r="T1759" i="1" s="1"/>
  <c r="V1758" i="1"/>
  <c r="V1759" i="1" s="1"/>
  <c r="W1758" i="1"/>
  <c r="W1759" i="1" s="1"/>
  <c r="X1758" i="1"/>
  <c r="X1759" i="1" s="1"/>
  <c r="Y1758" i="1"/>
  <c r="Y1759" i="1" s="1"/>
  <c r="Z1758" i="1"/>
  <c r="Z1759" i="1" s="1"/>
  <c r="A1760" i="1"/>
  <c r="A1761" i="1" s="1"/>
  <c r="B1760" i="1"/>
  <c r="B1761" i="1" s="1"/>
  <c r="C1760" i="1"/>
  <c r="C1761" i="1" s="1"/>
  <c r="D1760" i="1"/>
  <c r="D1761" i="1" s="1"/>
  <c r="E1760" i="1"/>
  <c r="E1761" i="1" s="1"/>
  <c r="F1760" i="1"/>
  <c r="F1761" i="1" s="1"/>
  <c r="G1760" i="1"/>
  <c r="H1760" i="1"/>
  <c r="I1760" i="1"/>
  <c r="J1760" i="1"/>
  <c r="K1760" i="1"/>
  <c r="M1760" i="1"/>
  <c r="N1760" i="1"/>
  <c r="P1760" i="1"/>
  <c r="P1761" i="1" s="1"/>
  <c r="Q1760" i="1"/>
  <c r="Q1761" i="1" s="1"/>
  <c r="R1760" i="1"/>
  <c r="R1761" i="1" s="1"/>
  <c r="S1760" i="1"/>
  <c r="S1761" i="1" s="1"/>
  <c r="T1760" i="1"/>
  <c r="T1761" i="1" s="1"/>
  <c r="V1760" i="1"/>
  <c r="V1761" i="1" s="1"/>
  <c r="W1760" i="1"/>
  <c r="W1761" i="1" s="1"/>
  <c r="X1760" i="1"/>
  <c r="X1761" i="1" s="1"/>
  <c r="Y1760" i="1"/>
  <c r="Y1761" i="1" s="1"/>
  <c r="Z1760" i="1"/>
  <c r="Z1761" i="1" s="1"/>
  <c r="A1762" i="1"/>
  <c r="A1763" i="1" s="1"/>
  <c r="B1762" i="1"/>
  <c r="B1763" i="1" s="1"/>
  <c r="C1762" i="1"/>
  <c r="D1762" i="1"/>
  <c r="D1763" i="1" s="1"/>
  <c r="E1762" i="1"/>
  <c r="F1762" i="1"/>
  <c r="F1763" i="1" s="1"/>
  <c r="G1762" i="1"/>
  <c r="H1762" i="1"/>
  <c r="I1762" i="1"/>
  <c r="J1762" i="1"/>
  <c r="K1762" i="1"/>
  <c r="M1762" i="1"/>
  <c r="N1762" i="1"/>
  <c r="P1762" i="1"/>
  <c r="P1763" i="1" s="1"/>
  <c r="Q1762" i="1"/>
  <c r="Q1763" i="1" s="1"/>
  <c r="R1762" i="1"/>
  <c r="R1763" i="1" s="1"/>
  <c r="S1762" i="1"/>
  <c r="S1763" i="1" s="1"/>
  <c r="T1762" i="1"/>
  <c r="T1763" i="1" s="1"/>
  <c r="V1762" i="1"/>
  <c r="V1763" i="1" s="1"/>
  <c r="W1762" i="1"/>
  <c r="W1763" i="1" s="1"/>
  <c r="X1762" i="1"/>
  <c r="X1763" i="1" s="1"/>
  <c r="Y1762" i="1"/>
  <c r="Z1762" i="1"/>
  <c r="Z1763" i="1" s="1"/>
  <c r="A1764" i="1"/>
  <c r="A1765" i="1" s="1"/>
  <c r="B1764" i="1"/>
  <c r="B1765" i="1" s="1"/>
  <c r="C1764" i="1"/>
  <c r="D1764" i="1"/>
  <c r="D1765" i="1" s="1"/>
  <c r="E1764" i="1"/>
  <c r="E1765" i="1" s="1"/>
  <c r="F1764" i="1"/>
  <c r="F1765" i="1" s="1"/>
  <c r="G1764" i="1"/>
  <c r="H1764" i="1"/>
  <c r="I1764" i="1"/>
  <c r="J1764" i="1"/>
  <c r="K1764" i="1"/>
  <c r="M1764" i="1"/>
  <c r="N1764" i="1"/>
  <c r="P1764" i="1"/>
  <c r="P1765" i="1" s="1"/>
  <c r="Q1764" i="1"/>
  <c r="Q1765" i="1" s="1"/>
  <c r="R1764" i="1"/>
  <c r="R1765" i="1" s="1"/>
  <c r="S1764" i="1"/>
  <c r="S1765" i="1" s="1"/>
  <c r="T1764" i="1"/>
  <c r="T1765" i="1" s="1"/>
  <c r="V1764" i="1"/>
  <c r="V1765" i="1" s="1"/>
  <c r="W1764" i="1"/>
  <c r="W1765" i="1" s="1"/>
  <c r="X1764" i="1"/>
  <c r="X1765" i="1" s="1"/>
  <c r="Y1764" i="1"/>
  <c r="Z1764" i="1"/>
  <c r="Z1765" i="1" s="1"/>
  <c r="A1766" i="1"/>
  <c r="A1767" i="1" s="1"/>
  <c r="B1766" i="1"/>
  <c r="B1767" i="1" s="1"/>
  <c r="C1766" i="1"/>
  <c r="C1767" i="1" s="1"/>
  <c r="D1766" i="1"/>
  <c r="D1767" i="1" s="1"/>
  <c r="E1766" i="1"/>
  <c r="F1766" i="1"/>
  <c r="F1767" i="1" s="1"/>
  <c r="G1766" i="1"/>
  <c r="H1766" i="1"/>
  <c r="I1766" i="1"/>
  <c r="J1766" i="1"/>
  <c r="K1766" i="1"/>
  <c r="M1766" i="1"/>
  <c r="N1766" i="1"/>
  <c r="P1766" i="1"/>
  <c r="P1767" i="1" s="1"/>
  <c r="Q1766" i="1"/>
  <c r="Q1767" i="1" s="1"/>
  <c r="R1766" i="1"/>
  <c r="R1767" i="1" s="1"/>
  <c r="S1766" i="1"/>
  <c r="S1767" i="1" s="1"/>
  <c r="T1766" i="1"/>
  <c r="T1767" i="1" s="1"/>
  <c r="V1766" i="1"/>
  <c r="V1767" i="1" s="1"/>
  <c r="W1766" i="1"/>
  <c r="W1767" i="1" s="1"/>
  <c r="X1766" i="1"/>
  <c r="X1767" i="1" s="1"/>
  <c r="Y1766" i="1"/>
  <c r="Y1767" i="1" s="1"/>
  <c r="Z1766" i="1"/>
  <c r="Z1767" i="1" s="1"/>
  <c r="A1768" i="1"/>
  <c r="A1769" i="1" s="1"/>
  <c r="B1768" i="1"/>
  <c r="B1769" i="1" s="1"/>
  <c r="C1768" i="1"/>
  <c r="C1769" i="1" s="1"/>
  <c r="D1768" i="1"/>
  <c r="D1769" i="1" s="1"/>
  <c r="E1768" i="1"/>
  <c r="E1769" i="1" s="1"/>
  <c r="F1768" i="1"/>
  <c r="G1768" i="1"/>
  <c r="H1768" i="1"/>
  <c r="I1768" i="1"/>
  <c r="J1768" i="1"/>
  <c r="K1768" i="1"/>
  <c r="M1768" i="1"/>
  <c r="N1768" i="1"/>
  <c r="P1768" i="1"/>
  <c r="P1769" i="1" s="1"/>
  <c r="Q1768" i="1"/>
  <c r="Q1769" i="1" s="1"/>
  <c r="R1768" i="1"/>
  <c r="R1769" i="1" s="1"/>
  <c r="S1768" i="1"/>
  <c r="S1769" i="1" s="1"/>
  <c r="T1768" i="1"/>
  <c r="T1769" i="1" s="1"/>
  <c r="V1768" i="1"/>
  <c r="V1769" i="1" s="1"/>
  <c r="W1768" i="1"/>
  <c r="X1768" i="1"/>
  <c r="X1769" i="1" s="1"/>
  <c r="Y1768" i="1"/>
  <c r="Y1769" i="1" s="1"/>
  <c r="Z1768" i="1"/>
  <c r="Z1769" i="1" s="1"/>
  <c r="W1769" i="1"/>
  <c r="A1770" i="1"/>
  <c r="A1771" i="1" s="1"/>
  <c r="B1770" i="1"/>
  <c r="C1770" i="1"/>
  <c r="C1771" i="1" s="1"/>
  <c r="D1770" i="1"/>
  <c r="D1771" i="1" s="1"/>
  <c r="E1770" i="1"/>
  <c r="F1770" i="1"/>
  <c r="F1771" i="1" s="1"/>
  <c r="G1770" i="1"/>
  <c r="H1770" i="1"/>
  <c r="I1770" i="1"/>
  <c r="J1770" i="1"/>
  <c r="K1770" i="1"/>
  <c r="M1770" i="1"/>
  <c r="N1770" i="1"/>
  <c r="P1770" i="1"/>
  <c r="P1771" i="1" s="1"/>
  <c r="Q1770" i="1"/>
  <c r="Q1771" i="1" s="1"/>
  <c r="R1770" i="1"/>
  <c r="R1771" i="1" s="1"/>
  <c r="S1770" i="1"/>
  <c r="S1771" i="1" s="1"/>
  <c r="T1770" i="1"/>
  <c r="T1771" i="1" s="1"/>
  <c r="V1770" i="1"/>
  <c r="V1771" i="1" s="1"/>
  <c r="W1770" i="1"/>
  <c r="W1771" i="1" s="1"/>
  <c r="X1770" i="1"/>
  <c r="X1771" i="1" s="1"/>
  <c r="Y1770" i="1"/>
  <c r="Z1770" i="1"/>
  <c r="Z1771" i="1" s="1"/>
  <c r="B1771" i="1"/>
  <c r="A1772" i="1"/>
  <c r="A1773" i="1" s="1"/>
  <c r="B1772" i="1"/>
  <c r="B1773" i="1" s="1"/>
  <c r="C1772" i="1"/>
  <c r="C1773" i="1" s="1"/>
  <c r="D1772" i="1"/>
  <c r="E1772" i="1"/>
  <c r="F1772" i="1"/>
  <c r="F1773" i="1" s="1"/>
  <c r="G1772" i="1"/>
  <c r="H1772" i="1"/>
  <c r="I1772" i="1"/>
  <c r="J1772" i="1"/>
  <c r="K1772" i="1"/>
  <c r="M1772" i="1"/>
  <c r="N1772" i="1"/>
  <c r="P1772" i="1"/>
  <c r="P1773" i="1" s="1"/>
  <c r="Q1772" i="1"/>
  <c r="Q1773" i="1" s="1"/>
  <c r="R1772" i="1"/>
  <c r="R1773" i="1" s="1"/>
  <c r="S1772" i="1"/>
  <c r="S1773" i="1" s="1"/>
  <c r="T1772" i="1"/>
  <c r="T1773" i="1" s="1"/>
  <c r="V1772" i="1"/>
  <c r="V1773" i="1" s="1"/>
  <c r="W1772" i="1"/>
  <c r="W1773" i="1" s="1"/>
  <c r="X1772" i="1"/>
  <c r="X1773" i="1" s="1"/>
  <c r="Y1772" i="1"/>
  <c r="Y1773" i="1" s="1"/>
  <c r="Z1772" i="1"/>
  <c r="Z1773" i="1" s="1"/>
  <c r="D1773" i="1"/>
  <c r="A1774" i="1"/>
  <c r="A1775" i="1" s="1"/>
  <c r="B1774" i="1"/>
  <c r="B1775" i="1" s="1"/>
  <c r="C1774" i="1"/>
  <c r="C1775" i="1" s="1"/>
  <c r="D1774" i="1"/>
  <c r="D1775" i="1" s="1"/>
  <c r="E1774" i="1"/>
  <c r="E1775" i="1" s="1"/>
  <c r="F1774" i="1"/>
  <c r="G1774" i="1"/>
  <c r="H1774" i="1"/>
  <c r="I1774" i="1"/>
  <c r="J1774" i="1"/>
  <c r="K1774" i="1"/>
  <c r="M1774" i="1"/>
  <c r="N1774" i="1"/>
  <c r="P1774" i="1"/>
  <c r="P1775" i="1" s="1"/>
  <c r="Q1774" i="1"/>
  <c r="Q1775" i="1" s="1"/>
  <c r="R1774" i="1"/>
  <c r="R1775" i="1" s="1"/>
  <c r="S1774" i="1"/>
  <c r="S1775" i="1" s="1"/>
  <c r="T1774" i="1"/>
  <c r="T1775" i="1" s="1"/>
  <c r="V1774" i="1"/>
  <c r="V1775" i="1" s="1"/>
  <c r="W1774" i="1"/>
  <c r="W1775" i="1" s="1"/>
  <c r="X1774" i="1"/>
  <c r="X1775" i="1" s="1"/>
  <c r="Y1774" i="1"/>
  <c r="Y1775" i="1" s="1"/>
  <c r="Z1774" i="1"/>
  <c r="Z1775" i="1" s="1"/>
  <c r="F1775" i="1"/>
  <c r="A1776" i="1"/>
  <c r="A1777" i="1" s="1"/>
  <c r="B1776" i="1"/>
  <c r="B1777" i="1" s="1"/>
  <c r="C1776" i="1"/>
  <c r="C1777" i="1" s="1"/>
  <c r="D1776" i="1"/>
  <c r="D1777" i="1" s="1"/>
  <c r="E1776" i="1"/>
  <c r="E1777" i="1" s="1"/>
  <c r="F1776" i="1"/>
  <c r="F1777" i="1" s="1"/>
  <c r="G1776" i="1"/>
  <c r="H1776" i="1"/>
  <c r="I1776" i="1"/>
  <c r="J1776" i="1"/>
  <c r="K1776" i="1"/>
  <c r="M1776" i="1"/>
  <c r="N1776" i="1"/>
  <c r="P1776" i="1"/>
  <c r="P1777" i="1" s="1"/>
  <c r="Q1776" i="1"/>
  <c r="Q1777" i="1" s="1"/>
  <c r="R1776" i="1"/>
  <c r="R1777" i="1" s="1"/>
  <c r="S1776" i="1"/>
  <c r="S1777" i="1" s="1"/>
  <c r="T1776" i="1"/>
  <c r="T1777" i="1" s="1"/>
  <c r="V1776" i="1"/>
  <c r="V1777" i="1" s="1"/>
  <c r="W1776" i="1"/>
  <c r="W1777" i="1" s="1"/>
  <c r="X1776" i="1"/>
  <c r="X1777" i="1" s="1"/>
  <c r="Y1776" i="1"/>
  <c r="Z1776" i="1"/>
  <c r="Z1777" i="1" s="1"/>
  <c r="A1778" i="1"/>
  <c r="A1779" i="1" s="1"/>
  <c r="B1778" i="1"/>
  <c r="B1779" i="1" s="1"/>
  <c r="C1778" i="1"/>
  <c r="C1779" i="1" s="1"/>
  <c r="D1778" i="1"/>
  <c r="D1779" i="1" s="1"/>
  <c r="E1778" i="1"/>
  <c r="F1778" i="1"/>
  <c r="F1779" i="1" s="1"/>
  <c r="G1778" i="1"/>
  <c r="H1778" i="1"/>
  <c r="I1778" i="1"/>
  <c r="J1778" i="1"/>
  <c r="K1778" i="1"/>
  <c r="M1778" i="1"/>
  <c r="N1778" i="1"/>
  <c r="P1778" i="1"/>
  <c r="P1779" i="1" s="1"/>
  <c r="Q1778" i="1"/>
  <c r="Q1779" i="1" s="1"/>
  <c r="R1778" i="1"/>
  <c r="S1778" i="1"/>
  <c r="S1779" i="1" s="1"/>
  <c r="T1778" i="1"/>
  <c r="T1779" i="1" s="1"/>
  <c r="V1778" i="1"/>
  <c r="V1779" i="1" s="1"/>
  <c r="W1778" i="1"/>
  <c r="W1779" i="1" s="1"/>
  <c r="X1778" i="1"/>
  <c r="X1779" i="1" s="1"/>
  <c r="Y1778" i="1"/>
  <c r="Y1779" i="1" s="1"/>
  <c r="Z1778" i="1"/>
  <c r="Z1779" i="1" s="1"/>
  <c r="R1779" i="1"/>
  <c r="A1780" i="1"/>
  <c r="A1781" i="1" s="1"/>
  <c r="B1780" i="1"/>
  <c r="B1781" i="1" s="1"/>
  <c r="C1780" i="1"/>
  <c r="C1781" i="1" s="1"/>
  <c r="D1780" i="1"/>
  <c r="E1780" i="1"/>
  <c r="E1781" i="1" s="1"/>
  <c r="F1780" i="1"/>
  <c r="F1781" i="1" s="1"/>
  <c r="G1780" i="1"/>
  <c r="H1780" i="1"/>
  <c r="I1780" i="1"/>
  <c r="J1780" i="1"/>
  <c r="K1780" i="1"/>
  <c r="M1780" i="1"/>
  <c r="N1780" i="1"/>
  <c r="P1780" i="1"/>
  <c r="P1781" i="1" s="1"/>
  <c r="Q1780" i="1"/>
  <c r="Q1781" i="1" s="1"/>
  <c r="R1780" i="1"/>
  <c r="R1781" i="1" s="1"/>
  <c r="S1780" i="1"/>
  <c r="S1781" i="1" s="1"/>
  <c r="T1780" i="1"/>
  <c r="T1781" i="1" s="1"/>
  <c r="V1780" i="1"/>
  <c r="V1781" i="1" s="1"/>
  <c r="W1780" i="1"/>
  <c r="W1781" i="1" s="1"/>
  <c r="X1780" i="1"/>
  <c r="X1781" i="1" s="1"/>
  <c r="Y1780" i="1"/>
  <c r="Y1781" i="1" s="1"/>
  <c r="Z1780" i="1"/>
  <c r="Z1781" i="1" s="1"/>
  <c r="A1782" i="1"/>
  <c r="A1783" i="1" s="1"/>
  <c r="B1782" i="1"/>
  <c r="B1783" i="1" s="1"/>
  <c r="C1782" i="1"/>
  <c r="C1783" i="1" s="1"/>
  <c r="D1782" i="1"/>
  <c r="D1783" i="1" s="1"/>
  <c r="E1782" i="1"/>
  <c r="E1783" i="1" s="1"/>
  <c r="F1782" i="1"/>
  <c r="F1783" i="1" s="1"/>
  <c r="G1782" i="1"/>
  <c r="H1782" i="1"/>
  <c r="I1782" i="1"/>
  <c r="J1782" i="1"/>
  <c r="K1782" i="1"/>
  <c r="M1782" i="1"/>
  <c r="N1782" i="1"/>
  <c r="P1782" i="1"/>
  <c r="P1783" i="1" s="1"/>
  <c r="Q1782" i="1"/>
  <c r="Q1783" i="1" s="1"/>
  <c r="R1782" i="1"/>
  <c r="R1783" i="1" s="1"/>
  <c r="S1782" i="1"/>
  <c r="S1783" i="1" s="1"/>
  <c r="T1782" i="1"/>
  <c r="T1783" i="1" s="1"/>
  <c r="V1782" i="1"/>
  <c r="V1783" i="1" s="1"/>
  <c r="W1782" i="1"/>
  <c r="W1783" i="1" s="1"/>
  <c r="X1782" i="1"/>
  <c r="X1783" i="1" s="1"/>
  <c r="Y1782" i="1"/>
  <c r="Y1783" i="1" s="1"/>
  <c r="Z1782" i="1"/>
  <c r="Z1783" i="1" s="1"/>
  <c r="A1784" i="1"/>
  <c r="A1785" i="1" s="1"/>
  <c r="B1784" i="1"/>
  <c r="B1785" i="1" s="1"/>
  <c r="C1784" i="1"/>
  <c r="C1785" i="1" s="1"/>
  <c r="D1784" i="1"/>
  <c r="D1785" i="1" s="1"/>
  <c r="E1784" i="1"/>
  <c r="F1784" i="1"/>
  <c r="F1785" i="1" s="1"/>
  <c r="G1784" i="1"/>
  <c r="H1784" i="1"/>
  <c r="I1784" i="1"/>
  <c r="J1784" i="1"/>
  <c r="K1784" i="1"/>
  <c r="M1784" i="1"/>
  <c r="N1784" i="1"/>
  <c r="P1784" i="1"/>
  <c r="P1785" i="1" s="1"/>
  <c r="Q1784" i="1"/>
  <c r="Q1785" i="1" s="1"/>
  <c r="R1784" i="1"/>
  <c r="R1785" i="1" s="1"/>
  <c r="S1784" i="1"/>
  <c r="S1785" i="1" s="1"/>
  <c r="T1784" i="1"/>
  <c r="T1785" i="1" s="1"/>
  <c r="V1784" i="1"/>
  <c r="V1785" i="1" s="1"/>
  <c r="W1784" i="1"/>
  <c r="W1785" i="1" s="1"/>
  <c r="X1784" i="1"/>
  <c r="X1785" i="1" s="1"/>
  <c r="Y1784" i="1"/>
  <c r="Y1785" i="1" s="1"/>
  <c r="Z1784" i="1"/>
  <c r="Z1785" i="1" s="1"/>
  <c r="A1786" i="1"/>
  <c r="A1787" i="1" s="1"/>
  <c r="B1786" i="1"/>
  <c r="B1787" i="1" s="1"/>
  <c r="C1786" i="1"/>
  <c r="C1787" i="1" s="1"/>
  <c r="D1786" i="1"/>
  <c r="D1787" i="1" s="1"/>
  <c r="E1786" i="1"/>
  <c r="E1787" i="1" s="1"/>
  <c r="F1786" i="1"/>
  <c r="F1787" i="1" s="1"/>
  <c r="G1786" i="1"/>
  <c r="H1786" i="1"/>
  <c r="I1786" i="1"/>
  <c r="J1786" i="1"/>
  <c r="K1786" i="1"/>
  <c r="M1786" i="1"/>
  <c r="N1786" i="1"/>
  <c r="P1786" i="1"/>
  <c r="Q1786" i="1"/>
  <c r="Q1787" i="1" s="1"/>
  <c r="R1786" i="1"/>
  <c r="R1787" i="1" s="1"/>
  <c r="S1786" i="1"/>
  <c r="S1787" i="1" s="1"/>
  <c r="T1786" i="1"/>
  <c r="T1787" i="1" s="1"/>
  <c r="V1786" i="1"/>
  <c r="V1787" i="1" s="1"/>
  <c r="W1786" i="1"/>
  <c r="W1787" i="1" s="1"/>
  <c r="X1786" i="1"/>
  <c r="X1787" i="1" s="1"/>
  <c r="Y1786" i="1"/>
  <c r="Y1787" i="1" s="1"/>
  <c r="Z1786" i="1"/>
  <c r="Z1787" i="1" s="1"/>
  <c r="P1787" i="1"/>
  <c r="A1788" i="1"/>
  <c r="A1789" i="1" s="1"/>
  <c r="B1788" i="1"/>
  <c r="B1789" i="1" s="1"/>
  <c r="C1788" i="1"/>
  <c r="D1788" i="1"/>
  <c r="E1788" i="1"/>
  <c r="E1789" i="1" s="1"/>
  <c r="F1788" i="1"/>
  <c r="F1789" i="1" s="1"/>
  <c r="G1788" i="1"/>
  <c r="H1788" i="1"/>
  <c r="I1788" i="1"/>
  <c r="J1788" i="1"/>
  <c r="K1788" i="1"/>
  <c r="M1788" i="1"/>
  <c r="N1788" i="1"/>
  <c r="P1788" i="1"/>
  <c r="P1789" i="1" s="1"/>
  <c r="Q1788" i="1"/>
  <c r="Q1789" i="1" s="1"/>
  <c r="R1788" i="1"/>
  <c r="R1789" i="1" s="1"/>
  <c r="S1788" i="1"/>
  <c r="S1789" i="1" s="1"/>
  <c r="T1788" i="1"/>
  <c r="T1789" i="1" s="1"/>
  <c r="V1788" i="1"/>
  <c r="V1789" i="1" s="1"/>
  <c r="W1788" i="1"/>
  <c r="W1789" i="1" s="1"/>
  <c r="X1788" i="1"/>
  <c r="X1789" i="1" s="1"/>
  <c r="Y1788" i="1"/>
  <c r="Y1789" i="1" s="1"/>
  <c r="Z1788" i="1"/>
  <c r="Z1789" i="1" s="1"/>
  <c r="A1790" i="1"/>
  <c r="A1791" i="1" s="1"/>
  <c r="B1790" i="1"/>
  <c r="B1791" i="1" s="1"/>
  <c r="C1790" i="1"/>
  <c r="C1791" i="1" s="1"/>
  <c r="D1790" i="1"/>
  <c r="D1791" i="1" s="1"/>
  <c r="E1790" i="1"/>
  <c r="E1791" i="1" s="1"/>
  <c r="F1790" i="1"/>
  <c r="F1791" i="1" s="1"/>
  <c r="G1790" i="1"/>
  <c r="H1790" i="1"/>
  <c r="I1790" i="1"/>
  <c r="J1790" i="1"/>
  <c r="K1790" i="1"/>
  <c r="M1790" i="1"/>
  <c r="N1790" i="1"/>
  <c r="P1790" i="1"/>
  <c r="P1791" i="1" s="1"/>
  <c r="Q1790" i="1"/>
  <c r="Q1791" i="1" s="1"/>
  <c r="R1790" i="1"/>
  <c r="R1791" i="1" s="1"/>
  <c r="S1790" i="1"/>
  <c r="S1791" i="1" s="1"/>
  <c r="T1790" i="1"/>
  <c r="T1791" i="1" s="1"/>
  <c r="V1790" i="1"/>
  <c r="W1790" i="1"/>
  <c r="W1791" i="1" s="1"/>
  <c r="X1790" i="1"/>
  <c r="X1791" i="1" s="1"/>
  <c r="Y1790" i="1"/>
  <c r="Z1790" i="1"/>
  <c r="Z1791" i="1" s="1"/>
  <c r="V1791" i="1"/>
  <c r="A1792" i="1"/>
  <c r="A1793" i="1" s="1"/>
  <c r="B1792" i="1"/>
  <c r="B1793" i="1" s="1"/>
  <c r="C1792" i="1"/>
  <c r="C1793" i="1" s="1"/>
  <c r="D1792" i="1"/>
  <c r="D1793" i="1" s="1"/>
  <c r="E1792" i="1"/>
  <c r="E1793" i="1" s="1"/>
  <c r="F1792" i="1"/>
  <c r="G1792" i="1"/>
  <c r="H1792" i="1"/>
  <c r="I1792" i="1"/>
  <c r="J1792" i="1"/>
  <c r="K1792" i="1"/>
  <c r="M1792" i="1"/>
  <c r="N1792" i="1"/>
  <c r="P1792" i="1"/>
  <c r="P1793" i="1" s="1"/>
  <c r="Q1792" i="1"/>
  <c r="Q1793" i="1" s="1"/>
  <c r="R1792" i="1"/>
  <c r="R1793" i="1" s="1"/>
  <c r="S1792" i="1"/>
  <c r="S1793" i="1" s="1"/>
  <c r="T1792" i="1"/>
  <c r="T1793" i="1" s="1"/>
  <c r="V1792" i="1"/>
  <c r="V1793" i="1" s="1"/>
  <c r="W1792" i="1"/>
  <c r="W1793" i="1" s="1"/>
  <c r="X1792" i="1"/>
  <c r="X1793" i="1" s="1"/>
  <c r="Y1792" i="1"/>
  <c r="Y1793" i="1" s="1"/>
  <c r="Z1792" i="1"/>
  <c r="Z1793" i="1" s="1"/>
  <c r="A1794" i="1"/>
  <c r="A1795" i="1" s="1"/>
  <c r="B1794" i="1"/>
  <c r="B1795" i="1" s="1"/>
  <c r="C1794" i="1"/>
  <c r="C1795" i="1" s="1"/>
  <c r="D1794" i="1"/>
  <c r="D1795" i="1" s="1"/>
  <c r="E1794" i="1"/>
  <c r="F1794" i="1"/>
  <c r="F1795" i="1" s="1"/>
  <c r="G1794" i="1"/>
  <c r="H1794" i="1"/>
  <c r="I1794" i="1"/>
  <c r="J1794" i="1"/>
  <c r="K1794" i="1"/>
  <c r="M1794" i="1"/>
  <c r="N1794" i="1"/>
  <c r="P1794" i="1"/>
  <c r="Q1794" i="1"/>
  <c r="Q1795" i="1" s="1"/>
  <c r="R1794" i="1"/>
  <c r="R1795" i="1" s="1"/>
  <c r="S1794" i="1"/>
  <c r="S1795" i="1" s="1"/>
  <c r="T1794" i="1"/>
  <c r="T1795" i="1" s="1"/>
  <c r="V1794" i="1"/>
  <c r="V1795" i="1" s="1"/>
  <c r="W1794" i="1"/>
  <c r="W1795" i="1" s="1"/>
  <c r="X1794" i="1"/>
  <c r="X1795" i="1" s="1"/>
  <c r="Y1794" i="1"/>
  <c r="Y1795" i="1" s="1"/>
  <c r="Z1794" i="1"/>
  <c r="Z1795" i="1" s="1"/>
  <c r="P1795" i="1"/>
  <c r="A1796" i="1"/>
  <c r="A1797" i="1" s="1"/>
  <c r="B1796" i="1"/>
  <c r="B1797" i="1" s="1"/>
  <c r="C1796" i="1"/>
  <c r="C1797" i="1" s="1"/>
  <c r="D1796" i="1"/>
  <c r="E1796" i="1"/>
  <c r="E1797" i="1" s="1"/>
  <c r="F1796" i="1"/>
  <c r="F1797" i="1" s="1"/>
  <c r="G1796" i="1"/>
  <c r="H1796" i="1"/>
  <c r="I1796" i="1"/>
  <c r="J1796" i="1"/>
  <c r="K1796" i="1"/>
  <c r="M1796" i="1"/>
  <c r="N1796" i="1"/>
  <c r="P1796" i="1"/>
  <c r="P1797" i="1" s="1"/>
  <c r="Q1796" i="1"/>
  <c r="Q1797" i="1" s="1"/>
  <c r="R1796" i="1"/>
  <c r="R1797" i="1" s="1"/>
  <c r="S1796" i="1"/>
  <c r="S1797" i="1" s="1"/>
  <c r="T1796" i="1"/>
  <c r="V1796" i="1"/>
  <c r="V1797" i="1" s="1"/>
  <c r="W1796" i="1"/>
  <c r="W1797" i="1" s="1"/>
  <c r="X1796" i="1"/>
  <c r="X1797" i="1" s="1"/>
  <c r="Y1796" i="1"/>
  <c r="Y1797" i="1" s="1"/>
  <c r="Z1796" i="1"/>
  <c r="Z1797" i="1" s="1"/>
  <c r="T1797" i="1"/>
  <c r="A1798" i="1"/>
  <c r="A1799" i="1" s="1"/>
  <c r="B1798" i="1"/>
  <c r="C1798" i="1"/>
  <c r="C1799" i="1" s="1"/>
  <c r="D1798" i="1"/>
  <c r="D1799" i="1" s="1"/>
  <c r="E1798" i="1"/>
  <c r="E1799" i="1" s="1"/>
  <c r="F1798" i="1"/>
  <c r="F1799" i="1" s="1"/>
  <c r="G1798" i="1"/>
  <c r="H1798" i="1"/>
  <c r="I1798" i="1"/>
  <c r="J1798" i="1"/>
  <c r="K1798" i="1"/>
  <c r="M1798" i="1"/>
  <c r="N1798" i="1"/>
  <c r="P1798" i="1"/>
  <c r="P1799" i="1" s="1"/>
  <c r="Q1798" i="1"/>
  <c r="Q1799" i="1" s="1"/>
  <c r="R1798" i="1"/>
  <c r="R1799" i="1" s="1"/>
  <c r="S1798" i="1"/>
  <c r="S1799" i="1" s="1"/>
  <c r="T1798" i="1"/>
  <c r="T1799" i="1" s="1"/>
  <c r="V1798" i="1"/>
  <c r="V1799" i="1" s="1"/>
  <c r="W1798" i="1"/>
  <c r="W1799" i="1" s="1"/>
  <c r="X1798" i="1"/>
  <c r="X1799" i="1" s="1"/>
  <c r="Y1798" i="1"/>
  <c r="Z1798" i="1"/>
  <c r="Z1799" i="1" s="1"/>
  <c r="B1799" i="1"/>
  <c r="A1800" i="1"/>
  <c r="A1801" i="1" s="1"/>
  <c r="B1800" i="1"/>
  <c r="B1801" i="1" s="1"/>
  <c r="C1800" i="1"/>
  <c r="C1801" i="1" s="1"/>
  <c r="D1800" i="1"/>
  <c r="E1800" i="1"/>
  <c r="E1801" i="1" s="1"/>
  <c r="F1800" i="1"/>
  <c r="F1801" i="1" s="1"/>
  <c r="G1800" i="1"/>
  <c r="H1800" i="1"/>
  <c r="I1800" i="1"/>
  <c r="J1800" i="1"/>
  <c r="K1800" i="1"/>
  <c r="M1800" i="1"/>
  <c r="N1800" i="1"/>
  <c r="P1800" i="1"/>
  <c r="P1801" i="1" s="1"/>
  <c r="Q1800" i="1"/>
  <c r="Q1801" i="1" s="1"/>
  <c r="R1800" i="1"/>
  <c r="R1801" i="1" s="1"/>
  <c r="S1800" i="1"/>
  <c r="S1801" i="1" s="1"/>
  <c r="T1800" i="1"/>
  <c r="T1801" i="1" s="1"/>
  <c r="V1800" i="1"/>
  <c r="V1801" i="1" s="1"/>
  <c r="W1800" i="1"/>
  <c r="W1801" i="1" s="1"/>
  <c r="X1800" i="1"/>
  <c r="X1801" i="1" s="1"/>
  <c r="Y1800" i="1"/>
  <c r="Y1801" i="1" s="1"/>
  <c r="Z1800" i="1"/>
  <c r="Z1801" i="1" s="1"/>
  <c r="D1801" i="1"/>
  <c r="A1802" i="1"/>
  <c r="A1803" i="1" s="1"/>
  <c r="B1802" i="1"/>
  <c r="B1803" i="1" s="1"/>
  <c r="C1802" i="1"/>
  <c r="C1803" i="1" s="1"/>
  <c r="D1802" i="1"/>
  <c r="E1802" i="1"/>
  <c r="E1803" i="1" s="1"/>
  <c r="F1802" i="1"/>
  <c r="F1803" i="1" s="1"/>
  <c r="G1802" i="1"/>
  <c r="H1802" i="1"/>
  <c r="I1802" i="1"/>
  <c r="J1802" i="1"/>
  <c r="K1802" i="1"/>
  <c r="M1802" i="1"/>
  <c r="N1802" i="1"/>
  <c r="P1802" i="1"/>
  <c r="P1803" i="1" s="1"/>
  <c r="Q1802" i="1"/>
  <c r="Q1803" i="1" s="1"/>
  <c r="R1802" i="1"/>
  <c r="R1803" i="1" s="1"/>
  <c r="S1802" i="1"/>
  <c r="S1803" i="1" s="1"/>
  <c r="T1802" i="1"/>
  <c r="T1803" i="1" s="1"/>
  <c r="V1802" i="1"/>
  <c r="V1803" i="1" s="1"/>
  <c r="W1802" i="1"/>
  <c r="W1803" i="1" s="1"/>
  <c r="X1802" i="1"/>
  <c r="X1803" i="1" s="1"/>
  <c r="Y1802" i="1"/>
  <c r="Y1803" i="1" s="1"/>
  <c r="Z1802" i="1"/>
  <c r="Z1803" i="1" s="1"/>
  <c r="D1803" i="1"/>
  <c r="A1804" i="1"/>
  <c r="A1805" i="1" s="1"/>
  <c r="B1804" i="1"/>
  <c r="B1805" i="1" s="1"/>
  <c r="C1804" i="1"/>
  <c r="D1804" i="1"/>
  <c r="E1804" i="1"/>
  <c r="F1804" i="1"/>
  <c r="F1805" i="1" s="1"/>
  <c r="G1804" i="1"/>
  <c r="H1804" i="1"/>
  <c r="I1804" i="1"/>
  <c r="J1804" i="1"/>
  <c r="K1804" i="1"/>
  <c r="M1804" i="1"/>
  <c r="N1804" i="1"/>
  <c r="P1804" i="1"/>
  <c r="P1805" i="1" s="1"/>
  <c r="Q1804" i="1"/>
  <c r="Q1805" i="1" s="1"/>
  <c r="R1804" i="1"/>
  <c r="R1805" i="1" s="1"/>
  <c r="S1804" i="1"/>
  <c r="S1805" i="1" s="1"/>
  <c r="T1804" i="1"/>
  <c r="T1805" i="1" s="1"/>
  <c r="V1804" i="1"/>
  <c r="V1805" i="1" s="1"/>
  <c r="W1804" i="1"/>
  <c r="W1805" i="1" s="1"/>
  <c r="X1804" i="1"/>
  <c r="X1805" i="1" s="1"/>
  <c r="Y1804" i="1"/>
  <c r="Y1805" i="1" s="1"/>
  <c r="Z1804" i="1"/>
  <c r="Z1805" i="1" s="1"/>
  <c r="D1805" i="1"/>
  <c r="A1806" i="1"/>
  <c r="A1807" i="1" s="1"/>
  <c r="B1806" i="1"/>
  <c r="B1807" i="1" s="1"/>
  <c r="C1806" i="1"/>
  <c r="C1807" i="1" s="1"/>
  <c r="D1806" i="1"/>
  <c r="D1807" i="1" s="1"/>
  <c r="E1806" i="1"/>
  <c r="E1807" i="1" s="1"/>
  <c r="F1806" i="1"/>
  <c r="F1807" i="1" s="1"/>
  <c r="G1806" i="1"/>
  <c r="H1806" i="1"/>
  <c r="I1806" i="1"/>
  <c r="J1806" i="1"/>
  <c r="K1806" i="1"/>
  <c r="M1806" i="1"/>
  <c r="N1806" i="1"/>
  <c r="P1806" i="1"/>
  <c r="P1807" i="1" s="1"/>
  <c r="Q1806" i="1"/>
  <c r="Q1807" i="1" s="1"/>
  <c r="R1806" i="1"/>
  <c r="R1807" i="1" s="1"/>
  <c r="S1806" i="1"/>
  <c r="S1807" i="1" s="1"/>
  <c r="T1806" i="1"/>
  <c r="T1807" i="1" s="1"/>
  <c r="V1806" i="1"/>
  <c r="V1807" i="1" s="1"/>
  <c r="W1806" i="1"/>
  <c r="W1807" i="1" s="1"/>
  <c r="X1806" i="1"/>
  <c r="X1807" i="1" s="1"/>
  <c r="Y1806" i="1"/>
  <c r="Y1807" i="1" s="1"/>
  <c r="Z1806" i="1"/>
  <c r="Z1807" i="1" s="1"/>
  <c r="A1808" i="1"/>
  <c r="A1809" i="1" s="1"/>
  <c r="B1808" i="1"/>
  <c r="B1809" i="1" s="1"/>
  <c r="C1808" i="1"/>
  <c r="C1809" i="1" s="1"/>
  <c r="D1808" i="1"/>
  <c r="D1809" i="1" s="1"/>
  <c r="E1808" i="1"/>
  <c r="E1809" i="1" s="1"/>
  <c r="F1808" i="1"/>
  <c r="F1809" i="1" s="1"/>
  <c r="G1808" i="1"/>
  <c r="H1808" i="1"/>
  <c r="I1808" i="1"/>
  <c r="J1808" i="1"/>
  <c r="K1808" i="1"/>
  <c r="M1808" i="1"/>
  <c r="N1808" i="1"/>
  <c r="P1808" i="1"/>
  <c r="P1809" i="1" s="1"/>
  <c r="Q1808" i="1"/>
  <c r="Q1809" i="1" s="1"/>
  <c r="R1808" i="1"/>
  <c r="R1809" i="1" s="1"/>
  <c r="S1808" i="1"/>
  <c r="S1809" i="1" s="1"/>
  <c r="T1808" i="1"/>
  <c r="T1809" i="1" s="1"/>
  <c r="V1808" i="1"/>
  <c r="V1809" i="1" s="1"/>
  <c r="W1808" i="1"/>
  <c r="W1809" i="1" s="1"/>
  <c r="X1808" i="1"/>
  <c r="X1809" i="1" s="1"/>
  <c r="Y1808" i="1"/>
  <c r="Y1809" i="1" s="1"/>
  <c r="Z1808" i="1"/>
  <c r="Z1809" i="1" s="1"/>
  <c r="A1810" i="1"/>
  <c r="A1811" i="1" s="1"/>
  <c r="B1810" i="1"/>
  <c r="B1811" i="1" s="1"/>
  <c r="C1810" i="1"/>
  <c r="C1811" i="1" s="1"/>
  <c r="D1810" i="1"/>
  <c r="D1811" i="1" s="1"/>
  <c r="E1810" i="1"/>
  <c r="F1810" i="1"/>
  <c r="F1811" i="1" s="1"/>
  <c r="G1810" i="1"/>
  <c r="H1810" i="1"/>
  <c r="I1810" i="1"/>
  <c r="J1810" i="1"/>
  <c r="K1810" i="1"/>
  <c r="M1810" i="1"/>
  <c r="N1810" i="1"/>
  <c r="P1810" i="1"/>
  <c r="P1811" i="1" s="1"/>
  <c r="Q1810" i="1"/>
  <c r="Q1811" i="1" s="1"/>
  <c r="R1810" i="1"/>
  <c r="S1810" i="1"/>
  <c r="S1811" i="1" s="1"/>
  <c r="T1810" i="1"/>
  <c r="T1811" i="1" s="1"/>
  <c r="V1810" i="1"/>
  <c r="V1811" i="1" s="1"/>
  <c r="W1810" i="1"/>
  <c r="W1811" i="1" s="1"/>
  <c r="X1810" i="1"/>
  <c r="Y1810" i="1"/>
  <c r="Z1810" i="1"/>
  <c r="Z1811" i="1" s="1"/>
  <c r="R1811" i="1"/>
  <c r="X1811" i="1"/>
  <c r="A1812" i="1"/>
  <c r="A1813" i="1" s="1"/>
  <c r="B1812" i="1"/>
  <c r="B1813" i="1" s="1"/>
  <c r="C1812" i="1"/>
  <c r="C1813" i="1" s="1"/>
  <c r="D1812" i="1"/>
  <c r="E1812" i="1"/>
  <c r="E1813" i="1" s="1"/>
  <c r="F1812" i="1"/>
  <c r="F1813" i="1" s="1"/>
  <c r="G1812" i="1"/>
  <c r="H1812" i="1"/>
  <c r="I1812" i="1"/>
  <c r="J1812" i="1"/>
  <c r="K1812" i="1"/>
  <c r="M1812" i="1"/>
  <c r="N1812" i="1"/>
  <c r="P1812" i="1"/>
  <c r="P1813" i="1" s="1"/>
  <c r="Q1812" i="1"/>
  <c r="Q1813" i="1" s="1"/>
  <c r="R1812" i="1"/>
  <c r="R1813" i="1" s="1"/>
  <c r="S1812" i="1"/>
  <c r="S1813" i="1" s="1"/>
  <c r="T1812" i="1"/>
  <c r="T1813" i="1" s="1"/>
  <c r="V1812" i="1"/>
  <c r="V1813" i="1" s="1"/>
  <c r="W1812" i="1"/>
  <c r="W1813" i="1" s="1"/>
  <c r="X1812" i="1"/>
  <c r="X1813" i="1" s="1"/>
  <c r="Y1812" i="1"/>
  <c r="Y1813" i="1" s="1"/>
  <c r="Z1812" i="1"/>
  <c r="Z1813" i="1" s="1"/>
  <c r="A1814" i="1"/>
  <c r="A1815" i="1" s="1"/>
  <c r="B1814" i="1"/>
  <c r="B1815" i="1" s="1"/>
  <c r="C1814" i="1"/>
  <c r="C1815" i="1" s="1"/>
  <c r="D1814" i="1"/>
  <c r="D1815" i="1" s="1"/>
  <c r="E1814" i="1"/>
  <c r="E1815" i="1" s="1"/>
  <c r="F1814" i="1"/>
  <c r="G1814" i="1"/>
  <c r="H1814" i="1"/>
  <c r="I1814" i="1"/>
  <c r="J1814" i="1"/>
  <c r="K1814" i="1"/>
  <c r="M1814" i="1"/>
  <c r="N1814" i="1"/>
  <c r="P1814" i="1"/>
  <c r="P1815" i="1" s="1"/>
  <c r="Q1814" i="1"/>
  <c r="Q1815" i="1" s="1"/>
  <c r="R1814" i="1"/>
  <c r="R1815" i="1" s="1"/>
  <c r="S1814" i="1"/>
  <c r="S1815" i="1" s="1"/>
  <c r="T1814" i="1"/>
  <c r="T1815" i="1" s="1"/>
  <c r="V1814" i="1"/>
  <c r="V1815" i="1" s="1"/>
  <c r="W1814" i="1"/>
  <c r="W1815" i="1" s="1"/>
  <c r="X1814" i="1"/>
  <c r="X1815" i="1" s="1"/>
  <c r="Y1814" i="1"/>
  <c r="Y1815" i="1" s="1"/>
  <c r="Z1814" i="1"/>
  <c r="Z1815" i="1" s="1"/>
  <c r="A1816" i="1"/>
  <c r="A1817" i="1" s="1"/>
  <c r="B1816" i="1"/>
  <c r="B1817" i="1" s="1"/>
  <c r="C1816" i="1"/>
  <c r="C1817" i="1" s="1"/>
  <c r="D1816" i="1"/>
  <c r="E1816" i="1"/>
  <c r="F1816" i="1"/>
  <c r="F1817" i="1" s="1"/>
  <c r="G1816" i="1"/>
  <c r="H1816" i="1"/>
  <c r="I1816" i="1"/>
  <c r="J1816" i="1"/>
  <c r="K1816" i="1"/>
  <c r="M1816" i="1"/>
  <c r="N1816" i="1"/>
  <c r="P1816" i="1"/>
  <c r="P1817" i="1" s="1"/>
  <c r="Q1816" i="1"/>
  <c r="Q1817" i="1" s="1"/>
  <c r="R1816" i="1"/>
  <c r="R1817" i="1" s="1"/>
  <c r="S1816" i="1"/>
  <c r="S1817" i="1" s="1"/>
  <c r="T1816" i="1"/>
  <c r="T1817" i="1" s="1"/>
  <c r="V1816" i="1"/>
  <c r="V1817" i="1" s="1"/>
  <c r="W1816" i="1"/>
  <c r="W1817" i="1" s="1"/>
  <c r="X1816" i="1"/>
  <c r="X1817" i="1" s="1"/>
  <c r="Y1816" i="1"/>
  <c r="Y1817" i="1" s="1"/>
  <c r="Z1816" i="1"/>
  <c r="Z1817" i="1"/>
  <c r="A1818" i="1"/>
  <c r="A1819" i="1" s="1"/>
  <c r="B1818" i="1"/>
  <c r="B1819" i="1" s="1"/>
  <c r="C1818" i="1"/>
  <c r="C1819" i="1" s="1"/>
  <c r="D1818" i="1"/>
  <c r="E1818" i="1"/>
  <c r="F1818" i="1"/>
  <c r="F1819" i="1" s="1"/>
  <c r="G1818" i="1"/>
  <c r="H1818" i="1"/>
  <c r="I1818" i="1"/>
  <c r="J1818" i="1"/>
  <c r="K1818" i="1"/>
  <c r="M1818" i="1"/>
  <c r="N1818" i="1"/>
  <c r="P1818" i="1"/>
  <c r="P1819" i="1" s="1"/>
  <c r="Q1818" i="1"/>
  <c r="Q1819" i="1" s="1"/>
  <c r="R1818" i="1"/>
  <c r="R1819" i="1" s="1"/>
  <c r="S1818" i="1"/>
  <c r="S1819" i="1" s="1"/>
  <c r="T1818" i="1"/>
  <c r="T1819" i="1" s="1"/>
  <c r="V1818" i="1"/>
  <c r="V1819" i="1" s="1"/>
  <c r="W1818" i="1"/>
  <c r="W1819" i="1" s="1"/>
  <c r="X1818" i="1"/>
  <c r="X1819" i="1" s="1"/>
  <c r="Y1818" i="1"/>
  <c r="Y1819" i="1" s="1"/>
  <c r="Z1818" i="1"/>
  <c r="Z1819" i="1" s="1"/>
  <c r="D1819" i="1"/>
  <c r="E1819" i="1"/>
  <c r="A1820" i="1"/>
  <c r="A1821" i="1" s="1"/>
  <c r="B1820" i="1"/>
  <c r="B1821" i="1" s="1"/>
  <c r="C1820" i="1"/>
  <c r="D1820" i="1"/>
  <c r="E1820" i="1"/>
  <c r="E1821" i="1" s="1"/>
  <c r="F1820" i="1"/>
  <c r="G1820" i="1"/>
  <c r="H1820" i="1"/>
  <c r="I1820" i="1"/>
  <c r="J1820" i="1"/>
  <c r="K1820" i="1"/>
  <c r="M1820" i="1"/>
  <c r="N1820" i="1"/>
  <c r="P1820" i="1"/>
  <c r="P1821" i="1" s="1"/>
  <c r="Q1820" i="1"/>
  <c r="Q1821" i="1" s="1"/>
  <c r="R1820" i="1"/>
  <c r="R1821" i="1" s="1"/>
  <c r="S1820" i="1"/>
  <c r="S1821" i="1" s="1"/>
  <c r="T1820" i="1"/>
  <c r="T1821" i="1" s="1"/>
  <c r="V1820" i="1"/>
  <c r="V1821" i="1" s="1"/>
  <c r="W1820" i="1"/>
  <c r="W1821" i="1" s="1"/>
  <c r="X1820" i="1"/>
  <c r="X1821" i="1" s="1"/>
  <c r="Y1820" i="1"/>
  <c r="Y1821" i="1" s="1"/>
  <c r="Z1820" i="1"/>
  <c r="Z1821" i="1" s="1"/>
  <c r="F1821" i="1"/>
  <c r="A1822" i="1"/>
  <c r="A1823" i="1" s="1"/>
  <c r="B1822" i="1"/>
  <c r="B1823" i="1" s="1"/>
  <c r="C1822" i="1"/>
  <c r="C1823" i="1" s="1"/>
  <c r="D1822" i="1"/>
  <c r="E1822" i="1"/>
  <c r="E1823" i="1" s="1"/>
  <c r="F1822" i="1"/>
  <c r="F1823" i="1" s="1"/>
  <c r="G1822" i="1"/>
  <c r="H1822" i="1"/>
  <c r="I1822" i="1"/>
  <c r="J1822" i="1"/>
  <c r="K1822" i="1"/>
  <c r="M1822" i="1"/>
  <c r="N1822" i="1"/>
  <c r="P1822" i="1"/>
  <c r="P1823" i="1" s="1"/>
  <c r="Q1822" i="1"/>
  <c r="Q1823" i="1" s="1"/>
  <c r="R1822" i="1"/>
  <c r="R1823" i="1" s="1"/>
  <c r="S1822" i="1"/>
  <c r="S1823" i="1" s="1"/>
  <c r="T1822" i="1"/>
  <c r="T1823" i="1" s="1"/>
  <c r="V1822" i="1"/>
  <c r="V1823" i="1" s="1"/>
  <c r="W1822" i="1"/>
  <c r="W1823" i="1" s="1"/>
  <c r="X1822" i="1"/>
  <c r="X1823" i="1" s="1"/>
  <c r="Y1822" i="1"/>
  <c r="Y1823" i="1" s="1"/>
  <c r="Z1822" i="1"/>
  <c r="Z1823" i="1" s="1"/>
  <c r="D1823" i="1"/>
  <c r="A1824" i="1"/>
  <c r="A1825" i="1" s="1"/>
  <c r="B1824" i="1"/>
  <c r="B1825" i="1" s="1"/>
  <c r="C1824" i="1"/>
  <c r="C1825" i="1" s="1"/>
  <c r="D1824" i="1"/>
  <c r="E1824" i="1"/>
  <c r="E1825" i="1" s="1"/>
  <c r="F1824" i="1"/>
  <c r="G1824" i="1"/>
  <c r="H1824" i="1"/>
  <c r="I1824" i="1"/>
  <c r="J1824" i="1"/>
  <c r="K1824" i="1"/>
  <c r="M1824" i="1"/>
  <c r="N1824" i="1"/>
  <c r="P1824" i="1"/>
  <c r="P1825" i="1" s="1"/>
  <c r="Q1824" i="1"/>
  <c r="Q1825" i="1" s="1"/>
  <c r="R1824" i="1"/>
  <c r="R1825" i="1" s="1"/>
  <c r="S1824" i="1"/>
  <c r="S1825" i="1" s="1"/>
  <c r="T1824" i="1"/>
  <c r="T1825" i="1" s="1"/>
  <c r="V1824" i="1"/>
  <c r="W1824" i="1"/>
  <c r="W1825" i="1" s="1"/>
  <c r="X1824" i="1"/>
  <c r="X1825" i="1" s="1"/>
  <c r="Y1824" i="1"/>
  <c r="Y1825" i="1" s="1"/>
  <c r="Z1824" i="1"/>
  <c r="Z1825" i="1" s="1"/>
  <c r="D1825" i="1"/>
  <c r="V1825" i="1"/>
  <c r="A1826" i="1"/>
  <c r="A1827" i="1" s="1"/>
  <c r="B1826" i="1"/>
  <c r="B1827" i="1" s="1"/>
  <c r="C1826" i="1"/>
  <c r="C1827" i="1" s="1"/>
  <c r="D1826" i="1"/>
  <c r="D1827" i="1" s="1"/>
  <c r="E1826" i="1"/>
  <c r="F1826" i="1"/>
  <c r="F1827" i="1" s="1"/>
  <c r="G1826" i="1"/>
  <c r="H1826" i="1"/>
  <c r="I1826" i="1"/>
  <c r="J1826" i="1"/>
  <c r="K1826" i="1"/>
  <c r="M1826" i="1"/>
  <c r="N1826" i="1"/>
  <c r="P1826" i="1"/>
  <c r="Q1826" i="1"/>
  <c r="Q1827" i="1" s="1"/>
  <c r="R1826" i="1"/>
  <c r="R1827" i="1" s="1"/>
  <c r="S1826" i="1"/>
  <c r="S1827" i="1" s="1"/>
  <c r="T1826" i="1"/>
  <c r="T1827" i="1" s="1"/>
  <c r="V1826" i="1"/>
  <c r="V1827" i="1" s="1"/>
  <c r="W1826" i="1"/>
  <c r="W1827" i="1" s="1"/>
  <c r="X1826" i="1"/>
  <c r="X1827" i="1" s="1"/>
  <c r="Y1826" i="1"/>
  <c r="Z1826" i="1"/>
  <c r="Z1827" i="1" s="1"/>
  <c r="P1827" i="1"/>
  <c r="A1828" i="1"/>
  <c r="A1829" i="1" s="1"/>
  <c r="B1828" i="1"/>
  <c r="B1829" i="1" s="1"/>
  <c r="C1828" i="1"/>
  <c r="C1829" i="1" s="1"/>
  <c r="D1828" i="1"/>
  <c r="E1828" i="1"/>
  <c r="E1829" i="1" s="1"/>
  <c r="F1828" i="1"/>
  <c r="G1828" i="1"/>
  <c r="H1828" i="1"/>
  <c r="I1828" i="1"/>
  <c r="J1828" i="1"/>
  <c r="K1828" i="1"/>
  <c r="M1828" i="1"/>
  <c r="N1828" i="1"/>
  <c r="P1828" i="1"/>
  <c r="P1829" i="1" s="1"/>
  <c r="Q1828" i="1"/>
  <c r="Q1829" i="1" s="1"/>
  <c r="R1828" i="1"/>
  <c r="R1829" i="1" s="1"/>
  <c r="S1828" i="1"/>
  <c r="S1829" i="1" s="1"/>
  <c r="T1828" i="1"/>
  <c r="T1829" i="1" s="1"/>
  <c r="V1828" i="1"/>
  <c r="V1829" i="1" s="1"/>
  <c r="W1828" i="1"/>
  <c r="W1829" i="1" s="1"/>
  <c r="X1828" i="1"/>
  <c r="X1829" i="1" s="1"/>
  <c r="Y1828" i="1"/>
  <c r="Y1829" i="1" s="1"/>
  <c r="Z1828" i="1"/>
  <c r="Z1829" i="1" s="1"/>
  <c r="F1829" i="1"/>
  <c r="A1830" i="1"/>
  <c r="A1831" i="1" s="1"/>
  <c r="B1830" i="1"/>
  <c r="B1831" i="1" s="1"/>
  <c r="C1830" i="1"/>
  <c r="C1831" i="1" s="1"/>
  <c r="D1830" i="1"/>
  <c r="D1831" i="1" s="1"/>
  <c r="E1830" i="1"/>
  <c r="E1831" i="1" s="1"/>
  <c r="F1830" i="1"/>
  <c r="F1831" i="1" s="1"/>
  <c r="G1830" i="1"/>
  <c r="H1830" i="1"/>
  <c r="I1830" i="1"/>
  <c r="J1830" i="1"/>
  <c r="K1830" i="1"/>
  <c r="M1830" i="1"/>
  <c r="N1830" i="1"/>
  <c r="P1830" i="1"/>
  <c r="P1831" i="1" s="1"/>
  <c r="Q1830" i="1"/>
  <c r="Q1831" i="1" s="1"/>
  <c r="R1830" i="1"/>
  <c r="R1831" i="1" s="1"/>
  <c r="S1830" i="1"/>
  <c r="S1831" i="1" s="1"/>
  <c r="T1830" i="1"/>
  <c r="T1831" i="1" s="1"/>
  <c r="V1830" i="1"/>
  <c r="V1831" i="1" s="1"/>
  <c r="W1830" i="1"/>
  <c r="W1831" i="1" s="1"/>
  <c r="X1830" i="1"/>
  <c r="X1831" i="1" s="1"/>
  <c r="Y1830" i="1"/>
  <c r="Y1831" i="1" s="1"/>
  <c r="Z1830" i="1"/>
  <c r="Z1831" i="1" s="1"/>
  <c r="A1832" i="1"/>
  <c r="A1833" i="1" s="1"/>
  <c r="B1832" i="1"/>
  <c r="B1833" i="1" s="1"/>
  <c r="C1832" i="1"/>
  <c r="C1833" i="1" s="1"/>
  <c r="D1832" i="1"/>
  <c r="D1833" i="1" s="1"/>
  <c r="E1832" i="1"/>
  <c r="E1833" i="1" s="1"/>
  <c r="F1832" i="1"/>
  <c r="F1833" i="1" s="1"/>
  <c r="G1832" i="1"/>
  <c r="H1832" i="1"/>
  <c r="I1832" i="1"/>
  <c r="J1832" i="1"/>
  <c r="K1832" i="1"/>
  <c r="M1832" i="1"/>
  <c r="N1832" i="1"/>
  <c r="P1832" i="1"/>
  <c r="P1833" i="1" s="1"/>
  <c r="Q1832" i="1"/>
  <c r="Q1833" i="1" s="1"/>
  <c r="R1832" i="1"/>
  <c r="R1833" i="1" s="1"/>
  <c r="S1832" i="1"/>
  <c r="S1833" i="1" s="1"/>
  <c r="T1832" i="1"/>
  <c r="T1833" i="1" s="1"/>
  <c r="V1832" i="1"/>
  <c r="V1833" i="1" s="1"/>
  <c r="W1832" i="1"/>
  <c r="W1833" i="1" s="1"/>
  <c r="X1832" i="1"/>
  <c r="X1833" i="1" s="1"/>
  <c r="Y1832" i="1"/>
  <c r="Y1833" i="1" s="1"/>
  <c r="Z1832" i="1"/>
  <c r="Z1833" i="1" s="1"/>
  <c r="A1834" i="1"/>
  <c r="A1835" i="1" s="1"/>
  <c r="B1834" i="1"/>
  <c r="C1834" i="1"/>
  <c r="C1835" i="1" s="1"/>
  <c r="D1834" i="1"/>
  <c r="D1835" i="1" s="1"/>
  <c r="E1834" i="1"/>
  <c r="E1835" i="1" s="1"/>
  <c r="F1834" i="1"/>
  <c r="F1835" i="1" s="1"/>
  <c r="G1834" i="1"/>
  <c r="H1834" i="1"/>
  <c r="I1834" i="1"/>
  <c r="J1834" i="1"/>
  <c r="K1834" i="1"/>
  <c r="M1834" i="1"/>
  <c r="N1834" i="1"/>
  <c r="P1834" i="1"/>
  <c r="P1835" i="1" s="1"/>
  <c r="Q1834" i="1"/>
  <c r="Q1835" i="1" s="1"/>
  <c r="R1834" i="1"/>
  <c r="R1835" i="1" s="1"/>
  <c r="S1834" i="1"/>
  <c r="S1835" i="1" s="1"/>
  <c r="T1834" i="1"/>
  <c r="T1835" i="1" s="1"/>
  <c r="V1834" i="1"/>
  <c r="V1835" i="1" s="1"/>
  <c r="W1834" i="1"/>
  <c r="W1835" i="1" s="1"/>
  <c r="X1834" i="1"/>
  <c r="X1835" i="1" s="1"/>
  <c r="Y1834" i="1"/>
  <c r="Z1834" i="1"/>
  <c r="Z1835" i="1" s="1"/>
  <c r="B1835" i="1"/>
  <c r="A1836" i="1"/>
  <c r="A1837" i="1" s="1"/>
  <c r="B1836" i="1"/>
  <c r="C1836" i="1"/>
  <c r="D1836" i="1"/>
  <c r="D1837" i="1" s="1"/>
  <c r="E1836" i="1"/>
  <c r="E1837" i="1" s="1"/>
  <c r="F1836" i="1"/>
  <c r="F1837" i="1" s="1"/>
  <c r="G1836" i="1"/>
  <c r="H1836" i="1"/>
  <c r="I1836" i="1"/>
  <c r="J1836" i="1"/>
  <c r="K1836" i="1"/>
  <c r="M1836" i="1"/>
  <c r="N1836" i="1"/>
  <c r="P1836" i="1"/>
  <c r="P1837" i="1" s="1"/>
  <c r="Q1836" i="1"/>
  <c r="Q1837" i="1" s="1"/>
  <c r="R1836" i="1"/>
  <c r="R1837" i="1" s="1"/>
  <c r="S1836" i="1"/>
  <c r="T1836" i="1"/>
  <c r="T1837" i="1" s="1"/>
  <c r="V1836" i="1"/>
  <c r="V1837" i="1" s="1"/>
  <c r="W1836" i="1"/>
  <c r="W1837" i="1" s="1"/>
  <c r="X1836" i="1"/>
  <c r="X1837" i="1" s="1"/>
  <c r="Y1836" i="1"/>
  <c r="Z1836" i="1"/>
  <c r="Z1837" i="1" s="1"/>
  <c r="B1837" i="1"/>
  <c r="S1837" i="1"/>
  <c r="A1838" i="1"/>
  <c r="A1839" i="1" s="1"/>
  <c r="B1838" i="1"/>
  <c r="B1839" i="1" s="1"/>
  <c r="C1838" i="1"/>
  <c r="C1839" i="1" s="1"/>
  <c r="D1838" i="1"/>
  <c r="D1839" i="1" s="1"/>
  <c r="E1838" i="1"/>
  <c r="E1839" i="1" s="1"/>
  <c r="F1838" i="1"/>
  <c r="F1839" i="1" s="1"/>
  <c r="G1838" i="1"/>
  <c r="H1838" i="1"/>
  <c r="I1838" i="1"/>
  <c r="J1838" i="1"/>
  <c r="K1838" i="1"/>
  <c r="M1838" i="1"/>
  <c r="N1838" i="1"/>
  <c r="P1838" i="1"/>
  <c r="P1839" i="1" s="1"/>
  <c r="Q1838" i="1"/>
  <c r="Q1839" i="1" s="1"/>
  <c r="R1838" i="1"/>
  <c r="R1839" i="1" s="1"/>
  <c r="S1838" i="1"/>
  <c r="S1839" i="1" s="1"/>
  <c r="T1838" i="1"/>
  <c r="T1839" i="1" s="1"/>
  <c r="V1838" i="1"/>
  <c r="V1839" i="1" s="1"/>
  <c r="W1838" i="1"/>
  <c r="W1839" i="1" s="1"/>
  <c r="X1838" i="1"/>
  <c r="X1839" i="1" s="1"/>
  <c r="Y1838" i="1"/>
  <c r="Z1838" i="1"/>
  <c r="Z1839" i="1" s="1"/>
  <c r="A1840" i="1"/>
  <c r="A1841" i="1" s="1"/>
  <c r="B1840" i="1"/>
  <c r="B1841" i="1" s="1"/>
  <c r="C1840" i="1"/>
  <c r="C1841" i="1" s="1"/>
  <c r="D1840" i="1"/>
  <c r="E1840" i="1"/>
  <c r="F1840" i="1"/>
  <c r="F1841" i="1" s="1"/>
  <c r="G1840" i="1"/>
  <c r="H1840" i="1"/>
  <c r="I1840" i="1"/>
  <c r="J1840" i="1"/>
  <c r="K1840" i="1"/>
  <c r="M1840" i="1"/>
  <c r="N1840" i="1"/>
  <c r="P1840" i="1"/>
  <c r="P1841" i="1" s="1"/>
  <c r="Q1840" i="1"/>
  <c r="Q1841" i="1" s="1"/>
  <c r="R1840" i="1"/>
  <c r="S1840" i="1"/>
  <c r="S1841" i="1" s="1"/>
  <c r="T1840" i="1"/>
  <c r="T1841" i="1" s="1"/>
  <c r="V1840" i="1"/>
  <c r="V1841" i="1" s="1"/>
  <c r="W1840" i="1"/>
  <c r="W1841" i="1" s="1"/>
  <c r="X1840" i="1"/>
  <c r="X1841" i="1" s="1"/>
  <c r="Y1840" i="1"/>
  <c r="Y1841" i="1" s="1"/>
  <c r="Z1840" i="1"/>
  <c r="Z1841" i="1" s="1"/>
  <c r="D1841" i="1"/>
  <c r="E1841" i="1"/>
  <c r="R1841" i="1"/>
  <c r="A1842" i="1"/>
  <c r="A1843" i="1" s="1"/>
  <c r="B1842" i="1"/>
  <c r="B1843" i="1" s="1"/>
  <c r="C1842" i="1"/>
  <c r="C1843" i="1" s="1"/>
  <c r="D1842" i="1"/>
  <c r="E1842" i="1"/>
  <c r="F1842" i="1"/>
  <c r="F1843" i="1" s="1"/>
  <c r="G1842" i="1"/>
  <c r="H1842" i="1"/>
  <c r="I1842" i="1"/>
  <c r="J1842" i="1"/>
  <c r="K1842" i="1"/>
  <c r="M1842" i="1"/>
  <c r="N1842" i="1"/>
  <c r="P1842" i="1"/>
  <c r="P1843" i="1" s="1"/>
  <c r="Q1842" i="1"/>
  <c r="Q1843" i="1" s="1"/>
  <c r="R1842" i="1"/>
  <c r="R1843" i="1" s="1"/>
  <c r="S1842" i="1"/>
  <c r="S1843" i="1" s="1"/>
  <c r="T1842" i="1"/>
  <c r="T1843" i="1" s="1"/>
  <c r="V1842" i="1"/>
  <c r="V1843" i="1" s="1"/>
  <c r="W1842" i="1"/>
  <c r="W1843" i="1" s="1"/>
  <c r="X1842" i="1"/>
  <c r="X1843" i="1" s="1"/>
  <c r="Y1842" i="1"/>
  <c r="Y1843" i="1" s="1"/>
  <c r="Z1842" i="1"/>
  <c r="D1843" i="1"/>
  <c r="Z1843" i="1"/>
  <c r="A1844" i="1"/>
  <c r="A1845" i="1" s="1"/>
  <c r="B1844" i="1"/>
  <c r="B1845" i="1" s="1"/>
  <c r="C1844" i="1"/>
  <c r="C1845" i="1" s="1"/>
  <c r="D1844" i="1"/>
  <c r="E1844" i="1"/>
  <c r="E1845" i="1" s="1"/>
  <c r="F1844" i="1"/>
  <c r="F1845" i="1" s="1"/>
  <c r="G1844" i="1"/>
  <c r="H1844" i="1"/>
  <c r="I1844" i="1"/>
  <c r="J1844" i="1"/>
  <c r="K1844" i="1"/>
  <c r="M1844" i="1"/>
  <c r="N1844" i="1"/>
  <c r="P1844" i="1"/>
  <c r="P1845" i="1" s="1"/>
  <c r="Q1844" i="1"/>
  <c r="Q1845" i="1" s="1"/>
  <c r="R1844" i="1"/>
  <c r="R1845" i="1" s="1"/>
  <c r="S1844" i="1"/>
  <c r="S1845" i="1" s="1"/>
  <c r="T1844" i="1"/>
  <c r="T1845" i="1" s="1"/>
  <c r="V1844" i="1"/>
  <c r="V1845" i="1" s="1"/>
  <c r="W1844" i="1"/>
  <c r="W1845" i="1" s="1"/>
  <c r="X1844" i="1"/>
  <c r="X1845" i="1" s="1"/>
  <c r="Y1844" i="1"/>
  <c r="Y1845" i="1" s="1"/>
  <c r="Z1844" i="1"/>
  <c r="Z1845" i="1" s="1"/>
  <c r="A1846" i="1"/>
  <c r="A1847" i="1" s="1"/>
  <c r="B1846" i="1"/>
  <c r="B1847" i="1" s="1"/>
  <c r="C1846" i="1"/>
  <c r="C1847" i="1" s="1"/>
  <c r="D1846" i="1"/>
  <c r="E1846" i="1"/>
  <c r="E1847" i="1" s="1"/>
  <c r="F1846" i="1"/>
  <c r="G1846" i="1"/>
  <c r="H1846" i="1"/>
  <c r="I1846" i="1"/>
  <c r="J1846" i="1"/>
  <c r="K1846" i="1"/>
  <c r="M1846" i="1"/>
  <c r="N1846" i="1"/>
  <c r="P1846" i="1"/>
  <c r="P1847" i="1" s="1"/>
  <c r="Q1846" i="1"/>
  <c r="Q1847" i="1" s="1"/>
  <c r="R1846" i="1"/>
  <c r="R1847" i="1" s="1"/>
  <c r="S1846" i="1"/>
  <c r="S1847" i="1" s="1"/>
  <c r="T1846" i="1"/>
  <c r="T1847" i="1" s="1"/>
  <c r="V1846" i="1"/>
  <c r="V1847" i="1" s="1"/>
  <c r="W1846" i="1"/>
  <c r="W1847" i="1" s="1"/>
  <c r="X1846" i="1"/>
  <c r="X1847" i="1" s="1"/>
  <c r="Y1846" i="1"/>
  <c r="Y1847" i="1" s="1"/>
  <c r="Z1846" i="1"/>
  <c r="Z1847" i="1" s="1"/>
  <c r="D1847" i="1"/>
  <c r="A1848" i="1"/>
  <c r="A1849" i="1" s="1"/>
  <c r="B1848" i="1"/>
  <c r="B1849" i="1" s="1"/>
  <c r="C1848" i="1"/>
  <c r="C1849" i="1" s="1"/>
  <c r="D1848" i="1"/>
  <c r="D1849" i="1" s="1"/>
  <c r="E1848" i="1"/>
  <c r="E1849" i="1" s="1"/>
  <c r="F1848" i="1"/>
  <c r="F1849" i="1" s="1"/>
  <c r="G1848" i="1"/>
  <c r="H1848" i="1"/>
  <c r="I1848" i="1"/>
  <c r="J1848" i="1"/>
  <c r="K1848" i="1"/>
  <c r="M1848" i="1"/>
  <c r="N1848" i="1"/>
  <c r="P1848" i="1"/>
  <c r="P1849" i="1" s="1"/>
  <c r="Q1848" i="1"/>
  <c r="Q1849" i="1" s="1"/>
  <c r="R1848" i="1"/>
  <c r="R1849" i="1" s="1"/>
  <c r="S1848" i="1"/>
  <c r="S1849" i="1" s="1"/>
  <c r="T1848" i="1"/>
  <c r="T1849" i="1" s="1"/>
  <c r="V1848" i="1"/>
  <c r="V1849" i="1" s="1"/>
  <c r="W1848" i="1"/>
  <c r="W1849" i="1" s="1"/>
  <c r="X1848" i="1"/>
  <c r="X1849" i="1" s="1"/>
  <c r="Y1848" i="1"/>
  <c r="Y1849" i="1" s="1"/>
  <c r="Z1848" i="1"/>
  <c r="Z1849" i="1" s="1"/>
  <c r="A1850" i="1"/>
  <c r="A1851" i="1" s="1"/>
  <c r="B1850" i="1"/>
  <c r="B1851" i="1" s="1"/>
  <c r="C1850" i="1"/>
  <c r="C1851" i="1" s="1"/>
  <c r="D1850" i="1"/>
  <c r="D1851" i="1" s="1"/>
  <c r="E1850" i="1"/>
  <c r="E1851" i="1" s="1"/>
  <c r="F1850" i="1"/>
  <c r="F1851" i="1" s="1"/>
  <c r="G1850" i="1"/>
  <c r="H1850" i="1"/>
  <c r="I1850" i="1"/>
  <c r="J1850" i="1"/>
  <c r="K1850" i="1"/>
  <c r="M1850" i="1"/>
  <c r="N1850" i="1"/>
  <c r="P1850" i="1"/>
  <c r="P1851" i="1" s="1"/>
  <c r="Q1850" i="1"/>
  <c r="Q1851" i="1" s="1"/>
  <c r="R1850" i="1"/>
  <c r="R1851" i="1" s="1"/>
  <c r="S1850" i="1"/>
  <c r="S1851" i="1" s="1"/>
  <c r="T1850" i="1"/>
  <c r="T1851" i="1" s="1"/>
  <c r="V1850" i="1"/>
  <c r="V1851" i="1" s="1"/>
  <c r="W1850" i="1"/>
  <c r="W1851" i="1" s="1"/>
  <c r="X1850" i="1"/>
  <c r="X1851" i="1" s="1"/>
  <c r="Y1850" i="1"/>
  <c r="Z1850" i="1"/>
  <c r="Z1851" i="1" s="1"/>
  <c r="A1852" i="1"/>
  <c r="A1853" i="1" s="1"/>
  <c r="B1852" i="1"/>
  <c r="B1853" i="1" s="1"/>
  <c r="C1852" i="1"/>
  <c r="D1852" i="1"/>
  <c r="E1852" i="1"/>
  <c r="E1853" i="1" s="1"/>
  <c r="F1852" i="1"/>
  <c r="F1853" i="1" s="1"/>
  <c r="G1852" i="1"/>
  <c r="H1852" i="1"/>
  <c r="I1852" i="1"/>
  <c r="J1852" i="1"/>
  <c r="K1852" i="1"/>
  <c r="M1852" i="1"/>
  <c r="N1852" i="1"/>
  <c r="P1852" i="1"/>
  <c r="P1853" i="1" s="1"/>
  <c r="Q1852" i="1"/>
  <c r="Q1853" i="1" s="1"/>
  <c r="R1852" i="1"/>
  <c r="R1853" i="1" s="1"/>
  <c r="S1852" i="1"/>
  <c r="S1853" i="1" s="1"/>
  <c r="T1852" i="1"/>
  <c r="T1853" i="1" s="1"/>
  <c r="V1852" i="1"/>
  <c r="V1853" i="1" s="1"/>
  <c r="W1852" i="1"/>
  <c r="W1853" i="1" s="1"/>
  <c r="X1852" i="1"/>
  <c r="X1853" i="1" s="1"/>
  <c r="Y1852" i="1"/>
  <c r="Y1853" i="1" s="1"/>
  <c r="Z1852" i="1"/>
  <c r="Z1853" i="1" s="1"/>
  <c r="A1854" i="1"/>
  <c r="A1855" i="1" s="1"/>
  <c r="B1854" i="1"/>
  <c r="C1854" i="1"/>
  <c r="C1855" i="1" s="1"/>
  <c r="D1854" i="1"/>
  <c r="D1855" i="1" s="1"/>
  <c r="E1854" i="1"/>
  <c r="E1855" i="1" s="1"/>
  <c r="F1854" i="1"/>
  <c r="F1855" i="1" s="1"/>
  <c r="G1854" i="1"/>
  <c r="H1854" i="1"/>
  <c r="I1854" i="1"/>
  <c r="J1854" i="1"/>
  <c r="K1854" i="1"/>
  <c r="M1854" i="1"/>
  <c r="N1854" i="1"/>
  <c r="P1854" i="1"/>
  <c r="P1855" i="1" s="1"/>
  <c r="Q1854" i="1"/>
  <c r="Q1855" i="1" s="1"/>
  <c r="R1854" i="1"/>
  <c r="R1855" i="1" s="1"/>
  <c r="S1854" i="1"/>
  <c r="S1855" i="1" s="1"/>
  <c r="T1854" i="1"/>
  <c r="T1855" i="1" s="1"/>
  <c r="V1854" i="1"/>
  <c r="W1854" i="1"/>
  <c r="W1855" i="1" s="1"/>
  <c r="X1854" i="1"/>
  <c r="X1855" i="1" s="1"/>
  <c r="Y1854" i="1"/>
  <c r="Z1854" i="1"/>
  <c r="Z1855" i="1" s="1"/>
  <c r="B1855" i="1"/>
  <c r="V1855" i="1"/>
  <c r="A1856" i="1"/>
  <c r="A1857" i="1" s="1"/>
  <c r="B1856" i="1"/>
  <c r="C1856" i="1"/>
  <c r="C1857" i="1" s="1"/>
  <c r="D1856" i="1"/>
  <c r="D1857" i="1" s="1"/>
  <c r="E1856" i="1"/>
  <c r="E1857" i="1" s="1"/>
  <c r="F1856" i="1"/>
  <c r="G1856" i="1"/>
  <c r="H1856" i="1"/>
  <c r="I1856" i="1"/>
  <c r="J1856" i="1"/>
  <c r="K1856" i="1"/>
  <c r="M1856" i="1"/>
  <c r="N1856" i="1"/>
  <c r="P1856" i="1"/>
  <c r="P1857" i="1" s="1"/>
  <c r="Q1856" i="1"/>
  <c r="Q1857" i="1" s="1"/>
  <c r="R1856" i="1"/>
  <c r="R1857" i="1" s="1"/>
  <c r="S1856" i="1"/>
  <c r="S1857" i="1" s="1"/>
  <c r="T1856" i="1"/>
  <c r="T1857" i="1" s="1"/>
  <c r="V1856" i="1"/>
  <c r="V1857" i="1" s="1"/>
  <c r="W1856" i="1"/>
  <c r="W1857" i="1" s="1"/>
  <c r="X1856" i="1"/>
  <c r="X1857" i="1" s="1"/>
  <c r="Y1856" i="1"/>
  <c r="Z1856" i="1"/>
  <c r="Z1857" i="1" s="1"/>
  <c r="B1857" i="1"/>
  <c r="A1858" i="1"/>
  <c r="A1859" i="1" s="1"/>
  <c r="B1858" i="1"/>
  <c r="B1859" i="1" s="1"/>
  <c r="C1858" i="1"/>
  <c r="C1859" i="1" s="1"/>
  <c r="D1858" i="1"/>
  <c r="D1859" i="1" s="1"/>
  <c r="E1858" i="1"/>
  <c r="F1858" i="1"/>
  <c r="F1859" i="1" s="1"/>
  <c r="G1858" i="1"/>
  <c r="H1858" i="1"/>
  <c r="I1858" i="1"/>
  <c r="J1858" i="1"/>
  <c r="K1858" i="1"/>
  <c r="M1858" i="1"/>
  <c r="N1858" i="1"/>
  <c r="P1858" i="1"/>
  <c r="Q1858" i="1"/>
  <c r="Q1859" i="1" s="1"/>
  <c r="R1858" i="1"/>
  <c r="R1859" i="1" s="1"/>
  <c r="S1858" i="1"/>
  <c r="S1859" i="1" s="1"/>
  <c r="T1858" i="1"/>
  <c r="T1859" i="1" s="1"/>
  <c r="V1858" i="1"/>
  <c r="V1859" i="1" s="1"/>
  <c r="W1858" i="1"/>
  <c r="W1859" i="1" s="1"/>
  <c r="X1858" i="1"/>
  <c r="X1859" i="1" s="1"/>
  <c r="Y1858" i="1"/>
  <c r="Y1859" i="1" s="1"/>
  <c r="Z1858" i="1"/>
  <c r="Z1859" i="1" s="1"/>
  <c r="P1859" i="1"/>
  <c r="A1860" i="1"/>
  <c r="A1861" i="1" s="1"/>
  <c r="B1860" i="1"/>
  <c r="B1861" i="1" s="1"/>
  <c r="C1860" i="1"/>
  <c r="C1861" i="1" s="1"/>
  <c r="D1860" i="1"/>
  <c r="E1860" i="1"/>
  <c r="E1861" i="1" s="1"/>
  <c r="F1860" i="1"/>
  <c r="F1861" i="1" s="1"/>
  <c r="G1860" i="1"/>
  <c r="H1860" i="1"/>
  <c r="I1860" i="1"/>
  <c r="J1860" i="1"/>
  <c r="K1860" i="1"/>
  <c r="M1860" i="1"/>
  <c r="N1860" i="1"/>
  <c r="P1860" i="1"/>
  <c r="P1861" i="1" s="1"/>
  <c r="Q1860" i="1"/>
  <c r="Q1861" i="1" s="1"/>
  <c r="R1860" i="1"/>
  <c r="R1861" i="1" s="1"/>
  <c r="S1860" i="1"/>
  <c r="S1861" i="1" s="1"/>
  <c r="T1860" i="1"/>
  <c r="T1861" i="1" s="1"/>
  <c r="V1860" i="1"/>
  <c r="V1861" i="1" s="1"/>
  <c r="W1860" i="1"/>
  <c r="W1861" i="1" s="1"/>
  <c r="X1860" i="1"/>
  <c r="X1861" i="1" s="1"/>
  <c r="Y1860" i="1"/>
  <c r="Y1861" i="1" s="1"/>
  <c r="Z1860" i="1"/>
  <c r="Z1861" i="1" s="1"/>
  <c r="A1862" i="1"/>
  <c r="A1863" i="1" s="1"/>
  <c r="B1862" i="1"/>
  <c r="B1863" i="1" s="1"/>
  <c r="C1862" i="1"/>
  <c r="C1863" i="1" s="1"/>
  <c r="D1862" i="1"/>
  <c r="E1862" i="1"/>
  <c r="E1863" i="1" s="1"/>
  <c r="F1862" i="1"/>
  <c r="F1863" i="1" s="1"/>
  <c r="G1862" i="1"/>
  <c r="H1862" i="1"/>
  <c r="I1862" i="1"/>
  <c r="J1862" i="1"/>
  <c r="K1862" i="1"/>
  <c r="M1862" i="1"/>
  <c r="N1862" i="1"/>
  <c r="P1862" i="1"/>
  <c r="P1863" i="1" s="1"/>
  <c r="Q1862" i="1"/>
  <c r="Q1863" i="1" s="1"/>
  <c r="R1862" i="1"/>
  <c r="R1863" i="1" s="1"/>
  <c r="S1862" i="1"/>
  <c r="S1863" i="1" s="1"/>
  <c r="T1862" i="1"/>
  <c r="T1863" i="1" s="1"/>
  <c r="V1862" i="1"/>
  <c r="V1863" i="1" s="1"/>
  <c r="W1862" i="1"/>
  <c r="W1863" i="1" s="1"/>
  <c r="X1862" i="1"/>
  <c r="X1863" i="1" s="1"/>
  <c r="Y1862" i="1"/>
  <c r="Y1863" i="1" s="1"/>
  <c r="Z1862" i="1"/>
  <c r="Z1863" i="1" s="1"/>
  <c r="A1864" i="1"/>
  <c r="A1865" i="1" s="1"/>
  <c r="B1864" i="1"/>
  <c r="B1865" i="1" s="1"/>
  <c r="C1864" i="1"/>
  <c r="C1865" i="1" s="1"/>
  <c r="D1864" i="1"/>
  <c r="E1864" i="1"/>
  <c r="E1865" i="1" s="1"/>
  <c r="F1864" i="1"/>
  <c r="F1865" i="1" s="1"/>
  <c r="G1864" i="1"/>
  <c r="H1864" i="1"/>
  <c r="I1864" i="1"/>
  <c r="J1864" i="1"/>
  <c r="K1864" i="1"/>
  <c r="M1864" i="1"/>
  <c r="N1864" i="1"/>
  <c r="P1864" i="1"/>
  <c r="P1865" i="1" s="1"/>
  <c r="Q1864" i="1"/>
  <c r="Q1865" i="1" s="1"/>
  <c r="R1864" i="1"/>
  <c r="R1865" i="1" s="1"/>
  <c r="S1864" i="1"/>
  <c r="S1865" i="1" s="1"/>
  <c r="T1864" i="1"/>
  <c r="T1865" i="1" s="1"/>
  <c r="V1864" i="1"/>
  <c r="V1865" i="1" s="1"/>
  <c r="W1864" i="1"/>
  <c r="W1865" i="1" s="1"/>
  <c r="X1864" i="1"/>
  <c r="X1865" i="1" s="1"/>
  <c r="Y1864" i="1"/>
  <c r="Y1865" i="1" s="1"/>
  <c r="Z1864" i="1"/>
  <c r="Z1865" i="1" s="1"/>
  <c r="A1866" i="1"/>
  <c r="A1867" i="1" s="1"/>
  <c r="B1866" i="1"/>
  <c r="B1867" i="1" s="1"/>
  <c r="C1866" i="1"/>
  <c r="C1867" i="1" s="1"/>
  <c r="D1866" i="1"/>
  <c r="D1867" i="1" s="1"/>
  <c r="E1866" i="1"/>
  <c r="E1867" i="1" s="1"/>
  <c r="F1866" i="1"/>
  <c r="F1867" i="1" s="1"/>
  <c r="G1866" i="1"/>
  <c r="H1866" i="1"/>
  <c r="I1866" i="1"/>
  <c r="J1866" i="1"/>
  <c r="K1866" i="1"/>
  <c r="M1866" i="1"/>
  <c r="N1866" i="1"/>
  <c r="P1866" i="1"/>
  <c r="P1867" i="1" s="1"/>
  <c r="Q1866" i="1"/>
  <c r="Q1867" i="1" s="1"/>
  <c r="R1866" i="1"/>
  <c r="R1867" i="1" s="1"/>
  <c r="S1866" i="1"/>
  <c r="S1867" i="1" s="1"/>
  <c r="T1866" i="1"/>
  <c r="V1866" i="1"/>
  <c r="V1867" i="1" s="1"/>
  <c r="W1866" i="1"/>
  <c r="W1867" i="1" s="1"/>
  <c r="X1866" i="1"/>
  <c r="X1867" i="1" s="1"/>
  <c r="Y1866" i="1"/>
  <c r="Y1867" i="1" s="1"/>
  <c r="Z1866" i="1"/>
  <c r="Z1867" i="1" s="1"/>
  <c r="T1867" i="1"/>
  <c r="A1868" i="1"/>
  <c r="A1869" i="1" s="1"/>
  <c r="B1868" i="1"/>
  <c r="B1869" i="1" s="1"/>
  <c r="C1868" i="1"/>
  <c r="D1868" i="1"/>
  <c r="D1869" i="1" s="1"/>
  <c r="E1868" i="1"/>
  <c r="E1869" i="1" s="1"/>
  <c r="F1868" i="1"/>
  <c r="F1869" i="1" s="1"/>
  <c r="G1868" i="1"/>
  <c r="H1868" i="1"/>
  <c r="I1868" i="1"/>
  <c r="J1868" i="1"/>
  <c r="K1868" i="1"/>
  <c r="M1868" i="1"/>
  <c r="N1868" i="1"/>
  <c r="P1868" i="1"/>
  <c r="Q1868" i="1"/>
  <c r="Q1869" i="1" s="1"/>
  <c r="R1868" i="1"/>
  <c r="R1869" i="1" s="1"/>
  <c r="S1868" i="1"/>
  <c r="S1869" i="1" s="1"/>
  <c r="T1868" i="1"/>
  <c r="T1869" i="1" s="1"/>
  <c r="V1868" i="1"/>
  <c r="V1869" i="1" s="1"/>
  <c r="W1868" i="1"/>
  <c r="W1869" i="1" s="1"/>
  <c r="X1868" i="1"/>
  <c r="X1869" i="1" s="1"/>
  <c r="Y1868" i="1"/>
  <c r="Y1869" i="1" s="1"/>
  <c r="Z1868" i="1"/>
  <c r="Z1869" i="1" s="1"/>
  <c r="P1869" i="1"/>
  <c r="A1870" i="1"/>
  <c r="A1871" i="1" s="1"/>
  <c r="B1870" i="1"/>
  <c r="C1870" i="1"/>
  <c r="C1871" i="1" s="1"/>
  <c r="D1870" i="1"/>
  <c r="D1871" i="1" s="1"/>
  <c r="E1870" i="1"/>
  <c r="E1871" i="1" s="1"/>
  <c r="F1870" i="1"/>
  <c r="F1871" i="1" s="1"/>
  <c r="G1870" i="1"/>
  <c r="H1870" i="1"/>
  <c r="I1870" i="1"/>
  <c r="J1870" i="1"/>
  <c r="K1870" i="1"/>
  <c r="M1870" i="1"/>
  <c r="N1870" i="1"/>
  <c r="P1870" i="1"/>
  <c r="P1871" i="1" s="1"/>
  <c r="Q1870" i="1"/>
  <c r="Q1871" i="1" s="1"/>
  <c r="R1870" i="1"/>
  <c r="R1871" i="1" s="1"/>
  <c r="S1870" i="1"/>
  <c r="S1871" i="1" s="1"/>
  <c r="T1870" i="1"/>
  <c r="T1871" i="1" s="1"/>
  <c r="V1870" i="1"/>
  <c r="V1871" i="1" s="1"/>
  <c r="W1870" i="1"/>
  <c r="W1871" i="1" s="1"/>
  <c r="X1870" i="1"/>
  <c r="X1871" i="1" s="1"/>
  <c r="Y1870" i="1"/>
  <c r="Z1870" i="1"/>
  <c r="Z1871" i="1" s="1"/>
  <c r="B1871" i="1"/>
  <c r="A1872" i="1"/>
  <c r="A1873" i="1" s="1"/>
  <c r="B1872" i="1"/>
  <c r="B1873" i="1" s="1"/>
  <c r="C1872" i="1"/>
  <c r="C1873" i="1" s="1"/>
  <c r="D1872" i="1"/>
  <c r="D1873" i="1" s="1"/>
  <c r="E1872" i="1"/>
  <c r="E1873" i="1" s="1"/>
  <c r="F1872" i="1"/>
  <c r="F1873" i="1" s="1"/>
  <c r="G1872" i="1"/>
  <c r="H1872" i="1"/>
  <c r="I1872" i="1"/>
  <c r="J1872" i="1"/>
  <c r="K1872" i="1"/>
  <c r="M1872" i="1"/>
  <c r="N1872" i="1"/>
  <c r="P1872" i="1"/>
  <c r="P1873" i="1" s="1"/>
  <c r="Q1872" i="1"/>
  <c r="Q1873" i="1" s="1"/>
  <c r="R1872" i="1"/>
  <c r="R1873" i="1" s="1"/>
  <c r="S1872" i="1"/>
  <c r="S1873" i="1" s="1"/>
  <c r="T1872" i="1"/>
  <c r="T1873" i="1" s="1"/>
  <c r="V1872" i="1"/>
  <c r="V1873" i="1" s="1"/>
  <c r="W1872" i="1"/>
  <c r="W1873" i="1" s="1"/>
  <c r="X1872" i="1"/>
  <c r="X1873" i="1" s="1"/>
  <c r="Y1872" i="1"/>
  <c r="Z1872" i="1"/>
  <c r="Z1873" i="1" s="1"/>
  <c r="A1874" i="1"/>
  <c r="A1875" i="1" s="1"/>
  <c r="B1874" i="1"/>
  <c r="B1875" i="1" s="1"/>
  <c r="C1874" i="1"/>
  <c r="C1875" i="1" s="1"/>
  <c r="D1874" i="1"/>
  <c r="D1875" i="1" s="1"/>
  <c r="E1874" i="1"/>
  <c r="F1874" i="1"/>
  <c r="F1875" i="1" s="1"/>
  <c r="G1874" i="1"/>
  <c r="H1874" i="1"/>
  <c r="I1874" i="1"/>
  <c r="J1874" i="1"/>
  <c r="K1874" i="1"/>
  <c r="M1874" i="1"/>
  <c r="N1874" i="1"/>
  <c r="P1874" i="1"/>
  <c r="P1875" i="1" s="1"/>
  <c r="Q1874" i="1"/>
  <c r="Q1875" i="1" s="1"/>
  <c r="R1874" i="1"/>
  <c r="R1875" i="1" s="1"/>
  <c r="S1874" i="1"/>
  <c r="S1875" i="1" s="1"/>
  <c r="T1874" i="1"/>
  <c r="V1874" i="1"/>
  <c r="V1875" i="1" s="1"/>
  <c r="W1874" i="1"/>
  <c r="W1875" i="1" s="1"/>
  <c r="X1874" i="1"/>
  <c r="X1875" i="1" s="1"/>
  <c r="Y1874" i="1"/>
  <c r="Z1874" i="1"/>
  <c r="Z1875" i="1" s="1"/>
  <c r="T1875" i="1"/>
  <c r="A1876" i="1"/>
  <c r="A1877" i="1" s="1"/>
  <c r="B1876" i="1"/>
  <c r="B1877" i="1" s="1"/>
  <c r="C1876" i="1"/>
  <c r="C1877" i="1" s="1"/>
  <c r="D1876" i="1"/>
  <c r="E1876" i="1"/>
  <c r="E1877" i="1" s="1"/>
  <c r="F1876" i="1"/>
  <c r="F1877" i="1" s="1"/>
  <c r="G1876" i="1"/>
  <c r="H1876" i="1"/>
  <c r="I1876" i="1"/>
  <c r="J1876" i="1"/>
  <c r="K1876" i="1"/>
  <c r="M1876" i="1"/>
  <c r="N1876" i="1"/>
  <c r="P1876" i="1"/>
  <c r="P1877" i="1" s="1"/>
  <c r="Q1876" i="1"/>
  <c r="Q1877" i="1" s="1"/>
  <c r="R1876" i="1"/>
  <c r="R1877" i="1" s="1"/>
  <c r="S1876" i="1"/>
  <c r="S1877" i="1" s="1"/>
  <c r="T1876" i="1"/>
  <c r="V1876" i="1"/>
  <c r="V1877" i="1" s="1"/>
  <c r="W1876" i="1"/>
  <c r="W1877" i="1" s="1"/>
  <c r="X1876" i="1"/>
  <c r="X1877" i="1" s="1"/>
  <c r="Y1876" i="1"/>
  <c r="Y1877" i="1" s="1"/>
  <c r="Z1876" i="1"/>
  <c r="Z1877" i="1" s="1"/>
  <c r="T1877" i="1"/>
  <c r="A1878" i="1"/>
  <c r="A1879" i="1" s="1"/>
  <c r="B1878" i="1"/>
  <c r="B1879" i="1" s="1"/>
  <c r="C1878" i="1"/>
  <c r="C1879" i="1" s="1"/>
  <c r="D1878" i="1"/>
  <c r="D1879" i="1" s="1"/>
  <c r="E1878" i="1"/>
  <c r="F1878" i="1"/>
  <c r="F1879" i="1" s="1"/>
  <c r="G1878" i="1"/>
  <c r="H1878" i="1"/>
  <c r="I1878" i="1"/>
  <c r="J1878" i="1"/>
  <c r="K1878" i="1"/>
  <c r="M1878" i="1"/>
  <c r="N1878" i="1"/>
  <c r="P1878" i="1"/>
  <c r="P1879" i="1" s="1"/>
  <c r="Q1878" i="1"/>
  <c r="Q1879" i="1" s="1"/>
  <c r="R1878" i="1"/>
  <c r="R1879" i="1" s="1"/>
  <c r="S1878" i="1"/>
  <c r="S1879" i="1" s="1"/>
  <c r="T1878" i="1"/>
  <c r="T1879" i="1" s="1"/>
  <c r="V1878" i="1"/>
  <c r="V1879" i="1" s="1"/>
  <c r="W1878" i="1"/>
  <c r="W1879" i="1" s="1"/>
  <c r="X1878" i="1"/>
  <c r="X1879" i="1" s="1"/>
  <c r="Y1878" i="1"/>
  <c r="Y1879" i="1" s="1"/>
  <c r="Z1878" i="1"/>
  <c r="Z1879" i="1" s="1"/>
  <c r="E1879" i="1"/>
  <c r="A1880" i="1"/>
  <c r="A1881" i="1" s="1"/>
  <c r="B1880" i="1"/>
  <c r="B1881" i="1" s="1"/>
  <c r="C1880" i="1"/>
  <c r="C1881" i="1" s="1"/>
  <c r="D1880" i="1"/>
  <c r="E1880" i="1"/>
  <c r="F1880" i="1"/>
  <c r="F1881" i="1" s="1"/>
  <c r="G1880" i="1"/>
  <c r="H1880" i="1"/>
  <c r="I1880" i="1"/>
  <c r="J1880" i="1"/>
  <c r="K1880" i="1"/>
  <c r="M1880" i="1"/>
  <c r="N1880" i="1"/>
  <c r="P1880" i="1"/>
  <c r="P1881" i="1" s="1"/>
  <c r="Q1880" i="1"/>
  <c r="Q1881" i="1" s="1"/>
  <c r="R1880" i="1"/>
  <c r="R1881" i="1" s="1"/>
  <c r="S1880" i="1"/>
  <c r="S1881" i="1" s="1"/>
  <c r="T1880" i="1"/>
  <c r="T1881" i="1" s="1"/>
  <c r="V1880" i="1"/>
  <c r="V1881" i="1" s="1"/>
  <c r="W1880" i="1"/>
  <c r="W1881" i="1" s="1"/>
  <c r="X1880" i="1"/>
  <c r="X1881" i="1" s="1"/>
  <c r="Y1880" i="1"/>
  <c r="Y1881" i="1" s="1"/>
  <c r="Z1880" i="1"/>
  <c r="Z1881" i="1" s="1"/>
  <c r="E1881" i="1"/>
  <c r="A1882" i="1"/>
  <c r="A1883" i="1" s="1"/>
  <c r="B1882" i="1"/>
  <c r="B1883" i="1" s="1"/>
  <c r="C1882" i="1"/>
  <c r="C1883" i="1" s="1"/>
  <c r="D1882" i="1"/>
  <c r="D1883" i="1" s="1"/>
  <c r="E1882" i="1"/>
  <c r="E1883" i="1" s="1"/>
  <c r="F1882" i="1"/>
  <c r="F1883" i="1" s="1"/>
  <c r="G1882" i="1"/>
  <c r="H1882" i="1"/>
  <c r="I1882" i="1"/>
  <c r="J1882" i="1"/>
  <c r="K1882" i="1"/>
  <c r="M1882" i="1"/>
  <c r="N1882" i="1"/>
  <c r="P1882" i="1"/>
  <c r="P1883" i="1" s="1"/>
  <c r="Q1882" i="1"/>
  <c r="Q1883" i="1" s="1"/>
  <c r="R1882" i="1"/>
  <c r="R1883" i="1" s="1"/>
  <c r="S1882" i="1"/>
  <c r="S1883" i="1" s="1"/>
  <c r="T1882" i="1"/>
  <c r="T1883" i="1" s="1"/>
  <c r="V1882" i="1"/>
  <c r="V1883" i="1" s="1"/>
  <c r="W1882" i="1"/>
  <c r="W1883" i="1" s="1"/>
  <c r="X1882" i="1"/>
  <c r="X1883" i="1" s="1"/>
  <c r="Y1882" i="1"/>
  <c r="Y1883" i="1" s="1"/>
  <c r="Z1882" i="1"/>
  <c r="Z1883" i="1" s="1"/>
  <c r="A1884" i="1"/>
  <c r="A1885" i="1" s="1"/>
  <c r="B1884" i="1"/>
  <c r="C1884" i="1"/>
  <c r="D1884" i="1"/>
  <c r="D1885" i="1" s="1"/>
  <c r="E1884" i="1"/>
  <c r="E1885" i="1" s="1"/>
  <c r="F1884" i="1"/>
  <c r="F1885" i="1" s="1"/>
  <c r="G1884" i="1"/>
  <c r="H1884" i="1"/>
  <c r="I1884" i="1"/>
  <c r="J1884" i="1"/>
  <c r="K1884" i="1"/>
  <c r="M1884" i="1"/>
  <c r="N1884" i="1"/>
  <c r="P1884" i="1"/>
  <c r="Q1884" i="1"/>
  <c r="Q1885" i="1" s="1"/>
  <c r="R1884" i="1"/>
  <c r="R1885" i="1" s="1"/>
  <c r="S1884" i="1"/>
  <c r="S1885" i="1" s="1"/>
  <c r="T1884" i="1"/>
  <c r="T1885" i="1" s="1"/>
  <c r="V1884" i="1"/>
  <c r="V1885" i="1" s="1"/>
  <c r="W1884" i="1"/>
  <c r="W1885" i="1" s="1"/>
  <c r="X1884" i="1"/>
  <c r="X1885" i="1" s="1"/>
  <c r="Y1884" i="1"/>
  <c r="Z1884" i="1"/>
  <c r="Z1885" i="1" s="1"/>
  <c r="B1885" i="1"/>
  <c r="P1885" i="1"/>
  <c r="A1886" i="1"/>
  <c r="A1887" i="1" s="1"/>
  <c r="B1886" i="1"/>
  <c r="B1887" i="1" s="1"/>
  <c r="C1886" i="1"/>
  <c r="C1887" i="1" s="1"/>
  <c r="D1886" i="1"/>
  <c r="D1887" i="1" s="1"/>
  <c r="E1886" i="1"/>
  <c r="E1887" i="1" s="1"/>
  <c r="F1886" i="1"/>
  <c r="F1887" i="1" s="1"/>
  <c r="G1886" i="1"/>
  <c r="H1886" i="1"/>
  <c r="I1886" i="1"/>
  <c r="J1886" i="1"/>
  <c r="K1886" i="1"/>
  <c r="M1886" i="1"/>
  <c r="N1886" i="1"/>
  <c r="P1886" i="1"/>
  <c r="P1887" i="1" s="1"/>
  <c r="Q1886" i="1"/>
  <c r="Q1887" i="1" s="1"/>
  <c r="R1886" i="1"/>
  <c r="R1887" i="1" s="1"/>
  <c r="S1886" i="1"/>
  <c r="S1887" i="1" s="1"/>
  <c r="T1886" i="1"/>
  <c r="T1887" i="1" s="1"/>
  <c r="V1886" i="1"/>
  <c r="V1887" i="1" s="1"/>
  <c r="W1886" i="1"/>
  <c r="W1887" i="1" s="1"/>
  <c r="X1886" i="1"/>
  <c r="X1887" i="1" s="1"/>
  <c r="Y1886" i="1"/>
  <c r="Y1887" i="1" s="1"/>
  <c r="Z1886" i="1"/>
  <c r="Z1887" i="1" s="1"/>
  <c r="A1888" i="1"/>
  <c r="A1889" i="1" s="1"/>
  <c r="B1888" i="1"/>
  <c r="C1888" i="1"/>
  <c r="C1889" i="1" s="1"/>
  <c r="D1888" i="1"/>
  <c r="D1889" i="1" s="1"/>
  <c r="E1888" i="1"/>
  <c r="E1889" i="1" s="1"/>
  <c r="F1888" i="1"/>
  <c r="F1889" i="1" s="1"/>
  <c r="G1888" i="1"/>
  <c r="H1888" i="1"/>
  <c r="I1888" i="1"/>
  <c r="J1888" i="1"/>
  <c r="K1888" i="1"/>
  <c r="M1888" i="1"/>
  <c r="N1888" i="1"/>
  <c r="P1888" i="1"/>
  <c r="P1889" i="1" s="1"/>
  <c r="Q1888" i="1"/>
  <c r="Q1889" i="1" s="1"/>
  <c r="R1888" i="1"/>
  <c r="R1889" i="1" s="1"/>
  <c r="S1888" i="1"/>
  <c r="S1889" i="1" s="1"/>
  <c r="T1888" i="1"/>
  <c r="T1889" i="1" s="1"/>
  <c r="V1888" i="1"/>
  <c r="W1888" i="1"/>
  <c r="W1889" i="1" s="1"/>
  <c r="X1888" i="1"/>
  <c r="X1889" i="1" s="1"/>
  <c r="Y1888" i="1"/>
  <c r="Z1888" i="1"/>
  <c r="Z1889" i="1" s="1"/>
  <c r="B1889" i="1"/>
  <c r="V1889" i="1"/>
  <c r="A1890" i="1"/>
  <c r="A1891" i="1" s="1"/>
  <c r="B1890" i="1"/>
  <c r="B1891" i="1" s="1"/>
  <c r="C1890" i="1"/>
  <c r="C1891" i="1" s="1"/>
  <c r="D1890" i="1"/>
  <c r="D1891" i="1" s="1"/>
  <c r="E1890" i="1"/>
  <c r="F1890" i="1"/>
  <c r="F1891" i="1" s="1"/>
  <c r="G1890" i="1"/>
  <c r="H1890" i="1"/>
  <c r="I1890" i="1"/>
  <c r="J1890" i="1"/>
  <c r="K1890" i="1"/>
  <c r="M1890" i="1"/>
  <c r="N1890" i="1"/>
  <c r="P1890" i="1"/>
  <c r="P1891" i="1" s="1"/>
  <c r="Q1890" i="1"/>
  <c r="Q1891" i="1" s="1"/>
  <c r="R1890" i="1"/>
  <c r="R1891" i="1" s="1"/>
  <c r="S1890" i="1"/>
  <c r="S1891" i="1" s="1"/>
  <c r="T1890" i="1"/>
  <c r="T1891" i="1" s="1"/>
  <c r="V1890" i="1"/>
  <c r="V1891" i="1" s="1"/>
  <c r="W1890" i="1"/>
  <c r="W1891" i="1" s="1"/>
  <c r="X1890" i="1"/>
  <c r="X1891" i="1" s="1"/>
  <c r="Y1890" i="1"/>
  <c r="Y1891" i="1" s="1"/>
  <c r="Z1890" i="1"/>
  <c r="Z1891" i="1" s="1"/>
  <c r="A1892" i="1"/>
  <c r="A1893" i="1" s="1"/>
  <c r="B1892" i="1"/>
  <c r="B1893" i="1" s="1"/>
  <c r="C1892" i="1"/>
  <c r="C1893" i="1" s="1"/>
  <c r="D1892" i="1"/>
  <c r="E1892" i="1"/>
  <c r="E1893" i="1" s="1"/>
  <c r="F1892" i="1"/>
  <c r="F1893" i="1" s="1"/>
  <c r="G1892" i="1"/>
  <c r="H1892" i="1"/>
  <c r="I1892" i="1"/>
  <c r="J1892" i="1"/>
  <c r="K1892" i="1"/>
  <c r="M1892" i="1"/>
  <c r="N1892" i="1"/>
  <c r="P1892" i="1"/>
  <c r="P1893" i="1" s="1"/>
  <c r="Q1892" i="1"/>
  <c r="Q1893" i="1" s="1"/>
  <c r="R1892" i="1"/>
  <c r="R1893" i="1" s="1"/>
  <c r="S1892" i="1"/>
  <c r="S1893" i="1" s="1"/>
  <c r="T1892" i="1"/>
  <c r="T1893" i="1" s="1"/>
  <c r="V1892" i="1"/>
  <c r="V1893" i="1" s="1"/>
  <c r="W1892" i="1"/>
  <c r="W1893" i="1" s="1"/>
  <c r="X1892" i="1"/>
  <c r="X1893" i="1" s="1"/>
  <c r="Y1892" i="1"/>
  <c r="Y1893" i="1" s="1"/>
  <c r="Z1892" i="1"/>
  <c r="Z1893" i="1" s="1"/>
  <c r="A1894" i="1"/>
  <c r="A1895" i="1" s="1"/>
  <c r="B1894" i="1"/>
  <c r="B1895" i="1" s="1"/>
  <c r="C1894" i="1"/>
  <c r="C1895" i="1" s="1"/>
  <c r="D1894" i="1"/>
  <c r="E1894" i="1"/>
  <c r="E1895" i="1" s="1"/>
  <c r="F1894" i="1"/>
  <c r="F1895" i="1" s="1"/>
  <c r="G1894" i="1"/>
  <c r="H1894" i="1"/>
  <c r="I1894" i="1"/>
  <c r="J1894" i="1"/>
  <c r="K1894" i="1"/>
  <c r="M1894" i="1"/>
  <c r="N1894" i="1"/>
  <c r="P1894" i="1"/>
  <c r="P1895" i="1" s="1"/>
  <c r="Q1894" i="1"/>
  <c r="Q1895" i="1" s="1"/>
  <c r="R1894" i="1"/>
  <c r="R1895" i="1" s="1"/>
  <c r="S1894" i="1"/>
  <c r="S1895" i="1" s="1"/>
  <c r="T1894" i="1"/>
  <c r="T1895" i="1" s="1"/>
  <c r="V1894" i="1"/>
  <c r="V1895" i="1" s="1"/>
  <c r="W1894" i="1"/>
  <c r="W1895" i="1" s="1"/>
  <c r="X1894" i="1"/>
  <c r="X1895" i="1" s="1"/>
  <c r="Y1894" i="1"/>
  <c r="Y1895" i="1" s="1"/>
  <c r="Z1894" i="1"/>
  <c r="Z1895" i="1" s="1"/>
  <c r="A1896" i="1"/>
  <c r="A1897" i="1" s="1"/>
  <c r="B1896" i="1"/>
  <c r="B1897" i="1" s="1"/>
  <c r="C1896" i="1"/>
  <c r="C1897" i="1" s="1"/>
  <c r="D1896" i="1"/>
  <c r="D1897" i="1" s="1"/>
  <c r="E1896" i="1"/>
  <c r="E1897" i="1" s="1"/>
  <c r="F1896" i="1"/>
  <c r="F1897" i="1" s="1"/>
  <c r="G1896" i="1"/>
  <c r="H1896" i="1"/>
  <c r="I1896" i="1"/>
  <c r="J1896" i="1"/>
  <c r="K1896" i="1"/>
  <c r="M1896" i="1"/>
  <c r="N1896" i="1"/>
  <c r="P1896" i="1"/>
  <c r="P1897" i="1" s="1"/>
  <c r="Q1896" i="1"/>
  <c r="Q1897" i="1" s="1"/>
  <c r="R1896" i="1"/>
  <c r="R1897" i="1" s="1"/>
  <c r="S1896" i="1"/>
  <c r="S1897" i="1" s="1"/>
  <c r="T1896" i="1"/>
  <c r="T1897" i="1" s="1"/>
  <c r="V1896" i="1"/>
  <c r="V1897" i="1" s="1"/>
  <c r="W1896" i="1"/>
  <c r="W1897" i="1" s="1"/>
  <c r="X1896" i="1"/>
  <c r="X1897" i="1" s="1"/>
  <c r="Y1896" i="1"/>
  <c r="Y1897" i="1" s="1"/>
  <c r="Z1896" i="1"/>
  <c r="Z1897" i="1" s="1"/>
  <c r="A1898" i="1"/>
  <c r="A1899" i="1" s="1"/>
  <c r="B1898" i="1"/>
  <c r="B1899" i="1" s="1"/>
  <c r="C1898" i="1"/>
  <c r="C1899" i="1" s="1"/>
  <c r="D1898" i="1"/>
  <c r="D1899" i="1" s="1"/>
  <c r="E1898" i="1"/>
  <c r="E1899" i="1" s="1"/>
  <c r="F1898" i="1"/>
  <c r="F1899" i="1" s="1"/>
  <c r="G1898" i="1"/>
  <c r="H1898" i="1"/>
  <c r="I1898" i="1"/>
  <c r="J1898" i="1"/>
  <c r="K1898" i="1"/>
  <c r="M1898" i="1"/>
  <c r="N1898" i="1"/>
  <c r="P1898" i="1"/>
  <c r="P1899" i="1" s="1"/>
  <c r="Q1898" i="1"/>
  <c r="Q1899" i="1" s="1"/>
  <c r="R1898" i="1"/>
  <c r="R1899" i="1" s="1"/>
  <c r="S1898" i="1"/>
  <c r="S1899" i="1" s="1"/>
  <c r="T1898" i="1"/>
  <c r="T1899" i="1" s="1"/>
  <c r="V1898" i="1"/>
  <c r="V1899" i="1" s="1"/>
  <c r="W1898" i="1"/>
  <c r="W1899" i="1" s="1"/>
  <c r="X1898" i="1"/>
  <c r="X1899" i="1" s="1"/>
  <c r="Y1898" i="1"/>
  <c r="Z1898" i="1"/>
  <c r="Z1899" i="1" s="1"/>
  <c r="A1900" i="1"/>
  <c r="A1901" i="1" s="1"/>
  <c r="B1900" i="1"/>
  <c r="B1901" i="1" s="1"/>
  <c r="C1900" i="1"/>
  <c r="C1901" i="1" s="1"/>
  <c r="D1900" i="1"/>
  <c r="D1901" i="1" s="1"/>
  <c r="E1900" i="1"/>
  <c r="E1901" i="1" s="1"/>
  <c r="F1900" i="1"/>
  <c r="F1901" i="1" s="1"/>
  <c r="G1900" i="1"/>
  <c r="H1900" i="1"/>
  <c r="I1900" i="1"/>
  <c r="J1900" i="1"/>
  <c r="K1900" i="1"/>
  <c r="M1900" i="1"/>
  <c r="N1900" i="1"/>
  <c r="P1900" i="1"/>
  <c r="P1901" i="1" s="1"/>
  <c r="Q1900" i="1"/>
  <c r="Q1901" i="1" s="1"/>
  <c r="R1900" i="1"/>
  <c r="R1901" i="1" s="1"/>
  <c r="S1900" i="1"/>
  <c r="S1901" i="1" s="1"/>
  <c r="T1900" i="1"/>
  <c r="T1901" i="1" s="1"/>
  <c r="V1900" i="1"/>
  <c r="V1901" i="1" s="1"/>
  <c r="W1900" i="1"/>
  <c r="W1901" i="1" s="1"/>
  <c r="X1900" i="1"/>
  <c r="X1901" i="1" s="1"/>
  <c r="Y1900" i="1"/>
  <c r="Z1900" i="1"/>
  <c r="Z1901" i="1" s="1"/>
  <c r="A1902" i="1"/>
  <c r="A1903" i="1" s="1"/>
  <c r="B1902" i="1"/>
  <c r="B1903" i="1" s="1"/>
  <c r="C1902" i="1"/>
  <c r="C1903" i="1" s="1"/>
  <c r="D1902" i="1"/>
  <c r="E1902" i="1"/>
  <c r="E1903" i="1" s="1"/>
  <c r="F1902" i="1"/>
  <c r="F1903" i="1" s="1"/>
  <c r="G1902" i="1"/>
  <c r="H1902" i="1"/>
  <c r="I1902" i="1"/>
  <c r="J1902" i="1"/>
  <c r="K1902" i="1"/>
  <c r="M1902" i="1"/>
  <c r="N1902" i="1"/>
  <c r="P1902" i="1"/>
  <c r="P1903" i="1" s="1"/>
  <c r="Q1902" i="1"/>
  <c r="Q1903" i="1" s="1"/>
  <c r="R1902" i="1"/>
  <c r="R1903" i="1" s="1"/>
  <c r="S1902" i="1"/>
  <c r="S1903" i="1" s="1"/>
  <c r="T1902" i="1"/>
  <c r="T1903" i="1" s="1"/>
  <c r="V1902" i="1"/>
  <c r="V1903" i="1" s="1"/>
  <c r="W1902" i="1"/>
  <c r="W1903" i="1" s="1"/>
  <c r="X1902" i="1"/>
  <c r="X1903" i="1" s="1"/>
  <c r="Y1902" i="1"/>
  <c r="Y1903" i="1" s="1"/>
  <c r="Z1902" i="1"/>
  <c r="Z1903" i="1" s="1"/>
  <c r="D1903" i="1"/>
  <c r="A1904" i="1"/>
  <c r="A1905" i="1" s="1"/>
  <c r="B1904" i="1"/>
  <c r="B1905" i="1" s="1"/>
  <c r="C1904" i="1"/>
  <c r="C1905" i="1" s="1"/>
  <c r="D1904" i="1"/>
  <c r="E1904" i="1"/>
  <c r="E1905" i="1" s="1"/>
  <c r="F1904" i="1"/>
  <c r="F1905" i="1" s="1"/>
  <c r="G1904" i="1"/>
  <c r="H1904" i="1"/>
  <c r="I1904" i="1"/>
  <c r="J1904" i="1"/>
  <c r="K1904" i="1"/>
  <c r="M1904" i="1"/>
  <c r="N1904" i="1"/>
  <c r="P1904" i="1"/>
  <c r="P1905" i="1" s="1"/>
  <c r="Q1904" i="1"/>
  <c r="Q1905" i="1" s="1"/>
  <c r="R1904" i="1"/>
  <c r="R1905" i="1" s="1"/>
  <c r="S1904" i="1"/>
  <c r="S1905" i="1" s="1"/>
  <c r="T1904" i="1"/>
  <c r="T1905" i="1" s="1"/>
  <c r="V1904" i="1"/>
  <c r="V1905" i="1" s="1"/>
  <c r="W1904" i="1"/>
  <c r="W1905" i="1" s="1"/>
  <c r="X1904" i="1"/>
  <c r="X1905" i="1" s="1"/>
  <c r="Y1904" i="1"/>
  <c r="Y1905" i="1" s="1"/>
  <c r="Z1904" i="1"/>
  <c r="Z1905" i="1" s="1"/>
  <c r="D1905" i="1"/>
  <c r="A1906" i="1"/>
  <c r="A1907" i="1" s="1"/>
  <c r="B1906" i="1"/>
  <c r="B1907" i="1" s="1"/>
  <c r="C1906" i="1"/>
  <c r="C1907" i="1" s="1"/>
  <c r="D1906" i="1"/>
  <c r="E1906" i="1"/>
  <c r="F1906" i="1"/>
  <c r="F1907" i="1" s="1"/>
  <c r="G1906" i="1"/>
  <c r="H1906" i="1"/>
  <c r="I1906" i="1"/>
  <c r="J1906" i="1"/>
  <c r="K1906" i="1"/>
  <c r="M1906" i="1"/>
  <c r="N1906" i="1"/>
  <c r="P1906" i="1"/>
  <c r="P1907" i="1" s="1"/>
  <c r="Q1906" i="1"/>
  <c r="Q1907" i="1" s="1"/>
  <c r="R1906" i="1"/>
  <c r="R1907" i="1" s="1"/>
  <c r="S1906" i="1"/>
  <c r="S1907" i="1" s="1"/>
  <c r="T1906" i="1"/>
  <c r="T1907" i="1" s="1"/>
  <c r="V1906" i="1"/>
  <c r="W1906" i="1"/>
  <c r="W1907" i="1" s="1"/>
  <c r="X1906" i="1"/>
  <c r="X1907" i="1" s="1"/>
  <c r="Y1906" i="1"/>
  <c r="Y1907" i="1" s="1"/>
  <c r="Z1906" i="1"/>
  <c r="Z1907" i="1" s="1"/>
  <c r="D1907" i="1"/>
  <c r="V1907" i="1"/>
  <c r="A1908" i="1"/>
  <c r="A1909" i="1" s="1"/>
  <c r="B1908" i="1"/>
  <c r="B1909" i="1" s="1"/>
  <c r="C1908" i="1"/>
  <c r="C1909" i="1" s="1"/>
  <c r="D1908" i="1"/>
  <c r="E1908" i="1"/>
  <c r="E1909" i="1" s="1"/>
  <c r="F1908" i="1"/>
  <c r="F1909" i="1" s="1"/>
  <c r="G1908" i="1"/>
  <c r="H1908" i="1"/>
  <c r="I1908" i="1"/>
  <c r="J1908" i="1"/>
  <c r="K1908" i="1"/>
  <c r="M1908" i="1"/>
  <c r="N1908" i="1"/>
  <c r="P1908" i="1"/>
  <c r="P1909" i="1" s="1"/>
  <c r="Q1908" i="1"/>
  <c r="Q1909" i="1" s="1"/>
  <c r="R1908" i="1"/>
  <c r="R1909" i="1" s="1"/>
  <c r="S1908" i="1"/>
  <c r="S1909" i="1" s="1"/>
  <c r="T1908" i="1"/>
  <c r="V1908" i="1"/>
  <c r="V1909" i="1" s="1"/>
  <c r="W1908" i="1"/>
  <c r="W1909" i="1" s="1"/>
  <c r="X1908" i="1"/>
  <c r="X1909" i="1" s="1"/>
  <c r="Y1908" i="1"/>
  <c r="Y1909" i="1" s="1"/>
  <c r="Z1908" i="1"/>
  <c r="Z1909" i="1" s="1"/>
  <c r="T1909" i="1"/>
  <c r="A1910" i="1"/>
  <c r="A1911" i="1" s="1"/>
  <c r="B1910" i="1"/>
  <c r="B1911" i="1" s="1"/>
  <c r="C1910" i="1"/>
  <c r="C1911" i="1" s="1"/>
  <c r="D1910" i="1"/>
  <c r="E1910" i="1"/>
  <c r="E1911" i="1" s="1"/>
  <c r="F1910" i="1"/>
  <c r="F1911" i="1" s="1"/>
  <c r="G1910" i="1"/>
  <c r="H1910" i="1"/>
  <c r="I1910" i="1"/>
  <c r="J1910" i="1"/>
  <c r="K1910" i="1"/>
  <c r="M1910" i="1"/>
  <c r="N1910" i="1"/>
  <c r="P1910" i="1"/>
  <c r="P1911" i="1" s="1"/>
  <c r="Q1910" i="1"/>
  <c r="Q1911" i="1" s="1"/>
  <c r="R1910" i="1"/>
  <c r="R1911" i="1" s="1"/>
  <c r="S1910" i="1"/>
  <c r="S1911" i="1" s="1"/>
  <c r="T1910" i="1"/>
  <c r="T1911" i="1" s="1"/>
  <c r="V1910" i="1"/>
  <c r="V1911" i="1" s="1"/>
  <c r="W1910" i="1"/>
  <c r="W1911" i="1" s="1"/>
  <c r="X1910" i="1"/>
  <c r="X1911" i="1" s="1"/>
  <c r="Y1910" i="1"/>
  <c r="Y1911" i="1" s="1"/>
  <c r="Z1910" i="1"/>
  <c r="Z1911" i="1" s="1"/>
  <c r="A1912" i="1"/>
  <c r="A1913" i="1" s="1"/>
  <c r="B1912" i="1"/>
  <c r="B1913" i="1" s="1"/>
  <c r="C1912" i="1"/>
  <c r="C1913" i="1" s="1"/>
  <c r="D1912" i="1"/>
  <c r="E1912" i="1"/>
  <c r="E1913" i="1" s="1"/>
  <c r="F1912" i="1"/>
  <c r="F1913" i="1" s="1"/>
  <c r="G1912" i="1"/>
  <c r="H1912" i="1"/>
  <c r="I1912" i="1"/>
  <c r="J1912" i="1"/>
  <c r="K1912" i="1"/>
  <c r="M1912" i="1"/>
  <c r="N1912" i="1"/>
  <c r="P1912" i="1"/>
  <c r="P1913" i="1" s="1"/>
  <c r="Q1912" i="1"/>
  <c r="Q1913" i="1" s="1"/>
  <c r="R1912" i="1"/>
  <c r="R1913" i="1" s="1"/>
  <c r="S1912" i="1"/>
  <c r="S1913" i="1" s="1"/>
  <c r="T1912" i="1"/>
  <c r="T1913" i="1" s="1"/>
  <c r="V1912" i="1"/>
  <c r="V1913" i="1" s="1"/>
  <c r="W1912" i="1"/>
  <c r="W1913" i="1" s="1"/>
  <c r="X1912" i="1"/>
  <c r="X1913" i="1" s="1"/>
  <c r="Y1912" i="1"/>
  <c r="Y1913" i="1" s="1"/>
  <c r="Z1912" i="1"/>
  <c r="Z1913" i="1" s="1"/>
  <c r="A1914" i="1"/>
  <c r="A1915" i="1" s="1"/>
  <c r="B1914" i="1"/>
  <c r="B1915" i="1" s="1"/>
  <c r="C1914" i="1"/>
  <c r="C1915" i="1" s="1"/>
  <c r="D1914" i="1"/>
  <c r="D1915" i="1" s="1"/>
  <c r="E1914" i="1"/>
  <c r="E1915" i="1" s="1"/>
  <c r="F1914" i="1"/>
  <c r="F1915" i="1" s="1"/>
  <c r="G1914" i="1"/>
  <c r="H1914" i="1"/>
  <c r="I1914" i="1"/>
  <c r="J1914" i="1"/>
  <c r="K1914" i="1"/>
  <c r="M1914" i="1"/>
  <c r="N1914" i="1"/>
  <c r="P1914" i="1"/>
  <c r="P1915" i="1" s="1"/>
  <c r="Q1914" i="1"/>
  <c r="Q1915" i="1" s="1"/>
  <c r="R1914" i="1"/>
  <c r="R1915" i="1" s="1"/>
  <c r="S1914" i="1"/>
  <c r="S1915" i="1" s="1"/>
  <c r="T1914" i="1"/>
  <c r="T1915" i="1" s="1"/>
  <c r="V1914" i="1"/>
  <c r="V1915" i="1" s="1"/>
  <c r="W1914" i="1"/>
  <c r="W1915" i="1" s="1"/>
  <c r="X1914" i="1"/>
  <c r="X1915" i="1" s="1"/>
  <c r="Y1914" i="1"/>
  <c r="Z1914" i="1"/>
  <c r="Z1915" i="1" s="1"/>
  <c r="A1916" i="1"/>
  <c r="A1917" i="1" s="1"/>
  <c r="B1916" i="1"/>
  <c r="C1916" i="1"/>
  <c r="D1916" i="1"/>
  <c r="D1917" i="1" s="1"/>
  <c r="E1916" i="1"/>
  <c r="E1917" i="1" s="1"/>
  <c r="F1916" i="1"/>
  <c r="F1917" i="1" s="1"/>
  <c r="G1916" i="1"/>
  <c r="H1916" i="1"/>
  <c r="I1916" i="1"/>
  <c r="J1916" i="1"/>
  <c r="K1916" i="1"/>
  <c r="M1916" i="1"/>
  <c r="N1916" i="1"/>
  <c r="P1916" i="1"/>
  <c r="P1917" i="1" s="1"/>
  <c r="Q1916" i="1"/>
  <c r="Q1917" i="1" s="1"/>
  <c r="R1916" i="1"/>
  <c r="R1917" i="1" s="1"/>
  <c r="S1916" i="1"/>
  <c r="S1917" i="1" s="1"/>
  <c r="T1916" i="1"/>
  <c r="T1917" i="1" s="1"/>
  <c r="V1916" i="1"/>
  <c r="V1917" i="1" s="1"/>
  <c r="W1916" i="1"/>
  <c r="W1917" i="1" s="1"/>
  <c r="X1916" i="1"/>
  <c r="X1917" i="1" s="1"/>
  <c r="Y1916" i="1"/>
  <c r="Z1916" i="1"/>
  <c r="Z1917" i="1" s="1"/>
  <c r="B1917" i="1"/>
  <c r="A1918" i="1"/>
  <c r="A1919" i="1" s="1"/>
  <c r="B1918" i="1"/>
  <c r="B1919" i="1" s="1"/>
  <c r="C1918" i="1"/>
  <c r="C1919" i="1" s="1"/>
  <c r="D1918" i="1"/>
  <c r="D1919" i="1" s="1"/>
  <c r="E1918" i="1"/>
  <c r="E1919" i="1" s="1"/>
  <c r="F1918" i="1"/>
  <c r="F1919" i="1" s="1"/>
  <c r="G1918" i="1"/>
  <c r="H1918" i="1"/>
  <c r="I1918" i="1"/>
  <c r="J1918" i="1"/>
  <c r="K1918" i="1"/>
  <c r="M1918" i="1"/>
  <c r="N1918" i="1"/>
  <c r="P1918" i="1"/>
  <c r="P1919" i="1" s="1"/>
  <c r="Q1918" i="1"/>
  <c r="Q1919" i="1" s="1"/>
  <c r="R1918" i="1"/>
  <c r="R1919" i="1" s="1"/>
  <c r="S1918" i="1"/>
  <c r="S1919" i="1" s="1"/>
  <c r="T1918" i="1"/>
  <c r="T1919" i="1" s="1"/>
  <c r="V1918" i="1"/>
  <c r="V1919" i="1" s="1"/>
  <c r="W1918" i="1"/>
  <c r="W1919" i="1" s="1"/>
  <c r="X1918" i="1"/>
  <c r="X1919" i="1" s="1"/>
  <c r="Y1918" i="1"/>
  <c r="Y1919" i="1" s="1"/>
  <c r="Z1918" i="1"/>
  <c r="Z1919" i="1" s="1"/>
  <c r="A1920" i="1"/>
  <c r="A1921" i="1" s="1"/>
  <c r="B1920" i="1"/>
  <c r="B1921" i="1" s="1"/>
  <c r="C1920" i="1"/>
  <c r="C1921" i="1" s="1"/>
  <c r="D1920" i="1"/>
  <c r="D1921" i="1" s="1"/>
  <c r="E1920" i="1"/>
  <c r="E1921" i="1" s="1"/>
  <c r="F1920" i="1"/>
  <c r="F1921" i="1" s="1"/>
  <c r="G1920" i="1"/>
  <c r="H1920" i="1"/>
  <c r="I1920" i="1"/>
  <c r="J1920" i="1"/>
  <c r="K1920" i="1"/>
  <c r="M1920" i="1"/>
  <c r="N1920" i="1"/>
  <c r="P1920" i="1"/>
  <c r="P1921" i="1" s="1"/>
  <c r="Q1920" i="1"/>
  <c r="Q1921" i="1" s="1"/>
  <c r="R1920" i="1"/>
  <c r="S1920" i="1"/>
  <c r="S1921" i="1" s="1"/>
  <c r="T1920" i="1"/>
  <c r="T1921" i="1" s="1"/>
  <c r="V1920" i="1"/>
  <c r="W1920" i="1"/>
  <c r="W1921" i="1" s="1"/>
  <c r="X1920" i="1"/>
  <c r="X1921" i="1" s="1"/>
  <c r="Y1920" i="1"/>
  <c r="Y1921" i="1" s="1"/>
  <c r="Z1920" i="1"/>
  <c r="Z1921" i="1" s="1"/>
  <c r="R1921" i="1"/>
  <c r="V1921" i="1"/>
  <c r="A1922" i="1"/>
  <c r="A1923" i="1" s="1"/>
  <c r="B1922" i="1"/>
  <c r="C1922" i="1"/>
  <c r="C1923" i="1" s="1"/>
  <c r="D1922" i="1"/>
  <c r="D1923" i="1" s="1"/>
  <c r="E1922" i="1"/>
  <c r="F1922" i="1"/>
  <c r="F1923" i="1" s="1"/>
  <c r="G1922" i="1"/>
  <c r="H1922" i="1"/>
  <c r="I1922" i="1"/>
  <c r="J1922" i="1"/>
  <c r="K1922" i="1"/>
  <c r="M1922" i="1"/>
  <c r="N1922" i="1"/>
  <c r="P1922" i="1"/>
  <c r="P1923" i="1" s="1"/>
  <c r="Q1922" i="1"/>
  <c r="Q1923" i="1" s="1"/>
  <c r="R1922" i="1"/>
  <c r="R1923" i="1" s="1"/>
  <c r="S1922" i="1"/>
  <c r="S1923" i="1" s="1"/>
  <c r="T1922" i="1"/>
  <c r="T1923" i="1" s="1"/>
  <c r="V1922" i="1"/>
  <c r="V1923" i="1" s="1"/>
  <c r="W1922" i="1"/>
  <c r="W1923" i="1" s="1"/>
  <c r="X1922" i="1"/>
  <c r="X1923" i="1" s="1"/>
  <c r="Y1922" i="1"/>
  <c r="Z1922" i="1"/>
  <c r="Z1923" i="1" s="1"/>
  <c r="B1923" i="1"/>
  <c r="A1924" i="1"/>
  <c r="A1925" i="1" s="1"/>
  <c r="B1924" i="1"/>
  <c r="B1925" i="1" s="1"/>
  <c r="C1924" i="1"/>
  <c r="C1925" i="1" s="1"/>
  <c r="D1924" i="1"/>
  <c r="E1924" i="1"/>
  <c r="E1925" i="1" s="1"/>
  <c r="F1924" i="1"/>
  <c r="F1925" i="1" s="1"/>
  <c r="G1924" i="1"/>
  <c r="H1924" i="1"/>
  <c r="I1924" i="1"/>
  <c r="J1924" i="1"/>
  <c r="K1924" i="1"/>
  <c r="M1924" i="1"/>
  <c r="N1924" i="1"/>
  <c r="P1924" i="1"/>
  <c r="P1925" i="1" s="1"/>
  <c r="Q1924" i="1"/>
  <c r="Q1925" i="1" s="1"/>
  <c r="R1924" i="1"/>
  <c r="R1925" i="1" s="1"/>
  <c r="S1924" i="1"/>
  <c r="S1925" i="1" s="1"/>
  <c r="T1924" i="1"/>
  <c r="T1925" i="1" s="1"/>
  <c r="V1924" i="1"/>
  <c r="V1925" i="1" s="1"/>
  <c r="W1924" i="1"/>
  <c r="W1925" i="1" s="1"/>
  <c r="X1924" i="1"/>
  <c r="X1925" i="1" s="1"/>
  <c r="Y1924" i="1"/>
  <c r="Y1925" i="1" s="1"/>
  <c r="Z1924" i="1"/>
  <c r="Z1925" i="1" s="1"/>
  <c r="A1926" i="1"/>
  <c r="A1927" i="1" s="1"/>
  <c r="B1926" i="1"/>
  <c r="B1927" i="1" s="1"/>
  <c r="C1926" i="1"/>
  <c r="C1927" i="1" s="1"/>
  <c r="D1926" i="1"/>
  <c r="E1926" i="1"/>
  <c r="E1927" i="1" s="1"/>
  <c r="F1926" i="1"/>
  <c r="F1927" i="1" s="1"/>
  <c r="G1926" i="1"/>
  <c r="H1926" i="1"/>
  <c r="I1926" i="1"/>
  <c r="J1926" i="1"/>
  <c r="K1926" i="1"/>
  <c r="M1926" i="1"/>
  <c r="N1926" i="1"/>
  <c r="P1926" i="1"/>
  <c r="P1927" i="1" s="1"/>
  <c r="Q1926" i="1"/>
  <c r="Q1927" i="1" s="1"/>
  <c r="R1926" i="1"/>
  <c r="R1927" i="1" s="1"/>
  <c r="S1926" i="1"/>
  <c r="S1927" i="1" s="1"/>
  <c r="T1926" i="1"/>
  <c r="T1927" i="1" s="1"/>
  <c r="V1926" i="1"/>
  <c r="V1927" i="1" s="1"/>
  <c r="W1926" i="1"/>
  <c r="W1927" i="1" s="1"/>
  <c r="X1926" i="1"/>
  <c r="X1927" i="1" s="1"/>
  <c r="Y1926" i="1"/>
  <c r="Y1927" i="1" s="1"/>
  <c r="Z1926" i="1"/>
  <c r="Z1927" i="1" s="1"/>
  <c r="A1928" i="1"/>
  <c r="A1929" i="1" s="1"/>
  <c r="B1928" i="1"/>
  <c r="B1929" i="1" s="1"/>
  <c r="C1928" i="1"/>
  <c r="C1929" i="1" s="1"/>
  <c r="D1928" i="1"/>
  <c r="D1929" i="1" s="1"/>
  <c r="E1928" i="1"/>
  <c r="F1928" i="1"/>
  <c r="F1929" i="1" s="1"/>
  <c r="G1928" i="1"/>
  <c r="H1928" i="1"/>
  <c r="I1928" i="1"/>
  <c r="J1928" i="1"/>
  <c r="K1928" i="1"/>
  <c r="M1928" i="1"/>
  <c r="N1928" i="1"/>
  <c r="P1928" i="1"/>
  <c r="P1929" i="1" s="1"/>
  <c r="Q1928" i="1"/>
  <c r="Q1929" i="1" s="1"/>
  <c r="R1928" i="1"/>
  <c r="R1929" i="1" s="1"/>
  <c r="S1928" i="1"/>
  <c r="S1929" i="1" s="1"/>
  <c r="T1928" i="1"/>
  <c r="T1929" i="1" s="1"/>
  <c r="V1928" i="1"/>
  <c r="V1929" i="1" s="1"/>
  <c r="W1928" i="1"/>
  <c r="W1929" i="1" s="1"/>
  <c r="X1928" i="1"/>
  <c r="X1929" i="1" s="1"/>
  <c r="Y1928" i="1"/>
  <c r="Y1929" i="1" s="1"/>
  <c r="Z1928" i="1"/>
  <c r="Z1929" i="1" s="1"/>
  <c r="A1930" i="1"/>
  <c r="A1931" i="1" s="1"/>
  <c r="B1930" i="1"/>
  <c r="B1931" i="1" s="1"/>
  <c r="C1930" i="1"/>
  <c r="C1931" i="1" s="1"/>
  <c r="D1930" i="1"/>
  <c r="E1930" i="1"/>
  <c r="E1931" i="1" s="1"/>
  <c r="F1930" i="1"/>
  <c r="F1931" i="1" s="1"/>
  <c r="G1930" i="1"/>
  <c r="H1930" i="1"/>
  <c r="I1930" i="1"/>
  <c r="J1930" i="1"/>
  <c r="K1930" i="1"/>
  <c r="M1930" i="1"/>
  <c r="N1930" i="1"/>
  <c r="P1930" i="1"/>
  <c r="P1931" i="1" s="1"/>
  <c r="Q1930" i="1"/>
  <c r="Q1931" i="1" s="1"/>
  <c r="R1930" i="1"/>
  <c r="R1931" i="1" s="1"/>
  <c r="S1930" i="1"/>
  <c r="S1931" i="1" s="1"/>
  <c r="T1930" i="1"/>
  <c r="T1931" i="1" s="1"/>
  <c r="V1930" i="1"/>
  <c r="V1931" i="1" s="1"/>
  <c r="W1930" i="1"/>
  <c r="W1931" i="1" s="1"/>
  <c r="X1930" i="1"/>
  <c r="X1931" i="1" s="1"/>
  <c r="Y1930" i="1"/>
  <c r="Y1931" i="1" s="1"/>
  <c r="Z1930" i="1"/>
  <c r="Z1931" i="1" s="1"/>
  <c r="D1931" i="1"/>
  <c r="A1932" i="1"/>
  <c r="A1933" i="1" s="1"/>
  <c r="B1932" i="1"/>
  <c r="B1933" i="1" s="1"/>
  <c r="C1932" i="1"/>
  <c r="D1932" i="1"/>
  <c r="E1932" i="1"/>
  <c r="E1933" i="1" s="1"/>
  <c r="F1932" i="1"/>
  <c r="F1933" i="1" s="1"/>
  <c r="G1932" i="1"/>
  <c r="H1932" i="1"/>
  <c r="I1932" i="1"/>
  <c r="J1932" i="1"/>
  <c r="K1932" i="1"/>
  <c r="M1932" i="1"/>
  <c r="N1932" i="1"/>
  <c r="P1932" i="1"/>
  <c r="P1933" i="1" s="1"/>
  <c r="Q1932" i="1"/>
  <c r="Q1933" i="1" s="1"/>
  <c r="R1932" i="1"/>
  <c r="R1933" i="1" s="1"/>
  <c r="S1932" i="1"/>
  <c r="S1933" i="1" s="1"/>
  <c r="T1932" i="1"/>
  <c r="T1933" i="1" s="1"/>
  <c r="V1932" i="1"/>
  <c r="V1933" i="1" s="1"/>
  <c r="W1932" i="1"/>
  <c r="W1933" i="1" s="1"/>
  <c r="X1932" i="1"/>
  <c r="X1933" i="1" s="1"/>
  <c r="Y1932" i="1"/>
  <c r="Y1933" i="1" s="1"/>
  <c r="Z1932" i="1"/>
  <c r="Z1933" i="1" s="1"/>
  <c r="D1933" i="1"/>
  <c r="A1934" i="1"/>
  <c r="A1935" i="1" s="1"/>
  <c r="B1934" i="1"/>
  <c r="B1935" i="1" s="1"/>
  <c r="C1934" i="1"/>
  <c r="C1935" i="1" s="1"/>
  <c r="D1934" i="1"/>
  <c r="D1935" i="1" s="1"/>
  <c r="E1934" i="1"/>
  <c r="E1935" i="1" s="1"/>
  <c r="F1934" i="1"/>
  <c r="F1935" i="1" s="1"/>
  <c r="G1934" i="1"/>
  <c r="H1934" i="1"/>
  <c r="I1934" i="1"/>
  <c r="J1934" i="1"/>
  <c r="K1934" i="1"/>
  <c r="M1934" i="1"/>
  <c r="N1934" i="1"/>
  <c r="P1934" i="1"/>
  <c r="P1935" i="1" s="1"/>
  <c r="Q1934" i="1"/>
  <c r="Q1935" i="1" s="1"/>
  <c r="R1934" i="1"/>
  <c r="R1935" i="1" s="1"/>
  <c r="S1934" i="1"/>
  <c r="S1935" i="1" s="1"/>
  <c r="T1934" i="1"/>
  <c r="T1935" i="1" s="1"/>
  <c r="V1934" i="1"/>
  <c r="V1935" i="1" s="1"/>
  <c r="W1934" i="1"/>
  <c r="W1935" i="1" s="1"/>
  <c r="X1934" i="1"/>
  <c r="X1935" i="1" s="1"/>
  <c r="Y1934" i="1"/>
  <c r="Z1934" i="1"/>
  <c r="Z1935" i="1" s="1"/>
  <c r="A1936" i="1"/>
  <c r="A1937" i="1" s="1"/>
  <c r="B1936" i="1"/>
  <c r="B1937" i="1" s="1"/>
  <c r="C1936" i="1"/>
  <c r="C1937" i="1" s="1"/>
  <c r="D1936" i="1"/>
  <c r="E1936" i="1"/>
  <c r="E1937" i="1" s="1"/>
  <c r="F1936" i="1"/>
  <c r="F1937" i="1" s="1"/>
  <c r="G1936" i="1"/>
  <c r="H1936" i="1"/>
  <c r="I1936" i="1"/>
  <c r="J1936" i="1"/>
  <c r="K1936" i="1"/>
  <c r="M1936" i="1"/>
  <c r="N1936" i="1"/>
  <c r="P1936" i="1"/>
  <c r="P1937" i="1" s="1"/>
  <c r="Q1936" i="1"/>
  <c r="Q1937" i="1" s="1"/>
  <c r="R1936" i="1"/>
  <c r="R1937" i="1" s="1"/>
  <c r="S1936" i="1"/>
  <c r="S1937" i="1" s="1"/>
  <c r="T1936" i="1"/>
  <c r="T1937" i="1" s="1"/>
  <c r="V1936" i="1"/>
  <c r="V1937" i="1" s="1"/>
  <c r="W1936" i="1"/>
  <c r="W1937" i="1" s="1"/>
  <c r="X1936" i="1"/>
  <c r="X1937" i="1" s="1"/>
  <c r="Y1936" i="1"/>
  <c r="Y1937" i="1" s="1"/>
  <c r="Z1936" i="1"/>
  <c r="Z1937" i="1" s="1"/>
  <c r="D1937" i="1"/>
  <c r="A1938" i="1"/>
  <c r="A1939" i="1" s="1"/>
  <c r="B1938" i="1"/>
  <c r="B1939" i="1" s="1"/>
  <c r="C1938" i="1"/>
  <c r="C1939" i="1" s="1"/>
  <c r="D1938" i="1"/>
  <c r="E1938" i="1"/>
  <c r="F1938" i="1"/>
  <c r="F1939" i="1" s="1"/>
  <c r="G1938" i="1"/>
  <c r="H1938" i="1"/>
  <c r="I1938" i="1"/>
  <c r="J1938" i="1"/>
  <c r="K1938" i="1"/>
  <c r="M1938" i="1"/>
  <c r="N1938" i="1"/>
  <c r="P1938" i="1"/>
  <c r="P1939" i="1" s="1"/>
  <c r="Q1938" i="1"/>
  <c r="Q1939" i="1" s="1"/>
  <c r="R1938" i="1"/>
  <c r="R1939" i="1" s="1"/>
  <c r="S1938" i="1"/>
  <c r="S1939" i="1" s="1"/>
  <c r="T1938" i="1"/>
  <c r="T1939" i="1" s="1"/>
  <c r="V1938" i="1"/>
  <c r="V1939" i="1" s="1"/>
  <c r="W1938" i="1"/>
  <c r="W1939" i="1" s="1"/>
  <c r="X1938" i="1"/>
  <c r="X1939" i="1" s="1"/>
  <c r="Y1938" i="1"/>
  <c r="Y1939" i="1" s="1"/>
  <c r="Z1938" i="1"/>
  <c r="Z1939" i="1" s="1"/>
  <c r="D1939" i="1"/>
  <c r="A1940" i="1"/>
  <c r="A1941" i="1" s="1"/>
  <c r="B1940" i="1"/>
  <c r="B1941" i="1" s="1"/>
  <c r="C1940" i="1"/>
  <c r="C1941" i="1" s="1"/>
  <c r="D1940" i="1"/>
  <c r="E1940" i="1"/>
  <c r="E1941" i="1" s="1"/>
  <c r="F1940" i="1"/>
  <c r="F1941" i="1" s="1"/>
  <c r="G1940" i="1"/>
  <c r="H1940" i="1"/>
  <c r="I1940" i="1"/>
  <c r="J1940" i="1"/>
  <c r="K1940" i="1"/>
  <c r="M1940" i="1"/>
  <c r="N1940" i="1"/>
  <c r="P1940" i="1"/>
  <c r="P1941" i="1" s="1"/>
  <c r="Q1940" i="1"/>
  <c r="Q1941" i="1" s="1"/>
  <c r="R1940" i="1"/>
  <c r="R1941" i="1" s="1"/>
  <c r="S1940" i="1"/>
  <c r="S1941" i="1" s="1"/>
  <c r="T1940" i="1"/>
  <c r="T1941" i="1" s="1"/>
  <c r="V1940" i="1"/>
  <c r="V1941" i="1" s="1"/>
  <c r="W1940" i="1"/>
  <c r="W1941" i="1" s="1"/>
  <c r="X1940" i="1"/>
  <c r="X1941" i="1" s="1"/>
  <c r="Y1940" i="1"/>
  <c r="Y1941" i="1" s="1"/>
  <c r="Z1940" i="1"/>
  <c r="Z1941" i="1" s="1"/>
  <c r="A1942" i="1"/>
  <c r="A1943" i="1" s="1"/>
  <c r="B1942" i="1"/>
  <c r="B1943" i="1" s="1"/>
  <c r="C1942" i="1"/>
  <c r="C1943" i="1" s="1"/>
  <c r="D1942" i="1"/>
  <c r="E1942" i="1"/>
  <c r="E1943" i="1" s="1"/>
  <c r="F1942" i="1"/>
  <c r="F1943" i="1" s="1"/>
  <c r="G1942" i="1"/>
  <c r="H1942" i="1"/>
  <c r="I1942" i="1"/>
  <c r="J1942" i="1"/>
  <c r="K1942" i="1"/>
  <c r="M1942" i="1"/>
  <c r="N1942" i="1"/>
  <c r="P1942" i="1"/>
  <c r="P1943" i="1" s="1"/>
  <c r="Q1942" i="1"/>
  <c r="Q1943" i="1" s="1"/>
  <c r="R1942" i="1"/>
  <c r="R1943" i="1" s="1"/>
  <c r="S1942" i="1"/>
  <c r="S1943" i="1" s="1"/>
  <c r="T1942" i="1"/>
  <c r="T1943" i="1" s="1"/>
  <c r="V1942" i="1"/>
  <c r="V1943" i="1" s="1"/>
  <c r="W1942" i="1"/>
  <c r="W1943" i="1" s="1"/>
  <c r="X1942" i="1"/>
  <c r="X1943" i="1" s="1"/>
  <c r="Y1942" i="1"/>
  <c r="Y1943" i="1" s="1"/>
  <c r="Z1942" i="1"/>
  <c r="Z1943" i="1" s="1"/>
  <c r="A1944" i="1"/>
  <c r="A1945" i="1" s="1"/>
  <c r="B1944" i="1"/>
  <c r="B1945" i="1" s="1"/>
  <c r="C1944" i="1"/>
  <c r="C1945" i="1" s="1"/>
  <c r="D1944" i="1"/>
  <c r="D1945" i="1" s="1"/>
  <c r="E1944" i="1"/>
  <c r="E1945" i="1" s="1"/>
  <c r="F1944" i="1"/>
  <c r="F1945" i="1" s="1"/>
  <c r="G1944" i="1"/>
  <c r="H1944" i="1"/>
  <c r="I1944" i="1"/>
  <c r="J1944" i="1"/>
  <c r="K1944" i="1"/>
  <c r="M1944" i="1"/>
  <c r="N1944" i="1"/>
  <c r="P1944" i="1"/>
  <c r="P1945" i="1" s="1"/>
  <c r="Q1944" i="1"/>
  <c r="Q1945" i="1" s="1"/>
  <c r="R1944" i="1"/>
  <c r="R1945" i="1" s="1"/>
  <c r="S1944" i="1"/>
  <c r="S1945" i="1" s="1"/>
  <c r="T1944" i="1"/>
  <c r="T1945" i="1" s="1"/>
  <c r="V1944" i="1"/>
  <c r="V1945" i="1" s="1"/>
  <c r="W1944" i="1"/>
  <c r="W1945" i="1" s="1"/>
  <c r="X1944" i="1"/>
  <c r="X1945" i="1" s="1"/>
  <c r="Y1944" i="1"/>
  <c r="Y1945" i="1" s="1"/>
  <c r="Z1944" i="1"/>
  <c r="Z1945" i="1" s="1"/>
  <c r="A1946" i="1"/>
  <c r="A1947" i="1" s="1"/>
  <c r="B1946" i="1"/>
  <c r="B1947" i="1" s="1"/>
  <c r="C1946" i="1"/>
  <c r="C1947" i="1" s="1"/>
  <c r="D1946" i="1"/>
  <c r="E1946" i="1"/>
  <c r="E1947" i="1" s="1"/>
  <c r="F1946" i="1"/>
  <c r="F1947" i="1" s="1"/>
  <c r="G1946" i="1"/>
  <c r="H1946" i="1"/>
  <c r="I1946" i="1"/>
  <c r="J1946" i="1"/>
  <c r="K1946" i="1"/>
  <c r="M1946" i="1"/>
  <c r="N1946" i="1"/>
  <c r="P1946" i="1"/>
  <c r="P1947" i="1" s="1"/>
  <c r="Q1946" i="1"/>
  <c r="Q1947" i="1" s="1"/>
  <c r="R1946" i="1"/>
  <c r="R1947" i="1" s="1"/>
  <c r="S1946" i="1"/>
  <c r="S1947" i="1" s="1"/>
  <c r="T1946" i="1"/>
  <c r="T1947" i="1" s="1"/>
  <c r="V1946" i="1"/>
  <c r="V1947" i="1" s="1"/>
  <c r="W1946" i="1"/>
  <c r="W1947" i="1" s="1"/>
  <c r="X1946" i="1"/>
  <c r="X1947" i="1" s="1"/>
  <c r="Y1946" i="1"/>
  <c r="Y1947" i="1" s="1"/>
  <c r="Z1946" i="1"/>
  <c r="Z1947" i="1" s="1"/>
  <c r="A1948" i="1"/>
  <c r="A1949" i="1" s="1"/>
  <c r="B1948" i="1"/>
  <c r="B1949" i="1" s="1"/>
  <c r="C1948" i="1"/>
  <c r="C1949" i="1" s="1"/>
  <c r="D1948" i="1"/>
  <c r="E1948" i="1"/>
  <c r="E1949" i="1" s="1"/>
  <c r="F1948" i="1"/>
  <c r="F1949" i="1" s="1"/>
  <c r="G1948" i="1"/>
  <c r="H1948" i="1"/>
  <c r="I1948" i="1"/>
  <c r="J1948" i="1"/>
  <c r="K1948" i="1"/>
  <c r="M1948" i="1"/>
  <c r="N1948" i="1"/>
  <c r="P1948" i="1"/>
  <c r="P1949" i="1" s="1"/>
  <c r="Q1948" i="1"/>
  <c r="Q1949" i="1" s="1"/>
  <c r="R1948" i="1"/>
  <c r="R1949" i="1" s="1"/>
  <c r="S1948" i="1"/>
  <c r="S1949" i="1" s="1"/>
  <c r="T1948" i="1"/>
  <c r="T1949" i="1" s="1"/>
  <c r="V1948" i="1"/>
  <c r="V1949" i="1" s="1"/>
  <c r="W1948" i="1"/>
  <c r="X1948" i="1"/>
  <c r="X1949" i="1" s="1"/>
  <c r="Y1948" i="1"/>
  <c r="Y1949" i="1" s="1"/>
  <c r="Z1948" i="1"/>
  <c r="Z1949" i="1" s="1"/>
  <c r="W1949" i="1"/>
  <c r="A1950" i="1"/>
  <c r="A1951" i="1" s="1"/>
  <c r="B1950" i="1"/>
  <c r="B1951" i="1" s="1"/>
  <c r="C1950" i="1"/>
  <c r="C1951" i="1" s="1"/>
  <c r="D1950" i="1"/>
  <c r="D1951" i="1" s="1"/>
  <c r="E1950" i="1"/>
  <c r="E1951" i="1" s="1"/>
  <c r="F1950" i="1"/>
  <c r="F1951" i="1" s="1"/>
  <c r="G1950" i="1"/>
  <c r="H1950" i="1"/>
  <c r="I1950" i="1"/>
  <c r="J1950" i="1"/>
  <c r="K1950" i="1"/>
  <c r="M1950" i="1"/>
  <c r="N1950" i="1"/>
  <c r="P1950" i="1"/>
  <c r="P1951" i="1" s="1"/>
  <c r="Q1950" i="1"/>
  <c r="Q1951" i="1" s="1"/>
  <c r="R1950" i="1"/>
  <c r="R1951" i="1" s="1"/>
  <c r="S1950" i="1"/>
  <c r="S1951" i="1" s="1"/>
  <c r="T1950" i="1"/>
  <c r="T1951" i="1" s="1"/>
  <c r="V1950" i="1"/>
  <c r="V1951" i="1" s="1"/>
  <c r="W1950" i="1"/>
  <c r="W1951" i="1" s="1"/>
  <c r="X1950" i="1"/>
  <c r="X1951" i="1" s="1"/>
  <c r="Y1950" i="1"/>
  <c r="Y1951" i="1" s="1"/>
  <c r="Z1950" i="1"/>
  <c r="Z1951" i="1" s="1"/>
  <c r="A1952" i="1"/>
  <c r="A1953" i="1" s="1"/>
  <c r="B1952" i="1"/>
  <c r="B1953" i="1" s="1"/>
  <c r="C1952" i="1"/>
  <c r="C1953" i="1" s="1"/>
  <c r="D1952" i="1"/>
  <c r="E1952" i="1"/>
  <c r="E1953" i="1" s="1"/>
  <c r="F1952" i="1"/>
  <c r="G1952" i="1"/>
  <c r="H1952" i="1"/>
  <c r="I1952" i="1"/>
  <c r="J1952" i="1"/>
  <c r="K1952" i="1"/>
  <c r="M1952" i="1"/>
  <c r="N1952" i="1"/>
  <c r="P1952" i="1"/>
  <c r="P1953" i="1" s="1"/>
  <c r="Q1952" i="1"/>
  <c r="Q1953" i="1" s="1"/>
  <c r="R1952" i="1"/>
  <c r="R1953" i="1" s="1"/>
  <c r="S1952" i="1"/>
  <c r="S1953" i="1" s="1"/>
  <c r="T1952" i="1"/>
  <c r="T1953" i="1" s="1"/>
  <c r="V1952" i="1"/>
  <c r="V1953" i="1" s="1"/>
  <c r="W1952" i="1"/>
  <c r="W1953" i="1" s="1"/>
  <c r="X1952" i="1"/>
  <c r="X1953" i="1" s="1"/>
  <c r="Y1952" i="1"/>
  <c r="Y1953" i="1" s="1"/>
  <c r="Z1952" i="1"/>
  <c r="Z1953" i="1" s="1"/>
  <c r="A1954" i="1"/>
  <c r="A1955" i="1" s="1"/>
  <c r="B1954" i="1"/>
  <c r="B1955" i="1" s="1"/>
  <c r="C1954" i="1"/>
  <c r="C1955" i="1" s="1"/>
  <c r="D1954" i="1"/>
  <c r="D1955" i="1" s="1"/>
  <c r="E1954" i="1"/>
  <c r="E1955" i="1" s="1"/>
  <c r="F1954" i="1"/>
  <c r="F1955" i="1" s="1"/>
  <c r="G1954" i="1"/>
  <c r="H1954" i="1"/>
  <c r="I1954" i="1"/>
  <c r="J1954" i="1"/>
  <c r="K1954" i="1"/>
  <c r="M1954" i="1"/>
  <c r="N1954" i="1"/>
  <c r="P1954" i="1"/>
  <c r="P1955" i="1" s="1"/>
  <c r="Q1954" i="1"/>
  <c r="Q1955" i="1" s="1"/>
  <c r="R1954" i="1"/>
  <c r="R1955" i="1" s="1"/>
  <c r="S1954" i="1"/>
  <c r="S1955" i="1" s="1"/>
  <c r="T1954" i="1"/>
  <c r="T1955" i="1" s="1"/>
  <c r="V1954" i="1"/>
  <c r="V1955" i="1" s="1"/>
  <c r="W1954" i="1"/>
  <c r="W1955" i="1" s="1"/>
  <c r="X1954" i="1"/>
  <c r="X1955" i="1" s="1"/>
  <c r="Y1954" i="1"/>
  <c r="Y1955" i="1" s="1"/>
  <c r="Z1954" i="1"/>
  <c r="Z1955" i="1" s="1"/>
  <c r="A1956" i="1"/>
  <c r="A1957" i="1" s="1"/>
  <c r="B1956" i="1"/>
  <c r="B1957" i="1" s="1"/>
  <c r="C1956" i="1"/>
  <c r="C1957" i="1" s="1"/>
  <c r="D1956" i="1"/>
  <c r="E1956" i="1"/>
  <c r="E1957" i="1" s="1"/>
  <c r="F1956" i="1"/>
  <c r="F1957" i="1" s="1"/>
  <c r="G1956" i="1"/>
  <c r="H1956" i="1"/>
  <c r="I1956" i="1"/>
  <c r="J1956" i="1"/>
  <c r="K1956" i="1"/>
  <c r="M1956" i="1"/>
  <c r="N1956" i="1"/>
  <c r="P1956" i="1"/>
  <c r="P1957" i="1" s="1"/>
  <c r="Q1956" i="1"/>
  <c r="Q1957" i="1" s="1"/>
  <c r="R1956" i="1"/>
  <c r="R1957" i="1" s="1"/>
  <c r="S1956" i="1"/>
  <c r="S1957" i="1" s="1"/>
  <c r="T1956" i="1"/>
  <c r="T1957" i="1" s="1"/>
  <c r="V1956" i="1"/>
  <c r="V1957" i="1" s="1"/>
  <c r="W1956" i="1"/>
  <c r="W1957" i="1" s="1"/>
  <c r="X1956" i="1"/>
  <c r="X1957" i="1" s="1"/>
  <c r="Y1956" i="1"/>
  <c r="Y1957" i="1" s="1"/>
  <c r="Z1956" i="1"/>
  <c r="Z1957" i="1" s="1"/>
  <c r="D1957" i="1"/>
  <c r="A1958" i="1"/>
  <c r="A1959" i="1" s="1"/>
  <c r="B1958" i="1"/>
  <c r="B1959" i="1" s="1"/>
  <c r="C1958" i="1"/>
  <c r="C1959" i="1" s="1"/>
  <c r="D1958" i="1"/>
  <c r="D1959" i="1" s="1"/>
  <c r="E1958" i="1"/>
  <c r="F1958" i="1"/>
  <c r="F1959" i="1" s="1"/>
  <c r="G1958" i="1"/>
  <c r="H1958" i="1"/>
  <c r="I1958" i="1"/>
  <c r="J1958" i="1"/>
  <c r="K1958" i="1"/>
  <c r="M1958" i="1"/>
  <c r="N1958" i="1"/>
  <c r="P1958" i="1"/>
  <c r="P1959" i="1" s="1"/>
  <c r="Q1958" i="1"/>
  <c r="Q1959" i="1" s="1"/>
  <c r="R1958" i="1"/>
  <c r="R1959" i="1" s="1"/>
  <c r="S1958" i="1"/>
  <c r="S1959" i="1" s="1"/>
  <c r="T1958" i="1"/>
  <c r="V1958" i="1"/>
  <c r="V1959" i="1" s="1"/>
  <c r="W1958" i="1"/>
  <c r="W1959" i="1" s="1"/>
  <c r="X1958" i="1"/>
  <c r="X1959" i="1" s="1"/>
  <c r="Y1958" i="1"/>
  <c r="Y1959" i="1" s="1"/>
  <c r="Z1958" i="1"/>
  <c r="Z1959" i="1" s="1"/>
  <c r="T1959" i="1"/>
  <c r="A1960" i="1"/>
  <c r="A1961" i="1" s="1"/>
  <c r="B1960" i="1"/>
  <c r="B1961" i="1" s="1"/>
  <c r="C1960" i="1"/>
  <c r="C1961" i="1" s="1"/>
  <c r="D1960" i="1"/>
  <c r="D1961" i="1" s="1"/>
  <c r="E1960" i="1"/>
  <c r="E1961" i="1" s="1"/>
  <c r="F1960" i="1"/>
  <c r="F1961" i="1" s="1"/>
  <c r="G1960" i="1"/>
  <c r="H1960" i="1"/>
  <c r="I1960" i="1"/>
  <c r="J1960" i="1"/>
  <c r="K1960" i="1"/>
  <c r="M1960" i="1"/>
  <c r="N1960" i="1"/>
  <c r="P1960" i="1"/>
  <c r="P1961" i="1" s="1"/>
  <c r="Q1960" i="1"/>
  <c r="Q1961" i="1" s="1"/>
  <c r="R1960" i="1"/>
  <c r="R1961" i="1" s="1"/>
  <c r="S1960" i="1"/>
  <c r="S1961" i="1" s="1"/>
  <c r="T1960" i="1"/>
  <c r="T1961" i="1" s="1"/>
  <c r="V1960" i="1"/>
  <c r="V1961" i="1" s="1"/>
  <c r="W1960" i="1"/>
  <c r="W1961" i="1" s="1"/>
  <c r="X1960" i="1"/>
  <c r="X1961" i="1" s="1"/>
  <c r="Y1960" i="1"/>
  <c r="Y1961" i="1" s="1"/>
  <c r="Z1960" i="1"/>
  <c r="Z1961" i="1" s="1"/>
  <c r="A1962" i="1"/>
  <c r="A1963" i="1" s="1"/>
  <c r="B1962" i="1"/>
  <c r="B1963" i="1" s="1"/>
  <c r="C1962" i="1"/>
  <c r="C1963" i="1" s="1"/>
  <c r="D1962" i="1"/>
  <c r="D1963" i="1" s="1"/>
  <c r="E1962" i="1"/>
  <c r="E1963" i="1" s="1"/>
  <c r="F1962" i="1"/>
  <c r="F1963" i="1" s="1"/>
  <c r="G1962" i="1"/>
  <c r="H1962" i="1"/>
  <c r="I1962" i="1"/>
  <c r="J1962" i="1"/>
  <c r="K1962" i="1"/>
  <c r="M1962" i="1"/>
  <c r="N1962" i="1"/>
  <c r="P1962" i="1"/>
  <c r="P1963" i="1" s="1"/>
  <c r="Q1962" i="1"/>
  <c r="Q1963" i="1" s="1"/>
  <c r="R1962" i="1"/>
  <c r="R1963" i="1" s="1"/>
  <c r="S1962" i="1"/>
  <c r="S1963" i="1" s="1"/>
  <c r="T1962" i="1"/>
  <c r="T1963" i="1" s="1"/>
  <c r="V1962" i="1"/>
  <c r="V1963" i="1" s="1"/>
  <c r="W1962" i="1"/>
  <c r="W1963" i="1" s="1"/>
  <c r="X1962" i="1"/>
  <c r="X1963" i="1" s="1"/>
  <c r="Y1962" i="1"/>
  <c r="Y1963" i="1" s="1"/>
  <c r="Z1962" i="1"/>
  <c r="Z1963" i="1" s="1"/>
  <c r="A1964" i="1"/>
  <c r="A1965" i="1" s="1"/>
  <c r="B1964" i="1"/>
  <c r="B1965" i="1" s="1"/>
  <c r="C1964" i="1"/>
  <c r="D1964" i="1"/>
  <c r="E1964" i="1"/>
  <c r="E1965" i="1" s="1"/>
  <c r="F1964" i="1"/>
  <c r="F1965" i="1" s="1"/>
  <c r="G1964" i="1"/>
  <c r="H1964" i="1"/>
  <c r="I1964" i="1"/>
  <c r="J1964" i="1"/>
  <c r="K1964" i="1"/>
  <c r="M1964" i="1"/>
  <c r="N1964" i="1"/>
  <c r="P1964" i="1"/>
  <c r="P1965" i="1" s="1"/>
  <c r="Q1964" i="1"/>
  <c r="Q1965" i="1" s="1"/>
  <c r="R1964" i="1"/>
  <c r="R1965" i="1" s="1"/>
  <c r="S1964" i="1"/>
  <c r="S1965" i="1" s="1"/>
  <c r="T1964" i="1"/>
  <c r="T1965" i="1" s="1"/>
  <c r="V1964" i="1"/>
  <c r="V1965" i="1" s="1"/>
  <c r="W1964" i="1"/>
  <c r="W1965" i="1" s="1"/>
  <c r="X1964" i="1"/>
  <c r="X1965" i="1" s="1"/>
  <c r="Y1964" i="1"/>
  <c r="Y1965" i="1" s="1"/>
  <c r="Z1964" i="1"/>
  <c r="Z1965" i="1" s="1"/>
  <c r="D1965" i="1"/>
  <c r="A1966" i="1"/>
  <c r="A1967" i="1" s="1"/>
  <c r="B1966" i="1"/>
  <c r="B1967" i="1" s="1"/>
  <c r="C1966" i="1"/>
  <c r="C1967" i="1" s="1"/>
  <c r="D1966" i="1"/>
  <c r="E1966" i="1"/>
  <c r="F1966" i="1"/>
  <c r="G1966" i="1"/>
  <c r="H1966" i="1"/>
  <c r="I1966" i="1"/>
  <c r="J1966" i="1"/>
  <c r="K1966" i="1"/>
  <c r="M1966" i="1"/>
  <c r="N1966" i="1"/>
  <c r="P1966" i="1"/>
  <c r="P1967" i="1" s="1"/>
  <c r="Q1966" i="1"/>
  <c r="Q1967" i="1" s="1"/>
  <c r="R1966" i="1"/>
  <c r="R1967" i="1" s="1"/>
  <c r="S1966" i="1"/>
  <c r="S1967" i="1" s="1"/>
  <c r="T1966" i="1"/>
  <c r="T1967" i="1" s="1"/>
  <c r="V1966" i="1"/>
  <c r="V1967" i="1" s="1"/>
  <c r="W1966" i="1"/>
  <c r="W1967" i="1" s="1"/>
  <c r="X1966" i="1"/>
  <c r="X1967" i="1" s="1"/>
  <c r="Y1966" i="1"/>
  <c r="Y1967" i="1" s="1"/>
  <c r="Z1966" i="1"/>
  <c r="Z1967" i="1" s="1"/>
  <c r="D1967" i="1"/>
  <c r="E1967" i="1"/>
  <c r="A1968" i="1"/>
  <c r="A1969" i="1" s="1"/>
  <c r="B1968" i="1"/>
  <c r="B1969" i="1" s="1"/>
  <c r="C1968" i="1"/>
  <c r="C1969" i="1" s="1"/>
  <c r="D1968" i="1"/>
  <c r="E1968" i="1"/>
  <c r="F1968" i="1"/>
  <c r="F1969" i="1" s="1"/>
  <c r="G1968" i="1"/>
  <c r="H1968" i="1"/>
  <c r="I1968" i="1"/>
  <c r="J1968" i="1"/>
  <c r="K1968" i="1"/>
  <c r="M1968" i="1"/>
  <c r="N1968" i="1"/>
  <c r="P1968" i="1"/>
  <c r="P1969" i="1" s="1"/>
  <c r="Q1968" i="1"/>
  <c r="Q1969" i="1" s="1"/>
  <c r="R1968" i="1"/>
  <c r="R1969" i="1" s="1"/>
  <c r="S1968" i="1"/>
  <c r="S1969" i="1" s="1"/>
  <c r="T1968" i="1"/>
  <c r="T1969" i="1" s="1"/>
  <c r="V1968" i="1"/>
  <c r="V1969" i="1" s="1"/>
  <c r="W1968" i="1"/>
  <c r="W1969" i="1" s="1"/>
  <c r="X1968" i="1"/>
  <c r="X1969" i="1" s="1"/>
  <c r="Y1968" i="1"/>
  <c r="Y1969" i="1" s="1"/>
  <c r="Z1968" i="1"/>
  <c r="Z1969" i="1" s="1"/>
  <c r="D1969" i="1"/>
  <c r="A1970" i="1"/>
  <c r="A1971" i="1" s="1"/>
  <c r="B1970" i="1"/>
  <c r="C1970" i="1"/>
  <c r="C1971" i="1" s="1"/>
  <c r="D1970" i="1"/>
  <c r="E1970" i="1"/>
  <c r="E1971" i="1" s="1"/>
  <c r="F1970" i="1"/>
  <c r="F1971" i="1" s="1"/>
  <c r="G1970" i="1"/>
  <c r="H1970" i="1"/>
  <c r="I1970" i="1"/>
  <c r="J1970" i="1"/>
  <c r="K1970" i="1"/>
  <c r="M1970" i="1"/>
  <c r="N1970" i="1"/>
  <c r="P1970" i="1"/>
  <c r="P1971" i="1" s="1"/>
  <c r="Q1970" i="1"/>
  <c r="Q1971" i="1" s="1"/>
  <c r="R1970" i="1"/>
  <c r="R1971" i="1" s="1"/>
  <c r="S1970" i="1"/>
  <c r="S1971" i="1" s="1"/>
  <c r="T1970" i="1"/>
  <c r="T1971" i="1" s="1"/>
  <c r="V1970" i="1"/>
  <c r="V1971" i="1" s="1"/>
  <c r="W1970" i="1"/>
  <c r="W1971" i="1" s="1"/>
  <c r="X1970" i="1"/>
  <c r="X1971" i="1" s="1"/>
  <c r="Y1970" i="1"/>
  <c r="Z1970" i="1"/>
  <c r="Z1971" i="1" s="1"/>
  <c r="B1971" i="1"/>
  <c r="A1972" i="1"/>
  <c r="A1973" i="1" s="1"/>
  <c r="B1972" i="1"/>
  <c r="C1972" i="1"/>
  <c r="D1972" i="1"/>
  <c r="D1973" i="1" s="1"/>
  <c r="E1972" i="1"/>
  <c r="E1973" i="1" s="1"/>
  <c r="F1972" i="1"/>
  <c r="F1973" i="1" s="1"/>
  <c r="G1972" i="1"/>
  <c r="H1972" i="1"/>
  <c r="I1972" i="1"/>
  <c r="J1972" i="1"/>
  <c r="K1972" i="1"/>
  <c r="M1972" i="1"/>
  <c r="N1972" i="1"/>
  <c r="P1972" i="1"/>
  <c r="P1973" i="1" s="1"/>
  <c r="Q1972" i="1"/>
  <c r="Q1973" i="1" s="1"/>
  <c r="R1972" i="1"/>
  <c r="R1973" i="1" s="1"/>
  <c r="S1972" i="1"/>
  <c r="T1972" i="1"/>
  <c r="T1973" i="1" s="1"/>
  <c r="V1972" i="1"/>
  <c r="V1973" i="1" s="1"/>
  <c r="W1972" i="1"/>
  <c r="W1973" i="1" s="1"/>
  <c r="X1972" i="1"/>
  <c r="X1973" i="1" s="1"/>
  <c r="Y1972" i="1"/>
  <c r="Z1972" i="1"/>
  <c r="Z1973" i="1" s="1"/>
  <c r="B1973" i="1"/>
  <c r="S1973" i="1"/>
  <c r="A1974" i="1"/>
  <c r="A1975" i="1" s="1"/>
  <c r="B1974" i="1"/>
  <c r="B1975" i="1" s="1"/>
  <c r="C1974" i="1"/>
  <c r="C1975" i="1" s="1"/>
  <c r="D1974" i="1"/>
  <c r="D1975" i="1" s="1"/>
  <c r="E1974" i="1"/>
  <c r="E1975" i="1" s="1"/>
  <c r="F1974" i="1"/>
  <c r="G1974" i="1"/>
  <c r="H1974" i="1"/>
  <c r="I1974" i="1"/>
  <c r="J1974" i="1"/>
  <c r="K1974" i="1"/>
  <c r="M1974" i="1"/>
  <c r="N1974" i="1"/>
  <c r="P1974" i="1"/>
  <c r="P1975" i="1" s="1"/>
  <c r="Q1974" i="1"/>
  <c r="Q1975" i="1" s="1"/>
  <c r="R1974" i="1"/>
  <c r="R1975" i="1" s="1"/>
  <c r="S1974" i="1"/>
  <c r="S1975" i="1" s="1"/>
  <c r="T1974" i="1"/>
  <c r="T1975" i="1" s="1"/>
  <c r="V1974" i="1"/>
  <c r="V1975" i="1" s="1"/>
  <c r="W1974" i="1"/>
  <c r="W1975" i="1" s="1"/>
  <c r="X1974" i="1"/>
  <c r="X1975" i="1" s="1"/>
  <c r="Y1974" i="1"/>
  <c r="Y1975" i="1" s="1"/>
  <c r="Z1974" i="1"/>
  <c r="Z1975" i="1" s="1"/>
  <c r="A1976" i="1"/>
  <c r="A1977" i="1" s="1"/>
  <c r="B1976" i="1"/>
  <c r="B1977" i="1" s="1"/>
  <c r="C1976" i="1"/>
  <c r="D1976" i="1"/>
  <c r="D1977" i="1" s="1"/>
  <c r="E1976" i="1"/>
  <c r="F1976" i="1"/>
  <c r="F1977" i="1" s="1"/>
  <c r="G1976" i="1"/>
  <c r="H1976" i="1"/>
  <c r="I1976" i="1"/>
  <c r="J1976" i="1"/>
  <c r="K1976" i="1"/>
  <c r="M1976" i="1"/>
  <c r="N1976" i="1"/>
  <c r="P1976" i="1"/>
  <c r="P1977" i="1" s="1"/>
  <c r="Q1976" i="1"/>
  <c r="Q1977" i="1" s="1"/>
  <c r="R1976" i="1"/>
  <c r="S1976" i="1"/>
  <c r="S1977" i="1" s="1"/>
  <c r="T1976" i="1"/>
  <c r="T1977" i="1" s="1"/>
  <c r="V1976" i="1"/>
  <c r="V1977" i="1" s="1"/>
  <c r="W1976" i="1"/>
  <c r="W1977" i="1" s="1"/>
  <c r="X1976" i="1"/>
  <c r="X1977" i="1" s="1"/>
  <c r="Y1976" i="1"/>
  <c r="Y1977" i="1" s="1"/>
  <c r="Z1976" i="1"/>
  <c r="Z1977" i="1" s="1"/>
  <c r="R1977" i="1"/>
  <c r="A1978" i="1"/>
  <c r="A1979" i="1" s="1"/>
  <c r="B1978" i="1"/>
  <c r="C1978" i="1"/>
  <c r="C1979" i="1" s="1"/>
  <c r="D1978" i="1"/>
  <c r="D1979" i="1" s="1"/>
  <c r="E1978" i="1"/>
  <c r="E1979" i="1" s="1"/>
  <c r="F1978" i="1"/>
  <c r="F1979" i="1" s="1"/>
  <c r="G1978" i="1"/>
  <c r="H1978" i="1"/>
  <c r="I1978" i="1"/>
  <c r="J1978" i="1"/>
  <c r="K1978" i="1"/>
  <c r="M1978" i="1"/>
  <c r="N1978" i="1"/>
  <c r="P1978" i="1"/>
  <c r="P1979" i="1" s="1"/>
  <c r="Q1978" i="1"/>
  <c r="Q1979" i="1" s="1"/>
  <c r="R1978" i="1"/>
  <c r="R1979" i="1" s="1"/>
  <c r="S1978" i="1"/>
  <c r="S1979" i="1" s="1"/>
  <c r="T1978" i="1"/>
  <c r="T1979" i="1" s="1"/>
  <c r="V1978" i="1"/>
  <c r="V1979" i="1" s="1"/>
  <c r="W1978" i="1"/>
  <c r="W1979" i="1" s="1"/>
  <c r="X1978" i="1"/>
  <c r="X1979" i="1" s="1"/>
  <c r="Y1978" i="1"/>
  <c r="Z1978" i="1"/>
  <c r="Z1979" i="1" s="1"/>
  <c r="B1979" i="1"/>
  <c r="A1980" i="1"/>
  <c r="A1981" i="1" s="1"/>
  <c r="B1980" i="1"/>
  <c r="B1981" i="1" s="1"/>
  <c r="C1980" i="1"/>
  <c r="D1980" i="1"/>
  <c r="E1980" i="1"/>
  <c r="E1981" i="1" s="1"/>
  <c r="F1980" i="1"/>
  <c r="F1981" i="1" s="1"/>
  <c r="G1980" i="1"/>
  <c r="H1980" i="1"/>
  <c r="I1980" i="1"/>
  <c r="J1980" i="1"/>
  <c r="K1980" i="1"/>
  <c r="M1980" i="1"/>
  <c r="N1980" i="1"/>
  <c r="P1980" i="1"/>
  <c r="P1981" i="1" s="1"/>
  <c r="Q1980" i="1"/>
  <c r="Q1981" i="1" s="1"/>
  <c r="R1980" i="1"/>
  <c r="R1981" i="1" s="1"/>
  <c r="S1980" i="1"/>
  <c r="S1981" i="1" s="1"/>
  <c r="T1980" i="1"/>
  <c r="T1981" i="1" s="1"/>
  <c r="V1980" i="1"/>
  <c r="V1981" i="1" s="1"/>
  <c r="W1980" i="1"/>
  <c r="W1981" i="1" s="1"/>
  <c r="X1980" i="1"/>
  <c r="X1981" i="1" s="1"/>
  <c r="Y1980" i="1"/>
  <c r="Y1981" i="1" s="1"/>
  <c r="Z1980" i="1"/>
  <c r="Z1981" i="1" s="1"/>
  <c r="D1981" i="1"/>
  <c r="A1982" i="1"/>
  <c r="A1983" i="1" s="1"/>
  <c r="B1982" i="1"/>
  <c r="B1983" i="1" s="1"/>
  <c r="C1982" i="1"/>
  <c r="C1983" i="1" s="1"/>
  <c r="D1982" i="1"/>
  <c r="E1982" i="1"/>
  <c r="F1982" i="1"/>
  <c r="G1982" i="1"/>
  <c r="H1982" i="1"/>
  <c r="I1982" i="1"/>
  <c r="J1982" i="1"/>
  <c r="K1982" i="1"/>
  <c r="M1982" i="1"/>
  <c r="N1982" i="1"/>
  <c r="P1982" i="1"/>
  <c r="P1983" i="1" s="1"/>
  <c r="Q1982" i="1"/>
  <c r="Q1983" i="1" s="1"/>
  <c r="R1982" i="1"/>
  <c r="R1983" i="1" s="1"/>
  <c r="S1982" i="1"/>
  <c r="S1983" i="1" s="1"/>
  <c r="T1982" i="1"/>
  <c r="T1983" i="1" s="1"/>
  <c r="V1982" i="1"/>
  <c r="V1983" i="1" s="1"/>
  <c r="W1982" i="1"/>
  <c r="W1983" i="1" s="1"/>
  <c r="X1982" i="1"/>
  <c r="X1983" i="1" s="1"/>
  <c r="Y1982" i="1"/>
  <c r="Y1983" i="1" s="1"/>
  <c r="Z1982" i="1"/>
  <c r="Z1983" i="1" s="1"/>
  <c r="D1983" i="1"/>
  <c r="E1983" i="1"/>
  <c r="A1984" i="1"/>
  <c r="A1985" i="1" s="1"/>
  <c r="B1984" i="1"/>
  <c r="B1985" i="1" s="1"/>
  <c r="C1984" i="1"/>
  <c r="C1985" i="1" s="1"/>
  <c r="D1984" i="1"/>
  <c r="E1984" i="1"/>
  <c r="F1984" i="1"/>
  <c r="F1985" i="1" s="1"/>
  <c r="G1984" i="1"/>
  <c r="H1984" i="1"/>
  <c r="I1984" i="1"/>
  <c r="J1984" i="1"/>
  <c r="K1984" i="1"/>
  <c r="M1984" i="1"/>
  <c r="N1984" i="1"/>
  <c r="P1984" i="1"/>
  <c r="P1985" i="1" s="1"/>
  <c r="Q1984" i="1"/>
  <c r="Q1985" i="1" s="1"/>
  <c r="R1984" i="1"/>
  <c r="R1985" i="1" s="1"/>
  <c r="S1984" i="1"/>
  <c r="S1985" i="1" s="1"/>
  <c r="T1984" i="1"/>
  <c r="T1985" i="1" s="1"/>
  <c r="V1984" i="1"/>
  <c r="V1985" i="1" s="1"/>
  <c r="W1984" i="1"/>
  <c r="W1985" i="1" s="1"/>
  <c r="X1984" i="1"/>
  <c r="X1985" i="1" s="1"/>
  <c r="Y1984" i="1"/>
  <c r="Y1985" i="1" s="1"/>
  <c r="Z1984" i="1"/>
  <c r="Z1985" i="1" s="1"/>
  <c r="D1985" i="1"/>
  <c r="A1986" i="1"/>
  <c r="A1987" i="1" s="1"/>
  <c r="B1986" i="1"/>
  <c r="B1987" i="1" s="1"/>
  <c r="C1986" i="1"/>
  <c r="C1987" i="1" s="1"/>
  <c r="D1986" i="1"/>
  <c r="E1986" i="1"/>
  <c r="E1987" i="1" s="1"/>
  <c r="F1986" i="1"/>
  <c r="F1987" i="1" s="1"/>
  <c r="G1986" i="1"/>
  <c r="H1986" i="1"/>
  <c r="I1986" i="1"/>
  <c r="J1986" i="1"/>
  <c r="K1986" i="1"/>
  <c r="M1986" i="1"/>
  <c r="N1986" i="1"/>
  <c r="P1986" i="1"/>
  <c r="P1987" i="1" s="1"/>
  <c r="Q1986" i="1"/>
  <c r="Q1987" i="1" s="1"/>
  <c r="R1986" i="1"/>
  <c r="R1987" i="1" s="1"/>
  <c r="S1986" i="1"/>
  <c r="S1987" i="1" s="1"/>
  <c r="T1986" i="1"/>
  <c r="T1987" i="1" s="1"/>
  <c r="V1986" i="1"/>
  <c r="V1987" i="1" s="1"/>
  <c r="W1986" i="1"/>
  <c r="W1987" i="1" s="1"/>
  <c r="X1986" i="1"/>
  <c r="X1987" i="1" s="1"/>
  <c r="Y1986" i="1"/>
  <c r="Z1986" i="1"/>
  <c r="Z1987" i="1" s="1"/>
  <c r="A1988" i="1"/>
  <c r="A1989" i="1" s="1"/>
  <c r="B1988" i="1"/>
  <c r="B1989" i="1" s="1"/>
  <c r="C1988" i="1"/>
  <c r="D1988" i="1"/>
  <c r="D1989" i="1" s="1"/>
  <c r="E1988" i="1"/>
  <c r="E1989" i="1" s="1"/>
  <c r="F1988" i="1"/>
  <c r="F1989" i="1" s="1"/>
  <c r="G1988" i="1"/>
  <c r="H1988" i="1"/>
  <c r="I1988" i="1"/>
  <c r="J1988" i="1"/>
  <c r="K1988" i="1"/>
  <c r="M1988" i="1"/>
  <c r="N1988" i="1"/>
  <c r="P1988" i="1"/>
  <c r="P1989" i="1" s="1"/>
  <c r="Q1988" i="1"/>
  <c r="Q1989" i="1" s="1"/>
  <c r="R1988" i="1"/>
  <c r="R1989" i="1" s="1"/>
  <c r="S1988" i="1"/>
  <c r="S1989" i="1" s="1"/>
  <c r="T1988" i="1"/>
  <c r="T1989" i="1" s="1"/>
  <c r="V1988" i="1"/>
  <c r="V1989" i="1" s="1"/>
  <c r="W1988" i="1"/>
  <c r="W1989" i="1" s="1"/>
  <c r="X1988" i="1"/>
  <c r="X1989" i="1" s="1"/>
  <c r="Y1988" i="1"/>
  <c r="Z1988" i="1"/>
  <c r="Z1989" i="1" s="1"/>
  <c r="A1990" i="1"/>
  <c r="A1991" i="1" s="1"/>
  <c r="B1990" i="1"/>
  <c r="B1991" i="1" s="1"/>
  <c r="C1990" i="1"/>
  <c r="C1991" i="1" s="1"/>
  <c r="D1990" i="1"/>
  <c r="D1991" i="1" s="1"/>
  <c r="E1990" i="1"/>
  <c r="E1991" i="1" s="1"/>
  <c r="F1990" i="1"/>
  <c r="G1990" i="1"/>
  <c r="H1990" i="1"/>
  <c r="I1990" i="1"/>
  <c r="J1990" i="1"/>
  <c r="K1990" i="1"/>
  <c r="M1990" i="1"/>
  <c r="N1990" i="1"/>
  <c r="P1990" i="1"/>
  <c r="P1991" i="1" s="1"/>
  <c r="Q1990" i="1"/>
  <c r="Q1991" i="1" s="1"/>
  <c r="R1990" i="1"/>
  <c r="R1991" i="1" s="1"/>
  <c r="S1990" i="1"/>
  <c r="S1991" i="1" s="1"/>
  <c r="T1990" i="1"/>
  <c r="T1991" i="1" s="1"/>
  <c r="V1990" i="1"/>
  <c r="V1991" i="1" s="1"/>
  <c r="W1990" i="1"/>
  <c r="W1991" i="1" s="1"/>
  <c r="X1990" i="1"/>
  <c r="X1991" i="1" s="1"/>
  <c r="Y1990" i="1"/>
  <c r="Y1991" i="1" s="1"/>
  <c r="Z1990" i="1"/>
  <c r="Z1991" i="1" s="1"/>
  <c r="A1992" i="1"/>
  <c r="A1993" i="1" s="1"/>
  <c r="B1992" i="1"/>
  <c r="C1992" i="1"/>
  <c r="D1992" i="1"/>
  <c r="D1993" i="1" s="1"/>
  <c r="E1992" i="1"/>
  <c r="F1992" i="1"/>
  <c r="F1993" i="1" s="1"/>
  <c r="G1992" i="1"/>
  <c r="H1992" i="1"/>
  <c r="I1992" i="1"/>
  <c r="J1992" i="1"/>
  <c r="K1992" i="1"/>
  <c r="M1992" i="1"/>
  <c r="N1992" i="1"/>
  <c r="P1992" i="1"/>
  <c r="P1993" i="1" s="1"/>
  <c r="Q1992" i="1"/>
  <c r="Q1993" i="1" s="1"/>
  <c r="R1992" i="1"/>
  <c r="R1993" i="1" s="1"/>
  <c r="S1992" i="1"/>
  <c r="S1993" i="1" s="1"/>
  <c r="T1992" i="1"/>
  <c r="T1993" i="1" s="1"/>
  <c r="V1992" i="1"/>
  <c r="W1992" i="1"/>
  <c r="W1993" i="1" s="1"/>
  <c r="X1992" i="1"/>
  <c r="X1993" i="1" s="1"/>
  <c r="Y1992" i="1"/>
  <c r="Z1992" i="1"/>
  <c r="Z1993" i="1" s="1"/>
  <c r="B1993" i="1"/>
  <c r="V1993" i="1"/>
  <c r="A1994" i="1"/>
  <c r="A1995" i="1" s="1"/>
  <c r="B1994" i="1"/>
  <c r="B1995" i="1" s="1"/>
  <c r="C1994" i="1"/>
  <c r="C1995" i="1" s="1"/>
  <c r="D1994" i="1"/>
  <c r="D1995" i="1" s="1"/>
  <c r="E1994" i="1"/>
  <c r="E1995" i="1" s="1"/>
  <c r="F1994" i="1"/>
  <c r="G1994" i="1"/>
  <c r="H1994" i="1"/>
  <c r="I1994" i="1"/>
  <c r="J1994" i="1"/>
  <c r="K1994" i="1"/>
  <c r="M1994" i="1"/>
  <c r="N1994" i="1"/>
  <c r="P1994" i="1"/>
  <c r="P1995" i="1" s="1"/>
  <c r="Q1994" i="1"/>
  <c r="Q1995" i="1" s="1"/>
  <c r="R1994" i="1"/>
  <c r="R1995" i="1" s="1"/>
  <c r="S1994" i="1"/>
  <c r="S1995" i="1" s="1"/>
  <c r="T1994" i="1"/>
  <c r="T1995" i="1" s="1"/>
  <c r="V1994" i="1"/>
  <c r="V1995" i="1" s="1"/>
  <c r="W1994" i="1"/>
  <c r="W1995" i="1" s="1"/>
  <c r="X1994" i="1"/>
  <c r="X1995" i="1" s="1"/>
  <c r="Y1994" i="1"/>
  <c r="Y1995" i="1" s="1"/>
  <c r="Z1994" i="1"/>
  <c r="Z1995" i="1" s="1"/>
  <c r="F1995" i="1"/>
  <c r="A1996" i="1"/>
  <c r="A1997" i="1" s="1"/>
  <c r="B1996" i="1"/>
  <c r="B1997" i="1" s="1"/>
  <c r="C1996" i="1"/>
  <c r="D1996" i="1"/>
  <c r="E1996" i="1"/>
  <c r="E1997" i="1" s="1"/>
  <c r="F1996" i="1"/>
  <c r="F1997" i="1" s="1"/>
  <c r="G1996" i="1"/>
  <c r="H1996" i="1"/>
  <c r="I1996" i="1"/>
  <c r="J1996" i="1"/>
  <c r="K1996" i="1"/>
  <c r="M1996" i="1"/>
  <c r="N1996" i="1"/>
  <c r="P1996" i="1"/>
  <c r="P1997" i="1" s="1"/>
  <c r="Q1996" i="1"/>
  <c r="Q1997" i="1" s="1"/>
  <c r="R1996" i="1"/>
  <c r="R1997" i="1" s="1"/>
  <c r="S1996" i="1"/>
  <c r="S1997" i="1" s="1"/>
  <c r="T1996" i="1"/>
  <c r="T1997" i="1" s="1"/>
  <c r="V1996" i="1"/>
  <c r="V1997" i="1" s="1"/>
  <c r="W1996" i="1"/>
  <c r="W1997" i="1" s="1"/>
  <c r="X1996" i="1"/>
  <c r="X1997" i="1" s="1"/>
  <c r="Y1996" i="1"/>
  <c r="Y1997" i="1" s="1"/>
  <c r="Z1996" i="1"/>
  <c r="Z1997" i="1" s="1"/>
  <c r="D1997" i="1"/>
  <c r="A1998" i="1"/>
  <c r="A1999" i="1" s="1"/>
  <c r="B1998" i="1"/>
  <c r="B1999" i="1" s="1"/>
  <c r="C1998" i="1"/>
  <c r="C1999" i="1" s="1"/>
  <c r="D1998" i="1"/>
  <c r="E1998" i="1"/>
  <c r="F1998" i="1"/>
  <c r="G1998" i="1"/>
  <c r="H1998" i="1"/>
  <c r="I1998" i="1"/>
  <c r="J1998" i="1"/>
  <c r="K1998" i="1"/>
  <c r="M1998" i="1"/>
  <c r="N1998" i="1"/>
  <c r="P1998" i="1"/>
  <c r="P1999" i="1" s="1"/>
  <c r="Q1998" i="1"/>
  <c r="Q1999" i="1" s="1"/>
  <c r="R1998" i="1"/>
  <c r="S1998" i="1"/>
  <c r="S1999" i="1" s="1"/>
  <c r="T1998" i="1"/>
  <c r="T1999" i="1" s="1"/>
  <c r="V1998" i="1"/>
  <c r="V1999" i="1" s="1"/>
  <c r="W1998" i="1"/>
  <c r="W1999" i="1" s="1"/>
  <c r="X1998" i="1"/>
  <c r="X1999" i="1" s="1"/>
  <c r="Y1998" i="1"/>
  <c r="Y1999" i="1" s="1"/>
  <c r="Z1998" i="1"/>
  <c r="Z1999" i="1" s="1"/>
  <c r="D1999" i="1"/>
  <c r="E1999" i="1"/>
  <c r="R1999" i="1"/>
  <c r="Y153" i="1" l="1"/>
  <c r="Y255" i="1"/>
  <c r="Y257" i="1"/>
  <c r="Y111" i="1"/>
  <c r="Y243" i="1"/>
  <c r="Y227" i="1"/>
  <c r="Y217" i="1"/>
  <c r="Y149" i="1"/>
  <c r="Y139" i="1"/>
  <c r="Y129" i="1"/>
  <c r="Y121" i="1"/>
  <c r="Y101" i="1"/>
  <c r="Y91" i="1"/>
  <c r="Y83" i="1"/>
  <c r="N1471" i="1"/>
  <c r="G1319" i="1"/>
  <c r="I1319" i="1" s="1"/>
  <c r="Y71" i="1"/>
  <c r="Y45" i="1"/>
  <c r="Y43" i="1"/>
  <c r="Y41" i="1"/>
  <c r="Y39" i="1"/>
  <c r="Y1915" i="1"/>
  <c r="Y1875" i="1"/>
  <c r="Y1429" i="1"/>
  <c r="Y1425" i="1"/>
  <c r="Y1365" i="1"/>
  <c r="Y1357" i="1"/>
  <c r="Y1119" i="1"/>
  <c r="Y1099" i="1"/>
  <c r="Y1053" i="1"/>
  <c r="Y67" i="1"/>
  <c r="Y55" i="1"/>
  <c r="Y1899" i="1"/>
  <c r="Y1873" i="1"/>
  <c r="Y1839" i="1"/>
  <c r="Y1827" i="1"/>
  <c r="Y1811" i="1"/>
  <c r="Y1777" i="1"/>
  <c r="Y1765" i="1"/>
  <c r="Y1763" i="1"/>
  <c r="Y1697" i="1"/>
  <c r="Y1613" i="1"/>
  <c r="Y1585" i="1"/>
  <c r="Y1541" i="1"/>
  <c r="Y1517" i="1"/>
  <c r="Y1459" i="1"/>
  <c r="Y1435" i="1"/>
  <c r="Y1399" i="1"/>
  <c r="Y1371" i="1"/>
  <c r="Y1341" i="1"/>
  <c r="Y1339" i="1"/>
  <c r="Y1243" i="1"/>
  <c r="Y1221" i="1"/>
  <c r="Y1215" i="1"/>
  <c r="Y1205" i="1"/>
  <c r="Y1185" i="1"/>
  <c r="Y1055" i="1"/>
  <c r="Y993" i="1"/>
  <c r="Y69" i="1"/>
  <c r="Y7" i="1"/>
  <c r="Y1989" i="1"/>
  <c r="Y1901" i="1"/>
  <c r="Y1635" i="1"/>
  <c r="Y1509" i="1"/>
  <c r="Y1485" i="1"/>
  <c r="Y1245" i="1"/>
  <c r="Y1987" i="1"/>
  <c r="Y1979" i="1"/>
  <c r="Y1973" i="1"/>
  <c r="Y1971" i="1"/>
  <c r="Y1871" i="1"/>
  <c r="Y1855" i="1"/>
  <c r="Y1835" i="1"/>
  <c r="Y1799" i="1"/>
  <c r="Y1771" i="1"/>
  <c r="Y1713" i="1"/>
  <c r="Y1667" i="1"/>
  <c r="Y1665" i="1"/>
  <c r="Y1657" i="1"/>
  <c r="Y1579" i="1"/>
  <c r="Y1561" i="1"/>
  <c r="Y1559" i="1"/>
  <c r="Y1531" i="1"/>
  <c r="Y1519" i="1"/>
  <c r="Y1443" i="1"/>
  <c r="Y1417" i="1"/>
  <c r="Y1369" i="1"/>
  <c r="Y1277" i="1"/>
  <c r="Y1195" i="1"/>
  <c r="Y1127" i="1"/>
  <c r="Y1935" i="1"/>
  <c r="Y1851" i="1"/>
  <c r="Y1791" i="1"/>
  <c r="Y1745" i="1"/>
  <c r="Y1639" i="1"/>
  <c r="Y1609" i="1"/>
  <c r="Y1527" i="1"/>
  <c r="Y1381" i="1"/>
  <c r="Y1297" i="1"/>
  <c r="Y1139" i="1"/>
  <c r="Y931" i="1"/>
  <c r="Y47" i="1"/>
  <c r="Y1993" i="1"/>
  <c r="Y1923" i="1"/>
  <c r="Y1917" i="1"/>
  <c r="Y1889" i="1"/>
  <c r="Y1885" i="1"/>
  <c r="Y1857" i="1"/>
  <c r="Y1837" i="1"/>
  <c r="Y1729" i="1"/>
  <c r="Y1721" i="1"/>
  <c r="Y1471" i="1"/>
  <c r="Y1387" i="1"/>
  <c r="Y1329" i="1"/>
  <c r="Y1301" i="1"/>
  <c r="Y1275" i="1"/>
  <c r="Y1251" i="1"/>
  <c r="Y1087" i="1"/>
  <c r="Y1049" i="1"/>
  <c r="Y1041" i="1"/>
  <c r="Y1037" i="1"/>
  <c r="Y861" i="1"/>
  <c r="Y851" i="1"/>
  <c r="Y845" i="1"/>
  <c r="Y839" i="1"/>
  <c r="Y23" i="1"/>
  <c r="Y915" i="1"/>
  <c r="Y911" i="1"/>
  <c r="Y909" i="1"/>
  <c r="Y815" i="1"/>
  <c r="Y807" i="1"/>
  <c r="Y737" i="1"/>
  <c r="Y619" i="1"/>
  <c r="Y603" i="1"/>
  <c r="Y595" i="1"/>
  <c r="Y509" i="1"/>
  <c r="Y209" i="1"/>
  <c r="Y73" i="1"/>
  <c r="Y57" i="1"/>
  <c r="Y49" i="1"/>
  <c r="Y35" i="1"/>
  <c r="Y29" i="1"/>
  <c r="Y27" i="1"/>
  <c r="Y25" i="1"/>
  <c r="Y15" i="1"/>
  <c r="Y11" i="1"/>
  <c r="Y9" i="1"/>
  <c r="Y695" i="1"/>
  <c r="Y681" i="1"/>
  <c r="Y667" i="1"/>
  <c r="Y647" i="1"/>
  <c r="Y387" i="1"/>
  <c r="Y175" i="1"/>
  <c r="Y81" i="1"/>
  <c r="Y79" i="1"/>
  <c r="Y77" i="1"/>
  <c r="Y75" i="1"/>
  <c r="Y63" i="1"/>
  <c r="Y61" i="1"/>
  <c r="Y59" i="1"/>
  <c r="Y51" i="1"/>
  <c r="Y31" i="1"/>
  <c r="Y17" i="1"/>
  <c r="Y13" i="1"/>
  <c r="Y159" i="1"/>
  <c r="Y65" i="1"/>
  <c r="Y53" i="1"/>
  <c r="Y37" i="1"/>
  <c r="Y33" i="1"/>
  <c r="Y21" i="1"/>
  <c r="Y19" i="1"/>
  <c r="B5" i="1"/>
  <c r="Y5" i="1" s="1"/>
  <c r="B3" i="1"/>
  <c r="Y3" i="1" s="1"/>
  <c r="K1219" i="1"/>
  <c r="G1583" i="1"/>
  <c r="I1583" i="1" s="1"/>
  <c r="L1583" i="1" s="1"/>
  <c r="L1582" i="1" s="1"/>
  <c r="C1583" i="1"/>
  <c r="C1175" i="1"/>
  <c r="G1175" i="1"/>
  <c r="I1175" i="1" s="1"/>
  <c r="N1555" i="1"/>
  <c r="N1455" i="1"/>
  <c r="G1413" i="1"/>
  <c r="AA32" i="1"/>
  <c r="AA33" i="1" s="1"/>
  <c r="W32" i="1"/>
  <c r="W33" i="1" s="1"/>
  <c r="U32" i="1"/>
  <c r="U33" i="1" s="1"/>
  <c r="G1407" i="1"/>
  <c r="I1407" i="1" s="1"/>
  <c r="K1345" i="1"/>
  <c r="N1435" i="1"/>
  <c r="G1433" i="1"/>
  <c r="I1433" i="1" s="1"/>
  <c r="G1419" i="1"/>
  <c r="I1419" i="1" s="1"/>
  <c r="G1405" i="1"/>
  <c r="I1405" i="1" s="1"/>
  <c r="N1561" i="1"/>
  <c r="G1467" i="1"/>
  <c r="I1467" i="1" s="1"/>
  <c r="G1393" i="1"/>
  <c r="I1393" i="1" s="1"/>
  <c r="N1909" i="1"/>
  <c r="N1845" i="1"/>
  <c r="N1585" i="1"/>
  <c r="N1573" i="1"/>
  <c r="I1413" i="1"/>
  <c r="G1335" i="1"/>
  <c r="I1335" i="1" s="1"/>
  <c r="N1071" i="1"/>
  <c r="J965" i="1"/>
  <c r="K1199" i="1"/>
  <c r="K869" i="1"/>
  <c r="N813" i="1"/>
  <c r="N655" i="1"/>
  <c r="N785" i="1"/>
  <c r="D1865" i="1"/>
  <c r="N1865" i="1"/>
  <c r="E1805" i="1"/>
  <c r="G1805" i="1"/>
  <c r="I1805" i="1" s="1"/>
  <c r="L1805" i="1" s="1"/>
  <c r="L1804" i="1" s="1"/>
  <c r="E1773" i="1"/>
  <c r="N1773" i="1"/>
  <c r="D1709" i="1"/>
  <c r="N1709" i="1"/>
  <c r="N1953" i="1"/>
  <c r="M1939" i="1"/>
  <c r="M1977" i="1"/>
  <c r="E1977" i="1"/>
  <c r="N1897" i="1"/>
  <c r="N1849" i="1"/>
  <c r="M1831" i="1"/>
  <c r="K1831" i="1"/>
  <c r="D1817" i="1"/>
  <c r="N1817" i="1"/>
  <c r="G1781" i="1"/>
  <c r="I1781" i="1" s="1"/>
  <c r="N1781" i="1"/>
  <c r="F1715" i="1"/>
  <c r="G1715" i="1"/>
  <c r="I1715" i="1" s="1"/>
  <c r="L1715" i="1" s="1"/>
  <c r="L1714" i="1" s="1"/>
  <c r="M1993" i="1"/>
  <c r="E1993" i="1"/>
  <c r="F1707" i="1"/>
  <c r="G1707" i="1"/>
  <c r="I1707" i="1" s="1"/>
  <c r="L1707" i="1" s="1"/>
  <c r="L1706" i="1" s="1"/>
  <c r="D1911" i="1"/>
  <c r="K1911" i="1"/>
  <c r="K1879" i="1"/>
  <c r="G1837" i="1"/>
  <c r="I1837" i="1" s="1"/>
  <c r="L1837" i="1" s="1"/>
  <c r="L1836" i="1" s="1"/>
  <c r="K1799" i="1"/>
  <c r="M1785" i="1"/>
  <c r="N1785" i="1"/>
  <c r="E1785" i="1"/>
  <c r="K1825" i="1"/>
  <c r="M1817" i="1"/>
  <c r="G1691" i="1"/>
  <c r="I1691" i="1" s="1"/>
  <c r="L1691" i="1" s="1"/>
  <c r="L1690" i="1" s="1"/>
  <c r="N1629" i="1"/>
  <c r="D1585" i="1"/>
  <c r="M1585" i="1"/>
  <c r="G1569" i="1"/>
  <c r="I1569" i="1" s="1"/>
  <c r="L1569" i="1" s="1"/>
  <c r="L1568" i="1" s="1"/>
  <c r="G1563" i="1"/>
  <c r="I1563" i="1" s="1"/>
  <c r="L1563" i="1" s="1"/>
  <c r="L1562" i="1" s="1"/>
  <c r="G1549" i="1"/>
  <c r="I1549" i="1" s="1"/>
  <c r="L1549" i="1" s="1"/>
  <c r="L1548" i="1" s="1"/>
  <c r="N1537" i="1"/>
  <c r="D1537" i="1"/>
  <c r="N1147" i="1"/>
  <c r="D1147" i="1"/>
  <c r="N1203" i="1"/>
  <c r="N1515" i="1"/>
  <c r="D1515" i="1"/>
  <c r="K1997" i="1"/>
  <c r="K1991" i="1"/>
  <c r="K1981" i="1"/>
  <c r="K1975" i="1"/>
  <c r="K1965" i="1"/>
  <c r="G1949" i="1"/>
  <c r="I1949" i="1" s="1"/>
  <c r="K1857" i="1"/>
  <c r="M1849" i="1"/>
  <c r="M1795" i="1"/>
  <c r="K1793" i="1"/>
  <c r="N1701" i="1"/>
  <c r="M1597" i="1"/>
  <c r="G1575" i="1"/>
  <c r="I1575" i="1" s="1"/>
  <c r="L1575" i="1" s="1"/>
  <c r="L1574" i="1" s="1"/>
  <c r="D1573" i="1"/>
  <c r="D1561" i="1"/>
  <c r="D1555" i="1"/>
  <c r="G1551" i="1"/>
  <c r="I1551" i="1" s="1"/>
  <c r="L1551" i="1" s="1"/>
  <c r="L1550" i="1" s="1"/>
  <c r="K1535" i="1"/>
  <c r="E1533" i="1"/>
  <c r="K1533" i="1"/>
  <c r="G1395" i="1"/>
  <c r="I1395" i="1" s="1"/>
  <c r="N1247" i="1"/>
  <c r="D1247" i="1"/>
  <c r="N1033" i="1"/>
  <c r="F1033" i="1"/>
  <c r="M1923" i="1"/>
  <c r="M1891" i="1"/>
  <c r="E1817" i="1"/>
  <c r="M1799" i="1"/>
  <c r="N1789" i="1"/>
  <c r="M1771" i="1"/>
  <c r="N1597" i="1"/>
  <c r="N1589" i="1"/>
  <c r="G1587" i="1"/>
  <c r="I1587" i="1" s="1"/>
  <c r="L1587" i="1" s="1"/>
  <c r="L1586" i="1" s="1"/>
  <c r="N1553" i="1"/>
  <c r="K1525" i="1"/>
  <c r="N1523" i="1"/>
  <c r="N1507" i="1"/>
  <c r="D1507" i="1"/>
  <c r="D1471" i="1"/>
  <c r="G1471" i="1"/>
  <c r="I1471" i="1" s="1"/>
  <c r="D1197" i="1"/>
  <c r="G1197" i="1"/>
  <c r="I1197" i="1" s="1"/>
  <c r="N1063" i="1"/>
  <c r="N1539" i="1"/>
  <c r="N1527" i="1"/>
  <c r="M1379" i="1"/>
  <c r="M1347" i="1"/>
  <c r="K1201" i="1"/>
  <c r="G1191" i="1"/>
  <c r="I1191" i="1" s="1"/>
  <c r="N1079" i="1"/>
  <c r="N1113" i="1"/>
  <c r="N1055" i="1"/>
  <c r="N1049" i="1"/>
  <c r="F903" i="1"/>
  <c r="M903" i="1"/>
  <c r="K1151" i="1"/>
  <c r="N1005" i="1"/>
  <c r="M919" i="1"/>
  <c r="N1047" i="1"/>
  <c r="M993" i="1"/>
  <c r="F895" i="1"/>
  <c r="J895" i="1"/>
  <c r="N801" i="1"/>
  <c r="N809" i="1"/>
  <c r="K335" i="1"/>
  <c r="G221" i="1"/>
  <c r="I221" i="1" s="1"/>
  <c r="L221" i="1" s="1"/>
  <c r="L220" i="1" s="1"/>
  <c r="N263" i="1"/>
  <c r="O263" i="1" s="1"/>
  <c r="O262" i="1" s="1"/>
  <c r="M97" i="1"/>
  <c r="G97" i="1"/>
  <c r="I97" i="1" s="1"/>
  <c r="N121" i="1"/>
  <c r="O121" i="1" s="1"/>
  <c r="O120" i="1" s="1"/>
  <c r="K715" i="1"/>
  <c r="D683" i="1"/>
  <c r="N683" i="1"/>
  <c r="K723" i="1"/>
  <c r="N685" i="1"/>
  <c r="N705" i="1"/>
  <c r="N691" i="1"/>
  <c r="M603" i="1"/>
  <c r="D409" i="1"/>
  <c r="M409" i="1"/>
  <c r="M487" i="1"/>
  <c r="J133" i="1"/>
  <c r="M177" i="1"/>
  <c r="K155" i="1"/>
  <c r="M337" i="1"/>
  <c r="N287" i="1"/>
  <c r="G199" i="1"/>
  <c r="H199" i="1" s="1"/>
  <c r="D337" i="1"/>
  <c r="G227" i="1"/>
  <c r="I227" i="1" s="1"/>
  <c r="L227" i="1" s="1"/>
  <c r="L226" i="1" s="1"/>
  <c r="D97" i="1"/>
  <c r="M5" i="1"/>
  <c r="N117" i="1"/>
  <c r="O117" i="1" s="1"/>
  <c r="O116" i="1" s="1"/>
  <c r="M301" i="1"/>
  <c r="M9" i="1"/>
  <c r="J543" i="1"/>
  <c r="D543" i="1"/>
  <c r="E369" i="1"/>
  <c r="M369" i="1"/>
  <c r="M727" i="1"/>
  <c r="C715" i="1"/>
  <c r="N671" i="1"/>
  <c r="N651" i="1"/>
  <c r="E511" i="1"/>
  <c r="G511" i="1"/>
  <c r="I511" i="1" s="1"/>
  <c r="L511" i="1" s="1"/>
  <c r="L510" i="1" s="1"/>
  <c r="N717" i="1"/>
  <c r="D685" i="1"/>
  <c r="C445" i="1"/>
  <c r="G445" i="1"/>
  <c r="I445" i="1" s="1"/>
  <c r="L445" i="1" s="1"/>
  <c r="L444" i="1" s="1"/>
  <c r="N709" i="1"/>
  <c r="N629" i="1"/>
  <c r="M529" i="1"/>
  <c r="N641" i="1"/>
  <c r="G639" i="1"/>
  <c r="I639" i="1" s="1"/>
  <c r="L639" i="1" s="1"/>
  <c r="L638" i="1" s="1"/>
  <c r="M581" i="1"/>
  <c r="E437" i="1"/>
  <c r="M437" i="1"/>
  <c r="N379" i="1"/>
  <c r="D379" i="1"/>
  <c r="N499" i="1"/>
  <c r="G477" i="1"/>
  <c r="I477" i="1" s="1"/>
  <c r="L477" i="1" s="1"/>
  <c r="L476" i="1" s="1"/>
  <c r="E429" i="1"/>
  <c r="M429" i="1"/>
  <c r="F311" i="1"/>
  <c r="N311" i="1"/>
  <c r="M193" i="1"/>
  <c r="E193" i="1"/>
  <c r="E105" i="1"/>
  <c r="N105" i="1"/>
  <c r="O105" i="1" s="1"/>
  <c r="O104" i="1" s="1"/>
  <c r="K749" i="1"/>
  <c r="N679" i="1"/>
  <c r="N667" i="1"/>
  <c r="N663" i="1"/>
  <c r="G661" i="1"/>
  <c r="I661" i="1" s="1"/>
  <c r="L661" i="1" s="1"/>
  <c r="L660" i="1" s="1"/>
  <c r="N617" i="1"/>
  <c r="G615" i="1"/>
  <c r="N613" i="1"/>
  <c r="G611" i="1"/>
  <c r="H611" i="1" s="1"/>
  <c r="N609" i="1"/>
  <c r="J579" i="1"/>
  <c r="E467" i="1"/>
  <c r="N467" i="1"/>
  <c r="G333" i="1"/>
  <c r="G193" i="1"/>
  <c r="H193" i="1" s="1"/>
  <c r="E75" i="1"/>
  <c r="M75" i="1"/>
  <c r="G697" i="1"/>
  <c r="N693" i="1"/>
  <c r="N673" i="1"/>
  <c r="G653" i="1"/>
  <c r="H653" i="1" s="1"/>
  <c r="N625" i="1"/>
  <c r="J581" i="1"/>
  <c r="M543" i="1"/>
  <c r="J527" i="1"/>
  <c r="K497" i="1"/>
  <c r="K481" i="1"/>
  <c r="G709" i="1"/>
  <c r="I709" i="1" s="1"/>
  <c r="L709" i="1" s="1"/>
  <c r="L708" i="1" s="1"/>
  <c r="N659" i="1"/>
  <c r="N637" i="1"/>
  <c r="N633" i="1"/>
  <c r="J597" i="1"/>
  <c r="M549" i="1"/>
  <c r="M545" i="1"/>
  <c r="M535" i="1"/>
  <c r="J535" i="1"/>
  <c r="E91" i="1"/>
  <c r="M91" i="1"/>
  <c r="M299" i="1"/>
  <c r="G105" i="1"/>
  <c r="I105" i="1" s="1"/>
  <c r="L105" i="1" s="1"/>
  <c r="L104" i="1" s="1"/>
  <c r="M19" i="1"/>
  <c r="M537" i="1"/>
  <c r="M527" i="1"/>
  <c r="M525" i="1"/>
  <c r="M511" i="1"/>
  <c r="K509" i="1"/>
  <c r="M491" i="1"/>
  <c r="G485" i="1"/>
  <c r="I485" i="1" s="1"/>
  <c r="L485" i="1" s="1"/>
  <c r="L484" i="1" s="1"/>
  <c r="K427" i="1"/>
  <c r="G361" i="1"/>
  <c r="I361" i="1" s="1"/>
  <c r="L361" i="1" s="1"/>
  <c r="L360" i="1" s="1"/>
  <c r="J337" i="1"/>
  <c r="N323" i="1"/>
  <c r="K317" i="1"/>
  <c r="J273" i="1"/>
  <c r="N247" i="1"/>
  <c r="O247" i="1" s="1"/>
  <c r="O246" i="1" s="1"/>
  <c r="M217" i="1"/>
  <c r="M213" i="1"/>
  <c r="G213" i="1"/>
  <c r="M209" i="1"/>
  <c r="M181" i="1"/>
  <c r="M61" i="1"/>
  <c r="G447" i="1"/>
  <c r="I447" i="1" s="1"/>
  <c r="L447" i="1" s="1"/>
  <c r="L446" i="1" s="1"/>
  <c r="K293" i="1"/>
  <c r="G215" i="1"/>
  <c r="I215" i="1" s="1"/>
  <c r="L215" i="1" s="1"/>
  <c r="L214" i="1" s="1"/>
  <c r="K153" i="1"/>
  <c r="N91" i="1"/>
  <c r="O91" i="1" s="1"/>
  <c r="O90" i="1" s="1"/>
  <c r="M55" i="1"/>
  <c r="K83" i="1"/>
  <c r="K739" i="1"/>
  <c r="K731" i="1"/>
  <c r="C723" i="1"/>
  <c r="K709" i="1"/>
  <c r="G665" i="1"/>
  <c r="I665" i="1" s="1"/>
  <c r="L665" i="1" s="1"/>
  <c r="L664" i="1" s="1"/>
  <c r="G657" i="1"/>
  <c r="G649" i="1"/>
  <c r="K473" i="1"/>
  <c r="C473" i="1"/>
  <c r="C527" i="1"/>
  <c r="C481" i="1"/>
  <c r="G681" i="1"/>
  <c r="G631" i="1"/>
  <c r="I631" i="1" s="1"/>
  <c r="L631" i="1" s="1"/>
  <c r="L630" i="1" s="1"/>
  <c r="J549" i="1"/>
  <c r="C549" i="1"/>
  <c r="C153" i="1"/>
  <c r="K431" i="1"/>
  <c r="G187" i="1"/>
  <c r="H187" i="1" s="1"/>
  <c r="K475" i="1"/>
  <c r="G323" i="1"/>
  <c r="I323" i="1" s="1"/>
  <c r="L323" i="1" s="1"/>
  <c r="L322" i="1" s="1"/>
  <c r="C273" i="1"/>
  <c r="G223" i="1"/>
  <c r="G197" i="1"/>
  <c r="I197" i="1" s="1"/>
  <c r="L197" i="1" s="1"/>
  <c r="L196" i="1" s="1"/>
  <c r="M393" i="1"/>
  <c r="E393" i="1"/>
  <c r="N367" i="1"/>
  <c r="F367" i="1"/>
  <c r="G329" i="1"/>
  <c r="I329" i="1" s="1"/>
  <c r="L329" i="1" s="1"/>
  <c r="L328" i="1" s="1"/>
  <c r="F329" i="1"/>
  <c r="M295" i="1"/>
  <c r="E295" i="1"/>
  <c r="K779" i="1"/>
  <c r="M749" i="1"/>
  <c r="N741" i="1"/>
  <c r="K733" i="1"/>
  <c r="K721" i="1"/>
  <c r="M719" i="1"/>
  <c r="E717" i="1"/>
  <c r="G717" i="1"/>
  <c r="I717" i="1" s="1"/>
  <c r="L717" i="1" s="1"/>
  <c r="L716" i="1" s="1"/>
  <c r="M711" i="1"/>
  <c r="E705" i="1"/>
  <c r="E697" i="1"/>
  <c r="N697" i="1"/>
  <c r="N695" i="1"/>
  <c r="E691" i="1"/>
  <c r="G689" i="1"/>
  <c r="N687" i="1"/>
  <c r="E679" i="1"/>
  <c r="G677" i="1"/>
  <c r="I677" i="1" s="1"/>
  <c r="L677" i="1" s="1"/>
  <c r="L676" i="1" s="1"/>
  <c r="N675" i="1"/>
  <c r="E671" i="1"/>
  <c r="G669" i="1"/>
  <c r="E665" i="1"/>
  <c r="N665" i="1"/>
  <c r="E661" i="1"/>
  <c r="N661" i="1"/>
  <c r="E657" i="1"/>
  <c r="N657" i="1"/>
  <c r="E653" i="1"/>
  <c r="N653" i="1"/>
  <c r="E649" i="1"/>
  <c r="N649" i="1"/>
  <c r="N647" i="1"/>
  <c r="N645" i="1"/>
  <c r="E631" i="1"/>
  <c r="F629" i="1"/>
  <c r="G623" i="1"/>
  <c r="G619" i="1"/>
  <c r="E615" i="1"/>
  <c r="M601" i="1"/>
  <c r="J599" i="1"/>
  <c r="M583" i="1"/>
  <c r="M565" i="1"/>
  <c r="J557" i="1"/>
  <c r="F549" i="1"/>
  <c r="F545" i="1"/>
  <c r="F543" i="1"/>
  <c r="F537" i="1"/>
  <c r="F535" i="1"/>
  <c r="E525" i="1"/>
  <c r="K517" i="1"/>
  <c r="J511" i="1"/>
  <c r="E509" i="1"/>
  <c r="M501" i="1"/>
  <c r="E499" i="1"/>
  <c r="K499" i="1"/>
  <c r="M497" i="1"/>
  <c r="N491" i="1"/>
  <c r="E487" i="1"/>
  <c r="G487" i="1"/>
  <c r="I487" i="1" s="1"/>
  <c r="L487" i="1" s="1"/>
  <c r="L486" i="1" s="1"/>
  <c r="E485" i="1"/>
  <c r="E475" i="1"/>
  <c r="N471" i="1"/>
  <c r="K467" i="1"/>
  <c r="N459" i="1"/>
  <c r="K449" i="1"/>
  <c r="K441" i="1"/>
  <c r="K439" i="1"/>
  <c r="K435" i="1"/>
  <c r="M433" i="1"/>
  <c r="F431" i="1"/>
  <c r="M425" i="1"/>
  <c r="K423" i="1"/>
  <c r="F423" i="1"/>
  <c r="E421" i="1"/>
  <c r="M421" i="1"/>
  <c r="K415" i="1"/>
  <c r="F415" i="1"/>
  <c r="M413" i="1"/>
  <c r="E413" i="1"/>
  <c r="K367" i="1"/>
  <c r="N359" i="1"/>
  <c r="F183" i="1"/>
  <c r="G183" i="1"/>
  <c r="I183" i="1" s="1"/>
  <c r="L183" i="1" s="1"/>
  <c r="L182" i="1" s="1"/>
  <c r="K747" i="1"/>
  <c r="K713" i="1"/>
  <c r="N689" i="1"/>
  <c r="N677" i="1"/>
  <c r="N669" i="1"/>
  <c r="J541" i="1"/>
  <c r="G469" i="1"/>
  <c r="I469" i="1" s="1"/>
  <c r="L469" i="1" s="1"/>
  <c r="L468" i="1" s="1"/>
  <c r="K465" i="1"/>
  <c r="K411" i="1"/>
  <c r="F411" i="1"/>
  <c r="E405" i="1"/>
  <c r="M405" i="1"/>
  <c r="E387" i="1"/>
  <c r="N387" i="1"/>
  <c r="G297" i="1"/>
  <c r="I297" i="1" s="1"/>
  <c r="L297" i="1" s="1"/>
  <c r="L296" i="1" s="1"/>
  <c r="F297" i="1"/>
  <c r="N283" i="1"/>
  <c r="F283" i="1"/>
  <c r="M417" i="1"/>
  <c r="E417" i="1"/>
  <c r="K395" i="1"/>
  <c r="F395" i="1"/>
  <c r="G225" i="1"/>
  <c r="I225" i="1" s="1"/>
  <c r="L225" i="1" s="1"/>
  <c r="L224" i="1" s="1"/>
  <c r="M225" i="1"/>
  <c r="E225" i="1"/>
  <c r="F171" i="1"/>
  <c r="J171" i="1"/>
  <c r="E159" i="1"/>
  <c r="N159" i="1"/>
  <c r="O159" i="1" s="1"/>
  <c r="O158" i="1" s="1"/>
  <c r="M739" i="1"/>
  <c r="E727" i="1"/>
  <c r="G727" i="1"/>
  <c r="I727" i="1" s="1"/>
  <c r="L727" i="1" s="1"/>
  <c r="L726" i="1" s="1"/>
  <c r="K725" i="1"/>
  <c r="K717" i="1"/>
  <c r="F709" i="1"/>
  <c r="N701" i="1"/>
  <c r="G693" i="1"/>
  <c r="I693" i="1" s="1"/>
  <c r="L693" i="1" s="1"/>
  <c r="L692" i="1" s="1"/>
  <c r="G685" i="1"/>
  <c r="E681" i="1"/>
  <c r="N681" i="1"/>
  <c r="G673" i="1"/>
  <c r="E639" i="1"/>
  <c r="F637" i="1"/>
  <c r="G635" i="1"/>
  <c r="F633" i="1"/>
  <c r="G627" i="1"/>
  <c r="I627" i="1" s="1"/>
  <c r="L627" i="1" s="1"/>
  <c r="L626" i="1" s="1"/>
  <c r="F625" i="1"/>
  <c r="N621" i="1"/>
  <c r="E611" i="1"/>
  <c r="E603" i="1"/>
  <c r="M597" i="1"/>
  <c r="F581" i="1"/>
  <c r="J539" i="1"/>
  <c r="J533" i="1"/>
  <c r="F529" i="1"/>
  <c r="F527" i="1"/>
  <c r="F511" i="1"/>
  <c r="N509" i="1"/>
  <c r="E491" i="1"/>
  <c r="K489" i="1"/>
  <c r="G479" i="1"/>
  <c r="I479" i="1" s="1"/>
  <c r="L479" i="1" s="1"/>
  <c r="L478" i="1" s="1"/>
  <c r="N475" i="1"/>
  <c r="K459" i="1"/>
  <c r="N455" i="1"/>
  <c r="G453" i="1"/>
  <c r="I453" i="1" s="1"/>
  <c r="L453" i="1" s="1"/>
  <c r="L452" i="1" s="1"/>
  <c r="K403" i="1"/>
  <c r="F403" i="1"/>
  <c r="M401" i="1"/>
  <c r="M397" i="1"/>
  <c r="E397" i="1"/>
  <c r="N355" i="1"/>
  <c r="G321" i="1"/>
  <c r="I321" i="1" s="1"/>
  <c r="L321" i="1" s="1"/>
  <c r="L320" i="1" s="1"/>
  <c r="E321" i="1"/>
  <c r="N279" i="1"/>
  <c r="O279" i="1" s="1"/>
  <c r="O278" i="1" s="1"/>
  <c r="E279" i="1"/>
  <c r="J191" i="1"/>
  <c r="E191" i="1"/>
  <c r="F69" i="1"/>
  <c r="M69" i="1"/>
  <c r="K407" i="1"/>
  <c r="G393" i="1"/>
  <c r="I393" i="1" s="1"/>
  <c r="L393" i="1" s="1"/>
  <c r="L392" i="1" s="1"/>
  <c r="G369" i="1"/>
  <c r="I369" i="1" s="1"/>
  <c r="L369" i="1" s="1"/>
  <c r="L368" i="1" s="1"/>
  <c r="N363" i="1"/>
  <c r="N347" i="1"/>
  <c r="G337" i="1"/>
  <c r="I337" i="1" s="1"/>
  <c r="K325" i="1"/>
  <c r="G315" i="1"/>
  <c r="I315" i="1" s="1"/>
  <c r="L315" i="1" s="1"/>
  <c r="L314" i="1" s="1"/>
  <c r="K311" i="1"/>
  <c r="M305" i="1"/>
  <c r="N303" i="1"/>
  <c r="N299" i="1"/>
  <c r="N291" i="1"/>
  <c r="J289" i="1"/>
  <c r="J263" i="1"/>
  <c r="N259" i="1"/>
  <c r="O259" i="1" s="1"/>
  <c r="O258" i="1" s="1"/>
  <c r="N251" i="1"/>
  <c r="O251" i="1" s="1"/>
  <c r="O250" i="1" s="1"/>
  <c r="N243" i="1"/>
  <c r="O243" i="1" s="1"/>
  <c r="O242" i="1" s="1"/>
  <c r="G219" i="1"/>
  <c r="I219" i="1" s="1"/>
  <c r="L219" i="1" s="1"/>
  <c r="L218" i="1" s="1"/>
  <c r="G211" i="1"/>
  <c r="I211" i="1" s="1"/>
  <c r="L211" i="1" s="1"/>
  <c r="L210" i="1" s="1"/>
  <c r="M185" i="1"/>
  <c r="E185" i="1"/>
  <c r="M173" i="1"/>
  <c r="G173" i="1"/>
  <c r="H173" i="1" s="1"/>
  <c r="E173" i="1"/>
  <c r="G167" i="1"/>
  <c r="I167" i="1" s="1"/>
  <c r="L167" i="1" s="1"/>
  <c r="L166" i="1" s="1"/>
  <c r="E167" i="1"/>
  <c r="G163" i="1"/>
  <c r="H163" i="1" s="1"/>
  <c r="E163" i="1"/>
  <c r="J129" i="1"/>
  <c r="E129" i="1"/>
  <c r="N93" i="1"/>
  <c r="O93" i="1" s="1"/>
  <c r="O92" i="1" s="1"/>
  <c r="E93" i="1"/>
  <c r="M21" i="1"/>
  <c r="F21" i="1"/>
  <c r="M13" i="1"/>
  <c r="E13" i="1"/>
  <c r="J279" i="1"/>
  <c r="J257" i="1"/>
  <c r="G207" i="1"/>
  <c r="I207" i="1" s="1"/>
  <c r="L207" i="1" s="1"/>
  <c r="L206" i="1" s="1"/>
  <c r="G201" i="1"/>
  <c r="H201" i="1" s="1"/>
  <c r="J179" i="1"/>
  <c r="E177" i="1"/>
  <c r="G177" i="1"/>
  <c r="I177" i="1" s="1"/>
  <c r="L177" i="1" s="1"/>
  <c r="L176" i="1" s="1"/>
  <c r="G171" i="1"/>
  <c r="H171" i="1" s="1"/>
  <c r="K419" i="1"/>
  <c r="K399" i="1"/>
  <c r="E335" i="1"/>
  <c r="E333" i="1"/>
  <c r="F323" i="1"/>
  <c r="N315" i="1"/>
  <c r="G313" i="1"/>
  <c r="I313" i="1" s="1"/>
  <c r="L313" i="1" s="1"/>
  <c r="L312" i="1" s="1"/>
  <c r="K309" i="1"/>
  <c r="N307" i="1"/>
  <c r="K303" i="1"/>
  <c r="E301" i="1"/>
  <c r="E299" i="1"/>
  <c r="F293" i="1"/>
  <c r="E287" i="1"/>
  <c r="N275" i="1"/>
  <c r="O275" i="1" s="1"/>
  <c r="O274" i="1" s="1"/>
  <c r="N271" i="1"/>
  <c r="O271" i="1" s="1"/>
  <c r="O270" i="1" s="1"/>
  <c r="N267" i="1"/>
  <c r="O267" i="1" s="1"/>
  <c r="O266" i="1" s="1"/>
  <c r="F227" i="1"/>
  <c r="J223" i="1"/>
  <c r="F221" i="1"/>
  <c r="M221" i="1"/>
  <c r="E217" i="1"/>
  <c r="G217" i="1"/>
  <c r="H217" i="1" s="1"/>
  <c r="G209" i="1"/>
  <c r="G205" i="1"/>
  <c r="H205" i="1" s="1"/>
  <c r="F205" i="1"/>
  <c r="J203" i="1"/>
  <c r="E203" i="1"/>
  <c r="M197" i="1"/>
  <c r="G195" i="1"/>
  <c r="I195" i="1" s="1"/>
  <c r="L195" i="1" s="1"/>
  <c r="L194" i="1" s="1"/>
  <c r="F195" i="1"/>
  <c r="M189" i="1"/>
  <c r="E189" i="1"/>
  <c r="J187" i="1"/>
  <c r="G181" i="1"/>
  <c r="I181" i="1" s="1"/>
  <c r="L181" i="1" s="1"/>
  <c r="L180" i="1" s="1"/>
  <c r="J175" i="1"/>
  <c r="E175" i="1"/>
  <c r="M169" i="1"/>
  <c r="E169" i="1"/>
  <c r="M165" i="1"/>
  <c r="E165" i="1"/>
  <c r="J163" i="1"/>
  <c r="G103" i="1"/>
  <c r="H103" i="1" s="1"/>
  <c r="N103" i="1"/>
  <c r="O103" i="1" s="1"/>
  <c r="O102" i="1" s="1"/>
  <c r="E103" i="1"/>
  <c r="M53" i="1"/>
  <c r="M11" i="1"/>
  <c r="E11" i="1"/>
  <c r="J211" i="1"/>
  <c r="G203" i="1"/>
  <c r="H203" i="1" s="1"/>
  <c r="G191" i="1"/>
  <c r="H191" i="1" s="1"/>
  <c r="G185" i="1"/>
  <c r="G179" i="1"/>
  <c r="H179" i="1" s="1"/>
  <c r="G175" i="1"/>
  <c r="I175" i="1" s="1"/>
  <c r="L175" i="1" s="1"/>
  <c r="L174" i="1" s="1"/>
  <c r="G169" i="1"/>
  <c r="H169" i="1" s="1"/>
  <c r="G165" i="1"/>
  <c r="G155" i="1"/>
  <c r="I155" i="1" s="1"/>
  <c r="L155" i="1" s="1"/>
  <c r="L154" i="1" s="1"/>
  <c r="K151" i="1"/>
  <c r="K147" i="1"/>
  <c r="K143" i="1"/>
  <c r="J137" i="1"/>
  <c r="N137" i="1"/>
  <c r="O137" i="1" s="1"/>
  <c r="O136" i="1" s="1"/>
  <c r="N133" i="1"/>
  <c r="O133" i="1" s="1"/>
  <c r="O132" i="1" s="1"/>
  <c r="N111" i="1"/>
  <c r="O111" i="1" s="1"/>
  <c r="O110" i="1" s="1"/>
  <c r="N109" i="1"/>
  <c r="O109" i="1" s="1"/>
  <c r="O108" i="1" s="1"/>
  <c r="G93" i="1"/>
  <c r="H93" i="1" s="1"/>
  <c r="M81" i="1"/>
  <c r="J75" i="1"/>
  <c r="J61" i="1"/>
  <c r="M57" i="1"/>
  <c r="M43" i="1"/>
  <c r="M7" i="1"/>
  <c r="K149" i="1"/>
  <c r="K103" i="1"/>
  <c r="M101" i="1"/>
  <c r="K87" i="1"/>
  <c r="J207" i="1"/>
  <c r="M205" i="1"/>
  <c r="M201" i="1"/>
  <c r="J195" i="1"/>
  <c r="G189" i="1"/>
  <c r="I189" i="1" s="1"/>
  <c r="L189" i="1" s="1"/>
  <c r="L188" i="1" s="1"/>
  <c r="G159" i="1"/>
  <c r="I159" i="1" s="1"/>
  <c r="L159" i="1" s="1"/>
  <c r="L158" i="1" s="1"/>
  <c r="K145" i="1"/>
  <c r="E133" i="1"/>
  <c r="N129" i="1"/>
  <c r="O129" i="1" s="1"/>
  <c r="O128" i="1" s="1"/>
  <c r="N123" i="1"/>
  <c r="O123" i="1" s="1"/>
  <c r="O122" i="1" s="1"/>
  <c r="F121" i="1"/>
  <c r="J121" i="1"/>
  <c r="F117" i="1"/>
  <c r="J117" i="1"/>
  <c r="N107" i="1"/>
  <c r="O107" i="1" s="1"/>
  <c r="O106" i="1" s="1"/>
  <c r="M105" i="1"/>
  <c r="M103" i="1"/>
  <c r="K95" i="1"/>
  <c r="F91" i="1"/>
  <c r="F83" i="1"/>
  <c r="J69" i="1"/>
  <c r="J53" i="1"/>
  <c r="M51" i="1"/>
  <c r="M35" i="1"/>
  <c r="E19" i="1"/>
  <c r="F9" i="1"/>
  <c r="C1993" i="1"/>
  <c r="K1993" i="1"/>
  <c r="G1941" i="1"/>
  <c r="I1941" i="1" s="1"/>
  <c r="N1941" i="1"/>
  <c r="D1941" i="1"/>
  <c r="G1987" i="1"/>
  <c r="I1987" i="1" s="1"/>
  <c r="M1985" i="1"/>
  <c r="E1985" i="1"/>
  <c r="K1999" i="1"/>
  <c r="F1999" i="1"/>
  <c r="K1983" i="1"/>
  <c r="F1983" i="1"/>
  <c r="K1967" i="1"/>
  <c r="F1967" i="1"/>
  <c r="K1959" i="1"/>
  <c r="M1959" i="1"/>
  <c r="K1927" i="1"/>
  <c r="D1927" i="1"/>
  <c r="M1875" i="1"/>
  <c r="E1875" i="1"/>
  <c r="G1861" i="1"/>
  <c r="I1861" i="1" s="1"/>
  <c r="N1861" i="1"/>
  <c r="D1861" i="1"/>
  <c r="F1815" i="1"/>
  <c r="K1815" i="1"/>
  <c r="N1989" i="1"/>
  <c r="C1981" i="1"/>
  <c r="F1975" i="1"/>
  <c r="N1973" i="1"/>
  <c r="C1965" i="1"/>
  <c r="N1961" i="1"/>
  <c r="K1943" i="1"/>
  <c r="D1943" i="1"/>
  <c r="K1933" i="1"/>
  <c r="C1933" i="1"/>
  <c r="G1933" i="1"/>
  <c r="I1933" i="1" s="1"/>
  <c r="L1933" i="1" s="1"/>
  <c r="L1932" i="1" s="1"/>
  <c r="M1907" i="1"/>
  <c r="E1907" i="1"/>
  <c r="G1893" i="1"/>
  <c r="I1893" i="1" s="1"/>
  <c r="N1893" i="1"/>
  <c r="D1893" i="1"/>
  <c r="G1829" i="1"/>
  <c r="I1829" i="1" s="1"/>
  <c r="D1829" i="1"/>
  <c r="N1829" i="1"/>
  <c r="N1821" i="1"/>
  <c r="D1821" i="1"/>
  <c r="C1977" i="1"/>
  <c r="K1977" i="1"/>
  <c r="M1969" i="1"/>
  <c r="E1969" i="1"/>
  <c r="K1985" i="1"/>
  <c r="G1971" i="1"/>
  <c r="I1971" i="1" s="1"/>
  <c r="K1969" i="1"/>
  <c r="C1917" i="1"/>
  <c r="G1917" i="1"/>
  <c r="I1917" i="1" s="1"/>
  <c r="L1917" i="1" s="1"/>
  <c r="L1916" i="1" s="1"/>
  <c r="N1853" i="1"/>
  <c r="D1853" i="1"/>
  <c r="M1827" i="1"/>
  <c r="E1827" i="1"/>
  <c r="G1813" i="1"/>
  <c r="I1813" i="1" s="1"/>
  <c r="D1813" i="1"/>
  <c r="C1997" i="1"/>
  <c r="F1991" i="1"/>
  <c r="G1997" i="1"/>
  <c r="I1997" i="1" s="1"/>
  <c r="L1997" i="1" s="1"/>
  <c r="L1996" i="1" s="1"/>
  <c r="G1993" i="1"/>
  <c r="I1993" i="1" s="1"/>
  <c r="L1993" i="1" s="1"/>
  <c r="L1992" i="1" s="1"/>
  <c r="K1989" i="1"/>
  <c r="C1989" i="1"/>
  <c r="G1989" i="1"/>
  <c r="I1989" i="1" s="1"/>
  <c r="L1989" i="1" s="1"/>
  <c r="L1988" i="1" s="1"/>
  <c r="D1987" i="1"/>
  <c r="G1981" i="1"/>
  <c r="I1981" i="1" s="1"/>
  <c r="L1981" i="1" s="1"/>
  <c r="L1980" i="1" s="1"/>
  <c r="G1977" i="1"/>
  <c r="I1977" i="1" s="1"/>
  <c r="L1977" i="1" s="1"/>
  <c r="L1976" i="1" s="1"/>
  <c r="K1973" i="1"/>
  <c r="C1973" i="1"/>
  <c r="G1973" i="1"/>
  <c r="I1973" i="1" s="1"/>
  <c r="L1973" i="1" s="1"/>
  <c r="L1972" i="1" s="1"/>
  <c r="D1971" i="1"/>
  <c r="G1965" i="1"/>
  <c r="I1965" i="1" s="1"/>
  <c r="L1965" i="1" s="1"/>
  <c r="L1964" i="1" s="1"/>
  <c r="E1959" i="1"/>
  <c r="N1957" i="1"/>
  <c r="M1955" i="1"/>
  <c r="D1953" i="1"/>
  <c r="N1945" i="1"/>
  <c r="G1925" i="1"/>
  <c r="I1925" i="1" s="1"/>
  <c r="N1925" i="1"/>
  <c r="D1925" i="1"/>
  <c r="N1881" i="1"/>
  <c r="D1881" i="1"/>
  <c r="K1863" i="1"/>
  <c r="D1863" i="1"/>
  <c r="N1813" i="1"/>
  <c r="N1913" i="1"/>
  <c r="D1913" i="1"/>
  <c r="K1895" i="1"/>
  <c r="D1895" i="1"/>
  <c r="K1885" i="1"/>
  <c r="C1885" i="1"/>
  <c r="G1885" i="1"/>
  <c r="I1885" i="1" s="1"/>
  <c r="L1885" i="1" s="1"/>
  <c r="L1884" i="1" s="1"/>
  <c r="N1877" i="1"/>
  <c r="M1859" i="1"/>
  <c r="E1859" i="1"/>
  <c r="F1847" i="1"/>
  <c r="K1847" i="1"/>
  <c r="G1845" i="1"/>
  <c r="I1845" i="1" s="1"/>
  <c r="D1845" i="1"/>
  <c r="G1797" i="1"/>
  <c r="I1797" i="1" s="1"/>
  <c r="D1797" i="1"/>
  <c r="M1767" i="1"/>
  <c r="E1767" i="1"/>
  <c r="C1763" i="1"/>
  <c r="G1763" i="1"/>
  <c r="I1763" i="1" s="1"/>
  <c r="L1763" i="1" s="1"/>
  <c r="L1762" i="1" s="1"/>
  <c r="G1757" i="1"/>
  <c r="D1757" i="1"/>
  <c r="G1717" i="1"/>
  <c r="I1717" i="1" s="1"/>
  <c r="L1717" i="1" s="1"/>
  <c r="L1716" i="1" s="1"/>
  <c r="F1717" i="1"/>
  <c r="N1637" i="1"/>
  <c r="D1637" i="1"/>
  <c r="E1613" i="1"/>
  <c r="N1613" i="1"/>
  <c r="N1605" i="1"/>
  <c r="D1605" i="1"/>
  <c r="N1595" i="1"/>
  <c r="F1595" i="1"/>
  <c r="F1583" i="1"/>
  <c r="N1583" i="1"/>
  <c r="G1571" i="1"/>
  <c r="I1571" i="1" s="1"/>
  <c r="L1571" i="1" s="1"/>
  <c r="L1570" i="1" s="1"/>
  <c r="E1565" i="1"/>
  <c r="G1565" i="1"/>
  <c r="I1565" i="1" s="1"/>
  <c r="L1565" i="1" s="1"/>
  <c r="L1564" i="1" s="1"/>
  <c r="K1561" i="1"/>
  <c r="C1561" i="1"/>
  <c r="G1561" i="1"/>
  <c r="I1561" i="1" s="1"/>
  <c r="N1557" i="1"/>
  <c r="G1557" i="1"/>
  <c r="I1557" i="1" s="1"/>
  <c r="D1557" i="1"/>
  <c r="K1555" i="1"/>
  <c r="C1555" i="1"/>
  <c r="G1555" i="1"/>
  <c r="I1555" i="1" s="1"/>
  <c r="E1547" i="1"/>
  <c r="G1547" i="1"/>
  <c r="I1547" i="1" s="1"/>
  <c r="L1547" i="1" s="1"/>
  <c r="L1546" i="1" s="1"/>
  <c r="N1541" i="1"/>
  <c r="K1541" i="1"/>
  <c r="D1541" i="1"/>
  <c r="C1539" i="1"/>
  <c r="K1539" i="1"/>
  <c r="E1531" i="1"/>
  <c r="K1531" i="1"/>
  <c r="N1529" i="1"/>
  <c r="K1529" i="1"/>
  <c r="D1529" i="1"/>
  <c r="C1527" i="1"/>
  <c r="K1527" i="1"/>
  <c r="G1503" i="1"/>
  <c r="I1503" i="1" s="1"/>
  <c r="D1503" i="1"/>
  <c r="N1503" i="1"/>
  <c r="M1487" i="1"/>
  <c r="N1487" i="1"/>
  <c r="E1487" i="1"/>
  <c r="G1487" i="1"/>
  <c r="I1487" i="1" s="1"/>
  <c r="L1487" i="1" s="1"/>
  <c r="L1486" i="1" s="1"/>
  <c r="G1485" i="1"/>
  <c r="I1485" i="1" s="1"/>
  <c r="D1485" i="1"/>
  <c r="N1485" i="1"/>
  <c r="F1449" i="1"/>
  <c r="G1449" i="1"/>
  <c r="I1449" i="1" s="1"/>
  <c r="M1443" i="1"/>
  <c r="E1443" i="1"/>
  <c r="N1443" i="1"/>
  <c r="C1415" i="1"/>
  <c r="G1415" i="1"/>
  <c r="I1415" i="1" s="1"/>
  <c r="L1415" i="1" s="1"/>
  <c r="L1414" i="1" s="1"/>
  <c r="G1947" i="1"/>
  <c r="I1947" i="1" s="1"/>
  <c r="M1945" i="1"/>
  <c r="N1937" i="1"/>
  <c r="M1929" i="1"/>
  <c r="N1921" i="1"/>
  <c r="M1911" i="1"/>
  <c r="K1905" i="1"/>
  <c r="N1901" i="1"/>
  <c r="G1899" i="1"/>
  <c r="I1899" i="1" s="1"/>
  <c r="L1899" i="1" s="1"/>
  <c r="L1898" i="1" s="1"/>
  <c r="M1897" i="1"/>
  <c r="N1889" i="1"/>
  <c r="M1879" i="1"/>
  <c r="K1873" i="1"/>
  <c r="N1869" i="1"/>
  <c r="G1867" i="1"/>
  <c r="I1867" i="1" s="1"/>
  <c r="L1867" i="1" s="1"/>
  <c r="L1866" i="1" s="1"/>
  <c r="M1865" i="1"/>
  <c r="F1857" i="1"/>
  <c r="C1853" i="1"/>
  <c r="G1853" i="1"/>
  <c r="I1853" i="1" s="1"/>
  <c r="K1837" i="1"/>
  <c r="F1825" i="1"/>
  <c r="K1821" i="1"/>
  <c r="C1821" i="1"/>
  <c r="G1821" i="1"/>
  <c r="I1821" i="1" s="1"/>
  <c r="K1805" i="1"/>
  <c r="F1793" i="1"/>
  <c r="K1789" i="1"/>
  <c r="C1789" i="1"/>
  <c r="G1789" i="1"/>
  <c r="I1789" i="1" s="1"/>
  <c r="N1769" i="1"/>
  <c r="N1761" i="1"/>
  <c r="N1757" i="1"/>
  <c r="M1755" i="1"/>
  <c r="E1755" i="1"/>
  <c r="N1749" i="1"/>
  <c r="F1749" i="1"/>
  <c r="K1741" i="1"/>
  <c r="C1741" i="1"/>
  <c r="M1739" i="1"/>
  <c r="E1739" i="1"/>
  <c r="N1725" i="1"/>
  <c r="G1709" i="1"/>
  <c r="I1709" i="1" s="1"/>
  <c r="F1709" i="1"/>
  <c r="K1701" i="1"/>
  <c r="C1701" i="1"/>
  <c r="N1693" i="1"/>
  <c r="D1693" i="1"/>
  <c r="N1669" i="1"/>
  <c r="E1669" i="1"/>
  <c r="F1575" i="1"/>
  <c r="N1575" i="1"/>
  <c r="G1559" i="1"/>
  <c r="I1559" i="1" s="1"/>
  <c r="D1559" i="1"/>
  <c r="N1559" i="1"/>
  <c r="E1545" i="1"/>
  <c r="G1545" i="1"/>
  <c r="I1545" i="1" s="1"/>
  <c r="L1545" i="1" s="1"/>
  <c r="L1544" i="1" s="1"/>
  <c r="N1543" i="1"/>
  <c r="K1543" i="1"/>
  <c r="D1543" i="1"/>
  <c r="C1523" i="1"/>
  <c r="K1523" i="1"/>
  <c r="C1521" i="1"/>
  <c r="G1521" i="1"/>
  <c r="I1521" i="1" s="1"/>
  <c r="L1521" i="1" s="1"/>
  <c r="L1520" i="1" s="1"/>
  <c r="M1495" i="1"/>
  <c r="N1495" i="1"/>
  <c r="E1495" i="1"/>
  <c r="G1495" i="1"/>
  <c r="I1495" i="1" s="1"/>
  <c r="L1495" i="1" s="1"/>
  <c r="L1494" i="1" s="1"/>
  <c r="M1491" i="1"/>
  <c r="N1491" i="1"/>
  <c r="E1491" i="1"/>
  <c r="G1491" i="1"/>
  <c r="I1491" i="1" s="1"/>
  <c r="L1491" i="1" s="1"/>
  <c r="L1490" i="1" s="1"/>
  <c r="G1489" i="1"/>
  <c r="I1489" i="1" s="1"/>
  <c r="D1489" i="1"/>
  <c r="N1489" i="1"/>
  <c r="M1475" i="1"/>
  <c r="N1475" i="1"/>
  <c r="E1475" i="1"/>
  <c r="G1475" i="1"/>
  <c r="I1475" i="1" s="1"/>
  <c r="L1475" i="1" s="1"/>
  <c r="L1474" i="1" s="1"/>
  <c r="G1473" i="1"/>
  <c r="I1473" i="1" s="1"/>
  <c r="D1473" i="1"/>
  <c r="N1473" i="1"/>
  <c r="F1463" i="1"/>
  <c r="G1463" i="1"/>
  <c r="I1463" i="1" s="1"/>
  <c r="D1441" i="1"/>
  <c r="N1441" i="1"/>
  <c r="G1441" i="1"/>
  <c r="I1441" i="1" s="1"/>
  <c r="G1909" i="1"/>
  <c r="I1909" i="1" s="1"/>
  <c r="G1877" i="1"/>
  <c r="I1877" i="1" s="1"/>
  <c r="E1795" i="1"/>
  <c r="D1789" i="1"/>
  <c r="D1781" i="1"/>
  <c r="E1771" i="1"/>
  <c r="K1765" i="1"/>
  <c r="C1765" i="1"/>
  <c r="M1763" i="1"/>
  <c r="E1763" i="1"/>
  <c r="M1577" i="1"/>
  <c r="N1577" i="1"/>
  <c r="E1577" i="1"/>
  <c r="G1577" i="1"/>
  <c r="I1577" i="1" s="1"/>
  <c r="L1577" i="1" s="1"/>
  <c r="L1576" i="1" s="1"/>
  <c r="K1573" i="1"/>
  <c r="C1573" i="1"/>
  <c r="G1573" i="1"/>
  <c r="I1573" i="1" s="1"/>
  <c r="G1519" i="1"/>
  <c r="I1519" i="1" s="1"/>
  <c r="D1519" i="1"/>
  <c r="N1519" i="1"/>
  <c r="C1513" i="1"/>
  <c r="G1513" i="1"/>
  <c r="I1513" i="1" s="1"/>
  <c r="L1513" i="1" s="1"/>
  <c r="L1512" i="1" s="1"/>
  <c r="G1499" i="1"/>
  <c r="I1499" i="1" s="1"/>
  <c r="D1499" i="1"/>
  <c r="N1499" i="1"/>
  <c r="G1497" i="1"/>
  <c r="I1497" i="1" s="1"/>
  <c r="D1497" i="1"/>
  <c r="M1479" i="1"/>
  <c r="N1479" i="1"/>
  <c r="E1479" i="1"/>
  <c r="G1479" i="1"/>
  <c r="I1479" i="1" s="1"/>
  <c r="L1479" i="1" s="1"/>
  <c r="L1478" i="1" s="1"/>
  <c r="G1477" i="1"/>
  <c r="I1477" i="1" s="1"/>
  <c r="D1477" i="1"/>
  <c r="N1477" i="1"/>
  <c r="D1469" i="1"/>
  <c r="N1469" i="1"/>
  <c r="G1469" i="1"/>
  <c r="I1469" i="1" s="1"/>
  <c r="N1465" i="1"/>
  <c r="D1465" i="1"/>
  <c r="G1465" i="1"/>
  <c r="I1465" i="1" s="1"/>
  <c r="K1953" i="1"/>
  <c r="N1949" i="1"/>
  <c r="K1869" i="1"/>
  <c r="K1783" i="1"/>
  <c r="C1731" i="1"/>
  <c r="G1731" i="1"/>
  <c r="I1731" i="1" s="1"/>
  <c r="L1731" i="1" s="1"/>
  <c r="L1730" i="1" s="1"/>
  <c r="G1725" i="1"/>
  <c r="I1725" i="1" s="1"/>
  <c r="L1725" i="1" s="1"/>
  <c r="L1724" i="1" s="1"/>
  <c r="F1725" i="1"/>
  <c r="N1997" i="1"/>
  <c r="G1995" i="1"/>
  <c r="I1995" i="1" s="1"/>
  <c r="L1995" i="1" s="1"/>
  <c r="L1994" i="1" s="1"/>
  <c r="G1985" i="1"/>
  <c r="I1985" i="1" s="1"/>
  <c r="L1985" i="1" s="1"/>
  <c r="L1984" i="1" s="1"/>
  <c r="N1981" i="1"/>
  <c r="G1979" i="1"/>
  <c r="I1979" i="1" s="1"/>
  <c r="L1979" i="1" s="1"/>
  <c r="L1978" i="1" s="1"/>
  <c r="G1969" i="1"/>
  <c r="I1969" i="1" s="1"/>
  <c r="L1969" i="1" s="1"/>
  <c r="L1968" i="1" s="1"/>
  <c r="N1965" i="1"/>
  <c r="G1963" i="1"/>
  <c r="I1963" i="1" s="1"/>
  <c r="L1963" i="1" s="1"/>
  <c r="L1962" i="1" s="1"/>
  <c r="M1961" i="1"/>
  <c r="G1957" i="1"/>
  <c r="I1957" i="1" s="1"/>
  <c r="L1957" i="1" s="1"/>
  <c r="L1956" i="1" s="1"/>
  <c r="F1953" i="1"/>
  <c r="D1949" i="1"/>
  <c r="M1943" i="1"/>
  <c r="E1939" i="1"/>
  <c r="K1937" i="1"/>
  <c r="N1933" i="1"/>
  <c r="G1931" i="1"/>
  <c r="I1931" i="1" s="1"/>
  <c r="L1931" i="1" s="1"/>
  <c r="L1930" i="1" s="1"/>
  <c r="M1927" i="1"/>
  <c r="E1923" i="1"/>
  <c r="K1921" i="1"/>
  <c r="N1917" i="1"/>
  <c r="G1915" i="1"/>
  <c r="I1915" i="1" s="1"/>
  <c r="L1915" i="1" s="1"/>
  <c r="L1914" i="1" s="1"/>
  <c r="M1913" i="1"/>
  <c r="D1909" i="1"/>
  <c r="N1905" i="1"/>
  <c r="G1901" i="1"/>
  <c r="I1901" i="1" s="1"/>
  <c r="L1901" i="1" s="1"/>
  <c r="L1900" i="1" s="1"/>
  <c r="M1895" i="1"/>
  <c r="E1891" i="1"/>
  <c r="K1889" i="1"/>
  <c r="N1885" i="1"/>
  <c r="G1883" i="1"/>
  <c r="I1883" i="1" s="1"/>
  <c r="L1883" i="1" s="1"/>
  <c r="L1882" i="1" s="1"/>
  <c r="M1881" i="1"/>
  <c r="D1877" i="1"/>
  <c r="N1873" i="1"/>
  <c r="G1869" i="1"/>
  <c r="I1869" i="1" s="1"/>
  <c r="L1869" i="1" s="1"/>
  <c r="L1868" i="1" s="1"/>
  <c r="C1869" i="1"/>
  <c r="M1863" i="1"/>
  <c r="G1851" i="1"/>
  <c r="I1851" i="1" s="1"/>
  <c r="L1851" i="1" s="1"/>
  <c r="L1850" i="1" s="1"/>
  <c r="M1843" i="1"/>
  <c r="E1843" i="1"/>
  <c r="N1841" i="1"/>
  <c r="C1837" i="1"/>
  <c r="N1833" i="1"/>
  <c r="G1819" i="1"/>
  <c r="I1819" i="1" s="1"/>
  <c r="L1819" i="1" s="1"/>
  <c r="L1818" i="1" s="1"/>
  <c r="M1811" i="1"/>
  <c r="E1811" i="1"/>
  <c r="N1809" i="1"/>
  <c r="C1805" i="1"/>
  <c r="N1801" i="1"/>
  <c r="N1797" i="1"/>
  <c r="G1787" i="1"/>
  <c r="I1787" i="1" s="1"/>
  <c r="L1787" i="1" s="1"/>
  <c r="L1786" i="1" s="1"/>
  <c r="M1779" i="1"/>
  <c r="E1779" i="1"/>
  <c r="N1777" i="1"/>
  <c r="F1769" i="1"/>
  <c r="K1759" i="1"/>
  <c r="G1747" i="1"/>
  <c r="I1747" i="1" s="1"/>
  <c r="L1747" i="1" s="1"/>
  <c r="L1746" i="1" s="1"/>
  <c r="E1741" i="1"/>
  <c r="N1741" i="1"/>
  <c r="C1739" i="1"/>
  <c r="G1739" i="1"/>
  <c r="I1739" i="1" s="1"/>
  <c r="L1739" i="1" s="1"/>
  <c r="L1738" i="1" s="1"/>
  <c r="G1723" i="1"/>
  <c r="I1723" i="1" s="1"/>
  <c r="L1723" i="1" s="1"/>
  <c r="L1722" i="1" s="1"/>
  <c r="N1717" i="1"/>
  <c r="E1685" i="1"/>
  <c r="N1685" i="1"/>
  <c r="N1645" i="1"/>
  <c r="G1639" i="1"/>
  <c r="E1639" i="1"/>
  <c r="E1621" i="1"/>
  <c r="N1621" i="1"/>
  <c r="C1585" i="1"/>
  <c r="G1585" i="1"/>
  <c r="I1585" i="1" s="1"/>
  <c r="M1581" i="1"/>
  <c r="N1581" i="1"/>
  <c r="E1581" i="1"/>
  <c r="G1581" i="1"/>
  <c r="I1581" i="1" s="1"/>
  <c r="L1581" i="1" s="1"/>
  <c r="L1580" i="1" s="1"/>
  <c r="G1579" i="1"/>
  <c r="I1579" i="1" s="1"/>
  <c r="D1579" i="1"/>
  <c r="N1579" i="1"/>
  <c r="E1567" i="1"/>
  <c r="G1567" i="1"/>
  <c r="I1567" i="1" s="1"/>
  <c r="L1567" i="1" s="1"/>
  <c r="L1566" i="1" s="1"/>
  <c r="F1563" i="1"/>
  <c r="N1563" i="1"/>
  <c r="K1553" i="1"/>
  <c r="C1553" i="1"/>
  <c r="G1553" i="1"/>
  <c r="I1553" i="1" s="1"/>
  <c r="L1553" i="1" s="1"/>
  <c r="L1552" i="1" s="1"/>
  <c r="C1537" i="1"/>
  <c r="K1537" i="1"/>
  <c r="G1511" i="1"/>
  <c r="I1511" i="1" s="1"/>
  <c r="D1511" i="1"/>
  <c r="N1511" i="1"/>
  <c r="C1505" i="1"/>
  <c r="G1505" i="1"/>
  <c r="I1505" i="1" s="1"/>
  <c r="L1505" i="1" s="1"/>
  <c r="L1504" i="1" s="1"/>
  <c r="M1483" i="1"/>
  <c r="N1483" i="1"/>
  <c r="E1483" i="1"/>
  <c r="G1483" i="1"/>
  <c r="I1483" i="1" s="1"/>
  <c r="L1483" i="1" s="1"/>
  <c r="L1482" i="1" s="1"/>
  <c r="G1481" i="1"/>
  <c r="I1481" i="1" s="1"/>
  <c r="D1481" i="1"/>
  <c r="N1481" i="1"/>
  <c r="N1467" i="1"/>
  <c r="D1467" i="1"/>
  <c r="D1457" i="1"/>
  <c r="N1457" i="1"/>
  <c r="G1457" i="1"/>
  <c r="I1457" i="1" s="1"/>
  <c r="C1455" i="1"/>
  <c r="G1455" i="1"/>
  <c r="I1455" i="1" s="1"/>
  <c r="L1455" i="1" s="1"/>
  <c r="L1454" i="1" s="1"/>
  <c r="M1447" i="1"/>
  <c r="E1447" i="1"/>
  <c r="N1447" i="1"/>
  <c r="D1437" i="1"/>
  <c r="N1437" i="1"/>
  <c r="G1437" i="1"/>
  <c r="I1437" i="1" s="1"/>
  <c r="C1435" i="1"/>
  <c r="G1435" i="1"/>
  <c r="I1435" i="1" s="1"/>
  <c r="L1435" i="1" s="1"/>
  <c r="L1434" i="1" s="1"/>
  <c r="N1765" i="1"/>
  <c r="M1759" i="1"/>
  <c r="N1753" i="1"/>
  <c r="K1747" i="1"/>
  <c r="K1725" i="1"/>
  <c r="K1715" i="1"/>
  <c r="K1709" i="1"/>
  <c r="G1699" i="1"/>
  <c r="I1699" i="1" s="1"/>
  <c r="L1699" i="1" s="1"/>
  <c r="L1698" i="1" s="1"/>
  <c r="K1691" i="1"/>
  <c r="N1681" i="1"/>
  <c r="N1673" i="1"/>
  <c r="N1649" i="1"/>
  <c r="M1631" i="1"/>
  <c r="E1597" i="1"/>
  <c r="N1587" i="1"/>
  <c r="E1585" i="1"/>
  <c r="M1579" i="1"/>
  <c r="K1575" i="1"/>
  <c r="K1571" i="1"/>
  <c r="K1569" i="1"/>
  <c r="K1563" i="1"/>
  <c r="K1551" i="1"/>
  <c r="K1549" i="1"/>
  <c r="M1519" i="1"/>
  <c r="M1511" i="1"/>
  <c r="M1503" i="1"/>
  <c r="M1499" i="1"/>
  <c r="M1497" i="1"/>
  <c r="M1493" i="1"/>
  <c r="M1489" i="1"/>
  <c r="M1485" i="1"/>
  <c r="M1481" i="1"/>
  <c r="M1477" i="1"/>
  <c r="M1473" i="1"/>
  <c r="M1471" i="1"/>
  <c r="E1471" i="1"/>
  <c r="C1459" i="1"/>
  <c r="G1459" i="1"/>
  <c r="I1459" i="1" s="1"/>
  <c r="L1459" i="1" s="1"/>
  <c r="L1458" i="1" s="1"/>
  <c r="M1451" i="1"/>
  <c r="E1451" i="1"/>
  <c r="M1439" i="1"/>
  <c r="E1439" i="1"/>
  <c r="N1433" i="1"/>
  <c r="D1433" i="1"/>
  <c r="N1419" i="1"/>
  <c r="D1419" i="1"/>
  <c r="C1417" i="1"/>
  <c r="G1417" i="1"/>
  <c r="I1417" i="1" s="1"/>
  <c r="L1417" i="1" s="1"/>
  <c r="L1416" i="1" s="1"/>
  <c r="N1413" i="1"/>
  <c r="D1413" i="1"/>
  <c r="N1407" i="1"/>
  <c r="D1407" i="1"/>
  <c r="N1405" i="1"/>
  <c r="D1405" i="1"/>
  <c r="N1395" i="1"/>
  <c r="D1395" i="1"/>
  <c r="N1393" i="1"/>
  <c r="D1393" i="1"/>
  <c r="N1345" i="1"/>
  <c r="D1345" i="1"/>
  <c r="D1335" i="1"/>
  <c r="M1335" i="1"/>
  <c r="G1331" i="1"/>
  <c r="I1331" i="1" s="1"/>
  <c r="D1331" i="1"/>
  <c r="D1319" i="1"/>
  <c r="M1319" i="1"/>
  <c r="G1315" i="1"/>
  <c r="I1315" i="1" s="1"/>
  <c r="D1315" i="1"/>
  <c r="N1309" i="1"/>
  <c r="D1309" i="1"/>
  <c r="C1297" i="1"/>
  <c r="K1297" i="1"/>
  <c r="N1231" i="1"/>
  <c r="D1231" i="1"/>
  <c r="G1231" i="1"/>
  <c r="I1231" i="1" s="1"/>
  <c r="G1209" i="1"/>
  <c r="I1209" i="1" s="1"/>
  <c r="L1209" i="1" s="1"/>
  <c r="L1208" i="1" s="1"/>
  <c r="F1209" i="1"/>
  <c r="M1205" i="1"/>
  <c r="E1205" i="1"/>
  <c r="M1387" i="1"/>
  <c r="E1387" i="1"/>
  <c r="D1367" i="1"/>
  <c r="M1367" i="1"/>
  <c r="G1363" i="1"/>
  <c r="I1363" i="1" s="1"/>
  <c r="D1363" i="1"/>
  <c r="D1351" i="1"/>
  <c r="M1351" i="1"/>
  <c r="G1347" i="1"/>
  <c r="I1347" i="1" s="1"/>
  <c r="D1347" i="1"/>
  <c r="K1321" i="1"/>
  <c r="E1321" i="1"/>
  <c r="G1291" i="1"/>
  <c r="I1291" i="1" s="1"/>
  <c r="L1291" i="1" s="1"/>
  <c r="L1290" i="1" s="1"/>
  <c r="F1291" i="1"/>
  <c r="M1287" i="1"/>
  <c r="E1287" i="1"/>
  <c r="E1259" i="1"/>
  <c r="N1259" i="1"/>
  <c r="K1213" i="1"/>
  <c r="C1213" i="1"/>
  <c r="G1213" i="1"/>
  <c r="I1213" i="1" s="1"/>
  <c r="L1213" i="1" s="1"/>
  <c r="L1212" i="1" s="1"/>
  <c r="N1857" i="1"/>
  <c r="M1847" i="1"/>
  <c r="K1841" i="1"/>
  <c r="N1837" i="1"/>
  <c r="G1835" i="1"/>
  <c r="I1835" i="1" s="1"/>
  <c r="L1835" i="1" s="1"/>
  <c r="L1834" i="1" s="1"/>
  <c r="M1833" i="1"/>
  <c r="N1825" i="1"/>
  <c r="M1815" i="1"/>
  <c r="K1809" i="1"/>
  <c r="N1805" i="1"/>
  <c r="G1803" i="1"/>
  <c r="I1803" i="1" s="1"/>
  <c r="L1803" i="1" s="1"/>
  <c r="L1802" i="1" s="1"/>
  <c r="M1801" i="1"/>
  <c r="N1793" i="1"/>
  <c r="M1783" i="1"/>
  <c r="K1777" i="1"/>
  <c r="G1773" i="1"/>
  <c r="M1751" i="1"/>
  <c r="M1747" i="1"/>
  <c r="G1741" i="1"/>
  <c r="I1741" i="1" s="1"/>
  <c r="L1741" i="1" s="1"/>
  <c r="L1740" i="1" s="1"/>
  <c r="G1733" i="1"/>
  <c r="I1733" i="1" s="1"/>
  <c r="L1733" i="1" s="1"/>
  <c r="L1732" i="1" s="1"/>
  <c r="K1717" i="1"/>
  <c r="G1701" i="1"/>
  <c r="I1701" i="1" s="1"/>
  <c r="L1701" i="1" s="1"/>
  <c r="L1700" i="1" s="1"/>
  <c r="K1693" i="1"/>
  <c r="N1665" i="1"/>
  <c r="N1635" i="1"/>
  <c r="G1623" i="1"/>
  <c r="I1623" i="1" s="1"/>
  <c r="L1623" i="1" s="1"/>
  <c r="L1622" i="1" s="1"/>
  <c r="N1603" i="1"/>
  <c r="M1587" i="1"/>
  <c r="M1583" i="1"/>
  <c r="M1575" i="1"/>
  <c r="N1567" i="1"/>
  <c r="N1565" i="1"/>
  <c r="M1563" i="1"/>
  <c r="K1559" i="1"/>
  <c r="K1557" i="1"/>
  <c r="N1547" i="1"/>
  <c r="N1545" i="1"/>
  <c r="N1531" i="1"/>
  <c r="D1453" i="1"/>
  <c r="N1453" i="1"/>
  <c r="N1451" i="1"/>
  <c r="C1451" i="1"/>
  <c r="G1451" i="1"/>
  <c r="I1451" i="1" s="1"/>
  <c r="L1451" i="1" s="1"/>
  <c r="L1450" i="1" s="1"/>
  <c r="D1445" i="1"/>
  <c r="N1445" i="1"/>
  <c r="N1439" i="1"/>
  <c r="C1439" i="1"/>
  <c r="G1439" i="1"/>
  <c r="I1439" i="1" s="1"/>
  <c r="L1439" i="1" s="1"/>
  <c r="L1438" i="1" s="1"/>
  <c r="N1431" i="1"/>
  <c r="D1431" i="1"/>
  <c r="C1429" i="1"/>
  <c r="G1429" i="1"/>
  <c r="I1429" i="1" s="1"/>
  <c r="L1429" i="1" s="1"/>
  <c r="L1428" i="1" s="1"/>
  <c r="C1425" i="1"/>
  <c r="G1425" i="1"/>
  <c r="I1425" i="1" s="1"/>
  <c r="L1425" i="1" s="1"/>
  <c r="L1424" i="1" s="1"/>
  <c r="N1421" i="1"/>
  <c r="D1421" i="1"/>
  <c r="N1411" i="1"/>
  <c r="D1411" i="1"/>
  <c r="N1409" i="1"/>
  <c r="D1409" i="1"/>
  <c r="N1403" i="1"/>
  <c r="D1403" i="1"/>
  <c r="C1401" i="1"/>
  <c r="G1401" i="1"/>
  <c r="I1401" i="1" s="1"/>
  <c r="L1401" i="1" s="1"/>
  <c r="L1400" i="1" s="1"/>
  <c r="N1397" i="1"/>
  <c r="D1397" i="1"/>
  <c r="N1391" i="1"/>
  <c r="D1391" i="1"/>
  <c r="N1389" i="1"/>
  <c r="D1389" i="1"/>
  <c r="J1375" i="1"/>
  <c r="D1375" i="1"/>
  <c r="K1369" i="1"/>
  <c r="E1369" i="1"/>
  <c r="G1367" i="1"/>
  <c r="I1367" i="1" s="1"/>
  <c r="M1363" i="1"/>
  <c r="K1353" i="1"/>
  <c r="E1353" i="1"/>
  <c r="G1351" i="1"/>
  <c r="I1351" i="1" s="1"/>
  <c r="K1337" i="1"/>
  <c r="E1337" i="1"/>
  <c r="K1333" i="1"/>
  <c r="F1333" i="1"/>
  <c r="C1329" i="1"/>
  <c r="K1329" i="1"/>
  <c r="K1317" i="1"/>
  <c r="F1317" i="1"/>
  <c r="C1313" i="1"/>
  <c r="K1313" i="1"/>
  <c r="G1299" i="1"/>
  <c r="I1299" i="1" s="1"/>
  <c r="D1299" i="1"/>
  <c r="N1293" i="1"/>
  <c r="D1293" i="1"/>
  <c r="N1281" i="1"/>
  <c r="K1281" i="1"/>
  <c r="D1281" i="1"/>
  <c r="G1271" i="1"/>
  <c r="I1271" i="1" s="1"/>
  <c r="L1271" i="1" s="1"/>
  <c r="L1270" i="1" s="1"/>
  <c r="K1265" i="1"/>
  <c r="C1221" i="1"/>
  <c r="K1221" i="1"/>
  <c r="G1189" i="1"/>
  <c r="I1189" i="1" s="1"/>
  <c r="D1189" i="1"/>
  <c r="G1693" i="1"/>
  <c r="I1693" i="1" s="1"/>
  <c r="N1653" i="1"/>
  <c r="N1643" i="1"/>
  <c r="N1627" i="1"/>
  <c r="N1619" i="1"/>
  <c r="N1611" i="1"/>
  <c r="K1577" i="1"/>
  <c r="N1571" i="1"/>
  <c r="N1569" i="1"/>
  <c r="K1567" i="1"/>
  <c r="K1565" i="1"/>
  <c r="M1561" i="1"/>
  <c r="N1551" i="1"/>
  <c r="N1549" i="1"/>
  <c r="K1547" i="1"/>
  <c r="K1545" i="1"/>
  <c r="N1535" i="1"/>
  <c r="N1533" i="1"/>
  <c r="N1525" i="1"/>
  <c r="M1523" i="1"/>
  <c r="M1521" i="1"/>
  <c r="M1517" i="1"/>
  <c r="M1515" i="1"/>
  <c r="M1513" i="1"/>
  <c r="M1509" i="1"/>
  <c r="M1507" i="1"/>
  <c r="M1505" i="1"/>
  <c r="M1501" i="1"/>
  <c r="N1463" i="1"/>
  <c r="D1463" i="1"/>
  <c r="C1461" i="1"/>
  <c r="G1461" i="1"/>
  <c r="I1461" i="1" s="1"/>
  <c r="L1461" i="1" s="1"/>
  <c r="L1460" i="1" s="1"/>
  <c r="M1455" i="1"/>
  <c r="E1455" i="1"/>
  <c r="G1453" i="1"/>
  <c r="I1453" i="1" s="1"/>
  <c r="D1449" i="1"/>
  <c r="N1449" i="1"/>
  <c r="C1447" i="1"/>
  <c r="G1447" i="1"/>
  <c r="I1447" i="1" s="1"/>
  <c r="L1447" i="1" s="1"/>
  <c r="L1446" i="1" s="1"/>
  <c r="G1445" i="1"/>
  <c r="I1445" i="1" s="1"/>
  <c r="C1443" i="1"/>
  <c r="G1443" i="1"/>
  <c r="I1443" i="1" s="1"/>
  <c r="L1443" i="1" s="1"/>
  <c r="L1442" i="1" s="1"/>
  <c r="G1431" i="1"/>
  <c r="I1431" i="1" s="1"/>
  <c r="C1427" i="1"/>
  <c r="G1427" i="1"/>
  <c r="I1427" i="1" s="1"/>
  <c r="L1427" i="1" s="1"/>
  <c r="L1426" i="1" s="1"/>
  <c r="C1423" i="1"/>
  <c r="G1423" i="1"/>
  <c r="I1423" i="1" s="1"/>
  <c r="L1423" i="1" s="1"/>
  <c r="L1422" i="1" s="1"/>
  <c r="G1421" i="1"/>
  <c r="I1421" i="1" s="1"/>
  <c r="G1411" i="1"/>
  <c r="I1411" i="1" s="1"/>
  <c r="G1409" i="1"/>
  <c r="I1409" i="1" s="1"/>
  <c r="G1403" i="1"/>
  <c r="I1403" i="1" s="1"/>
  <c r="C1399" i="1"/>
  <c r="G1399" i="1"/>
  <c r="I1399" i="1" s="1"/>
  <c r="L1399" i="1" s="1"/>
  <c r="L1398" i="1" s="1"/>
  <c r="G1397" i="1"/>
  <c r="I1397" i="1" s="1"/>
  <c r="G1391" i="1"/>
  <c r="I1391" i="1" s="1"/>
  <c r="G1389" i="1"/>
  <c r="I1389" i="1" s="1"/>
  <c r="M1375" i="1"/>
  <c r="M1371" i="1"/>
  <c r="E1371" i="1"/>
  <c r="C1361" i="1"/>
  <c r="K1361" i="1"/>
  <c r="M1355" i="1"/>
  <c r="E1355" i="1"/>
  <c r="K1349" i="1"/>
  <c r="F1349" i="1"/>
  <c r="M1339" i="1"/>
  <c r="E1339" i="1"/>
  <c r="G1307" i="1"/>
  <c r="I1307" i="1" s="1"/>
  <c r="L1307" i="1" s="1"/>
  <c r="L1306" i="1" s="1"/>
  <c r="F1307" i="1"/>
  <c r="M1303" i="1"/>
  <c r="C1303" i="1"/>
  <c r="G1303" i="1"/>
  <c r="I1303" i="1" s="1"/>
  <c r="L1303" i="1" s="1"/>
  <c r="L1302" i="1" s="1"/>
  <c r="M1299" i="1"/>
  <c r="G1295" i="1"/>
  <c r="I1295" i="1" s="1"/>
  <c r="L1295" i="1" s="1"/>
  <c r="L1294" i="1" s="1"/>
  <c r="E1295" i="1"/>
  <c r="M1283" i="1"/>
  <c r="K1269" i="1"/>
  <c r="F1269" i="1"/>
  <c r="E1261" i="1"/>
  <c r="N1261" i="1"/>
  <c r="K1177" i="1"/>
  <c r="C1177" i="1"/>
  <c r="N1461" i="1"/>
  <c r="M1445" i="1"/>
  <c r="M1441" i="1"/>
  <c r="N1427" i="1"/>
  <c r="N1425" i="1"/>
  <c r="N1415" i="1"/>
  <c r="N1401" i="1"/>
  <c r="K1365" i="1"/>
  <c r="G1355" i="1"/>
  <c r="I1355" i="1" s="1"/>
  <c r="L1355" i="1" s="1"/>
  <c r="L1354" i="1" s="1"/>
  <c r="G1339" i="1"/>
  <c r="I1339" i="1" s="1"/>
  <c r="L1339" i="1" s="1"/>
  <c r="L1338" i="1" s="1"/>
  <c r="N1329" i="1"/>
  <c r="K1301" i="1"/>
  <c r="G1287" i="1"/>
  <c r="I1287" i="1" s="1"/>
  <c r="L1287" i="1" s="1"/>
  <c r="L1286" i="1" s="1"/>
  <c r="K1285" i="1"/>
  <c r="N1277" i="1"/>
  <c r="M1271" i="1"/>
  <c r="G1267" i="1"/>
  <c r="I1267" i="1" s="1"/>
  <c r="L1267" i="1" s="1"/>
  <c r="L1266" i="1" s="1"/>
  <c r="G1263" i="1"/>
  <c r="I1263" i="1" s="1"/>
  <c r="L1263" i="1" s="1"/>
  <c r="L1262" i="1" s="1"/>
  <c r="C1241" i="1"/>
  <c r="K1241" i="1"/>
  <c r="E1227" i="1"/>
  <c r="N1227" i="1"/>
  <c r="D1219" i="1"/>
  <c r="N1219" i="1"/>
  <c r="M1215" i="1"/>
  <c r="E1215" i="1"/>
  <c r="N1215" i="1"/>
  <c r="G1199" i="1"/>
  <c r="I1199" i="1" s="1"/>
  <c r="D1199" i="1"/>
  <c r="C1183" i="1"/>
  <c r="K1183" i="1"/>
  <c r="K1181" i="1"/>
  <c r="C1181" i="1"/>
  <c r="G1181" i="1"/>
  <c r="I1181" i="1" s="1"/>
  <c r="L1181" i="1" s="1"/>
  <c r="L1180" i="1" s="1"/>
  <c r="G1165" i="1"/>
  <c r="I1165" i="1" s="1"/>
  <c r="L1165" i="1" s="1"/>
  <c r="L1164" i="1" s="1"/>
  <c r="M1155" i="1"/>
  <c r="E1155" i="1"/>
  <c r="G1159" i="1"/>
  <c r="I1159" i="1" s="1"/>
  <c r="L1159" i="1" s="1"/>
  <c r="L1158" i="1" s="1"/>
  <c r="F1159" i="1"/>
  <c r="K1153" i="1"/>
  <c r="C1153" i="1"/>
  <c r="G1153" i="1"/>
  <c r="I1153" i="1" s="1"/>
  <c r="L1153" i="1" s="1"/>
  <c r="L1152" i="1" s="1"/>
  <c r="M1149" i="1"/>
  <c r="E1149" i="1"/>
  <c r="N1109" i="1"/>
  <c r="D1109" i="1"/>
  <c r="G1037" i="1"/>
  <c r="E1037" i="1"/>
  <c r="J1033" i="1"/>
  <c r="C1033" i="1"/>
  <c r="G1029" i="1"/>
  <c r="E1029" i="1"/>
  <c r="J983" i="1"/>
  <c r="D983" i="1"/>
  <c r="N1459" i="1"/>
  <c r="M1457" i="1"/>
  <c r="M1453" i="1"/>
  <c r="M1449" i="1"/>
  <c r="M1437" i="1"/>
  <c r="N1429" i="1"/>
  <c r="N1423" i="1"/>
  <c r="N1417" i="1"/>
  <c r="N1399" i="1"/>
  <c r="G1371" i="1"/>
  <c r="I1371" i="1" s="1"/>
  <c r="L1371" i="1" s="1"/>
  <c r="L1370" i="1" s="1"/>
  <c r="N1361" i="1"/>
  <c r="G1323" i="1"/>
  <c r="I1323" i="1" s="1"/>
  <c r="L1323" i="1" s="1"/>
  <c r="L1322" i="1" s="1"/>
  <c r="N1313" i="1"/>
  <c r="K1305" i="1"/>
  <c r="N1297" i="1"/>
  <c r="K1289" i="1"/>
  <c r="G1279" i="1"/>
  <c r="I1279" i="1" s="1"/>
  <c r="L1279" i="1" s="1"/>
  <c r="L1278" i="1" s="1"/>
  <c r="G1275" i="1"/>
  <c r="I1275" i="1" s="1"/>
  <c r="L1275" i="1" s="1"/>
  <c r="L1274" i="1" s="1"/>
  <c r="M1267" i="1"/>
  <c r="G1261" i="1"/>
  <c r="I1261" i="1" s="1"/>
  <c r="L1261" i="1" s="1"/>
  <c r="L1260" i="1" s="1"/>
  <c r="M1247" i="1"/>
  <c r="E1247" i="1"/>
  <c r="G1237" i="1"/>
  <c r="I1237" i="1" s="1"/>
  <c r="L1237" i="1" s="1"/>
  <c r="L1236" i="1" s="1"/>
  <c r="F1237" i="1"/>
  <c r="K1233" i="1"/>
  <c r="C1233" i="1"/>
  <c r="G1233" i="1"/>
  <c r="I1233" i="1" s="1"/>
  <c r="L1233" i="1" s="1"/>
  <c r="L1232" i="1" s="1"/>
  <c r="K1225" i="1"/>
  <c r="C1225" i="1"/>
  <c r="K1211" i="1"/>
  <c r="D1211" i="1"/>
  <c r="K1207" i="1"/>
  <c r="C1207" i="1"/>
  <c r="G1207" i="1"/>
  <c r="I1207" i="1" s="1"/>
  <c r="L1207" i="1" s="1"/>
  <c r="L1206" i="1" s="1"/>
  <c r="G1203" i="1"/>
  <c r="I1203" i="1" s="1"/>
  <c r="L1203" i="1" s="1"/>
  <c r="L1202" i="1" s="1"/>
  <c r="F1203" i="1"/>
  <c r="G1201" i="1"/>
  <c r="I1201" i="1" s="1"/>
  <c r="D1201" i="1"/>
  <c r="K1193" i="1"/>
  <c r="C1193" i="1"/>
  <c r="N1187" i="1"/>
  <c r="M1183" i="1"/>
  <c r="E1183" i="1"/>
  <c r="N1175" i="1"/>
  <c r="D1175" i="1"/>
  <c r="K1169" i="1"/>
  <c r="C1169" i="1"/>
  <c r="C1163" i="1"/>
  <c r="G1163" i="1"/>
  <c r="I1163" i="1" s="1"/>
  <c r="L1163" i="1" s="1"/>
  <c r="L1162" i="1" s="1"/>
  <c r="G1283" i="1"/>
  <c r="I1283" i="1" s="1"/>
  <c r="L1283" i="1" s="1"/>
  <c r="L1282" i="1" s="1"/>
  <c r="K1273" i="1"/>
  <c r="N1265" i="1"/>
  <c r="C1259" i="1"/>
  <c r="K1259" i="1"/>
  <c r="K1245" i="1"/>
  <c r="C1245" i="1"/>
  <c r="G1245" i="1"/>
  <c r="I1245" i="1" s="1"/>
  <c r="L1245" i="1" s="1"/>
  <c r="L1244" i="1" s="1"/>
  <c r="N1239" i="1"/>
  <c r="D1239" i="1"/>
  <c r="M1235" i="1"/>
  <c r="E1235" i="1"/>
  <c r="G1229" i="1"/>
  <c r="I1229" i="1" s="1"/>
  <c r="D1229" i="1"/>
  <c r="N1191" i="1"/>
  <c r="D1191" i="1"/>
  <c r="K1187" i="1"/>
  <c r="C1187" i="1"/>
  <c r="C1185" i="1"/>
  <c r="K1185" i="1"/>
  <c r="K1171" i="1"/>
  <c r="F1171" i="1"/>
  <c r="M1157" i="1"/>
  <c r="E1157" i="1"/>
  <c r="N1135" i="1"/>
  <c r="F1135" i="1"/>
  <c r="N1107" i="1"/>
  <c r="F1107" i="1"/>
  <c r="G1083" i="1"/>
  <c r="E1083" i="1"/>
  <c r="N1081" i="1"/>
  <c r="D1081" i="1"/>
  <c r="J1079" i="1"/>
  <c r="C1079" i="1"/>
  <c r="G1257" i="1"/>
  <c r="I1257" i="1" s="1"/>
  <c r="L1257" i="1" s="1"/>
  <c r="L1256" i="1" s="1"/>
  <c r="K1251" i="1"/>
  <c r="G1249" i="1"/>
  <c r="I1249" i="1" s="1"/>
  <c r="L1249" i="1" s="1"/>
  <c r="L1248" i="1" s="1"/>
  <c r="K1243" i="1"/>
  <c r="G1241" i="1"/>
  <c r="I1241" i="1" s="1"/>
  <c r="L1241" i="1" s="1"/>
  <c r="L1240" i="1" s="1"/>
  <c r="K1237" i="1"/>
  <c r="G1225" i="1"/>
  <c r="I1225" i="1" s="1"/>
  <c r="L1225" i="1" s="1"/>
  <c r="L1224" i="1" s="1"/>
  <c r="K1209" i="1"/>
  <c r="G1205" i="1"/>
  <c r="I1205" i="1" s="1"/>
  <c r="L1205" i="1" s="1"/>
  <c r="L1204" i="1" s="1"/>
  <c r="K1203" i="1"/>
  <c r="K1197" i="1"/>
  <c r="K1195" i="1"/>
  <c r="K1191" i="1"/>
  <c r="M1189" i="1"/>
  <c r="K1179" i="1"/>
  <c r="K1175" i="1"/>
  <c r="M1173" i="1"/>
  <c r="G1155" i="1"/>
  <c r="I1155" i="1" s="1"/>
  <c r="L1155" i="1" s="1"/>
  <c r="L1154" i="1" s="1"/>
  <c r="N1117" i="1"/>
  <c r="D1117" i="1"/>
  <c r="N1115" i="1"/>
  <c r="F1115" i="1"/>
  <c r="D1113" i="1"/>
  <c r="N1111" i="1"/>
  <c r="F1111" i="1"/>
  <c r="N1105" i="1"/>
  <c r="D1105" i="1"/>
  <c r="G1069" i="1"/>
  <c r="E1069" i="1"/>
  <c r="G1043" i="1"/>
  <c r="E1043" i="1"/>
  <c r="F787" i="1"/>
  <c r="K787" i="1"/>
  <c r="M923" i="1"/>
  <c r="D923" i="1"/>
  <c r="D881" i="1"/>
  <c r="J881" i="1"/>
  <c r="N1255" i="1"/>
  <c r="G1253" i="1"/>
  <c r="I1253" i="1" s="1"/>
  <c r="L1253" i="1" s="1"/>
  <c r="L1252" i="1" s="1"/>
  <c r="N1251" i="1"/>
  <c r="M1229" i="1"/>
  <c r="K1227" i="1"/>
  <c r="G1223" i="1"/>
  <c r="I1223" i="1" s="1"/>
  <c r="L1223" i="1" s="1"/>
  <c r="L1222" i="1" s="1"/>
  <c r="G1221" i="1"/>
  <c r="I1221" i="1" s="1"/>
  <c r="L1221" i="1" s="1"/>
  <c r="L1220" i="1" s="1"/>
  <c r="M1217" i="1"/>
  <c r="G1215" i="1"/>
  <c r="I1215" i="1" s="1"/>
  <c r="L1215" i="1" s="1"/>
  <c r="L1214" i="1" s="1"/>
  <c r="N1207" i="1"/>
  <c r="M1199" i="1"/>
  <c r="G1193" i="1"/>
  <c r="I1193" i="1" s="1"/>
  <c r="L1193" i="1" s="1"/>
  <c r="L1192" i="1" s="1"/>
  <c r="G1187" i="1"/>
  <c r="I1187" i="1" s="1"/>
  <c r="L1187" i="1" s="1"/>
  <c r="L1186" i="1" s="1"/>
  <c r="G1185" i="1"/>
  <c r="I1185" i="1" s="1"/>
  <c r="L1185" i="1" s="1"/>
  <c r="L1184" i="1" s="1"/>
  <c r="G1177" i="1"/>
  <c r="I1177" i="1" s="1"/>
  <c r="L1177" i="1" s="1"/>
  <c r="L1176" i="1" s="1"/>
  <c r="G1169" i="1"/>
  <c r="I1169" i="1" s="1"/>
  <c r="L1169" i="1" s="1"/>
  <c r="L1168" i="1" s="1"/>
  <c r="N1167" i="1"/>
  <c r="N1163" i="1"/>
  <c r="N1155" i="1"/>
  <c r="N1103" i="1"/>
  <c r="F1103" i="1"/>
  <c r="N1095" i="1"/>
  <c r="N1091" i="1"/>
  <c r="N1087" i="1"/>
  <c r="G1059" i="1"/>
  <c r="E1059" i="1"/>
  <c r="E1017" i="1"/>
  <c r="N1017" i="1"/>
  <c r="J1013" i="1"/>
  <c r="C1013" i="1"/>
  <c r="F991" i="1"/>
  <c r="M991" i="1"/>
  <c r="G1075" i="1"/>
  <c r="E1075" i="1"/>
  <c r="N1065" i="1"/>
  <c r="D1065" i="1"/>
  <c r="J1063" i="1"/>
  <c r="C1063" i="1"/>
  <c r="N1041" i="1"/>
  <c r="D1041" i="1"/>
  <c r="E1025" i="1"/>
  <c r="N1025" i="1"/>
  <c r="J1021" i="1"/>
  <c r="C1021" i="1"/>
  <c r="G1093" i="1"/>
  <c r="G1089" i="1"/>
  <c r="G1085" i="1"/>
  <c r="G1077" i="1"/>
  <c r="H1077" i="1" s="1"/>
  <c r="G1045" i="1"/>
  <c r="J1041" i="1"/>
  <c r="M995" i="1"/>
  <c r="M943" i="1"/>
  <c r="F943" i="1"/>
  <c r="D939" i="1"/>
  <c r="J939" i="1"/>
  <c r="N833" i="1"/>
  <c r="F833" i="1"/>
  <c r="N825" i="1"/>
  <c r="E825" i="1"/>
  <c r="G1149" i="1"/>
  <c r="I1149" i="1" s="1"/>
  <c r="L1149" i="1" s="1"/>
  <c r="L1148" i="1" s="1"/>
  <c r="N1129" i="1"/>
  <c r="N1127" i="1"/>
  <c r="N1125" i="1"/>
  <c r="N1123" i="1"/>
  <c r="N1121" i="1"/>
  <c r="N1119" i="1"/>
  <c r="N1097" i="1"/>
  <c r="D1095" i="1"/>
  <c r="J1095" i="1"/>
  <c r="E1093" i="1"/>
  <c r="N1093" i="1"/>
  <c r="D1091" i="1"/>
  <c r="J1091" i="1"/>
  <c r="E1089" i="1"/>
  <c r="N1089" i="1"/>
  <c r="D1087" i="1"/>
  <c r="J1087" i="1"/>
  <c r="E1085" i="1"/>
  <c r="N1085" i="1"/>
  <c r="E1077" i="1"/>
  <c r="G1067" i="1"/>
  <c r="G1061" i="1"/>
  <c r="N1057" i="1"/>
  <c r="D1055" i="1"/>
  <c r="J1055" i="1"/>
  <c r="G1051" i="1"/>
  <c r="D1049" i="1"/>
  <c r="F1047" i="1"/>
  <c r="E1045" i="1"/>
  <c r="C1041" i="1"/>
  <c r="N1031" i="1"/>
  <c r="J1025" i="1"/>
  <c r="C1025" i="1"/>
  <c r="E1021" i="1"/>
  <c r="N1021" i="1"/>
  <c r="J1017" i="1"/>
  <c r="C1017" i="1"/>
  <c r="N1001" i="1"/>
  <c r="J973" i="1"/>
  <c r="D973" i="1"/>
  <c r="C949" i="1"/>
  <c r="J949" i="1"/>
  <c r="J945" i="1"/>
  <c r="E945" i="1"/>
  <c r="J941" i="1"/>
  <c r="J889" i="1"/>
  <c r="F889" i="1"/>
  <c r="C855" i="1"/>
  <c r="G855" i="1"/>
  <c r="I855" i="1" s="1"/>
  <c r="L855" i="1" s="1"/>
  <c r="L854" i="1" s="1"/>
  <c r="N1133" i="1"/>
  <c r="N1131" i="1"/>
  <c r="N1101" i="1"/>
  <c r="N1099" i="1"/>
  <c r="N1073" i="1"/>
  <c r="J1071" i="1"/>
  <c r="G1053" i="1"/>
  <c r="I1053" i="1" s="1"/>
  <c r="L1053" i="1" s="1"/>
  <c r="L1052" i="1" s="1"/>
  <c r="G1035" i="1"/>
  <c r="N1009" i="1"/>
  <c r="D1009" i="1"/>
  <c r="J957" i="1"/>
  <c r="D957" i="1"/>
  <c r="J947" i="1"/>
  <c r="D947" i="1"/>
  <c r="F935" i="1"/>
  <c r="M935" i="1"/>
  <c r="E839" i="1"/>
  <c r="M839" i="1"/>
  <c r="N1013" i="1"/>
  <c r="J1009" i="1"/>
  <c r="M979" i="1"/>
  <c r="J971" i="1"/>
  <c r="J969" i="1"/>
  <c r="M967" i="1"/>
  <c r="J955" i="1"/>
  <c r="J953" i="1"/>
  <c r="M951" i="1"/>
  <c r="J919" i="1"/>
  <c r="D919" i="1"/>
  <c r="M907" i="1"/>
  <c r="D907" i="1"/>
  <c r="G871" i="1"/>
  <c r="I871" i="1" s="1"/>
  <c r="L871" i="1" s="1"/>
  <c r="L870" i="1" s="1"/>
  <c r="E871" i="1"/>
  <c r="N857" i="1"/>
  <c r="G815" i="1"/>
  <c r="I815" i="1" s="1"/>
  <c r="M815" i="1"/>
  <c r="D815" i="1"/>
  <c r="J1005" i="1"/>
  <c r="J995" i="1"/>
  <c r="J943" i="1"/>
  <c r="J935" i="1"/>
  <c r="M867" i="1"/>
  <c r="E867" i="1"/>
  <c r="N841" i="1"/>
  <c r="F841" i="1"/>
  <c r="J839" i="1"/>
  <c r="C839" i="1"/>
  <c r="G839" i="1"/>
  <c r="I839" i="1" s="1"/>
  <c r="L839" i="1" s="1"/>
  <c r="L838" i="1" s="1"/>
  <c r="G837" i="1"/>
  <c r="D837" i="1"/>
  <c r="K789" i="1"/>
  <c r="D789" i="1"/>
  <c r="E773" i="1"/>
  <c r="N773" i="1"/>
  <c r="N1039" i="1"/>
  <c r="G1027" i="1"/>
  <c r="C1005" i="1"/>
  <c r="J1001" i="1"/>
  <c r="C995" i="1"/>
  <c r="E993" i="1"/>
  <c r="M987" i="1"/>
  <c r="M985" i="1"/>
  <c r="J979" i="1"/>
  <c r="J977" i="1"/>
  <c r="M975" i="1"/>
  <c r="J963" i="1"/>
  <c r="J961" i="1"/>
  <c r="M959" i="1"/>
  <c r="D943" i="1"/>
  <c r="N939" i="1"/>
  <c r="J903" i="1"/>
  <c r="D903" i="1"/>
  <c r="N869" i="1"/>
  <c r="D869" i="1"/>
  <c r="M847" i="1"/>
  <c r="E847" i="1"/>
  <c r="N837" i="1"/>
  <c r="N797" i="1"/>
  <c r="F797" i="1"/>
  <c r="M931" i="1"/>
  <c r="M927" i="1"/>
  <c r="J911" i="1"/>
  <c r="J905" i="1"/>
  <c r="M899" i="1"/>
  <c r="M895" i="1"/>
  <c r="J879" i="1"/>
  <c r="G867" i="1"/>
  <c r="I867" i="1" s="1"/>
  <c r="L867" i="1" s="1"/>
  <c r="L866" i="1" s="1"/>
  <c r="K865" i="1"/>
  <c r="G863" i="1"/>
  <c r="I863" i="1" s="1"/>
  <c r="L863" i="1" s="1"/>
  <c r="L862" i="1" s="1"/>
  <c r="N849" i="1"/>
  <c r="G847" i="1"/>
  <c r="I847" i="1" s="1"/>
  <c r="L847" i="1" s="1"/>
  <c r="L846" i="1" s="1"/>
  <c r="D809" i="1"/>
  <c r="D801" i="1"/>
  <c r="G799" i="1"/>
  <c r="I799" i="1" s="1"/>
  <c r="L799" i="1" s="1"/>
  <c r="L798" i="1" s="1"/>
  <c r="D785" i="1"/>
  <c r="D779" i="1"/>
  <c r="N829" i="1"/>
  <c r="C791" i="1"/>
  <c r="G791" i="1"/>
  <c r="I791" i="1" s="1"/>
  <c r="L791" i="1" s="1"/>
  <c r="L790" i="1" s="1"/>
  <c r="C781" i="1"/>
  <c r="K781" i="1"/>
  <c r="M759" i="1"/>
  <c r="E759" i="1"/>
  <c r="M753" i="1"/>
  <c r="E753" i="1"/>
  <c r="J927" i="1"/>
  <c r="J921" i="1"/>
  <c r="M915" i="1"/>
  <c r="M911" i="1"/>
  <c r="M891" i="1"/>
  <c r="J887" i="1"/>
  <c r="M883" i="1"/>
  <c r="M875" i="1"/>
  <c r="J873" i="1"/>
  <c r="N845" i="1"/>
  <c r="F829" i="1"/>
  <c r="K821" i="1"/>
  <c r="C785" i="1"/>
  <c r="G785" i="1"/>
  <c r="I785" i="1" s="1"/>
  <c r="G783" i="1"/>
  <c r="I783" i="1" s="1"/>
  <c r="L783" i="1" s="1"/>
  <c r="L782" i="1" s="1"/>
  <c r="G767" i="1"/>
  <c r="I767" i="1" s="1"/>
  <c r="L767" i="1" s="1"/>
  <c r="L766" i="1" s="1"/>
  <c r="N757" i="1"/>
  <c r="F757" i="1"/>
  <c r="G803" i="1"/>
  <c r="M799" i="1"/>
  <c r="M787" i="1"/>
  <c r="K773" i="1"/>
  <c r="K757" i="1"/>
  <c r="K755" i="1"/>
  <c r="N753" i="1"/>
  <c r="M791" i="1"/>
  <c r="N789" i="1"/>
  <c r="M785" i="1"/>
  <c r="M781" i="1"/>
  <c r="D773" i="1"/>
  <c r="G759" i="1"/>
  <c r="I759" i="1" s="1"/>
  <c r="L759" i="1" s="1"/>
  <c r="L758" i="1" s="1"/>
  <c r="D757" i="1"/>
  <c r="M755" i="1"/>
  <c r="G753" i="1"/>
  <c r="I753" i="1" s="1"/>
  <c r="L753" i="1" s="1"/>
  <c r="L752" i="1" s="1"/>
  <c r="G751" i="1"/>
  <c r="I751" i="1" s="1"/>
  <c r="L751" i="1" s="1"/>
  <c r="L750" i="1" s="1"/>
  <c r="K1731" i="1"/>
  <c r="M1633" i="1"/>
  <c r="N1633" i="1"/>
  <c r="N1929" i="1"/>
  <c r="E1929" i="1"/>
  <c r="K1723" i="1"/>
  <c r="K1707" i="1"/>
  <c r="H1587" i="1"/>
  <c r="K1587" i="1"/>
  <c r="K1579" i="1"/>
  <c r="M1991" i="1"/>
  <c r="K1987" i="1"/>
  <c r="M1983" i="1"/>
  <c r="K1979" i="1"/>
  <c r="K1971" i="1"/>
  <c r="M1967" i="1"/>
  <c r="K1961" i="1"/>
  <c r="G1961" i="1"/>
  <c r="I1961" i="1" s="1"/>
  <c r="L1961" i="1" s="1"/>
  <c r="L1960" i="1" s="1"/>
  <c r="K1945" i="1"/>
  <c r="G1945" i="1"/>
  <c r="K1929" i="1"/>
  <c r="G1929" i="1"/>
  <c r="I1929" i="1" s="1"/>
  <c r="L1929" i="1" s="1"/>
  <c r="L1928" i="1" s="1"/>
  <c r="M1919" i="1"/>
  <c r="K1881" i="1"/>
  <c r="G1881" i="1"/>
  <c r="K1865" i="1"/>
  <c r="G1865" i="1"/>
  <c r="M1855" i="1"/>
  <c r="M1839" i="1"/>
  <c r="K1835" i="1"/>
  <c r="K1833" i="1"/>
  <c r="G1833" i="1"/>
  <c r="I1833" i="1" s="1"/>
  <c r="L1833" i="1" s="1"/>
  <c r="L1832" i="1" s="1"/>
  <c r="M1823" i="1"/>
  <c r="K1819" i="1"/>
  <c r="K1817" i="1"/>
  <c r="G1817" i="1"/>
  <c r="I1817" i="1" s="1"/>
  <c r="M1807" i="1"/>
  <c r="K1803" i="1"/>
  <c r="K1801" i="1"/>
  <c r="G1801" i="1"/>
  <c r="I1801" i="1" s="1"/>
  <c r="L1801" i="1" s="1"/>
  <c r="L1800" i="1" s="1"/>
  <c r="M1791" i="1"/>
  <c r="K1787" i="1"/>
  <c r="K1785" i="1"/>
  <c r="G1785" i="1"/>
  <c r="I1785" i="1" s="1"/>
  <c r="L1785" i="1" s="1"/>
  <c r="L1784" i="1" s="1"/>
  <c r="M1775" i="1"/>
  <c r="G1761" i="1"/>
  <c r="H1761" i="1" s="1"/>
  <c r="K1761" i="1"/>
  <c r="N1737" i="1"/>
  <c r="G1737" i="1"/>
  <c r="K1737" i="1"/>
  <c r="N1729" i="1"/>
  <c r="G1729" i="1"/>
  <c r="I1729" i="1" s="1"/>
  <c r="L1729" i="1" s="1"/>
  <c r="L1728" i="1" s="1"/>
  <c r="K1729" i="1"/>
  <c r="N1721" i="1"/>
  <c r="G1721" i="1"/>
  <c r="I1721" i="1" s="1"/>
  <c r="L1721" i="1" s="1"/>
  <c r="L1720" i="1" s="1"/>
  <c r="K1721" i="1"/>
  <c r="N1713" i="1"/>
  <c r="G1713" i="1"/>
  <c r="I1713" i="1" s="1"/>
  <c r="L1713" i="1" s="1"/>
  <c r="L1712" i="1" s="1"/>
  <c r="K1713" i="1"/>
  <c r="N1705" i="1"/>
  <c r="G1705" i="1"/>
  <c r="K1705" i="1"/>
  <c r="N1697" i="1"/>
  <c r="G1697" i="1"/>
  <c r="I1697" i="1" s="1"/>
  <c r="L1697" i="1" s="1"/>
  <c r="L1696" i="1" s="1"/>
  <c r="K1697" i="1"/>
  <c r="N1689" i="1"/>
  <c r="G1689" i="1"/>
  <c r="K1689" i="1"/>
  <c r="N1677" i="1"/>
  <c r="M1617" i="1"/>
  <c r="N1617" i="1"/>
  <c r="M1609" i="1"/>
  <c r="N1609" i="1"/>
  <c r="M1601" i="1"/>
  <c r="N1601" i="1"/>
  <c r="G1593" i="1"/>
  <c r="I1593" i="1" s="1"/>
  <c r="L1593" i="1" s="1"/>
  <c r="L1592" i="1" s="1"/>
  <c r="N1593" i="1"/>
  <c r="H1581" i="1"/>
  <c r="K1581" i="1"/>
  <c r="K1949" i="1"/>
  <c r="D1947" i="1"/>
  <c r="K1901" i="1"/>
  <c r="K1853" i="1"/>
  <c r="M1743" i="1"/>
  <c r="K1743" i="1"/>
  <c r="K1699" i="1"/>
  <c r="N1671" i="1"/>
  <c r="M1999" i="1"/>
  <c r="K1995" i="1"/>
  <c r="M1975" i="1"/>
  <c r="M1951" i="1"/>
  <c r="M1935" i="1"/>
  <c r="K1915" i="1"/>
  <c r="K1913" i="1"/>
  <c r="G1913" i="1"/>
  <c r="I1913" i="1" s="1"/>
  <c r="M1903" i="1"/>
  <c r="K1899" i="1"/>
  <c r="K1897" i="1"/>
  <c r="G1897" i="1"/>
  <c r="I1897" i="1" s="1"/>
  <c r="L1897" i="1" s="1"/>
  <c r="L1896" i="1" s="1"/>
  <c r="M1887" i="1"/>
  <c r="K1883" i="1"/>
  <c r="M1871" i="1"/>
  <c r="K1849" i="1"/>
  <c r="G1849" i="1"/>
  <c r="I1849" i="1" s="1"/>
  <c r="L1849" i="1" s="1"/>
  <c r="L1848" i="1" s="1"/>
  <c r="M1997" i="1"/>
  <c r="M1989" i="1"/>
  <c r="M1981" i="1"/>
  <c r="M1973" i="1"/>
  <c r="K1957" i="1"/>
  <c r="M1953" i="1"/>
  <c r="I1945" i="1"/>
  <c r="L1945" i="1" s="1"/>
  <c r="L1944" i="1" s="1"/>
  <c r="K1941" i="1"/>
  <c r="M1937" i="1"/>
  <c r="K1925" i="1"/>
  <c r="M1921" i="1"/>
  <c r="K1909" i="1"/>
  <c r="M1905" i="1"/>
  <c r="K1893" i="1"/>
  <c r="M1889" i="1"/>
  <c r="I1881" i="1"/>
  <c r="K1877" i="1"/>
  <c r="M1873" i="1"/>
  <c r="I1865" i="1"/>
  <c r="K1861" i="1"/>
  <c r="M1857" i="1"/>
  <c r="K1845" i="1"/>
  <c r="M1841" i="1"/>
  <c r="K1829" i="1"/>
  <c r="M1825" i="1"/>
  <c r="K1813" i="1"/>
  <c r="M1809" i="1"/>
  <c r="K1797" i="1"/>
  <c r="M1793" i="1"/>
  <c r="K1781" i="1"/>
  <c r="M1777" i="1"/>
  <c r="I1773" i="1"/>
  <c r="L1773" i="1" s="1"/>
  <c r="L1772" i="1" s="1"/>
  <c r="K1773" i="1"/>
  <c r="I1761" i="1"/>
  <c r="L1761" i="1" s="1"/>
  <c r="L1760" i="1" s="1"/>
  <c r="I1757" i="1"/>
  <c r="K1757" i="1"/>
  <c r="G1749" i="1"/>
  <c r="I1749" i="1" s="1"/>
  <c r="L1749" i="1" s="1"/>
  <c r="L1748" i="1" s="1"/>
  <c r="K1739" i="1"/>
  <c r="I1737" i="1"/>
  <c r="L1737" i="1" s="1"/>
  <c r="L1736" i="1" s="1"/>
  <c r="M1735" i="1"/>
  <c r="K1735" i="1"/>
  <c r="M1727" i="1"/>
  <c r="K1727" i="1"/>
  <c r="M1719" i="1"/>
  <c r="K1719" i="1"/>
  <c r="M1711" i="1"/>
  <c r="K1711" i="1"/>
  <c r="I1705" i="1"/>
  <c r="L1705" i="1" s="1"/>
  <c r="L1704" i="1" s="1"/>
  <c r="M1703" i="1"/>
  <c r="K1703" i="1"/>
  <c r="M1695" i="1"/>
  <c r="K1695" i="1"/>
  <c r="I1689" i="1"/>
  <c r="L1689" i="1" s="1"/>
  <c r="L1688" i="1" s="1"/>
  <c r="M1687" i="1"/>
  <c r="K1687" i="1"/>
  <c r="N1661" i="1"/>
  <c r="G1641" i="1"/>
  <c r="I1641" i="1" s="1"/>
  <c r="L1641" i="1" s="1"/>
  <c r="L1640" i="1" s="1"/>
  <c r="N1641" i="1"/>
  <c r="M1625" i="1"/>
  <c r="N1625" i="1"/>
  <c r="K1583" i="1"/>
  <c r="K1917" i="1"/>
  <c r="M1995" i="1"/>
  <c r="N1993" i="1"/>
  <c r="M1987" i="1"/>
  <c r="N1985" i="1"/>
  <c r="M1979" i="1"/>
  <c r="N1977" i="1"/>
  <c r="M1971" i="1"/>
  <c r="N1969" i="1"/>
  <c r="M1963" i="1"/>
  <c r="G1955" i="1"/>
  <c r="I1955" i="1" s="1"/>
  <c r="L1955" i="1" s="1"/>
  <c r="L1954" i="1" s="1"/>
  <c r="K1955" i="1"/>
  <c r="G1953" i="1"/>
  <c r="I1953" i="1" s="1"/>
  <c r="K1951" i="1"/>
  <c r="M1947" i="1"/>
  <c r="G1939" i="1"/>
  <c r="I1939" i="1" s="1"/>
  <c r="L1939" i="1" s="1"/>
  <c r="L1938" i="1" s="1"/>
  <c r="K1939" i="1"/>
  <c r="G1937" i="1"/>
  <c r="I1937" i="1" s="1"/>
  <c r="L1937" i="1" s="1"/>
  <c r="L1936" i="1" s="1"/>
  <c r="K1935" i="1"/>
  <c r="M1931" i="1"/>
  <c r="G1923" i="1"/>
  <c r="I1923" i="1" s="1"/>
  <c r="L1923" i="1" s="1"/>
  <c r="L1922" i="1" s="1"/>
  <c r="G1921" i="1"/>
  <c r="I1921" i="1" s="1"/>
  <c r="L1921" i="1" s="1"/>
  <c r="L1920" i="1" s="1"/>
  <c r="K1919" i="1"/>
  <c r="M1915" i="1"/>
  <c r="G1907" i="1"/>
  <c r="I1907" i="1" s="1"/>
  <c r="L1907" i="1" s="1"/>
  <c r="L1906" i="1" s="1"/>
  <c r="G1905" i="1"/>
  <c r="I1905" i="1" s="1"/>
  <c r="L1905" i="1" s="1"/>
  <c r="L1904" i="1" s="1"/>
  <c r="K1903" i="1"/>
  <c r="M1899" i="1"/>
  <c r="G1891" i="1"/>
  <c r="I1891" i="1" s="1"/>
  <c r="L1891" i="1" s="1"/>
  <c r="L1890" i="1" s="1"/>
  <c r="K1891" i="1"/>
  <c r="G1889" i="1"/>
  <c r="I1889" i="1" s="1"/>
  <c r="L1889" i="1" s="1"/>
  <c r="L1888" i="1" s="1"/>
  <c r="K1887" i="1"/>
  <c r="M1883" i="1"/>
  <c r="G1875" i="1"/>
  <c r="I1875" i="1" s="1"/>
  <c r="L1875" i="1" s="1"/>
  <c r="L1874" i="1" s="1"/>
  <c r="K1875" i="1"/>
  <c r="G1873" i="1"/>
  <c r="I1873" i="1" s="1"/>
  <c r="L1873" i="1" s="1"/>
  <c r="L1872" i="1" s="1"/>
  <c r="K1871" i="1"/>
  <c r="M1867" i="1"/>
  <c r="G1859" i="1"/>
  <c r="I1859" i="1" s="1"/>
  <c r="L1859" i="1" s="1"/>
  <c r="L1858" i="1" s="1"/>
  <c r="K1859" i="1"/>
  <c r="G1857" i="1"/>
  <c r="I1857" i="1" s="1"/>
  <c r="L1857" i="1" s="1"/>
  <c r="L1856" i="1" s="1"/>
  <c r="K1855" i="1"/>
  <c r="M1851" i="1"/>
  <c r="G1843" i="1"/>
  <c r="I1843" i="1" s="1"/>
  <c r="L1843" i="1" s="1"/>
  <c r="L1842" i="1" s="1"/>
  <c r="K1843" i="1"/>
  <c r="G1841" i="1"/>
  <c r="I1841" i="1" s="1"/>
  <c r="L1841" i="1" s="1"/>
  <c r="L1840" i="1" s="1"/>
  <c r="K1839" i="1"/>
  <c r="M1835" i="1"/>
  <c r="G1827" i="1"/>
  <c r="I1827" i="1" s="1"/>
  <c r="L1827" i="1" s="1"/>
  <c r="L1826" i="1" s="1"/>
  <c r="G1825" i="1"/>
  <c r="I1825" i="1" s="1"/>
  <c r="L1825" i="1" s="1"/>
  <c r="L1824" i="1" s="1"/>
  <c r="K1823" i="1"/>
  <c r="M1819" i="1"/>
  <c r="G1811" i="1"/>
  <c r="I1811" i="1" s="1"/>
  <c r="L1811" i="1" s="1"/>
  <c r="L1810" i="1" s="1"/>
  <c r="G1809" i="1"/>
  <c r="I1809" i="1" s="1"/>
  <c r="L1809" i="1" s="1"/>
  <c r="L1808" i="1" s="1"/>
  <c r="K1807" i="1"/>
  <c r="M1803" i="1"/>
  <c r="G1795" i="1"/>
  <c r="I1795" i="1" s="1"/>
  <c r="L1795" i="1" s="1"/>
  <c r="L1794" i="1" s="1"/>
  <c r="K1795" i="1"/>
  <c r="G1793" i="1"/>
  <c r="I1793" i="1" s="1"/>
  <c r="L1793" i="1" s="1"/>
  <c r="L1792" i="1" s="1"/>
  <c r="K1791" i="1"/>
  <c r="M1787" i="1"/>
  <c r="G1779" i="1"/>
  <c r="I1779" i="1" s="1"/>
  <c r="L1779" i="1" s="1"/>
  <c r="L1778" i="1" s="1"/>
  <c r="G1777" i="1"/>
  <c r="I1777" i="1" s="1"/>
  <c r="L1777" i="1" s="1"/>
  <c r="L1776" i="1" s="1"/>
  <c r="K1775" i="1"/>
  <c r="G1771" i="1"/>
  <c r="I1771" i="1" s="1"/>
  <c r="L1771" i="1" s="1"/>
  <c r="L1770" i="1" s="1"/>
  <c r="G1769" i="1"/>
  <c r="I1769" i="1" s="1"/>
  <c r="L1769" i="1" s="1"/>
  <c r="L1768" i="1" s="1"/>
  <c r="K1769" i="1"/>
  <c r="K1767" i="1"/>
  <c r="G1765" i="1"/>
  <c r="I1765" i="1" s="1"/>
  <c r="L1765" i="1" s="1"/>
  <c r="L1764" i="1" s="1"/>
  <c r="G1755" i="1"/>
  <c r="I1755" i="1" s="1"/>
  <c r="L1755" i="1" s="1"/>
  <c r="L1754" i="1" s="1"/>
  <c r="K1755" i="1"/>
  <c r="G1753" i="1"/>
  <c r="I1753" i="1" s="1"/>
  <c r="L1753" i="1" s="1"/>
  <c r="L1752" i="1" s="1"/>
  <c r="K1753" i="1"/>
  <c r="K1751" i="1"/>
  <c r="K1749" i="1"/>
  <c r="N1745" i="1"/>
  <c r="G1745" i="1"/>
  <c r="I1745" i="1" s="1"/>
  <c r="L1745" i="1" s="1"/>
  <c r="L1744" i="1" s="1"/>
  <c r="K1745" i="1"/>
  <c r="N1733" i="1"/>
  <c r="K1733" i="1"/>
  <c r="H1585" i="1"/>
  <c r="K1585" i="1"/>
  <c r="M1769" i="1"/>
  <c r="M1761" i="1"/>
  <c r="M1753" i="1"/>
  <c r="M1745" i="1"/>
  <c r="M1737" i="1"/>
  <c r="M1729" i="1"/>
  <c r="M1721" i="1"/>
  <c r="M1713" i="1"/>
  <c r="M1705" i="1"/>
  <c r="M1697" i="1"/>
  <c r="M1689" i="1"/>
  <c r="N1647" i="1"/>
  <c r="I1639" i="1"/>
  <c r="L1639" i="1" s="1"/>
  <c r="L1638" i="1" s="1"/>
  <c r="G1615" i="1"/>
  <c r="I1615" i="1" s="1"/>
  <c r="L1615" i="1" s="1"/>
  <c r="L1614" i="1" s="1"/>
  <c r="G1607" i="1"/>
  <c r="I1607" i="1" s="1"/>
  <c r="L1607" i="1" s="1"/>
  <c r="L1606" i="1" s="1"/>
  <c r="G1599" i="1"/>
  <c r="I1599" i="1" s="1"/>
  <c r="L1599" i="1" s="1"/>
  <c r="L1598" i="1" s="1"/>
  <c r="K1591" i="1"/>
  <c r="K1521" i="1"/>
  <c r="H1513" i="1"/>
  <c r="K1513" i="1"/>
  <c r="K1505" i="1"/>
  <c r="H1497" i="1"/>
  <c r="K1497" i="1"/>
  <c r="H1489" i="1"/>
  <c r="K1489" i="1"/>
  <c r="H1481" i="1"/>
  <c r="K1481" i="1"/>
  <c r="K1473" i="1"/>
  <c r="H1467" i="1"/>
  <c r="K1467" i="1"/>
  <c r="K1463" i="1"/>
  <c r="K1459" i="1"/>
  <c r="H1451" i="1"/>
  <c r="K1451" i="1"/>
  <c r="H1443" i="1"/>
  <c r="K1443" i="1"/>
  <c r="H1435" i="1"/>
  <c r="K1435" i="1"/>
  <c r="H1431" i="1"/>
  <c r="K1431" i="1"/>
  <c r="H1427" i="1"/>
  <c r="K1427" i="1"/>
  <c r="H1423" i="1"/>
  <c r="K1423" i="1"/>
  <c r="H1419" i="1"/>
  <c r="K1419" i="1"/>
  <c r="H1415" i="1"/>
  <c r="K1415" i="1"/>
  <c r="H1411" i="1"/>
  <c r="K1411" i="1"/>
  <c r="H1407" i="1"/>
  <c r="K1407" i="1"/>
  <c r="H1403" i="1"/>
  <c r="K1403" i="1"/>
  <c r="H1399" i="1"/>
  <c r="K1399" i="1"/>
  <c r="H1395" i="1"/>
  <c r="K1395" i="1"/>
  <c r="H1391" i="1"/>
  <c r="K1391" i="1"/>
  <c r="J1383" i="1"/>
  <c r="M1383" i="1"/>
  <c r="J1377" i="1"/>
  <c r="H1577" i="1"/>
  <c r="H1575" i="1"/>
  <c r="H1573" i="1"/>
  <c r="H1571" i="1"/>
  <c r="H1565" i="1"/>
  <c r="H1563" i="1"/>
  <c r="H1559" i="1"/>
  <c r="H1557" i="1"/>
  <c r="H1555" i="1"/>
  <c r="H1553" i="1"/>
  <c r="H1551" i="1"/>
  <c r="H1549" i="1"/>
  <c r="H1545" i="1"/>
  <c r="G1543" i="1"/>
  <c r="I1543" i="1" s="1"/>
  <c r="G1541" i="1"/>
  <c r="I1541" i="1" s="1"/>
  <c r="G1539" i="1"/>
  <c r="I1539" i="1" s="1"/>
  <c r="L1539" i="1" s="1"/>
  <c r="L1538" i="1" s="1"/>
  <c r="G1537" i="1"/>
  <c r="I1537" i="1" s="1"/>
  <c r="G1535" i="1"/>
  <c r="I1535" i="1" s="1"/>
  <c r="L1535" i="1" s="1"/>
  <c r="L1534" i="1" s="1"/>
  <c r="G1533" i="1"/>
  <c r="I1533" i="1" s="1"/>
  <c r="L1533" i="1" s="1"/>
  <c r="L1532" i="1" s="1"/>
  <c r="G1531" i="1"/>
  <c r="I1531" i="1" s="1"/>
  <c r="L1531" i="1" s="1"/>
  <c r="L1530" i="1" s="1"/>
  <c r="G1529" i="1"/>
  <c r="I1529" i="1" s="1"/>
  <c r="G1527" i="1"/>
  <c r="I1527" i="1" s="1"/>
  <c r="L1527" i="1" s="1"/>
  <c r="L1526" i="1" s="1"/>
  <c r="G1525" i="1"/>
  <c r="I1525" i="1" s="1"/>
  <c r="L1525" i="1" s="1"/>
  <c r="L1524" i="1" s="1"/>
  <c r="G1523" i="1"/>
  <c r="I1523" i="1" s="1"/>
  <c r="L1523" i="1" s="1"/>
  <c r="L1522" i="1" s="1"/>
  <c r="N1517" i="1"/>
  <c r="G1515" i="1"/>
  <c r="I1515" i="1" s="1"/>
  <c r="K1515" i="1"/>
  <c r="N1509" i="1"/>
  <c r="G1507" i="1"/>
  <c r="I1507" i="1" s="1"/>
  <c r="K1507" i="1"/>
  <c r="N1501" i="1"/>
  <c r="H1499" i="1"/>
  <c r="K1499" i="1"/>
  <c r="N1493" i="1"/>
  <c r="H1491" i="1"/>
  <c r="K1491" i="1"/>
  <c r="K1483" i="1"/>
  <c r="H1475" i="1"/>
  <c r="K1475" i="1"/>
  <c r="H1453" i="1"/>
  <c r="K1453" i="1"/>
  <c r="H1445" i="1"/>
  <c r="K1445" i="1"/>
  <c r="K1437" i="1"/>
  <c r="M1385" i="1"/>
  <c r="M1373" i="1"/>
  <c r="J1373" i="1"/>
  <c r="N1357" i="1"/>
  <c r="K1357" i="1"/>
  <c r="N1341" i="1"/>
  <c r="K1341" i="1"/>
  <c r="M1331" i="1"/>
  <c r="N1325" i="1"/>
  <c r="K1325" i="1"/>
  <c r="M1323" i="1"/>
  <c r="M1315" i="1"/>
  <c r="M1965" i="1"/>
  <c r="M1957" i="1"/>
  <c r="M1949" i="1"/>
  <c r="M1941" i="1"/>
  <c r="M1933" i="1"/>
  <c r="M1925" i="1"/>
  <c r="M1917" i="1"/>
  <c r="M1909" i="1"/>
  <c r="M1901" i="1"/>
  <c r="M1893" i="1"/>
  <c r="M1885" i="1"/>
  <c r="M1877" i="1"/>
  <c r="M1869" i="1"/>
  <c r="M1861" i="1"/>
  <c r="M1853" i="1"/>
  <c r="M1845" i="1"/>
  <c r="M1837" i="1"/>
  <c r="M1829" i="1"/>
  <c r="M1821" i="1"/>
  <c r="M1813" i="1"/>
  <c r="M1805" i="1"/>
  <c r="M1797" i="1"/>
  <c r="M1789" i="1"/>
  <c r="M1781" i="1"/>
  <c r="M1773" i="1"/>
  <c r="M1765" i="1"/>
  <c r="M1757" i="1"/>
  <c r="M1749" i="1"/>
  <c r="M1741" i="1"/>
  <c r="M1733" i="1"/>
  <c r="M1725" i="1"/>
  <c r="M1717" i="1"/>
  <c r="M1709" i="1"/>
  <c r="M1701" i="1"/>
  <c r="M1693" i="1"/>
  <c r="N1663" i="1"/>
  <c r="N1657" i="1"/>
  <c r="M1643" i="1"/>
  <c r="N1639" i="1"/>
  <c r="G1635" i="1"/>
  <c r="I1635" i="1" s="1"/>
  <c r="L1635" i="1" s="1"/>
  <c r="L1634" i="1" s="1"/>
  <c r="N1631" i="1"/>
  <c r="M1627" i="1"/>
  <c r="N1623" i="1"/>
  <c r="M1619" i="1"/>
  <c r="N1615" i="1"/>
  <c r="G1611" i="1"/>
  <c r="I1611" i="1" s="1"/>
  <c r="L1611" i="1" s="1"/>
  <c r="L1610" i="1" s="1"/>
  <c r="N1607" i="1"/>
  <c r="G1603" i="1"/>
  <c r="I1603" i="1" s="1"/>
  <c r="L1603" i="1" s="1"/>
  <c r="L1602" i="1" s="1"/>
  <c r="N1599" i="1"/>
  <c r="M1595" i="1"/>
  <c r="N1591" i="1"/>
  <c r="G1517" i="1"/>
  <c r="I1517" i="1" s="1"/>
  <c r="L1517" i="1" s="1"/>
  <c r="L1516" i="1" s="1"/>
  <c r="K1517" i="1"/>
  <c r="G1509" i="1"/>
  <c r="I1509" i="1" s="1"/>
  <c r="L1509" i="1" s="1"/>
  <c r="L1508" i="1" s="1"/>
  <c r="K1509" i="1"/>
  <c r="G1501" i="1"/>
  <c r="I1501" i="1" s="1"/>
  <c r="L1501" i="1" s="1"/>
  <c r="L1500" i="1" s="1"/>
  <c r="K1501" i="1"/>
  <c r="G1493" i="1"/>
  <c r="I1493" i="1" s="1"/>
  <c r="L1493" i="1" s="1"/>
  <c r="L1492" i="1" s="1"/>
  <c r="K1493" i="1"/>
  <c r="K1485" i="1"/>
  <c r="H1477" i="1"/>
  <c r="K1477" i="1"/>
  <c r="K1469" i="1"/>
  <c r="H1465" i="1"/>
  <c r="K1465" i="1"/>
  <c r="K1461" i="1"/>
  <c r="H1455" i="1"/>
  <c r="K1455" i="1"/>
  <c r="H1447" i="1"/>
  <c r="K1447" i="1"/>
  <c r="H1439" i="1"/>
  <c r="K1439" i="1"/>
  <c r="H1433" i="1"/>
  <c r="K1433" i="1"/>
  <c r="H1429" i="1"/>
  <c r="K1429" i="1"/>
  <c r="K1425" i="1"/>
  <c r="K1421" i="1"/>
  <c r="H1417" i="1"/>
  <c r="K1417" i="1"/>
  <c r="H1413" i="1"/>
  <c r="K1413" i="1"/>
  <c r="H1409" i="1"/>
  <c r="K1409" i="1"/>
  <c r="H1405" i="1"/>
  <c r="K1405" i="1"/>
  <c r="H1401" i="1"/>
  <c r="K1401" i="1"/>
  <c r="H1397" i="1"/>
  <c r="K1397" i="1"/>
  <c r="H1393" i="1"/>
  <c r="K1393" i="1"/>
  <c r="K1389" i="1"/>
  <c r="J1381" i="1"/>
  <c r="G1311" i="1"/>
  <c r="I1311" i="1" s="1"/>
  <c r="L1311" i="1" s="1"/>
  <c r="L1310" i="1" s="1"/>
  <c r="M1311" i="1"/>
  <c r="M1731" i="1"/>
  <c r="M1723" i="1"/>
  <c r="M1715" i="1"/>
  <c r="M1707" i="1"/>
  <c r="M1699" i="1"/>
  <c r="M1691" i="1"/>
  <c r="N1679" i="1"/>
  <c r="N1655" i="1"/>
  <c r="G1645" i="1"/>
  <c r="I1645" i="1" s="1"/>
  <c r="L1645" i="1" s="1"/>
  <c r="L1644" i="1" s="1"/>
  <c r="H1641" i="1"/>
  <c r="M1637" i="1"/>
  <c r="M1629" i="1"/>
  <c r="G1621" i="1"/>
  <c r="I1621" i="1" s="1"/>
  <c r="L1621" i="1" s="1"/>
  <c r="L1620" i="1" s="1"/>
  <c r="K1613" i="1"/>
  <c r="K1605" i="1"/>
  <c r="G1589" i="1"/>
  <c r="I1589" i="1" s="1"/>
  <c r="L1589" i="1" s="1"/>
  <c r="L1588" i="1" s="1"/>
  <c r="M1573" i="1"/>
  <c r="M1571" i="1"/>
  <c r="M1569" i="1"/>
  <c r="M1567" i="1"/>
  <c r="M1565" i="1"/>
  <c r="M1559" i="1"/>
  <c r="M1557" i="1"/>
  <c r="M1555" i="1"/>
  <c r="M1553" i="1"/>
  <c r="M1551" i="1"/>
  <c r="M1549" i="1"/>
  <c r="M1547" i="1"/>
  <c r="M1545" i="1"/>
  <c r="M1543" i="1"/>
  <c r="M1541" i="1"/>
  <c r="M1539" i="1"/>
  <c r="M1537" i="1"/>
  <c r="M1535" i="1"/>
  <c r="M1533" i="1"/>
  <c r="M1531" i="1"/>
  <c r="M1529" i="1"/>
  <c r="M1527" i="1"/>
  <c r="M1525" i="1"/>
  <c r="N1521" i="1"/>
  <c r="H1519" i="1"/>
  <c r="K1519" i="1"/>
  <c r="N1513" i="1"/>
  <c r="K1511" i="1"/>
  <c r="N1505" i="1"/>
  <c r="H1503" i="1"/>
  <c r="K1503" i="1"/>
  <c r="N1497" i="1"/>
  <c r="K1495" i="1"/>
  <c r="H1487" i="1"/>
  <c r="K1487" i="1"/>
  <c r="H1479" i="1"/>
  <c r="K1479" i="1"/>
  <c r="H1471" i="1"/>
  <c r="K1471" i="1"/>
  <c r="K1457" i="1"/>
  <c r="K1449" i="1"/>
  <c r="H1441" i="1"/>
  <c r="K1441" i="1"/>
  <c r="G1359" i="1"/>
  <c r="I1359" i="1" s="1"/>
  <c r="L1359" i="1" s="1"/>
  <c r="L1358" i="1" s="1"/>
  <c r="M1359" i="1"/>
  <c r="G1343" i="1"/>
  <c r="I1343" i="1" s="1"/>
  <c r="L1343" i="1" s="1"/>
  <c r="L1342" i="1" s="1"/>
  <c r="M1343" i="1"/>
  <c r="G1327" i="1"/>
  <c r="I1327" i="1" s="1"/>
  <c r="L1327" i="1" s="1"/>
  <c r="L1326" i="1" s="1"/>
  <c r="M1327" i="1"/>
  <c r="K1231" i="1"/>
  <c r="K1165" i="1"/>
  <c r="K1163" i="1"/>
  <c r="J1379" i="1"/>
  <c r="N1369" i="1"/>
  <c r="N1353" i="1"/>
  <c r="N1337" i="1"/>
  <c r="N1321" i="1"/>
  <c r="K1309" i="1"/>
  <c r="N1305" i="1"/>
  <c r="M1295" i="1"/>
  <c r="K1293" i="1"/>
  <c r="N1289" i="1"/>
  <c r="M1279" i="1"/>
  <c r="K1277" i="1"/>
  <c r="N1273" i="1"/>
  <c r="M1263" i="1"/>
  <c r="K1261" i="1"/>
  <c r="K1257" i="1"/>
  <c r="G1255" i="1"/>
  <c r="I1255" i="1" s="1"/>
  <c r="L1255" i="1" s="1"/>
  <c r="L1254" i="1" s="1"/>
  <c r="K1255" i="1"/>
  <c r="M1243" i="1"/>
  <c r="G1239" i="1"/>
  <c r="I1239" i="1" s="1"/>
  <c r="K1239" i="1"/>
  <c r="M1237" i="1"/>
  <c r="N1235" i="1"/>
  <c r="K1229" i="1"/>
  <c r="M1225" i="1"/>
  <c r="N1223" i="1"/>
  <c r="M1223" i="1"/>
  <c r="K1217" i="1"/>
  <c r="G1211" i="1"/>
  <c r="I1211" i="1" s="1"/>
  <c r="M1209" i="1"/>
  <c r="K1205" i="1"/>
  <c r="M1203" i="1"/>
  <c r="G1195" i="1"/>
  <c r="I1195" i="1" s="1"/>
  <c r="L1195" i="1" s="1"/>
  <c r="L1194" i="1" s="1"/>
  <c r="M1193" i="1"/>
  <c r="K1189" i="1"/>
  <c r="M1187" i="1"/>
  <c r="G1179" i="1"/>
  <c r="I1179" i="1" s="1"/>
  <c r="L1179" i="1" s="1"/>
  <c r="L1178" i="1" s="1"/>
  <c r="M1177" i="1"/>
  <c r="K1173" i="1"/>
  <c r="N1171" i="1"/>
  <c r="M1171" i="1"/>
  <c r="G1167" i="1"/>
  <c r="I1167" i="1" s="1"/>
  <c r="L1167" i="1" s="1"/>
  <c r="L1166" i="1" s="1"/>
  <c r="M1161" i="1"/>
  <c r="K1161" i="1"/>
  <c r="G1157" i="1"/>
  <c r="I1157" i="1" s="1"/>
  <c r="L1157" i="1" s="1"/>
  <c r="L1156" i="1" s="1"/>
  <c r="K1155" i="1"/>
  <c r="J1147" i="1"/>
  <c r="N1143" i="1"/>
  <c r="N1139" i="1"/>
  <c r="N1137" i="1"/>
  <c r="G1133" i="1"/>
  <c r="I1133" i="1" s="1"/>
  <c r="L1133" i="1" s="1"/>
  <c r="L1132" i="1" s="1"/>
  <c r="G1129" i="1"/>
  <c r="I1129" i="1" s="1"/>
  <c r="L1129" i="1" s="1"/>
  <c r="L1128" i="1" s="1"/>
  <c r="G1125" i="1"/>
  <c r="I1125" i="1" s="1"/>
  <c r="L1125" i="1" s="1"/>
  <c r="L1124" i="1" s="1"/>
  <c r="G1121" i="1"/>
  <c r="I1121" i="1" s="1"/>
  <c r="L1121" i="1" s="1"/>
  <c r="L1120" i="1" s="1"/>
  <c r="G1117" i="1"/>
  <c r="I1117" i="1" s="1"/>
  <c r="G1113" i="1"/>
  <c r="I1113" i="1" s="1"/>
  <c r="G1109" i="1"/>
  <c r="I1109" i="1" s="1"/>
  <c r="G1105" i="1"/>
  <c r="I1105" i="1" s="1"/>
  <c r="G1101" i="1"/>
  <c r="I1101" i="1" s="1"/>
  <c r="L1101" i="1" s="1"/>
  <c r="L1100" i="1" s="1"/>
  <c r="G1097" i="1"/>
  <c r="I1097" i="1" s="1"/>
  <c r="L1097" i="1" s="1"/>
  <c r="L1096" i="1" s="1"/>
  <c r="M1469" i="1"/>
  <c r="M1467" i="1"/>
  <c r="M1465" i="1"/>
  <c r="M1463" i="1"/>
  <c r="M1461" i="1"/>
  <c r="M1459" i="1"/>
  <c r="M1435" i="1"/>
  <c r="M1433" i="1"/>
  <c r="M1431" i="1"/>
  <c r="M1429" i="1"/>
  <c r="M1427" i="1"/>
  <c r="M1425" i="1"/>
  <c r="M1423" i="1"/>
  <c r="M1421" i="1"/>
  <c r="M1419" i="1"/>
  <c r="M1417" i="1"/>
  <c r="M1415" i="1"/>
  <c r="M1413" i="1"/>
  <c r="M1411" i="1"/>
  <c r="M1409" i="1"/>
  <c r="M1407" i="1"/>
  <c r="M1405" i="1"/>
  <c r="M1403" i="1"/>
  <c r="M1401" i="1"/>
  <c r="M1399" i="1"/>
  <c r="M1397" i="1"/>
  <c r="M1395" i="1"/>
  <c r="M1393" i="1"/>
  <c r="M1391" i="1"/>
  <c r="M1389" i="1"/>
  <c r="J1385" i="1"/>
  <c r="M1381" i="1"/>
  <c r="M1377" i="1"/>
  <c r="N1365" i="1"/>
  <c r="N1349" i="1"/>
  <c r="N1333" i="1"/>
  <c r="N1317" i="1"/>
  <c r="M1307" i="1"/>
  <c r="N1301" i="1"/>
  <c r="M1291" i="1"/>
  <c r="N1285" i="1"/>
  <c r="M1275" i="1"/>
  <c r="N1269" i="1"/>
  <c r="M1259" i="1"/>
  <c r="K1253" i="1"/>
  <c r="K1249" i="1"/>
  <c r="G1247" i="1"/>
  <c r="I1247" i="1" s="1"/>
  <c r="K1247" i="1"/>
  <c r="M1245" i="1"/>
  <c r="N1243" i="1"/>
  <c r="K1235" i="1"/>
  <c r="M1233" i="1"/>
  <c r="M1231" i="1"/>
  <c r="M1219" i="1"/>
  <c r="G1217" i="1"/>
  <c r="I1217" i="1" s="1"/>
  <c r="L1217" i="1" s="1"/>
  <c r="L1216" i="1" s="1"/>
  <c r="K1215" i="1"/>
  <c r="M1213" i="1"/>
  <c r="N1211" i="1"/>
  <c r="M1207" i="1"/>
  <c r="M1197" i="1"/>
  <c r="N1195" i="1"/>
  <c r="M1191" i="1"/>
  <c r="G1183" i="1"/>
  <c r="I1183" i="1" s="1"/>
  <c r="L1183" i="1" s="1"/>
  <c r="L1182" i="1" s="1"/>
  <c r="M1181" i="1"/>
  <c r="N1179" i="1"/>
  <c r="M1175" i="1"/>
  <c r="G1173" i="1"/>
  <c r="I1173" i="1" s="1"/>
  <c r="L1173" i="1" s="1"/>
  <c r="L1172" i="1" s="1"/>
  <c r="G1171" i="1"/>
  <c r="I1171" i="1" s="1"/>
  <c r="L1171" i="1" s="1"/>
  <c r="L1170" i="1" s="1"/>
  <c r="G1161" i="1"/>
  <c r="I1161" i="1" s="1"/>
  <c r="L1161" i="1" s="1"/>
  <c r="L1160" i="1" s="1"/>
  <c r="N1159" i="1"/>
  <c r="K1157" i="1"/>
  <c r="M1151" i="1"/>
  <c r="J1141" i="1"/>
  <c r="J1387" i="1"/>
  <c r="M1261" i="1"/>
  <c r="M1255" i="1"/>
  <c r="M1251" i="1"/>
  <c r="M1241" i="1"/>
  <c r="M1239" i="1"/>
  <c r="M1227" i="1"/>
  <c r="K1223" i="1"/>
  <c r="M1221" i="1"/>
  <c r="M1211" i="1"/>
  <c r="M1201" i="1"/>
  <c r="N1199" i="1"/>
  <c r="M1195" i="1"/>
  <c r="M1185" i="1"/>
  <c r="N1183" i="1"/>
  <c r="M1179" i="1"/>
  <c r="K1167" i="1"/>
  <c r="M1167" i="1"/>
  <c r="K1159" i="1"/>
  <c r="N1151" i="1"/>
  <c r="G1151" i="1"/>
  <c r="I1151" i="1" s="1"/>
  <c r="L1151" i="1" s="1"/>
  <c r="L1150" i="1" s="1"/>
  <c r="J1135" i="1"/>
  <c r="J1131" i="1"/>
  <c r="J1127" i="1"/>
  <c r="J1123" i="1"/>
  <c r="J1119" i="1"/>
  <c r="J1115" i="1"/>
  <c r="J1111" i="1"/>
  <c r="J1107" i="1"/>
  <c r="J1103" i="1"/>
  <c r="J1099" i="1"/>
  <c r="J1081" i="1"/>
  <c r="J1073" i="1"/>
  <c r="I1069" i="1"/>
  <c r="L1069" i="1" s="1"/>
  <c r="L1068" i="1" s="1"/>
  <c r="J1065" i="1"/>
  <c r="I1061" i="1"/>
  <c r="L1061" i="1" s="1"/>
  <c r="L1060" i="1" s="1"/>
  <c r="J1057" i="1"/>
  <c r="J1049" i="1"/>
  <c r="I1045" i="1"/>
  <c r="L1045" i="1" s="1"/>
  <c r="L1044" i="1" s="1"/>
  <c r="I1037" i="1"/>
  <c r="L1037" i="1" s="1"/>
  <c r="L1036" i="1" s="1"/>
  <c r="I1029" i="1"/>
  <c r="L1029" i="1" s="1"/>
  <c r="L1028" i="1" s="1"/>
  <c r="G1023" i="1"/>
  <c r="I1023" i="1" s="1"/>
  <c r="L1023" i="1" s="1"/>
  <c r="L1022" i="1" s="1"/>
  <c r="N1023" i="1"/>
  <c r="G1019" i="1"/>
  <c r="I1019" i="1" s="1"/>
  <c r="L1019" i="1" s="1"/>
  <c r="L1018" i="1" s="1"/>
  <c r="N1019" i="1"/>
  <c r="G1015" i="1"/>
  <c r="I1015" i="1" s="1"/>
  <c r="L1015" i="1" s="1"/>
  <c r="L1014" i="1" s="1"/>
  <c r="N1015" i="1"/>
  <c r="G1011" i="1"/>
  <c r="I1011" i="1" s="1"/>
  <c r="L1011" i="1" s="1"/>
  <c r="L1010" i="1" s="1"/>
  <c r="N1011" i="1"/>
  <c r="G1007" i="1"/>
  <c r="I1007" i="1" s="1"/>
  <c r="L1007" i="1" s="1"/>
  <c r="L1006" i="1" s="1"/>
  <c r="N1007" i="1"/>
  <c r="G1003" i="1"/>
  <c r="I1003" i="1" s="1"/>
  <c r="L1003" i="1" s="1"/>
  <c r="L1002" i="1" s="1"/>
  <c r="N1003" i="1"/>
  <c r="M1165" i="1"/>
  <c r="M1159" i="1"/>
  <c r="N1145" i="1"/>
  <c r="G1135" i="1"/>
  <c r="I1135" i="1" s="1"/>
  <c r="L1135" i="1" s="1"/>
  <c r="L1134" i="1" s="1"/>
  <c r="J1133" i="1"/>
  <c r="G1131" i="1"/>
  <c r="I1131" i="1" s="1"/>
  <c r="L1131" i="1" s="1"/>
  <c r="L1130" i="1" s="1"/>
  <c r="J1129" i="1"/>
  <c r="G1127" i="1"/>
  <c r="I1127" i="1" s="1"/>
  <c r="L1127" i="1" s="1"/>
  <c r="L1126" i="1" s="1"/>
  <c r="J1125" i="1"/>
  <c r="G1123" i="1"/>
  <c r="I1123" i="1" s="1"/>
  <c r="L1123" i="1" s="1"/>
  <c r="L1122" i="1" s="1"/>
  <c r="J1121" i="1"/>
  <c r="G1119" i="1"/>
  <c r="I1119" i="1" s="1"/>
  <c r="L1119" i="1" s="1"/>
  <c r="L1118" i="1" s="1"/>
  <c r="J1117" i="1"/>
  <c r="G1115" i="1"/>
  <c r="I1115" i="1" s="1"/>
  <c r="L1115" i="1" s="1"/>
  <c r="L1114" i="1" s="1"/>
  <c r="J1113" i="1"/>
  <c r="G1111" i="1"/>
  <c r="I1111" i="1" s="1"/>
  <c r="L1111" i="1" s="1"/>
  <c r="L1110" i="1" s="1"/>
  <c r="J1109" i="1"/>
  <c r="G1107" i="1"/>
  <c r="I1107" i="1" s="1"/>
  <c r="L1107" i="1" s="1"/>
  <c r="L1106" i="1" s="1"/>
  <c r="J1105" i="1"/>
  <c r="G1103" i="1"/>
  <c r="I1103" i="1" s="1"/>
  <c r="L1103" i="1" s="1"/>
  <c r="L1102" i="1" s="1"/>
  <c r="J1101" i="1"/>
  <c r="G1099" i="1"/>
  <c r="I1099" i="1" s="1"/>
  <c r="L1099" i="1" s="1"/>
  <c r="L1098" i="1" s="1"/>
  <c r="J1097" i="1"/>
  <c r="G1095" i="1"/>
  <c r="I1095" i="1" s="1"/>
  <c r="J1093" i="1"/>
  <c r="G1091" i="1"/>
  <c r="I1091" i="1" s="1"/>
  <c r="J1089" i="1"/>
  <c r="G1087" i="1"/>
  <c r="I1087" i="1" s="1"/>
  <c r="J1085" i="1"/>
  <c r="N1083" i="1"/>
  <c r="J1083" i="1"/>
  <c r="G1079" i="1"/>
  <c r="I1079" i="1" s="1"/>
  <c r="L1079" i="1" s="1"/>
  <c r="L1078" i="1" s="1"/>
  <c r="N1075" i="1"/>
  <c r="J1075" i="1"/>
  <c r="G1071" i="1"/>
  <c r="I1071" i="1" s="1"/>
  <c r="L1071" i="1" s="1"/>
  <c r="L1070" i="1" s="1"/>
  <c r="N1067" i="1"/>
  <c r="J1067" i="1"/>
  <c r="G1063" i="1"/>
  <c r="I1063" i="1" s="1"/>
  <c r="L1063" i="1" s="1"/>
  <c r="L1062" i="1" s="1"/>
  <c r="N1059" i="1"/>
  <c r="J1059" i="1"/>
  <c r="G1055" i="1"/>
  <c r="I1055" i="1" s="1"/>
  <c r="N1051" i="1"/>
  <c r="J1051" i="1"/>
  <c r="G1047" i="1"/>
  <c r="I1047" i="1" s="1"/>
  <c r="L1047" i="1" s="1"/>
  <c r="L1046" i="1" s="1"/>
  <c r="N1043" i="1"/>
  <c r="J1043" i="1"/>
  <c r="G1039" i="1"/>
  <c r="I1039" i="1" s="1"/>
  <c r="L1039" i="1" s="1"/>
  <c r="L1038" i="1" s="1"/>
  <c r="N1035" i="1"/>
  <c r="J1035" i="1"/>
  <c r="G1031" i="1"/>
  <c r="I1031" i="1" s="1"/>
  <c r="L1031" i="1" s="1"/>
  <c r="L1030" i="1" s="1"/>
  <c r="N1027" i="1"/>
  <c r="J1027" i="1"/>
  <c r="N999" i="1"/>
  <c r="M999" i="1"/>
  <c r="M997" i="1"/>
  <c r="N997" i="1"/>
  <c r="M989" i="1"/>
  <c r="M983" i="1"/>
  <c r="M1169" i="1"/>
  <c r="M1163" i="1"/>
  <c r="M1153" i="1"/>
  <c r="K1149" i="1"/>
  <c r="J1149" i="1"/>
  <c r="J1139" i="1"/>
  <c r="G1081" i="1"/>
  <c r="I1081" i="1" s="1"/>
  <c r="N1077" i="1"/>
  <c r="J1077" i="1"/>
  <c r="G1073" i="1"/>
  <c r="I1073" i="1" s="1"/>
  <c r="L1073" i="1" s="1"/>
  <c r="L1072" i="1" s="1"/>
  <c r="N1069" i="1"/>
  <c r="J1069" i="1"/>
  <c r="G1065" i="1"/>
  <c r="I1065" i="1" s="1"/>
  <c r="N1061" i="1"/>
  <c r="J1061" i="1"/>
  <c r="G1057" i="1"/>
  <c r="I1057" i="1" s="1"/>
  <c r="L1057" i="1" s="1"/>
  <c r="L1056" i="1" s="1"/>
  <c r="N1053" i="1"/>
  <c r="J1053" i="1"/>
  <c r="G1049" i="1"/>
  <c r="I1049" i="1" s="1"/>
  <c r="N1045" i="1"/>
  <c r="J1045" i="1"/>
  <c r="G1041" i="1"/>
  <c r="I1041" i="1" s="1"/>
  <c r="N1037" i="1"/>
  <c r="J1037" i="1"/>
  <c r="G1033" i="1"/>
  <c r="I1033" i="1" s="1"/>
  <c r="L1033" i="1" s="1"/>
  <c r="L1032" i="1" s="1"/>
  <c r="N1029" i="1"/>
  <c r="J1029" i="1"/>
  <c r="I1093" i="1"/>
  <c r="L1093" i="1" s="1"/>
  <c r="L1092" i="1" s="1"/>
  <c r="I1089" i="1"/>
  <c r="L1089" i="1" s="1"/>
  <c r="L1088" i="1" s="1"/>
  <c r="I1085" i="1"/>
  <c r="L1085" i="1" s="1"/>
  <c r="L1084" i="1" s="1"/>
  <c r="I1083" i="1"/>
  <c r="L1083" i="1" s="1"/>
  <c r="L1082" i="1" s="1"/>
  <c r="I1075" i="1"/>
  <c r="L1075" i="1" s="1"/>
  <c r="L1074" i="1" s="1"/>
  <c r="I1067" i="1"/>
  <c r="L1067" i="1" s="1"/>
  <c r="L1066" i="1" s="1"/>
  <c r="I1059" i="1"/>
  <c r="L1059" i="1" s="1"/>
  <c r="L1058" i="1" s="1"/>
  <c r="I1051" i="1"/>
  <c r="L1051" i="1" s="1"/>
  <c r="L1050" i="1" s="1"/>
  <c r="J1047" i="1"/>
  <c r="I1043" i="1"/>
  <c r="L1043" i="1" s="1"/>
  <c r="L1042" i="1" s="1"/>
  <c r="J1039" i="1"/>
  <c r="I1035" i="1"/>
  <c r="L1035" i="1" s="1"/>
  <c r="L1034" i="1" s="1"/>
  <c r="J1031" i="1"/>
  <c r="I1027" i="1"/>
  <c r="L1027" i="1" s="1"/>
  <c r="L1026" i="1" s="1"/>
  <c r="M981" i="1"/>
  <c r="J981" i="1"/>
  <c r="J999" i="1"/>
  <c r="M977" i="1"/>
  <c r="J975" i="1"/>
  <c r="M969" i="1"/>
  <c r="J967" i="1"/>
  <c r="M961" i="1"/>
  <c r="J959" i="1"/>
  <c r="M953" i="1"/>
  <c r="J951" i="1"/>
  <c r="M945" i="1"/>
  <c r="J925" i="1"/>
  <c r="J909" i="1"/>
  <c r="J891" i="1"/>
  <c r="M881" i="1"/>
  <c r="N853" i="1"/>
  <c r="K845" i="1"/>
  <c r="N823" i="1"/>
  <c r="M823" i="1"/>
  <c r="I803" i="1"/>
  <c r="L803" i="1" s="1"/>
  <c r="L802" i="1" s="1"/>
  <c r="K785" i="1"/>
  <c r="M769" i="1"/>
  <c r="G769" i="1"/>
  <c r="I769" i="1" s="1"/>
  <c r="L769" i="1" s="1"/>
  <c r="L768" i="1" s="1"/>
  <c r="K753" i="1"/>
  <c r="M735" i="1"/>
  <c r="G735" i="1"/>
  <c r="I735" i="1" s="1"/>
  <c r="L735" i="1" s="1"/>
  <c r="L734" i="1" s="1"/>
  <c r="N733" i="1"/>
  <c r="N721" i="1"/>
  <c r="G721" i="1"/>
  <c r="I721" i="1" s="1"/>
  <c r="L721" i="1" s="1"/>
  <c r="L720" i="1" s="1"/>
  <c r="M929" i="1"/>
  <c r="J923" i="1"/>
  <c r="M913" i="1"/>
  <c r="J907" i="1"/>
  <c r="M897" i="1"/>
  <c r="J885" i="1"/>
  <c r="J877" i="1"/>
  <c r="H837" i="1"/>
  <c r="N831" i="1"/>
  <c r="K805" i="1"/>
  <c r="N805" i="1"/>
  <c r="N737" i="1"/>
  <c r="G737" i="1"/>
  <c r="N729" i="1"/>
  <c r="G729" i="1"/>
  <c r="I729" i="1" s="1"/>
  <c r="L729" i="1" s="1"/>
  <c r="L728" i="1" s="1"/>
  <c r="J573" i="1"/>
  <c r="M573" i="1"/>
  <c r="J553" i="1"/>
  <c r="G997" i="1"/>
  <c r="M973" i="1"/>
  <c r="M965" i="1"/>
  <c r="M957" i="1"/>
  <c r="M949" i="1"/>
  <c r="M941" i="1"/>
  <c r="J933" i="1"/>
  <c r="J929" i="1"/>
  <c r="J917" i="1"/>
  <c r="J913" i="1"/>
  <c r="J901" i="1"/>
  <c r="J897" i="1"/>
  <c r="J893" i="1"/>
  <c r="M887" i="1"/>
  <c r="M879" i="1"/>
  <c r="M871" i="1"/>
  <c r="N865" i="1"/>
  <c r="M863" i="1"/>
  <c r="K853" i="1"/>
  <c r="J847" i="1"/>
  <c r="N839" i="1"/>
  <c r="K837" i="1"/>
  <c r="G831" i="1"/>
  <c r="I831" i="1" s="1"/>
  <c r="L831" i="1" s="1"/>
  <c r="L830" i="1" s="1"/>
  <c r="G829" i="1"/>
  <c r="H829" i="1" s="1"/>
  <c r="K829" i="1"/>
  <c r="G823" i="1"/>
  <c r="I823" i="1" s="1"/>
  <c r="L823" i="1" s="1"/>
  <c r="L822" i="1" s="1"/>
  <c r="J823" i="1"/>
  <c r="M775" i="1"/>
  <c r="G775" i="1"/>
  <c r="I775" i="1" s="1"/>
  <c r="L775" i="1" s="1"/>
  <c r="L774" i="1" s="1"/>
  <c r="M771" i="1"/>
  <c r="K771" i="1"/>
  <c r="N769" i="1"/>
  <c r="M743" i="1"/>
  <c r="G743" i="1"/>
  <c r="I743" i="1" s="1"/>
  <c r="L743" i="1" s="1"/>
  <c r="L742" i="1" s="1"/>
  <c r="G741" i="1"/>
  <c r="I741" i="1" s="1"/>
  <c r="L741" i="1" s="1"/>
  <c r="L740" i="1" s="1"/>
  <c r="I737" i="1"/>
  <c r="L737" i="1" s="1"/>
  <c r="L736" i="1" s="1"/>
  <c r="K737" i="1"/>
  <c r="K729" i="1"/>
  <c r="G725" i="1"/>
  <c r="I725" i="1" s="1"/>
  <c r="L725" i="1" s="1"/>
  <c r="L724" i="1" s="1"/>
  <c r="G711" i="1"/>
  <c r="I711" i="1" s="1"/>
  <c r="L711" i="1" s="1"/>
  <c r="L710" i="1" s="1"/>
  <c r="J589" i="1"/>
  <c r="M589" i="1"/>
  <c r="G1025" i="1"/>
  <c r="I1025" i="1" s="1"/>
  <c r="L1025" i="1" s="1"/>
  <c r="L1024" i="1" s="1"/>
  <c r="J1023" i="1"/>
  <c r="G1021" i="1"/>
  <c r="I1021" i="1" s="1"/>
  <c r="L1021" i="1" s="1"/>
  <c r="L1020" i="1" s="1"/>
  <c r="J1019" i="1"/>
  <c r="G1017" i="1"/>
  <c r="I1017" i="1" s="1"/>
  <c r="L1017" i="1" s="1"/>
  <c r="L1016" i="1" s="1"/>
  <c r="J1015" i="1"/>
  <c r="G1013" i="1"/>
  <c r="I1013" i="1" s="1"/>
  <c r="L1013" i="1" s="1"/>
  <c r="L1012" i="1" s="1"/>
  <c r="J1011" i="1"/>
  <c r="G1009" i="1"/>
  <c r="I1009" i="1" s="1"/>
  <c r="J1007" i="1"/>
  <c r="G1005" i="1"/>
  <c r="I1005" i="1" s="1"/>
  <c r="L1005" i="1" s="1"/>
  <c r="L1004" i="1" s="1"/>
  <c r="J1003" i="1"/>
  <c r="G1001" i="1"/>
  <c r="G999" i="1"/>
  <c r="H999" i="1" s="1"/>
  <c r="J997" i="1"/>
  <c r="M971" i="1"/>
  <c r="M963" i="1"/>
  <c r="M955" i="1"/>
  <c r="M947" i="1"/>
  <c r="J937" i="1"/>
  <c r="J931" i="1"/>
  <c r="M921" i="1"/>
  <c r="J915" i="1"/>
  <c r="M905" i="1"/>
  <c r="J899" i="1"/>
  <c r="J875" i="1"/>
  <c r="N861" i="1"/>
  <c r="K861" i="1"/>
  <c r="N855" i="1"/>
  <c r="M855" i="1"/>
  <c r="G845" i="1"/>
  <c r="H845" i="1" s="1"/>
  <c r="G835" i="1"/>
  <c r="I835" i="1" s="1"/>
  <c r="L835" i="1" s="1"/>
  <c r="L834" i="1" s="1"/>
  <c r="M831" i="1"/>
  <c r="N821" i="1"/>
  <c r="N817" i="1"/>
  <c r="G813" i="1"/>
  <c r="H813" i="1" s="1"/>
  <c r="K813" i="1"/>
  <c r="N807" i="1"/>
  <c r="G807" i="1"/>
  <c r="I807" i="1" s="1"/>
  <c r="L807" i="1" s="1"/>
  <c r="L806" i="1" s="1"/>
  <c r="M807" i="1"/>
  <c r="G793" i="1"/>
  <c r="I793" i="1" s="1"/>
  <c r="L793" i="1" s="1"/>
  <c r="L792" i="1" s="1"/>
  <c r="N777" i="1"/>
  <c r="G777" i="1"/>
  <c r="I777" i="1" s="1"/>
  <c r="L777" i="1" s="1"/>
  <c r="L776" i="1" s="1"/>
  <c r="M765" i="1"/>
  <c r="K765" i="1"/>
  <c r="N765" i="1"/>
  <c r="K763" i="1"/>
  <c r="G761" i="1"/>
  <c r="I761" i="1" s="1"/>
  <c r="L761" i="1" s="1"/>
  <c r="L760" i="1" s="1"/>
  <c r="N745" i="1"/>
  <c r="G745" i="1"/>
  <c r="I745" i="1" s="1"/>
  <c r="L745" i="1" s="1"/>
  <c r="L744" i="1" s="1"/>
  <c r="G733" i="1"/>
  <c r="I733" i="1" s="1"/>
  <c r="L733" i="1" s="1"/>
  <c r="L732" i="1" s="1"/>
  <c r="N725" i="1"/>
  <c r="G719" i="1"/>
  <c r="I719" i="1" s="1"/>
  <c r="L719" i="1" s="1"/>
  <c r="L718" i="1" s="1"/>
  <c r="N713" i="1"/>
  <c r="G713" i="1"/>
  <c r="I713" i="1" s="1"/>
  <c r="L713" i="1" s="1"/>
  <c r="L712" i="1" s="1"/>
  <c r="I697" i="1"/>
  <c r="L697" i="1" s="1"/>
  <c r="L696" i="1" s="1"/>
  <c r="I689" i="1"/>
  <c r="L689" i="1" s="1"/>
  <c r="L688" i="1" s="1"/>
  <c r="I685" i="1"/>
  <c r="I681" i="1"/>
  <c r="L681" i="1" s="1"/>
  <c r="L680" i="1" s="1"/>
  <c r="I673" i="1"/>
  <c r="L673" i="1" s="1"/>
  <c r="L672" i="1" s="1"/>
  <c r="I669" i="1"/>
  <c r="L669" i="1" s="1"/>
  <c r="L668" i="1" s="1"/>
  <c r="I657" i="1"/>
  <c r="L657" i="1" s="1"/>
  <c r="L656" i="1" s="1"/>
  <c r="I653" i="1"/>
  <c r="L653" i="1" s="1"/>
  <c r="L652" i="1" s="1"/>
  <c r="I649" i="1"/>
  <c r="L649" i="1" s="1"/>
  <c r="L648" i="1" s="1"/>
  <c r="J593" i="1"/>
  <c r="G827" i="1"/>
  <c r="I827" i="1" s="1"/>
  <c r="L827" i="1" s="1"/>
  <c r="L826" i="1" s="1"/>
  <c r="J815" i="1"/>
  <c r="G805" i="1"/>
  <c r="H805" i="1" s="1"/>
  <c r="N799" i="1"/>
  <c r="G795" i="1"/>
  <c r="I795" i="1" s="1"/>
  <c r="L795" i="1" s="1"/>
  <c r="L794" i="1" s="1"/>
  <c r="N793" i="1"/>
  <c r="M793" i="1"/>
  <c r="M789" i="1"/>
  <c r="K777" i="1"/>
  <c r="M767" i="1"/>
  <c r="M763" i="1"/>
  <c r="N761" i="1"/>
  <c r="M761" i="1"/>
  <c r="M757" i="1"/>
  <c r="K745" i="1"/>
  <c r="K741" i="1"/>
  <c r="M741" i="1"/>
  <c r="M733" i="1"/>
  <c r="M725" i="1"/>
  <c r="M717" i="1"/>
  <c r="M709" i="1"/>
  <c r="G643" i="1"/>
  <c r="I643" i="1" s="1"/>
  <c r="L643" i="1" s="1"/>
  <c r="L642" i="1" s="1"/>
  <c r="I635" i="1"/>
  <c r="L635" i="1" s="1"/>
  <c r="L634" i="1" s="1"/>
  <c r="I623" i="1"/>
  <c r="L623" i="1" s="1"/>
  <c r="L622" i="1" s="1"/>
  <c r="I619" i="1"/>
  <c r="L619" i="1" s="1"/>
  <c r="L618" i="1" s="1"/>
  <c r="I615" i="1"/>
  <c r="L615" i="1" s="1"/>
  <c r="L614" i="1" s="1"/>
  <c r="M593" i="1"/>
  <c r="J583" i="1"/>
  <c r="J545" i="1"/>
  <c r="J531" i="1"/>
  <c r="G501" i="1"/>
  <c r="I501" i="1" s="1"/>
  <c r="L501" i="1" s="1"/>
  <c r="L500" i="1" s="1"/>
  <c r="M457" i="1"/>
  <c r="K457" i="1"/>
  <c r="M451" i="1"/>
  <c r="K451" i="1"/>
  <c r="N451" i="1"/>
  <c r="N371" i="1"/>
  <c r="G819" i="1"/>
  <c r="I819" i="1" s="1"/>
  <c r="L819" i="1" s="1"/>
  <c r="L818" i="1" s="1"/>
  <c r="J807" i="1"/>
  <c r="H803" i="1"/>
  <c r="G797" i="1"/>
  <c r="H797" i="1" s="1"/>
  <c r="K769" i="1"/>
  <c r="M731" i="1"/>
  <c r="M723" i="1"/>
  <c r="M715" i="1"/>
  <c r="G695" i="1"/>
  <c r="I695" i="1" s="1"/>
  <c r="L695" i="1" s="1"/>
  <c r="L694" i="1" s="1"/>
  <c r="G691" i="1"/>
  <c r="I691" i="1" s="1"/>
  <c r="L691" i="1" s="1"/>
  <c r="L690" i="1" s="1"/>
  <c r="G687" i="1"/>
  <c r="I687" i="1" s="1"/>
  <c r="L687" i="1" s="1"/>
  <c r="L686" i="1" s="1"/>
  <c r="G683" i="1"/>
  <c r="I683" i="1" s="1"/>
  <c r="G679" i="1"/>
  <c r="I679" i="1" s="1"/>
  <c r="L679" i="1" s="1"/>
  <c r="L678" i="1" s="1"/>
  <c r="G675" i="1"/>
  <c r="I675" i="1" s="1"/>
  <c r="L675" i="1" s="1"/>
  <c r="L674" i="1" s="1"/>
  <c r="G671" i="1"/>
  <c r="I671" i="1" s="1"/>
  <c r="L671" i="1" s="1"/>
  <c r="L670" i="1" s="1"/>
  <c r="G667" i="1"/>
  <c r="I667" i="1" s="1"/>
  <c r="L667" i="1" s="1"/>
  <c r="L666" i="1" s="1"/>
  <c r="G663" i="1"/>
  <c r="I663" i="1" s="1"/>
  <c r="L663" i="1" s="1"/>
  <c r="L662" i="1" s="1"/>
  <c r="G659" i="1"/>
  <c r="I659" i="1" s="1"/>
  <c r="L659" i="1" s="1"/>
  <c r="L658" i="1" s="1"/>
  <c r="G655" i="1"/>
  <c r="I655" i="1" s="1"/>
  <c r="L655" i="1" s="1"/>
  <c r="L654" i="1" s="1"/>
  <c r="G651" i="1"/>
  <c r="I651" i="1" s="1"/>
  <c r="L651" i="1" s="1"/>
  <c r="L650" i="1" s="1"/>
  <c r="N643" i="1"/>
  <c r="N639" i="1"/>
  <c r="N635" i="1"/>
  <c r="N631" i="1"/>
  <c r="N627" i="1"/>
  <c r="N623" i="1"/>
  <c r="N619" i="1"/>
  <c r="N615" i="1"/>
  <c r="N611" i="1"/>
  <c r="M605" i="1"/>
  <c r="G605" i="1"/>
  <c r="I605" i="1" s="1"/>
  <c r="L605" i="1" s="1"/>
  <c r="L604" i="1" s="1"/>
  <c r="N605" i="1"/>
  <c r="G603" i="1"/>
  <c r="J565" i="1"/>
  <c r="J555" i="1"/>
  <c r="J537" i="1"/>
  <c r="J525" i="1"/>
  <c r="N523" i="1"/>
  <c r="G505" i="1"/>
  <c r="H505" i="1" s="1"/>
  <c r="N505" i="1"/>
  <c r="M503" i="1"/>
  <c r="N503" i="1"/>
  <c r="G503" i="1"/>
  <c r="I503" i="1" s="1"/>
  <c r="L503" i="1" s="1"/>
  <c r="L502" i="1" s="1"/>
  <c r="K485" i="1"/>
  <c r="N385" i="1"/>
  <c r="G385" i="1"/>
  <c r="I385" i="1" s="1"/>
  <c r="L385" i="1" s="1"/>
  <c r="L384" i="1" s="1"/>
  <c r="M385" i="1"/>
  <c r="G377" i="1"/>
  <c r="I377" i="1" s="1"/>
  <c r="L377" i="1" s="1"/>
  <c r="L376" i="1" s="1"/>
  <c r="M377" i="1"/>
  <c r="M889" i="1"/>
  <c r="J883" i="1"/>
  <c r="M873" i="1"/>
  <c r="G853" i="1"/>
  <c r="H853" i="1" s="1"/>
  <c r="N847" i="1"/>
  <c r="G843" i="1"/>
  <c r="I843" i="1" s="1"/>
  <c r="L843" i="1" s="1"/>
  <c r="L842" i="1" s="1"/>
  <c r="J831" i="1"/>
  <c r="G821" i="1"/>
  <c r="H821" i="1" s="1"/>
  <c r="N815" i="1"/>
  <c r="G811" i="1"/>
  <c r="I811" i="1" s="1"/>
  <c r="L811" i="1" s="1"/>
  <c r="L810" i="1" s="1"/>
  <c r="J799" i="1"/>
  <c r="K797" i="1"/>
  <c r="K793" i="1"/>
  <c r="M783" i="1"/>
  <c r="N781" i="1"/>
  <c r="M779" i="1"/>
  <c r="M777" i="1"/>
  <c r="M773" i="1"/>
  <c r="K761" i="1"/>
  <c r="M751" i="1"/>
  <c r="N749" i="1"/>
  <c r="M747" i="1"/>
  <c r="M745" i="1"/>
  <c r="M737" i="1"/>
  <c r="M729" i="1"/>
  <c r="M721" i="1"/>
  <c r="M713" i="1"/>
  <c r="G647" i="1"/>
  <c r="I647" i="1" s="1"/>
  <c r="L647" i="1" s="1"/>
  <c r="L646" i="1" s="1"/>
  <c r="J591" i="1"/>
  <c r="M587" i="1"/>
  <c r="J587" i="1"/>
  <c r="M585" i="1"/>
  <c r="M571" i="1"/>
  <c r="J571" i="1"/>
  <c r="J551" i="1"/>
  <c r="J529" i="1"/>
  <c r="G521" i="1"/>
  <c r="H521" i="1" s="1"/>
  <c r="N521" i="1"/>
  <c r="M495" i="1"/>
  <c r="N495" i="1"/>
  <c r="G391" i="1"/>
  <c r="H391" i="1" s="1"/>
  <c r="K391" i="1"/>
  <c r="N391" i="1"/>
  <c r="G607" i="1"/>
  <c r="I607" i="1" s="1"/>
  <c r="L607" i="1" s="1"/>
  <c r="L606" i="1" s="1"/>
  <c r="J601" i="1"/>
  <c r="M595" i="1"/>
  <c r="J577" i="1"/>
  <c r="J575" i="1"/>
  <c r="M563" i="1"/>
  <c r="N519" i="1"/>
  <c r="N515" i="1"/>
  <c r="G513" i="1"/>
  <c r="H513" i="1" s="1"/>
  <c r="G495" i="1"/>
  <c r="M493" i="1"/>
  <c r="N487" i="1"/>
  <c r="M483" i="1"/>
  <c r="K483" i="1"/>
  <c r="N483" i="1"/>
  <c r="N479" i="1"/>
  <c r="K477" i="1"/>
  <c r="M455" i="1"/>
  <c r="G455" i="1"/>
  <c r="I455" i="1" s="1"/>
  <c r="L455" i="1" s="1"/>
  <c r="L454" i="1" s="1"/>
  <c r="K383" i="1"/>
  <c r="N383" i="1"/>
  <c r="K375" i="1"/>
  <c r="N375" i="1"/>
  <c r="N353" i="1"/>
  <c r="G353" i="1"/>
  <c r="I353" i="1" s="1"/>
  <c r="L353" i="1" s="1"/>
  <c r="L352" i="1" s="1"/>
  <c r="M353" i="1"/>
  <c r="G345" i="1"/>
  <c r="I345" i="1" s="1"/>
  <c r="L345" i="1" s="1"/>
  <c r="L344" i="1" s="1"/>
  <c r="M345" i="1"/>
  <c r="N339" i="1"/>
  <c r="M331" i="1"/>
  <c r="G331" i="1"/>
  <c r="I331" i="1" s="1"/>
  <c r="L331" i="1" s="1"/>
  <c r="L330" i="1" s="1"/>
  <c r="N331" i="1"/>
  <c r="H647" i="1"/>
  <c r="G645" i="1"/>
  <c r="I645" i="1" s="1"/>
  <c r="L645" i="1" s="1"/>
  <c r="L644" i="1" s="1"/>
  <c r="G641" i="1"/>
  <c r="I641" i="1" s="1"/>
  <c r="L641" i="1" s="1"/>
  <c r="L640" i="1" s="1"/>
  <c r="H639" i="1"/>
  <c r="G637" i="1"/>
  <c r="I637" i="1" s="1"/>
  <c r="L637" i="1" s="1"/>
  <c r="L636" i="1" s="1"/>
  <c r="H635" i="1"/>
  <c r="G633" i="1"/>
  <c r="I633" i="1" s="1"/>
  <c r="L633" i="1" s="1"/>
  <c r="L632" i="1" s="1"/>
  <c r="H631" i="1"/>
  <c r="G629" i="1"/>
  <c r="I629" i="1" s="1"/>
  <c r="L629" i="1" s="1"/>
  <c r="L628" i="1" s="1"/>
  <c r="G625" i="1"/>
  <c r="I625" i="1" s="1"/>
  <c r="L625" i="1" s="1"/>
  <c r="L624" i="1" s="1"/>
  <c r="H623" i="1"/>
  <c r="G621" i="1"/>
  <c r="I621" i="1" s="1"/>
  <c r="L621" i="1" s="1"/>
  <c r="L620" i="1" s="1"/>
  <c r="H619" i="1"/>
  <c r="G617" i="1"/>
  <c r="I617" i="1" s="1"/>
  <c r="L617" i="1" s="1"/>
  <c r="L616" i="1" s="1"/>
  <c r="H615" i="1"/>
  <c r="G613" i="1"/>
  <c r="I613" i="1" s="1"/>
  <c r="L613" i="1" s="1"/>
  <c r="L612" i="1" s="1"/>
  <c r="G609" i="1"/>
  <c r="I609" i="1" s="1"/>
  <c r="L609" i="1" s="1"/>
  <c r="L608" i="1" s="1"/>
  <c r="N607" i="1"/>
  <c r="J603" i="1"/>
  <c r="J595" i="1"/>
  <c r="M591" i="1"/>
  <c r="J569" i="1"/>
  <c r="J567" i="1"/>
  <c r="J563" i="1"/>
  <c r="M557" i="1"/>
  <c r="M555" i="1"/>
  <c r="M547" i="1"/>
  <c r="M541" i="1"/>
  <c r="M533" i="1"/>
  <c r="M519" i="1"/>
  <c r="N517" i="1"/>
  <c r="N513" i="1"/>
  <c r="N511" i="1"/>
  <c r="N507" i="1"/>
  <c r="K501" i="1"/>
  <c r="I495" i="1"/>
  <c r="L495" i="1" s="1"/>
  <c r="L494" i="1" s="1"/>
  <c r="G493" i="1"/>
  <c r="I493" i="1" s="1"/>
  <c r="L493" i="1" s="1"/>
  <c r="L492" i="1" s="1"/>
  <c r="K491" i="1"/>
  <c r="M489" i="1"/>
  <c r="G471" i="1"/>
  <c r="I471" i="1" s="1"/>
  <c r="L471" i="1" s="1"/>
  <c r="L470" i="1" s="1"/>
  <c r="N463" i="1"/>
  <c r="G463" i="1"/>
  <c r="I463" i="1" s="1"/>
  <c r="L463" i="1" s="1"/>
  <c r="L462" i="1" s="1"/>
  <c r="K443" i="1"/>
  <c r="N443" i="1"/>
  <c r="M361" i="1"/>
  <c r="G359" i="1"/>
  <c r="H359" i="1" s="1"/>
  <c r="K359" i="1"/>
  <c r="K351" i="1"/>
  <c r="N351" i="1"/>
  <c r="K343" i="1"/>
  <c r="N343" i="1"/>
  <c r="M327" i="1"/>
  <c r="K327" i="1"/>
  <c r="N327" i="1"/>
  <c r="K607" i="1"/>
  <c r="K605" i="1"/>
  <c r="M599" i="1"/>
  <c r="J585" i="1"/>
  <c r="M579" i="1"/>
  <c r="J561" i="1"/>
  <c r="J559" i="1"/>
  <c r="M539" i="1"/>
  <c r="M531" i="1"/>
  <c r="G519" i="1"/>
  <c r="I519" i="1" s="1"/>
  <c r="L519" i="1" s="1"/>
  <c r="L518" i="1" s="1"/>
  <c r="J519" i="1"/>
  <c r="M469" i="1"/>
  <c r="M461" i="1"/>
  <c r="G461" i="1"/>
  <c r="I461" i="1" s="1"/>
  <c r="L461" i="1" s="1"/>
  <c r="L460" i="1" s="1"/>
  <c r="K445" i="1"/>
  <c r="M485" i="1"/>
  <c r="M481" i="1"/>
  <c r="M479" i="1"/>
  <c r="M475" i="1"/>
  <c r="K469" i="1"/>
  <c r="M453" i="1"/>
  <c r="M449" i="1"/>
  <c r="N447" i="1"/>
  <c r="M447" i="1"/>
  <c r="M443" i="1"/>
  <c r="G383" i="1"/>
  <c r="H383" i="1" s="1"/>
  <c r="N377" i="1"/>
  <c r="G351" i="1"/>
  <c r="H351" i="1" s="1"/>
  <c r="N345" i="1"/>
  <c r="G341" i="1"/>
  <c r="I341" i="1" s="1"/>
  <c r="L341" i="1" s="1"/>
  <c r="L340" i="1" s="1"/>
  <c r="M499" i="1"/>
  <c r="K493" i="1"/>
  <c r="M477" i="1"/>
  <c r="M473" i="1"/>
  <c r="M471" i="1"/>
  <c r="M467" i="1"/>
  <c r="K461" i="1"/>
  <c r="M445" i="1"/>
  <c r="M441" i="1"/>
  <c r="G437" i="1"/>
  <c r="I437" i="1" s="1"/>
  <c r="L437" i="1" s="1"/>
  <c r="L436" i="1" s="1"/>
  <c r="G433" i="1"/>
  <c r="I433" i="1" s="1"/>
  <c r="L433" i="1" s="1"/>
  <c r="L432" i="1" s="1"/>
  <c r="G429" i="1"/>
  <c r="I429" i="1" s="1"/>
  <c r="L429" i="1" s="1"/>
  <c r="L428" i="1" s="1"/>
  <c r="G425" i="1"/>
  <c r="I425" i="1" s="1"/>
  <c r="L425" i="1" s="1"/>
  <c r="L424" i="1" s="1"/>
  <c r="G421" i="1"/>
  <c r="I421" i="1" s="1"/>
  <c r="L421" i="1" s="1"/>
  <c r="L420" i="1" s="1"/>
  <c r="G417" i="1"/>
  <c r="I417" i="1" s="1"/>
  <c r="L417" i="1" s="1"/>
  <c r="L416" i="1" s="1"/>
  <c r="G413" i="1"/>
  <c r="I413" i="1" s="1"/>
  <c r="L413" i="1" s="1"/>
  <c r="L412" i="1" s="1"/>
  <c r="G409" i="1"/>
  <c r="I409" i="1" s="1"/>
  <c r="G405" i="1"/>
  <c r="I405" i="1" s="1"/>
  <c r="L405" i="1" s="1"/>
  <c r="L404" i="1" s="1"/>
  <c r="G401" i="1"/>
  <c r="I401" i="1" s="1"/>
  <c r="L401" i="1" s="1"/>
  <c r="L400" i="1" s="1"/>
  <c r="G397" i="1"/>
  <c r="I397" i="1" s="1"/>
  <c r="L397" i="1" s="1"/>
  <c r="L396" i="1" s="1"/>
  <c r="G375" i="1"/>
  <c r="H375" i="1" s="1"/>
  <c r="N369" i="1"/>
  <c r="G343" i="1"/>
  <c r="H343" i="1" s="1"/>
  <c r="N337" i="1"/>
  <c r="K319" i="1"/>
  <c r="N319" i="1"/>
  <c r="K315" i="1"/>
  <c r="M465" i="1"/>
  <c r="M463" i="1"/>
  <c r="M459" i="1"/>
  <c r="K453" i="1"/>
  <c r="G367" i="1"/>
  <c r="H367" i="1" s="1"/>
  <c r="N361" i="1"/>
  <c r="N335" i="1"/>
  <c r="I333" i="1"/>
  <c r="L333" i="1" s="1"/>
  <c r="L332" i="1" s="1"/>
  <c r="G335" i="1"/>
  <c r="H335" i="1" s="1"/>
  <c r="M329" i="1"/>
  <c r="M325" i="1"/>
  <c r="M323" i="1"/>
  <c r="M319" i="1"/>
  <c r="G307" i="1"/>
  <c r="I307" i="1" s="1"/>
  <c r="L307" i="1" s="1"/>
  <c r="L306" i="1" s="1"/>
  <c r="K307" i="1"/>
  <c r="M297" i="1"/>
  <c r="N295" i="1"/>
  <c r="M293" i="1"/>
  <c r="N255" i="1"/>
  <c r="O255" i="1" s="1"/>
  <c r="O254" i="1" s="1"/>
  <c r="K331" i="1"/>
  <c r="M321" i="1"/>
  <c r="M317" i="1"/>
  <c r="M315" i="1"/>
  <c r="M311" i="1"/>
  <c r="G305" i="1"/>
  <c r="I305" i="1" s="1"/>
  <c r="L305" i="1" s="1"/>
  <c r="L304" i="1" s="1"/>
  <c r="K301" i="1"/>
  <c r="G299" i="1"/>
  <c r="I299" i="1" s="1"/>
  <c r="L299" i="1" s="1"/>
  <c r="L298" i="1" s="1"/>
  <c r="K299" i="1"/>
  <c r="K295" i="1"/>
  <c r="J287" i="1"/>
  <c r="J281" i="1"/>
  <c r="J247" i="1"/>
  <c r="J215" i="1"/>
  <c r="K323" i="1"/>
  <c r="M313" i="1"/>
  <c r="M309" i="1"/>
  <c r="M307" i="1"/>
  <c r="M303" i="1"/>
  <c r="J241" i="1"/>
  <c r="J219" i="1"/>
  <c r="J227" i="1"/>
  <c r="H183" i="1"/>
  <c r="H167" i="1"/>
  <c r="K241" i="1"/>
  <c r="K237" i="1"/>
  <c r="K233" i="1"/>
  <c r="K229" i="1"/>
  <c r="N155" i="1"/>
  <c r="O155" i="1" s="1"/>
  <c r="O154" i="1" s="1"/>
  <c r="J271" i="1"/>
  <c r="J265" i="1"/>
  <c r="J255" i="1"/>
  <c r="J249" i="1"/>
  <c r="H223" i="1"/>
  <c r="J233" i="1"/>
  <c r="J199" i="1"/>
  <c r="J183" i="1"/>
  <c r="J167" i="1"/>
  <c r="N139" i="1"/>
  <c r="O139" i="1" s="1"/>
  <c r="O138" i="1" s="1"/>
  <c r="M71" i="1"/>
  <c r="M67" i="1"/>
  <c r="M63" i="1"/>
  <c r="M59" i="1"/>
  <c r="M45" i="1"/>
  <c r="M37" i="1"/>
  <c r="M31" i="1"/>
  <c r="M29" i="1"/>
  <c r="M17" i="1"/>
  <c r="M83" i="1"/>
  <c r="M77" i="1"/>
  <c r="M49" i="1"/>
  <c r="M27" i="1"/>
  <c r="M25" i="1"/>
  <c r="N125" i="1"/>
  <c r="O125" i="1" s="1"/>
  <c r="O124" i="1" s="1"/>
  <c r="G91" i="1"/>
  <c r="H91" i="1" s="1"/>
  <c r="K91" i="1"/>
  <c r="N87" i="1"/>
  <c r="O87" i="1" s="1"/>
  <c r="O86" i="1" s="1"/>
  <c r="M23" i="1"/>
  <c r="J67" i="1"/>
  <c r="J63" i="1"/>
  <c r="J59" i="1"/>
  <c r="J45" i="1"/>
  <c r="J37" i="1"/>
  <c r="J29" i="1"/>
  <c r="J91" i="1"/>
  <c r="J77" i="1"/>
  <c r="J55" i="1"/>
  <c r="J51" i="1"/>
  <c r="J43" i="1"/>
  <c r="J35" i="1"/>
  <c r="J31" i="1"/>
  <c r="J21" i="1"/>
  <c r="H1963" i="1"/>
  <c r="J1963" i="1"/>
  <c r="H1947" i="1"/>
  <c r="J1947" i="1"/>
  <c r="J1931" i="1"/>
  <c r="H1923" i="1"/>
  <c r="J1923" i="1"/>
  <c r="H1907" i="1"/>
  <c r="J1907" i="1"/>
  <c r="J1867" i="1"/>
  <c r="H1851" i="1"/>
  <c r="J1851" i="1"/>
  <c r="H1827" i="1"/>
  <c r="J1827" i="1"/>
  <c r="H1811" i="1"/>
  <c r="J1811" i="1"/>
  <c r="J1779" i="1"/>
  <c r="H1771" i="1"/>
  <c r="J1771" i="1"/>
  <c r="J1763" i="1"/>
  <c r="N1995" i="1"/>
  <c r="H1993" i="1"/>
  <c r="J1993" i="1"/>
  <c r="N1987" i="1"/>
  <c r="H1985" i="1"/>
  <c r="J1985" i="1"/>
  <c r="N1979" i="1"/>
  <c r="H1977" i="1"/>
  <c r="J1977" i="1"/>
  <c r="N1971" i="1"/>
  <c r="H1969" i="1"/>
  <c r="J1969" i="1"/>
  <c r="N1963" i="1"/>
  <c r="H1961" i="1"/>
  <c r="J1961" i="1"/>
  <c r="N1955" i="1"/>
  <c r="H1953" i="1"/>
  <c r="J1953" i="1"/>
  <c r="N1947" i="1"/>
  <c r="H1945" i="1"/>
  <c r="J1945" i="1"/>
  <c r="N1939" i="1"/>
  <c r="J1937" i="1"/>
  <c r="N1931" i="1"/>
  <c r="H1929" i="1"/>
  <c r="J1929" i="1"/>
  <c r="N1923" i="1"/>
  <c r="J1921" i="1"/>
  <c r="N1915" i="1"/>
  <c r="H1913" i="1"/>
  <c r="J1913" i="1"/>
  <c r="N1907" i="1"/>
  <c r="J1905" i="1"/>
  <c r="N1899" i="1"/>
  <c r="H1897" i="1"/>
  <c r="J1897" i="1"/>
  <c r="N1891" i="1"/>
  <c r="H1889" i="1"/>
  <c r="J1889" i="1"/>
  <c r="N1883" i="1"/>
  <c r="H1881" i="1"/>
  <c r="J1881" i="1"/>
  <c r="N1875" i="1"/>
  <c r="H1873" i="1"/>
  <c r="J1873" i="1"/>
  <c r="N1867" i="1"/>
  <c r="H1865" i="1"/>
  <c r="J1865" i="1"/>
  <c r="N1859" i="1"/>
  <c r="H1857" i="1"/>
  <c r="J1857" i="1"/>
  <c r="N1851" i="1"/>
  <c r="H1849" i="1"/>
  <c r="J1849" i="1"/>
  <c r="N1843" i="1"/>
  <c r="J1841" i="1"/>
  <c r="N1835" i="1"/>
  <c r="H1833" i="1"/>
  <c r="J1833" i="1"/>
  <c r="N1827" i="1"/>
  <c r="J1825" i="1"/>
  <c r="N1819" i="1"/>
  <c r="H1817" i="1"/>
  <c r="J1817" i="1"/>
  <c r="N1811" i="1"/>
  <c r="J1809" i="1"/>
  <c r="N1803" i="1"/>
  <c r="H1801" i="1"/>
  <c r="J1801" i="1"/>
  <c r="N1795" i="1"/>
  <c r="H1793" i="1"/>
  <c r="J1793" i="1"/>
  <c r="N1787" i="1"/>
  <c r="H1785" i="1"/>
  <c r="J1785" i="1"/>
  <c r="N1779" i="1"/>
  <c r="H1777" i="1"/>
  <c r="J1777" i="1"/>
  <c r="N1771" i="1"/>
  <c r="H1769" i="1"/>
  <c r="J1769" i="1"/>
  <c r="N1763" i="1"/>
  <c r="J1761" i="1"/>
  <c r="N1755" i="1"/>
  <c r="H1753" i="1"/>
  <c r="J1753" i="1"/>
  <c r="N1747" i="1"/>
  <c r="H1745" i="1"/>
  <c r="J1745" i="1"/>
  <c r="N1739" i="1"/>
  <c r="H1737" i="1"/>
  <c r="J1737" i="1"/>
  <c r="N1731" i="1"/>
  <c r="H1729" i="1"/>
  <c r="J1729" i="1"/>
  <c r="N1723" i="1"/>
  <c r="H1721" i="1"/>
  <c r="J1721" i="1"/>
  <c r="N1715" i="1"/>
  <c r="J1713" i="1"/>
  <c r="N1707" i="1"/>
  <c r="H1705" i="1"/>
  <c r="J1705" i="1"/>
  <c r="N1699" i="1"/>
  <c r="H1697" i="1"/>
  <c r="J1697" i="1"/>
  <c r="N1691" i="1"/>
  <c r="H1689" i="1"/>
  <c r="J1689" i="1"/>
  <c r="G1681" i="1"/>
  <c r="I1681" i="1" s="1"/>
  <c r="L1681" i="1" s="1"/>
  <c r="L1680" i="1" s="1"/>
  <c r="M1681" i="1"/>
  <c r="K1681" i="1"/>
  <c r="K1673" i="1"/>
  <c r="M1673" i="1"/>
  <c r="G1673" i="1"/>
  <c r="I1673" i="1" s="1"/>
  <c r="L1673" i="1" s="1"/>
  <c r="L1672" i="1" s="1"/>
  <c r="M1665" i="1"/>
  <c r="G1665" i="1"/>
  <c r="I1665" i="1" s="1"/>
  <c r="L1665" i="1" s="1"/>
  <c r="L1664" i="1" s="1"/>
  <c r="K1665" i="1"/>
  <c r="G1657" i="1"/>
  <c r="I1657" i="1" s="1"/>
  <c r="L1657" i="1" s="1"/>
  <c r="L1656" i="1" s="1"/>
  <c r="M1657" i="1"/>
  <c r="K1657" i="1"/>
  <c r="K1649" i="1"/>
  <c r="M1649" i="1"/>
  <c r="G1649" i="1"/>
  <c r="I1649" i="1" s="1"/>
  <c r="L1649" i="1" s="1"/>
  <c r="L1648" i="1" s="1"/>
  <c r="G1999" i="1"/>
  <c r="I1999" i="1" s="1"/>
  <c r="L1999" i="1" s="1"/>
  <c r="L1998" i="1" s="1"/>
  <c r="J1999" i="1"/>
  <c r="G1991" i="1"/>
  <c r="I1991" i="1" s="1"/>
  <c r="L1991" i="1" s="1"/>
  <c r="L1990" i="1" s="1"/>
  <c r="J1991" i="1"/>
  <c r="K1963" i="1"/>
  <c r="G1959" i="1"/>
  <c r="I1959" i="1" s="1"/>
  <c r="L1959" i="1" s="1"/>
  <c r="L1958" i="1" s="1"/>
  <c r="G1951" i="1"/>
  <c r="I1951" i="1" s="1"/>
  <c r="L1951" i="1" s="1"/>
  <c r="L1950" i="1" s="1"/>
  <c r="J1951" i="1"/>
  <c r="K1947" i="1"/>
  <c r="G1943" i="1"/>
  <c r="I1943" i="1" s="1"/>
  <c r="J1943" i="1"/>
  <c r="K1931" i="1"/>
  <c r="K1923" i="1"/>
  <c r="K1907" i="1"/>
  <c r="G1903" i="1"/>
  <c r="I1903" i="1" s="1"/>
  <c r="L1903" i="1" s="1"/>
  <c r="L1902" i="1" s="1"/>
  <c r="J1903" i="1"/>
  <c r="J1879" i="1"/>
  <c r="G1871" i="1"/>
  <c r="I1871" i="1" s="1"/>
  <c r="L1871" i="1" s="1"/>
  <c r="L1870" i="1" s="1"/>
  <c r="J1871" i="1"/>
  <c r="G1863" i="1"/>
  <c r="I1863" i="1" s="1"/>
  <c r="G1855" i="1"/>
  <c r="I1855" i="1" s="1"/>
  <c r="L1855" i="1" s="1"/>
  <c r="L1854" i="1" s="1"/>
  <c r="J1855" i="1"/>
  <c r="K1851" i="1"/>
  <c r="G1831" i="1"/>
  <c r="I1831" i="1" s="1"/>
  <c r="L1831" i="1" s="1"/>
  <c r="L1830" i="1" s="1"/>
  <c r="J1831" i="1"/>
  <c r="K1827" i="1"/>
  <c r="G1823" i="1"/>
  <c r="I1823" i="1" s="1"/>
  <c r="L1823" i="1" s="1"/>
  <c r="L1822" i="1" s="1"/>
  <c r="J1823" i="1"/>
  <c r="G1807" i="1"/>
  <c r="I1807" i="1" s="1"/>
  <c r="L1807" i="1" s="1"/>
  <c r="L1806" i="1" s="1"/>
  <c r="J1807" i="1"/>
  <c r="G1799" i="1"/>
  <c r="I1799" i="1" s="1"/>
  <c r="L1799" i="1" s="1"/>
  <c r="L1798" i="1" s="1"/>
  <c r="J1799" i="1"/>
  <c r="G1791" i="1"/>
  <c r="I1791" i="1" s="1"/>
  <c r="L1791" i="1" s="1"/>
  <c r="L1790" i="1" s="1"/>
  <c r="J1791" i="1"/>
  <c r="G1783" i="1"/>
  <c r="I1783" i="1" s="1"/>
  <c r="L1783" i="1" s="1"/>
  <c r="L1782" i="1" s="1"/>
  <c r="J1783" i="1"/>
  <c r="K1779" i="1"/>
  <c r="G1775" i="1"/>
  <c r="I1775" i="1" s="1"/>
  <c r="L1775" i="1" s="1"/>
  <c r="L1774" i="1" s="1"/>
  <c r="J1775" i="1"/>
  <c r="K1771" i="1"/>
  <c r="G1767" i="1"/>
  <c r="I1767" i="1" s="1"/>
  <c r="L1767" i="1" s="1"/>
  <c r="L1766" i="1" s="1"/>
  <c r="J1767" i="1"/>
  <c r="K1763" i="1"/>
  <c r="G1759" i="1"/>
  <c r="I1759" i="1" s="1"/>
  <c r="L1759" i="1" s="1"/>
  <c r="L1758" i="1" s="1"/>
  <c r="J1759" i="1"/>
  <c r="G1751" i="1"/>
  <c r="I1751" i="1" s="1"/>
  <c r="L1751" i="1" s="1"/>
  <c r="L1750" i="1" s="1"/>
  <c r="J1751" i="1"/>
  <c r="G1743" i="1"/>
  <c r="I1743" i="1" s="1"/>
  <c r="L1743" i="1" s="1"/>
  <c r="L1742" i="1" s="1"/>
  <c r="J1743" i="1"/>
  <c r="G1735" i="1"/>
  <c r="I1735" i="1" s="1"/>
  <c r="L1735" i="1" s="1"/>
  <c r="L1734" i="1" s="1"/>
  <c r="J1735" i="1"/>
  <c r="G1727" i="1"/>
  <c r="I1727" i="1" s="1"/>
  <c r="L1727" i="1" s="1"/>
  <c r="L1726" i="1" s="1"/>
  <c r="J1727" i="1"/>
  <c r="G1719" i="1"/>
  <c r="I1719" i="1" s="1"/>
  <c r="L1719" i="1" s="1"/>
  <c r="L1718" i="1" s="1"/>
  <c r="J1719" i="1"/>
  <c r="G1711" i="1"/>
  <c r="I1711" i="1" s="1"/>
  <c r="L1711" i="1" s="1"/>
  <c r="L1710" i="1" s="1"/>
  <c r="J1711" i="1"/>
  <c r="G1703" i="1"/>
  <c r="I1703" i="1" s="1"/>
  <c r="L1703" i="1" s="1"/>
  <c r="L1702" i="1" s="1"/>
  <c r="J1703" i="1"/>
  <c r="G1695" i="1"/>
  <c r="I1695" i="1" s="1"/>
  <c r="L1695" i="1" s="1"/>
  <c r="L1694" i="1" s="1"/>
  <c r="J1695" i="1"/>
  <c r="G1687" i="1"/>
  <c r="I1687" i="1" s="1"/>
  <c r="L1687" i="1" s="1"/>
  <c r="L1686" i="1" s="1"/>
  <c r="J1687" i="1"/>
  <c r="M1683" i="1"/>
  <c r="G1683" i="1"/>
  <c r="I1683" i="1" s="1"/>
  <c r="L1683" i="1" s="1"/>
  <c r="L1682" i="1" s="1"/>
  <c r="K1683" i="1"/>
  <c r="G1675" i="1"/>
  <c r="I1675" i="1" s="1"/>
  <c r="L1675" i="1" s="1"/>
  <c r="L1674" i="1" s="1"/>
  <c r="M1675" i="1"/>
  <c r="K1675" i="1"/>
  <c r="G1667" i="1"/>
  <c r="I1667" i="1" s="1"/>
  <c r="L1667" i="1" s="1"/>
  <c r="L1666" i="1" s="1"/>
  <c r="M1667" i="1"/>
  <c r="K1667" i="1"/>
  <c r="M1659" i="1"/>
  <c r="G1659" i="1"/>
  <c r="I1659" i="1" s="1"/>
  <c r="L1659" i="1" s="1"/>
  <c r="L1658" i="1" s="1"/>
  <c r="K1659" i="1"/>
  <c r="G1651" i="1"/>
  <c r="I1651" i="1" s="1"/>
  <c r="L1651" i="1" s="1"/>
  <c r="L1650" i="1" s="1"/>
  <c r="K1651" i="1"/>
  <c r="M1651" i="1"/>
  <c r="H1639" i="1"/>
  <c r="H1635" i="1"/>
  <c r="H1615" i="1"/>
  <c r="H1611" i="1"/>
  <c r="H1603" i="1"/>
  <c r="H1599" i="1"/>
  <c r="H1995" i="1"/>
  <c r="J1995" i="1"/>
  <c r="H1987" i="1"/>
  <c r="J1987" i="1"/>
  <c r="J1979" i="1"/>
  <c r="H1971" i="1"/>
  <c r="J1971" i="1"/>
  <c r="G1983" i="1"/>
  <c r="I1983" i="1" s="1"/>
  <c r="L1983" i="1" s="1"/>
  <c r="L1982" i="1" s="1"/>
  <c r="J1983" i="1"/>
  <c r="G1975" i="1"/>
  <c r="I1975" i="1" s="1"/>
  <c r="L1975" i="1" s="1"/>
  <c r="L1974" i="1" s="1"/>
  <c r="J1975" i="1"/>
  <c r="G1967" i="1"/>
  <c r="I1967" i="1" s="1"/>
  <c r="L1967" i="1" s="1"/>
  <c r="L1966" i="1" s="1"/>
  <c r="J1967" i="1"/>
  <c r="J1959" i="1"/>
  <c r="G1935" i="1"/>
  <c r="I1935" i="1" s="1"/>
  <c r="L1935" i="1" s="1"/>
  <c r="L1934" i="1" s="1"/>
  <c r="J1935" i="1"/>
  <c r="G1927" i="1"/>
  <c r="I1927" i="1" s="1"/>
  <c r="J1927" i="1"/>
  <c r="G1919" i="1"/>
  <c r="I1919" i="1" s="1"/>
  <c r="L1919" i="1" s="1"/>
  <c r="L1918" i="1" s="1"/>
  <c r="J1919" i="1"/>
  <c r="G1911" i="1"/>
  <c r="I1911" i="1" s="1"/>
  <c r="J1911" i="1"/>
  <c r="G1895" i="1"/>
  <c r="I1895" i="1" s="1"/>
  <c r="J1895" i="1"/>
  <c r="G1887" i="1"/>
  <c r="I1887" i="1" s="1"/>
  <c r="L1887" i="1" s="1"/>
  <c r="L1886" i="1" s="1"/>
  <c r="J1887" i="1"/>
  <c r="G1879" i="1"/>
  <c r="I1879" i="1" s="1"/>
  <c r="L1879" i="1" s="1"/>
  <c r="L1878" i="1" s="1"/>
  <c r="K1867" i="1"/>
  <c r="J1863" i="1"/>
  <c r="G1847" i="1"/>
  <c r="I1847" i="1" s="1"/>
  <c r="L1847" i="1" s="1"/>
  <c r="L1846" i="1" s="1"/>
  <c r="J1847" i="1"/>
  <c r="G1839" i="1"/>
  <c r="I1839" i="1" s="1"/>
  <c r="L1839" i="1" s="1"/>
  <c r="L1838" i="1" s="1"/>
  <c r="J1839" i="1"/>
  <c r="G1815" i="1"/>
  <c r="I1815" i="1" s="1"/>
  <c r="L1815" i="1" s="1"/>
  <c r="L1814" i="1" s="1"/>
  <c r="J1815" i="1"/>
  <c r="K1811" i="1"/>
  <c r="N1999" i="1"/>
  <c r="H1997" i="1"/>
  <c r="J1997" i="1"/>
  <c r="N1991" i="1"/>
  <c r="H1989" i="1"/>
  <c r="J1989" i="1"/>
  <c r="N1983" i="1"/>
  <c r="H1981" i="1"/>
  <c r="J1981" i="1"/>
  <c r="N1975" i="1"/>
  <c r="H1973" i="1"/>
  <c r="J1973" i="1"/>
  <c r="N1967" i="1"/>
  <c r="H1965" i="1"/>
  <c r="J1965" i="1"/>
  <c r="N1959" i="1"/>
  <c r="H1957" i="1"/>
  <c r="J1957" i="1"/>
  <c r="N1951" i="1"/>
  <c r="H1949" i="1"/>
  <c r="J1949" i="1"/>
  <c r="N1943" i="1"/>
  <c r="H1941" i="1"/>
  <c r="J1941" i="1"/>
  <c r="N1935" i="1"/>
  <c r="H1933" i="1"/>
  <c r="J1933" i="1"/>
  <c r="N1927" i="1"/>
  <c r="H1925" i="1"/>
  <c r="J1925" i="1"/>
  <c r="N1919" i="1"/>
  <c r="H1917" i="1"/>
  <c r="J1917" i="1"/>
  <c r="N1911" i="1"/>
  <c r="J1909" i="1"/>
  <c r="N1903" i="1"/>
  <c r="H1901" i="1"/>
  <c r="J1901" i="1"/>
  <c r="N1895" i="1"/>
  <c r="H1893" i="1"/>
  <c r="J1893" i="1"/>
  <c r="N1887" i="1"/>
  <c r="H1885" i="1"/>
  <c r="J1885" i="1"/>
  <c r="N1879" i="1"/>
  <c r="H1877" i="1"/>
  <c r="J1877" i="1"/>
  <c r="N1871" i="1"/>
  <c r="H1869" i="1"/>
  <c r="J1869" i="1"/>
  <c r="N1863" i="1"/>
  <c r="J1861" i="1"/>
  <c r="N1855" i="1"/>
  <c r="J1853" i="1"/>
  <c r="N1847" i="1"/>
  <c r="H1845" i="1"/>
  <c r="J1845" i="1"/>
  <c r="N1839" i="1"/>
  <c r="H1837" i="1"/>
  <c r="J1837" i="1"/>
  <c r="N1831" i="1"/>
  <c r="H1829" i="1"/>
  <c r="J1829" i="1"/>
  <c r="N1823" i="1"/>
  <c r="H1821" i="1"/>
  <c r="J1821" i="1"/>
  <c r="N1815" i="1"/>
  <c r="H1813" i="1"/>
  <c r="J1813" i="1"/>
  <c r="N1807" i="1"/>
  <c r="H1805" i="1"/>
  <c r="J1805" i="1"/>
  <c r="N1799" i="1"/>
  <c r="H1797" i="1"/>
  <c r="J1797" i="1"/>
  <c r="N1791" i="1"/>
  <c r="H1789" i="1"/>
  <c r="J1789" i="1"/>
  <c r="N1783" i="1"/>
  <c r="H1781" i="1"/>
  <c r="J1781" i="1"/>
  <c r="N1775" i="1"/>
  <c r="H1773" i="1"/>
  <c r="J1773" i="1"/>
  <c r="N1767" i="1"/>
  <c r="H1765" i="1"/>
  <c r="J1765" i="1"/>
  <c r="N1759" i="1"/>
  <c r="H1757" i="1"/>
  <c r="J1757" i="1"/>
  <c r="N1751" i="1"/>
  <c r="H1749" i="1"/>
  <c r="J1749" i="1"/>
  <c r="N1743" i="1"/>
  <c r="H1741" i="1"/>
  <c r="J1741" i="1"/>
  <c r="N1735" i="1"/>
  <c r="H1733" i="1"/>
  <c r="J1733" i="1"/>
  <c r="N1727" i="1"/>
  <c r="H1725" i="1"/>
  <c r="J1725" i="1"/>
  <c r="N1719" i="1"/>
  <c r="H1717" i="1"/>
  <c r="J1717" i="1"/>
  <c r="N1711" i="1"/>
  <c r="H1709" i="1"/>
  <c r="J1709" i="1"/>
  <c r="N1703" i="1"/>
  <c r="J1701" i="1"/>
  <c r="N1695" i="1"/>
  <c r="H1693" i="1"/>
  <c r="J1693" i="1"/>
  <c r="N1687" i="1"/>
  <c r="G1685" i="1"/>
  <c r="I1685" i="1" s="1"/>
  <c r="L1685" i="1" s="1"/>
  <c r="L1684" i="1" s="1"/>
  <c r="M1685" i="1"/>
  <c r="K1685" i="1"/>
  <c r="N1683" i="1"/>
  <c r="M1677" i="1"/>
  <c r="G1677" i="1"/>
  <c r="I1677" i="1" s="1"/>
  <c r="L1677" i="1" s="1"/>
  <c r="L1676" i="1" s="1"/>
  <c r="K1677" i="1"/>
  <c r="N1675" i="1"/>
  <c r="H1673" i="1"/>
  <c r="M1669" i="1"/>
  <c r="G1669" i="1"/>
  <c r="I1669" i="1" s="1"/>
  <c r="L1669" i="1" s="1"/>
  <c r="L1668" i="1" s="1"/>
  <c r="K1669" i="1"/>
  <c r="N1667" i="1"/>
  <c r="H1665" i="1"/>
  <c r="M1661" i="1"/>
  <c r="G1661" i="1"/>
  <c r="I1661" i="1" s="1"/>
  <c r="L1661" i="1" s="1"/>
  <c r="L1660" i="1" s="1"/>
  <c r="K1661" i="1"/>
  <c r="N1659" i="1"/>
  <c r="M1653" i="1"/>
  <c r="G1653" i="1"/>
  <c r="I1653" i="1" s="1"/>
  <c r="L1653" i="1" s="1"/>
  <c r="L1652" i="1" s="1"/>
  <c r="K1653" i="1"/>
  <c r="N1651" i="1"/>
  <c r="H1649" i="1"/>
  <c r="H1955" i="1"/>
  <c r="J1955" i="1"/>
  <c r="H1939" i="1"/>
  <c r="J1939" i="1"/>
  <c r="H1915" i="1"/>
  <c r="J1915" i="1"/>
  <c r="H1899" i="1"/>
  <c r="J1899" i="1"/>
  <c r="H1891" i="1"/>
  <c r="J1891" i="1"/>
  <c r="H1883" i="1"/>
  <c r="J1883" i="1"/>
  <c r="J1875" i="1"/>
  <c r="H1859" i="1"/>
  <c r="J1859" i="1"/>
  <c r="H1843" i="1"/>
  <c r="J1843" i="1"/>
  <c r="H1835" i="1"/>
  <c r="J1835" i="1"/>
  <c r="H1819" i="1"/>
  <c r="J1819" i="1"/>
  <c r="H1803" i="1"/>
  <c r="J1803" i="1"/>
  <c r="H1795" i="1"/>
  <c r="J1795" i="1"/>
  <c r="H1787" i="1"/>
  <c r="J1787" i="1"/>
  <c r="J1755" i="1"/>
  <c r="J1747" i="1"/>
  <c r="J1739" i="1"/>
  <c r="H1731" i="1"/>
  <c r="J1731" i="1"/>
  <c r="H1723" i="1"/>
  <c r="J1723" i="1"/>
  <c r="H1715" i="1"/>
  <c r="J1715" i="1"/>
  <c r="H1707" i="1"/>
  <c r="J1707" i="1"/>
  <c r="H1699" i="1"/>
  <c r="J1699" i="1"/>
  <c r="J1691" i="1"/>
  <c r="H1683" i="1"/>
  <c r="K1679" i="1"/>
  <c r="M1679" i="1"/>
  <c r="G1679" i="1"/>
  <c r="I1679" i="1" s="1"/>
  <c r="L1679" i="1" s="1"/>
  <c r="L1678" i="1" s="1"/>
  <c r="G1671" i="1"/>
  <c r="I1671" i="1" s="1"/>
  <c r="L1671" i="1" s="1"/>
  <c r="L1670" i="1" s="1"/>
  <c r="M1671" i="1"/>
  <c r="K1671" i="1"/>
  <c r="G1663" i="1"/>
  <c r="I1663" i="1" s="1"/>
  <c r="L1663" i="1" s="1"/>
  <c r="L1662" i="1" s="1"/>
  <c r="M1663" i="1"/>
  <c r="K1663" i="1"/>
  <c r="K1655" i="1"/>
  <c r="M1655" i="1"/>
  <c r="G1655" i="1"/>
  <c r="I1655" i="1" s="1"/>
  <c r="L1655" i="1" s="1"/>
  <c r="L1654" i="1" s="1"/>
  <c r="G1647" i="1"/>
  <c r="I1647" i="1" s="1"/>
  <c r="L1647" i="1" s="1"/>
  <c r="L1646" i="1" s="1"/>
  <c r="M1647" i="1"/>
  <c r="K1647" i="1"/>
  <c r="K1643" i="1"/>
  <c r="G1643" i="1"/>
  <c r="I1643" i="1" s="1"/>
  <c r="L1643" i="1" s="1"/>
  <c r="L1642" i="1" s="1"/>
  <c r="K1637" i="1"/>
  <c r="G1637" i="1"/>
  <c r="I1637" i="1" s="1"/>
  <c r="K1635" i="1"/>
  <c r="K1633" i="1"/>
  <c r="G1633" i="1"/>
  <c r="I1633" i="1" s="1"/>
  <c r="L1633" i="1" s="1"/>
  <c r="L1632" i="1" s="1"/>
  <c r="K1631" i="1"/>
  <c r="G1631" i="1"/>
  <c r="I1631" i="1" s="1"/>
  <c r="L1631" i="1" s="1"/>
  <c r="L1630" i="1" s="1"/>
  <c r="K1629" i="1"/>
  <c r="G1629" i="1"/>
  <c r="I1629" i="1" s="1"/>
  <c r="L1629" i="1" s="1"/>
  <c r="L1628" i="1" s="1"/>
  <c r="K1627" i="1"/>
  <c r="G1627" i="1"/>
  <c r="I1627" i="1" s="1"/>
  <c r="L1627" i="1" s="1"/>
  <c r="L1626" i="1" s="1"/>
  <c r="K1625" i="1"/>
  <c r="G1625" i="1"/>
  <c r="I1625" i="1" s="1"/>
  <c r="L1625" i="1" s="1"/>
  <c r="L1624" i="1" s="1"/>
  <c r="K1619" i="1"/>
  <c r="G1619" i="1"/>
  <c r="I1619" i="1" s="1"/>
  <c r="L1619" i="1" s="1"/>
  <c r="L1618" i="1" s="1"/>
  <c r="K1617" i="1"/>
  <c r="G1617" i="1"/>
  <c r="I1617" i="1" s="1"/>
  <c r="L1617" i="1" s="1"/>
  <c r="L1616" i="1" s="1"/>
  <c r="K1615" i="1"/>
  <c r="G1613" i="1"/>
  <c r="I1613" i="1" s="1"/>
  <c r="L1613" i="1" s="1"/>
  <c r="L1612" i="1" s="1"/>
  <c r="K1609" i="1"/>
  <c r="G1609" i="1"/>
  <c r="I1609" i="1" s="1"/>
  <c r="L1609" i="1" s="1"/>
  <c r="L1608" i="1" s="1"/>
  <c r="K1607" i="1"/>
  <c r="G1605" i="1"/>
  <c r="I1605" i="1" s="1"/>
  <c r="K1603" i="1"/>
  <c r="K1601" i="1"/>
  <c r="G1601" i="1"/>
  <c r="I1601" i="1" s="1"/>
  <c r="L1601" i="1" s="1"/>
  <c r="L1600" i="1" s="1"/>
  <c r="K1597" i="1"/>
  <c r="G1597" i="1"/>
  <c r="I1597" i="1" s="1"/>
  <c r="L1597" i="1" s="1"/>
  <c r="L1596" i="1" s="1"/>
  <c r="K1595" i="1"/>
  <c r="G1595" i="1"/>
  <c r="I1595" i="1" s="1"/>
  <c r="L1595" i="1" s="1"/>
  <c r="L1594" i="1" s="1"/>
  <c r="K1593" i="1"/>
  <c r="G1591" i="1"/>
  <c r="I1591" i="1" s="1"/>
  <c r="L1591" i="1" s="1"/>
  <c r="L1590" i="1" s="1"/>
  <c r="K1589" i="1"/>
  <c r="J1685" i="1"/>
  <c r="J1683" i="1"/>
  <c r="J1681" i="1"/>
  <c r="J1679" i="1"/>
  <c r="J1677" i="1"/>
  <c r="J1675" i="1"/>
  <c r="J1673" i="1"/>
  <c r="J1671" i="1"/>
  <c r="J1669" i="1"/>
  <c r="J1667" i="1"/>
  <c r="J1665" i="1"/>
  <c r="J1663" i="1"/>
  <c r="J1661" i="1"/>
  <c r="J1659" i="1"/>
  <c r="J1657" i="1"/>
  <c r="J1655" i="1"/>
  <c r="J1653" i="1"/>
  <c r="J1651" i="1"/>
  <c r="J1649" i="1"/>
  <c r="J1647" i="1"/>
  <c r="J1645" i="1"/>
  <c r="J1643" i="1"/>
  <c r="J1641" i="1"/>
  <c r="J1639" i="1"/>
  <c r="J1637" i="1"/>
  <c r="J1635" i="1"/>
  <c r="J1633" i="1"/>
  <c r="J1631" i="1"/>
  <c r="J1629" i="1"/>
  <c r="J1627" i="1"/>
  <c r="J1625" i="1"/>
  <c r="J1623" i="1"/>
  <c r="J1621" i="1"/>
  <c r="J1619" i="1"/>
  <c r="J1617" i="1"/>
  <c r="J1615" i="1"/>
  <c r="J1613" i="1"/>
  <c r="J1611" i="1"/>
  <c r="J1609" i="1"/>
  <c r="J1607" i="1"/>
  <c r="J1605" i="1"/>
  <c r="J1603" i="1"/>
  <c r="J1601" i="1"/>
  <c r="J1599" i="1"/>
  <c r="J1597" i="1"/>
  <c r="J1595" i="1"/>
  <c r="J1593" i="1"/>
  <c r="J1591" i="1"/>
  <c r="J1589" i="1"/>
  <c r="J1587" i="1"/>
  <c r="J1585" i="1"/>
  <c r="J1583" i="1"/>
  <c r="J1581" i="1"/>
  <c r="J1579" i="1"/>
  <c r="J1577" i="1"/>
  <c r="J1575" i="1"/>
  <c r="J1573" i="1"/>
  <c r="J1571" i="1"/>
  <c r="J1569" i="1"/>
  <c r="J1567" i="1"/>
  <c r="J1565" i="1"/>
  <c r="J1563" i="1"/>
  <c r="J1561" i="1"/>
  <c r="J1559" i="1"/>
  <c r="J1557" i="1"/>
  <c r="J1555" i="1"/>
  <c r="J1553" i="1"/>
  <c r="J1551" i="1"/>
  <c r="J1549" i="1"/>
  <c r="J1547" i="1"/>
  <c r="J1545" i="1"/>
  <c r="J1543" i="1"/>
  <c r="J1541" i="1"/>
  <c r="J1539" i="1"/>
  <c r="J1537" i="1"/>
  <c r="J1535" i="1"/>
  <c r="J1533" i="1"/>
  <c r="J1531" i="1"/>
  <c r="J1529" i="1"/>
  <c r="J1527" i="1"/>
  <c r="J1525" i="1"/>
  <c r="J1523" i="1"/>
  <c r="J1521" i="1"/>
  <c r="J1519" i="1"/>
  <c r="J1517" i="1"/>
  <c r="J1515" i="1"/>
  <c r="J1513" i="1"/>
  <c r="J1511" i="1"/>
  <c r="J1509" i="1"/>
  <c r="J1507" i="1"/>
  <c r="J1505" i="1"/>
  <c r="J1503" i="1"/>
  <c r="J1501" i="1"/>
  <c r="J1499" i="1"/>
  <c r="J1497" i="1"/>
  <c r="J1495" i="1"/>
  <c r="J1493" i="1"/>
  <c r="J1491" i="1"/>
  <c r="J1489" i="1"/>
  <c r="J1487" i="1"/>
  <c r="J1485" i="1"/>
  <c r="J1483" i="1"/>
  <c r="J1481" i="1"/>
  <c r="J1479" i="1"/>
  <c r="J1477" i="1"/>
  <c r="J1475" i="1"/>
  <c r="J1473" i="1"/>
  <c r="J1471" i="1"/>
  <c r="J1469" i="1"/>
  <c r="J1467" i="1"/>
  <c r="J1465" i="1"/>
  <c r="J1463" i="1"/>
  <c r="J1461" i="1"/>
  <c r="J1459" i="1"/>
  <c r="J1457" i="1"/>
  <c r="J1455" i="1"/>
  <c r="J1453" i="1"/>
  <c r="J1451" i="1"/>
  <c r="J1449" i="1"/>
  <c r="J1447" i="1"/>
  <c r="J1445" i="1"/>
  <c r="J1443" i="1"/>
  <c r="J1441" i="1"/>
  <c r="J1439" i="1"/>
  <c r="J1437" i="1"/>
  <c r="J1435" i="1"/>
  <c r="J1433" i="1"/>
  <c r="J1431" i="1"/>
  <c r="J1429" i="1"/>
  <c r="J1427" i="1"/>
  <c r="J1425" i="1"/>
  <c r="J1423" i="1"/>
  <c r="J1421" i="1"/>
  <c r="J1419" i="1"/>
  <c r="J1417" i="1"/>
  <c r="J1415" i="1"/>
  <c r="J1413" i="1"/>
  <c r="J1411" i="1"/>
  <c r="J1409" i="1"/>
  <c r="J1407" i="1"/>
  <c r="J1405" i="1"/>
  <c r="J1403" i="1"/>
  <c r="J1401" i="1"/>
  <c r="J1399" i="1"/>
  <c r="J1397" i="1"/>
  <c r="J1395" i="1"/>
  <c r="J1393" i="1"/>
  <c r="J1391" i="1"/>
  <c r="J1389" i="1"/>
  <c r="N1383" i="1"/>
  <c r="G1383" i="1"/>
  <c r="H1383" i="1" s="1"/>
  <c r="K1383" i="1"/>
  <c r="N1375" i="1"/>
  <c r="G1375" i="1"/>
  <c r="H1375" i="1" s="1"/>
  <c r="K1375" i="1"/>
  <c r="N1385" i="1"/>
  <c r="G1385" i="1"/>
  <c r="I1385" i="1" s="1"/>
  <c r="L1385" i="1" s="1"/>
  <c r="L1384" i="1" s="1"/>
  <c r="K1385" i="1"/>
  <c r="N1377" i="1"/>
  <c r="G1377" i="1"/>
  <c r="I1377" i="1" s="1"/>
  <c r="L1377" i="1" s="1"/>
  <c r="L1376" i="1" s="1"/>
  <c r="K1377" i="1"/>
  <c r="N1371" i="1"/>
  <c r="N1367" i="1"/>
  <c r="N1363" i="1"/>
  <c r="N1359" i="1"/>
  <c r="N1355" i="1"/>
  <c r="N1351" i="1"/>
  <c r="N1347" i="1"/>
  <c r="N1343" i="1"/>
  <c r="N1339" i="1"/>
  <c r="N1335" i="1"/>
  <c r="N1331" i="1"/>
  <c r="N1327" i="1"/>
  <c r="N1323" i="1"/>
  <c r="N1319" i="1"/>
  <c r="N1315" i="1"/>
  <c r="N1311" i="1"/>
  <c r="N1307" i="1"/>
  <c r="N1303" i="1"/>
  <c r="N1299" i="1"/>
  <c r="N1295" i="1"/>
  <c r="N1291" i="1"/>
  <c r="N1287" i="1"/>
  <c r="N1283" i="1"/>
  <c r="N1279" i="1"/>
  <c r="N1275" i="1"/>
  <c r="N1271" i="1"/>
  <c r="N1267" i="1"/>
  <c r="N1263" i="1"/>
  <c r="J1257" i="1"/>
  <c r="M1253" i="1"/>
  <c r="N1253" i="1"/>
  <c r="J1249" i="1"/>
  <c r="H1249" i="1"/>
  <c r="M1645" i="1"/>
  <c r="M1641" i="1"/>
  <c r="M1639" i="1"/>
  <c r="M1635" i="1"/>
  <c r="M1623" i="1"/>
  <c r="M1621" i="1"/>
  <c r="M1615" i="1"/>
  <c r="M1613" i="1"/>
  <c r="M1611" i="1"/>
  <c r="M1607" i="1"/>
  <c r="M1605" i="1"/>
  <c r="M1603" i="1"/>
  <c r="M1599" i="1"/>
  <c r="M1593" i="1"/>
  <c r="M1591" i="1"/>
  <c r="M1589" i="1"/>
  <c r="N1387" i="1"/>
  <c r="G1387" i="1"/>
  <c r="H1387" i="1" s="1"/>
  <c r="K1387" i="1"/>
  <c r="N1379" i="1"/>
  <c r="G1379" i="1"/>
  <c r="H1379" i="1" s="1"/>
  <c r="K1379" i="1"/>
  <c r="K1645" i="1"/>
  <c r="K1641" i="1"/>
  <c r="K1639" i="1"/>
  <c r="K1623" i="1"/>
  <c r="K1621" i="1"/>
  <c r="K1611" i="1"/>
  <c r="K1599" i="1"/>
  <c r="N1381" i="1"/>
  <c r="G1381" i="1"/>
  <c r="H1381" i="1" s="1"/>
  <c r="K1381" i="1"/>
  <c r="N1373" i="1"/>
  <c r="G1373" i="1"/>
  <c r="I1373" i="1" s="1"/>
  <c r="L1373" i="1" s="1"/>
  <c r="L1372" i="1" s="1"/>
  <c r="K1373" i="1"/>
  <c r="J1371" i="1"/>
  <c r="H1371" i="1"/>
  <c r="K1371" i="1"/>
  <c r="G1369" i="1"/>
  <c r="H1369" i="1" s="1"/>
  <c r="M1369" i="1"/>
  <c r="J1367" i="1"/>
  <c r="K1367" i="1"/>
  <c r="H1367" i="1"/>
  <c r="G1365" i="1"/>
  <c r="I1365" i="1" s="1"/>
  <c r="L1365" i="1" s="1"/>
  <c r="L1364" i="1" s="1"/>
  <c r="M1365" i="1"/>
  <c r="J1363" i="1"/>
  <c r="H1363" i="1"/>
  <c r="K1363" i="1"/>
  <c r="G1361" i="1"/>
  <c r="H1361" i="1" s="1"/>
  <c r="M1361" i="1"/>
  <c r="J1359" i="1"/>
  <c r="K1359" i="1"/>
  <c r="H1359" i="1"/>
  <c r="G1357" i="1"/>
  <c r="H1357" i="1" s="1"/>
  <c r="M1357" i="1"/>
  <c r="J1355" i="1"/>
  <c r="H1355" i="1"/>
  <c r="K1355" i="1"/>
  <c r="G1353" i="1"/>
  <c r="H1353" i="1" s="1"/>
  <c r="M1353" i="1"/>
  <c r="J1351" i="1"/>
  <c r="K1351" i="1"/>
  <c r="H1351" i="1"/>
  <c r="G1349" i="1"/>
  <c r="I1349" i="1" s="1"/>
  <c r="L1349" i="1" s="1"/>
  <c r="L1348" i="1" s="1"/>
  <c r="M1349" i="1"/>
  <c r="J1347" i="1"/>
  <c r="H1347" i="1"/>
  <c r="K1347" i="1"/>
  <c r="G1345" i="1"/>
  <c r="H1345" i="1" s="1"/>
  <c r="M1345" i="1"/>
  <c r="J1343" i="1"/>
  <c r="K1343" i="1"/>
  <c r="H1343" i="1"/>
  <c r="G1341" i="1"/>
  <c r="H1341" i="1" s="1"/>
  <c r="M1341" i="1"/>
  <c r="J1339" i="1"/>
  <c r="K1339" i="1"/>
  <c r="G1337" i="1"/>
  <c r="H1337" i="1" s="1"/>
  <c r="M1337" i="1"/>
  <c r="J1335" i="1"/>
  <c r="K1335" i="1"/>
  <c r="H1335" i="1"/>
  <c r="G1333" i="1"/>
  <c r="I1333" i="1" s="1"/>
  <c r="L1333" i="1" s="1"/>
  <c r="L1332" i="1" s="1"/>
  <c r="M1333" i="1"/>
  <c r="J1331" i="1"/>
  <c r="H1331" i="1"/>
  <c r="K1331" i="1"/>
  <c r="G1329" i="1"/>
  <c r="H1329" i="1" s="1"/>
  <c r="M1329" i="1"/>
  <c r="J1327" i="1"/>
  <c r="K1327" i="1"/>
  <c r="H1327" i="1"/>
  <c r="G1325" i="1"/>
  <c r="H1325" i="1" s="1"/>
  <c r="M1325" i="1"/>
  <c r="J1323" i="1"/>
  <c r="K1323" i="1"/>
  <c r="G1321" i="1"/>
  <c r="H1321" i="1" s="1"/>
  <c r="M1321" i="1"/>
  <c r="J1319" i="1"/>
  <c r="K1319" i="1"/>
  <c r="H1319" i="1"/>
  <c r="G1317" i="1"/>
  <c r="I1317" i="1" s="1"/>
  <c r="L1317" i="1" s="1"/>
  <c r="L1316" i="1" s="1"/>
  <c r="M1317" i="1"/>
  <c r="J1315" i="1"/>
  <c r="H1315" i="1"/>
  <c r="K1315" i="1"/>
  <c r="G1313" i="1"/>
  <c r="H1313" i="1" s="1"/>
  <c r="M1313" i="1"/>
  <c r="J1311" i="1"/>
  <c r="K1311" i="1"/>
  <c r="G1309" i="1"/>
  <c r="H1309" i="1" s="1"/>
  <c r="M1309" i="1"/>
  <c r="J1307" i="1"/>
  <c r="K1307" i="1"/>
  <c r="G1305" i="1"/>
  <c r="H1305" i="1" s="1"/>
  <c r="M1305" i="1"/>
  <c r="J1303" i="1"/>
  <c r="K1303" i="1"/>
  <c r="H1303" i="1"/>
  <c r="G1301" i="1"/>
  <c r="I1301" i="1" s="1"/>
  <c r="L1301" i="1" s="1"/>
  <c r="L1300" i="1" s="1"/>
  <c r="M1301" i="1"/>
  <c r="J1299" i="1"/>
  <c r="H1299" i="1"/>
  <c r="K1299" i="1"/>
  <c r="G1297" i="1"/>
  <c r="H1297" i="1" s="1"/>
  <c r="M1297" i="1"/>
  <c r="J1295" i="1"/>
  <c r="K1295" i="1"/>
  <c r="H1295" i="1"/>
  <c r="G1293" i="1"/>
  <c r="H1293" i="1" s="1"/>
  <c r="M1293" i="1"/>
  <c r="J1291" i="1"/>
  <c r="H1291" i="1"/>
  <c r="K1291" i="1"/>
  <c r="G1289" i="1"/>
  <c r="H1289" i="1" s="1"/>
  <c r="M1289" i="1"/>
  <c r="J1287" i="1"/>
  <c r="K1287" i="1"/>
  <c r="H1287" i="1"/>
  <c r="G1285" i="1"/>
  <c r="I1285" i="1" s="1"/>
  <c r="L1285" i="1" s="1"/>
  <c r="L1284" i="1" s="1"/>
  <c r="M1285" i="1"/>
  <c r="J1283" i="1"/>
  <c r="H1283" i="1"/>
  <c r="K1283" i="1"/>
  <c r="G1281" i="1"/>
  <c r="H1281" i="1" s="1"/>
  <c r="M1281" i="1"/>
  <c r="J1279" i="1"/>
  <c r="K1279" i="1"/>
  <c r="H1279" i="1"/>
  <c r="G1277" i="1"/>
  <c r="H1277" i="1" s="1"/>
  <c r="M1277" i="1"/>
  <c r="J1275" i="1"/>
  <c r="H1275" i="1"/>
  <c r="K1275" i="1"/>
  <c r="G1273" i="1"/>
  <c r="H1273" i="1" s="1"/>
  <c r="M1273" i="1"/>
  <c r="J1271" i="1"/>
  <c r="K1271" i="1"/>
  <c r="H1271" i="1"/>
  <c r="G1269" i="1"/>
  <c r="I1269" i="1" s="1"/>
  <c r="L1269" i="1" s="1"/>
  <c r="L1268" i="1" s="1"/>
  <c r="M1269" i="1"/>
  <c r="J1267" i="1"/>
  <c r="H1267" i="1"/>
  <c r="K1267" i="1"/>
  <c r="G1265" i="1"/>
  <c r="H1265" i="1" s="1"/>
  <c r="M1265" i="1"/>
  <c r="J1263" i="1"/>
  <c r="K1263" i="1"/>
  <c r="J1261" i="1"/>
  <c r="M1257" i="1"/>
  <c r="N1257" i="1"/>
  <c r="J1253" i="1"/>
  <c r="H1253" i="1"/>
  <c r="M1249" i="1"/>
  <c r="N1249" i="1"/>
  <c r="J1365" i="1"/>
  <c r="J1357" i="1"/>
  <c r="J1349" i="1"/>
  <c r="J1341" i="1"/>
  <c r="J1333" i="1"/>
  <c r="J1325" i="1"/>
  <c r="J1317" i="1"/>
  <c r="J1309" i="1"/>
  <c r="J1301" i="1"/>
  <c r="J1293" i="1"/>
  <c r="J1285" i="1"/>
  <c r="J1277" i="1"/>
  <c r="J1269" i="1"/>
  <c r="G1259" i="1"/>
  <c r="I1259" i="1" s="1"/>
  <c r="L1259" i="1" s="1"/>
  <c r="L1258" i="1" s="1"/>
  <c r="J1259" i="1"/>
  <c r="G1251" i="1"/>
  <c r="I1251" i="1" s="1"/>
  <c r="L1251" i="1" s="1"/>
  <c r="L1250" i="1" s="1"/>
  <c r="J1251" i="1"/>
  <c r="N1245" i="1"/>
  <c r="G1243" i="1"/>
  <c r="I1243" i="1" s="1"/>
  <c r="L1243" i="1" s="1"/>
  <c r="L1242" i="1" s="1"/>
  <c r="J1243" i="1"/>
  <c r="N1237" i="1"/>
  <c r="G1235" i="1"/>
  <c r="I1235" i="1" s="1"/>
  <c r="L1235" i="1" s="1"/>
  <c r="L1234" i="1" s="1"/>
  <c r="J1235" i="1"/>
  <c r="N1229" i="1"/>
  <c r="G1227" i="1"/>
  <c r="I1227" i="1" s="1"/>
  <c r="L1227" i="1" s="1"/>
  <c r="L1226" i="1" s="1"/>
  <c r="J1227" i="1"/>
  <c r="N1221" i="1"/>
  <c r="G1219" i="1"/>
  <c r="I1219" i="1" s="1"/>
  <c r="J1219" i="1"/>
  <c r="N1213" i="1"/>
  <c r="J1211" i="1"/>
  <c r="H1211" i="1"/>
  <c r="N1205" i="1"/>
  <c r="J1203" i="1"/>
  <c r="H1203" i="1"/>
  <c r="N1197" i="1"/>
  <c r="J1195" i="1"/>
  <c r="H1195" i="1"/>
  <c r="N1189" i="1"/>
  <c r="J1187" i="1"/>
  <c r="H1187" i="1"/>
  <c r="N1181" i="1"/>
  <c r="J1179" i="1"/>
  <c r="H1179" i="1"/>
  <c r="N1173" i="1"/>
  <c r="J1171" i="1"/>
  <c r="H1171" i="1"/>
  <c r="N1165" i="1"/>
  <c r="J1163" i="1"/>
  <c r="H1163" i="1"/>
  <c r="N1157" i="1"/>
  <c r="J1155" i="1"/>
  <c r="H1155" i="1"/>
  <c r="N1149" i="1"/>
  <c r="G1147" i="1"/>
  <c r="I1147" i="1" s="1"/>
  <c r="K1147" i="1"/>
  <c r="M1147" i="1"/>
  <c r="J1143" i="1"/>
  <c r="G1139" i="1"/>
  <c r="I1139" i="1" s="1"/>
  <c r="L1139" i="1" s="1"/>
  <c r="L1138" i="1" s="1"/>
  <c r="K1139" i="1"/>
  <c r="M1139" i="1"/>
  <c r="J1241" i="1"/>
  <c r="J1233" i="1"/>
  <c r="H1233" i="1"/>
  <c r="J1225" i="1"/>
  <c r="H1225" i="1"/>
  <c r="J1217" i="1"/>
  <c r="H1217" i="1"/>
  <c r="J1209" i="1"/>
  <c r="H1209" i="1"/>
  <c r="J1201" i="1"/>
  <c r="H1201" i="1"/>
  <c r="J1193" i="1"/>
  <c r="J1185" i="1"/>
  <c r="H1185" i="1"/>
  <c r="J1177" i="1"/>
  <c r="H1177" i="1"/>
  <c r="J1169" i="1"/>
  <c r="H1169" i="1"/>
  <c r="J1161" i="1"/>
  <c r="H1161" i="1"/>
  <c r="J1153" i="1"/>
  <c r="H1153" i="1"/>
  <c r="J1145" i="1"/>
  <c r="G1141" i="1"/>
  <c r="I1141" i="1" s="1"/>
  <c r="L1141" i="1" s="1"/>
  <c r="L1140" i="1" s="1"/>
  <c r="K1141" i="1"/>
  <c r="M1141" i="1"/>
  <c r="J1137" i="1"/>
  <c r="J1369" i="1"/>
  <c r="J1361" i="1"/>
  <c r="J1353" i="1"/>
  <c r="J1345" i="1"/>
  <c r="J1337" i="1"/>
  <c r="J1329" i="1"/>
  <c r="J1321" i="1"/>
  <c r="J1313" i="1"/>
  <c r="J1305" i="1"/>
  <c r="J1297" i="1"/>
  <c r="J1289" i="1"/>
  <c r="J1281" i="1"/>
  <c r="J1273" i="1"/>
  <c r="J1265" i="1"/>
  <c r="J1255" i="1"/>
  <c r="H1255" i="1"/>
  <c r="J1247" i="1"/>
  <c r="N1241" i="1"/>
  <c r="J1239" i="1"/>
  <c r="H1239" i="1"/>
  <c r="N1233" i="1"/>
  <c r="J1231" i="1"/>
  <c r="H1231" i="1"/>
  <c r="N1225" i="1"/>
  <c r="J1223" i="1"/>
  <c r="H1223" i="1"/>
  <c r="N1217" i="1"/>
  <c r="J1215" i="1"/>
  <c r="H1215" i="1"/>
  <c r="N1209" i="1"/>
  <c r="J1207" i="1"/>
  <c r="H1207" i="1"/>
  <c r="N1201" i="1"/>
  <c r="J1199" i="1"/>
  <c r="H1199" i="1"/>
  <c r="N1193" i="1"/>
  <c r="J1191" i="1"/>
  <c r="H1191" i="1"/>
  <c r="N1185" i="1"/>
  <c r="J1183" i="1"/>
  <c r="N1177" i="1"/>
  <c r="J1175" i="1"/>
  <c r="H1175" i="1"/>
  <c r="N1169" i="1"/>
  <c r="J1167" i="1"/>
  <c r="H1167" i="1"/>
  <c r="N1161" i="1"/>
  <c r="J1159" i="1"/>
  <c r="N1153" i="1"/>
  <c r="J1151" i="1"/>
  <c r="H1151" i="1"/>
  <c r="G1143" i="1"/>
  <c r="I1143" i="1" s="1"/>
  <c r="L1143" i="1" s="1"/>
  <c r="L1142" i="1" s="1"/>
  <c r="K1143" i="1"/>
  <c r="M1143" i="1"/>
  <c r="N1141" i="1"/>
  <c r="I997" i="1"/>
  <c r="L997" i="1" s="1"/>
  <c r="L996" i="1" s="1"/>
  <c r="H997" i="1"/>
  <c r="J1245" i="1"/>
  <c r="H1245" i="1"/>
  <c r="J1237" i="1"/>
  <c r="H1237" i="1"/>
  <c r="J1229" i="1"/>
  <c r="H1229" i="1"/>
  <c r="J1221" i="1"/>
  <c r="H1221" i="1"/>
  <c r="J1213" i="1"/>
  <c r="H1213" i="1"/>
  <c r="J1205" i="1"/>
  <c r="J1197" i="1"/>
  <c r="J1189" i="1"/>
  <c r="H1189" i="1"/>
  <c r="J1181" i="1"/>
  <c r="J1173" i="1"/>
  <c r="J1165" i="1"/>
  <c r="H1165" i="1"/>
  <c r="J1157" i="1"/>
  <c r="H1157" i="1"/>
  <c r="G1145" i="1"/>
  <c r="I1145" i="1" s="1"/>
  <c r="L1145" i="1" s="1"/>
  <c r="L1144" i="1" s="1"/>
  <c r="K1145" i="1"/>
  <c r="M1145" i="1"/>
  <c r="G1137" i="1"/>
  <c r="I1137" i="1" s="1"/>
  <c r="L1137" i="1" s="1"/>
  <c r="L1136" i="1" s="1"/>
  <c r="K1137" i="1"/>
  <c r="M1137" i="1"/>
  <c r="I1001" i="1"/>
  <c r="L1001" i="1" s="1"/>
  <c r="L1000" i="1" s="1"/>
  <c r="H1001" i="1"/>
  <c r="I999" i="1"/>
  <c r="L999" i="1" s="1"/>
  <c r="L998" i="1" s="1"/>
  <c r="H1147" i="1"/>
  <c r="H1145" i="1"/>
  <c r="H1141" i="1"/>
  <c r="H1139" i="1"/>
  <c r="M1135" i="1"/>
  <c r="H1135" i="1"/>
  <c r="M1133" i="1"/>
  <c r="M1131" i="1"/>
  <c r="H1131" i="1"/>
  <c r="M1129" i="1"/>
  <c r="H1129" i="1"/>
  <c r="M1127" i="1"/>
  <c r="H1127" i="1"/>
  <c r="M1125" i="1"/>
  <c r="H1125" i="1"/>
  <c r="M1123" i="1"/>
  <c r="H1123" i="1"/>
  <c r="M1121" i="1"/>
  <c r="H1121" i="1"/>
  <c r="M1119" i="1"/>
  <c r="H1119" i="1"/>
  <c r="M1117" i="1"/>
  <c r="M1115" i="1"/>
  <c r="H1115" i="1"/>
  <c r="M1113" i="1"/>
  <c r="H1113" i="1"/>
  <c r="M1111" i="1"/>
  <c r="H1111" i="1"/>
  <c r="M1109" i="1"/>
  <c r="H1109" i="1"/>
  <c r="M1107" i="1"/>
  <c r="H1107" i="1"/>
  <c r="M1105" i="1"/>
  <c r="H1105" i="1"/>
  <c r="M1103" i="1"/>
  <c r="H1103" i="1"/>
  <c r="M1101" i="1"/>
  <c r="M1099" i="1"/>
  <c r="H1099" i="1"/>
  <c r="M1097" i="1"/>
  <c r="H1097" i="1"/>
  <c r="M1095" i="1"/>
  <c r="H1095" i="1"/>
  <c r="M1093" i="1"/>
  <c r="H1093" i="1"/>
  <c r="M1091" i="1"/>
  <c r="H1091" i="1"/>
  <c r="M1089" i="1"/>
  <c r="H1089" i="1"/>
  <c r="M1087" i="1"/>
  <c r="H1087" i="1"/>
  <c r="M1085" i="1"/>
  <c r="H1085" i="1"/>
  <c r="M1083" i="1"/>
  <c r="H1083" i="1"/>
  <c r="M1081" i="1"/>
  <c r="H1081" i="1"/>
  <c r="M1079" i="1"/>
  <c r="H1079" i="1"/>
  <c r="M1077" i="1"/>
  <c r="M1075" i="1"/>
  <c r="H1075" i="1"/>
  <c r="M1073" i="1"/>
  <c r="H1073" i="1"/>
  <c r="M1071" i="1"/>
  <c r="H1071" i="1"/>
  <c r="M1069" i="1"/>
  <c r="H1069" i="1"/>
  <c r="M1067" i="1"/>
  <c r="H1067" i="1"/>
  <c r="M1065" i="1"/>
  <c r="M1063" i="1"/>
  <c r="H1063" i="1"/>
  <c r="M1061" i="1"/>
  <c r="H1061" i="1"/>
  <c r="M1059" i="1"/>
  <c r="H1059" i="1"/>
  <c r="M1057" i="1"/>
  <c r="H1057" i="1"/>
  <c r="M1055" i="1"/>
  <c r="H1055" i="1"/>
  <c r="M1053" i="1"/>
  <c r="M1051" i="1"/>
  <c r="H1051" i="1"/>
  <c r="M1049" i="1"/>
  <c r="H1049" i="1"/>
  <c r="M1047" i="1"/>
  <c r="H1047" i="1"/>
  <c r="M1045" i="1"/>
  <c r="H1045" i="1"/>
  <c r="M1043" i="1"/>
  <c r="H1043" i="1"/>
  <c r="M1041" i="1"/>
  <c r="H1041" i="1"/>
  <c r="M1039" i="1"/>
  <c r="H1039" i="1"/>
  <c r="M1037" i="1"/>
  <c r="H1037" i="1"/>
  <c r="M1035" i="1"/>
  <c r="H1035" i="1"/>
  <c r="M1033" i="1"/>
  <c r="M1031" i="1"/>
  <c r="H1031" i="1"/>
  <c r="M1029" i="1"/>
  <c r="H1029" i="1"/>
  <c r="M1027" i="1"/>
  <c r="H1027" i="1"/>
  <c r="M1025" i="1"/>
  <c r="H1025" i="1"/>
  <c r="M1023" i="1"/>
  <c r="H1023" i="1"/>
  <c r="M1021" i="1"/>
  <c r="H1021" i="1"/>
  <c r="M1019" i="1"/>
  <c r="H1019" i="1"/>
  <c r="M1017" i="1"/>
  <c r="H1017" i="1"/>
  <c r="M1015" i="1"/>
  <c r="H1015" i="1"/>
  <c r="M1013" i="1"/>
  <c r="H1013" i="1"/>
  <c r="M1011" i="1"/>
  <c r="H1011" i="1"/>
  <c r="M1009" i="1"/>
  <c r="H1009" i="1"/>
  <c r="M1007" i="1"/>
  <c r="H1007" i="1"/>
  <c r="M1005" i="1"/>
  <c r="H1005" i="1"/>
  <c r="M1003" i="1"/>
  <c r="M1001" i="1"/>
  <c r="M937" i="1"/>
  <c r="N933" i="1"/>
  <c r="G933" i="1"/>
  <c r="I933" i="1" s="1"/>
  <c r="L933" i="1" s="1"/>
  <c r="L932" i="1" s="1"/>
  <c r="K933" i="1"/>
  <c r="N925" i="1"/>
  <c r="G925" i="1"/>
  <c r="I925" i="1" s="1"/>
  <c r="L925" i="1" s="1"/>
  <c r="L924" i="1" s="1"/>
  <c r="K925" i="1"/>
  <c r="N917" i="1"/>
  <c r="G917" i="1"/>
  <c r="I917" i="1" s="1"/>
  <c r="L917" i="1" s="1"/>
  <c r="L916" i="1" s="1"/>
  <c r="K917" i="1"/>
  <c r="N909" i="1"/>
  <c r="G909" i="1"/>
  <c r="I909" i="1" s="1"/>
  <c r="L909" i="1" s="1"/>
  <c r="L908" i="1" s="1"/>
  <c r="K909" i="1"/>
  <c r="N901" i="1"/>
  <c r="G901" i="1"/>
  <c r="I901" i="1" s="1"/>
  <c r="L901" i="1" s="1"/>
  <c r="L900" i="1" s="1"/>
  <c r="K901" i="1"/>
  <c r="N893" i="1"/>
  <c r="G893" i="1"/>
  <c r="I893" i="1" s="1"/>
  <c r="L893" i="1" s="1"/>
  <c r="L892" i="1" s="1"/>
  <c r="K893" i="1"/>
  <c r="N885" i="1"/>
  <c r="G885" i="1"/>
  <c r="I885" i="1" s="1"/>
  <c r="L885" i="1" s="1"/>
  <c r="L884" i="1" s="1"/>
  <c r="K885" i="1"/>
  <c r="N877" i="1"/>
  <c r="G877" i="1"/>
  <c r="I877" i="1" s="1"/>
  <c r="L877" i="1" s="1"/>
  <c r="L876" i="1" s="1"/>
  <c r="K877" i="1"/>
  <c r="N871" i="1"/>
  <c r="N867" i="1"/>
  <c r="N863" i="1"/>
  <c r="H819" i="1"/>
  <c r="K1135" i="1"/>
  <c r="K1133" i="1"/>
  <c r="K1131" i="1"/>
  <c r="K1129" i="1"/>
  <c r="K1127" i="1"/>
  <c r="K1125" i="1"/>
  <c r="K1123" i="1"/>
  <c r="K1121" i="1"/>
  <c r="K1119" i="1"/>
  <c r="K1117" i="1"/>
  <c r="K1115" i="1"/>
  <c r="K1113" i="1"/>
  <c r="K1111" i="1"/>
  <c r="K1109" i="1"/>
  <c r="K1107" i="1"/>
  <c r="K1105" i="1"/>
  <c r="K1103" i="1"/>
  <c r="K1101" i="1"/>
  <c r="K1099" i="1"/>
  <c r="K1097" i="1"/>
  <c r="K1095" i="1"/>
  <c r="K1093" i="1"/>
  <c r="K1091" i="1"/>
  <c r="K1089" i="1"/>
  <c r="K1087" i="1"/>
  <c r="K1085" i="1"/>
  <c r="K1083" i="1"/>
  <c r="K1081" i="1"/>
  <c r="K1079" i="1"/>
  <c r="K1077" i="1"/>
  <c r="K1075" i="1"/>
  <c r="K1073" i="1"/>
  <c r="K1071" i="1"/>
  <c r="K1069" i="1"/>
  <c r="K1067" i="1"/>
  <c r="K1065" i="1"/>
  <c r="K1063" i="1"/>
  <c r="K1061" i="1"/>
  <c r="K1059" i="1"/>
  <c r="K1057" i="1"/>
  <c r="K1055" i="1"/>
  <c r="K1053" i="1"/>
  <c r="K1051" i="1"/>
  <c r="K1049" i="1"/>
  <c r="K1047" i="1"/>
  <c r="K1045" i="1"/>
  <c r="K1043" i="1"/>
  <c r="K1041" i="1"/>
  <c r="K1039" i="1"/>
  <c r="K1037" i="1"/>
  <c r="K1035" i="1"/>
  <c r="K1033" i="1"/>
  <c r="K1031" i="1"/>
  <c r="K1029" i="1"/>
  <c r="K1027" i="1"/>
  <c r="K1025" i="1"/>
  <c r="K1023" i="1"/>
  <c r="K1021" i="1"/>
  <c r="K1019" i="1"/>
  <c r="K1017" i="1"/>
  <c r="K1015" i="1"/>
  <c r="K1013" i="1"/>
  <c r="K1011" i="1"/>
  <c r="K1009" i="1"/>
  <c r="K1007" i="1"/>
  <c r="K1005" i="1"/>
  <c r="K1003" i="1"/>
  <c r="K1001" i="1"/>
  <c r="K999" i="1"/>
  <c r="K997" i="1"/>
  <c r="K995" i="1"/>
  <c r="G995" i="1"/>
  <c r="H995" i="1" s="1"/>
  <c r="K993" i="1"/>
  <c r="G993" i="1"/>
  <c r="H993" i="1" s="1"/>
  <c r="K991" i="1"/>
  <c r="G991" i="1"/>
  <c r="H991" i="1" s="1"/>
  <c r="K989" i="1"/>
  <c r="G989" i="1"/>
  <c r="H989" i="1" s="1"/>
  <c r="K987" i="1"/>
  <c r="G987" i="1"/>
  <c r="H987" i="1" s="1"/>
  <c r="K985" i="1"/>
  <c r="G985" i="1"/>
  <c r="H985" i="1" s="1"/>
  <c r="K983" i="1"/>
  <c r="G983" i="1"/>
  <c r="H983" i="1" s="1"/>
  <c r="K981" i="1"/>
  <c r="G981" i="1"/>
  <c r="H981" i="1" s="1"/>
  <c r="K979" i="1"/>
  <c r="G979" i="1"/>
  <c r="H979" i="1" s="1"/>
  <c r="K977" i="1"/>
  <c r="G977" i="1"/>
  <c r="H977" i="1" s="1"/>
  <c r="K975" i="1"/>
  <c r="G975" i="1"/>
  <c r="H975" i="1" s="1"/>
  <c r="K973" i="1"/>
  <c r="G973" i="1"/>
  <c r="H973" i="1" s="1"/>
  <c r="K971" i="1"/>
  <c r="G971" i="1"/>
  <c r="H971" i="1" s="1"/>
  <c r="K969" i="1"/>
  <c r="G969" i="1"/>
  <c r="H969" i="1" s="1"/>
  <c r="K967" i="1"/>
  <c r="G967" i="1"/>
  <c r="H967" i="1" s="1"/>
  <c r="K965" i="1"/>
  <c r="G965" i="1"/>
  <c r="H965" i="1" s="1"/>
  <c r="K963" i="1"/>
  <c r="G963" i="1"/>
  <c r="H963" i="1" s="1"/>
  <c r="K961" i="1"/>
  <c r="G961" i="1"/>
  <c r="H961" i="1" s="1"/>
  <c r="K959" i="1"/>
  <c r="G959" i="1"/>
  <c r="H959" i="1" s="1"/>
  <c r="K957" i="1"/>
  <c r="G957" i="1"/>
  <c r="H957" i="1" s="1"/>
  <c r="K955" i="1"/>
  <c r="G955" i="1"/>
  <c r="H955" i="1" s="1"/>
  <c r="K953" i="1"/>
  <c r="G953" i="1"/>
  <c r="H953" i="1" s="1"/>
  <c r="K951" i="1"/>
  <c r="G951" i="1"/>
  <c r="H951" i="1" s="1"/>
  <c r="K949" i="1"/>
  <c r="G949" i="1"/>
  <c r="H949" i="1" s="1"/>
  <c r="K947" i="1"/>
  <c r="G947" i="1"/>
  <c r="H947" i="1" s="1"/>
  <c r="K945" i="1"/>
  <c r="G945" i="1"/>
  <c r="H945" i="1" s="1"/>
  <c r="K943" i="1"/>
  <c r="G943" i="1"/>
  <c r="H943" i="1" s="1"/>
  <c r="K941" i="1"/>
  <c r="G941" i="1"/>
  <c r="H941" i="1" s="1"/>
  <c r="G939" i="1"/>
  <c r="K939" i="1"/>
  <c r="N935" i="1"/>
  <c r="G935" i="1"/>
  <c r="H935" i="1" s="1"/>
  <c r="K935" i="1"/>
  <c r="H933" i="1"/>
  <c r="N927" i="1"/>
  <c r="G927" i="1"/>
  <c r="H927" i="1" s="1"/>
  <c r="K927" i="1"/>
  <c r="H925" i="1"/>
  <c r="N919" i="1"/>
  <c r="G919" i="1"/>
  <c r="H919" i="1" s="1"/>
  <c r="K919" i="1"/>
  <c r="N911" i="1"/>
  <c r="G911" i="1"/>
  <c r="H911" i="1" s="1"/>
  <c r="K911" i="1"/>
  <c r="H909" i="1"/>
  <c r="N903" i="1"/>
  <c r="G903" i="1"/>
  <c r="H903" i="1" s="1"/>
  <c r="K903" i="1"/>
  <c r="N895" i="1"/>
  <c r="G895" i="1"/>
  <c r="H895" i="1" s="1"/>
  <c r="K895" i="1"/>
  <c r="H893" i="1"/>
  <c r="N887" i="1"/>
  <c r="G887" i="1"/>
  <c r="H887" i="1" s="1"/>
  <c r="K887" i="1"/>
  <c r="N879" i="1"/>
  <c r="G879" i="1"/>
  <c r="H879" i="1" s="1"/>
  <c r="K879" i="1"/>
  <c r="G851" i="1"/>
  <c r="I851" i="1" s="1"/>
  <c r="L851" i="1" s="1"/>
  <c r="L850" i="1" s="1"/>
  <c r="M851" i="1"/>
  <c r="N851" i="1"/>
  <c r="J993" i="1"/>
  <c r="J991" i="1"/>
  <c r="J989" i="1"/>
  <c r="J987" i="1"/>
  <c r="J985" i="1"/>
  <c r="G937" i="1"/>
  <c r="I937" i="1" s="1"/>
  <c r="L937" i="1" s="1"/>
  <c r="L936" i="1" s="1"/>
  <c r="K937" i="1"/>
  <c r="N929" i="1"/>
  <c r="G929" i="1"/>
  <c r="I929" i="1" s="1"/>
  <c r="L929" i="1" s="1"/>
  <c r="L928" i="1" s="1"/>
  <c r="K929" i="1"/>
  <c r="N921" i="1"/>
  <c r="G921" i="1"/>
  <c r="I921" i="1" s="1"/>
  <c r="L921" i="1" s="1"/>
  <c r="L920" i="1" s="1"/>
  <c r="K921" i="1"/>
  <c r="N913" i="1"/>
  <c r="G913" i="1"/>
  <c r="I913" i="1" s="1"/>
  <c r="L913" i="1" s="1"/>
  <c r="L912" i="1" s="1"/>
  <c r="K913" i="1"/>
  <c r="N905" i="1"/>
  <c r="G905" i="1"/>
  <c r="I905" i="1" s="1"/>
  <c r="L905" i="1" s="1"/>
  <c r="L904" i="1" s="1"/>
  <c r="K905" i="1"/>
  <c r="N897" i="1"/>
  <c r="G897" i="1"/>
  <c r="I897" i="1" s="1"/>
  <c r="L897" i="1" s="1"/>
  <c r="L896" i="1" s="1"/>
  <c r="K897" i="1"/>
  <c r="N889" i="1"/>
  <c r="G889" i="1"/>
  <c r="I889" i="1" s="1"/>
  <c r="L889" i="1" s="1"/>
  <c r="L888" i="1" s="1"/>
  <c r="K889" i="1"/>
  <c r="N881" i="1"/>
  <c r="G881" i="1"/>
  <c r="I881" i="1" s="1"/>
  <c r="K881" i="1"/>
  <c r="N873" i="1"/>
  <c r="G873" i="1"/>
  <c r="I873" i="1" s="1"/>
  <c r="L873" i="1" s="1"/>
  <c r="L872" i="1" s="1"/>
  <c r="K873" i="1"/>
  <c r="J871" i="1"/>
  <c r="H871" i="1"/>
  <c r="K871" i="1"/>
  <c r="G869" i="1"/>
  <c r="I869" i="1" s="1"/>
  <c r="M869" i="1"/>
  <c r="J867" i="1"/>
  <c r="K867" i="1"/>
  <c r="H867" i="1"/>
  <c r="G865" i="1"/>
  <c r="I865" i="1" s="1"/>
  <c r="L865" i="1" s="1"/>
  <c r="L864" i="1" s="1"/>
  <c r="M865" i="1"/>
  <c r="J863" i="1"/>
  <c r="H863" i="1"/>
  <c r="K863" i="1"/>
  <c r="G861" i="1"/>
  <c r="M861" i="1"/>
  <c r="I861" i="1"/>
  <c r="L861" i="1" s="1"/>
  <c r="L860" i="1" s="1"/>
  <c r="G859" i="1"/>
  <c r="I859" i="1" s="1"/>
  <c r="L859" i="1" s="1"/>
  <c r="L858" i="1" s="1"/>
  <c r="M859" i="1"/>
  <c r="N859" i="1"/>
  <c r="J855" i="1"/>
  <c r="H855" i="1"/>
  <c r="K855" i="1"/>
  <c r="K849" i="1"/>
  <c r="G849" i="1"/>
  <c r="I849" i="1" s="1"/>
  <c r="L849" i="1" s="1"/>
  <c r="L848" i="1" s="1"/>
  <c r="M849" i="1"/>
  <c r="N995" i="1"/>
  <c r="N993" i="1"/>
  <c r="N991" i="1"/>
  <c r="N989" i="1"/>
  <c r="N987" i="1"/>
  <c r="N985" i="1"/>
  <c r="N983" i="1"/>
  <c r="N981" i="1"/>
  <c r="N979" i="1"/>
  <c r="N977" i="1"/>
  <c r="N975" i="1"/>
  <c r="N973" i="1"/>
  <c r="N971" i="1"/>
  <c r="N969" i="1"/>
  <c r="N967" i="1"/>
  <c r="N965" i="1"/>
  <c r="N963" i="1"/>
  <c r="N961" i="1"/>
  <c r="N959" i="1"/>
  <c r="N957" i="1"/>
  <c r="N955" i="1"/>
  <c r="N953" i="1"/>
  <c r="N951" i="1"/>
  <c r="N949" i="1"/>
  <c r="N947" i="1"/>
  <c r="N945" i="1"/>
  <c r="N943" i="1"/>
  <c r="N941" i="1"/>
  <c r="M939" i="1"/>
  <c r="N937" i="1"/>
  <c r="H937" i="1"/>
  <c r="M933" i="1"/>
  <c r="N931" i="1"/>
  <c r="G931" i="1"/>
  <c r="H931" i="1" s="1"/>
  <c r="K931" i="1"/>
  <c r="M925" i="1"/>
  <c r="N923" i="1"/>
  <c r="G923" i="1"/>
  <c r="H923" i="1" s="1"/>
  <c r="K923" i="1"/>
  <c r="M917" i="1"/>
  <c r="N915" i="1"/>
  <c r="G915" i="1"/>
  <c r="H915" i="1" s="1"/>
  <c r="K915" i="1"/>
  <c r="M909" i="1"/>
  <c r="N907" i="1"/>
  <c r="G907" i="1"/>
  <c r="H907" i="1" s="1"/>
  <c r="K907" i="1"/>
  <c r="M901" i="1"/>
  <c r="N899" i="1"/>
  <c r="G899" i="1"/>
  <c r="H899" i="1" s="1"/>
  <c r="K899" i="1"/>
  <c r="H897" i="1"/>
  <c r="M893" i="1"/>
  <c r="N891" i="1"/>
  <c r="G891" i="1"/>
  <c r="H891" i="1" s="1"/>
  <c r="K891" i="1"/>
  <c r="M885" i="1"/>
  <c r="N883" i="1"/>
  <c r="G883" i="1"/>
  <c r="H883" i="1" s="1"/>
  <c r="K883" i="1"/>
  <c r="M877" i="1"/>
  <c r="N875" i="1"/>
  <c r="G875" i="1"/>
  <c r="H875" i="1" s="1"/>
  <c r="K875" i="1"/>
  <c r="H861" i="1"/>
  <c r="K857" i="1"/>
  <c r="G857" i="1"/>
  <c r="H857" i="1" s="1"/>
  <c r="M857" i="1"/>
  <c r="H851" i="1"/>
  <c r="H827" i="1"/>
  <c r="H795" i="1"/>
  <c r="J791" i="1"/>
  <c r="H783" i="1"/>
  <c r="J783" i="1"/>
  <c r="H775" i="1"/>
  <c r="J775" i="1"/>
  <c r="H767" i="1"/>
  <c r="J767" i="1"/>
  <c r="H759" i="1"/>
  <c r="J759" i="1"/>
  <c r="H751" i="1"/>
  <c r="J751" i="1"/>
  <c r="H743" i="1"/>
  <c r="J743" i="1"/>
  <c r="H735" i="1"/>
  <c r="J735" i="1"/>
  <c r="H727" i="1"/>
  <c r="J727" i="1"/>
  <c r="H719" i="1"/>
  <c r="J719" i="1"/>
  <c r="J711" i="1"/>
  <c r="G703" i="1"/>
  <c r="I703" i="1" s="1"/>
  <c r="L703" i="1" s="1"/>
  <c r="L702" i="1" s="1"/>
  <c r="K703" i="1"/>
  <c r="M703" i="1"/>
  <c r="J865" i="1"/>
  <c r="J857" i="1"/>
  <c r="I853" i="1"/>
  <c r="L853" i="1" s="1"/>
  <c r="L852" i="1" s="1"/>
  <c r="J849" i="1"/>
  <c r="K847" i="1"/>
  <c r="I845" i="1"/>
  <c r="L845" i="1" s="1"/>
  <c r="L844" i="1" s="1"/>
  <c r="N843" i="1"/>
  <c r="M841" i="1"/>
  <c r="G841" i="1"/>
  <c r="H841" i="1" s="1"/>
  <c r="J841" i="1"/>
  <c r="K839" i="1"/>
  <c r="I837" i="1"/>
  <c r="N835" i="1"/>
  <c r="M833" i="1"/>
  <c r="G833" i="1"/>
  <c r="H833" i="1" s="1"/>
  <c r="J833" i="1"/>
  <c r="K831" i="1"/>
  <c r="N827" i="1"/>
  <c r="M825" i="1"/>
  <c r="G825" i="1"/>
  <c r="H825" i="1" s="1"/>
  <c r="J825" i="1"/>
  <c r="K823" i="1"/>
  <c r="I821" i="1"/>
  <c r="L821" i="1" s="1"/>
  <c r="L820" i="1" s="1"/>
  <c r="N819" i="1"/>
  <c r="M817" i="1"/>
  <c r="G817" i="1"/>
  <c r="H817" i="1" s="1"/>
  <c r="J817" i="1"/>
  <c r="K815" i="1"/>
  <c r="I813" i="1"/>
  <c r="L813" i="1" s="1"/>
  <c r="L812" i="1" s="1"/>
  <c r="N811" i="1"/>
  <c r="M809" i="1"/>
  <c r="G809" i="1"/>
  <c r="H809" i="1" s="1"/>
  <c r="J809" i="1"/>
  <c r="K807" i="1"/>
  <c r="I805" i="1"/>
  <c r="L805" i="1" s="1"/>
  <c r="L804" i="1" s="1"/>
  <c r="N803" i="1"/>
  <c r="M801" i="1"/>
  <c r="G801" i="1"/>
  <c r="H801" i="1" s="1"/>
  <c r="J801" i="1"/>
  <c r="K799" i="1"/>
  <c r="I797" i="1"/>
  <c r="L797" i="1" s="1"/>
  <c r="L796" i="1" s="1"/>
  <c r="N795" i="1"/>
  <c r="N791" i="1"/>
  <c r="G789" i="1"/>
  <c r="I789" i="1" s="1"/>
  <c r="J789" i="1"/>
  <c r="N783" i="1"/>
  <c r="G781" i="1"/>
  <c r="I781" i="1" s="1"/>
  <c r="L781" i="1" s="1"/>
  <c r="L780" i="1" s="1"/>
  <c r="J781" i="1"/>
  <c r="N775" i="1"/>
  <c r="G773" i="1"/>
  <c r="I773" i="1" s="1"/>
  <c r="J773" i="1"/>
  <c r="N767" i="1"/>
  <c r="G765" i="1"/>
  <c r="I765" i="1" s="1"/>
  <c r="L765" i="1" s="1"/>
  <c r="L764" i="1" s="1"/>
  <c r="J765" i="1"/>
  <c r="N759" i="1"/>
  <c r="G757" i="1"/>
  <c r="I757" i="1" s="1"/>
  <c r="J757" i="1"/>
  <c r="N751" i="1"/>
  <c r="G749" i="1"/>
  <c r="I749" i="1" s="1"/>
  <c r="L749" i="1" s="1"/>
  <c r="L748" i="1" s="1"/>
  <c r="J749" i="1"/>
  <c r="N743" i="1"/>
  <c r="J741" i="1"/>
  <c r="N735" i="1"/>
  <c r="H733" i="1"/>
  <c r="J733" i="1"/>
  <c r="N727" i="1"/>
  <c r="J725" i="1"/>
  <c r="N719" i="1"/>
  <c r="H717" i="1"/>
  <c r="J717" i="1"/>
  <c r="N711" i="1"/>
  <c r="H709" i="1"/>
  <c r="J709" i="1"/>
  <c r="G705" i="1"/>
  <c r="I705" i="1" s="1"/>
  <c r="L705" i="1" s="1"/>
  <c r="L704" i="1" s="1"/>
  <c r="K705" i="1"/>
  <c r="M705" i="1"/>
  <c r="N703" i="1"/>
  <c r="J859" i="1"/>
  <c r="J851" i="1"/>
  <c r="M843" i="1"/>
  <c r="J843" i="1"/>
  <c r="K841" i="1"/>
  <c r="M835" i="1"/>
  <c r="J835" i="1"/>
  <c r="K833" i="1"/>
  <c r="M827" i="1"/>
  <c r="J827" i="1"/>
  <c r="K825" i="1"/>
  <c r="M819" i="1"/>
  <c r="J819" i="1"/>
  <c r="K817" i="1"/>
  <c r="M811" i="1"/>
  <c r="J811" i="1"/>
  <c r="K809" i="1"/>
  <c r="M803" i="1"/>
  <c r="J803" i="1"/>
  <c r="K801" i="1"/>
  <c r="M795" i="1"/>
  <c r="J795" i="1"/>
  <c r="K791" i="1"/>
  <c r="G787" i="1"/>
  <c r="I787" i="1" s="1"/>
  <c r="L787" i="1" s="1"/>
  <c r="L786" i="1" s="1"/>
  <c r="J787" i="1"/>
  <c r="K783" i="1"/>
  <c r="G779" i="1"/>
  <c r="I779" i="1" s="1"/>
  <c r="J779" i="1"/>
  <c r="K775" i="1"/>
  <c r="G771" i="1"/>
  <c r="I771" i="1" s="1"/>
  <c r="L771" i="1" s="1"/>
  <c r="L770" i="1" s="1"/>
  <c r="J771" i="1"/>
  <c r="K767" i="1"/>
  <c r="G763" i="1"/>
  <c r="I763" i="1" s="1"/>
  <c r="L763" i="1" s="1"/>
  <c r="L762" i="1" s="1"/>
  <c r="J763" i="1"/>
  <c r="K759" i="1"/>
  <c r="G755" i="1"/>
  <c r="I755" i="1" s="1"/>
  <c r="L755" i="1" s="1"/>
  <c r="L754" i="1" s="1"/>
  <c r="J755" i="1"/>
  <c r="K751" i="1"/>
  <c r="G747" i="1"/>
  <c r="I747" i="1" s="1"/>
  <c r="L747" i="1" s="1"/>
  <c r="L746" i="1" s="1"/>
  <c r="J747" i="1"/>
  <c r="K743" i="1"/>
  <c r="G739" i="1"/>
  <c r="I739" i="1" s="1"/>
  <c r="L739" i="1" s="1"/>
  <c r="L738" i="1" s="1"/>
  <c r="J739" i="1"/>
  <c r="K735" i="1"/>
  <c r="G731" i="1"/>
  <c r="I731" i="1" s="1"/>
  <c r="L731" i="1" s="1"/>
  <c r="L730" i="1" s="1"/>
  <c r="J731" i="1"/>
  <c r="K727" i="1"/>
  <c r="G723" i="1"/>
  <c r="I723" i="1" s="1"/>
  <c r="L723" i="1" s="1"/>
  <c r="L722" i="1" s="1"/>
  <c r="J723" i="1"/>
  <c r="K719" i="1"/>
  <c r="G715" i="1"/>
  <c r="I715" i="1" s="1"/>
  <c r="L715" i="1" s="1"/>
  <c r="L714" i="1" s="1"/>
  <c r="J715" i="1"/>
  <c r="K711" i="1"/>
  <c r="G707" i="1"/>
  <c r="I707" i="1" s="1"/>
  <c r="L707" i="1" s="1"/>
  <c r="L706" i="1" s="1"/>
  <c r="K707" i="1"/>
  <c r="M707" i="1"/>
  <c r="G699" i="1"/>
  <c r="I699" i="1" s="1"/>
  <c r="L699" i="1" s="1"/>
  <c r="L698" i="1" s="1"/>
  <c r="K699" i="1"/>
  <c r="M699" i="1"/>
  <c r="H697" i="1"/>
  <c r="H693" i="1"/>
  <c r="H689" i="1"/>
  <c r="H685" i="1"/>
  <c r="H681" i="1"/>
  <c r="H677" i="1"/>
  <c r="H673" i="1"/>
  <c r="H669" i="1"/>
  <c r="H661" i="1"/>
  <c r="H657" i="1"/>
  <c r="H649" i="1"/>
  <c r="H645" i="1"/>
  <c r="H641" i="1"/>
  <c r="H633" i="1"/>
  <c r="H629" i="1"/>
  <c r="H625" i="1"/>
  <c r="H617" i="1"/>
  <c r="H609" i="1"/>
  <c r="J869" i="1"/>
  <c r="J861" i="1"/>
  <c r="K859" i="1"/>
  <c r="M853" i="1"/>
  <c r="J853" i="1"/>
  <c r="K851" i="1"/>
  <c r="M845" i="1"/>
  <c r="J845" i="1"/>
  <c r="K843" i="1"/>
  <c r="H839" i="1"/>
  <c r="M837" i="1"/>
  <c r="J837" i="1"/>
  <c r="K835" i="1"/>
  <c r="H831" i="1"/>
  <c r="M829" i="1"/>
  <c r="J829" i="1"/>
  <c r="K827" i="1"/>
  <c r="H823" i="1"/>
  <c r="M821" i="1"/>
  <c r="J821" i="1"/>
  <c r="K819" i="1"/>
  <c r="M813" i="1"/>
  <c r="J813" i="1"/>
  <c r="K811" i="1"/>
  <c r="H807" i="1"/>
  <c r="M805" i="1"/>
  <c r="J805" i="1"/>
  <c r="K803" i="1"/>
  <c r="H799" i="1"/>
  <c r="M797" i="1"/>
  <c r="J797" i="1"/>
  <c r="K795" i="1"/>
  <c r="H793" i="1"/>
  <c r="J793" i="1"/>
  <c r="N787" i="1"/>
  <c r="J785" i="1"/>
  <c r="N779" i="1"/>
  <c r="J777" i="1"/>
  <c r="N771" i="1"/>
  <c r="J769" i="1"/>
  <c r="N763" i="1"/>
  <c r="H761" i="1"/>
  <c r="J761" i="1"/>
  <c r="N755" i="1"/>
  <c r="H753" i="1"/>
  <c r="J753" i="1"/>
  <c r="N747" i="1"/>
  <c r="J745" i="1"/>
  <c r="N739" i="1"/>
  <c r="H737" i="1"/>
  <c r="J737" i="1"/>
  <c r="N731" i="1"/>
  <c r="H729" i="1"/>
  <c r="J729" i="1"/>
  <c r="N723" i="1"/>
  <c r="H721" i="1"/>
  <c r="J721" i="1"/>
  <c r="N715" i="1"/>
  <c r="H713" i="1"/>
  <c r="J713" i="1"/>
  <c r="N707" i="1"/>
  <c r="G701" i="1"/>
  <c r="I701" i="1" s="1"/>
  <c r="L701" i="1" s="1"/>
  <c r="L700" i="1" s="1"/>
  <c r="K701" i="1"/>
  <c r="M701" i="1"/>
  <c r="N699" i="1"/>
  <c r="J707" i="1"/>
  <c r="J705" i="1"/>
  <c r="J703" i="1"/>
  <c r="J701" i="1"/>
  <c r="J699" i="1"/>
  <c r="J697" i="1"/>
  <c r="J695" i="1"/>
  <c r="J693" i="1"/>
  <c r="J691" i="1"/>
  <c r="J689" i="1"/>
  <c r="J687" i="1"/>
  <c r="J685" i="1"/>
  <c r="J683" i="1"/>
  <c r="J681" i="1"/>
  <c r="J679" i="1"/>
  <c r="J677" i="1"/>
  <c r="J675" i="1"/>
  <c r="J673" i="1"/>
  <c r="J671" i="1"/>
  <c r="J669" i="1"/>
  <c r="J667" i="1"/>
  <c r="J665" i="1"/>
  <c r="J663" i="1"/>
  <c r="J661" i="1"/>
  <c r="J659" i="1"/>
  <c r="J657" i="1"/>
  <c r="J655" i="1"/>
  <c r="J653" i="1"/>
  <c r="J651" i="1"/>
  <c r="J649" i="1"/>
  <c r="J647" i="1"/>
  <c r="J645" i="1"/>
  <c r="J643" i="1"/>
  <c r="J641" i="1"/>
  <c r="J639" i="1"/>
  <c r="J637" i="1"/>
  <c r="J635" i="1"/>
  <c r="J633" i="1"/>
  <c r="J631" i="1"/>
  <c r="J629" i="1"/>
  <c r="J627" i="1"/>
  <c r="J625" i="1"/>
  <c r="J623" i="1"/>
  <c r="J621" i="1"/>
  <c r="J619" i="1"/>
  <c r="J617" i="1"/>
  <c r="J615" i="1"/>
  <c r="J613" i="1"/>
  <c r="J611" i="1"/>
  <c r="J609" i="1"/>
  <c r="J607" i="1"/>
  <c r="J605" i="1"/>
  <c r="H603" i="1"/>
  <c r="I603" i="1"/>
  <c r="L603" i="1" s="1"/>
  <c r="L602" i="1" s="1"/>
  <c r="N603" i="1"/>
  <c r="N601" i="1"/>
  <c r="G601" i="1"/>
  <c r="H601" i="1" s="1"/>
  <c r="K601" i="1"/>
  <c r="N593" i="1"/>
  <c r="G593" i="1"/>
  <c r="H593" i="1" s="1"/>
  <c r="K593" i="1"/>
  <c r="N585" i="1"/>
  <c r="G585" i="1"/>
  <c r="H585" i="1" s="1"/>
  <c r="K585" i="1"/>
  <c r="N577" i="1"/>
  <c r="G577" i="1"/>
  <c r="H577" i="1" s="1"/>
  <c r="K577" i="1"/>
  <c r="N569" i="1"/>
  <c r="G569" i="1"/>
  <c r="H569" i="1" s="1"/>
  <c r="K569" i="1"/>
  <c r="N561" i="1"/>
  <c r="G561" i="1"/>
  <c r="H561" i="1" s="1"/>
  <c r="K561" i="1"/>
  <c r="N553" i="1"/>
  <c r="G553" i="1"/>
  <c r="H553" i="1" s="1"/>
  <c r="K553" i="1"/>
  <c r="J547" i="1"/>
  <c r="N595" i="1"/>
  <c r="G595" i="1"/>
  <c r="I595" i="1" s="1"/>
  <c r="L595" i="1" s="1"/>
  <c r="L594" i="1" s="1"/>
  <c r="K595" i="1"/>
  <c r="N587" i="1"/>
  <c r="G587" i="1"/>
  <c r="I587" i="1" s="1"/>
  <c r="L587" i="1" s="1"/>
  <c r="L586" i="1" s="1"/>
  <c r="K587" i="1"/>
  <c r="N579" i="1"/>
  <c r="G579" i="1"/>
  <c r="I579" i="1" s="1"/>
  <c r="L579" i="1" s="1"/>
  <c r="L578" i="1" s="1"/>
  <c r="K579" i="1"/>
  <c r="N571" i="1"/>
  <c r="G571" i="1"/>
  <c r="I571" i="1" s="1"/>
  <c r="L571" i="1" s="1"/>
  <c r="L570" i="1" s="1"/>
  <c r="K571" i="1"/>
  <c r="N563" i="1"/>
  <c r="G563" i="1"/>
  <c r="I563" i="1" s="1"/>
  <c r="L563" i="1" s="1"/>
  <c r="L562" i="1" s="1"/>
  <c r="K563" i="1"/>
  <c r="N555" i="1"/>
  <c r="G555" i="1"/>
  <c r="I555" i="1" s="1"/>
  <c r="L555" i="1" s="1"/>
  <c r="L554" i="1" s="1"/>
  <c r="K555" i="1"/>
  <c r="M697" i="1"/>
  <c r="M695" i="1"/>
  <c r="M693" i="1"/>
  <c r="M691" i="1"/>
  <c r="M689" i="1"/>
  <c r="M687" i="1"/>
  <c r="M685" i="1"/>
  <c r="M683" i="1"/>
  <c r="M681" i="1"/>
  <c r="M679" i="1"/>
  <c r="M677" i="1"/>
  <c r="M675" i="1"/>
  <c r="M673" i="1"/>
  <c r="M671" i="1"/>
  <c r="M669" i="1"/>
  <c r="M667" i="1"/>
  <c r="M665" i="1"/>
  <c r="M663" i="1"/>
  <c r="M661" i="1"/>
  <c r="M659" i="1"/>
  <c r="M657" i="1"/>
  <c r="M655" i="1"/>
  <c r="M653" i="1"/>
  <c r="M651" i="1"/>
  <c r="M649" i="1"/>
  <c r="M647" i="1"/>
  <c r="M645" i="1"/>
  <c r="M643" i="1"/>
  <c r="M641" i="1"/>
  <c r="M639" i="1"/>
  <c r="M637" i="1"/>
  <c r="M635" i="1"/>
  <c r="M633" i="1"/>
  <c r="M631" i="1"/>
  <c r="M629" i="1"/>
  <c r="M627" i="1"/>
  <c r="M625" i="1"/>
  <c r="M623" i="1"/>
  <c r="M621" i="1"/>
  <c r="M619" i="1"/>
  <c r="M617" i="1"/>
  <c r="M615" i="1"/>
  <c r="M613" i="1"/>
  <c r="M611" i="1"/>
  <c r="M609" i="1"/>
  <c r="M607" i="1"/>
  <c r="K603" i="1"/>
  <c r="N597" i="1"/>
  <c r="G597" i="1"/>
  <c r="H597" i="1" s="1"/>
  <c r="K597" i="1"/>
  <c r="N589" i="1"/>
  <c r="G589" i="1"/>
  <c r="H589" i="1" s="1"/>
  <c r="K589" i="1"/>
  <c r="N581" i="1"/>
  <c r="G581" i="1"/>
  <c r="I581" i="1" s="1"/>
  <c r="L581" i="1" s="1"/>
  <c r="L580" i="1" s="1"/>
  <c r="K581" i="1"/>
  <c r="M575" i="1"/>
  <c r="N573" i="1"/>
  <c r="G573" i="1"/>
  <c r="I573" i="1" s="1"/>
  <c r="L573" i="1" s="1"/>
  <c r="L572" i="1" s="1"/>
  <c r="K573" i="1"/>
  <c r="M567" i="1"/>
  <c r="N565" i="1"/>
  <c r="G565" i="1"/>
  <c r="I565" i="1" s="1"/>
  <c r="L565" i="1" s="1"/>
  <c r="L564" i="1" s="1"/>
  <c r="K565" i="1"/>
  <c r="M559" i="1"/>
  <c r="N557" i="1"/>
  <c r="G557" i="1"/>
  <c r="I557" i="1" s="1"/>
  <c r="L557" i="1" s="1"/>
  <c r="L556" i="1" s="1"/>
  <c r="K557" i="1"/>
  <c r="M551" i="1"/>
  <c r="N549" i="1"/>
  <c r="G549" i="1"/>
  <c r="I549" i="1" s="1"/>
  <c r="L549" i="1" s="1"/>
  <c r="L548" i="1" s="1"/>
  <c r="K549" i="1"/>
  <c r="K697" i="1"/>
  <c r="K695" i="1"/>
  <c r="K693" i="1"/>
  <c r="K691" i="1"/>
  <c r="K689" i="1"/>
  <c r="K687" i="1"/>
  <c r="K685" i="1"/>
  <c r="K683" i="1"/>
  <c r="K681" i="1"/>
  <c r="K679" i="1"/>
  <c r="K677" i="1"/>
  <c r="K675" i="1"/>
  <c r="K673" i="1"/>
  <c r="K671" i="1"/>
  <c r="K669" i="1"/>
  <c r="K667" i="1"/>
  <c r="K665" i="1"/>
  <c r="K663" i="1"/>
  <c r="K661" i="1"/>
  <c r="K659" i="1"/>
  <c r="K657" i="1"/>
  <c r="K655" i="1"/>
  <c r="K653" i="1"/>
  <c r="K651" i="1"/>
  <c r="K649" i="1"/>
  <c r="K647" i="1"/>
  <c r="K645" i="1"/>
  <c r="K643" i="1"/>
  <c r="K641" i="1"/>
  <c r="K639" i="1"/>
  <c r="K637" i="1"/>
  <c r="K635" i="1"/>
  <c r="K633" i="1"/>
  <c r="K631" i="1"/>
  <c r="K629" i="1"/>
  <c r="K627" i="1"/>
  <c r="K625" i="1"/>
  <c r="K623" i="1"/>
  <c r="K621" i="1"/>
  <c r="K619" i="1"/>
  <c r="K617" i="1"/>
  <c r="K615" i="1"/>
  <c r="K613" i="1"/>
  <c r="K611" i="1"/>
  <c r="K609" i="1"/>
  <c r="N599" i="1"/>
  <c r="G599" i="1"/>
  <c r="H599" i="1" s="1"/>
  <c r="K599" i="1"/>
  <c r="N591" i="1"/>
  <c r="G591" i="1"/>
  <c r="H591" i="1" s="1"/>
  <c r="K591" i="1"/>
  <c r="N583" i="1"/>
  <c r="G583" i="1"/>
  <c r="H583" i="1" s="1"/>
  <c r="K583" i="1"/>
  <c r="M577" i="1"/>
  <c r="N575" i="1"/>
  <c r="G575" i="1"/>
  <c r="H575" i="1" s="1"/>
  <c r="K575" i="1"/>
  <c r="M569" i="1"/>
  <c r="N567" i="1"/>
  <c r="G567" i="1"/>
  <c r="H567" i="1" s="1"/>
  <c r="K567" i="1"/>
  <c r="M561" i="1"/>
  <c r="N559" i="1"/>
  <c r="G559" i="1"/>
  <c r="H559" i="1" s="1"/>
  <c r="K559" i="1"/>
  <c r="H557" i="1"/>
  <c r="M553" i="1"/>
  <c r="N551" i="1"/>
  <c r="G551" i="1"/>
  <c r="H551" i="1" s="1"/>
  <c r="K551" i="1"/>
  <c r="M523" i="1"/>
  <c r="G523" i="1"/>
  <c r="I523" i="1" s="1"/>
  <c r="L523" i="1" s="1"/>
  <c r="L522" i="1" s="1"/>
  <c r="J523" i="1"/>
  <c r="K521" i="1"/>
  <c r="M515" i="1"/>
  <c r="G515" i="1"/>
  <c r="I515" i="1" s="1"/>
  <c r="L515" i="1" s="1"/>
  <c r="L514" i="1" s="1"/>
  <c r="J515" i="1"/>
  <c r="K513" i="1"/>
  <c r="M507" i="1"/>
  <c r="G507" i="1"/>
  <c r="I507" i="1" s="1"/>
  <c r="L507" i="1" s="1"/>
  <c r="L506" i="1" s="1"/>
  <c r="J507" i="1"/>
  <c r="K505" i="1"/>
  <c r="G497" i="1"/>
  <c r="I497" i="1" s="1"/>
  <c r="L497" i="1" s="1"/>
  <c r="L496" i="1" s="1"/>
  <c r="J497" i="1"/>
  <c r="G489" i="1"/>
  <c r="I489" i="1" s="1"/>
  <c r="L489" i="1" s="1"/>
  <c r="L488" i="1" s="1"/>
  <c r="J489" i="1"/>
  <c r="G481" i="1"/>
  <c r="I481" i="1" s="1"/>
  <c r="L481" i="1" s="1"/>
  <c r="L480" i="1" s="1"/>
  <c r="J481" i="1"/>
  <c r="G473" i="1"/>
  <c r="I473" i="1" s="1"/>
  <c r="L473" i="1" s="1"/>
  <c r="L472" i="1" s="1"/>
  <c r="J473" i="1"/>
  <c r="G465" i="1"/>
  <c r="I465" i="1" s="1"/>
  <c r="L465" i="1" s="1"/>
  <c r="L464" i="1" s="1"/>
  <c r="J465" i="1"/>
  <c r="G457" i="1"/>
  <c r="I457" i="1" s="1"/>
  <c r="L457" i="1" s="1"/>
  <c r="L456" i="1" s="1"/>
  <c r="J457" i="1"/>
  <c r="G449" i="1"/>
  <c r="I449" i="1" s="1"/>
  <c r="L449" i="1" s="1"/>
  <c r="L448" i="1" s="1"/>
  <c r="J449" i="1"/>
  <c r="G441" i="1"/>
  <c r="I441" i="1" s="1"/>
  <c r="L441" i="1" s="1"/>
  <c r="L440" i="1" s="1"/>
  <c r="J441" i="1"/>
  <c r="G439" i="1"/>
  <c r="I439" i="1" s="1"/>
  <c r="L439" i="1" s="1"/>
  <c r="L438" i="1" s="1"/>
  <c r="M439" i="1"/>
  <c r="J437" i="1"/>
  <c r="K437" i="1"/>
  <c r="G435" i="1"/>
  <c r="I435" i="1" s="1"/>
  <c r="L435" i="1" s="1"/>
  <c r="L434" i="1" s="1"/>
  <c r="M435" i="1"/>
  <c r="J433" i="1"/>
  <c r="H433" i="1"/>
  <c r="K433" i="1"/>
  <c r="G431" i="1"/>
  <c r="I431" i="1" s="1"/>
  <c r="L431" i="1" s="1"/>
  <c r="L430" i="1" s="1"/>
  <c r="M431" i="1"/>
  <c r="J429" i="1"/>
  <c r="K429" i="1"/>
  <c r="H429" i="1"/>
  <c r="G427" i="1"/>
  <c r="I427" i="1" s="1"/>
  <c r="L427" i="1" s="1"/>
  <c r="L426" i="1" s="1"/>
  <c r="M427" i="1"/>
  <c r="J425" i="1"/>
  <c r="H425" i="1"/>
  <c r="K425" i="1"/>
  <c r="G423" i="1"/>
  <c r="I423" i="1" s="1"/>
  <c r="L423" i="1" s="1"/>
  <c r="L422" i="1" s="1"/>
  <c r="M423" i="1"/>
  <c r="J421" i="1"/>
  <c r="K421" i="1"/>
  <c r="G419" i="1"/>
  <c r="I419" i="1" s="1"/>
  <c r="L419" i="1" s="1"/>
  <c r="L418" i="1" s="1"/>
  <c r="M419" i="1"/>
  <c r="J417" i="1"/>
  <c r="H417" i="1"/>
  <c r="K417" i="1"/>
  <c r="G415" i="1"/>
  <c r="I415" i="1" s="1"/>
  <c r="L415" i="1" s="1"/>
  <c r="L414" i="1" s="1"/>
  <c r="M415" i="1"/>
  <c r="J413" i="1"/>
  <c r="K413" i="1"/>
  <c r="H413" i="1"/>
  <c r="G411" i="1"/>
  <c r="I411" i="1" s="1"/>
  <c r="L411" i="1" s="1"/>
  <c r="L410" i="1" s="1"/>
  <c r="M411" i="1"/>
  <c r="J409" i="1"/>
  <c r="H409" i="1"/>
  <c r="K409" i="1"/>
  <c r="G407" i="1"/>
  <c r="I407" i="1" s="1"/>
  <c r="L407" i="1" s="1"/>
  <c r="L406" i="1" s="1"/>
  <c r="M407" i="1"/>
  <c r="J405" i="1"/>
  <c r="K405" i="1"/>
  <c r="G403" i="1"/>
  <c r="I403" i="1" s="1"/>
  <c r="L403" i="1" s="1"/>
  <c r="L402" i="1" s="1"/>
  <c r="M403" i="1"/>
  <c r="J401" i="1"/>
  <c r="H401" i="1"/>
  <c r="K401" i="1"/>
  <c r="G399" i="1"/>
  <c r="I399" i="1" s="1"/>
  <c r="L399" i="1" s="1"/>
  <c r="L398" i="1" s="1"/>
  <c r="M399" i="1"/>
  <c r="J397" i="1"/>
  <c r="K397" i="1"/>
  <c r="H397" i="1"/>
  <c r="G395" i="1"/>
  <c r="I395" i="1" s="1"/>
  <c r="L395" i="1" s="1"/>
  <c r="L394" i="1" s="1"/>
  <c r="M395" i="1"/>
  <c r="J393" i="1"/>
  <c r="H393" i="1"/>
  <c r="K393" i="1"/>
  <c r="K387" i="1"/>
  <c r="G387" i="1"/>
  <c r="I387" i="1" s="1"/>
  <c r="L387" i="1" s="1"/>
  <c r="L386" i="1" s="1"/>
  <c r="M387" i="1"/>
  <c r="G365" i="1"/>
  <c r="I365" i="1" s="1"/>
  <c r="L365" i="1" s="1"/>
  <c r="L364" i="1" s="1"/>
  <c r="M365" i="1"/>
  <c r="N365" i="1"/>
  <c r="J361" i="1"/>
  <c r="H361" i="1"/>
  <c r="K361" i="1"/>
  <c r="K355" i="1"/>
  <c r="G355" i="1"/>
  <c r="I355" i="1" s="1"/>
  <c r="L355" i="1" s="1"/>
  <c r="L354" i="1" s="1"/>
  <c r="M355" i="1"/>
  <c r="K547" i="1"/>
  <c r="G547" i="1"/>
  <c r="H547" i="1" s="1"/>
  <c r="K545" i="1"/>
  <c r="G545" i="1"/>
  <c r="H545" i="1" s="1"/>
  <c r="K543" i="1"/>
  <c r="G543" i="1"/>
  <c r="H543" i="1" s="1"/>
  <c r="K541" i="1"/>
  <c r="G541" i="1"/>
  <c r="H541" i="1" s="1"/>
  <c r="K539" i="1"/>
  <c r="G539" i="1"/>
  <c r="H539" i="1" s="1"/>
  <c r="K537" i="1"/>
  <c r="G537" i="1"/>
  <c r="H537" i="1" s="1"/>
  <c r="K535" i="1"/>
  <c r="G535" i="1"/>
  <c r="H535" i="1" s="1"/>
  <c r="K533" i="1"/>
  <c r="G533" i="1"/>
  <c r="H533" i="1" s="1"/>
  <c r="K531" i="1"/>
  <c r="G531" i="1"/>
  <c r="H531" i="1" s="1"/>
  <c r="K529" i="1"/>
  <c r="G529" i="1"/>
  <c r="H529" i="1" s="1"/>
  <c r="K527" i="1"/>
  <c r="G527" i="1"/>
  <c r="H527" i="1" s="1"/>
  <c r="K525" i="1"/>
  <c r="G525" i="1"/>
  <c r="H525" i="1" s="1"/>
  <c r="K523" i="1"/>
  <c r="I521" i="1"/>
  <c r="L521" i="1" s="1"/>
  <c r="L520" i="1" s="1"/>
  <c r="H519" i="1"/>
  <c r="M517" i="1"/>
  <c r="G517" i="1"/>
  <c r="H517" i="1" s="1"/>
  <c r="J517" i="1"/>
  <c r="K515" i="1"/>
  <c r="H511" i="1"/>
  <c r="M509" i="1"/>
  <c r="G509" i="1"/>
  <c r="H509" i="1" s="1"/>
  <c r="J509" i="1"/>
  <c r="K507" i="1"/>
  <c r="I505" i="1"/>
  <c r="L505" i="1" s="1"/>
  <c r="L504" i="1" s="1"/>
  <c r="H503" i="1"/>
  <c r="J503" i="1"/>
  <c r="N497" i="1"/>
  <c r="H495" i="1"/>
  <c r="J495" i="1"/>
  <c r="N489" i="1"/>
  <c r="H487" i="1"/>
  <c r="J487" i="1"/>
  <c r="N481" i="1"/>
  <c r="H479" i="1"/>
  <c r="J479" i="1"/>
  <c r="N473" i="1"/>
  <c r="H471" i="1"/>
  <c r="J471" i="1"/>
  <c r="N465" i="1"/>
  <c r="H463" i="1"/>
  <c r="J463" i="1"/>
  <c r="N457" i="1"/>
  <c r="H455" i="1"/>
  <c r="J455" i="1"/>
  <c r="N449" i="1"/>
  <c r="H447" i="1"/>
  <c r="J447" i="1"/>
  <c r="N441" i="1"/>
  <c r="H439" i="1"/>
  <c r="H411" i="1"/>
  <c r="G373" i="1"/>
  <c r="I373" i="1" s="1"/>
  <c r="L373" i="1" s="1"/>
  <c r="L372" i="1" s="1"/>
  <c r="M373" i="1"/>
  <c r="N373" i="1"/>
  <c r="J369" i="1"/>
  <c r="H369" i="1"/>
  <c r="K369" i="1"/>
  <c r="K363" i="1"/>
  <c r="G363" i="1"/>
  <c r="H363" i="1" s="1"/>
  <c r="M363" i="1"/>
  <c r="H501" i="1"/>
  <c r="J501" i="1"/>
  <c r="H493" i="1"/>
  <c r="J493" i="1"/>
  <c r="H485" i="1"/>
  <c r="J485" i="1"/>
  <c r="H477" i="1"/>
  <c r="J477" i="1"/>
  <c r="H469" i="1"/>
  <c r="J469" i="1"/>
  <c r="H461" i="1"/>
  <c r="J461" i="1"/>
  <c r="H453" i="1"/>
  <c r="J453" i="1"/>
  <c r="H445" i="1"/>
  <c r="J445" i="1"/>
  <c r="N437" i="1"/>
  <c r="N433" i="1"/>
  <c r="N429" i="1"/>
  <c r="N425" i="1"/>
  <c r="N421" i="1"/>
  <c r="N417" i="1"/>
  <c r="N413" i="1"/>
  <c r="N409" i="1"/>
  <c r="N405" i="1"/>
  <c r="N401" i="1"/>
  <c r="N397" i="1"/>
  <c r="N393" i="1"/>
  <c r="G381" i="1"/>
  <c r="I381" i="1" s="1"/>
  <c r="L381" i="1" s="1"/>
  <c r="L380" i="1" s="1"/>
  <c r="M381" i="1"/>
  <c r="N381" i="1"/>
  <c r="J377" i="1"/>
  <c r="H377" i="1"/>
  <c r="K377" i="1"/>
  <c r="K371" i="1"/>
  <c r="G371" i="1"/>
  <c r="I371" i="1" s="1"/>
  <c r="L371" i="1" s="1"/>
  <c r="L370" i="1" s="1"/>
  <c r="M371" i="1"/>
  <c r="G349" i="1"/>
  <c r="I349" i="1" s="1"/>
  <c r="L349" i="1" s="1"/>
  <c r="L348" i="1" s="1"/>
  <c r="M349" i="1"/>
  <c r="N349" i="1"/>
  <c r="J345" i="1"/>
  <c r="K345" i="1"/>
  <c r="N547" i="1"/>
  <c r="N545" i="1"/>
  <c r="N543" i="1"/>
  <c r="N541" i="1"/>
  <c r="N539" i="1"/>
  <c r="N537" i="1"/>
  <c r="N535" i="1"/>
  <c r="N533" i="1"/>
  <c r="N531" i="1"/>
  <c r="N529" i="1"/>
  <c r="N527" i="1"/>
  <c r="N525" i="1"/>
  <c r="M521" i="1"/>
  <c r="J521" i="1"/>
  <c r="K519" i="1"/>
  <c r="M513" i="1"/>
  <c r="J513" i="1"/>
  <c r="K511" i="1"/>
  <c r="M505" i="1"/>
  <c r="J505" i="1"/>
  <c r="K503" i="1"/>
  <c r="N501" i="1"/>
  <c r="G499" i="1"/>
  <c r="I499" i="1" s="1"/>
  <c r="L499" i="1" s="1"/>
  <c r="L498" i="1" s="1"/>
  <c r="J499" i="1"/>
  <c r="K495" i="1"/>
  <c r="N493" i="1"/>
  <c r="G491" i="1"/>
  <c r="I491" i="1" s="1"/>
  <c r="L491" i="1" s="1"/>
  <c r="L490" i="1" s="1"/>
  <c r="J491" i="1"/>
  <c r="K487" i="1"/>
  <c r="N485" i="1"/>
  <c r="G483" i="1"/>
  <c r="I483" i="1" s="1"/>
  <c r="L483" i="1" s="1"/>
  <c r="L482" i="1" s="1"/>
  <c r="J483" i="1"/>
  <c r="K479" i="1"/>
  <c r="N477" i="1"/>
  <c r="G475" i="1"/>
  <c r="I475" i="1" s="1"/>
  <c r="L475" i="1" s="1"/>
  <c r="L474" i="1" s="1"/>
  <c r="J475" i="1"/>
  <c r="K471" i="1"/>
  <c r="N469" i="1"/>
  <c r="G467" i="1"/>
  <c r="I467" i="1" s="1"/>
  <c r="L467" i="1" s="1"/>
  <c r="L466" i="1" s="1"/>
  <c r="J467" i="1"/>
  <c r="K463" i="1"/>
  <c r="N461" i="1"/>
  <c r="G459" i="1"/>
  <c r="I459" i="1" s="1"/>
  <c r="L459" i="1" s="1"/>
  <c r="L458" i="1" s="1"/>
  <c r="J459" i="1"/>
  <c r="K455" i="1"/>
  <c r="N453" i="1"/>
  <c r="G451" i="1"/>
  <c r="I451" i="1" s="1"/>
  <c r="L451" i="1" s="1"/>
  <c r="L450" i="1" s="1"/>
  <c r="J451" i="1"/>
  <c r="K447" i="1"/>
  <c r="N445" i="1"/>
  <c r="G443" i="1"/>
  <c r="I443" i="1" s="1"/>
  <c r="L443" i="1" s="1"/>
  <c r="L442" i="1" s="1"/>
  <c r="J443" i="1"/>
  <c r="N439" i="1"/>
  <c r="N435" i="1"/>
  <c r="N431" i="1"/>
  <c r="N427" i="1"/>
  <c r="N423" i="1"/>
  <c r="N419" i="1"/>
  <c r="N415" i="1"/>
  <c r="N411" i="1"/>
  <c r="N407" i="1"/>
  <c r="N403" i="1"/>
  <c r="N399" i="1"/>
  <c r="N395" i="1"/>
  <c r="G389" i="1"/>
  <c r="I389" i="1" s="1"/>
  <c r="L389" i="1" s="1"/>
  <c r="L388" i="1" s="1"/>
  <c r="M389" i="1"/>
  <c r="N389" i="1"/>
  <c r="J385" i="1"/>
  <c r="K385" i="1"/>
  <c r="K379" i="1"/>
  <c r="G379" i="1"/>
  <c r="H379" i="1" s="1"/>
  <c r="M379" i="1"/>
  <c r="G357" i="1"/>
  <c r="I357" i="1" s="1"/>
  <c r="L357" i="1" s="1"/>
  <c r="L356" i="1" s="1"/>
  <c r="M357" i="1"/>
  <c r="N357" i="1"/>
  <c r="J353" i="1"/>
  <c r="K353" i="1"/>
  <c r="K347" i="1"/>
  <c r="G347" i="1"/>
  <c r="H347" i="1" s="1"/>
  <c r="M347" i="1"/>
  <c r="H333" i="1"/>
  <c r="J329" i="1"/>
  <c r="H329" i="1"/>
  <c r="J321" i="1"/>
  <c r="J313" i="1"/>
  <c r="J305" i="1"/>
  <c r="J297" i="1"/>
  <c r="G285" i="1"/>
  <c r="I285" i="1" s="1"/>
  <c r="L285" i="1" s="1"/>
  <c r="L284" i="1" s="1"/>
  <c r="K285" i="1"/>
  <c r="M285" i="1"/>
  <c r="G277" i="1"/>
  <c r="I277" i="1" s="1"/>
  <c r="L277" i="1" s="1"/>
  <c r="L276" i="1" s="1"/>
  <c r="K277" i="1"/>
  <c r="M277" i="1"/>
  <c r="G269" i="1"/>
  <c r="I269" i="1" s="1"/>
  <c r="L269" i="1" s="1"/>
  <c r="L268" i="1" s="1"/>
  <c r="K269" i="1"/>
  <c r="M269" i="1"/>
  <c r="G261" i="1"/>
  <c r="I261" i="1" s="1"/>
  <c r="L261" i="1" s="1"/>
  <c r="L260" i="1" s="1"/>
  <c r="K261" i="1"/>
  <c r="M261" i="1"/>
  <c r="G253" i="1"/>
  <c r="I253" i="1" s="1"/>
  <c r="L253" i="1" s="1"/>
  <c r="L252" i="1" s="1"/>
  <c r="K253" i="1"/>
  <c r="M253" i="1"/>
  <c r="G245" i="1"/>
  <c r="I245" i="1" s="1"/>
  <c r="L245" i="1" s="1"/>
  <c r="L244" i="1" s="1"/>
  <c r="K245" i="1"/>
  <c r="M245" i="1"/>
  <c r="N239" i="1"/>
  <c r="O239" i="1" s="1"/>
  <c r="O238" i="1" s="1"/>
  <c r="K239" i="1"/>
  <c r="G239" i="1"/>
  <c r="I239" i="1" s="1"/>
  <c r="L239" i="1" s="1"/>
  <c r="L238" i="1" s="1"/>
  <c r="M239" i="1"/>
  <c r="N231" i="1"/>
  <c r="O231" i="1" s="1"/>
  <c r="O230" i="1" s="1"/>
  <c r="K231" i="1"/>
  <c r="G231" i="1"/>
  <c r="I231" i="1" s="1"/>
  <c r="L231" i="1" s="1"/>
  <c r="L230" i="1" s="1"/>
  <c r="M231" i="1"/>
  <c r="J225" i="1"/>
  <c r="K225" i="1"/>
  <c r="J221" i="1"/>
  <c r="K221" i="1"/>
  <c r="J217" i="1"/>
  <c r="K217" i="1"/>
  <c r="H213" i="1"/>
  <c r="J213" i="1"/>
  <c r="K213" i="1"/>
  <c r="H209" i="1"/>
  <c r="J209" i="1"/>
  <c r="K209" i="1"/>
  <c r="J205" i="1"/>
  <c r="K205" i="1"/>
  <c r="J201" i="1"/>
  <c r="K201" i="1"/>
  <c r="J197" i="1"/>
  <c r="K197" i="1"/>
  <c r="J193" i="1"/>
  <c r="K193" i="1"/>
  <c r="H189" i="1"/>
  <c r="J189" i="1"/>
  <c r="K189" i="1"/>
  <c r="H185" i="1"/>
  <c r="J185" i="1"/>
  <c r="K185" i="1"/>
  <c r="H181" i="1"/>
  <c r="J181" i="1"/>
  <c r="K181" i="1"/>
  <c r="J177" i="1"/>
  <c r="K177" i="1"/>
  <c r="J173" i="1"/>
  <c r="K173" i="1"/>
  <c r="J169" i="1"/>
  <c r="K169" i="1"/>
  <c r="H165" i="1"/>
  <c r="J165" i="1"/>
  <c r="K165" i="1"/>
  <c r="J159" i="1"/>
  <c r="K159" i="1"/>
  <c r="G131" i="1"/>
  <c r="I131" i="1" s="1"/>
  <c r="L131" i="1" s="1"/>
  <c r="L130" i="1" s="1"/>
  <c r="K131" i="1"/>
  <c r="M131" i="1"/>
  <c r="J131" i="1"/>
  <c r="N131" i="1"/>
  <c r="O131" i="1" s="1"/>
  <c r="O130" i="1" s="1"/>
  <c r="G127" i="1"/>
  <c r="I127" i="1" s="1"/>
  <c r="L127" i="1" s="1"/>
  <c r="L126" i="1" s="1"/>
  <c r="K127" i="1"/>
  <c r="M127" i="1"/>
  <c r="J127" i="1"/>
  <c r="N127" i="1"/>
  <c r="O127" i="1" s="1"/>
  <c r="O126" i="1" s="1"/>
  <c r="N3" i="1"/>
  <c r="J3" i="1"/>
  <c r="G3" i="1"/>
  <c r="I3" i="1" s="1"/>
  <c r="K3" i="1"/>
  <c r="M3" i="1"/>
  <c r="J435" i="1"/>
  <c r="J427" i="1"/>
  <c r="J419" i="1"/>
  <c r="J411" i="1"/>
  <c r="J403" i="1"/>
  <c r="J395" i="1"/>
  <c r="I391" i="1"/>
  <c r="L391" i="1" s="1"/>
  <c r="L390" i="1" s="1"/>
  <c r="J387" i="1"/>
  <c r="I383" i="1"/>
  <c r="L383" i="1" s="1"/>
  <c r="L382" i="1" s="1"/>
  <c r="J379" i="1"/>
  <c r="I375" i="1"/>
  <c r="L375" i="1" s="1"/>
  <c r="L374" i="1" s="1"/>
  <c r="J371" i="1"/>
  <c r="I367" i="1"/>
  <c r="L367" i="1" s="1"/>
  <c r="L366" i="1" s="1"/>
  <c r="J363" i="1"/>
  <c r="I359" i="1"/>
  <c r="L359" i="1" s="1"/>
  <c r="L358" i="1" s="1"/>
  <c r="J355" i="1"/>
  <c r="J347" i="1"/>
  <c r="N341" i="1"/>
  <c r="M339" i="1"/>
  <c r="G339" i="1"/>
  <c r="H339" i="1" s="1"/>
  <c r="J339" i="1"/>
  <c r="K337" i="1"/>
  <c r="N333" i="1"/>
  <c r="N329" i="1"/>
  <c r="G327" i="1"/>
  <c r="I327" i="1" s="1"/>
  <c r="L327" i="1" s="1"/>
  <c r="L326" i="1" s="1"/>
  <c r="J327" i="1"/>
  <c r="N321" i="1"/>
  <c r="G319" i="1"/>
  <c r="I319" i="1" s="1"/>
  <c r="L319" i="1" s="1"/>
  <c r="L318" i="1" s="1"/>
  <c r="J319" i="1"/>
  <c r="N313" i="1"/>
  <c r="G311" i="1"/>
  <c r="I311" i="1" s="1"/>
  <c r="L311" i="1" s="1"/>
  <c r="L310" i="1" s="1"/>
  <c r="J311" i="1"/>
  <c r="N305" i="1"/>
  <c r="G303" i="1"/>
  <c r="I303" i="1" s="1"/>
  <c r="L303" i="1" s="1"/>
  <c r="L302" i="1" s="1"/>
  <c r="J303" i="1"/>
  <c r="N297" i="1"/>
  <c r="G295" i="1"/>
  <c r="I295" i="1" s="1"/>
  <c r="L295" i="1" s="1"/>
  <c r="L294" i="1" s="1"/>
  <c r="J295" i="1"/>
  <c r="J291" i="1"/>
  <c r="G287" i="1"/>
  <c r="I287" i="1" s="1"/>
  <c r="L287" i="1" s="1"/>
  <c r="L286" i="1" s="1"/>
  <c r="K287" i="1"/>
  <c r="M287" i="1"/>
  <c r="N285" i="1"/>
  <c r="J283" i="1"/>
  <c r="G279" i="1"/>
  <c r="I279" i="1" s="1"/>
  <c r="L279" i="1" s="1"/>
  <c r="L278" i="1" s="1"/>
  <c r="K279" i="1"/>
  <c r="M279" i="1"/>
  <c r="N277" i="1"/>
  <c r="O277" i="1" s="1"/>
  <c r="O276" i="1" s="1"/>
  <c r="J275" i="1"/>
  <c r="G271" i="1"/>
  <c r="I271" i="1" s="1"/>
  <c r="L271" i="1" s="1"/>
  <c r="L270" i="1" s="1"/>
  <c r="K271" i="1"/>
  <c r="M271" i="1"/>
  <c r="N269" i="1"/>
  <c r="O269" i="1" s="1"/>
  <c r="O268" i="1" s="1"/>
  <c r="J267" i="1"/>
  <c r="G263" i="1"/>
  <c r="I263" i="1" s="1"/>
  <c r="L263" i="1" s="1"/>
  <c r="L262" i="1" s="1"/>
  <c r="K263" i="1"/>
  <c r="M263" i="1"/>
  <c r="N261" i="1"/>
  <c r="O261" i="1" s="1"/>
  <c r="O260" i="1" s="1"/>
  <c r="J259" i="1"/>
  <c r="G255" i="1"/>
  <c r="I255" i="1" s="1"/>
  <c r="L255" i="1" s="1"/>
  <c r="L254" i="1" s="1"/>
  <c r="K255" i="1"/>
  <c r="M255" i="1"/>
  <c r="N253" i="1"/>
  <c r="O253" i="1" s="1"/>
  <c r="O252" i="1" s="1"/>
  <c r="J251" i="1"/>
  <c r="G247" i="1"/>
  <c r="I247" i="1" s="1"/>
  <c r="L247" i="1" s="1"/>
  <c r="L246" i="1" s="1"/>
  <c r="K247" i="1"/>
  <c r="M247" i="1"/>
  <c r="N245" i="1"/>
  <c r="O245" i="1" s="1"/>
  <c r="O244" i="1" s="1"/>
  <c r="J239" i="1"/>
  <c r="J231" i="1"/>
  <c r="G115" i="1"/>
  <c r="I115" i="1" s="1"/>
  <c r="L115" i="1" s="1"/>
  <c r="L114" i="1" s="1"/>
  <c r="K115" i="1"/>
  <c r="M115" i="1"/>
  <c r="J115" i="1"/>
  <c r="N115" i="1"/>
  <c r="O115" i="1" s="1"/>
  <c r="O114" i="1" s="1"/>
  <c r="N113" i="1"/>
  <c r="O113" i="1" s="1"/>
  <c r="O112" i="1" s="1"/>
  <c r="J113" i="1"/>
  <c r="J389" i="1"/>
  <c r="J381" i="1"/>
  <c r="J373" i="1"/>
  <c r="J365" i="1"/>
  <c r="J357" i="1"/>
  <c r="J349" i="1"/>
  <c r="M341" i="1"/>
  <c r="J341" i="1"/>
  <c r="K339" i="1"/>
  <c r="M333" i="1"/>
  <c r="J333" i="1"/>
  <c r="K329" i="1"/>
  <c r="G325" i="1"/>
  <c r="I325" i="1" s="1"/>
  <c r="L325" i="1" s="1"/>
  <c r="L324" i="1" s="1"/>
  <c r="J325" i="1"/>
  <c r="K321" i="1"/>
  <c r="G317" i="1"/>
  <c r="I317" i="1" s="1"/>
  <c r="L317" i="1" s="1"/>
  <c r="L316" i="1" s="1"/>
  <c r="J317" i="1"/>
  <c r="K313" i="1"/>
  <c r="G309" i="1"/>
  <c r="I309" i="1" s="1"/>
  <c r="L309" i="1" s="1"/>
  <c r="L308" i="1" s="1"/>
  <c r="J309" i="1"/>
  <c r="K305" i="1"/>
  <c r="G301" i="1"/>
  <c r="I301" i="1" s="1"/>
  <c r="L301" i="1" s="1"/>
  <c r="L300" i="1" s="1"/>
  <c r="J301" i="1"/>
  <c r="K297" i="1"/>
  <c r="G293" i="1"/>
  <c r="I293" i="1" s="1"/>
  <c r="L293" i="1" s="1"/>
  <c r="L292" i="1" s="1"/>
  <c r="J293" i="1"/>
  <c r="G289" i="1"/>
  <c r="I289" i="1" s="1"/>
  <c r="L289" i="1" s="1"/>
  <c r="L288" i="1" s="1"/>
  <c r="K289" i="1"/>
  <c r="M289" i="1"/>
  <c r="J285" i="1"/>
  <c r="G281" i="1"/>
  <c r="I281" i="1" s="1"/>
  <c r="L281" i="1" s="1"/>
  <c r="L280" i="1" s="1"/>
  <c r="K281" i="1"/>
  <c r="M281" i="1"/>
  <c r="J277" i="1"/>
  <c r="G273" i="1"/>
  <c r="I273" i="1" s="1"/>
  <c r="L273" i="1" s="1"/>
  <c r="L272" i="1" s="1"/>
  <c r="K273" i="1"/>
  <c r="M273" i="1"/>
  <c r="J269" i="1"/>
  <c r="G265" i="1"/>
  <c r="I265" i="1" s="1"/>
  <c r="L265" i="1" s="1"/>
  <c r="L264" i="1" s="1"/>
  <c r="K265" i="1"/>
  <c r="M265" i="1"/>
  <c r="J261" i="1"/>
  <c r="G257" i="1"/>
  <c r="I257" i="1" s="1"/>
  <c r="L257" i="1" s="1"/>
  <c r="L256" i="1" s="1"/>
  <c r="K257" i="1"/>
  <c r="M257" i="1"/>
  <c r="J253" i="1"/>
  <c r="G249" i="1"/>
  <c r="I249" i="1" s="1"/>
  <c r="L249" i="1" s="1"/>
  <c r="L248" i="1" s="1"/>
  <c r="K249" i="1"/>
  <c r="M249" i="1"/>
  <c r="J245" i="1"/>
  <c r="K243" i="1"/>
  <c r="G243" i="1"/>
  <c r="I243" i="1" s="1"/>
  <c r="L243" i="1" s="1"/>
  <c r="L242" i="1" s="1"/>
  <c r="M243" i="1"/>
  <c r="J237" i="1"/>
  <c r="N235" i="1"/>
  <c r="O235" i="1" s="1"/>
  <c r="O234" i="1" s="1"/>
  <c r="K235" i="1"/>
  <c r="G235" i="1"/>
  <c r="I235" i="1" s="1"/>
  <c r="L235" i="1" s="1"/>
  <c r="L234" i="1" s="1"/>
  <c r="M235" i="1"/>
  <c r="J229" i="1"/>
  <c r="M161" i="1"/>
  <c r="G161" i="1"/>
  <c r="I161" i="1" s="1"/>
  <c r="L161" i="1" s="1"/>
  <c r="L160" i="1" s="1"/>
  <c r="N161" i="1"/>
  <c r="O161" i="1" s="1"/>
  <c r="O160" i="1" s="1"/>
  <c r="J161" i="1"/>
  <c r="K161" i="1"/>
  <c r="J439" i="1"/>
  <c r="J431" i="1"/>
  <c r="J423" i="1"/>
  <c r="J415" i="1"/>
  <c r="J407" i="1"/>
  <c r="J399" i="1"/>
  <c r="M391" i="1"/>
  <c r="J391" i="1"/>
  <c r="K389" i="1"/>
  <c r="M383" i="1"/>
  <c r="J383" i="1"/>
  <c r="K381" i="1"/>
  <c r="M375" i="1"/>
  <c r="J375" i="1"/>
  <c r="K373" i="1"/>
  <c r="M367" i="1"/>
  <c r="J367" i="1"/>
  <c r="K365" i="1"/>
  <c r="M359" i="1"/>
  <c r="J359" i="1"/>
  <c r="K357" i="1"/>
  <c r="M351" i="1"/>
  <c r="J351" i="1"/>
  <c r="K349" i="1"/>
  <c r="M343" i="1"/>
  <c r="J343" i="1"/>
  <c r="K341" i="1"/>
  <c r="M335" i="1"/>
  <c r="J335" i="1"/>
  <c r="K333" i="1"/>
  <c r="J331" i="1"/>
  <c r="H331" i="1"/>
  <c r="N325" i="1"/>
  <c r="J323" i="1"/>
  <c r="N317" i="1"/>
  <c r="J315" i="1"/>
  <c r="N309" i="1"/>
  <c r="J307" i="1"/>
  <c r="N301" i="1"/>
  <c r="J299" i="1"/>
  <c r="N293" i="1"/>
  <c r="G291" i="1"/>
  <c r="I291" i="1" s="1"/>
  <c r="L291" i="1" s="1"/>
  <c r="L290" i="1" s="1"/>
  <c r="K291" i="1"/>
  <c r="M291" i="1"/>
  <c r="N289" i="1"/>
  <c r="G283" i="1"/>
  <c r="I283" i="1" s="1"/>
  <c r="L283" i="1" s="1"/>
  <c r="L282" i="1" s="1"/>
  <c r="K283" i="1"/>
  <c r="M283" i="1"/>
  <c r="N281" i="1"/>
  <c r="O281" i="1" s="1"/>
  <c r="O280" i="1" s="1"/>
  <c r="G275" i="1"/>
  <c r="I275" i="1" s="1"/>
  <c r="L275" i="1" s="1"/>
  <c r="L274" i="1" s="1"/>
  <c r="K275" i="1"/>
  <c r="M275" i="1"/>
  <c r="N273" i="1"/>
  <c r="O273" i="1" s="1"/>
  <c r="O272" i="1" s="1"/>
  <c r="G267" i="1"/>
  <c r="I267" i="1" s="1"/>
  <c r="L267" i="1" s="1"/>
  <c r="L266" i="1" s="1"/>
  <c r="K267" i="1"/>
  <c r="M267" i="1"/>
  <c r="N265" i="1"/>
  <c r="O265" i="1" s="1"/>
  <c r="O264" i="1" s="1"/>
  <c r="G259" i="1"/>
  <c r="I259" i="1" s="1"/>
  <c r="L259" i="1" s="1"/>
  <c r="L258" i="1" s="1"/>
  <c r="K259" i="1"/>
  <c r="M259" i="1"/>
  <c r="N257" i="1"/>
  <c r="O257" i="1" s="1"/>
  <c r="O256" i="1" s="1"/>
  <c r="G251" i="1"/>
  <c r="I251" i="1" s="1"/>
  <c r="L251" i="1" s="1"/>
  <c r="L250" i="1" s="1"/>
  <c r="K251" i="1"/>
  <c r="M251" i="1"/>
  <c r="N249" i="1"/>
  <c r="O249" i="1" s="1"/>
  <c r="O248" i="1" s="1"/>
  <c r="J243" i="1"/>
  <c r="J235" i="1"/>
  <c r="N227" i="1"/>
  <c r="O227" i="1" s="1"/>
  <c r="O226" i="1" s="1"/>
  <c r="I223" i="1"/>
  <c r="L223" i="1" s="1"/>
  <c r="L222" i="1" s="1"/>
  <c r="N223" i="1"/>
  <c r="O223" i="1" s="1"/>
  <c r="O222" i="1" s="1"/>
  <c r="N219" i="1"/>
  <c r="O219" i="1" s="1"/>
  <c r="O218" i="1" s="1"/>
  <c r="N215" i="1"/>
  <c r="O215" i="1" s="1"/>
  <c r="O214" i="1" s="1"/>
  <c r="N211" i="1"/>
  <c r="O211" i="1" s="1"/>
  <c r="O210" i="1" s="1"/>
  <c r="N207" i="1"/>
  <c r="O207" i="1" s="1"/>
  <c r="O206" i="1" s="1"/>
  <c r="N203" i="1"/>
  <c r="O203" i="1" s="1"/>
  <c r="O202" i="1" s="1"/>
  <c r="N199" i="1"/>
  <c r="O199" i="1" s="1"/>
  <c r="O198" i="1" s="1"/>
  <c r="N195" i="1"/>
  <c r="O195" i="1" s="1"/>
  <c r="O194" i="1" s="1"/>
  <c r="N191" i="1"/>
  <c r="O191" i="1" s="1"/>
  <c r="O190" i="1" s="1"/>
  <c r="I187" i="1"/>
  <c r="L187" i="1" s="1"/>
  <c r="L186" i="1" s="1"/>
  <c r="N187" i="1"/>
  <c r="O187" i="1" s="1"/>
  <c r="O186" i="1" s="1"/>
  <c r="N183" i="1"/>
  <c r="O183" i="1" s="1"/>
  <c r="O182" i="1" s="1"/>
  <c r="N179" i="1"/>
  <c r="O179" i="1" s="1"/>
  <c r="O178" i="1" s="1"/>
  <c r="N175" i="1"/>
  <c r="O175" i="1" s="1"/>
  <c r="O174" i="1" s="1"/>
  <c r="N171" i="1"/>
  <c r="O171" i="1" s="1"/>
  <c r="O170" i="1" s="1"/>
  <c r="N167" i="1"/>
  <c r="O167" i="1" s="1"/>
  <c r="O166" i="1" s="1"/>
  <c r="N163" i="1"/>
  <c r="O163" i="1" s="1"/>
  <c r="O162" i="1" s="1"/>
  <c r="G119" i="1"/>
  <c r="I119" i="1" s="1"/>
  <c r="L119" i="1" s="1"/>
  <c r="L118" i="1" s="1"/>
  <c r="K119" i="1"/>
  <c r="M119" i="1"/>
  <c r="J119" i="1"/>
  <c r="N119" i="1"/>
  <c r="O119" i="1" s="1"/>
  <c r="O118" i="1" s="1"/>
  <c r="N241" i="1"/>
  <c r="O241" i="1" s="1"/>
  <c r="O240" i="1" s="1"/>
  <c r="N237" i="1"/>
  <c r="O237" i="1" s="1"/>
  <c r="O236" i="1" s="1"/>
  <c r="N233" i="1"/>
  <c r="O233" i="1" s="1"/>
  <c r="O232" i="1" s="1"/>
  <c r="N229" i="1"/>
  <c r="O229" i="1" s="1"/>
  <c r="O228" i="1" s="1"/>
  <c r="K227" i="1"/>
  <c r="K223" i="1"/>
  <c r="K219" i="1"/>
  <c r="K215" i="1"/>
  <c r="K211" i="1"/>
  <c r="K207" i="1"/>
  <c r="K203" i="1"/>
  <c r="K199" i="1"/>
  <c r="K195" i="1"/>
  <c r="K191" i="1"/>
  <c r="K187" i="1"/>
  <c r="K183" i="1"/>
  <c r="K179" i="1"/>
  <c r="K175" i="1"/>
  <c r="K171" i="1"/>
  <c r="K167" i="1"/>
  <c r="K163" i="1"/>
  <c r="M157" i="1"/>
  <c r="G157" i="1"/>
  <c r="I157" i="1" s="1"/>
  <c r="L157" i="1" s="1"/>
  <c r="L156" i="1" s="1"/>
  <c r="N157" i="1"/>
  <c r="O157" i="1" s="1"/>
  <c r="O156" i="1" s="1"/>
  <c r="J157" i="1"/>
  <c r="G135" i="1"/>
  <c r="I135" i="1" s="1"/>
  <c r="L135" i="1" s="1"/>
  <c r="L134" i="1" s="1"/>
  <c r="K135" i="1"/>
  <c r="M135" i="1"/>
  <c r="J135" i="1"/>
  <c r="N135" i="1"/>
  <c r="O135" i="1" s="1"/>
  <c r="O134" i="1" s="1"/>
  <c r="N89" i="1"/>
  <c r="O89" i="1" s="1"/>
  <c r="O88" i="1" s="1"/>
  <c r="M89" i="1"/>
  <c r="G89" i="1"/>
  <c r="I89" i="1" s="1"/>
  <c r="L89" i="1" s="1"/>
  <c r="L88" i="1" s="1"/>
  <c r="K89" i="1"/>
  <c r="M241" i="1"/>
  <c r="G241" i="1"/>
  <c r="H241" i="1" s="1"/>
  <c r="M237" i="1"/>
  <c r="G237" i="1"/>
  <c r="H237" i="1" s="1"/>
  <c r="M233" i="1"/>
  <c r="G233" i="1"/>
  <c r="H233" i="1" s="1"/>
  <c r="M229" i="1"/>
  <c r="G229" i="1"/>
  <c r="H229" i="1" s="1"/>
  <c r="M227" i="1"/>
  <c r="M223" i="1"/>
  <c r="M219" i="1"/>
  <c r="M215" i="1"/>
  <c r="M211" i="1"/>
  <c r="M207" i="1"/>
  <c r="M203" i="1"/>
  <c r="M199" i="1"/>
  <c r="M195" i="1"/>
  <c r="M191" i="1"/>
  <c r="M187" i="1"/>
  <c r="M183" i="1"/>
  <c r="M179" i="1"/>
  <c r="M175" i="1"/>
  <c r="M171" i="1"/>
  <c r="M167" i="1"/>
  <c r="M163" i="1"/>
  <c r="K157" i="1"/>
  <c r="N141" i="1"/>
  <c r="O141" i="1" s="1"/>
  <c r="O140" i="1" s="1"/>
  <c r="J141" i="1"/>
  <c r="M99" i="1"/>
  <c r="G99" i="1"/>
  <c r="I99" i="1" s="1"/>
  <c r="L99" i="1" s="1"/>
  <c r="L98" i="1" s="1"/>
  <c r="N99" i="1"/>
  <c r="O99" i="1" s="1"/>
  <c r="O98" i="1" s="1"/>
  <c r="N79" i="1"/>
  <c r="O79" i="1" s="1"/>
  <c r="O78" i="1" s="1"/>
  <c r="G79" i="1"/>
  <c r="I79" i="1" s="1"/>
  <c r="L79" i="1" s="1"/>
  <c r="L78" i="1" s="1"/>
  <c r="K79" i="1"/>
  <c r="M79" i="1"/>
  <c r="N39" i="1"/>
  <c r="O39" i="1" s="1"/>
  <c r="O38" i="1" s="1"/>
  <c r="G39" i="1"/>
  <c r="I39" i="1" s="1"/>
  <c r="L39" i="1" s="1"/>
  <c r="L38" i="1" s="1"/>
  <c r="K39" i="1"/>
  <c r="N225" i="1"/>
  <c r="O225" i="1" s="1"/>
  <c r="O224" i="1" s="1"/>
  <c r="N221" i="1"/>
  <c r="O221" i="1" s="1"/>
  <c r="O220" i="1" s="1"/>
  <c r="I217" i="1"/>
  <c r="L217" i="1" s="1"/>
  <c r="L216" i="1" s="1"/>
  <c r="N217" i="1"/>
  <c r="O217" i="1" s="1"/>
  <c r="O216" i="1" s="1"/>
  <c r="I213" i="1"/>
  <c r="L213" i="1" s="1"/>
  <c r="L212" i="1" s="1"/>
  <c r="N213" i="1"/>
  <c r="O213" i="1" s="1"/>
  <c r="O212" i="1" s="1"/>
  <c r="I209" i="1"/>
  <c r="L209" i="1" s="1"/>
  <c r="L208" i="1" s="1"/>
  <c r="N209" i="1"/>
  <c r="O209" i="1" s="1"/>
  <c r="O208" i="1" s="1"/>
  <c r="N205" i="1"/>
  <c r="O205" i="1" s="1"/>
  <c r="O204" i="1" s="1"/>
  <c r="N201" i="1"/>
  <c r="O201" i="1" s="1"/>
  <c r="O200" i="1" s="1"/>
  <c r="N197" i="1"/>
  <c r="O197" i="1" s="1"/>
  <c r="O196" i="1" s="1"/>
  <c r="N193" i="1"/>
  <c r="O193" i="1" s="1"/>
  <c r="O192" i="1" s="1"/>
  <c r="N189" i="1"/>
  <c r="O189" i="1" s="1"/>
  <c r="O188" i="1" s="1"/>
  <c r="I185" i="1"/>
  <c r="L185" i="1" s="1"/>
  <c r="L184" i="1" s="1"/>
  <c r="N185" i="1"/>
  <c r="O185" i="1" s="1"/>
  <c r="O184" i="1" s="1"/>
  <c r="N181" i="1"/>
  <c r="O181" i="1" s="1"/>
  <c r="O180" i="1" s="1"/>
  <c r="N177" i="1"/>
  <c r="O177" i="1" s="1"/>
  <c r="O176" i="1" s="1"/>
  <c r="N173" i="1"/>
  <c r="O173" i="1" s="1"/>
  <c r="O172" i="1" s="1"/>
  <c r="N169" i="1"/>
  <c r="O169" i="1" s="1"/>
  <c r="O168" i="1" s="1"/>
  <c r="I165" i="1"/>
  <c r="L165" i="1" s="1"/>
  <c r="L164" i="1" s="1"/>
  <c r="N165" i="1"/>
  <c r="O165" i="1" s="1"/>
  <c r="O164" i="1" s="1"/>
  <c r="J153" i="1"/>
  <c r="G151" i="1"/>
  <c r="I151" i="1" s="1"/>
  <c r="L151" i="1" s="1"/>
  <c r="L150" i="1" s="1"/>
  <c r="N151" i="1"/>
  <c r="O151" i="1" s="1"/>
  <c r="O150" i="1" s="1"/>
  <c r="J149" i="1"/>
  <c r="G147" i="1"/>
  <c r="I147" i="1" s="1"/>
  <c r="L147" i="1" s="1"/>
  <c r="L146" i="1" s="1"/>
  <c r="N147" i="1"/>
  <c r="O147" i="1" s="1"/>
  <c r="O146" i="1" s="1"/>
  <c r="J145" i="1"/>
  <c r="G143" i="1"/>
  <c r="I143" i="1" s="1"/>
  <c r="L143" i="1" s="1"/>
  <c r="L142" i="1" s="1"/>
  <c r="N143" i="1"/>
  <c r="O143" i="1" s="1"/>
  <c r="O142" i="1" s="1"/>
  <c r="G139" i="1"/>
  <c r="I139" i="1" s="1"/>
  <c r="L139" i="1" s="1"/>
  <c r="L138" i="1" s="1"/>
  <c r="K139" i="1"/>
  <c r="M139" i="1"/>
  <c r="J139" i="1"/>
  <c r="J125" i="1"/>
  <c r="G123" i="1"/>
  <c r="I123" i="1" s="1"/>
  <c r="L123" i="1" s="1"/>
  <c r="L122" i="1" s="1"/>
  <c r="K123" i="1"/>
  <c r="M123" i="1"/>
  <c r="J123" i="1"/>
  <c r="J109" i="1"/>
  <c r="J105" i="1"/>
  <c r="K105" i="1"/>
  <c r="J93" i="1"/>
  <c r="K93" i="1"/>
  <c r="N65" i="1"/>
  <c r="O65" i="1" s="1"/>
  <c r="O64" i="1" s="1"/>
  <c r="G65" i="1"/>
  <c r="I65" i="1" s="1"/>
  <c r="L65" i="1" s="1"/>
  <c r="L64" i="1" s="1"/>
  <c r="K65" i="1"/>
  <c r="M65" i="1"/>
  <c r="M39" i="1"/>
  <c r="G111" i="1"/>
  <c r="I111" i="1" s="1"/>
  <c r="L111" i="1" s="1"/>
  <c r="L110" i="1" s="1"/>
  <c r="K111" i="1"/>
  <c r="M111" i="1"/>
  <c r="J111" i="1"/>
  <c r="G95" i="1"/>
  <c r="H95" i="1" s="1"/>
  <c r="M95" i="1"/>
  <c r="N95" i="1"/>
  <c r="O95" i="1" s="1"/>
  <c r="O94" i="1" s="1"/>
  <c r="G85" i="1"/>
  <c r="I85" i="1" s="1"/>
  <c r="L85" i="1" s="1"/>
  <c r="L84" i="1" s="1"/>
  <c r="N85" i="1"/>
  <c r="O85" i="1" s="1"/>
  <c r="O84" i="1" s="1"/>
  <c r="M85" i="1"/>
  <c r="N71" i="1"/>
  <c r="O71" i="1" s="1"/>
  <c r="O70" i="1" s="1"/>
  <c r="G71" i="1"/>
  <c r="I71" i="1" s="1"/>
  <c r="L71" i="1" s="1"/>
  <c r="L70" i="1" s="1"/>
  <c r="K71" i="1"/>
  <c r="N47" i="1"/>
  <c r="O47" i="1" s="1"/>
  <c r="O46" i="1" s="1"/>
  <c r="G47" i="1"/>
  <c r="I47" i="1" s="1"/>
  <c r="L47" i="1" s="1"/>
  <c r="L46" i="1" s="1"/>
  <c r="K47" i="1"/>
  <c r="M47" i="1"/>
  <c r="M153" i="1"/>
  <c r="M149" i="1"/>
  <c r="M145" i="1"/>
  <c r="G137" i="1"/>
  <c r="I137" i="1" s="1"/>
  <c r="L137" i="1" s="1"/>
  <c r="L136" i="1" s="1"/>
  <c r="K137" i="1"/>
  <c r="M137" i="1"/>
  <c r="G129" i="1"/>
  <c r="I129" i="1" s="1"/>
  <c r="L129" i="1" s="1"/>
  <c r="L128" i="1" s="1"/>
  <c r="K129" i="1"/>
  <c r="M129" i="1"/>
  <c r="G121" i="1"/>
  <c r="I121" i="1" s="1"/>
  <c r="L121" i="1" s="1"/>
  <c r="L120" i="1" s="1"/>
  <c r="K121" i="1"/>
  <c r="M121" i="1"/>
  <c r="G113" i="1"/>
  <c r="I113" i="1" s="1"/>
  <c r="L113" i="1" s="1"/>
  <c r="L112" i="1" s="1"/>
  <c r="K113" i="1"/>
  <c r="M113" i="1"/>
  <c r="K107" i="1"/>
  <c r="G107" i="1"/>
  <c r="M107" i="1"/>
  <c r="M93" i="1"/>
  <c r="N81" i="1"/>
  <c r="O81" i="1" s="1"/>
  <c r="O80" i="1" s="1"/>
  <c r="G81" i="1"/>
  <c r="H81" i="1" s="1"/>
  <c r="K81" i="1"/>
  <c r="J79" i="1"/>
  <c r="N15" i="1"/>
  <c r="O15" i="1" s="1"/>
  <c r="O14" i="1" s="1"/>
  <c r="J15" i="1"/>
  <c r="G15" i="1"/>
  <c r="H15" i="1" s="1"/>
  <c r="K15" i="1"/>
  <c r="M15" i="1"/>
  <c r="N33" i="1"/>
  <c r="O33" i="1" s="1"/>
  <c r="O32" i="1" s="1"/>
  <c r="G33" i="1"/>
  <c r="I33" i="1" s="1"/>
  <c r="L33" i="1" s="1"/>
  <c r="L32" i="1" s="1"/>
  <c r="K33" i="1"/>
  <c r="M159" i="1"/>
  <c r="J155" i="1"/>
  <c r="M155" i="1"/>
  <c r="N153" i="1"/>
  <c r="O153" i="1" s="1"/>
  <c r="O152" i="1" s="1"/>
  <c r="G153" i="1"/>
  <c r="I153" i="1" s="1"/>
  <c r="L153" i="1" s="1"/>
  <c r="L152" i="1" s="1"/>
  <c r="J151" i="1"/>
  <c r="M151" i="1"/>
  <c r="N149" i="1"/>
  <c r="O149" i="1" s="1"/>
  <c r="O148" i="1" s="1"/>
  <c r="G149" i="1"/>
  <c r="I149" i="1" s="1"/>
  <c r="L149" i="1" s="1"/>
  <c r="L148" i="1" s="1"/>
  <c r="J147" i="1"/>
  <c r="M147" i="1"/>
  <c r="N145" i="1"/>
  <c r="O145" i="1" s="1"/>
  <c r="O144" i="1" s="1"/>
  <c r="G145" i="1"/>
  <c r="I145" i="1" s="1"/>
  <c r="L145" i="1" s="1"/>
  <c r="L144" i="1" s="1"/>
  <c r="J143" i="1"/>
  <c r="M143" i="1"/>
  <c r="G141" i="1"/>
  <c r="I141" i="1" s="1"/>
  <c r="L141" i="1" s="1"/>
  <c r="L140" i="1" s="1"/>
  <c r="K141" i="1"/>
  <c r="M141" i="1"/>
  <c r="G133" i="1"/>
  <c r="I133" i="1" s="1"/>
  <c r="L133" i="1" s="1"/>
  <c r="L132" i="1" s="1"/>
  <c r="K133" i="1"/>
  <c r="M133" i="1"/>
  <c r="G125" i="1"/>
  <c r="I125" i="1" s="1"/>
  <c r="L125" i="1" s="1"/>
  <c r="L124" i="1" s="1"/>
  <c r="K125" i="1"/>
  <c r="M125" i="1"/>
  <c r="G117" i="1"/>
  <c r="I117" i="1" s="1"/>
  <c r="L117" i="1" s="1"/>
  <c r="L116" i="1" s="1"/>
  <c r="K117" i="1"/>
  <c r="M117" i="1"/>
  <c r="G109" i="1"/>
  <c r="I109" i="1" s="1"/>
  <c r="L109" i="1" s="1"/>
  <c r="L108" i="1" s="1"/>
  <c r="K109" i="1"/>
  <c r="M109" i="1"/>
  <c r="G101" i="1"/>
  <c r="I101" i="1" s="1"/>
  <c r="L101" i="1" s="1"/>
  <c r="L100" i="1" s="1"/>
  <c r="N101" i="1"/>
  <c r="O101" i="1" s="1"/>
  <c r="O100" i="1" s="1"/>
  <c r="J99" i="1"/>
  <c r="K99" i="1"/>
  <c r="J97" i="1"/>
  <c r="H97" i="1"/>
  <c r="K97" i="1"/>
  <c r="N73" i="1"/>
  <c r="O73" i="1" s="1"/>
  <c r="O72" i="1" s="1"/>
  <c r="G73" i="1"/>
  <c r="I73" i="1" s="1"/>
  <c r="L73" i="1" s="1"/>
  <c r="L72" i="1" s="1"/>
  <c r="K73" i="1"/>
  <c r="M73" i="1"/>
  <c r="J71" i="1"/>
  <c r="N41" i="1"/>
  <c r="O41" i="1" s="1"/>
  <c r="O40" i="1" s="1"/>
  <c r="G41" i="1"/>
  <c r="I41" i="1" s="1"/>
  <c r="L41" i="1" s="1"/>
  <c r="L40" i="1" s="1"/>
  <c r="K41" i="1"/>
  <c r="M41" i="1"/>
  <c r="J39" i="1"/>
  <c r="M33" i="1"/>
  <c r="J107" i="1"/>
  <c r="N97" i="1"/>
  <c r="O97" i="1" s="1"/>
  <c r="O96" i="1" s="1"/>
  <c r="J89" i="1"/>
  <c r="N83" i="1"/>
  <c r="O83" i="1" s="1"/>
  <c r="O82" i="1" s="1"/>
  <c r="G83" i="1"/>
  <c r="H83" i="1" s="1"/>
  <c r="N55" i="1"/>
  <c r="O55" i="1" s="1"/>
  <c r="O54" i="1" s="1"/>
  <c r="G55" i="1"/>
  <c r="H55" i="1" s="1"/>
  <c r="K55" i="1"/>
  <c r="N49" i="1"/>
  <c r="O49" i="1" s="1"/>
  <c r="O48" i="1" s="1"/>
  <c r="G49" i="1"/>
  <c r="I49" i="1" s="1"/>
  <c r="L49" i="1" s="1"/>
  <c r="L48" i="1" s="1"/>
  <c r="K49" i="1"/>
  <c r="J47" i="1"/>
  <c r="N23" i="1"/>
  <c r="O23" i="1" s="1"/>
  <c r="O22" i="1" s="1"/>
  <c r="G23" i="1"/>
  <c r="I23" i="1" s="1"/>
  <c r="L23" i="1" s="1"/>
  <c r="L22" i="1" s="1"/>
  <c r="K23" i="1"/>
  <c r="N11" i="1"/>
  <c r="O11" i="1" s="1"/>
  <c r="O10" i="1" s="1"/>
  <c r="J11" i="1"/>
  <c r="G11" i="1"/>
  <c r="I11" i="1" s="1"/>
  <c r="L11" i="1" s="1"/>
  <c r="L10" i="1" s="1"/>
  <c r="K11" i="1"/>
  <c r="J101" i="1"/>
  <c r="K101" i="1"/>
  <c r="G87" i="1"/>
  <c r="M87" i="1"/>
  <c r="J85" i="1"/>
  <c r="K85" i="1"/>
  <c r="N77" i="1"/>
  <c r="O77" i="1" s="1"/>
  <c r="O76" i="1" s="1"/>
  <c r="G77" i="1"/>
  <c r="H77" i="1" s="1"/>
  <c r="K77" i="1"/>
  <c r="N69" i="1"/>
  <c r="O69" i="1" s="1"/>
  <c r="O68" i="1" s="1"/>
  <c r="G69" i="1"/>
  <c r="H69" i="1" s="1"/>
  <c r="K69" i="1"/>
  <c r="N63" i="1"/>
  <c r="O63" i="1" s="1"/>
  <c r="O62" i="1" s="1"/>
  <c r="G63" i="1"/>
  <c r="H63" i="1" s="1"/>
  <c r="K63" i="1"/>
  <c r="N57" i="1"/>
  <c r="O57" i="1" s="1"/>
  <c r="O56" i="1" s="1"/>
  <c r="G57" i="1"/>
  <c r="I57" i="1" s="1"/>
  <c r="L57" i="1" s="1"/>
  <c r="L56" i="1" s="1"/>
  <c r="K57" i="1"/>
  <c r="N31" i="1"/>
  <c r="O31" i="1" s="1"/>
  <c r="O30" i="1" s="1"/>
  <c r="G31" i="1"/>
  <c r="H31" i="1" s="1"/>
  <c r="K31" i="1"/>
  <c r="N25" i="1"/>
  <c r="O25" i="1" s="1"/>
  <c r="O24" i="1" s="1"/>
  <c r="G25" i="1"/>
  <c r="I25" i="1" s="1"/>
  <c r="L25" i="1" s="1"/>
  <c r="L24" i="1" s="1"/>
  <c r="K25" i="1"/>
  <c r="J23" i="1"/>
  <c r="N17" i="1"/>
  <c r="O17" i="1" s="1"/>
  <c r="O16" i="1" s="1"/>
  <c r="J17" i="1"/>
  <c r="G17" i="1"/>
  <c r="I17" i="1" s="1"/>
  <c r="L17" i="1" s="1"/>
  <c r="L16" i="1" s="1"/>
  <c r="K17" i="1"/>
  <c r="N7" i="1"/>
  <c r="O7" i="1" s="1"/>
  <c r="O6" i="1" s="1"/>
  <c r="J7" i="1"/>
  <c r="G7" i="1"/>
  <c r="I7" i="1" s="1"/>
  <c r="L7" i="1" s="1"/>
  <c r="L6" i="1" s="1"/>
  <c r="K7" i="1"/>
  <c r="J103" i="1"/>
  <c r="J95" i="1"/>
  <c r="J87" i="1"/>
  <c r="J83" i="1"/>
  <c r="J81" i="1"/>
  <c r="N75" i="1"/>
  <c r="O75" i="1" s="1"/>
  <c r="O74" i="1" s="1"/>
  <c r="G75" i="1"/>
  <c r="H75" i="1" s="1"/>
  <c r="K75" i="1"/>
  <c r="J73" i="1"/>
  <c r="N67" i="1"/>
  <c r="O67" i="1" s="1"/>
  <c r="O66" i="1" s="1"/>
  <c r="G67" i="1"/>
  <c r="H67" i="1" s="1"/>
  <c r="K67" i="1"/>
  <c r="J65" i="1"/>
  <c r="N59" i="1"/>
  <c r="O59" i="1" s="1"/>
  <c r="O58" i="1" s="1"/>
  <c r="G59" i="1"/>
  <c r="H59" i="1" s="1"/>
  <c r="K59" i="1"/>
  <c r="J57" i="1"/>
  <c r="N51" i="1"/>
  <c r="O51" i="1" s="1"/>
  <c r="O50" i="1" s="1"/>
  <c r="G51" i="1"/>
  <c r="H51" i="1" s="1"/>
  <c r="K51" i="1"/>
  <c r="J49" i="1"/>
  <c r="N43" i="1"/>
  <c r="O43" i="1" s="1"/>
  <c r="O42" i="1" s="1"/>
  <c r="G43" i="1"/>
  <c r="H43" i="1" s="1"/>
  <c r="K43" i="1"/>
  <c r="J41" i="1"/>
  <c r="N35" i="1"/>
  <c r="O35" i="1" s="1"/>
  <c r="O34" i="1" s="1"/>
  <c r="G35" i="1"/>
  <c r="H35" i="1" s="1"/>
  <c r="K35" i="1"/>
  <c r="J33" i="1"/>
  <c r="N27" i="1"/>
  <c r="O27" i="1" s="1"/>
  <c r="O26" i="1" s="1"/>
  <c r="G27" i="1"/>
  <c r="H27" i="1" s="1"/>
  <c r="K27" i="1"/>
  <c r="J25" i="1"/>
  <c r="N19" i="1"/>
  <c r="O19" i="1" s="1"/>
  <c r="O18" i="1" s="1"/>
  <c r="G19" i="1"/>
  <c r="I19" i="1" s="1"/>
  <c r="L19" i="1" s="1"/>
  <c r="L18" i="1" s="1"/>
  <c r="K19" i="1"/>
  <c r="N13" i="1"/>
  <c r="O13" i="1" s="1"/>
  <c r="O12" i="1" s="1"/>
  <c r="J13" i="1"/>
  <c r="G13" i="1"/>
  <c r="I13" i="1" s="1"/>
  <c r="L13" i="1" s="1"/>
  <c r="L12" i="1" s="1"/>
  <c r="K13" i="1"/>
  <c r="N9" i="1"/>
  <c r="O9" i="1" s="1"/>
  <c r="O8" i="1" s="1"/>
  <c r="J9" i="1"/>
  <c r="G9" i="1"/>
  <c r="I9" i="1" s="1"/>
  <c r="L9" i="1" s="1"/>
  <c r="L8" i="1" s="1"/>
  <c r="K9" i="1"/>
  <c r="N5" i="1"/>
  <c r="O5" i="1" s="1"/>
  <c r="O4" i="1" s="1"/>
  <c r="J5" i="1"/>
  <c r="G5" i="1"/>
  <c r="I5" i="1" s="1"/>
  <c r="L5" i="1" s="1"/>
  <c r="L4" i="1" s="1"/>
  <c r="K5" i="1"/>
  <c r="N61" i="1"/>
  <c r="O61" i="1" s="1"/>
  <c r="O60" i="1" s="1"/>
  <c r="G61" i="1"/>
  <c r="H61" i="1" s="1"/>
  <c r="K61" i="1"/>
  <c r="N53" i="1"/>
  <c r="O53" i="1" s="1"/>
  <c r="O52" i="1" s="1"/>
  <c r="G53" i="1"/>
  <c r="H53" i="1" s="1"/>
  <c r="K53" i="1"/>
  <c r="N45" i="1"/>
  <c r="O45" i="1" s="1"/>
  <c r="O44" i="1" s="1"/>
  <c r="G45" i="1"/>
  <c r="H45" i="1" s="1"/>
  <c r="K45" i="1"/>
  <c r="N37" i="1"/>
  <c r="O37" i="1" s="1"/>
  <c r="O36" i="1" s="1"/>
  <c r="G37" i="1"/>
  <c r="H37" i="1" s="1"/>
  <c r="K37" i="1"/>
  <c r="N29" i="1"/>
  <c r="O29" i="1" s="1"/>
  <c r="O28" i="1" s="1"/>
  <c r="G29" i="1"/>
  <c r="H29" i="1" s="1"/>
  <c r="K29" i="1"/>
  <c r="J27" i="1"/>
  <c r="N21" i="1"/>
  <c r="O21" i="1" s="1"/>
  <c r="O20" i="1" s="1"/>
  <c r="G21" i="1"/>
  <c r="H21" i="1" s="1"/>
  <c r="K21" i="1"/>
  <c r="J19" i="1"/>
  <c r="I169" i="1" l="1"/>
  <c r="L169" i="1" s="1"/>
  <c r="L168" i="1" s="1"/>
  <c r="I191" i="1"/>
  <c r="L191" i="1" s="1"/>
  <c r="L190" i="1" s="1"/>
  <c r="I103" i="1"/>
  <c r="L103" i="1" s="1"/>
  <c r="L102" i="1" s="1"/>
  <c r="L3" i="1"/>
  <c r="L2" i="1" s="1"/>
  <c r="O3" i="1"/>
  <c r="O2" i="1" s="1"/>
  <c r="I91" i="1"/>
  <c r="L91" i="1" s="1"/>
  <c r="L90" i="1" s="1"/>
  <c r="I193" i="1"/>
  <c r="L193" i="1" s="1"/>
  <c r="L192" i="1" s="1"/>
  <c r="I199" i="1"/>
  <c r="L199" i="1" s="1"/>
  <c r="L198" i="1" s="1"/>
  <c r="H197" i="1"/>
  <c r="I93" i="1"/>
  <c r="L93" i="1" s="1"/>
  <c r="L92" i="1" s="1"/>
  <c r="H105" i="1"/>
  <c r="H159" i="1"/>
  <c r="H195" i="1"/>
  <c r="H427" i="1"/>
  <c r="H587" i="1"/>
  <c r="H881" i="1"/>
  <c r="H929" i="1"/>
  <c r="L779" i="1"/>
  <c r="L778" i="1" s="1"/>
  <c r="L869" i="1"/>
  <c r="L868" i="1" s="1"/>
  <c r="L789" i="1"/>
  <c r="L788" i="1" s="1"/>
  <c r="L837" i="1"/>
  <c r="L836" i="1" s="1"/>
  <c r="L1009" i="1"/>
  <c r="L1008" i="1" s="1"/>
  <c r="L1049" i="1"/>
  <c r="L1048" i="1" s="1"/>
  <c r="L881" i="1"/>
  <c r="L880" i="1" s="1"/>
  <c r="L1117" i="1"/>
  <c r="L1116" i="1" s="1"/>
  <c r="L1081" i="1"/>
  <c r="L1080" i="1" s="1"/>
  <c r="L1191" i="1"/>
  <c r="L1190" i="1" s="1"/>
  <c r="L1229" i="1"/>
  <c r="L1228" i="1" s="1"/>
  <c r="L1239" i="1"/>
  <c r="L1238" i="1" s="1"/>
  <c r="L1175" i="1"/>
  <c r="L1174" i="1" s="1"/>
  <c r="L1211" i="1"/>
  <c r="L1210" i="1" s="1"/>
  <c r="L1199" i="1"/>
  <c r="L1198" i="1" s="1"/>
  <c r="L1219" i="1"/>
  <c r="L1218" i="1" s="1"/>
  <c r="L1299" i="1"/>
  <c r="L1298" i="1" s="1"/>
  <c r="L1453" i="1"/>
  <c r="L1452" i="1" s="1"/>
  <c r="L1347" i="1"/>
  <c r="L1346" i="1" s="1"/>
  <c r="L1363" i="1"/>
  <c r="L1362" i="1" s="1"/>
  <c r="L1319" i="1"/>
  <c r="L1318" i="1" s="1"/>
  <c r="L1335" i="1"/>
  <c r="L1334" i="1" s="1"/>
  <c r="L1467" i="1"/>
  <c r="L1466" i="1" s="1"/>
  <c r="L1511" i="1"/>
  <c r="L1510" i="1" s="1"/>
  <c r="L1579" i="1"/>
  <c r="L1578" i="1" s="1"/>
  <c r="L1909" i="1"/>
  <c r="L1908" i="1" s="1"/>
  <c r="L1949" i="1"/>
  <c r="L1948" i="1" s="1"/>
  <c r="L1499" i="1"/>
  <c r="L1498" i="1" s="1"/>
  <c r="L1789" i="1"/>
  <c r="L1788" i="1" s="1"/>
  <c r="L1441" i="1"/>
  <c r="L1440" i="1" s="1"/>
  <c r="L1473" i="1"/>
  <c r="L1472" i="1" s="1"/>
  <c r="L1485" i="1"/>
  <c r="L1484" i="1" s="1"/>
  <c r="L1541" i="1"/>
  <c r="L1540" i="1" s="1"/>
  <c r="L1557" i="1"/>
  <c r="L1556" i="1" s="1"/>
  <c r="L1863" i="1"/>
  <c r="L1862" i="1" s="1"/>
  <c r="L1881" i="1"/>
  <c r="L1880" i="1" s="1"/>
  <c r="L1925" i="1"/>
  <c r="L1924" i="1" s="1"/>
  <c r="L1953" i="1"/>
  <c r="L1952" i="1" s="1"/>
  <c r="L1821" i="1"/>
  <c r="L1820" i="1" s="1"/>
  <c r="L1927" i="1"/>
  <c r="L1926" i="1" s="1"/>
  <c r="L685" i="1"/>
  <c r="L684" i="1" s="1"/>
  <c r="L97" i="1"/>
  <c r="L96" i="1" s="1"/>
  <c r="L337" i="1"/>
  <c r="L336" i="1" s="1"/>
  <c r="L409" i="1"/>
  <c r="L408" i="1" s="1"/>
  <c r="L1197" i="1"/>
  <c r="L1196" i="1" s="1"/>
  <c r="L1471" i="1"/>
  <c r="L1470" i="1" s="1"/>
  <c r="L1555" i="1"/>
  <c r="L1554" i="1" s="1"/>
  <c r="L1573" i="1"/>
  <c r="L1572" i="1" s="1"/>
  <c r="L1515" i="1"/>
  <c r="L1514" i="1" s="1"/>
  <c r="L1947" i="1"/>
  <c r="L1946" i="1" s="1"/>
  <c r="L757" i="1"/>
  <c r="L756" i="1" s="1"/>
  <c r="L773" i="1"/>
  <c r="L772" i="1" s="1"/>
  <c r="L785" i="1"/>
  <c r="L784" i="1" s="1"/>
  <c r="L815" i="1"/>
  <c r="L814" i="1" s="1"/>
  <c r="L1055" i="1"/>
  <c r="L1054" i="1" s="1"/>
  <c r="L1087" i="1"/>
  <c r="L1086" i="1" s="1"/>
  <c r="L1091" i="1"/>
  <c r="L1090" i="1" s="1"/>
  <c r="L1095" i="1"/>
  <c r="L1094" i="1" s="1"/>
  <c r="L1041" i="1"/>
  <c r="L1040" i="1" s="1"/>
  <c r="L1065" i="1"/>
  <c r="L1064" i="1" s="1"/>
  <c r="L1105" i="1"/>
  <c r="L1104" i="1" s="1"/>
  <c r="L1113" i="1"/>
  <c r="L1112" i="1" s="1"/>
  <c r="L1201" i="1"/>
  <c r="L1200" i="1" s="1"/>
  <c r="L1109" i="1"/>
  <c r="L1108" i="1" s="1"/>
  <c r="L1449" i="1"/>
  <c r="L1448" i="1" s="1"/>
  <c r="L1463" i="1"/>
  <c r="L1462" i="1" s="1"/>
  <c r="L1189" i="1"/>
  <c r="L1188" i="1" s="1"/>
  <c r="L1389" i="1"/>
  <c r="L1388" i="1" s="1"/>
  <c r="L1391" i="1"/>
  <c r="L1390" i="1" s="1"/>
  <c r="L1397" i="1"/>
  <c r="L1396" i="1" s="1"/>
  <c r="L1403" i="1"/>
  <c r="L1402" i="1" s="1"/>
  <c r="L1409" i="1"/>
  <c r="L1408" i="1" s="1"/>
  <c r="L1411" i="1"/>
  <c r="L1410" i="1" s="1"/>
  <c r="L1421" i="1"/>
  <c r="L1420" i="1" s="1"/>
  <c r="L1431" i="1"/>
  <c r="L1430" i="1" s="1"/>
  <c r="L1445" i="1"/>
  <c r="L1444" i="1" s="1"/>
  <c r="L1351" i="1"/>
  <c r="L1350" i="1" s="1"/>
  <c r="L1367" i="1"/>
  <c r="L1366" i="1" s="1"/>
  <c r="L1231" i="1"/>
  <c r="L1230" i="1" s="1"/>
  <c r="L1315" i="1"/>
  <c r="L1314" i="1" s="1"/>
  <c r="L1331" i="1"/>
  <c r="L1330" i="1" s="1"/>
  <c r="L1393" i="1"/>
  <c r="L1392" i="1" s="1"/>
  <c r="L1395" i="1"/>
  <c r="L1394" i="1" s="1"/>
  <c r="L1405" i="1"/>
  <c r="L1404" i="1" s="1"/>
  <c r="L1407" i="1"/>
  <c r="L1406" i="1" s="1"/>
  <c r="L1413" i="1"/>
  <c r="L1412" i="1" s="1"/>
  <c r="L1419" i="1"/>
  <c r="L1418" i="1" s="1"/>
  <c r="L1433" i="1"/>
  <c r="L1432" i="1" s="1"/>
  <c r="L1437" i="1"/>
  <c r="L1436" i="1" s="1"/>
  <c r="L1457" i="1"/>
  <c r="L1456" i="1" s="1"/>
  <c r="L1481" i="1"/>
  <c r="L1480" i="1" s="1"/>
  <c r="L1877" i="1"/>
  <c r="L1876" i="1" s="1"/>
  <c r="L1465" i="1"/>
  <c r="L1464" i="1" s="1"/>
  <c r="L1469" i="1"/>
  <c r="L1468" i="1" s="1"/>
  <c r="L1477" i="1"/>
  <c r="L1476" i="1" s="1"/>
  <c r="L1497" i="1"/>
  <c r="L1496" i="1" s="1"/>
  <c r="L1519" i="1"/>
  <c r="L1518" i="1" s="1"/>
  <c r="L1781" i="1"/>
  <c r="L1780" i="1" s="1"/>
  <c r="L1489" i="1"/>
  <c r="L1488" i="1" s="1"/>
  <c r="L1543" i="1"/>
  <c r="L1542" i="1" s="1"/>
  <c r="L1559" i="1"/>
  <c r="L1558" i="1" s="1"/>
  <c r="L1693" i="1"/>
  <c r="L1692" i="1" s="1"/>
  <c r="L1503" i="1"/>
  <c r="L1502" i="1" s="1"/>
  <c r="L1529" i="1"/>
  <c r="L1528" i="1" s="1"/>
  <c r="L1605" i="1"/>
  <c r="L1604" i="1" s="1"/>
  <c r="L1637" i="1"/>
  <c r="L1636" i="1" s="1"/>
  <c r="L1757" i="1"/>
  <c r="L1756" i="1" s="1"/>
  <c r="L1797" i="1"/>
  <c r="L1796" i="1" s="1"/>
  <c r="L1845" i="1"/>
  <c r="L1844" i="1" s="1"/>
  <c r="L1895" i="1"/>
  <c r="L1894" i="1" s="1"/>
  <c r="L1913" i="1"/>
  <c r="L1912" i="1" s="1"/>
  <c r="L1971" i="1"/>
  <c r="L1970" i="1" s="1"/>
  <c r="L1987" i="1"/>
  <c r="L1986" i="1" s="1"/>
  <c r="L1813" i="1"/>
  <c r="L1812" i="1" s="1"/>
  <c r="L1853" i="1"/>
  <c r="L1852" i="1" s="1"/>
  <c r="L1829" i="1"/>
  <c r="L1828" i="1" s="1"/>
  <c r="L1893" i="1"/>
  <c r="L1892" i="1" s="1"/>
  <c r="L1943" i="1"/>
  <c r="L1942" i="1" s="1"/>
  <c r="L1861" i="1"/>
  <c r="L1860" i="1" s="1"/>
  <c r="L1941" i="1"/>
  <c r="L1940" i="1" s="1"/>
  <c r="L683" i="1"/>
  <c r="L682" i="1" s="1"/>
  <c r="L1507" i="1"/>
  <c r="L1506" i="1" s="1"/>
  <c r="L1247" i="1"/>
  <c r="L1246" i="1" s="1"/>
  <c r="L1561" i="1"/>
  <c r="L1560" i="1" s="1"/>
  <c r="L1147" i="1"/>
  <c r="L1146" i="1" s="1"/>
  <c r="L1537" i="1"/>
  <c r="L1536" i="1" s="1"/>
  <c r="L1585" i="1"/>
  <c r="L1584" i="1" s="1"/>
  <c r="L1911" i="1"/>
  <c r="L1910" i="1" s="1"/>
  <c r="L1817" i="1"/>
  <c r="L1816" i="1" s="1"/>
  <c r="L1709" i="1"/>
  <c r="L1708" i="1" s="1"/>
  <c r="L1865" i="1"/>
  <c r="L1864" i="1" s="1"/>
  <c r="I351" i="1"/>
  <c r="L351" i="1" s="1"/>
  <c r="L350" i="1" s="1"/>
  <c r="H297" i="1"/>
  <c r="H353" i="1"/>
  <c r="H355" i="1"/>
  <c r="H415" i="1"/>
  <c r="H405" i="1"/>
  <c r="H421" i="1"/>
  <c r="H437" i="1"/>
  <c r="H563" i="1"/>
  <c r="H595" i="1"/>
  <c r="H745" i="1"/>
  <c r="H665" i="1"/>
  <c r="I829" i="1"/>
  <c r="L829" i="1" s="1"/>
  <c r="L828" i="1" s="1"/>
  <c r="H1173" i="1"/>
  <c r="H1205" i="1"/>
  <c r="H1003" i="1"/>
  <c r="H1263" i="1"/>
  <c r="H1675" i="1"/>
  <c r="H1747" i="1"/>
  <c r="H1657" i="1"/>
  <c r="H1701" i="1"/>
  <c r="H1861" i="1"/>
  <c r="H1959" i="1"/>
  <c r="H1623" i="1"/>
  <c r="H1825" i="1"/>
  <c r="H1921" i="1"/>
  <c r="H1931" i="1"/>
  <c r="H211" i="1"/>
  <c r="I611" i="1"/>
  <c r="L611" i="1" s="1"/>
  <c r="L610" i="1" s="1"/>
  <c r="I1077" i="1"/>
  <c r="L1077" i="1" s="1"/>
  <c r="L1076" i="1" s="1"/>
  <c r="H1457" i="1"/>
  <c r="H1495" i="1"/>
  <c r="H1425" i="1"/>
  <c r="H1461" i="1"/>
  <c r="H1469" i="1"/>
  <c r="H1485" i="1"/>
  <c r="H1567" i="1"/>
  <c r="H1463" i="1"/>
  <c r="H1473" i="1"/>
  <c r="H1505" i="1"/>
  <c r="H1521" i="1"/>
  <c r="H1579" i="1"/>
  <c r="H225" i="1"/>
  <c r="H385" i="1"/>
  <c r="I513" i="1"/>
  <c r="L513" i="1" s="1"/>
  <c r="L512" i="1" s="1"/>
  <c r="H769" i="1"/>
  <c r="H815" i="1"/>
  <c r="H847" i="1"/>
  <c r="H613" i="1"/>
  <c r="H913" i="1"/>
  <c r="H877" i="1"/>
  <c r="H1033" i="1"/>
  <c r="H1053" i="1"/>
  <c r="H1065" i="1"/>
  <c r="H1101" i="1"/>
  <c r="H1117" i="1"/>
  <c r="H1133" i="1"/>
  <c r="H1149" i="1"/>
  <c r="H1159" i="1"/>
  <c r="H1193" i="1"/>
  <c r="H1241" i="1"/>
  <c r="I1289" i="1"/>
  <c r="L1289" i="1" s="1"/>
  <c r="L1288" i="1" s="1"/>
  <c r="H1307" i="1"/>
  <c r="H1311" i="1"/>
  <c r="H1323" i="1"/>
  <c r="H1339" i="1"/>
  <c r="H1853" i="1"/>
  <c r="H1607" i="1"/>
  <c r="H643" i="1"/>
  <c r="H1437" i="1"/>
  <c r="H1483" i="1"/>
  <c r="H1561" i="1"/>
  <c r="H1569" i="1"/>
  <c r="H315" i="1"/>
  <c r="H387" i="1"/>
  <c r="H785" i="1"/>
  <c r="H711" i="1"/>
  <c r="H791" i="1"/>
  <c r="H869" i="1"/>
  <c r="H1181" i="1"/>
  <c r="H1197" i="1"/>
  <c r="H1183" i="1"/>
  <c r="H1247" i="1"/>
  <c r="H1261" i="1"/>
  <c r="H1257" i="1"/>
  <c r="H1691" i="1"/>
  <c r="H1739" i="1"/>
  <c r="H1755" i="1"/>
  <c r="H1875" i="1"/>
  <c r="H1909" i="1"/>
  <c r="H1979" i="1"/>
  <c r="H1713" i="1"/>
  <c r="H1809" i="1"/>
  <c r="H1841" i="1"/>
  <c r="H1905" i="1"/>
  <c r="H1937" i="1"/>
  <c r="H1763" i="1"/>
  <c r="H1779" i="1"/>
  <c r="H1867" i="1"/>
  <c r="H607" i="1"/>
  <c r="H1449" i="1"/>
  <c r="H1511" i="1"/>
  <c r="H1389" i="1"/>
  <c r="H1421" i="1"/>
  <c r="H1547" i="1"/>
  <c r="H1459" i="1"/>
  <c r="H1583" i="1"/>
  <c r="H507" i="1"/>
  <c r="H515" i="1"/>
  <c r="H523" i="1"/>
  <c r="H395" i="1"/>
  <c r="H555" i="1"/>
  <c r="H873" i="1"/>
  <c r="H889" i="1"/>
  <c r="H905" i="1"/>
  <c r="H921" i="1"/>
  <c r="H901" i="1"/>
  <c r="H605" i="1"/>
  <c r="W34" i="1"/>
  <c r="W35" i="1" s="1"/>
  <c r="AA34" i="1"/>
  <c r="AA35" i="1" s="1"/>
  <c r="U34" i="1"/>
  <c r="U35" i="1" s="1"/>
  <c r="H235" i="1"/>
  <c r="H207" i="1"/>
  <c r="H215" i="1"/>
  <c r="H221" i="1"/>
  <c r="H227" i="1"/>
  <c r="H155" i="1"/>
  <c r="H177" i="1"/>
  <c r="H307" i="1"/>
  <c r="H231" i="1"/>
  <c r="I343" i="1"/>
  <c r="L343" i="1" s="1"/>
  <c r="L342" i="1" s="1"/>
  <c r="H299" i="1"/>
  <c r="I203" i="1"/>
  <c r="L203" i="1" s="1"/>
  <c r="L202" i="1" s="1"/>
  <c r="H129" i="1"/>
  <c r="H147" i="1"/>
  <c r="H247" i="1"/>
  <c r="H127" i="1"/>
  <c r="H271" i="1"/>
  <c r="H243" i="1"/>
  <c r="H89" i="1"/>
  <c r="H245" i="1"/>
  <c r="H131" i="1"/>
  <c r="H115" i="1"/>
  <c r="H277" i="1"/>
  <c r="H305" i="1"/>
  <c r="H1493" i="1"/>
  <c r="I1281" i="1"/>
  <c r="L1281" i="1" s="1"/>
  <c r="L1280" i="1" s="1"/>
  <c r="H499" i="1"/>
  <c r="I1353" i="1"/>
  <c r="L1353" i="1" s="1"/>
  <c r="L1352" i="1" s="1"/>
  <c r="I1345" i="1"/>
  <c r="L1345" i="1" s="1"/>
  <c r="L1344" i="1" s="1"/>
  <c r="H1895" i="1"/>
  <c r="H481" i="1"/>
  <c r="I879" i="1"/>
  <c r="L879" i="1" s="1"/>
  <c r="L878" i="1" s="1"/>
  <c r="I903" i="1"/>
  <c r="L903" i="1" s="1"/>
  <c r="L902" i="1" s="1"/>
  <c r="H1509" i="1"/>
  <c r="H1735" i="1"/>
  <c r="H23" i="1"/>
  <c r="I173" i="1"/>
  <c r="L173" i="1" s="1"/>
  <c r="L172" i="1" s="1"/>
  <c r="I163" i="1"/>
  <c r="L163" i="1" s="1"/>
  <c r="L162" i="1" s="1"/>
  <c r="I171" i="1"/>
  <c r="L171" i="1" s="1"/>
  <c r="L170" i="1" s="1"/>
  <c r="H255" i="1"/>
  <c r="H287" i="1"/>
  <c r="H175" i="1"/>
  <c r="I201" i="1"/>
  <c r="L201" i="1" s="1"/>
  <c r="L200" i="1" s="1"/>
  <c r="H261" i="1"/>
  <c r="H327" i="1"/>
  <c r="H151" i="1"/>
  <c r="H269" i="1"/>
  <c r="H293" i="1"/>
  <c r="I335" i="1"/>
  <c r="L335" i="1" s="1"/>
  <c r="L334" i="1" s="1"/>
  <c r="H157" i="1"/>
  <c r="I205" i="1"/>
  <c r="L205" i="1" s="1"/>
  <c r="L204" i="1" s="1"/>
  <c r="H313" i="1"/>
  <c r="H219" i="1"/>
  <c r="H161" i="1"/>
  <c r="I179" i="1"/>
  <c r="L179" i="1" s="1"/>
  <c r="L178" i="1" s="1"/>
  <c r="H323" i="1"/>
  <c r="H337" i="1"/>
  <c r="H321" i="1"/>
  <c r="H345" i="1"/>
  <c r="H341" i="1"/>
  <c r="H777" i="1"/>
  <c r="I69" i="1"/>
  <c r="L69" i="1" s="1"/>
  <c r="L68" i="1" s="1"/>
  <c r="I77" i="1"/>
  <c r="L77" i="1" s="1"/>
  <c r="L76" i="1" s="1"/>
  <c r="H3" i="1"/>
  <c r="I559" i="1"/>
  <c r="L559" i="1" s="1"/>
  <c r="L558" i="1" s="1"/>
  <c r="H319" i="1"/>
  <c r="H13" i="1"/>
  <c r="I35" i="1"/>
  <c r="L35" i="1" s="1"/>
  <c r="L34" i="1" s="1"/>
  <c r="H121" i="1"/>
  <c r="H119" i="1"/>
  <c r="H279" i="1"/>
  <c r="H7" i="1"/>
  <c r="I95" i="1"/>
  <c r="L95" i="1" s="1"/>
  <c r="L94" i="1" s="1"/>
  <c r="H263" i="1"/>
  <c r="H301" i="1"/>
  <c r="H309" i="1"/>
  <c r="H317" i="1"/>
  <c r="H325" i="1"/>
  <c r="H295" i="1"/>
  <c r="H303" i="1"/>
  <c r="H311" i="1"/>
  <c r="H497" i="1"/>
  <c r="H565" i="1"/>
  <c r="H703" i="1"/>
  <c r="H725" i="1"/>
  <c r="I37" i="1"/>
  <c r="L37" i="1" s="1"/>
  <c r="L36" i="1" s="1"/>
  <c r="I45" i="1"/>
  <c r="L45" i="1" s="1"/>
  <c r="L44" i="1" s="1"/>
  <c r="I53" i="1"/>
  <c r="L53" i="1" s="1"/>
  <c r="L52" i="1" s="1"/>
  <c r="I61" i="1"/>
  <c r="L61" i="1" s="1"/>
  <c r="L60" i="1" s="1"/>
  <c r="I27" i="1"/>
  <c r="L27" i="1" s="1"/>
  <c r="L26" i="1" s="1"/>
  <c r="I83" i="1"/>
  <c r="L83" i="1" s="1"/>
  <c r="L82" i="1" s="1"/>
  <c r="H137" i="1"/>
  <c r="H39" i="1"/>
  <c r="H253" i="1"/>
  <c r="H285" i="1"/>
  <c r="H239" i="1"/>
  <c r="H399" i="1"/>
  <c r="H431" i="1"/>
  <c r="H581" i="1"/>
  <c r="H621" i="1"/>
  <c r="H637" i="1"/>
  <c r="H5" i="1"/>
  <c r="H19" i="1"/>
  <c r="I29" i="1"/>
  <c r="L29" i="1" s="1"/>
  <c r="L28" i="1" s="1"/>
  <c r="H9" i="1"/>
  <c r="I15" i="1"/>
  <c r="L15" i="1" s="1"/>
  <c r="L14" i="1" s="1"/>
  <c r="H491" i="1"/>
  <c r="H449" i="1"/>
  <c r="H741" i="1"/>
  <c r="H627" i="1"/>
  <c r="H849" i="1"/>
  <c r="I1321" i="1"/>
  <c r="L1321" i="1" s="1"/>
  <c r="L1320" i="1" s="1"/>
  <c r="H1651" i="1"/>
  <c r="H1863" i="1"/>
  <c r="H1935" i="1"/>
  <c r="H1975" i="1"/>
  <c r="H1687" i="1"/>
  <c r="H1711" i="1"/>
  <c r="H1903" i="1"/>
  <c r="H1593" i="1"/>
  <c r="H1507" i="1"/>
  <c r="H1515" i="1"/>
  <c r="I1313" i="1"/>
  <c r="L1313" i="1" s="1"/>
  <c r="L1312" i="1" s="1"/>
  <c r="H1681" i="1"/>
  <c r="H1927" i="1"/>
  <c r="H1967" i="1"/>
  <c r="H1703" i="1"/>
  <c r="H1791" i="1"/>
  <c r="H843" i="1"/>
  <c r="H651" i="1"/>
  <c r="H667" i="1"/>
  <c r="H683" i="1"/>
  <c r="H1645" i="1"/>
  <c r="H1589" i="1"/>
  <c r="H113" i="1"/>
  <c r="H403" i="1"/>
  <c r="H419" i="1"/>
  <c r="H435" i="1"/>
  <c r="H885" i="1"/>
  <c r="H1377" i="1"/>
  <c r="H1385" i="1"/>
  <c r="H811" i="1"/>
  <c r="H655" i="1"/>
  <c r="H671" i="1"/>
  <c r="H687" i="1"/>
  <c r="H1501" i="1"/>
  <c r="H1523" i="1"/>
  <c r="H1527" i="1"/>
  <c r="H1531" i="1"/>
  <c r="H1535" i="1"/>
  <c r="H1539" i="1"/>
  <c r="H1543" i="1"/>
  <c r="H1621" i="1"/>
  <c r="I59" i="1"/>
  <c r="L59" i="1" s="1"/>
  <c r="L58" i="1" s="1"/>
  <c r="H143" i="1"/>
  <c r="H47" i="1"/>
  <c r="H99" i="1"/>
  <c r="H249" i="1"/>
  <c r="H257" i="1"/>
  <c r="H265" i="1"/>
  <c r="H273" i="1"/>
  <c r="H281" i="1"/>
  <c r="H289" i="1"/>
  <c r="H371" i="1"/>
  <c r="H459" i="1"/>
  <c r="H365" i="1"/>
  <c r="H407" i="1"/>
  <c r="H423" i="1"/>
  <c r="H571" i="1"/>
  <c r="H705" i="1"/>
  <c r="H865" i="1"/>
  <c r="I911" i="1"/>
  <c r="L911" i="1" s="1"/>
  <c r="L910" i="1" s="1"/>
  <c r="H1143" i="1"/>
  <c r="I1273" i="1"/>
  <c r="L1273" i="1" s="1"/>
  <c r="L1272" i="1" s="1"/>
  <c r="I1305" i="1"/>
  <c r="L1305" i="1" s="1"/>
  <c r="L1304" i="1" s="1"/>
  <c r="I1337" i="1"/>
  <c r="L1337" i="1" s="1"/>
  <c r="L1336" i="1" s="1"/>
  <c r="I1369" i="1"/>
  <c r="L1369" i="1" s="1"/>
  <c r="L1368" i="1" s="1"/>
  <c r="I1375" i="1"/>
  <c r="L1375" i="1" s="1"/>
  <c r="L1374" i="1" s="1"/>
  <c r="H1637" i="1"/>
  <c r="H1659" i="1"/>
  <c r="H1667" i="1"/>
  <c r="H1815" i="1"/>
  <c r="H1887" i="1"/>
  <c r="H1919" i="1"/>
  <c r="H1751" i="1"/>
  <c r="H1807" i="1"/>
  <c r="H1999" i="1"/>
  <c r="H659" i="1"/>
  <c r="H675" i="1"/>
  <c r="H691" i="1"/>
  <c r="I67" i="1"/>
  <c r="L67" i="1" s="1"/>
  <c r="L66" i="1" s="1"/>
  <c r="H149" i="1"/>
  <c r="H251" i="1"/>
  <c r="H259" i="1"/>
  <c r="H267" i="1"/>
  <c r="H275" i="1"/>
  <c r="H283" i="1"/>
  <c r="H291" i="1"/>
  <c r="H373" i="1"/>
  <c r="H467" i="1"/>
  <c r="H465" i="1"/>
  <c r="H549" i="1"/>
  <c r="H573" i="1"/>
  <c r="I575" i="1"/>
  <c r="L575" i="1" s="1"/>
  <c r="L574" i="1" s="1"/>
  <c r="H579" i="1"/>
  <c r="I561" i="1"/>
  <c r="L561" i="1" s="1"/>
  <c r="L560" i="1" s="1"/>
  <c r="I569" i="1"/>
  <c r="L569" i="1" s="1"/>
  <c r="L568" i="1" s="1"/>
  <c r="I577" i="1"/>
  <c r="L577" i="1" s="1"/>
  <c r="L576" i="1" s="1"/>
  <c r="I585" i="1"/>
  <c r="L585" i="1" s="1"/>
  <c r="L584" i="1" s="1"/>
  <c r="I593" i="1"/>
  <c r="L593" i="1" s="1"/>
  <c r="L592" i="1" s="1"/>
  <c r="H917" i="1"/>
  <c r="I935" i="1"/>
  <c r="L935" i="1" s="1"/>
  <c r="L934" i="1" s="1"/>
  <c r="H1137" i="1"/>
  <c r="I1265" i="1"/>
  <c r="L1265" i="1" s="1"/>
  <c r="L1264" i="1" s="1"/>
  <c r="I1297" i="1"/>
  <c r="L1297" i="1" s="1"/>
  <c r="L1296" i="1" s="1"/>
  <c r="I1329" i="1"/>
  <c r="L1329" i="1" s="1"/>
  <c r="L1328" i="1" s="1"/>
  <c r="I1361" i="1"/>
  <c r="L1361" i="1" s="1"/>
  <c r="L1360" i="1" s="1"/>
  <c r="H1847" i="1"/>
  <c r="H1719" i="1"/>
  <c r="H1743" i="1"/>
  <c r="H1799" i="1"/>
  <c r="H1943" i="1"/>
  <c r="H1951" i="1"/>
  <c r="H663" i="1"/>
  <c r="H679" i="1"/>
  <c r="H695" i="1"/>
  <c r="H835" i="1"/>
  <c r="H1517" i="1"/>
  <c r="H1525" i="1"/>
  <c r="H1529" i="1"/>
  <c r="H1533" i="1"/>
  <c r="H1537" i="1"/>
  <c r="H1541" i="1"/>
  <c r="H139" i="1"/>
  <c r="H123" i="1"/>
  <c r="I347" i="1"/>
  <c r="L347" i="1" s="1"/>
  <c r="L346" i="1" s="1"/>
  <c r="I379" i="1"/>
  <c r="L379" i="1" s="1"/>
  <c r="L378" i="1" s="1"/>
  <c r="H443" i="1"/>
  <c r="H475" i="1"/>
  <c r="H357" i="1"/>
  <c r="I363" i="1"/>
  <c r="L363" i="1" s="1"/>
  <c r="L362" i="1" s="1"/>
  <c r="H389" i="1"/>
  <c r="H349" i="1"/>
  <c r="I525" i="1"/>
  <c r="L525" i="1" s="1"/>
  <c r="L524" i="1" s="1"/>
  <c r="I551" i="1"/>
  <c r="L551" i="1" s="1"/>
  <c r="L550" i="1" s="1"/>
  <c r="I567" i="1"/>
  <c r="L567" i="1" s="1"/>
  <c r="L566" i="1" s="1"/>
  <c r="I583" i="1"/>
  <c r="L583" i="1" s="1"/>
  <c r="L582" i="1" s="1"/>
  <c r="I591" i="1"/>
  <c r="L591" i="1" s="1"/>
  <c r="L590" i="1" s="1"/>
  <c r="I599" i="1"/>
  <c r="L599" i="1" s="1"/>
  <c r="L598" i="1" s="1"/>
  <c r="I589" i="1"/>
  <c r="L589" i="1" s="1"/>
  <c r="L588" i="1" s="1"/>
  <c r="I543" i="1"/>
  <c r="L543" i="1" s="1"/>
  <c r="L542" i="1" s="1"/>
  <c r="I545" i="1"/>
  <c r="L545" i="1" s="1"/>
  <c r="L544" i="1" s="1"/>
  <c r="H701" i="1"/>
  <c r="I895" i="1"/>
  <c r="L895" i="1" s="1"/>
  <c r="L894" i="1" s="1"/>
  <c r="I927" i="1"/>
  <c r="L927" i="1" s="1"/>
  <c r="L926" i="1" s="1"/>
  <c r="I833" i="1"/>
  <c r="L833" i="1" s="1"/>
  <c r="L832" i="1" s="1"/>
  <c r="I951" i="1"/>
  <c r="L951" i="1" s="1"/>
  <c r="L950" i="1" s="1"/>
  <c r="I981" i="1"/>
  <c r="L981" i="1" s="1"/>
  <c r="L980" i="1" s="1"/>
  <c r="I945" i="1"/>
  <c r="L945" i="1" s="1"/>
  <c r="L944" i="1" s="1"/>
  <c r="I977" i="1"/>
  <c r="L977" i="1" s="1"/>
  <c r="L976" i="1" s="1"/>
  <c r="I955" i="1"/>
  <c r="L955" i="1" s="1"/>
  <c r="L954" i="1" s="1"/>
  <c r="I983" i="1"/>
  <c r="L983" i="1" s="1"/>
  <c r="L982" i="1" s="1"/>
  <c r="I965" i="1"/>
  <c r="L965" i="1" s="1"/>
  <c r="L964" i="1" s="1"/>
  <c r="H1219" i="1"/>
  <c r="H1227" i="1"/>
  <c r="H1235" i="1"/>
  <c r="H1243" i="1"/>
  <c r="H1251" i="1"/>
  <c r="I1387" i="1"/>
  <c r="L1387" i="1" s="1"/>
  <c r="L1386" i="1" s="1"/>
  <c r="H1269" i="1"/>
  <c r="H1285" i="1"/>
  <c r="H1301" i="1"/>
  <c r="H1317" i="1"/>
  <c r="H1333" i="1"/>
  <c r="H1349" i="1"/>
  <c r="H1365" i="1"/>
  <c r="H1597" i="1"/>
  <c r="H1613" i="1"/>
  <c r="H1633" i="1"/>
  <c r="H1839" i="1"/>
  <c r="H1911" i="1"/>
  <c r="H1983" i="1"/>
  <c r="H1631" i="1"/>
  <c r="H1647" i="1"/>
  <c r="H1655" i="1"/>
  <c r="H1663" i="1"/>
  <c r="H1671" i="1"/>
  <c r="H1679" i="1"/>
  <c r="H1695" i="1"/>
  <c r="H1727" i="1"/>
  <c r="H1759" i="1"/>
  <c r="H1767" i="1"/>
  <c r="H1775" i="1"/>
  <c r="H1783" i="1"/>
  <c r="H1823" i="1"/>
  <c r="H1831" i="1"/>
  <c r="H1855" i="1"/>
  <c r="H1871" i="1"/>
  <c r="H1991" i="1"/>
  <c r="H1653" i="1"/>
  <c r="H1661" i="1"/>
  <c r="H1669" i="1"/>
  <c r="H1677" i="1"/>
  <c r="H1685" i="1"/>
  <c r="H49" i="1"/>
  <c r="I55" i="1"/>
  <c r="L55" i="1" s="1"/>
  <c r="L54" i="1" s="1"/>
  <c r="H73" i="1"/>
  <c r="H153" i="1"/>
  <c r="H33" i="1"/>
  <c r="H101" i="1"/>
  <c r="H109" i="1"/>
  <c r="H117" i="1"/>
  <c r="H125" i="1"/>
  <c r="H133" i="1"/>
  <c r="H141" i="1"/>
  <c r="H79" i="1"/>
  <c r="I233" i="1"/>
  <c r="L233" i="1" s="1"/>
  <c r="L232" i="1" s="1"/>
  <c r="I241" i="1"/>
  <c r="L241" i="1" s="1"/>
  <c r="L240" i="1" s="1"/>
  <c r="H451" i="1"/>
  <c r="H483" i="1"/>
  <c r="H441" i="1"/>
  <c r="H473" i="1"/>
  <c r="I531" i="1"/>
  <c r="L531" i="1" s="1"/>
  <c r="L530" i="1" s="1"/>
  <c r="I597" i="1"/>
  <c r="L597" i="1" s="1"/>
  <c r="L596" i="1" s="1"/>
  <c r="I509" i="1"/>
  <c r="L509" i="1" s="1"/>
  <c r="L508" i="1" s="1"/>
  <c r="I517" i="1"/>
  <c r="L517" i="1" s="1"/>
  <c r="L516" i="1" s="1"/>
  <c r="I553" i="1"/>
  <c r="L553" i="1" s="1"/>
  <c r="L552" i="1" s="1"/>
  <c r="H749" i="1"/>
  <c r="H757" i="1"/>
  <c r="H765" i="1"/>
  <c r="H773" i="1"/>
  <c r="H781" i="1"/>
  <c r="H789" i="1"/>
  <c r="I841" i="1"/>
  <c r="L841" i="1" s="1"/>
  <c r="L840" i="1" s="1"/>
  <c r="I883" i="1"/>
  <c r="L883" i="1" s="1"/>
  <c r="L882" i="1" s="1"/>
  <c r="I899" i="1"/>
  <c r="L899" i="1" s="1"/>
  <c r="L898" i="1" s="1"/>
  <c r="I915" i="1"/>
  <c r="L915" i="1" s="1"/>
  <c r="L914" i="1" s="1"/>
  <c r="I931" i="1"/>
  <c r="L931" i="1" s="1"/>
  <c r="L930" i="1" s="1"/>
  <c r="H859" i="1"/>
  <c r="I959" i="1"/>
  <c r="L959" i="1" s="1"/>
  <c r="L958" i="1" s="1"/>
  <c r="I985" i="1"/>
  <c r="L985" i="1" s="1"/>
  <c r="L984" i="1" s="1"/>
  <c r="I953" i="1"/>
  <c r="L953" i="1" s="1"/>
  <c r="L952" i="1" s="1"/>
  <c r="I987" i="1"/>
  <c r="L987" i="1" s="1"/>
  <c r="L986" i="1" s="1"/>
  <c r="I963" i="1"/>
  <c r="L963" i="1" s="1"/>
  <c r="L962" i="1" s="1"/>
  <c r="I989" i="1"/>
  <c r="L989" i="1" s="1"/>
  <c r="L988" i="1" s="1"/>
  <c r="I941" i="1"/>
  <c r="L941" i="1" s="1"/>
  <c r="L940" i="1" s="1"/>
  <c r="I973" i="1"/>
  <c r="L973" i="1" s="1"/>
  <c r="L972" i="1" s="1"/>
  <c r="H1601" i="1"/>
  <c r="H1617" i="1"/>
  <c r="H1619" i="1"/>
  <c r="I43" i="1"/>
  <c r="L43" i="1" s="1"/>
  <c r="L42" i="1" s="1"/>
  <c r="I75" i="1"/>
  <c r="L75" i="1" s="1"/>
  <c r="L74" i="1" s="1"/>
  <c r="H17" i="1"/>
  <c r="H25" i="1"/>
  <c r="I31" i="1"/>
  <c r="L31" i="1" s="1"/>
  <c r="L30" i="1" s="1"/>
  <c r="H11" i="1"/>
  <c r="H41" i="1"/>
  <c r="I81" i="1"/>
  <c r="L81" i="1" s="1"/>
  <c r="L80" i="1" s="1"/>
  <c r="H111" i="1"/>
  <c r="I539" i="1"/>
  <c r="L539" i="1" s="1"/>
  <c r="L538" i="1" s="1"/>
  <c r="I533" i="1"/>
  <c r="L533" i="1" s="1"/>
  <c r="L532" i="1" s="1"/>
  <c r="I527" i="1"/>
  <c r="L527" i="1" s="1"/>
  <c r="L526" i="1" s="1"/>
  <c r="I529" i="1"/>
  <c r="L529" i="1" s="1"/>
  <c r="L528" i="1" s="1"/>
  <c r="I817" i="1"/>
  <c r="L817" i="1" s="1"/>
  <c r="L816" i="1" s="1"/>
  <c r="I825" i="1"/>
  <c r="L825" i="1" s="1"/>
  <c r="L824" i="1" s="1"/>
  <c r="I801" i="1"/>
  <c r="L801" i="1" s="1"/>
  <c r="L800" i="1" s="1"/>
  <c r="I967" i="1"/>
  <c r="L967" i="1" s="1"/>
  <c r="L966" i="1" s="1"/>
  <c r="I961" i="1"/>
  <c r="L961" i="1" s="1"/>
  <c r="L960" i="1" s="1"/>
  <c r="I993" i="1"/>
  <c r="L993" i="1" s="1"/>
  <c r="L992" i="1" s="1"/>
  <c r="I971" i="1"/>
  <c r="L971" i="1" s="1"/>
  <c r="L970" i="1" s="1"/>
  <c r="I949" i="1"/>
  <c r="L949" i="1" s="1"/>
  <c r="L948" i="1" s="1"/>
  <c r="I991" i="1"/>
  <c r="L991" i="1" s="1"/>
  <c r="L990" i="1" s="1"/>
  <c r="I1277" i="1"/>
  <c r="L1277" i="1" s="1"/>
  <c r="L1276" i="1" s="1"/>
  <c r="I1293" i="1"/>
  <c r="L1293" i="1" s="1"/>
  <c r="L1292" i="1" s="1"/>
  <c r="I1309" i="1"/>
  <c r="L1309" i="1" s="1"/>
  <c r="L1308" i="1" s="1"/>
  <c r="I1325" i="1"/>
  <c r="L1325" i="1" s="1"/>
  <c r="L1324" i="1" s="1"/>
  <c r="I1341" i="1"/>
  <c r="L1341" i="1" s="1"/>
  <c r="L1340" i="1" s="1"/>
  <c r="I1357" i="1"/>
  <c r="L1357" i="1" s="1"/>
  <c r="L1356" i="1" s="1"/>
  <c r="H1373" i="1"/>
  <c r="H1605" i="1"/>
  <c r="H1625" i="1"/>
  <c r="H1591" i="1"/>
  <c r="I21" i="1"/>
  <c r="L21" i="1" s="1"/>
  <c r="L20" i="1" s="1"/>
  <c r="I51" i="1"/>
  <c r="L51" i="1" s="1"/>
  <c r="L50" i="1" s="1"/>
  <c r="H57" i="1"/>
  <c r="I63" i="1"/>
  <c r="L63" i="1" s="1"/>
  <c r="L62" i="1" s="1"/>
  <c r="I87" i="1"/>
  <c r="L87" i="1" s="1"/>
  <c r="L86" i="1" s="1"/>
  <c r="H87" i="1"/>
  <c r="H145" i="1"/>
  <c r="I107" i="1"/>
  <c r="L107" i="1" s="1"/>
  <c r="L106" i="1" s="1"/>
  <c r="H107" i="1"/>
  <c r="H71" i="1"/>
  <c r="H65" i="1"/>
  <c r="I229" i="1"/>
  <c r="L229" i="1" s="1"/>
  <c r="L228" i="1" s="1"/>
  <c r="I237" i="1"/>
  <c r="L237" i="1" s="1"/>
  <c r="L236" i="1" s="1"/>
  <c r="H135" i="1"/>
  <c r="H85" i="1"/>
  <c r="I339" i="1"/>
  <c r="L339" i="1" s="1"/>
  <c r="L338" i="1" s="1"/>
  <c r="H381" i="1"/>
  <c r="H457" i="1"/>
  <c r="H489" i="1"/>
  <c r="I547" i="1"/>
  <c r="L547" i="1" s="1"/>
  <c r="L546" i="1" s="1"/>
  <c r="I541" i="1"/>
  <c r="L541" i="1" s="1"/>
  <c r="L540" i="1" s="1"/>
  <c r="I535" i="1"/>
  <c r="L535" i="1" s="1"/>
  <c r="L534" i="1" s="1"/>
  <c r="I537" i="1"/>
  <c r="L537" i="1" s="1"/>
  <c r="L536" i="1" s="1"/>
  <c r="I601" i="1"/>
  <c r="L601" i="1" s="1"/>
  <c r="L600" i="1" s="1"/>
  <c r="H715" i="1"/>
  <c r="H723" i="1"/>
  <c r="H731" i="1"/>
  <c r="H739" i="1"/>
  <c r="H747" i="1"/>
  <c r="H755" i="1"/>
  <c r="H763" i="1"/>
  <c r="H771" i="1"/>
  <c r="H779" i="1"/>
  <c r="H787" i="1"/>
  <c r="H699" i="1"/>
  <c r="H707" i="1"/>
  <c r="I809" i="1"/>
  <c r="L809" i="1" s="1"/>
  <c r="L808" i="1" s="1"/>
  <c r="I857" i="1"/>
  <c r="L857" i="1" s="1"/>
  <c r="L856" i="1" s="1"/>
  <c r="I875" i="1"/>
  <c r="L875" i="1" s="1"/>
  <c r="L874" i="1" s="1"/>
  <c r="I891" i="1"/>
  <c r="L891" i="1" s="1"/>
  <c r="L890" i="1" s="1"/>
  <c r="I907" i="1"/>
  <c r="L907" i="1" s="1"/>
  <c r="L906" i="1" s="1"/>
  <c r="I923" i="1"/>
  <c r="L923" i="1" s="1"/>
  <c r="L922" i="1" s="1"/>
  <c r="I887" i="1"/>
  <c r="L887" i="1" s="1"/>
  <c r="L886" i="1" s="1"/>
  <c r="I919" i="1"/>
  <c r="L919" i="1" s="1"/>
  <c r="L918" i="1" s="1"/>
  <c r="H939" i="1"/>
  <c r="I939" i="1"/>
  <c r="L939" i="1" s="1"/>
  <c r="L938" i="1" s="1"/>
  <c r="I943" i="1"/>
  <c r="L943" i="1" s="1"/>
  <c r="L942" i="1" s="1"/>
  <c r="I975" i="1"/>
  <c r="L975" i="1" s="1"/>
  <c r="L974" i="1" s="1"/>
  <c r="I969" i="1"/>
  <c r="L969" i="1" s="1"/>
  <c r="L968" i="1" s="1"/>
  <c r="I947" i="1"/>
  <c r="L947" i="1" s="1"/>
  <c r="L946" i="1" s="1"/>
  <c r="I979" i="1"/>
  <c r="L979" i="1" s="1"/>
  <c r="L978" i="1" s="1"/>
  <c r="I957" i="1"/>
  <c r="L957" i="1" s="1"/>
  <c r="L956" i="1" s="1"/>
  <c r="I995" i="1"/>
  <c r="L995" i="1" s="1"/>
  <c r="L994" i="1" s="1"/>
  <c r="H1259" i="1"/>
  <c r="I1381" i="1"/>
  <c r="L1381" i="1" s="1"/>
  <c r="L1380" i="1" s="1"/>
  <c r="I1379" i="1"/>
  <c r="L1379" i="1" s="1"/>
  <c r="L1378" i="1" s="1"/>
  <c r="I1383" i="1"/>
  <c r="L1383" i="1" s="1"/>
  <c r="L1382" i="1" s="1"/>
  <c r="H1609" i="1"/>
  <c r="H1629" i="1"/>
  <c r="H1595" i="1"/>
  <c r="H1627" i="1"/>
  <c r="H1643" i="1"/>
  <c r="H1879" i="1"/>
  <c r="AA36" i="1" l="1"/>
  <c r="AA37" i="1" s="1"/>
  <c r="W36" i="1"/>
  <c r="W37" i="1" s="1"/>
  <c r="U36" i="1"/>
  <c r="U37" i="1" s="1"/>
  <c r="W38" i="1" l="1"/>
  <c r="W39" i="1" s="1"/>
  <c r="AA38" i="1"/>
  <c r="AA39" i="1" s="1"/>
  <c r="U38" i="1"/>
  <c r="U39" i="1" s="1"/>
  <c r="AA40" i="1" l="1"/>
  <c r="AA41" i="1" s="1"/>
  <c r="W40" i="1"/>
  <c r="W41" i="1" s="1"/>
  <c r="U40" i="1"/>
  <c r="U41" i="1" s="1"/>
  <c r="W42" i="1" l="1"/>
  <c r="W43" i="1" s="1"/>
  <c r="AA42" i="1"/>
  <c r="AA43" i="1" s="1"/>
  <c r="U42" i="1"/>
  <c r="U43" i="1" s="1"/>
  <c r="AA44" i="1" l="1"/>
  <c r="AA45" i="1" s="1"/>
  <c r="W44" i="1"/>
  <c r="W45" i="1" s="1"/>
  <c r="U44" i="1"/>
  <c r="U45" i="1" s="1"/>
</calcChain>
</file>

<file path=xl/sharedStrings.xml><?xml version="1.0" encoding="utf-8"?>
<sst xmlns="http://schemas.openxmlformats.org/spreadsheetml/2006/main" count="347" uniqueCount="41">
  <si>
    <t>Symbol</t>
  </si>
  <si>
    <t>TickSize</t>
  </si>
  <si>
    <t>Algo Type</t>
  </si>
  <si>
    <t>Market side</t>
  </si>
  <si>
    <t>Previous Close</t>
  </si>
  <si>
    <t>Base Value</t>
  </si>
  <si>
    <t>Point A%</t>
  </si>
  <si>
    <t>Point B%</t>
  </si>
  <si>
    <t>Entry Price</t>
  </si>
  <si>
    <t>Cancel Point 1%</t>
  </si>
  <si>
    <t>Cancel Point 2%</t>
  </si>
  <si>
    <t>Profit Point%</t>
  </si>
  <si>
    <t>Loss Point%</t>
  </si>
  <si>
    <t>Quantity</t>
  </si>
  <si>
    <t>Cancel Ticks</t>
  </si>
  <si>
    <t>Tolerance</t>
  </si>
  <si>
    <t>Max Order Size</t>
  </si>
  <si>
    <t>Time Enabled</t>
  </si>
  <si>
    <t>Start Date</t>
  </si>
  <si>
    <t>Start Time</t>
  </si>
  <si>
    <t>End Date</t>
  </si>
  <si>
    <t>End Time</t>
  </si>
  <si>
    <t>Trailing</t>
  </si>
  <si>
    <t>Identifier</t>
  </si>
  <si>
    <t>T-Exit Date</t>
  </si>
  <si>
    <t>T-Exit Time</t>
  </si>
  <si>
    <t>T-Exit Enable/Disable</t>
  </si>
  <si>
    <t>BUY</t>
  </si>
  <si>
    <t>ParentOrder Price</t>
  </si>
  <si>
    <t>6EM7</t>
  </si>
  <si>
    <t>Tick Size</t>
  </si>
  <si>
    <t>LossLimitTicks</t>
  </si>
  <si>
    <t>LossLimitValue</t>
  </si>
  <si>
    <t>LossLimit</t>
  </si>
  <si>
    <t>SELL</t>
  </si>
  <si>
    <t>6BM7</t>
  </si>
  <si>
    <t>6JM7</t>
  </si>
  <si>
    <t>6CM7</t>
  </si>
  <si>
    <t>6AM7</t>
  </si>
  <si>
    <t>6SM7</t>
  </si>
  <si>
    <t>6NM7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</si>
</sst>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_(* \(#,##0.00\);_(* &quot;-&quot;??_);_(@_)"/>
  </numFmts>
  <fonts count="33">
    <font>
      <sz val="10"/>
      <name val="Arial"/>
      <charset val="1"/>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0"/>
      <name val="Arial"/>
      <family val="2"/>
    </font>
    <font>
      <sz val="10"/>
      <name val="Arial"/>
      <family val="2"/>
    </font>
    <font>
      <sz val="10"/>
      <name val="Arial"/>
      <family val="2"/>
    </font>
    <font>
      <sz val="10"/>
      <name val="Arial"/>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indexed="8"/>
      <name val="Calibri"/>
      <family val="2"/>
    </font>
    <font>
      <sz val="9"/>
      <name val="宋体"/>
      <family val="3"/>
      <charset val="134"/>
    </font>
    <font>
      <b/>
      <sz val="8"/>
      <color indexed="10"/>
      <name val="Arial"/>
      <family val="2"/>
    </font>
    <font>
      <sz val="8"/>
      <name val="Arial"/>
      <family val="2"/>
    </font>
    <font>
      <sz val="8"/>
      <color rgb="FF222222"/>
      <name val="Consolas"/>
      <family val="3"/>
      <charset val="1"/>
    </font>
    <font>
      <sz val="8"/>
      <color indexed="12"/>
      <name val="Arial"/>
      <family val="2"/>
    </font>
    <font>
      <sz val="8"/>
      <color rgb="FFC55A11"/>
      <name val="Consolas"/>
      <family val="3"/>
      <charset val="1"/>
    </font>
  </fonts>
  <fills count="36">
    <fill>
      <patternFill patternType="none"/>
    </fill>
    <fill>
      <patternFill patternType="gray125"/>
    </fill>
    <fill>
      <patternFill patternType="solid">
        <fgColor indexed="22"/>
      </patternFill>
    </fill>
    <fill>
      <patternFill patternType="solid">
        <fgColor rgb="FFD0CECE"/>
        <bgColor rgb="FFCCCC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style="thin">
        <color auto="1"/>
      </left>
      <right style="thin">
        <color auto="1"/>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90">
    <xf numFmtId="0" fontId="0" fillId="0" borderId="0" applyNumberFormat="0" applyFill="0" applyBorder="0" applyAlignment="0" applyProtection="0"/>
    <xf numFmtId="0" fontId="8" fillId="0" borderId="0"/>
    <xf numFmtId="43" fontId="8" fillId="0" borderId="0" applyFont="0" applyFill="0" applyBorder="0" applyAlignment="0" applyProtection="0"/>
    <xf numFmtId="0" fontId="7" fillId="0" borderId="0"/>
    <xf numFmtId="0" fontId="9" fillId="0" borderId="0"/>
    <xf numFmtId="0" fontId="10" fillId="0" borderId="0" applyNumberFormat="0" applyFill="0" applyBorder="0" applyAlignment="0" applyProtection="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0" applyNumberFormat="0" applyBorder="0" applyAlignment="0" applyProtection="0"/>
    <xf numFmtId="0" fontId="17" fillId="7" borderId="5" applyNumberFormat="0" applyAlignment="0" applyProtection="0"/>
    <xf numFmtId="0" fontId="18" fillId="8" borderId="6" applyNumberFormat="0" applyAlignment="0" applyProtection="0"/>
    <xf numFmtId="0" fontId="19" fillId="8" borderId="5" applyNumberFormat="0" applyAlignment="0" applyProtection="0"/>
    <xf numFmtId="0" fontId="20" fillId="0" borderId="7" applyNumberFormat="0" applyFill="0" applyAlignment="0" applyProtection="0"/>
    <xf numFmtId="0" fontId="21" fillId="9" borderId="8" applyNumberFormat="0" applyAlignment="0" applyProtection="0"/>
    <xf numFmtId="0" fontId="22" fillId="0" borderId="0" applyNumberFormat="0" applyFill="0" applyBorder="0" applyAlignment="0" applyProtection="0"/>
    <xf numFmtId="0" fontId="23" fillId="0" borderId="0" applyNumberFormat="0" applyFill="0" applyBorder="0" applyAlignment="0" applyProtection="0"/>
    <xf numFmtId="0" fontId="24" fillId="0" borderId="10" applyNumberFormat="0" applyFill="0" applyAlignment="0" applyProtection="0"/>
    <xf numFmtId="0" fontId="2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25" fillId="18" borderId="0" applyNumberFormat="0" applyBorder="0" applyAlignment="0" applyProtection="0"/>
    <xf numFmtId="0" fontId="2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25" fillId="22" borderId="0" applyNumberFormat="0" applyBorder="0" applyAlignment="0" applyProtection="0"/>
    <xf numFmtId="0" fontId="2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25" fillId="26" borderId="0" applyNumberFormat="0" applyBorder="0" applyAlignment="0" applyProtection="0"/>
    <xf numFmtId="0" fontId="25" fillId="27" borderId="0" applyNumberFormat="0" applyBorder="0" applyAlignment="0" applyProtection="0"/>
    <xf numFmtId="0" fontId="5" fillId="28" borderId="0" applyNumberFormat="0" applyBorder="0" applyAlignment="0" applyProtection="0"/>
    <xf numFmtId="0" fontId="5" fillId="29" borderId="0" applyNumberFormat="0" applyBorder="0" applyAlignment="0" applyProtection="0"/>
    <xf numFmtId="0" fontId="25" fillId="30" borderId="0" applyNumberFormat="0" applyBorder="0" applyAlignment="0" applyProtection="0"/>
    <xf numFmtId="0" fontId="25" fillId="31" borderId="0" applyNumberFormat="0" applyBorder="0" applyAlignment="0" applyProtection="0"/>
    <xf numFmtId="0" fontId="5" fillId="32" borderId="0" applyNumberFormat="0" applyBorder="0" applyAlignment="0" applyProtection="0"/>
    <xf numFmtId="0" fontId="5" fillId="33" borderId="0" applyNumberFormat="0" applyBorder="0" applyAlignment="0" applyProtection="0"/>
    <xf numFmtId="0" fontId="25" fillId="34" borderId="0" applyNumberFormat="0" applyBorder="0" applyAlignment="0" applyProtection="0"/>
    <xf numFmtId="0" fontId="5" fillId="0" borderId="0"/>
    <xf numFmtId="0" fontId="5" fillId="10" borderId="9" applyNumberFormat="0" applyFont="0" applyAlignment="0" applyProtection="0"/>
    <xf numFmtId="0" fontId="4" fillId="0" borderId="0"/>
    <xf numFmtId="0" fontId="3" fillId="0" borderId="0"/>
    <xf numFmtId="0" fontId="3" fillId="10" borderId="9" applyNumberFormat="0" applyFont="0" applyAlignment="0" applyProtection="0"/>
    <xf numFmtId="0" fontId="3" fillId="12" borderId="0" applyNumberFormat="0" applyBorder="0" applyAlignment="0" applyProtection="0"/>
    <xf numFmtId="0" fontId="3" fillId="13"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2" fillId="0" borderId="0"/>
    <xf numFmtId="0" fontId="2" fillId="10" borderId="9" applyNumberFormat="0" applyFont="0" applyAlignment="0" applyProtection="0"/>
    <xf numFmtId="0" fontId="2" fillId="12"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 fillId="0" borderId="0"/>
    <xf numFmtId="0" fontId="1" fillId="10" borderId="9" applyNumberFormat="0" applyFont="0" applyAlignment="0" applyProtection="0"/>
    <xf numFmtId="0" fontId="1" fillId="12" borderId="0" applyNumberFormat="0" applyBorder="0" applyAlignment="0" applyProtection="0"/>
    <xf numFmtId="0" fontId="1" fillId="13"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cellStyleXfs>
  <cellXfs count="33">
    <xf numFmtId="0" fontId="0" fillId="0" borderId="0" xfId="0"/>
    <xf numFmtId="0" fontId="6" fillId="0" borderId="0" xfId="0" applyFont="1" applyFill="1" applyBorder="1" applyAlignment="1" applyProtection="1"/>
    <xf numFmtId="0" fontId="7" fillId="0" borderId="0" xfId="0" applyFont="1" applyFill="1" applyBorder="1" applyAlignment="1" applyProtection="1"/>
    <xf numFmtId="14" fontId="6" fillId="0" borderId="0" xfId="0" applyNumberFormat="1" applyFont="1" applyFill="1" applyBorder="1" applyAlignment="1" applyProtection="1"/>
    <xf numFmtId="10" fontId="0" fillId="0" borderId="0" xfId="0" applyNumberFormat="1"/>
    <xf numFmtId="14" fontId="0" fillId="0" borderId="0" xfId="0" applyNumberFormat="1" applyFill="1"/>
    <xf numFmtId="21" fontId="0" fillId="0" borderId="0" xfId="0" applyNumberFormat="1" applyFill="1"/>
    <xf numFmtId="0" fontId="0" fillId="0" borderId="0" xfId="0" applyFill="1"/>
    <xf numFmtId="10" fontId="0" fillId="0" borderId="0" xfId="0" applyNumberFormat="1" applyFill="1"/>
    <xf numFmtId="0" fontId="0" fillId="0" borderId="0" xfId="0"/>
    <xf numFmtId="10" fontId="0" fillId="0" borderId="0" xfId="0" applyNumberFormat="1"/>
    <xf numFmtId="21" fontId="0" fillId="0" borderId="0" xfId="0" applyNumberFormat="1" applyFill="1"/>
    <xf numFmtId="0" fontId="0" fillId="0" borderId="0" xfId="0" applyFill="1"/>
    <xf numFmtId="0" fontId="26" fillId="0" borderId="0" xfId="0" applyNumberFormat="1" applyFont="1" applyFill="1" applyBorder="1" applyAlignment="1" applyProtection="1"/>
    <xf numFmtId="21" fontId="7" fillId="0" borderId="0" xfId="0" applyNumberFormat="1" applyFont="1" applyFill="1"/>
    <xf numFmtId="0" fontId="0" fillId="0" borderId="0" xfId="0" applyNumberFormat="1"/>
    <xf numFmtId="0" fontId="7" fillId="0" borderId="0" xfId="0" applyFont="1"/>
    <xf numFmtId="10" fontId="6" fillId="0" borderId="0" xfId="0" applyNumberFormat="1" applyFont="1" applyFill="1" applyBorder="1" applyAlignment="1" applyProtection="1"/>
    <xf numFmtId="0" fontId="26" fillId="35" borderId="0" xfId="0" applyNumberFormat="1" applyFont="1" applyFill="1" applyBorder="1" applyAlignment="1" applyProtection="1"/>
    <xf numFmtId="0" fontId="0" fillId="35" borderId="0" xfId="0" applyFill="1"/>
    <xf numFmtId="0" fontId="28" fillId="0" borderId="0" xfId="0" applyFont="1" applyFill="1" applyBorder="1" applyAlignment="1" applyProtection="1"/>
    <xf numFmtId="0" fontId="28" fillId="0" borderId="0" xfId="0" applyNumberFormat="1" applyFont="1" applyFill="1" applyBorder="1" applyAlignment="1" applyProtection="1"/>
    <xf numFmtId="0" fontId="29" fillId="0" borderId="0" xfId="0" applyFont="1"/>
    <xf numFmtId="0" fontId="29" fillId="0" borderId="0" xfId="0" applyFont="1" applyFill="1" applyBorder="1" applyAlignment="1" applyProtection="1"/>
    <xf numFmtId="0" fontId="30" fillId="0" borderId="1" xfId="0" applyFont="1" applyBorder="1" applyAlignment="1">
      <alignment horizontal="left" vertical="center"/>
    </xf>
    <xf numFmtId="10" fontId="29" fillId="0" borderId="0" xfId="0" applyNumberFormat="1" applyFont="1" applyFill="1" applyBorder="1" applyAlignment="1" applyProtection="1"/>
    <xf numFmtId="0" fontId="29" fillId="0" borderId="0" xfId="0" applyNumberFormat="1" applyFont="1" applyFill="1" applyBorder="1" applyAlignment="1" applyProtection="1"/>
    <xf numFmtId="14" fontId="29" fillId="0" borderId="0" xfId="0" applyNumberFormat="1" applyFont="1" applyFill="1" applyBorder="1" applyAlignment="1" applyProtection="1"/>
    <xf numFmtId="21" fontId="29" fillId="0" borderId="0" xfId="0" applyNumberFormat="1" applyFont="1" applyFill="1" applyBorder="1" applyAlignment="1" applyProtection="1"/>
    <xf numFmtId="0" fontId="31" fillId="2" borderId="0" xfId="0" applyFont="1" applyFill="1" applyBorder="1" applyAlignment="1" applyProtection="1">
      <alignment horizontal="right"/>
    </xf>
    <xf numFmtId="0" fontId="32" fillId="3" borderId="1" xfId="0" applyFont="1" applyFill="1" applyBorder="1" applyAlignment="1">
      <alignment horizontal="left" vertical="center"/>
    </xf>
    <xf numFmtId="0" fontId="31" fillId="2" borderId="0" xfId="0" applyNumberFormat="1" applyFont="1" applyFill="1" applyBorder="1" applyAlignment="1" applyProtection="1">
      <alignment horizontal="right"/>
    </xf>
    <xf numFmtId="0" fontId="29" fillId="0" borderId="0" xfId="0" applyNumberFormat="1" applyFont="1"/>
  </cellXfs>
  <cellStyles count="90">
    <cellStyle name="20% - Accent1" xfId="22" builtinId="30" customBuiltin="1"/>
    <cellStyle name="20% - Accent1 2" xfId="50"/>
    <cellStyle name="20% - Accent1 3" xfId="64"/>
    <cellStyle name="20% - Accent1 4" xfId="78"/>
    <cellStyle name="20% - Accent2" xfId="26" builtinId="34" customBuiltin="1"/>
    <cellStyle name="20% - Accent2 2" xfId="52"/>
    <cellStyle name="20% - Accent2 3" xfId="66"/>
    <cellStyle name="20% - Accent2 4" xfId="80"/>
    <cellStyle name="20% - Accent3" xfId="30" builtinId="38" customBuiltin="1"/>
    <cellStyle name="20% - Accent3 2" xfId="54"/>
    <cellStyle name="20% - Accent3 3" xfId="68"/>
    <cellStyle name="20% - Accent3 4" xfId="82"/>
    <cellStyle name="20% - Accent4" xfId="34" builtinId="42" customBuiltin="1"/>
    <cellStyle name="20% - Accent4 2" xfId="56"/>
    <cellStyle name="20% - Accent4 3" xfId="70"/>
    <cellStyle name="20% - Accent4 4" xfId="84"/>
    <cellStyle name="20% - Accent5" xfId="38" builtinId="46" customBuiltin="1"/>
    <cellStyle name="20% - Accent5 2" xfId="58"/>
    <cellStyle name="20% - Accent5 3" xfId="72"/>
    <cellStyle name="20% - Accent5 4" xfId="86"/>
    <cellStyle name="20% - Accent6" xfId="42" builtinId="50" customBuiltin="1"/>
    <cellStyle name="20% - Accent6 2" xfId="60"/>
    <cellStyle name="20% - Accent6 3" xfId="74"/>
    <cellStyle name="20% - Accent6 4" xfId="88"/>
    <cellStyle name="40% - Accent1" xfId="23" builtinId="31" customBuiltin="1"/>
    <cellStyle name="40% - Accent1 2" xfId="51"/>
    <cellStyle name="40% - Accent1 3" xfId="65"/>
    <cellStyle name="40% - Accent1 4" xfId="79"/>
    <cellStyle name="40% - Accent2" xfId="27" builtinId="35" customBuiltin="1"/>
    <cellStyle name="40% - Accent2 2" xfId="53"/>
    <cellStyle name="40% - Accent2 3" xfId="67"/>
    <cellStyle name="40% - Accent2 4" xfId="81"/>
    <cellStyle name="40% - Accent3" xfId="31" builtinId="39" customBuiltin="1"/>
    <cellStyle name="40% - Accent3 2" xfId="55"/>
    <cellStyle name="40% - Accent3 3" xfId="69"/>
    <cellStyle name="40% - Accent3 4" xfId="83"/>
    <cellStyle name="40% - Accent4" xfId="35" builtinId="43" customBuiltin="1"/>
    <cellStyle name="40% - Accent4 2" xfId="57"/>
    <cellStyle name="40% - Accent4 3" xfId="71"/>
    <cellStyle name="40% - Accent4 4" xfId="85"/>
    <cellStyle name="40% - Accent5" xfId="39" builtinId="47" customBuiltin="1"/>
    <cellStyle name="40% - Accent5 2" xfId="59"/>
    <cellStyle name="40% - Accent5 3" xfId="73"/>
    <cellStyle name="40% - Accent5 4" xfId="87"/>
    <cellStyle name="40% - Accent6" xfId="43" builtinId="51" customBuiltin="1"/>
    <cellStyle name="40% - Accent6 2" xfId="61"/>
    <cellStyle name="40% - Accent6 3" xfId="75"/>
    <cellStyle name="40% - Accent6 4" xfId="89"/>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11" builtinId="27" customBuiltin="1"/>
    <cellStyle name="Calculation" xfId="15" builtinId="22" customBuiltin="1"/>
    <cellStyle name="Check Cell" xfId="17" builtinId="23" customBuiltin="1"/>
    <cellStyle name="Comma 2" xfId="2"/>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2 2" xfId="3"/>
    <cellStyle name="Normal 3" xfId="4"/>
    <cellStyle name="Normal 4" xfId="45"/>
    <cellStyle name="Normal 5" xfId="47"/>
    <cellStyle name="Normal 6" xfId="48"/>
    <cellStyle name="Normal 7" xfId="62"/>
    <cellStyle name="Normal 8" xfId="76"/>
    <cellStyle name="Note 2" xfId="46"/>
    <cellStyle name="Note 3" xfId="49"/>
    <cellStyle name="Note 4" xfId="63"/>
    <cellStyle name="Note 5" xfId="77"/>
    <cellStyle name="Output" xfId="14" builtinId="21" customBuiltin="1"/>
    <cellStyle name="Title" xfId="5" builtinId="15" customBuiltin="1"/>
    <cellStyle name="Total" xfId="20"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ummaryRight="0"/>
  </sheetPr>
  <dimension ref="A1:AC1999"/>
  <sheetViews>
    <sheetView workbookViewId="0">
      <selection activeCell="O3" sqref="O3"/>
    </sheetView>
  </sheetViews>
  <sheetFormatPr defaultColWidth="11.5703125" defaultRowHeight="11.25"/>
  <cols>
    <col min="1" max="14" width="11.5703125" style="22"/>
    <col min="15" max="15" width="11.5703125" style="32"/>
    <col min="16" max="16384" width="11.5703125" style="22"/>
  </cols>
  <sheetData>
    <row r="1" spans="1:29">
      <c r="A1" s="20" t="s">
        <v>0</v>
      </c>
      <c r="B1" s="20" t="s">
        <v>1</v>
      </c>
      <c r="C1" s="20" t="s">
        <v>2</v>
      </c>
      <c r="D1" s="20" t="s">
        <v>3</v>
      </c>
      <c r="E1" s="20" t="s">
        <v>4</v>
      </c>
      <c r="F1" s="20" t="s">
        <v>5</v>
      </c>
      <c r="G1" s="20" t="s">
        <v>6</v>
      </c>
      <c r="H1" s="20" t="s">
        <v>7</v>
      </c>
      <c r="I1" s="20" t="s">
        <v>8</v>
      </c>
      <c r="J1" s="20" t="s">
        <v>9</v>
      </c>
      <c r="K1" s="20" t="s">
        <v>10</v>
      </c>
      <c r="L1" s="20" t="s">
        <v>28</v>
      </c>
      <c r="M1" s="20" t="s">
        <v>11</v>
      </c>
      <c r="N1" s="20" t="s">
        <v>12</v>
      </c>
      <c r="O1" s="21" t="s">
        <v>33</v>
      </c>
      <c r="P1" s="20" t="s">
        <v>13</v>
      </c>
      <c r="Q1" s="20" t="s">
        <v>14</v>
      </c>
      <c r="R1" s="20" t="s">
        <v>15</v>
      </c>
      <c r="S1" s="20" t="s">
        <v>16</v>
      </c>
      <c r="T1" s="20" t="s">
        <v>17</v>
      </c>
      <c r="U1" s="20" t="s">
        <v>18</v>
      </c>
      <c r="V1" s="20" t="s">
        <v>19</v>
      </c>
      <c r="W1" s="20" t="s">
        <v>20</v>
      </c>
      <c r="X1" s="20" t="s">
        <v>21</v>
      </c>
      <c r="Y1" s="20" t="s">
        <v>22</v>
      </c>
      <c r="Z1" s="20" t="s">
        <v>23</v>
      </c>
      <c r="AA1" s="20" t="s">
        <v>24</v>
      </c>
      <c r="AB1" s="20" t="s">
        <v>25</v>
      </c>
      <c r="AC1" s="20" t="s">
        <v>26</v>
      </c>
    </row>
    <row r="2" spans="1:29">
      <c r="A2" s="23" t="str">
        <f>Parameters!A2</f>
        <v>6EM7</v>
      </c>
      <c r="B2" s="23">
        <f>Parameters!B2</f>
        <v>5.0000000000000002E-5</v>
      </c>
      <c r="C2" s="24">
        <f>Parameters!C2</f>
        <v>2</v>
      </c>
      <c r="D2" s="24" t="str">
        <f>Parameters!D2</f>
        <v>BUY</v>
      </c>
      <c r="E2" s="23">
        <f>Parameters!E2</f>
        <v>1.10005</v>
      </c>
      <c r="F2" s="23">
        <f>Parameters!F2</f>
        <v>5.0000000000000001E-3</v>
      </c>
      <c r="G2" s="25">
        <f>Parameters!G2</f>
        <v>0</v>
      </c>
      <c r="H2" s="25">
        <f>Parameters!H2</f>
        <v>0</v>
      </c>
      <c r="I2" s="25">
        <f>Parameters!I2</f>
        <v>0</v>
      </c>
      <c r="J2" s="25">
        <f>Parameters!J2</f>
        <v>1</v>
      </c>
      <c r="K2" s="25">
        <f>Parameters!K2</f>
        <v>1</v>
      </c>
      <c r="L2" s="26">
        <f>L3</f>
        <v>1.1005499999999999</v>
      </c>
      <c r="M2" s="25">
        <f>Parameters!L2</f>
        <v>1</v>
      </c>
      <c r="N2" s="25">
        <f>Parameters!M2</f>
        <v>1</v>
      </c>
      <c r="O2" s="26">
        <f>O3</f>
        <v>1.09355</v>
      </c>
      <c r="P2" s="23">
        <f>Parameters!N2</f>
        <v>1</v>
      </c>
      <c r="Q2" s="23">
        <f>Parameters!O2</f>
        <v>100</v>
      </c>
      <c r="R2" s="23">
        <f>Parameters!P2</f>
        <v>10</v>
      </c>
      <c r="S2" s="23">
        <f>Parameters!Q2</f>
        <v>2</v>
      </c>
      <c r="T2" s="23">
        <f>Parameters!R2</f>
        <v>1</v>
      </c>
      <c r="U2" s="27">
        <f>Parameters!S2</f>
        <v>42741</v>
      </c>
      <c r="V2" s="28">
        <f>Parameters!T2</f>
        <v>0.30208333333333331</v>
      </c>
      <c r="W2" s="27">
        <f>Parameters!U2</f>
        <v>42964</v>
      </c>
      <c r="X2" s="28">
        <f>Parameters!V2</f>
        <v>0.65277777777777779</v>
      </c>
      <c r="Y2" s="26">
        <f>Parameters!W2</f>
        <v>28</v>
      </c>
      <c r="Z2" s="23">
        <f>Parameters!X2</f>
        <v>1</v>
      </c>
      <c r="AA2" s="27">
        <f>Parameters!Y2</f>
        <v>42964</v>
      </c>
      <c r="AB2" s="28">
        <f>Parameters!Z2</f>
        <v>0.65347222222222223</v>
      </c>
      <c r="AC2" s="23">
        <f>Parameters!AA2</f>
        <v>1</v>
      </c>
    </row>
    <row r="3" spans="1:29">
      <c r="A3" s="29" t="str">
        <f>UPPER(A2)</f>
        <v>6EM7</v>
      </c>
      <c r="B3" s="29">
        <f>B2</f>
        <v>5.0000000000000002E-5</v>
      </c>
      <c r="C3" s="30">
        <f>C2</f>
        <v>2</v>
      </c>
      <c r="D3" s="30" t="str">
        <f>D2</f>
        <v>BUY</v>
      </c>
      <c r="E3" s="29">
        <f>E2</f>
        <v>1.10005</v>
      </c>
      <c r="F3" s="29">
        <f>F2</f>
        <v>5.0000000000000001E-3</v>
      </c>
      <c r="G3" s="29">
        <f>IF(C2=1,IF(D2="BUY",E2+(ROUND(F2*G2/B2,0)*B2),E2-(ROUND(F2*G2/B2,0)*B2)),IF(D2="BUY",E2-(ROUND(F2*G2/B2,0)*B2),E2+(ROUND(F2*G2/B2,0)*B2)))</f>
        <v>1.10005</v>
      </c>
      <c r="H3" s="29">
        <f>IF(C2=1,IF(D2="BUY",G3-(ROUND(F2*H2/B2,0)*B2),G3+(ROUND(F2*H2/B2,0)*B2)),IF(D2="BUY",G3+(ROUND(F2*H2/B2,0)*B2),G3-(ROUND(F2*H2/B2,0)*B2)))</f>
        <v>1.10005</v>
      </c>
      <c r="I3" s="29">
        <f>IF(D2="BUY",G3+(ROUND(F2*I2/(B2*100),0)*B2),G3-(ROUND(F2*I2/(B2*100),0)*B2))</f>
        <v>1.10005</v>
      </c>
      <c r="J3" s="29">
        <f>IF(C2=1,IF(D2="BUY",E2+(ROUND(F2*J2/B2,0)*B2),E2-(ROUND(F2*J2/B2,0)*B2)),IF(D2="BUY",E2-(ROUND(F2*J2/B2,0)*B2),E2+(ROUND(F2*J2/B2,0)*B2)))</f>
        <v>1.0950500000000001</v>
      </c>
      <c r="K3" s="29">
        <f>IF(C2=1,IF(D2="BUY",E2-(ROUND(F2*K2/B2,0)*B2),E2+(ROUND(F2*K2/B2,0)*B2)),IF(D2="BUY",E2-(ROUND(F2*K2/B2,0)*B2),E2+(ROUND(F2*K2/B2,0)*B2)))</f>
        <v>1.0950500000000001</v>
      </c>
      <c r="L3" s="29">
        <f>IF(D3="BUY",I3+(R3*B3),I3-(R3*B3))</f>
        <v>1.1005499999999999</v>
      </c>
      <c r="M3" s="29">
        <f>IF(D2="BUY",E2+(ROUND(F2*M2/B2,0)*B2),E2-(ROUND(F2*M2/B2,0)*B2))</f>
        <v>1.1050499999999999</v>
      </c>
      <c r="N3" s="29">
        <f>IF(D2="BUY",E2-(ROUND(F2*N2/B2,0)*B2),E2+(ROUND(F2*N2/B2,0)*B2))</f>
        <v>1.0950500000000001</v>
      </c>
      <c r="O3" s="31">
        <f>IF(D3="BUY",N3-VLOOKUP(A3,Symbols!A$1:D$1000,4,FALSE),N3+VLOOKUP(A3,Symbols!A$1:D$1000,4,FALSE))</f>
        <v>1.09355</v>
      </c>
      <c r="P3" s="29">
        <f>P2</f>
        <v>1</v>
      </c>
      <c r="Q3" s="29">
        <f>Q2</f>
        <v>100</v>
      </c>
      <c r="R3" s="29">
        <f>R2</f>
        <v>10</v>
      </c>
      <c r="S3" s="29">
        <f>S2</f>
        <v>2</v>
      </c>
      <c r="T3" s="29">
        <f>T2</f>
        <v>1</v>
      </c>
      <c r="U3" s="29">
        <f>DATEDIF(DATE(1970,1,1),U2,"D")*86400</f>
        <v>1483660800</v>
      </c>
      <c r="V3" s="29">
        <f>HOUR(V2)*3600+MINUTE(V2)*60+SECOND(V2)</f>
        <v>26100</v>
      </c>
      <c r="W3" s="29">
        <f>DATEDIF(DATE(1970,1,1),W2,"D")*86400</f>
        <v>1502928000</v>
      </c>
      <c r="X3" s="29">
        <f>HOUR(X2)*3600+MINUTE(X2)*60+SECOND(X2)</f>
        <v>56400</v>
      </c>
      <c r="Y3" s="31">
        <f>(Y2*B3)</f>
        <v>1.4E-3</v>
      </c>
      <c r="Z3" s="29">
        <f>Z2</f>
        <v>1</v>
      </c>
      <c r="AA3" s="29">
        <f>DATEDIF(DATE(1970,1,1),AA2,"D")*86400</f>
        <v>1502928000</v>
      </c>
      <c r="AB3" s="29">
        <f>HOUR(AB2)*3600+MINUTE(AB2)*60+SECOND(AB2)</f>
        <v>56460</v>
      </c>
      <c r="AC3" s="29">
        <f>AC2</f>
        <v>1</v>
      </c>
    </row>
    <row r="4" spans="1:29">
      <c r="A4" s="23" t="str">
        <f>Parameters!A3</f>
        <v>6EM7</v>
      </c>
      <c r="B4" s="23">
        <f>Parameters!B3</f>
        <v>5.0000000000000002E-5</v>
      </c>
      <c r="C4" s="24">
        <f>Parameters!C3</f>
        <v>2</v>
      </c>
      <c r="D4" s="24" t="str">
        <f>Parameters!D3</f>
        <v>BUY</v>
      </c>
      <c r="E4" s="23">
        <f>Parameters!E3</f>
        <v>1.10005</v>
      </c>
      <c r="F4" s="23">
        <f>Parameters!F3</f>
        <v>5.0000000000000001E-3</v>
      </c>
      <c r="G4" s="25">
        <f>Parameters!G3</f>
        <v>0.01</v>
      </c>
      <c r="H4" s="25">
        <f>Parameters!H3</f>
        <v>0</v>
      </c>
      <c r="I4" s="25">
        <f>Parameters!I3</f>
        <v>0</v>
      </c>
      <c r="J4" s="25">
        <f>Parameters!J3</f>
        <v>1</v>
      </c>
      <c r="K4" s="25">
        <f>Parameters!K3</f>
        <v>1</v>
      </c>
      <c r="L4" s="26">
        <f t="shared" ref="L4" si="0">L5</f>
        <v>1.1004999999999998</v>
      </c>
      <c r="M4" s="25">
        <f>Parameters!L3</f>
        <v>1</v>
      </c>
      <c r="N4" s="25">
        <f>Parameters!M3</f>
        <v>1</v>
      </c>
      <c r="O4" s="26">
        <f t="shared" ref="O4" si="1">O5</f>
        <v>1.09355</v>
      </c>
      <c r="P4" s="23">
        <f>Parameters!N3</f>
        <v>1</v>
      </c>
      <c r="Q4" s="23">
        <f>Parameters!O3</f>
        <v>100</v>
      </c>
      <c r="R4" s="23">
        <f>Parameters!P3</f>
        <v>10</v>
      </c>
      <c r="S4" s="23">
        <f>Parameters!Q3</f>
        <v>2</v>
      </c>
      <c r="T4" s="23">
        <f>Parameters!R3</f>
        <v>1</v>
      </c>
      <c r="U4" s="27">
        <f>Parameters!S3</f>
        <v>42741</v>
      </c>
      <c r="V4" s="28">
        <f>Parameters!T3</f>
        <v>0.30208333333333331</v>
      </c>
      <c r="W4" s="27">
        <f>Parameters!U3</f>
        <v>42964</v>
      </c>
      <c r="X4" s="28">
        <f>Parameters!V3</f>
        <v>0.65277777777777779</v>
      </c>
      <c r="Y4" s="26">
        <f>Parameters!W3</f>
        <v>28</v>
      </c>
      <c r="Z4" s="23">
        <f>Parameters!X3</f>
        <v>1</v>
      </c>
      <c r="AA4" s="27">
        <f>Parameters!Y3</f>
        <v>42964</v>
      </c>
      <c r="AB4" s="28">
        <f>Parameters!Z3</f>
        <v>0.65347222222222223</v>
      </c>
      <c r="AC4" s="23">
        <f>Parameters!AA3</f>
        <v>1</v>
      </c>
    </row>
    <row r="5" spans="1:29">
      <c r="A5" s="29" t="str">
        <f>UPPER(A4)</f>
        <v>6EM7</v>
      </c>
      <c r="B5" s="29">
        <f>B4</f>
        <v>5.0000000000000002E-5</v>
      </c>
      <c r="C5" s="30">
        <f>C4</f>
        <v>2</v>
      </c>
      <c r="D5" s="30" t="str">
        <f>D4</f>
        <v>BUY</v>
      </c>
      <c r="E5" s="29">
        <f>E4</f>
        <v>1.10005</v>
      </c>
      <c r="F5" s="29">
        <f>F4</f>
        <v>5.0000000000000001E-3</v>
      </c>
      <c r="G5" s="29">
        <f>IF(C4=1,IF(D4="BUY",E4+(ROUND(F4*G4/B4,0)*B4),E4-(ROUND(F4*G4/B4,0)*B4)),IF(D4="BUY",E4-(ROUND(F4*G4/B4,0)*B4),E4+(ROUND(F4*G4/B4,0)*B4)))</f>
        <v>1.0999999999999999</v>
      </c>
      <c r="H5" s="29">
        <f>IF(C4=1,IF(D4="BUY",G5-(ROUND(F4*H4/B4,0)*B4),G5+(ROUND(F4*H4/B4,0)*B4)),IF(D4="BUY",G5+(ROUND(F4*H4/B4,0)*B4),G5-(ROUND(F4*H4/B4,0)*B4)))</f>
        <v>1.0999999999999999</v>
      </c>
      <c r="I5" s="29">
        <f>IF(D4="BUY",G5+(ROUND(F4*I4/(B4*100),0)*B4),G5-(ROUND(F4*I4/(B4*100),0)*B4))</f>
        <v>1.0999999999999999</v>
      </c>
      <c r="J5" s="29">
        <f>IF(C4=1,IF(D4="BUY",E4+(ROUND(F4*J4/B4,0)*B4),E4-(ROUND(F4*J4/B4,0)*B4)),IF(D4="BUY",E4-(ROUND(F4*J4/B4,0)*B4),E4+(ROUND(F4*J4/B4,0)*B4)))</f>
        <v>1.0950500000000001</v>
      </c>
      <c r="K5" s="29">
        <f>IF(C4=1,IF(D4="BUY",E4-(ROUND(F4*K4/B4,0)*B4),E4+(ROUND(F4*K4/B4,0)*B4)),IF(D4="BUY",E4-(ROUND(F4*K4/B4,0)*B4),E4+(ROUND(F4*K4/B4,0)*B4)))</f>
        <v>1.0950500000000001</v>
      </c>
      <c r="L5" s="29">
        <f t="shared" ref="L5" si="2">IF(D5="BUY",I5+(R5*B5),I5-(R5*B5))</f>
        <v>1.1004999999999998</v>
      </c>
      <c r="M5" s="29">
        <f>IF(D4="BUY",E4+(ROUND(F4*M4/B4,0)*B4),E4-(ROUND(F4*M4/B4,0)*B4))</f>
        <v>1.1050499999999999</v>
      </c>
      <c r="N5" s="29">
        <f>IF(D4="BUY",E4-(ROUND(F4*N4/B4,0)*B4),E4+(ROUND(F4*N4/B4,0)*B4))</f>
        <v>1.0950500000000001</v>
      </c>
      <c r="O5" s="31">
        <f>IF(D5="BUY",N5-VLOOKUP(A5,Symbols!A$1:D$1000,4,FALSE),N5+VLOOKUP(A5,Symbols!A$1:D$1000,4,FALSE))</f>
        <v>1.09355</v>
      </c>
      <c r="P5" s="29">
        <f>P4</f>
        <v>1</v>
      </c>
      <c r="Q5" s="29">
        <f>Q4</f>
        <v>100</v>
      </c>
      <c r="R5" s="29">
        <f>R4</f>
        <v>10</v>
      </c>
      <c r="S5" s="29">
        <f>S4</f>
        <v>2</v>
      </c>
      <c r="T5" s="29">
        <f>T4</f>
        <v>1</v>
      </c>
      <c r="U5" s="29">
        <f>DATEDIF(DATE(1970,1,1),U4,"D")*86400</f>
        <v>1483660800</v>
      </c>
      <c r="V5" s="29">
        <f>HOUR(V4)*3600+MINUTE(V4)*60+SECOND(V4)</f>
        <v>26100</v>
      </c>
      <c r="W5" s="29">
        <f>DATEDIF(DATE(1970,1,1),W4,"D")*86400</f>
        <v>1502928000</v>
      </c>
      <c r="X5" s="29">
        <f>HOUR(X4)*3600+MINUTE(X4)*60+SECOND(X4)</f>
        <v>56400</v>
      </c>
      <c r="Y5" s="31">
        <f>(Y4*B5)</f>
        <v>1.4E-3</v>
      </c>
      <c r="Z5" s="29">
        <f>Z4</f>
        <v>1</v>
      </c>
      <c r="AA5" s="29">
        <f>DATEDIF(DATE(1970,1,1),AA4,"D")*86400</f>
        <v>1502928000</v>
      </c>
      <c r="AB5" s="29">
        <f>HOUR(AB4)*3600+MINUTE(AB4)*60+SECOND(AB4)</f>
        <v>56460</v>
      </c>
      <c r="AC5" s="29">
        <f>AC4</f>
        <v>1</v>
      </c>
    </row>
    <row r="6" spans="1:29">
      <c r="A6" s="23" t="str">
        <f>Parameters!A4</f>
        <v>6EM7</v>
      </c>
      <c r="B6" s="23">
        <f>Parameters!B4</f>
        <v>5.0000000000000002E-5</v>
      </c>
      <c r="C6" s="24">
        <f>Parameters!C4</f>
        <v>2</v>
      </c>
      <c r="D6" s="24" t="str">
        <f>Parameters!D4</f>
        <v>BUY</v>
      </c>
      <c r="E6" s="23">
        <f>Parameters!E4</f>
        <v>1.10005</v>
      </c>
      <c r="F6" s="23">
        <f>Parameters!F4</f>
        <v>5.0000000000000001E-3</v>
      </c>
      <c r="G6" s="25">
        <f>Parameters!G4</f>
        <v>0.02</v>
      </c>
      <c r="H6" s="25">
        <f>Parameters!H4</f>
        <v>0</v>
      </c>
      <c r="I6" s="25">
        <f>Parameters!I4</f>
        <v>0</v>
      </c>
      <c r="J6" s="25">
        <f>Parameters!J4</f>
        <v>1</v>
      </c>
      <c r="K6" s="25">
        <f>Parameters!K4</f>
        <v>1</v>
      </c>
      <c r="L6" s="26">
        <f t="shared" ref="L6" si="3">L7</f>
        <v>1.1004499999999999</v>
      </c>
      <c r="M6" s="25">
        <f>Parameters!L4</f>
        <v>1</v>
      </c>
      <c r="N6" s="25">
        <f>Parameters!M4</f>
        <v>1</v>
      </c>
      <c r="O6" s="26">
        <f t="shared" ref="O6" si="4">O7</f>
        <v>1.09355</v>
      </c>
      <c r="P6" s="23">
        <f>Parameters!N4</f>
        <v>1</v>
      </c>
      <c r="Q6" s="23">
        <f>Parameters!O4</f>
        <v>100</v>
      </c>
      <c r="R6" s="23">
        <f>Parameters!P4</f>
        <v>10</v>
      </c>
      <c r="S6" s="23">
        <f>Parameters!Q4</f>
        <v>2</v>
      </c>
      <c r="T6" s="23">
        <f>Parameters!R4</f>
        <v>1</v>
      </c>
      <c r="U6" s="27">
        <f>Parameters!S4</f>
        <v>42741</v>
      </c>
      <c r="V6" s="28">
        <f>Parameters!T4</f>
        <v>0.30208333333333331</v>
      </c>
      <c r="W6" s="27">
        <f>Parameters!U4</f>
        <v>42964</v>
      </c>
      <c r="X6" s="28">
        <f>Parameters!V4</f>
        <v>0.65277777777777779</v>
      </c>
      <c r="Y6" s="26">
        <f>Parameters!W4</f>
        <v>28</v>
      </c>
      <c r="Z6" s="23">
        <f>Parameters!X4</f>
        <v>1</v>
      </c>
      <c r="AA6" s="27">
        <f>Parameters!Y4</f>
        <v>42964</v>
      </c>
      <c r="AB6" s="28">
        <f>Parameters!Z4</f>
        <v>0.65347222222222223</v>
      </c>
      <c r="AC6" s="23">
        <f>Parameters!AA4</f>
        <v>1</v>
      </c>
    </row>
    <row r="7" spans="1:29">
      <c r="A7" s="29" t="str">
        <f>UPPER(A6)</f>
        <v>6EM7</v>
      </c>
      <c r="B7" s="29">
        <f>B6</f>
        <v>5.0000000000000002E-5</v>
      </c>
      <c r="C7" s="30">
        <f>C6</f>
        <v>2</v>
      </c>
      <c r="D7" s="30" t="str">
        <f>D6</f>
        <v>BUY</v>
      </c>
      <c r="E7" s="29">
        <f>E6</f>
        <v>1.10005</v>
      </c>
      <c r="F7" s="29">
        <f>F6</f>
        <v>5.0000000000000001E-3</v>
      </c>
      <c r="G7" s="29">
        <f>IF(C6=1,IF(D6="BUY",E6+(ROUND(F6*G6/B6,0)*B6),E6-(ROUND(F6*G6/B6,0)*B6)),IF(D6="BUY",E6-(ROUND(F6*G6/B6,0)*B6),E6+(ROUND(F6*G6/B6,0)*B6)))</f>
        <v>1.09995</v>
      </c>
      <c r="H7" s="29">
        <f>IF(C6=1,IF(D6="BUY",G7-(ROUND(F6*H6/B6,0)*B6),G7+(ROUND(F6*H6/B6,0)*B6)),IF(D6="BUY",G7+(ROUND(F6*H6/B6,0)*B6),G7-(ROUND(F6*H6/B6,0)*B6)))</f>
        <v>1.09995</v>
      </c>
      <c r="I7" s="29">
        <f>IF(D6="BUY",G7+(ROUND(F6*I6/(B6*100),0)*B6),G7-(ROUND(F6*I6/(B6*100),0)*B6))</f>
        <v>1.09995</v>
      </c>
      <c r="J7" s="29">
        <f>IF(C6=1,IF(D6="BUY",E6+(ROUND(F6*J6/B6,0)*B6),E6-(ROUND(F6*J6/B6,0)*B6)),IF(D6="BUY",E6-(ROUND(F6*J6/B6,0)*B6),E6+(ROUND(F6*J6/B6,0)*B6)))</f>
        <v>1.0950500000000001</v>
      </c>
      <c r="K7" s="29">
        <f>IF(C6=1,IF(D6="BUY",E6-(ROUND(F6*K6/B6,0)*B6),E6+(ROUND(F6*K6/B6,0)*B6)),IF(D6="BUY",E6-(ROUND(F6*K6/B6,0)*B6),E6+(ROUND(F6*K6/B6,0)*B6)))</f>
        <v>1.0950500000000001</v>
      </c>
      <c r="L7" s="29">
        <f t="shared" ref="L7" si="5">IF(D7="BUY",I7+(R7*B7),I7-(R7*B7))</f>
        <v>1.1004499999999999</v>
      </c>
      <c r="M7" s="29">
        <f>IF(D6="BUY",E6+(ROUND(F6*M6/B6,0)*B6),E6-(ROUND(F6*M6/B6,0)*B6))</f>
        <v>1.1050499999999999</v>
      </c>
      <c r="N7" s="29">
        <f>IF(D6="BUY",E6-(ROUND(F6*N6/B6,0)*B6),E6+(ROUND(F6*N6/B6,0)*B6))</f>
        <v>1.0950500000000001</v>
      </c>
      <c r="O7" s="31">
        <f>IF(D7="BUY",N7-VLOOKUP(A7,Symbols!A$1:D$1000,4,FALSE),N7+VLOOKUP(A7,Symbols!A$1:D$1000,4,FALSE))</f>
        <v>1.09355</v>
      </c>
      <c r="P7" s="29">
        <f>P6</f>
        <v>1</v>
      </c>
      <c r="Q7" s="29">
        <f>Q6</f>
        <v>100</v>
      </c>
      <c r="R7" s="29">
        <f>R6</f>
        <v>10</v>
      </c>
      <c r="S7" s="29">
        <f>S6</f>
        <v>2</v>
      </c>
      <c r="T7" s="29">
        <f>T6</f>
        <v>1</v>
      </c>
      <c r="U7" s="29">
        <f>DATEDIF(DATE(1970,1,1),U6,"D")*86400</f>
        <v>1483660800</v>
      </c>
      <c r="V7" s="29">
        <f>HOUR(V6)*3600+MINUTE(V6)*60+SECOND(V6)</f>
        <v>26100</v>
      </c>
      <c r="W7" s="29">
        <f>DATEDIF(DATE(1970,1,1),W6,"D")*86400</f>
        <v>1502928000</v>
      </c>
      <c r="X7" s="29">
        <f>HOUR(X6)*3600+MINUTE(X6)*60+SECOND(X6)</f>
        <v>56400</v>
      </c>
      <c r="Y7" s="31">
        <f>(Y6*B7)</f>
        <v>1.4E-3</v>
      </c>
      <c r="Z7" s="29">
        <f>Z6</f>
        <v>1</v>
      </c>
      <c r="AA7" s="29">
        <f>DATEDIF(DATE(1970,1,1),AA6,"D")*86400</f>
        <v>1502928000</v>
      </c>
      <c r="AB7" s="29">
        <f>HOUR(AB6)*3600+MINUTE(AB6)*60+SECOND(AB6)</f>
        <v>56460</v>
      </c>
      <c r="AC7" s="29">
        <f>AC6</f>
        <v>1</v>
      </c>
    </row>
    <row r="8" spans="1:29">
      <c r="A8" s="23" t="str">
        <f>Parameters!A5</f>
        <v>6EM7</v>
      </c>
      <c r="B8" s="23">
        <f>Parameters!B5</f>
        <v>5.0000000000000002E-5</v>
      </c>
      <c r="C8" s="24">
        <f>Parameters!C5</f>
        <v>2</v>
      </c>
      <c r="D8" s="24" t="str">
        <f>Parameters!D5</f>
        <v>BUY</v>
      </c>
      <c r="E8" s="23">
        <f>Parameters!E5</f>
        <v>1.10005</v>
      </c>
      <c r="F8" s="23">
        <f>Parameters!F5</f>
        <v>5.0000000000000001E-3</v>
      </c>
      <c r="G8" s="25">
        <f>Parameters!G5</f>
        <v>0.03</v>
      </c>
      <c r="H8" s="25">
        <f>Parameters!H5</f>
        <v>0</v>
      </c>
      <c r="I8" s="25">
        <f>Parameters!I5</f>
        <v>0</v>
      </c>
      <c r="J8" s="25">
        <f>Parameters!J5</f>
        <v>1</v>
      </c>
      <c r="K8" s="25">
        <f>Parameters!K5</f>
        <v>1</v>
      </c>
      <c r="L8" s="26">
        <f t="shared" ref="L8" si="6">L9</f>
        <v>1.1003999999999998</v>
      </c>
      <c r="M8" s="25">
        <f>Parameters!L5</f>
        <v>1</v>
      </c>
      <c r="N8" s="25">
        <f>Parameters!M5</f>
        <v>1</v>
      </c>
      <c r="O8" s="26">
        <f t="shared" ref="O8" si="7">O9</f>
        <v>1.09355</v>
      </c>
      <c r="P8" s="23">
        <f>Parameters!N5</f>
        <v>1</v>
      </c>
      <c r="Q8" s="23">
        <f>Parameters!O5</f>
        <v>100</v>
      </c>
      <c r="R8" s="23">
        <f>Parameters!P5</f>
        <v>10</v>
      </c>
      <c r="S8" s="23">
        <f>Parameters!Q5</f>
        <v>2</v>
      </c>
      <c r="T8" s="23">
        <f>Parameters!R5</f>
        <v>1</v>
      </c>
      <c r="U8" s="27">
        <f>Parameters!S5</f>
        <v>42741</v>
      </c>
      <c r="V8" s="28">
        <f>Parameters!T5</f>
        <v>0.30208333333333331</v>
      </c>
      <c r="W8" s="27">
        <f>Parameters!U5</f>
        <v>42964</v>
      </c>
      <c r="X8" s="28">
        <f>Parameters!V5</f>
        <v>0.65277777777777779</v>
      </c>
      <c r="Y8" s="26">
        <f>Parameters!W5</f>
        <v>28</v>
      </c>
      <c r="Z8" s="23">
        <f>Parameters!X5</f>
        <v>1</v>
      </c>
      <c r="AA8" s="27">
        <f>Parameters!Y5</f>
        <v>42964</v>
      </c>
      <c r="AB8" s="28">
        <f>Parameters!Z5</f>
        <v>0.65347222222222223</v>
      </c>
      <c r="AC8" s="23">
        <f>Parameters!AA5</f>
        <v>1</v>
      </c>
    </row>
    <row r="9" spans="1:29">
      <c r="A9" s="29" t="str">
        <f>UPPER(A8)</f>
        <v>6EM7</v>
      </c>
      <c r="B9" s="29">
        <f>B8</f>
        <v>5.0000000000000002E-5</v>
      </c>
      <c r="C9" s="30">
        <f>C8</f>
        <v>2</v>
      </c>
      <c r="D9" s="30" t="str">
        <f>D8</f>
        <v>BUY</v>
      </c>
      <c r="E9" s="29">
        <f>E8</f>
        <v>1.10005</v>
      </c>
      <c r="F9" s="29">
        <f>F8</f>
        <v>5.0000000000000001E-3</v>
      </c>
      <c r="G9" s="29">
        <f>IF(C8=1,IF(D8="BUY",E8+(ROUND(F8*G8/B8,0)*B8),E8-(ROUND(F8*G8/B8,0)*B8)),IF(D8="BUY",E8-(ROUND(F8*G8/B8,0)*B8),E8+(ROUND(F8*G8/B8,0)*B8)))</f>
        <v>1.0998999999999999</v>
      </c>
      <c r="H9" s="29">
        <f>IF(C8=1,IF(D8="BUY",G9-(ROUND(F8*H8/B8,0)*B8),G9+(ROUND(F8*H8/B8,0)*B8)),IF(D8="BUY",G9+(ROUND(F8*H8/B8,0)*B8),G9-(ROUND(F8*H8/B8,0)*B8)))</f>
        <v>1.0998999999999999</v>
      </c>
      <c r="I9" s="29">
        <f>IF(D8="BUY",G9+(ROUND(F8*I8/(B8*100),0)*B8),G9-(ROUND(F8*I8/(B8*100),0)*B8))</f>
        <v>1.0998999999999999</v>
      </c>
      <c r="J9" s="29">
        <f>IF(C8=1,IF(D8="BUY",E8+(ROUND(F8*J8/B8,0)*B8),E8-(ROUND(F8*J8/B8,0)*B8)),IF(D8="BUY",E8-(ROUND(F8*J8/B8,0)*B8),E8+(ROUND(F8*J8/B8,0)*B8)))</f>
        <v>1.0950500000000001</v>
      </c>
      <c r="K9" s="29">
        <f>IF(C8=1,IF(D8="BUY",E8-(ROUND(F8*K8/B8,0)*B8),E8+(ROUND(F8*K8/B8,0)*B8)),IF(D8="BUY",E8-(ROUND(F8*K8/B8,0)*B8),E8+(ROUND(F8*K8/B8,0)*B8)))</f>
        <v>1.0950500000000001</v>
      </c>
      <c r="L9" s="29">
        <f t="shared" ref="L9" si="8">IF(D9="BUY",I9+(R9*B9),I9-(R9*B9))</f>
        <v>1.1003999999999998</v>
      </c>
      <c r="M9" s="29">
        <f>IF(D8="BUY",E8+(ROUND(F8*M8/B8,0)*B8),E8-(ROUND(F8*M8/B8,0)*B8))</f>
        <v>1.1050499999999999</v>
      </c>
      <c r="N9" s="29">
        <f>IF(D8="BUY",E8-(ROUND(F8*N8/B8,0)*B8),E8+(ROUND(F8*N8/B8,0)*B8))</f>
        <v>1.0950500000000001</v>
      </c>
      <c r="O9" s="31">
        <f>IF(D9="BUY",N9-VLOOKUP(A9,Symbols!A$1:D$1000,4,FALSE),N9+VLOOKUP(A9,Symbols!A$1:D$1000,4,FALSE))</f>
        <v>1.09355</v>
      </c>
      <c r="P9" s="29">
        <f>P8</f>
        <v>1</v>
      </c>
      <c r="Q9" s="29">
        <f>Q8</f>
        <v>100</v>
      </c>
      <c r="R9" s="29">
        <f>R8</f>
        <v>10</v>
      </c>
      <c r="S9" s="29">
        <f>S8</f>
        <v>2</v>
      </c>
      <c r="T9" s="29">
        <f>T8</f>
        <v>1</v>
      </c>
      <c r="U9" s="29">
        <f>DATEDIF(DATE(1970,1,1),U8,"D")*86400</f>
        <v>1483660800</v>
      </c>
      <c r="V9" s="29">
        <f>HOUR(V8)*3600+MINUTE(V8)*60+SECOND(V8)</f>
        <v>26100</v>
      </c>
      <c r="W9" s="29">
        <f>DATEDIF(DATE(1970,1,1),W8,"D")*86400</f>
        <v>1502928000</v>
      </c>
      <c r="X9" s="29">
        <f>HOUR(X8)*3600+MINUTE(X8)*60+SECOND(X8)</f>
        <v>56400</v>
      </c>
      <c r="Y9" s="31">
        <f>(Y8*B9)</f>
        <v>1.4E-3</v>
      </c>
      <c r="Z9" s="29">
        <f>Z8</f>
        <v>1</v>
      </c>
      <c r="AA9" s="29">
        <f>DATEDIF(DATE(1970,1,1),AA8,"D")*86400</f>
        <v>1502928000</v>
      </c>
      <c r="AB9" s="29">
        <f>HOUR(AB8)*3600+MINUTE(AB8)*60+SECOND(AB8)</f>
        <v>56460</v>
      </c>
      <c r="AC9" s="29">
        <f>AC8</f>
        <v>1</v>
      </c>
    </row>
    <row r="10" spans="1:29">
      <c r="A10" s="23" t="str">
        <f>Parameters!A6</f>
        <v>6EM7</v>
      </c>
      <c r="B10" s="23">
        <f>Parameters!B6</f>
        <v>5.0000000000000002E-5</v>
      </c>
      <c r="C10" s="24">
        <f>Parameters!C6</f>
        <v>2</v>
      </c>
      <c r="D10" s="24" t="str">
        <f>Parameters!D6</f>
        <v>BUY</v>
      </c>
      <c r="E10" s="23">
        <f>Parameters!E6</f>
        <v>1.10005</v>
      </c>
      <c r="F10" s="23">
        <f>Parameters!F6</f>
        <v>5.0000000000000001E-3</v>
      </c>
      <c r="G10" s="25">
        <f>Parameters!G6</f>
        <v>0.04</v>
      </c>
      <c r="H10" s="25">
        <f>Parameters!H6</f>
        <v>0</v>
      </c>
      <c r="I10" s="25">
        <f>Parameters!I6</f>
        <v>0</v>
      </c>
      <c r="J10" s="25">
        <f>Parameters!J6</f>
        <v>1</v>
      </c>
      <c r="K10" s="25">
        <f>Parameters!K6</f>
        <v>1</v>
      </c>
      <c r="L10" s="26">
        <f t="shared" ref="L10" si="9">L11</f>
        <v>1.1003499999999999</v>
      </c>
      <c r="M10" s="25">
        <f>Parameters!L6</f>
        <v>1</v>
      </c>
      <c r="N10" s="25">
        <f>Parameters!M6</f>
        <v>1</v>
      </c>
      <c r="O10" s="26">
        <f t="shared" ref="O10" si="10">O11</f>
        <v>1.09355</v>
      </c>
      <c r="P10" s="23">
        <f>Parameters!N6</f>
        <v>1</v>
      </c>
      <c r="Q10" s="23">
        <f>Parameters!O6</f>
        <v>100</v>
      </c>
      <c r="R10" s="23">
        <f>Parameters!P6</f>
        <v>10</v>
      </c>
      <c r="S10" s="23">
        <f>Parameters!Q6</f>
        <v>2</v>
      </c>
      <c r="T10" s="23">
        <f>Parameters!R6</f>
        <v>1</v>
      </c>
      <c r="U10" s="27">
        <f>Parameters!S6</f>
        <v>42741</v>
      </c>
      <c r="V10" s="28">
        <f>Parameters!T6</f>
        <v>0.30208333333333331</v>
      </c>
      <c r="W10" s="27">
        <f>Parameters!U6</f>
        <v>42964</v>
      </c>
      <c r="X10" s="28">
        <f>Parameters!V6</f>
        <v>0.65277777777777779</v>
      </c>
      <c r="Y10" s="26">
        <f>Parameters!W6</f>
        <v>28</v>
      </c>
      <c r="Z10" s="23">
        <f>Parameters!X6</f>
        <v>1</v>
      </c>
      <c r="AA10" s="27">
        <f>Parameters!Y6</f>
        <v>42964</v>
      </c>
      <c r="AB10" s="28">
        <f>Parameters!Z6</f>
        <v>0.65347222222222223</v>
      </c>
      <c r="AC10" s="23">
        <f>Parameters!AA6</f>
        <v>1</v>
      </c>
    </row>
    <row r="11" spans="1:29">
      <c r="A11" s="29" t="str">
        <f>UPPER(A10)</f>
        <v>6EM7</v>
      </c>
      <c r="B11" s="29">
        <f>B10</f>
        <v>5.0000000000000002E-5</v>
      </c>
      <c r="C11" s="30">
        <f>C10</f>
        <v>2</v>
      </c>
      <c r="D11" s="30" t="str">
        <f>D10</f>
        <v>BUY</v>
      </c>
      <c r="E11" s="29">
        <f>E10</f>
        <v>1.10005</v>
      </c>
      <c r="F11" s="29">
        <f>F10</f>
        <v>5.0000000000000001E-3</v>
      </c>
      <c r="G11" s="29">
        <f>IF(C10=1,IF(D10="BUY",E10+(ROUND(F10*G10/B10,0)*B10),E10-(ROUND(F10*G10/B10,0)*B10)),IF(D10="BUY",E10-(ROUND(F10*G10/B10,0)*B10),E10+(ROUND(F10*G10/B10,0)*B10)))</f>
        <v>1.09985</v>
      </c>
      <c r="H11" s="29">
        <f>IF(C10=1,IF(D10="BUY",G11-(ROUND(F10*H10/B10,0)*B10),G11+(ROUND(F10*H10/B10,0)*B10)),IF(D10="BUY",G11+(ROUND(F10*H10/B10,0)*B10),G11-(ROUND(F10*H10/B10,0)*B10)))</f>
        <v>1.09985</v>
      </c>
      <c r="I11" s="29">
        <f>IF(D10="BUY",G11+(ROUND(F10*I10/(B10*100),0)*B10),G11-(ROUND(F10*I10/(B10*100),0)*B10))</f>
        <v>1.09985</v>
      </c>
      <c r="J11" s="29">
        <f>IF(C10=1,IF(D10="BUY",E10+(ROUND(F10*J10/B10,0)*B10),E10-(ROUND(F10*J10/B10,0)*B10)),IF(D10="BUY",E10-(ROUND(F10*J10/B10,0)*B10),E10+(ROUND(F10*J10/B10,0)*B10)))</f>
        <v>1.0950500000000001</v>
      </c>
      <c r="K11" s="29">
        <f>IF(C10=1,IF(D10="BUY",E10-(ROUND(F10*K10/B10,0)*B10),E10+(ROUND(F10*K10/B10,0)*B10)),IF(D10="BUY",E10-(ROUND(F10*K10/B10,0)*B10),E10+(ROUND(F10*K10/B10,0)*B10)))</f>
        <v>1.0950500000000001</v>
      </c>
      <c r="L11" s="29">
        <f t="shared" ref="L11" si="11">IF(D11="BUY",I11+(R11*B11),I11-(R11*B11))</f>
        <v>1.1003499999999999</v>
      </c>
      <c r="M11" s="29">
        <f>IF(D10="BUY",E10+(ROUND(F10*M10/B10,0)*B10),E10-(ROUND(F10*M10/B10,0)*B10))</f>
        <v>1.1050499999999999</v>
      </c>
      <c r="N11" s="29">
        <f>IF(D10="BUY",E10-(ROUND(F10*N10/B10,0)*B10),E10+(ROUND(F10*N10/B10,0)*B10))</f>
        <v>1.0950500000000001</v>
      </c>
      <c r="O11" s="31">
        <f>IF(D11="BUY",N11-VLOOKUP(A11,Symbols!A$1:D$1000,4,FALSE),N11+VLOOKUP(A11,Symbols!A$1:D$1000,4,FALSE))</f>
        <v>1.09355</v>
      </c>
      <c r="P11" s="29">
        <f>P10</f>
        <v>1</v>
      </c>
      <c r="Q11" s="29">
        <f>Q10</f>
        <v>100</v>
      </c>
      <c r="R11" s="29">
        <f>R10</f>
        <v>10</v>
      </c>
      <c r="S11" s="29">
        <f>S10</f>
        <v>2</v>
      </c>
      <c r="T11" s="29">
        <f>T10</f>
        <v>1</v>
      </c>
      <c r="U11" s="29">
        <f>DATEDIF(DATE(1970,1,1),U10,"D")*86400</f>
        <v>1483660800</v>
      </c>
      <c r="V11" s="29">
        <f>HOUR(V10)*3600+MINUTE(V10)*60+SECOND(V10)</f>
        <v>26100</v>
      </c>
      <c r="W11" s="29">
        <f>DATEDIF(DATE(1970,1,1),W10,"D")*86400</f>
        <v>1502928000</v>
      </c>
      <c r="X11" s="29">
        <f>HOUR(X10)*3600+MINUTE(X10)*60+SECOND(X10)</f>
        <v>56400</v>
      </c>
      <c r="Y11" s="31">
        <f>(Y10*B11)</f>
        <v>1.4E-3</v>
      </c>
      <c r="Z11" s="29">
        <f>Z10</f>
        <v>1</v>
      </c>
      <c r="AA11" s="29">
        <f>DATEDIF(DATE(1970,1,1),AA10,"D")*86400</f>
        <v>1502928000</v>
      </c>
      <c r="AB11" s="29">
        <f>HOUR(AB10)*3600+MINUTE(AB10)*60+SECOND(AB10)</f>
        <v>56460</v>
      </c>
      <c r="AC11" s="29">
        <f>AC10</f>
        <v>1</v>
      </c>
    </row>
    <row r="12" spans="1:29">
      <c r="A12" s="23" t="str">
        <f>Parameters!A7</f>
        <v>6EM7</v>
      </c>
      <c r="B12" s="23">
        <f>Parameters!B7</f>
        <v>5.0000000000000002E-5</v>
      </c>
      <c r="C12" s="24">
        <f>Parameters!C7</f>
        <v>2</v>
      </c>
      <c r="D12" s="24" t="str">
        <f>Parameters!D7</f>
        <v>BUY</v>
      </c>
      <c r="E12" s="23">
        <f>Parameters!E7</f>
        <v>1.10005</v>
      </c>
      <c r="F12" s="23">
        <f>Parameters!F7</f>
        <v>5.0000000000000001E-3</v>
      </c>
      <c r="G12" s="25">
        <f>Parameters!G7</f>
        <v>0.05</v>
      </c>
      <c r="H12" s="25">
        <f>Parameters!H7</f>
        <v>0</v>
      </c>
      <c r="I12" s="25">
        <f>Parameters!I7</f>
        <v>0</v>
      </c>
      <c r="J12" s="25">
        <f>Parameters!J7</f>
        <v>1</v>
      </c>
      <c r="K12" s="25">
        <f>Parameters!K7</f>
        <v>1</v>
      </c>
      <c r="L12" s="26">
        <f t="shared" ref="L12" si="12">L13</f>
        <v>1.1002999999999998</v>
      </c>
      <c r="M12" s="25">
        <f>Parameters!L7</f>
        <v>1</v>
      </c>
      <c r="N12" s="25">
        <f>Parameters!M7</f>
        <v>1</v>
      </c>
      <c r="O12" s="26">
        <f t="shared" ref="O12" si="13">O13</f>
        <v>1.09355</v>
      </c>
      <c r="P12" s="23">
        <f>Parameters!N7</f>
        <v>1</v>
      </c>
      <c r="Q12" s="23">
        <f>Parameters!O7</f>
        <v>100</v>
      </c>
      <c r="R12" s="23">
        <f>Parameters!P7</f>
        <v>10</v>
      </c>
      <c r="S12" s="23">
        <f>Parameters!Q7</f>
        <v>2</v>
      </c>
      <c r="T12" s="23">
        <f>Parameters!R7</f>
        <v>1</v>
      </c>
      <c r="U12" s="27">
        <f>Parameters!S7</f>
        <v>42741</v>
      </c>
      <c r="V12" s="28">
        <f>Parameters!T7</f>
        <v>0.30208333333333331</v>
      </c>
      <c r="W12" s="27">
        <f>Parameters!U7</f>
        <v>42964</v>
      </c>
      <c r="X12" s="28">
        <f>Parameters!V7</f>
        <v>0.65277777777777779</v>
      </c>
      <c r="Y12" s="26">
        <f>Parameters!W7</f>
        <v>28</v>
      </c>
      <c r="Z12" s="23">
        <f>Parameters!X7</f>
        <v>1</v>
      </c>
      <c r="AA12" s="27">
        <f>Parameters!Y7</f>
        <v>42964</v>
      </c>
      <c r="AB12" s="28">
        <f>Parameters!Z7</f>
        <v>0.65347222222222223</v>
      </c>
      <c r="AC12" s="23">
        <f>Parameters!AA7</f>
        <v>1</v>
      </c>
    </row>
    <row r="13" spans="1:29">
      <c r="A13" s="29" t="str">
        <f>UPPER(A12)</f>
        <v>6EM7</v>
      </c>
      <c r="B13" s="29">
        <f>B12</f>
        <v>5.0000000000000002E-5</v>
      </c>
      <c r="C13" s="30">
        <f>C12</f>
        <v>2</v>
      </c>
      <c r="D13" s="30" t="str">
        <f>D12</f>
        <v>BUY</v>
      </c>
      <c r="E13" s="29">
        <f>E12</f>
        <v>1.10005</v>
      </c>
      <c r="F13" s="29">
        <f>F12</f>
        <v>5.0000000000000001E-3</v>
      </c>
      <c r="G13" s="29">
        <f>IF(C12=1,IF(D12="BUY",E12+(ROUND(F12*G12/B12,0)*B12),E12-(ROUND(F12*G12/B12,0)*B12)),IF(D12="BUY",E12-(ROUND(F12*G12/B12,0)*B12),E12+(ROUND(F12*G12/B12,0)*B12)))</f>
        <v>1.0997999999999999</v>
      </c>
      <c r="H13" s="29">
        <f>IF(C12=1,IF(D12="BUY",G13-(ROUND(F12*H12/B12,0)*B12),G13+(ROUND(F12*H12/B12,0)*B12)),IF(D12="BUY",G13+(ROUND(F12*H12/B12,0)*B12),G13-(ROUND(F12*H12/B12,0)*B12)))</f>
        <v>1.0997999999999999</v>
      </c>
      <c r="I13" s="29">
        <f>IF(D12="BUY",G13+(ROUND(F12*I12/(B12*100),0)*B12),G13-(ROUND(F12*I12/(B12*100),0)*B12))</f>
        <v>1.0997999999999999</v>
      </c>
      <c r="J13" s="29">
        <f>IF(C12=1,IF(D12="BUY",E12+(ROUND(F12*J12/B12,0)*B12),E12-(ROUND(F12*J12/B12,0)*B12)),IF(D12="BUY",E12-(ROUND(F12*J12/B12,0)*B12),E12+(ROUND(F12*J12/B12,0)*B12)))</f>
        <v>1.0950500000000001</v>
      </c>
      <c r="K13" s="29">
        <f>IF(C12=1,IF(D12="BUY",E12-(ROUND(F12*K12/B12,0)*B12),E12+(ROUND(F12*K12/B12,0)*B12)),IF(D12="BUY",E12-(ROUND(F12*K12/B12,0)*B12),E12+(ROUND(F12*K12/B12,0)*B12)))</f>
        <v>1.0950500000000001</v>
      </c>
      <c r="L13" s="29">
        <f t="shared" ref="L13" si="14">IF(D13="BUY",I13+(R13*B13),I13-(R13*B13))</f>
        <v>1.1002999999999998</v>
      </c>
      <c r="M13" s="29">
        <f>IF(D12="BUY",E12+(ROUND(F12*M12/B12,0)*B12),E12-(ROUND(F12*M12/B12,0)*B12))</f>
        <v>1.1050499999999999</v>
      </c>
      <c r="N13" s="29">
        <f>IF(D12="BUY",E12-(ROUND(F12*N12/B12,0)*B12),E12+(ROUND(F12*N12/B12,0)*B12))</f>
        <v>1.0950500000000001</v>
      </c>
      <c r="O13" s="31">
        <f>IF(D13="BUY",N13-VLOOKUP(A13,Symbols!A$1:D$1000,4,FALSE),N13+VLOOKUP(A13,Symbols!A$1:D$1000,4,FALSE))</f>
        <v>1.09355</v>
      </c>
      <c r="P13" s="29">
        <f>P12</f>
        <v>1</v>
      </c>
      <c r="Q13" s="29">
        <f>Q12</f>
        <v>100</v>
      </c>
      <c r="R13" s="29">
        <f>R12</f>
        <v>10</v>
      </c>
      <c r="S13" s="29">
        <f>S12</f>
        <v>2</v>
      </c>
      <c r="T13" s="29">
        <f>T12</f>
        <v>1</v>
      </c>
      <c r="U13" s="29">
        <f>DATEDIF(DATE(1970,1,1),U12,"D")*86400</f>
        <v>1483660800</v>
      </c>
      <c r="V13" s="29">
        <f>HOUR(V12)*3600+MINUTE(V12)*60+SECOND(V12)</f>
        <v>26100</v>
      </c>
      <c r="W13" s="29">
        <f>DATEDIF(DATE(1970,1,1),W12,"D")*86400</f>
        <v>1502928000</v>
      </c>
      <c r="X13" s="29">
        <f>HOUR(X12)*3600+MINUTE(X12)*60+SECOND(X12)</f>
        <v>56400</v>
      </c>
      <c r="Y13" s="31">
        <f>(Y12*B13)</f>
        <v>1.4E-3</v>
      </c>
      <c r="Z13" s="29">
        <f>Z12</f>
        <v>1</v>
      </c>
      <c r="AA13" s="29">
        <f>DATEDIF(DATE(1970,1,1),AA12,"D")*86400</f>
        <v>1502928000</v>
      </c>
      <c r="AB13" s="29">
        <f>HOUR(AB12)*3600+MINUTE(AB12)*60+SECOND(AB12)</f>
        <v>56460</v>
      </c>
      <c r="AC13" s="29">
        <f>AC12</f>
        <v>1</v>
      </c>
    </row>
    <row r="14" spans="1:29">
      <c r="A14" s="23" t="str">
        <f>Parameters!A8</f>
        <v>6EM7</v>
      </c>
      <c r="B14" s="23">
        <f>Parameters!B8</f>
        <v>5.0000000000000002E-5</v>
      </c>
      <c r="C14" s="24">
        <f>Parameters!C8</f>
        <v>2</v>
      </c>
      <c r="D14" s="24" t="str">
        <f>Parameters!D8</f>
        <v>BUY</v>
      </c>
      <c r="E14" s="23">
        <f>Parameters!E8</f>
        <v>1.10005</v>
      </c>
      <c r="F14" s="23">
        <f>Parameters!F8</f>
        <v>5.0000000000000001E-3</v>
      </c>
      <c r="G14" s="25">
        <f>Parameters!G8</f>
        <v>0.06</v>
      </c>
      <c r="H14" s="25">
        <f>Parameters!H8</f>
        <v>0</v>
      </c>
      <c r="I14" s="25">
        <f>Parameters!I8</f>
        <v>0</v>
      </c>
      <c r="J14" s="25">
        <f>Parameters!J8</f>
        <v>1</v>
      </c>
      <c r="K14" s="25">
        <f>Parameters!K8</f>
        <v>1</v>
      </c>
      <c r="L14" s="26">
        <f t="shared" ref="L14" si="15">L15</f>
        <v>1.10025</v>
      </c>
      <c r="M14" s="25">
        <f>Parameters!L8</f>
        <v>1</v>
      </c>
      <c r="N14" s="25">
        <f>Parameters!M8</f>
        <v>1</v>
      </c>
      <c r="O14" s="26">
        <f t="shared" ref="O14" si="16">O15</f>
        <v>1.09355</v>
      </c>
      <c r="P14" s="23">
        <f>Parameters!N8</f>
        <v>1</v>
      </c>
      <c r="Q14" s="23">
        <f>Parameters!O8</f>
        <v>100</v>
      </c>
      <c r="R14" s="23">
        <f>Parameters!P8</f>
        <v>10</v>
      </c>
      <c r="S14" s="23">
        <f>Parameters!Q8</f>
        <v>2</v>
      </c>
      <c r="T14" s="23">
        <f>Parameters!R8</f>
        <v>1</v>
      </c>
      <c r="U14" s="27">
        <f>Parameters!S8</f>
        <v>42741</v>
      </c>
      <c r="V14" s="28">
        <f>Parameters!T8</f>
        <v>0.30208333333333331</v>
      </c>
      <c r="W14" s="27">
        <f>Parameters!U8</f>
        <v>42964</v>
      </c>
      <c r="X14" s="28">
        <f>Parameters!V8</f>
        <v>0.65277777777777779</v>
      </c>
      <c r="Y14" s="26">
        <f>Parameters!W8</f>
        <v>28</v>
      </c>
      <c r="Z14" s="23">
        <f>Parameters!X8</f>
        <v>1</v>
      </c>
      <c r="AA14" s="27">
        <f>Parameters!Y8</f>
        <v>42964</v>
      </c>
      <c r="AB14" s="28">
        <f>Parameters!Z8</f>
        <v>0.65347222222222223</v>
      </c>
      <c r="AC14" s="23">
        <f>Parameters!AA8</f>
        <v>1</v>
      </c>
    </row>
    <row r="15" spans="1:29">
      <c r="A15" s="29" t="str">
        <f>UPPER(A14)</f>
        <v>6EM7</v>
      </c>
      <c r="B15" s="29">
        <f>B14</f>
        <v>5.0000000000000002E-5</v>
      </c>
      <c r="C15" s="30">
        <f>C14</f>
        <v>2</v>
      </c>
      <c r="D15" s="30" t="str">
        <f>D14</f>
        <v>BUY</v>
      </c>
      <c r="E15" s="29">
        <f>E14</f>
        <v>1.10005</v>
      </c>
      <c r="F15" s="29">
        <f>F14</f>
        <v>5.0000000000000001E-3</v>
      </c>
      <c r="G15" s="29">
        <f>IF(C14=1,IF(D14="BUY",E14+(ROUND(F14*G14/B14,0)*B14),E14-(ROUND(F14*G14/B14,0)*B14)),IF(D14="BUY",E14-(ROUND(F14*G14/B14,0)*B14),E14+(ROUND(F14*G14/B14,0)*B14)))</f>
        <v>1.09975</v>
      </c>
      <c r="H15" s="29">
        <f>IF(C14=1,IF(D14="BUY",G15-(ROUND(F14*H14/B14,0)*B14),G15+(ROUND(F14*H14/B14,0)*B14)),IF(D14="BUY",G15+(ROUND(F14*H14/B14,0)*B14),G15-(ROUND(F14*H14/B14,0)*B14)))</f>
        <v>1.09975</v>
      </c>
      <c r="I15" s="29">
        <f>IF(D14="BUY",G15+(ROUND(F14*I14/(B14*100),0)*B14),G15-(ROUND(F14*I14/(B14*100),0)*B14))</f>
        <v>1.09975</v>
      </c>
      <c r="J15" s="29">
        <f>IF(C14=1,IF(D14="BUY",E14+(ROUND(F14*J14/B14,0)*B14),E14-(ROUND(F14*J14/B14,0)*B14)),IF(D14="BUY",E14-(ROUND(F14*J14/B14,0)*B14),E14+(ROUND(F14*J14/B14,0)*B14)))</f>
        <v>1.0950500000000001</v>
      </c>
      <c r="K15" s="29">
        <f>IF(C14=1,IF(D14="BUY",E14-(ROUND(F14*K14/B14,0)*B14),E14+(ROUND(F14*K14/B14,0)*B14)),IF(D14="BUY",E14-(ROUND(F14*K14/B14,0)*B14),E14+(ROUND(F14*K14/B14,0)*B14)))</f>
        <v>1.0950500000000001</v>
      </c>
      <c r="L15" s="29">
        <f t="shared" ref="L15" si="17">IF(D15="BUY",I15+(R15*B15),I15-(R15*B15))</f>
        <v>1.10025</v>
      </c>
      <c r="M15" s="29">
        <f>IF(D14="BUY",E14+(ROUND(F14*M14/B14,0)*B14),E14-(ROUND(F14*M14/B14,0)*B14))</f>
        <v>1.1050499999999999</v>
      </c>
      <c r="N15" s="29">
        <f>IF(D14="BUY",E14-(ROUND(F14*N14/B14,0)*B14),E14+(ROUND(F14*N14/B14,0)*B14))</f>
        <v>1.0950500000000001</v>
      </c>
      <c r="O15" s="31">
        <f>IF(D15="BUY",N15-VLOOKUP(A15,Symbols!A$1:D$1000,4,FALSE),N15+VLOOKUP(A15,Symbols!A$1:D$1000,4,FALSE))</f>
        <v>1.09355</v>
      </c>
      <c r="P15" s="29">
        <f>P14</f>
        <v>1</v>
      </c>
      <c r="Q15" s="29">
        <f>Q14</f>
        <v>100</v>
      </c>
      <c r="R15" s="29">
        <f>R14</f>
        <v>10</v>
      </c>
      <c r="S15" s="29">
        <f>S14</f>
        <v>2</v>
      </c>
      <c r="T15" s="29">
        <f>T14</f>
        <v>1</v>
      </c>
      <c r="U15" s="29">
        <f>DATEDIF(DATE(1970,1,1),U14,"D")*86400</f>
        <v>1483660800</v>
      </c>
      <c r="V15" s="29">
        <f>HOUR(V14)*3600+MINUTE(V14)*60+SECOND(V14)</f>
        <v>26100</v>
      </c>
      <c r="W15" s="29">
        <f>DATEDIF(DATE(1970,1,1),W14,"D")*86400</f>
        <v>1502928000</v>
      </c>
      <c r="X15" s="29">
        <f>HOUR(X14)*3600+MINUTE(X14)*60+SECOND(X14)</f>
        <v>56400</v>
      </c>
      <c r="Y15" s="31">
        <f>(Y14*B15)</f>
        <v>1.4E-3</v>
      </c>
      <c r="Z15" s="29">
        <f>Z14</f>
        <v>1</v>
      </c>
      <c r="AA15" s="29">
        <f>DATEDIF(DATE(1970,1,1),AA14,"D")*86400</f>
        <v>1502928000</v>
      </c>
      <c r="AB15" s="29">
        <f>HOUR(AB14)*3600+MINUTE(AB14)*60+SECOND(AB14)</f>
        <v>56460</v>
      </c>
      <c r="AC15" s="29">
        <f>AC14</f>
        <v>1</v>
      </c>
    </row>
    <row r="16" spans="1:29">
      <c r="A16" s="23" t="str">
        <f>Parameters!A9</f>
        <v>6EM7</v>
      </c>
      <c r="B16" s="23">
        <f>Parameters!B9</f>
        <v>5.0000000000000002E-5</v>
      </c>
      <c r="C16" s="24">
        <f>Parameters!C9</f>
        <v>2</v>
      </c>
      <c r="D16" s="24" t="str">
        <f>Parameters!D9</f>
        <v>BUY</v>
      </c>
      <c r="E16" s="23">
        <f>Parameters!E9</f>
        <v>1.10005</v>
      </c>
      <c r="F16" s="23">
        <f>Parameters!F9</f>
        <v>5.0000000000000001E-3</v>
      </c>
      <c r="G16" s="25">
        <f>Parameters!G9</f>
        <v>7.0000000000000007E-2</v>
      </c>
      <c r="H16" s="25">
        <f>Parameters!H9</f>
        <v>0</v>
      </c>
      <c r="I16" s="25">
        <f>Parameters!I9</f>
        <v>0</v>
      </c>
      <c r="J16" s="25">
        <f>Parameters!J9</f>
        <v>1</v>
      </c>
      <c r="K16" s="25">
        <f>Parameters!K9</f>
        <v>1</v>
      </c>
      <c r="L16" s="26">
        <f t="shared" ref="L16" si="18">L17</f>
        <v>1.1001999999999998</v>
      </c>
      <c r="M16" s="25">
        <f>Parameters!L9</f>
        <v>1</v>
      </c>
      <c r="N16" s="25">
        <f>Parameters!M9</f>
        <v>1</v>
      </c>
      <c r="O16" s="26">
        <f t="shared" ref="O16" si="19">O17</f>
        <v>1.09355</v>
      </c>
      <c r="P16" s="23">
        <f>Parameters!N9</f>
        <v>1</v>
      </c>
      <c r="Q16" s="23">
        <f>Parameters!O9</f>
        <v>100</v>
      </c>
      <c r="R16" s="23">
        <f>Parameters!P9</f>
        <v>10</v>
      </c>
      <c r="S16" s="23">
        <f>Parameters!Q9</f>
        <v>2</v>
      </c>
      <c r="T16" s="23">
        <f>Parameters!R9</f>
        <v>1</v>
      </c>
      <c r="U16" s="27">
        <f>Parameters!S9</f>
        <v>42741</v>
      </c>
      <c r="V16" s="28">
        <f>Parameters!T9</f>
        <v>0.30208333333333331</v>
      </c>
      <c r="W16" s="27">
        <f>Parameters!U9</f>
        <v>42964</v>
      </c>
      <c r="X16" s="28">
        <f>Parameters!V9</f>
        <v>0.65277777777777779</v>
      </c>
      <c r="Y16" s="26">
        <f>Parameters!W9</f>
        <v>28</v>
      </c>
      <c r="Z16" s="23">
        <f>Parameters!X9</f>
        <v>1</v>
      </c>
      <c r="AA16" s="27">
        <f>Parameters!Y9</f>
        <v>42964</v>
      </c>
      <c r="AB16" s="28">
        <f>Parameters!Z9</f>
        <v>0.65347222222222223</v>
      </c>
      <c r="AC16" s="23">
        <f>Parameters!AA9</f>
        <v>1</v>
      </c>
    </row>
    <row r="17" spans="1:29">
      <c r="A17" s="29" t="str">
        <f>UPPER(A16)</f>
        <v>6EM7</v>
      </c>
      <c r="B17" s="29">
        <f>B16</f>
        <v>5.0000000000000002E-5</v>
      </c>
      <c r="C17" s="30">
        <f>C16</f>
        <v>2</v>
      </c>
      <c r="D17" s="30" t="str">
        <f>D16</f>
        <v>BUY</v>
      </c>
      <c r="E17" s="29">
        <f>E16</f>
        <v>1.10005</v>
      </c>
      <c r="F17" s="29">
        <f>F16</f>
        <v>5.0000000000000001E-3</v>
      </c>
      <c r="G17" s="29">
        <f>IF(C16=1,IF(D16="BUY",E16+(ROUND(F16*G16/B16,0)*B16),E16-(ROUND(F16*G16/B16,0)*B16)),IF(D16="BUY",E16-(ROUND(F16*G16/B16,0)*B16),E16+(ROUND(F16*G16/B16,0)*B16)))</f>
        <v>1.0996999999999999</v>
      </c>
      <c r="H17" s="29">
        <f>IF(C16=1,IF(D16="BUY",G17-(ROUND(F16*H16/B16,0)*B16),G17+(ROUND(F16*H16/B16,0)*B16)),IF(D16="BUY",G17+(ROUND(F16*H16/B16,0)*B16),G17-(ROUND(F16*H16/B16,0)*B16)))</f>
        <v>1.0996999999999999</v>
      </c>
      <c r="I17" s="29">
        <f>IF(D16="BUY",G17+(ROUND(F16*I16/(B16*100),0)*B16),G17-(ROUND(F16*I16/(B16*100),0)*B16))</f>
        <v>1.0996999999999999</v>
      </c>
      <c r="J17" s="29">
        <f>IF(C16=1,IF(D16="BUY",E16+(ROUND(F16*J16/B16,0)*B16),E16-(ROUND(F16*J16/B16,0)*B16)),IF(D16="BUY",E16-(ROUND(F16*J16/B16,0)*B16),E16+(ROUND(F16*J16/B16,0)*B16)))</f>
        <v>1.0950500000000001</v>
      </c>
      <c r="K17" s="29">
        <f>IF(C16=1,IF(D16="BUY",E16-(ROUND(F16*K16/B16,0)*B16),E16+(ROUND(F16*K16/B16,0)*B16)),IF(D16="BUY",E16-(ROUND(F16*K16/B16,0)*B16),E16+(ROUND(F16*K16/B16,0)*B16)))</f>
        <v>1.0950500000000001</v>
      </c>
      <c r="L17" s="29">
        <f t="shared" ref="L17" si="20">IF(D17="BUY",I17+(R17*B17),I17-(R17*B17))</f>
        <v>1.1001999999999998</v>
      </c>
      <c r="M17" s="29">
        <f>IF(D16="BUY",E16+(ROUND(F16*M16/B16,0)*B16),E16-(ROUND(F16*M16/B16,0)*B16))</f>
        <v>1.1050499999999999</v>
      </c>
      <c r="N17" s="29">
        <f>IF(D16="BUY",E16-(ROUND(F16*N16/B16,0)*B16),E16+(ROUND(F16*N16/B16,0)*B16))</f>
        <v>1.0950500000000001</v>
      </c>
      <c r="O17" s="31">
        <f>IF(D17="BUY",N17-VLOOKUP(A17,Symbols!A$1:D$1000,4,FALSE),N17+VLOOKUP(A17,Symbols!A$1:D$1000,4,FALSE))</f>
        <v>1.09355</v>
      </c>
      <c r="P17" s="29">
        <f>P16</f>
        <v>1</v>
      </c>
      <c r="Q17" s="29">
        <f>Q16</f>
        <v>100</v>
      </c>
      <c r="R17" s="29">
        <f>R16</f>
        <v>10</v>
      </c>
      <c r="S17" s="29">
        <f>S16</f>
        <v>2</v>
      </c>
      <c r="T17" s="29">
        <f>T16</f>
        <v>1</v>
      </c>
      <c r="U17" s="29">
        <f>DATEDIF(DATE(1970,1,1),U16,"D")*86400</f>
        <v>1483660800</v>
      </c>
      <c r="V17" s="29">
        <f>HOUR(V16)*3600+MINUTE(V16)*60+SECOND(V16)</f>
        <v>26100</v>
      </c>
      <c r="W17" s="29">
        <f>DATEDIF(DATE(1970,1,1),W16,"D")*86400</f>
        <v>1502928000</v>
      </c>
      <c r="X17" s="29">
        <f>HOUR(X16)*3600+MINUTE(X16)*60+SECOND(X16)</f>
        <v>56400</v>
      </c>
      <c r="Y17" s="31">
        <f>(Y16*B17)</f>
        <v>1.4E-3</v>
      </c>
      <c r="Z17" s="29">
        <f>Z16</f>
        <v>1</v>
      </c>
      <c r="AA17" s="29">
        <f>DATEDIF(DATE(1970,1,1),AA16,"D")*86400</f>
        <v>1502928000</v>
      </c>
      <c r="AB17" s="29">
        <f>HOUR(AB16)*3600+MINUTE(AB16)*60+SECOND(AB16)</f>
        <v>56460</v>
      </c>
      <c r="AC17" s="29">
        <f>AC16</f>
        <v>1</v>
      </c>
    </row>
    <row r="18" spans="1:29">
      <c r="A18" s="23" t="str">
        <f>Parameters!A10</f>
        <v>6EM7</v>
      </c>
      <c r="B18" s="23">
        <f>Parameters!B10</f>
        <v>5.0000000000000002E-5</v>
      </c>
      <c r="C18" s="24">
        <f>Parameters!C10</f>
        <v>2</v>
      </c>
      <c r="D18" s="24" t="str">
        <f>Parameters!D10</f>
        <v>BUY</v>
      </c>
      <c r="E18" s="23">
        <f>Parameters!E10</f>
        <v>1.10005</v>
      </c>
      <c r="F18" s="23">
        <f>Parameters!F10</f>
        <v>5.0000000000000001E-3</v>
      </c>
      <c r="G18" s="25">
        <f>Parameters!G10</f>
        <v>0.08</v>
      </c>
      <c r="H18" s="25">
        <f>Parameters!H10</f>
        <v>0</v>
      </c>
      <c r="I18" s="25">
        <f>Parameters!I10</f>
        <v>0</v>
      </c>
      <c r="J18" s="25">
        <f>Parameters!J10</f>
        <v>1</v>
      </c>
      <c r="K18" s="25">
        <f>Parameters!K10</f>
        <v>1</v>
      </c>
      <c r="L18" s="26">
        <f t="shared" ref="L18" si="21">L19</f>
        <v>1.10015</v>
      </c>
      <c r="M18" s="25">
        <f>Parameters!L10</f>
        <v>1</v>
      </c>
      <c r="N18" s="25">
        <f>Parameters!M10</f>
        <v>1</v>
      </c>
      <c r="O18" s="26">
        <f t="shared" ref="O18" si="22">O19</f>
        <v>1.09355</v>
      </c>
      <c r="P18" s="23">
        <f>Parameters!N10</f>
        <v>1</v>
      </c>
      <c r="Q18" s="23">
        <f>Parameters!O10</f>
        <v>100</v>
      </c>
      <c r="R18" s="23">
        <f>Parameters!P10</f>
        <v>10</v>
      </c>
      <c r="S18" s="23">
        <f>Parameters!Q10</f>
        <v>2</v>
      </c>
      <c r="T18" s="23">
        <f>Parameters!R10</f>
        <v>1</v>
      </c>
      <c r="U18" s="27">
        <f>Parameters!S10</f>
        <v>42741</v>
      </c>
      <c r="V18" s="28">
        <f>Parameters!T10</f>
        <v>0.30208333333333331</v>
      </c>
      <c r="W18" s="27">
        <f>Parameters!U10</f>
        <v>42964</v>
      </c>
      <c r="X18" s="28">
        <f>Parameters!V10</f>
        <v>0.65277777777777779</v>
      </c>
      <c r="Y18" s="26">
        <f>Parameters!W10</f>
        <v>28</v>
      </c>
      <c r="Z18" s="23">
        <f>Parameters!X10</f>
        <v>1</v>
      </c>
      <c r="AA18" s="27">
        <f>Parameters!Y10</f>
        <v>42964</v>
      </c>
      <c r="AB18" s="28">
        <f>Parameters!Z10</f>
        <v>0.65347222222222223</v>
      </c>
      <c r="AC18" s="23">
        <f>Parameters!AA10</f>
        <v>1</v>
      </c>
    </row>
    <row r="19" spans="1:29">
      <c r="A19" s="29" t="str">
        <f>UPPER(A18)</f>
        <v>6EM7</v>
      </c>
      <c r="B19" s="29">
        <f>B18</f>
        <v>5.0000000000000002E-5</v>
      </c>
      <c r="C19" s="30">
        <f>C18</f>
        <v>2</v>
      </c>
      <c r="D19" s="30" t="str">
        <f>D18</f>
        <v>BUY</v>
      </c>
      <c r="E19" s="29">
        <f>E18</f>
        <v>1.10005</v>
      </c>
      <c r="F19" s="29">
        <f>F18</f>
        <v>5.0000000000000001E-3</v>
      </c>
      <c r="G19" s="29">
        <f>IF(C18=1,IF(D18="BUY",E18+(ROUND(F18*G18/B18,0)*B18),E18-(ROUND(F18*G18/B18,0)*B18)),IF(D18="BUY",E18-(ROUND(F18*G18/B18,0)*B18),E18+(ROUND(F18*G18/B18,0)*B18)))</f>
        <v>1.09965</v>
      </c>
      <c r="H19" s="29">
        <f>IF(C18=1,IF(D18="BUY",G19-(ROUND(F18*H18/B18,0)*B18),G19+(ROUND(F18*H18/B18,0)*B18)),IF(D18="BUY",G19+(ROUND(F18*H18/B18,0)*B18),G19-(ROUND(F18*H18/B18,0)*B18)))</f>
        <v>1.09965</v>
      </c>
      <c r="I19" s="29">
        <f>IF(D18="BUY",G19+(ROUND(F18*I18/(B18*100),0)*B18),G19-(ROUND(F18*I18/(B18*100),0)*B18))</f>
        <v>1.09965</v>
      </c>
      <c r="J19" s="29">
        <f>IF(C18=1,IF(D18="BUY",E18+(ROUND(F18*J18/B18,0)*B18),E18-(ROUND(F18*J18/B18,0)*B18)),IF(D18="BUY",E18-(ROUND(F18*J18/B18,0)*B18),E18+(ROUND(F18*J18/B18,0)*B18)))</f>
        <v>1.0950500000000001</v>
      </c>
      <c r="K19" s="29">
        <f>IF(C18=1,IF(D18="BUY",E18-(ROUND(F18*K18/B18,0)*B18),E18+(ROUND(F18*K18/B18,0)*B18)),IF(D18="BUY",E18-(ROUND(F18*K18/B18,0)*B18),E18+(ROUND(F18*K18/B18,0)*B18)))</f>
        <v>1.0950500000000001</v>
      </c>
      <c r="L19" s="29">
        <f t="shared" ref="L19" si="23">IF(D19="BUY",I19+(R19*B19),I19-(R19*B19))</f>
        <v>1.10015</v>
      </c>
      <c r="M19" s="29">
        <f>IF(D18="BUY",E18+(ROUND(F18*M18/B18,0)*B18),E18-(ROUND(F18*M18/B18,0)*B18))</f>
        <v>1.1050499999999999</v>
      </c>
      <c r="N19" s="29">
        <f>IF(D18="BUY",E18-(ROUND(F18*N18/B18,0)*B18),E18+(ROUND(F18*N18/B18,0)*B18))</f>
        <v>1.0950500000000001</v>
      </c>
      <c r="O19" s="31">
        <f>IF(D19="BUY",N19-VLOOKUP(A19,Symbols!A$1:D$1000,4,FALSE),N19+VLOOKUP(A19,Symbols!A$1:D$1000,4,FALSE))</f>
        <v>1.09355</v>
      </c>
      <c r="P19" s="29">
        <f>P18</f>
        <v>1</v>
      </c>
      <c r="Q19" s="29">
        <f>Q18</f>
        <v>100</v>
      </c>
      <c r="R19" s="29">
        <f>R18</f>
        <v>10</v>
      </c>
      <c r="S19" s="29">
        <f>S18</f>
        <v>2</v>
      </c>
      <c r="T19" s="29">
        <f>T18</f>
        <v>1</v>
      </c>
      <c r="U19" s="29">
        <f>DATEDIF(DATE(1970,1,1),U18,"D")*86400</f>
        <v>1483660800</v>
      </c>
      <c r="V19" s="29">
        <f>HOUR(V18)*3600+MINUTE(V18)*60+SECOND(V18)</f>
        <v>26100</v>
      </c>
      <c r="W19" s="29">
        <f>DATEDIF(DATE(1970,1,1),W18,"D")*86400</f>
        <v>1502928000</v>
      </c>
      <c r="X19" s="29">
        <f>HOUR(X18)*3600+MINUTE(X18)*60+SECOND(X18)</f>
        <v>56400</v>
      </c>
      <c r="Y19" s="31">
        <f>(Y18*B19)</f>
        <v>1.4E-3</v>
      </c>
      <c r="Z19" s="29">
        <f>Z18</f>
        <v>1</v>
      </c>
      <c r="AA19" s="29">
        <f>DATEDIF(DATE(1970,1,1),AA18,"D")*86400</f>
        <v>1502928000</v>
      </c>
      <c r="AB19" s="29">
        <f>HOUR(AB18)*3600+MINUTE(AB18)*60+SECOND(AB18)</f>
        <v>56460</v>
      </c>
      <c r="AC19" s="29">
        <f>AC18</f>
        <v>1</v>
      </c>
    </row>
    <row r="20" spans="1:29">
      <c r="A20" s="23" t="str">
        <f>Parameters!A11</f>
        <v>6EM7</v>
      </c>
      <c r="B20" s="23">
        <f>Parameters!B11</f>
        <v>5.0000000000000002E-5</v>
      </c>
      <c r="C20" s="24">
        <f>Parameters!C11</f>
        <v>2</v>
      </c>
      <c r="D20" s="24" t="str">
        <f>Parameters!D11</f>
        <v>BUY</v>
      </c>
      <c r="E20" s="23">
        <f>Parameters!E11</f>
        <v>1.10005</v>
      </c>
      <c r="F20" s="23">
        <f>Parameters!F11</f>
        <v>5.0000000000000001E-3</v>
      </c>
      <c r="G20" s="25">
        <f>Parameters!G11</f>
        <v>0.09</v>
      </c>
      <c r="H20" s="25">
        <f>Parameters!H11</f>
        <v>0</v>
      </c>
      <c r="I20" s="25">
        <f>Parameters!I11</f>
        <v>0</v>
      </c>
      <c r="J20" s="25">
        <f>Parameters!J11</f>
        <v>1</v>
      </c>
      <c r="K20" s="25">
        <f>Parameters!K11</f>
        <v>1</v>
      </c>
      <c r="L20" s="26">
        <f t="shared" ref="L20" si="24">L21</f>
        <v>1.1000999999999999</v>
      </c>
      <c r="M20" s="25">
        <f>Parameters!L11</f>
        <v>1</v>
      </c>
      <c r="N20" s="25">
        <f>Parameters!M11</f>
        <v>1</v>
      </c>
      <c r="O20" s="26">
        <f t="shared" ref="O20" si="25">O21</f>
        <v>1.09355</v>
      </c>
      <c r="P20" s="23">
        <f>Parameters!N11</f>
        <v>1</v>
      </c>
      <c r="Q20" s="23">
        <f>Parameters!O11</f>
        <v>100</v>
      </c>
      <c r="R20" s="23">
        <f>Parameters!P11</f>
        <v>10</v>
      </c>
      <c r="S20" s="23">
        <f>Parameters!Q11</f>
        <v>2</v>
      </c>
      <c r="T20" s="23">
        <f>Parameters!R11</f>
        <v>1</v>
      </c>
      <c r="U20" s="27">
        <f>Parameters!S11</f>
        <v>42741</v>
      </c>
      <c r="V20" s="28">
        <f>Parameters!T11</f>
        <v>0.30208333333333331</v>
      </c>
      <c r="W20" s="27">
        <f>Parameters!U11</f>
        <v>42964</v>
      </c>
      <c r="X20" s="28">
        <f>Parameters!V11</f>
        <v>0.65277777777777779</v>
      </c>
      <c r="Y20" s="26">
        <f>Parameters!W11</f>
        <v>28</v>
      </c>
      <c r="Z20" s="23">
        <f>Parameters!X11</f>
        <v>1</v>
      </c>
      <c r="AA20" s="27">
        <f>Parameters!Y11</f>
        <v>42964</v>
      </c>
      <c r="AB20" s="28">
        <f>Parameters!Z11</f>
        <v>0.65347222222222223</v>
      </c>
      <c r="AC20" s="23">
        <f>Parameters!AA11</f>
        <v>1</v>
      </c>
    </row>
    <row r="21" spans="1:29">
      <c r="A21" s="29" t="str">
        <f>UPPER(A20)</f>
        <v>6EM7</v>
      </c>
      <c r="B21" s="29">
        <f>B20</f>
        <v>5.0000000000000002E-5</v>
      </c>
      <c r="C21" s="30">
        <f>C20</f>
        <v>2</v>
      </c>
      <c r="D21" s="30" t="str">
        <f>D20</f>
        <v>BUY</v>
      </c>
      <c r="E21" s="29">
        <f>E20</f>
        <v>1.10005</v>
      </c>
      <c r="F21" s="29">
        <f>F20</f>
        <v>5.0000000000000001E-3</v>
      </c>
      <c r="G21" s="29">
        <f>IF(C20=1,IF(D20="BUY",E20+(ROUND(F20*G20/B20,0)*B20),E20-(ROUND(F20*G20/B20,0)*B20)),IF(D20="BUY",E20-(ROUND(F20*G20/B20,0)*B20),E20+(ROUND(F20*G20/B20,0)*B20)))</f>
        <v>1.0995999999999999</v>
      </c>
      <c r="H21" s="29">
        <f>IF(C20=1,IF(D20="BUY",G21-(ROUND(F20*H20/B20,0)*B20),G21+(ROUND(F20*H20/B20,0)*B20)),IF(D20="BUY",G21+(ROUND(F20*H20/B20,0)*B20),G21-(ROUND(F20*H20/B20,0)*B20)))</f>
        <v>1.0995999999999999</v>
      </c>
      <c r="I21" s="29">
        <f>IF(D20="BUY",G21+(ROUND(F20*I20/(B20*100),0)*B20),G21-(ROUND(F20*I20/(B20*100),0)*B20))</f>
        <v>1.0995999999999999</v>
      </c>
      <c r="J21" s="29">
        <f>IF(C20=1,IF(D20="BUY",E20+(ROUND(F20*J20/B20,0)*B20),E20-(ROUND(F20*J20/B20,0)*B20)),IF(D20="BUY",E20-(ROUND(F20*J20/B20,0)*B20),E20+(ROUND(F20*J20/B20,0)*B20)))</f>
        <v>1.0950500000000001</v>
      </c>
      <c r="K21" s="29">
        <f>IF(C20=1,IF(D20="BUY",E20-(ROUND(F20*K20/B20,0)*B20),E20+(ROUND(F20*K20/B20,0)*B20)),IF(D20="BUY",E20-(ROUND(F20*K20/B20,0)*B20),E20+(ROUND(F20*K20/B20,0)*B20)))</f>
        <v>1.0950500000000001</v>
      </c>
      <c r="L21" s="29">
        <f t="shared" ref="L21" si="26">IF(D21="BUY",I21+(R21*B21),I21-(R21*B21))</f>
        <v>1.1000999999999999</v>
      </c>
      <c r="M21" s="29">
        <f>IF(D20="BUY",E20+(ROUND(F20*M20/B20,0)*B20),E20-(ROUND(F20*M20/B20,0)*B20))</f>
        <v>1.1050499999999999</v>
      </c>
      <c r="N21" s="29">
        <f>IF(D20="BUY",E20-(ROUND(F20*N20/B20,0)*B20),E20+(ROUND(F20*N20/B20,0)*B20))</f>
        <v>1.0950500000000001</v>
      </c>
      <c r="O21" s="31">
        <f>IF(D21="BUY",N21-VLOOKUP(A21,Symbols!A$1:D$1000,4,FALSE),N21+VLOOKUP(A21,Symbols!A$1:D$1000,4,FALSE))</f>
        <v>1.09355</v>
      </c>
      <c r="P21" s="29">
        <f>P20</f>
        <v>1</v>
      </c>
      <c r="Q21" s="29">
        <f>Q20</f>
        <v>100</v>
      </c>
      <c r="R21" s="29">
        <f>R20</f>
        <v>10</v>
      </c>
      <c r="S21" s="29">
        <f>S20</f>
        <v>2</v>
      </c>
      <c r="T21" s="29">
        <f>T20</f>
        <v>1</v>
      </c>
      <c r="U21" s="29">
        <f>DATEDIF(DATE(1970,1,1),U20,"D")*86400</f>
        <v>1483660800</v>
      </c>
      <c r="V21" s="29">
        <f>HOUR(V20)*3600+MINUTE(V20)*60+SECOND(V20)</f>
        <v>26100</v>
      </c>
      <c r="W21" s="29">
        <f>DATEDIF(DATE(1970,1,1),W20,"D")*86400</f>
        <v>1502928000</v>
      </c>
      <c r="X21" s="29">
        <f>HOUR(X20)*3600+MINUTE(X20)*60+SECOND(X20)</f>
        <v>56400</v>
      </c>
      <c r="Y21" s="31">
        <f>(Y20*B21)</f>
        <v>1.4E-3</v>
      </c>
      <c r="Z21" s="29">
        <f>Z20</f>
        <v>1</v>
      </c>
      <c r="AA21" s="29">
        <f>DATEDIF(DATE(1970,1,1),AA20,"D")*86400</f>
        <v>1502928000</v>
      </c>
      <c r="AB21" s="29">
        <f>HOUR(AB20)*3600+MINUTE(AB20)*60+SECOND(AB20)</f>
        <v>56460</v>
      </c>
      <c r="AC21" s="29">
        <f>AC20</f>
        <v>1</v>
      </c>
    </row>
    <row r="22" spans="1:29">
      <c r="A22" s="23" t="str">
        <f>Parameters!A12</f>
        <v>6EM7</v>
      </c>
      <c r="B22" s="23">
        <f>Parameters!B12</f>
        <v>5.0000000000000002E-5</v>
      </c>
      <c r="C22" s="24">
        <f>Parameters!C12</f>
        <v>2</v>
      </c>
      <c r="D22" s="24" t="str">
        <f>Parameters!D12</f>
        <v>SELL</v>
      </c>
      <c r="E22" s="23">
        <f>Parameters!E12</f>
        <v>1.10005</v>
      </c>
      <c r="F22" s="23">
        <f>Parameters!F12</f>
        <v>5.0000000000000001E-3</v>
      </c>
      <c r="G22" s="25">
        <f>Parameters!G12</f>
        <v>0</v>
      </c>
      <c r="H22" s="25">
        <f>Parameters!H12</f>
        <v>0</v>
      </c>
      <c r="I22" s="25">
        <f>Parameters!I12</f>
        <v>0</v>
      </c>
      <c r="J22" s="25">
        <f>Parameters!J12</f>
        <v>1</v>
      </c>
      <c r="K22" s="25">
        <f>Parameters!K12</f>
        <v>1</v>
      </c>
      <c r="L22" s="26">
        <f t="shared" ref="L22" si="27">L23</f>
        <v>1.09955</v>
      </c>
      <c r="M22" s="25">
        <f>Parameters!L12</f>
        <v>1</v>
      </c>
      <c r="N22" s="25">
        <f>Parameters!M12</f>
        <v>1</v>
      </c>
      <c r="O22" s="26">
        <f t="shared" ref="O22" si="28">O23</f>
        <v>1.1065499999999999</v>
      </c>
      <c r="P22" s="23">
        <f>Parameters!N12</f>
        <v>1</v>
      </c>
      <c r="Q22" s="23">
        <f>Parameters!O12</f>
        <v>100</v>
      </c>
      <c r="R22" s="23">
        <f>Parameters!P12</f>
        <v>10</v>
      </c>
      <c r="S22" s="23">
        <f>Parameters!Q12</f>
        <v>2</v>
      </c>
      <c r="T22" s="23">
        <f>Parameters!R12</f>
        <v>1</v>
      </c>
      <c r="U22" s="27">
        <f>Parameters!S12</f>
        <v>42741</v>
      </c>
      <c r="V22" s="28">
        <f>Parameters!T12</f>
        <v>0.30208333333333331</v>
      </c>
      <c r="W22" s="27">
        <f>Parameters!U12</f>
        <v>42964</v>
      </c>
      <c r="X22" s="28">
        <f>Parameters!V12</f>
        <v>0.65277777777777779</v>
      </c>
      <c r="Y22" s="26">
        <f>Parameters!W12</f>
        <v>28</v>
      </c>
      <c r="Z22" s="23">
        <f>Parameters!X12</f>
        <v>1</v>
      </c>
      <c r="AA22" s="27">
        <f>Parameters!Y12</f>
        <v>42964</v>
      </c>
      <c r="AB22" s="28">
        <f>Parameters!Z12</f>
        <v>0.65347222222222223</v>
      </c>
      <c r="AC22" s="23">
        <f>Parameters!AA12</f>
        <v>1</v>
      </c>
    </row>
    <row r="23" spans="1:29">
      <c r="A23" s="29" t="str">
        <f>UPPER(A22)</f>
        <v>6EM7</v>
      </c>
      <c r="B23" s="29">
        <f>B22</f>
        <v>5.0000000000000002E-5</v>
      </c>
      <c r="C23" s="30">
        <f>C22</f>
        <v>2</v>
      </c>
      <c r="D23" s="30" t="str">
        <f>D22</f>
        <v>SELL</v>
      </c>
      <c r="E23" s="29">
        <f>E22</f>
        <v>1.10005</v>
      </c>
      <c r="F23" s="29">
        <f>F22</f>
        <v>5.0000000000000001E-3</v>
      </c>
      <c r="G23" s="29">
        <f>IF(C22=1,IF(D22="BUY",E22+(ROUND(F22*G22/B22,0)*B22),E22-(ROUND(F22*G22/B22,0)*B22)),IF(D22="BUY",E22-(ROUND(F22*G22/B22,0)*B22),E22+(ROUND(F22*G22/B22,0)*B22)))</f>
        <v>1.10005</v>
      </c>
      <c r="H23" s="29">
        <f>IF(C22=1,IF(D22="BUY",G23-(ROUND(F22*H22/B22,0)*B22),G23+(ROUND(F22*H22/B22,0)*B22)),IF(D22="BUY",G23+(ROUND(F22*H22/B22,0)*B22),G23-(ROUND(F22*H22/B22,0)*B22)))</f>
        <v>1.10005</v>
      </c>
      <c r="I23" s="29">
        <f>IF(D22="BUY",G23+(ROUND(F22*I22/(B22*100),0)*B22),G23-(ROUND(F22*I22/(B22*100),0)*B22))</f>
        <v>1.10005</v>
      </c>
      <c r="J23" s="29">
        <f>IF(C22=1,IF(D22="BUY",E22+(ROUND(F22*J22/B22,0)*B22),E22-(ROUND(F22*J22/B22,0)*B22)),IF(D22="BUY",E22-(ROUND(F22*J22/B22,0)*B22),E22+(ROUND(F22*J22/B22,0)*B22)))</f>
        <v>1.1050499999999999</v>
      </c>
      <c r="K23" s="29">
        <f>IF(C22=1,IF(D22="BUY",E22-(ROUND(F22*K22/B22,0)*B22),E22+(ROUND(F22*K22/B22,0)*B22)),IF(D22="BUY",E22-(ROUND(F22*K22/B22,0)*B22),E22+(ROUND(F22*K22/B22,0)*B22)))</f>
        <v>1.1050499999999999</v>
      </c>
      <c r="L23" s="29">
        <f t="shared" ref="L23" si="29">IF(D23="BUY",I23+(R23*B23),I23-(R23*B23))</f>
        <v>1.09955</v>
      </c>
      <c r="M23" s="29">
        <f>IF(D22="BUY",E22+(ROUND(F22*M22/B22,0)*B22),E22-(ROUND(F22*M22/B22,0)*B22))</f>
        <v>1.0950500000000001</v>
      </c>
      <c r="N23" s="29">
        <f>IF(D22="BUY",E22-(ROUND(F22*N22/B22,0)*B22),E22+(ROUND(F22*N22/B22,0)*B22))</f>
        <v>1.1050499999999999</v>
      </c>
      <c r="O23" s="31">
        <f>IF(D23="BUY",N23-VLOOKUP(A23,Symbols!A$1:D$1000,4,FALSE),N23+VLOOKUP(A23,Symbols!A$1:D$1000,4,FALSE))</f>
        <v>1.1065499999999999</v>
      </c>
      <c r="P23" s="29">
        <f>P22</f>
        <v>1</v>
      </c>
      <c r="Q23" s="29">
        <f>Q22</f>
        <v>100</v>
      </c>
      <c r="R23" s="29">
        <f>R22</f>
        <v>10</v>
      </c>
      <c r="S23" s="29">
        <f>S22</f>
        <v>2</v>
      </c>
      <c r="T23" s="29">
        <f>T22</f>
        <v>1</v>
      </c>
      <c r="U23" s="29">
        <f>DATEDIF(DATE(1970,1,1),U22,"D")*86400</f>
        <v>1483660800</v>
      </c>
      <c r="V23" s="29">
        <f>HOUR(V22)*3600+MINUTE(V22)*60+SECOND(V22)</f>
        <v>26100</v>
      </c>
      <c r="W23" s="29">
        <f>DATEDIF(DATE(1970,1,1),W22,"D")*86400</f>
        <v>1502928000</v>
      </c>
      <c r="X23" s="29">
        <f>HOUR(X22)*3600+MINUTE(X22)*60+SECOND(X22)</f>
        <v>56400</v>
      </c>
      <c r="Y23" s="31">
        <f>(Y22*B23)</f>
        <v>1.4E-3</v>
      </c>
      <c r="Z23" s="29">
        <f>Z22</f>
        <v>1</v>
      </c>
      <c r="AA23" s="29">
        <f>DATEDIF(DATE(1970,1,1),AA22,"D")*86400</f>
        <v>1502928000</v>
      </c>
      <c r="AB23" s="29">
        <f>HOUR(AB22)*3600+MINUTE(AB22)*60+SECOND(AB22)</f>
        <v>56460</v>
      </c>
      <c r="AC23" s="29">
        <f>AC22</f>
        <v>1</v>
      </c>
    </row>
    <row r="24" spans="1:29">
      <c r="A24" s="23" t="str">
        <f>Parameters!A13</f>
        <v>6EM7</v>
      </c>
      <c r="B24" s="23">
        <f>Parameters!B13</f>
        <v>5.0000000000000002E-5</v>
      </c>
      <c r="C24" s="24">
        <f>Parameters!C13</f>
        <v>2</v>
      </c>
      <c r="D24" s="24" t="str">
        <f>Parameters!D13</f>
        <v>SELL</v>
      </c>
      <c r="E24" s="23">
        <f>Parameters!E13</f>
        <v>1.10005</v>
      </c>
      <c r="F24" s="23">
        <f>Parameters!F13</f>
        <v>5.0000000000000001E-3</v>
      </c>
      <c r="G24" s="25">
        <f>Parameters!G13</f>
        <v>0.01</v>
      </c>
      <c r="H24" s="25">
        <f>Parameters!H13</f>
        <v>0</v>
      </c>
      <c r="I24" s="25">
        <f>Parameters!I13</f>
        <v>0</v>
      </c>
      <c r="J24" s="25">
        <f>Parameters!J13</f>
        <v>1</v>
      </c>
      <c r="K24" s="25">
        <f>Parameters!K13</f>
        <v>1</v>
      </c>
      <c r="L24" s="26">
        <f t="shared" ref="L24" si="30">L25</f>
        <v>1.0996000000000001</v>
      </c>
      <c r="M24" s="25">
        <f>Parameters!L13</f>
        <v>1</v>
      </c>
      <c r="N24" s="25">
        <f>Parameters!M13</f>
        <v>1</v>
      </c>
      <c r="O24" s="26">
        <f t="shared" ref="O24" si="31">O25</f>
        <v>1.1065499999999999</v>
      </c>
      <c r="P24" s="23">
        <f>Parameters!N13</f>
        <v>1</v>
      </c>
      <c r="Q24" s="23">
        <f>Parameters!O13</f>
        <v>100</v>
      </c>
      <c r="R24" s="23">
        <f>Parameters!P13</f>
        <v>10</v>
      </c>
      <c r="S24" s="23">
        <f>Parameters!Q13</f>
        <v>2</v>
      </c>
      <c r="T24" s="23">
        <f>Parameters!R13</f>
        <v>1</v>
      </c>
      <c r="U24" s="27">
        <f>Parameters!S13</f>
        <v>42741</v>
      </c>
      <c r="V24" s="28">
        <f>Parameters!T13</f>
        <v>0.30208333333333331</v>
      </c>
      <c r="W24" s="27">
        <f>Parameters!U13</f>
        <v>42964</v>
      </c>
      <c r="X24" s="28">
        <f>Parameters!V13</f>
        <v>0.65277777777777779</v>
      </c>
      <c r="Y24" s="26">
        <f>Parameters!W13</f>
        <v>28</v>
      </c>
      <c r="Z24" s="23">
        <f>Parameters!X13</f>
        <v>1</v>
      </c>
      <c r="AA24" s="27">
        <f>Parameters!Y13</f>
        <v>42964</v>
      </c>
      <c r="AB24" s="28">
        <f>Parameters!Z13</f>
        <v>0.65347222222222223</v>
      </c>
      <c r="AC24" s="23">
        <f>Parameters!AA13</f>
        <v>1</v>
      </c>
    </row>
    <row r="25" spans="1:29">
      <c r="A25" s="29" t="str">
        <f>UPPER(A24)</f>
        <v>6EM7</v>
      </c>
      <c r="B25" s="29">
        <f>B24</f>
        <v>5.0000000000000002E-5</v>
      </c>
      <c r="C25" s="30">
        <f>C24</f>
        <v>2</v>
      </c>
      <c r="D25" s="30" t="str">
        <f>D24</f>
        <v>SELL</v>
      </c>
      <c r="E25" s="29">
        <f>E24</f>
        <v>1.10005</v>
      </c>
      <c r="F25" s="29">
        <f>F24</f>
        <v>5.0000000000000001E-3</v>
      </c>
      <c r="G25" s="29">
        <f>IF(C24=1,IF(D24="BUY",E24+(ROUND(F24*G24/B24,0)*B24),E24-(ROUND(F24*G24/B24,0)*B24)),IF(D24="BUY",E24-(ROUND(F24*G24/B24,0)*B24),E24+(ROUND(F24*G24/B24,0)*B24)))</f>
        <v>1.1001000000000001</v>
      </c>
      <c r="H25" s="29">
        <f>IF(C24=1,IF(D24="BUY",G25-(ROUND(F24*H24/B24,0)*B24),G25+(ROUND(F24*H24/B24,0)*B24)),IF(D24="BUY",G25+(ROUND(F24*H24/B24,0)*B24),G25-(ROUND(F24*H24/B24,0)*B24)))</f>
        <v>1.1001000000000001</v>
      </c>
      <c r="I25" s="29">
        <f>IF(D24="BUY",G25+(ROUND(F24*I24/(B24*100),0)*B24),G25-(ROUND(F24*I24/(B24*100),0)*B24))</f>
        <v>1.1001000000000001</v>
      </c>
      <c r="J25" s="29">
        <f>IF(C24=1,IF(D24="BUY",E24+(ROUND(F24*J24/B24,0)*B24),E24-(ROUND(F24*J24/B24,0)*B24)),IF(D24="BUY",E24-(ROUND(F24*J24/B24,0)*B24),E24+(ROUND(F24*J24/B24,0)*B24)))</f>
        <v>1.1050499999999999</v>
      </c>
      <c r="K25" s="29">
        <f>IF(C24=1,IF(D24="BUY",E24-(ROUND(F24*K24/B24,0)*B24),E24+(ROUND(F24*K24/B24,0)*B24)),IF(D24="BUY",E24-(ROUND(F24*K24/B24,0)*B24),E24+(ROUND(F24*K24/B24,0)*B24)))</f>
        <v>1.1050499999999999</v>
      </c>
      <c r="L25" s="29">
        <f t="shared" ref="L25" si="32">IF(D25="BUY",I25+(R25*B25),I25-(R25*B25))</f>
        <v>1.0996000000000001</v>
      </c>
      <c r="M25" s="29">
        <f>IF(D24="BUY",E24+(ROUND(F24*M24/B24,0)*B24),E24-(ROUND(F24*M24/B24,0)*B24))</f>
        <v>1.0950500000000001</v>
      </c>
      <c r="N25" s="29">
        <f>IF(D24="BUY",E24-(ROUND(F24*N24/B24,0)*B24),E24+(ROUND(F24*N24/B24,0)*B24))</f>
        <v>1.1050499999999999</v>
      </c>
      <c r="O25" s="31">
        <f>IF(D25="BUY",N25-VLOOKUP(A25,Symbols!A$1:D$1000,4,FALSE),N25+VLOOKUP(A25,Symbols!A$1:D$1000,4,FALSE))</f>
        <v>1.1065499999999999</v>
      </c>
      <c r="P25" s="29">
        <f>P24</f>
        <v>1</v>
      </c>
      <c r="Q25" s="29">
        <f>Q24</f>
        <v>100</v>
      </c>
      <c r="R25" s="29">
        <f>R24</f>
        <v>10</v>
      </c>
      <c r="S25" s="29">
        <f>S24</f>
        <v>2</v>
      </c>
      <c r="T25" s="29">
        <f>T24</f>
        <v>1</v>
      </c>
      <c r="U25" s="29">
        <f>DATEDIF(DATE(1970,1,1),U24,"D")*86400</f>
        <v>1483660800</v>
      </c>
      <c r="V25" s="29">
        <f>HOUR(V24)*3600+MINUTE(V24)*60+SECOND(V24)</f>
        <v>26100</v>
      </c>
      <c r="W25" s="29">
        <f>DATEDIF(DATE(1970,1,1),W24,"D")*86400</f>
        <v>1502928000</v>
      </c>
      <c r="X25" s="29">
        <f>HOUR(X24)*3600+MINUTE(X24)*60+SECOND(X24)</f>
        <v>56400</v>
      </c>
      <c r="Y25" s="31">
        <f>(Y24*B25)</f>
        <v>1.4E-3</v>
      </c>
      <c r="Z25" s="29">
        <f>Z24</f>
        <v>1</v>
      </c>
      <c r="AA25" s="29">
        <f>DATEDIF(DATE(1970,1,1),AA24,"D")*86400</f>
        <v>1502928000</v>
      </c>
      <c r="AB25" s="29">
        <f>HOUR(AB24)*3600+MINUTE(AB24)*60+SECOND(AB24)</f>
        <v>56460</v>
      </c>
      <c r="AC25" s="29">
        <f>AC24</f>
        <v>1</v>
      </c>
    </row>
    <row r="26" spans="1:29">
      <c r="A26" s="23" t="str">
        <f>Parameters!A14</f>
        <v>6EM7</v>
      </c>
      <c r="B26" s="23">
        <f>Parameters!B14</f>
        <v>5.0000000000000002E-5</v>
      </c>
      <c r="C26" s="24">
        <f>Parameters!C14</f>
        <v>2</v>
      </c>
      <c r="D26" s="24" t="str">
        <f>Parameters!D14</f>
        <v>SELL</v>
      </c>
      <c r="E26" s="23">
        <f>Parameters!E14</f>
        <v>1.10005</v>
      </c>
      <c r="F26" s="23">
        <f>Parameters!F14</f>
        <v>5.0000000000000001E-3</v>
      </c>
      <c r="G26" s="25">
        <f>Parameters!G14</f>
        <v>0.02</v>
      </c>
      <c r="H26" s="25">
        <f>Parameters!H14</f>
        <v>0</v>
      </c>
      <c r="I26" s="25">
        <f>Parameters!I14</f>
        <v>0</v>
      </c>
      <c r="J26" s="25">
        <f>Parameters!J14</f>
        <v>1</v>
      </c>
      <c r="K26" s="25">
        <f>Parameters!K14</f>
        <v>1</v>
      </c>
      <c r="L26" s="26">
        <f t="shared" ref="L26" si="33">L27</f>
        <v>1.09965</v>
      </c>
      <c r="M26" s="25">
        <f>Parameters!L14</f>
        <v>1</v>
      </c>
      <c r="N26" s="25">
        <f>Parameters!M14</f>
        <v>1</v>
      </c>
      <c r="O26" s="26">
        <f t="shared" ref="O26" si="34">O27</f>
        <v>1.1065499999999999</v>
      </c>
      <c r="P26" s="23">
        <f>Parameters!N14</f>
        <v>1</v>
      </c>
      <c r="Q26" s="23">
        <f>Parameters!O14</f>
        <v>100</v>
      </c>
      <c r="R26" s="23">
        <f>Parameters!P14</f>
        <v>10</v>
      </c>
      <c r="S26" s="23">
        <f>Parameters!Q14</f>
        <v>2</v>
      </c>
      <c r="T26" s="23">
        <f>Parameters!R14</f>
        <v>1</v>
      </c>
      <c r="U26" s="27">
        <f>Parameters!S14</f>
        <v>42741</v>
      </c>
      <c r="V26" s="28">
        <f>Parameters!T14</f>
        <v>0.30208333333333331</v>
      </c>
      <c r="W26" s="27">
        <f>Parameters!U14</f>
        <v>42964</v>
      </c>
      <c r="X26" s="28">
        <f>Parameters!V14</f>
        <v>0.65277777777777779</v>
      </c>
      <c r="Y26" s="26">
        <f>Parameters!W14</f>
        <v>28</v>
      </c>
      <c r="Z26" s="23">
        <f>Parameters!X14</f>
        <v>1</v>
      </c>
      <c r="AA26" s="27">
        <f>Parameters!Y14</f>
        <v>42964</v>
      </c>
      <c r="AB26" s="28">
        <f>Parameters!Z14</f>
        <v>0.65347222222222223</v>
      </c>
      <c r="AC26" s="23">
        <f>Parameters!AA14</f>
        <v>1</v>
      </c>
    </row>
    <row r="27" spans="1:29">
      <c r="A27" s="29" t="str">
        <f>UPPER(A26)</f>
        <v>6EM7</v>
      </c>
      <c r="B27" s="29">
        <f>B26</f>
        <v>5.0000000000000002E-5</v>
      </c>
      <c r="C27" s="30">
        <f>C26</f>
        <v>2</v>
      </c>
      <c r="D27" s="30" t="str">
        <f>D26</f>
        <v>SELL</v>
      </c>
      <c r="E27" s="29">
        <f>E26</f>
        <v>1.10005</v>
      </c>
      <c r="F27" s="29">
        <f>F26</f>
        <v>5.0000000000000001E-3</v>
      </c>
      <c r="G27" s="29">
        <f>IF(C26=1,IF(D26="BUY",E26+(ROUND(F26*G26/B26,0)*B26),E26-(ROUND(F26*G26/B26,0)*B26)),IF(D26="BUY",E26-(ROUND(F26*G26/B26,0)*B26),E26+(ROUND(F26*G26/B26,0)*B26)))</f>
        <v>1.10015</v>
      </c>
      <c r="H27" s="29">
        <f>IF(C26=1,IF(D26="BUY",G27-(ROUND(F26*H26/B26,0)*B26),G27+(ROUND(F26*H26/B26,0)*B26)),IF(D26="BUY",G27+(ROUND(F26*H26/B26,0)*B26),G27-(ROUND(F26*H26/B26,0)*B26)))</f>
        <v>1.10015</v>
      </c>
      <c r="I27" s="29">
        <f>IF(D26="BUY",G27+(ROUND(F26*I26/(B26*100),0)*B26),G27-(ROUND(F26*I26/(B26*100),0)*B26))</f>
        <v>1.10015</v>
      </c>
      <c r="J27" s="29">
        <f>IF(C26=1,IF(D26="BUY",E26+(ROUND(F26*J26/B26,0)*B26),E26-(ROUND(F26*J26/B26,0)*B26)),IF(D26="BUY",E26-(ROUND(F26*J26/B26,0)*B26),E26+(ROUND(F26*J26/B26,0)*B26)))</f>
        <v>1.1050499999999999</v>
      </c>
      <c r="K27" s="29">
        <f>IF(C26=1,IF(D26="BUY",E26-(ROUND(F26*K26/B26,0)*B26),E26+(ROUND(F26*K26/B26,0)*B26)),IF(D26="BUY",E26-(ROUND(F26*K26/B26,0)*B26),E26+(ROUND(F26*K26/B26,0)*B26)))</f>
        <v>1.1050499999999999</v>
      </c>
      <c r="L27" s="29">
        <f t="shared" ref="L27" si="35">IF(D27="BUY",I27+(R27*B27),I27-(R27*B27))</f>
        <v>1.09965</v>
      </c>
      <c r="M27" s="29">
        <f>IF(D26="BUY",E26+(ROUND(F26*M26/B26,0)*B26),E26-(ROUND(F26*M26/B26,0)*B26))</f>
        <v>1.0950500000000001</v>
      </c>
      <c r="N27" s="29">
        <f>IF(D26="BUY",E26-(ROUND(F26*N26/B26,0)*B26),E26+(ROUND(F26*N26/B26,0)*B26))</f>
        <v>1.1050499999999999</v>
      </c>
      <c r="O27" s="31">
        <f>IF(D27="BUY",N27-VLOOKUP(A27,Symbols!A$1:D$1000,4,FALSE),N27+VLOOKUP(A27,Symbols!A$1:D$1000,4,FALSE))</f>
        <v>1.1065499999999999</v>
      </c>
      <c r="P27" s="29">
        <f>P26</f>
        <v>1</v>
      </c>
      <c r="Q27" s="29">
        <f>Q26</f>
        <v>100</v>
      </c>
      <c r="R27" s="29">
        <f>R26</f>
        <v>10</v>
      </c>
      <c r="S27" s="29">
        <f>S26</f>
        <v>2</v>
      </c>
      <c r="T27" s="29">
        <f>T26</f>
        <v>1</v>
      </c>
      <c r="U27" s="29">
        <f>DATEDIF(DATE(1970,1,1),U26,"D")*86400</f>
        <v>1483660800</v>
      </c>
      <c r="V27" s="29">
        <f>HOUR(V26)*3600+MINUTE(V26)*60+SECOND(V26)</f>
        <v>26100</v>
      </c>
      <c r="W27" s="29">
        <f>DATEDIF(DATE(1970,1,1),W26,"D")*86400</f>
        <v>1502928000</v>
      </c>
      <c r="X27" s="29">
        <f>HOUR(X26)*3600+MINUTE(X26)*60+SECOND(X26)</f>
        <v>56400</v>
      </c>
      <c r="Y27" s="31">
        <f>(Y26*B27)</f>
        <v>1.4E-3</v>
      </c>
      <c r="Z27" s="29">
        <f>Z26</f>
        <v>1</v>
      </c>
      <c r="AA27" s="29">
        <f>DATEDIF(DATE(1970,1,1),AA26,"D")*86400</f>
        <v>1502928000</v>
      </c>
      <c r="AB27" s="29">
        <f>HOUR(AB26)*3600+MINUTE(AB26)*60+SECOND(AB26)</f>
        <v>56460</v>
      </c>
      <c r="AC27" s="29">
        <f>AC26</f>
        <v>1</v>
      </c>
    </row>
    <row r="28" spans="1:29">
      <c r="A28" s="23" t="str">
        <f>Parameters!A15</f>
        <v>6EM7</v>
      </c>
      <c r="B28" s="23">
        <f>Parameters!B15</f>
        <v>5.0000000000000002E-5</v>
      </c>
      <c r="C28" s="24">
        <f>Parameters!C15</f>
        <v>2</v>
      </c>
      <c r="D28" s="24" t="str">
        <f>Parameters!D15</f>
        <v>SELL</v>
      </c>
      <c r="E28" s="23">
        <f>Parameters!E15</f>
        <v>1.10005</v>
      </c>
      <c r="F28" s="23">
        <f>Parameters!F15</f>
        <v>5.0000000000000001E-3</v>
      </c>
      <c r="G28" s="25">
        <f>Parameters!G15</f>
        <v>0.03</v>
      </c>
      <c r="H28" s="25">
        <f>Parameters!H15</f>
        <v>0</v>
      </c>
      <c r="I28" s="25">
        <f>Parameters!I15</f>
        <v>0</v>
      </c>
      <c r="J28" s="25">
        <f>Parameters!J15</f>
        <v>1</v>
      </c>
      <c r="K28" s="25">
        <f>Parameters!K15</f>
        <v>1</v>
      </c>
      <c r="L28" s="26">
        <f t="shared" ref="L28" si="36">L29</f>
        <v>1.0997000000000001</v>
      </c>
      <c r="M28" s="25">
        <f>Parameters!L15</f>
        <v>1</v>
      </c>
      <c r="N28" s="25">
        <f>Parameters!M15</f>
        <v>1</v>
      </c>
      <c r="O28" s="26">
        <f t="shared" ref="O28" si="37">O29</f>
        <v>1.1065499999999999</v>
      </c>
      <c r="P28" s="23">
        <f>Parameters!N15</f>
        <v>1</v>
      </c>
      <c r="Q28" s="23">
        <f>Parameters!O15</f>
        <v>100</v>
      </c>
      <c r="R28" s="23">
        <f>Parameters!P15</f>
        <v>10</v>
      </c>
      <c r="S28" s="23">
        <f>Parameters!Q15</f>
        <v>2</v>
      </c>
      <c r="T28" s="23">
        <f>Parameters!R15</f>
        <v>1</v>
      </c>
      <c r="U28" s="27">
        <f>Parameters!S15</f>
        <v>42741</v>
      </c>
      <c r="V28" s="28">
        <f>Parameters!T15</f>
        <v>0.30208333333333331</v>
      </c>
      <c r="W28" s="27">
        <f>Parameters!U15</f>
        <v>42964</v>
      </c>
      <c r="X28" s="28">
        <f>Parameters!V15</f>
        <v>0.65277777777777779</v>
      </c>
      <c r="Y28" s="26">
        <f>Parameters!W15</f>
        <v>28</v>
      </c>
      <c r="Z28" s="23">
        <f>Parameters!X15</f>
        <v>1</v>
      </c>
      <c r="AA28" s="27">
        <f>Parameters!Y15</f>
        <v>42964</v>
      </c>
      <c r="AB28" s="28">
        <f>Parameters!Z15</f>
        <v>0.65347222222222223</v>
      </c>
      <c r="AC28" s="23">
        <f>Parameters!AA15</f>
        <v>1</v>
      </c>
    </row>
    <row r="29" spans="1:29">
      <c r="A29" s="29" t="str">
        <f>UPPER(A28)</f>
        <v>6EM7</v>
      </c>
      <c r="B29" s="29">
        <f>B28</f>
        <v>5.0000000000000002E-5</v>
      </c>
      <c r="C29" s="30">
        <f>C28</f>
        <v>2</v>
      </c>
      <c r="D29" s="30" t="str">
        <f>D28</f>
        <v>SELL</v>
      </c>
      <c r="E29" s="29">
        <f>E28</f>
        <v>1.10005</v>
      </c>
      <c r="F29" s="29">
        <f>F28</f>
        <v>5.0000000000000001E-3</v>
      </c>
      <c r="G29" s="29">
        <f>IF(C28=1,IF(D28="BUY",E28+(ROUND(F28*G28/B28,0)*B28),E28-(ROUND(F28*G28/B28,0)*B28)),IF(D28="BUY",E28-(ROUND(F28*G28/B28,0)*B28),E28+(ROUND(F28*G28/B28,0)*B28)))</f>
        <v>1.1002000000000001</v>
      </c>
      <c r="H29" s="29">
        <f>IF(C28=1,IF(D28="BUY",G29-(ROUND(F28*H28/B28,0)*B28),G29+(ROUND(F28*H28/B28,0)*B28)),IF(D28="BUY",G29+(ROUND(F28*H28/B28,0)*B28),G29-(ROUND(F28*H28/B28,0)*B28)))</f>
        <v>1.1002000000000001</v>
      </c>
      <c r="I29" s="29">
        <f>IF(D28="BUY",G29+(ROUND(F28*I28/(B28*100),0)*B28),G29-(ROUND(F28*I28/(B28*100),0)*B28))</f>
        <v>1.1002000000000001</v>
      </c>
      <c r="J29" s="29">
        <f>IF(C28=1,IF(D28="BUY",E28+(ROUND(F28*J28/B28,0)*B28),E28-(ROUND(F28*J28/B28,0)*B28)),IF(D28="BUY",E28-(ROUND(F28*J28/B28,0)*B28),E28+(ROUND(F28*J28/B28,0)*B28)))</f>
        <v>1.1050499999999999</v>
      </c>
      <c r="K29" s="29">
        <f>IF(C28=1,IF(D28="BUY",E28-(ROUND(F28*K28/B28,0)*B28),E28+(ROUND(F28*K28/B28,0)*B28)),IF(D28="BUY",E28-(ROUND(F28*K28/B28,0)*B28),E28+(ROUND(F28*K28/B28,0)*B28)))</f>
        <v>1.1050499999999999</v>
      </c>
      <c r="L29" s="29">
        <f t="shared" ref="L29" si="38">IF(D29="BUY",I29+(R29*B29),I29-(R29*B29))</f>
        <v>1.0997000000000001</v>
      </c>
      <c r="M29" s="29">
        <f>IF(D28="BUY",E28+(ROUND(F28*M28/B28,0)*B28),E28-(ROUND(F28*M28/B28,0)*B28))</f>
        <v>1.0950500000000001</v>
      </c>
      <c r="N29" s="29">
        <f>IF(D28="BUY",E28-(ROUND(F28*N28/B28,0)*B28),E28+(ROUND(F28*N28/B28,0)*B28))</f>
        <v>1.1050499999999999</v>
      </c>
      <c r="O29" s="31">
        <f>IF(D29="BUY",N29-VLOOKUP(A29,Symbols!A$1:D$1000,4,FALSE),N29+VLOOKUP(A29,Symbols!A$1:D$1000,4,FALSE))</f>
        <v>1.1065499999999999</v>
      </c>
      <c r="P29" s="29">
        <f>P28</f>
        <v>1</v>
      </c>
      <c r="Q29" s="29">
        <f>Q28</f>
        <v>100</v>
      </c>
      <c r="R29" s="29">
        <f>R28</f>
        <v>10</v>
      </c>
      <c r="S29" s="29">
        <f>S28</f>
        <v>2</v>
      </c>
      <c r="T29" s="29">
        <f>T28</f>
        <v>1</v>
      </c>
      <c r="U29" s="29">
        <f>DATEDIF(DATE(1970,1,1),U28,"D")*86400</f>
        <v>1483660800</v>
      </c>
      <c r="V29" s="29">
        <f>HOUR(V28)*3600+MINUTE(V28)*60+SECOND(V28)</f>
        <v>26100</v>
      </c>
      <c r="W29" s="29">
        <f>DATEDIF(DATE(1970,1,1),W28,"D")*86400</f>
        <v>1502928000</v>
      </c>
      <c r="X29" s="29">
        <f>HOUR(X28)*3600+MINUTE(X28)*60+SECOND(X28)</f>
        <v>56400</v>
      </c>
      <c r="Y29" s="31">
        <f>(Y28*B29)</f>
        <v>1.4E-3</v>
      </c>
      <c r="Z29" s="29">
        <f>Z28</f>
        <v>1</v>
      </c>
      <c r="AA29" s="29">
        <f>DATEDIF(DATE(1970,1,1),AA28,"D")*86400</f>
        <v>1502928000</v>
      </c>
      <c r="AB29" s="29">
        <f>HOUR(AB28)*3600+MINUTE(AB28)*60+SECOND(AB28)</f>
        <v>56460</v>
      </c>
      <c r="AC29" s="29">
        <f>AC28</f>
        <v>1</v>
      </c>
    </row>
    <row r="30" spans="1:29">
      <c r="A30" s="23" t="str">
        <f>Parameters!A16</f>
        <v>6EM7</v>
      </c>
      <c r="B30" s="23">
        <f>Parameters!B16</f>
        <v>5.0000000000000002E-5</v>
      </c>
      <c r="C30" s="24">
        <f>Parameters!C16</f>
        <v>2</v>
      </c>
      <c r="D30" s="24" t="str">
        <f>Parameters!D16</f>
        <v>SELL</v>
      </c>
      <c r="E30" s="23">
        <f>Parameters!E16</f>
        <v>1.10005</v>
      </c>
      <c r="F30" s="23">
        <f>Parameters!F16</f>
        <v>5.0000000000000001E-3</v>
      </c>
      <c r="G30" s="25">
        <f>Parameters!G16</f>
        <v>0.04</v>
      </c>
      <c r="H30" s="25">
        <f>Parameters!H16</f>
        <v>0</v>
      </c>
      <c r="I30" s="25">
        <f>Parameters!I16</f>
        <v>0</v>
      </c>
      <c r="J30" s="25">
        <f>Parameters!J16</f>
        <v>1</v>
      </c>
      <c r="K30" s="25">
        <f>Parameters!K16</f>
        <v>1</v>
      </c>
      <c r="L30" s="26">
        <f t="shared" ref="L30" si="39">L31</f>
        <v>1.09975</v>
      </c>
      <c r="M30" s="25">
        <f>Parameters!L16</f>
        <v>1</v>
      </c>
      <c r="N30" s="25">
        <f>Parameters!M16</f>
        <v>1</v>
      </c>
      <c r="O30" s="26">
        <f t="shared" ref="O30" si="40">O31</f>
        <v>1.1065499999999999</v>
      </c>
      <c r="P30" s="23">
        <f>Parameters!N16</f>
        <v>1</v>
      </c>
      <c r="Q30" s="23">
        <f>Parameters!O16</f>
        <v>100</v>
      </c>
      <c r="R30" s="23">
        <f>Parameters!P16</f>
        <v>10</v>
      </c>
      <c r="S30" s="23">
        <f>Parameters!Q16</f>
        <v>2</v>
      </c>
      <c r="T30" s="23">
        <f>Parameters!R16</f>
        <v>1</v>
      </c>
      <c r="U30" s="27">
        <f>Parameters!S16</f>
        <v>42741</v>
      </c>
      <c r="V30" s="28">
        <f>Parameters!T16</f>
        <v>0.30208333333333331</v>
      </c>
      <c r="W30" s="27">
        <f>Parameters!U16</f>
        <v>42964</v>
      </c>
      <c r="X30" s="28">
        <f>Parameters!V16</f>
        <v>0.65277777777777779</v>
      </c>
      <c r="Y30" s="26">
        <f>Parameters!W16</f>
        <v>28</v>
      </c>
      <c r="Z30" s="23">
        <f>Parameters!X16</f>
        <v>1</v>
      </c>
      <c r="AA30" s="27">
        <f>Parameters!Y16</f>
        <v>42964</v>
      </c>
      <c r="AB30" s="28">
        <f>Parameters!Z16</f>
        <v>0.65347222222222223</v>
      </c>
      <c r="AC30" s="23">
        <f>Parameters!AA16</f>
        <v>1</v>
      </c>
    </row>
    <row r="31" spans="1:29">
      <c r="A31" s="29" t="str">
        <f>UPPER(A30)</f>
        <v>6EM7</v>
      </c>
      <c r="B31" s="29">
        <f>B30</f>
        <v>5.0000000000000002E-5</v>
      </c>
      <c r="C31" s="30">
        <f>C30</f>
        <v>2</v>
      </c>
      <c r="D31" s="30" t="str">
        <f>D30</f>
        <v>SELL</v>
      </c>
      <c r="E31" s="29">
        <f>E30</f>
        <v>1.10005</v>
      </c>
      <c r="F31" s="29">
        <f>F30</f>
        <v>5.0000000000000001E-3</v>
      </c>
      <c r="G31" s="29">
        <f>IF(C30=1,IF(D30="BUY",E30+(ROUND(F30*G30/B30,0)*B30),E30-(ROUND(F30*G30/B30,0)*B30)),IF(D30="BUY",E30-(ROUND(F30*G30/B30,0)*B30),E30+(ROUND(F30*G30/B30,0)*B30)))</f>
        <v>1.10025</v>
      </c>
      <c r="H31" s="29">
        <f>IF(C30=1,IF(D30="BUY",G31-(ROUND(F30*H30/B30,0)*B30),G31+(ROUND(F30*H30/B30,0)*B30)),IF(D30="BUY",G31+(ROUND(F30*H30/B30,0)*B30),G31-(ROUND(F30*H30/B30,0)*B30)))</f>
        <v>1.10025</v>
      </c>
      <c r="I31" s="29">
        <f>IF(D30="BUY",G31+(ROUND(F30*I30/(B30*100),0)*B30),G31-(ROUND(F30*I30/(B30*100),0)*B30))</f>
        <v>1.10025</v>
      </c>
      <c r="J31" s="29">
        <f>IF(C30=1,IF(D30="BUY",E30+(ROUND(F30*J30/B30,0)*B30),E30-(ROUND(F30*J30/B30,0)*B30)),IF(D30="BUY",E30-(ROUND(F30*J30/B30,0)*B30),E30+(ROUND(F30*J30/B30,0)*B30)))</f>
        <v>1.1050499999999999</v>
      </c>
      <c r="K31" s="29">
        <f>IF(C30=1,IF(D30="BUY",E30-(ROUND(F30*K30/B30,0)*B30),E30+(ROUND(F30*K30/B30,0)*B30)),IF(D30="BUY",E30-(ROUND(F30*K30/B30,0)*B30),E30+(ROUND(F30*K30/B30,0)*B30)))</f>
        <v>1.1050499999999999</v>
      </c>
      <c r="L31" s="29">
        <f t="shared" ref="L31" si="41">IF(D31="BUY",I31+(R31*B31),I31-(R31*B31))</f>
        <v>1.09975</v>
      </c>
      <c r="M31" s="29">
        <f>IF(D30="BUY",E30+(ROUND(F30*M30/B30,0)*B30),E30-(ROUND(F30*M30/B30,0)*B30))</f>
        <v>1.0950500000000001</v>
      </c>
      <c r="N31" s="29">
        <f>IF(D30="BUY",E30-(ROUND(F30*N30/B30,0)*B30),E30+(ROUND(F30*N30/B30,0)*B30))</f>
        <v>1.1050499999999999</v>
      </c>
      <c r="O31" s="31">
        <f>IF(D31="BUY",N31-VLOOKUP(A31,Symbols!A$1:D$1000,4,FALSE),N31+VLOOKUP(A31,Symbols!A$1:D$1000,4,FALSE))</f>
        <v>1.1065499999999999</v>
      </c>
      <c r="P31" s="29">
        <f>P30</f>
        <v>1</v>
      </c>
      <c r="Q31" s="29">
        <f>Q30</f>
        <v>100</v>
      </c>
      <c r="R31" s="29">
        <f>R30</f>
        <v>10</v>
      </c>
      <c r="S31" s="29">
        <f>S30</f>
        <v>2</v>
      </c>
      <c r="T31" s="29">
        <f>T30</f>
        <v>1</v>
      </c>
      <c r="U31" s="29">
        <f>DATEDIF(DATE(1970,1,1),U30,"D")*86400</f>
        <v>1483660800</v>
      </c>
      <c r="V31" s="29">
        <f>HOUR(V30)*3600+MINUTE(V30)*60+SECOND(V30)</f>
        <v>26100</v>
      </c>
      <c r="W31" s="29">
        <f>DATEDIF(DATE(1970,1,1),W30,"D")*86400</f>
        <v>1502928000</v>
      </c>
      <c r="X31" s="29">
        <f>HOUR(X30)*3600+MINUTE(X30)*60+SECOND(X30)</f>
        <v>56400</v>
      </c>
      <c r="Y31" s="31">
        <f>(Y30*B31)</f>
        <v>1.4E-3</v>
      </c>
      <c r="Z31" s="29">
        <f>Z30</f>
        <v>1</v>
      </c>
      <c r="AA31" s="29">
        <f>DATEDIF(DATE(1970,1,1),AA30,"D")*86400</f>
        <v>1502928000</v>
      </c>
      <c r="AB31" s="29">
        <f>HOUR(AB30)*3600+MINUTE(AB30)*60+SECOND(AB30)</f>
        <v>56460</v>
      </c>
      <c r="AC31" s="29">
        <f>AC30</f>
        <v>1</v>
      </c>
    </row>
    <row r="32" spans="1:29">
      <c r="A32" s="23" t="str">
        <f>Parameters!A17</f>
        <v>6EM7</v>
      </c>
      <c r="B32" s="23">
        <f>Parameters!B17</f>
        <v>5.0000000000000002E-5</v>
      </c>
      <c r="C32" s="24">
        <f>Parameters!C17</f>
        <v>2</v>
      </c>
      <c r="D32" s="24" t="str">
        <f>Parameters!D17</f>
        <v>SELL</v>
      </c>
      <c r="E32" s="23">
        <f>Parameters!E17</f>
        <v>1.10005</v>
      </c>
      <c r="F32" s="23">
        <f>Parameters!F17</f>
        <v>5.0000000000000001E-3</v>
      </c>
      <c r="G32" s="25">
        <f>Parameters!G17</f>
        <v>0.05</v>
      </c>
      <c r="H32" s="25">
        <f>Parameters!H17</f>
        <v>0</v>
      </c>
      <c r="I32" s="25">
        <f>Parameters!I17</f>
        <v>0</v>
      </c>
      <c r="J32" s="25">
        <f>Parameters!J17</f>
        <v>1</v>
      </c>
      <c r="K32" s="25">
        <f>Parameters!K17</f>
        <v>1</v>
      </c>
      <c r="L32" s="26">
        <f t="shared" ref="L32" si="42">L33</f>
        <v>1.0998000000000001</v>
      </c>
      <c r="M32" s="25">
        <f>Parameters!L17</f>
        <v>1</v>
      </c>
      <c r="N32" s="25">
        <f>Parameters!M17</f>
        <v>1</v>
      </c>
      <c r="O32" s="26">
        <f t="shared" ref="O32" si="43">O33</f>
        <v>1.1065499999999999</v>
      </c>
      <c r="P32" s="23">
        <f>Parameters!N17</f>
        <v>1</v>
      </c>
      <c r="Q32" s="23">
        <f>Parameters!O17</f>
        <v>100</v>
      </c>
      <c r="R32" s="23">
        <f>Parameters!P17</f>
        <v>10</v>
      </c>
      <c r="S32" s="23">
        <f>Parameters!Q17</f>
        <v>2</v>
      </c>
      <c r="T32" s="23">
        <f>Parameters!R17</f>
        <v>1</v>
      </c>
      <c r="U32" s="27">
        <f>Parameters!S17</f>
        <v>42741</v>
      </c>
      <c r="V32" s="28">
        <f>Parameters!T17</f>
        <v>0.30208333333333331</v>
      </c>
      <c r="W32" s="27">
        <f>Parameters!U17</f>
        <v>42964</v>
      </c>
      <c r="X32" s="28">
        <f>Parameters!V17</f>
        <v>0.65277777777777779</v>
      </c>
      <c r="Y32" s="26">
        <f>Parameters!W17</f>
        <v>28</v>
      </c>
      <c r="Z32" s="23">
        <f>Parameters!X17</f>
        <v>1</v>
      </c>
      <c r="AA32" s="27">
        <f>Parameters!Y17</f>
        <v>42964</v>
      </c>
      <c r="AB32" s="28">
        <f>Parameters!Z17</f>
        <v>0.65347222222222223</v>
      </c>
      <c r="AC32" s="23">
        <f>Parameters!AA17</f>
        <v>1</v>
      </c>
    </row>
    <row r="33" spans="1:29">
      <c r="A33" s="29" t="str">
        <f>UPPER(A32)</f>
        <v>6EM7</v>
      </c>
      <c r="B33" s="29">
        <f>B32</f>
        <v>5.0000000000000002E-5</v>
      </c>
      <c r="C33" s="30">
        <f>C32</f>
        <v>2</v>
      </c>
      <c r="D33" s="30" t="str">
        <f>D32</f>
        <v>SELL</v>
      </c>
      <c r="E33" s="29">
        <f>E32</f>
        <v>1.10005</v>
      </c>
      <c r="F33" s="29">
        <f>F32</f>
        <v>5.0000000000000001E-3</v>
      </c>
      <c r="G33" s="29">
        <f>IF(C32=1,IF(D32="BUY",E32+(ROUND(F32*G32/B32,0)*B32),E32-(ROUND(F32*G32/B32,0)*B32)),IF(D32="BUY",E32-(ROUND(F32*G32/B32,0)*B32),E32+(ROUND(F32*G32/B32,0)*B32)))</f>
        <v>1.1003000000000001</v>
      </c>
      <c r="H33" s="29">
        <f>IF(C32=1,IF(D32="BUY",G33-(ROUND(F32*H32/B32,0)*B32),G33+(ROUND(F32*H32/B32,0)*B32)),IF(D32="BUY",G33+(ROUND(F32*H32/B32,0)*B32),G33-(ROUND(F32*H32/B32,0)*B32)))</f>
        <v>1.1003000000000001</v>
      </c>
      <c r="I33" s="29">
        <f>IF(D32="BUY",G33+(ROUND(F32*I32/(B32*100),0)*B32),G33-(ROUND(F32*I32/(B32*100),0)*B32))</f>
        <v>1.1003000000000001</v>
      </c>
      <c r="J33" s="29">
        <f>IF(C32=1,IF(D32="BUY",E32+(ROUND(F32*J32/B32,0)*B32),E32-(ROUND(F32*J32/B32,0)*B32)),IF(D32="BUY",E32-(ROUND(F32*J32/B32,0)*B32),E32+(ROUND(F32*J32/B32,0)*B32)))</f>
        <v>1.1050499999999999</v>
      </c>
      <c r="K33" s="29">
        <f>IF(C32=1,IF(D32="BUY",E32-(ROUND(F32*K32/B32,0)*B32),E32+(ROUND(F32*K32/B32,0)*B32)),IF(D32="BUY",E32-(ROUND(F32*K32/B32,0)*B32),E32+(ROUND(F32*K32/B32,0)*B32)))</f>
        <v>1.1050499999999999</v>
      </c>
      <c r="L33" s="29">
        <f t="shared" ref="L33" si="44">IF(D33="BUY",I33+(R33*B33),I33-(R33*B33))</f>
        <v>1.0998000000000001</v>
      </c>
      <c r="M33" s="29">
        <f>IF(D32="BUY",E32+(ROUND(F32*M32/B32,0)*B32),E32-(ROUND(F32*M32/B32,0)*B32))</f>
        <v>1.0950500000000001</v>
      </c>
      <c r="N33" s="29">
        <f>IF(D32="BUY",E32-(ROUND(F32*N32/B32,0)*B32),E32+(ROUND(F32*N32/B32,0)*B32))</f>
        <v>1.1050499999999999</v>
      </c>
      <c r="O33" s="31">
        <f>IF(D33="BUY",N33-VLOOKUP(A33,Symbols!A$1:D$1000,4,FALSE),N33+VLOOKUP(A33,Symbols!A$1:D$1000,4,FALSE))</f>
        <v>1.1065499999999999</v>
      </c>
      <c r="P33" s="29">
        <f>P32</f>
        <v>1</v>
      </c>
      <c r="Q33" s="29">
        <f>Q32</f>
        <v>100</v>
      </c>
      <c r="R33" s="29">
        <f>R32</f>
        <v>10</v>
      </c>
      <c r="S33" s="29">
        <f>S32</f>
        <v>2</v>
      </c>
      <c r="T33" s="29">
        <f>T32</f>
        <v>1</v>
      </c>
      <c r="U33" s="29">
        <f>DATEDIF(DATE(1970,1,1),U32,"D")*86400</f>
        <v>1483660800</v>
      </c>
      <c r="V33" s="29">
        <f>HOUR(V32)*3600+MINUTE(V32)*60+SECOND(V32)</f>
        <v>26100</v>
      </c>
      <c r="W33" s="29">
        <f>DATEDIF(DATE(1970,1,1),W32,"D")*86400</f>
        <v>1502928000</v>
      </c>
      <c r="X33" s="29">
        <f>HOUR(X32)*3600+MINUTE(X32)*60+SECOND(X32)</f>
        <v>56400</v>
      </c>
      <c r="Y33" s="31">
        <f>(Y32*B33)</f>
        <v>1.4E-3</v>
      </c>
      <c r="Z33" s="29">
        <f>Z32</f>
        <v>1</v>
      </c>
      <c r="AA33" s="29">
        <f>DATEDIF(DATE(1970,1,1),AA32,"D")*86400</f>
        <v>1502928000</v>
      </c>
      <c r="AB33" s="29">
        <f>HOUR(AB32)*3600+MINUTE(AB32)*60+SECOND(AB32)</f>
        <v>56460</v>
      </c>
      <c r="AC33" s="29">
        <f>AC32</f>
        <v>1</v>
      </c>
    </row>
    <row r="34" spans="1:29">
      <c r="A34" s="23" t="str">
        <f>Parameters!A18</f>
        <v>6EM7</v>
      </c>
      <c r="B34" s="23">
        <f>Parameters!B18</f>
        <v>5.0000000000000002E-5</v>
      </c>
      <c r="C34" s="24">
        <f>Parameters!C18</f>
        <v>2</v>
      </c>
      <c r="D34" s="24" t="str">
        <f>Parameters!D18</f>
        <v>SELL</v>
      </c>
      <c r="E34" s="23">
        <f>Parameters!E18</f>
        <v>1.10005</v>
      </c>
      <c r="F34" s="23">
        <f>Parameters!F18</f>
        <v>5.0000000000000001E-3</v>
      </c>
      <c r="G34" s="25">
        <f>Parameters!G18</f>
        <v>0.06</v>
      </c>
      <c r="H34" s="25">
        <f>Parameters!H18</f>
        <v>0</v>
      </c>
      <c r="I34" s="25">
        <f>Parameters!I18</f>
        <v>0</v>
      </c>
      <c r="J34" s="25">
        <f>Parameters!J18</f>
        <v>1</v>
      </c>
      <c r="K34" s="25">
        <f>Parameters!K18</f>
        <v>1</v>
      </c>
      <c r="L34" s="26">
        <f t="shared" ref="L34" si="45">L35</f>
        <v>1.09985</v>
      </c>
      <c r="M34" s="25">
        <f>Parameters!L18</f>
        <v>1</v>
      </c>
      <c r="N34" s="25">
        <f>Parameters!M18</f>
        <v>1</v>
      </c>
      <c r="O34" s="26">
        <f t="shared" ref="O34" si="46">O35</f>
        <v>1.1065499999999999</v>
      </c>
      <c r="P34" s="23">
        <f>Parameters!N18</f>
        <v>1</v>
      </c>
      <c r="Q34" s="23">
        <f>Parameters!O18</f>
        <v>100</v>
      </c>
      <c r="R34" s="23">
        <f>Parameters!P18</f>
        <v>10</v>
      </c>
      <c r="S34" s="23">
        <f>Parameters!Q18</f>
        <v>2</v>
      </c>
      <c r="T34" s="23">
        <f>Parameters!R18</f>
        <v>1</v>
      </c>
      <c r="U34" s="27">
        <f>Parameters!S18</f>
        <v>42741</v>
      </c>
      <c r="V34" s="28">
        <f>Parameters!T18</f>
        <v>0.30208333333333331</v>
      </c>
      <c r="W34" s="27">
        <f>Parameters!U18</f>
        <v>42964</v>
      </c>
      <c r="X34" s="28">
        <f>Parameters!V18</f>
        <v>0.65277777777777779</v>
      </c>
      <c r="Y34" s="26">
        <f>Parameters!W18</f>
        <v>28</v>
      </c>
      <c r="Z34" s="23">
        <f>Parameters!X18</f>
        <v>1</v>
      </c>
      <c r="AA34" s="27">
        <f>Parameters!Y18</f>
        <v>42964</v>
      </c>
      <c r="AB34" s="28">
        <f>Parameters!Z18</f>
        <v>0.65347222222222223</v>
      </c>
      <c r="AC34" s="23">
        <f>Parameters!AA18</f>
        <v>1</v>
      </c>
    </row>
    <row r="35" spans="1:29">
      <c r="A35" s="29" t="str">
        <f>UPPER(A34)</f>
        <v>6EM7</v>
      </c>
      <c r="B35" s="29">
        <f>B34</f>
        <v>5.0000000000000002E-5</v>
      </c>
      <c r="C35" s="30">
        <f>C34</f>
        <v>2</v>
      </c>
      <c r="D35" s="30" t="str">
        <f>D34</f>
        <v>SELL</v>
      </c>
      <c r="E35" s="29">
        <f>E34</f>
        <v>1.10005</v>
      </c>
      <c r="F35" s="29">
        <f>F34</f>
        <v>5.0000000000000001E-3</v>
      </c>
      <c r="G35" s="29">
        <f>IF(C34=1,IF(D34="BUY",E34+(ROUND(F34*G34/B34,0)*B34),E34-(ROUND(F34*G34/B34,0)*B34)),IF(D34="BUY",E34-(ROUND(F34*G34/B34,0)*B34),E34+(ROUND(F34*G34/B34,0)*B34)))</f>
        <v>1.1003499999999999</v>
      </c>
      <c r="H35" s="29">
        <f>IF(C34=1,IF(D34="BUY",G35-(ROUND(F34*H34/B34,0)*B34),G35+(ROUND(F34*H34/B34,0)*B34)),IF(D34="BUY",G35+(ROUND(F34*H34/B34,0)*B34),G35-(ROUND(F34*H34/B34,0)*B34)))</f>
        <v>1.1003499999999999</v>
      </c>
      <c r="I35" s="29">
        <f>IF(D34="BUY",G35+(ROUND(F34*I34/(B34*100),0)*B34),G35-(ROUND(F34*I34/(B34*100),0)*B34))</f>
        <v>1.1003499999999999</v>
      </c>
      <c r="J35" s="29">
        <f>IF(C34=1,IF(D34="BUY",E34+(ROUND(F34*J34/B34,0)*B34),E34-(ROUND(F34*J34/B34,0)*B34)),IF(D34="BUY",E34-(ROUND(F34*J34/B34,0)*B34),E34+(ROUND(F34*J34/B34,0)*B34)))</f>
        <v>1.1050499999999999</v>
      </c>
      <c r="K35" s="29">
        <f>IF(C34=1,IF(D34="BUY",E34-(ROUND(F34*K34/B34,0)*B34),E34+(ROUND(F34*K34/B34,0)*B34)),IF(D34="BUY",E34-(ROUND(F34*K34/B34,0)*B34),E34+(ROUND(F34*K34/B34,0)*B34)))</f>
        <v>1.1050499999999999</v>
      </c>
      <c r="L35" s="29">
        <f t="shared" ref="L35" si="47">IF(D35="BUY",I35+(R35*B35),I35-(R35*B35))</f>
        <v>1.09985</v>
      </c>
      <c r="M35" s="29">
        <f>IF(D34="BUY",E34+(ROUND(F34*M34/B34,0)*B34),E34-(ROUND(F34*M34/B34,0)*B34))</f>
        <v>1.0950500000000001</v>
      </c>
      <c r="N35" s="29">
        <f>IF(D34="BUY",E34-(ROUND(F34*N34/B34,0)*B34),E34+(ROUND(F34*N34/B34,0)*B34))</f>
        <v>1.1050499999999999</v>
      </c>
      <c r="O35" s="31">
        <f>IF(D35="BUY",N35-VLOOKUP(A35,Symbols!A$1:D$1000,4,FALSE),N35+VLOOKUP(A35,Symbols!A$1:D$1000,4,FALSE))</f>
        <v>1.1065499999999999</v>
      </c>
      <c r="P35" s="29">
        <f>P34</f>
        <v>1</v>
      </c>
      <c r="Q35" s="29">
        <f>Q34</f>
        <v>100</v>
      </c>
      <c r="R35" s="29">
        <f>R34</f>
        <v>10</v>
      </c>
      <c r="S35" s="29">
        <f>S34</f>
        <v>2</v>
      </c>
      <c r="T35" s="29">
        <f>T34</f>
        <v>1</v>
      </c>
      <c r="U35" s="29">
        <f>DATEDIF(DATE(1970,1,1),U34,"D")*86400</f>
        <v>1483660800</v>
      </c>
      <c r="V35" s="29">
        <f>HOUR(V34)*3600+MINUTE(V34)*60+SECOND(V34)</f>
        <v>26100</v>
      </c>
      <c r="W35" s="29">
        <f>DATEDIF(DATE(1970,1,1),W34,"D")*86400</f>
        <v>1502928000</v>
      </c>
      <c r="X35" s="29">
        <f>HOUR(X34)*3600+MINUTE(X34)*60+SECOND(X34)</f>
        <v>56400</v>
      </c>
      <c r="Y35" s="31">
        <f>(Y34*B35)</f>
        <v>1.4E-3</v>
      </c>
      <c r="Z35" s="29">
        <f>Z34</f>
        <v>1</v>
      </c>
      <c r="AA35" s="29">
        <f>DATEDIF(DATE(1970,1,1),AA34,"D")*86400</f>
        <v>1502928000</v>
      </c>
      <c r="AB35" s="29">
        <f>HOUR(AB34)*3600+MINUTE(AB34)*60+SECOND(AB34)</f>
        <v>56460</v>
      </c>
      <c r="AC35" s="29">
        <f>AC34</f>
        <v>1</v>
      </c>
    </row>
    <row r="36" spans="1:29">
      <c r="A36" s="23" t="str">
        <f>Parameters!A19</f>
        <v>6EM7</v>
      </c>
      <c r="B36" s="23">
        <f>Parameters!B19</f>
        <v>5.0000000000000002E-5</v>
      </c>
      <c r="C36" s="24">
        <f>Parameters!C19</f>
        <v>2</v>
      </c>
      <c r="D36" s="24" t="str">
        <f>Parameters!D19</f>
        <v>SELL</v>
      </c>
      <c r="E36" s="23">
        <f>Parameters!E19</f>
        <v>1.10005</v>
      </c>
      <c r="F36" s="23">
        <f>Parameters!F19</f>
        <v>5.0000000000000001E-3</v>
      </c>
      <c r="G36" s="25">
        <f>Parameters!G19</f>
        <v>7.0000000000000007E-2</v>
      </c>
      <c r="H36" s="25">
        <f>Parameters!H19</f>
        <v>0</v>
      </c>
      <c r="I36" s="25">
        <f>Parameters!I19</f>
        <v>0</v>
      </c>
      <c r="J36" s="25">
        <f>Parameters!J19</f>
        <v>1</v>
      </c>
      <c r="K36" s="25">
        <f>Parameters!K19</f>
        <v>1</v>
      </c>
      <c r="L36" s="26">
        <f t="shared" ref="L36" si="48">L37</f>
        <v>1.0999000000000001</v>
      </c>
      <c r="M36" s="25">
        <f>Parameters!L19</f>
        <v>1</v>
      </c>
      <c r="N36" s="25">
        <f>Parameters!M19</f>
        <v>1</v>
      </c>
      <c r="O36" s="26">
        <f t="shared" ref="O36" si="49">O37</f>
        <v>1.1065499999999999</v>
      </c>
      <c r="P36" s="23">
        <f>Parameters!N19</f>
        <v>1</v>
      </c>
      <c r="Q36" s="23">
        <f>Parameters!O19</f>
        <v>100</v>
      </c>
      <c r="R36" s="23">
        <f>Parameters!P19</f>
        <v>10</v>
      </c>
      <c r="S36" s="23">
        <f>Parameters!Q19</f>
        <v>2</v>
      </c>
      <c r="T36" s="23">
        <f>Parameters!R19</f>
        <v>1</v>
      </c>
      <c r="U36" s="27">
        <f>Parameters!S19</f>
        <v>42741</v>
      </c>
      <c r="V36" s="28">
        <f>Parameters!T19</f>
        <v>0.30208333333333331</v>
      </c>
      <c r="W36" s="27">
        <f>Parameters!U19</f>
        <v>42964</v>
      </c>
      <c r="X36" s="28">
        <f>Parameters!V19</f>
        <v>0.65277777777777779</v>
      </c>
      <c r="Y36" s="26">
        <f>Parameters!W19</f>
        <v>28</v>
      </c>
      <c r="Z36" s="23">
        <f>Parameters!X19</f>
        <v>1</v>
      </c>
      <c r="AA36" s="27">
        <f>Parameters!Y19</f>
        <v>42964</v>
      </c>
      <c r="AB36" s="28">
        <f>Parameters!Z19</f>
        <v>0.65347222222222223</v>
      </c>
      <c r="AC36" s="23">
        <f>Parameters!AA19</f>
        <v>1</v>
      </c>
    </row>
    <row r="37" spans="1:29">
      <c r="A37" s="29" t="str">
        <f>UPPER(A36)</f>
        <v>6EM7</v>
      </c>
      <c r="B37" s="29">
        <f>B36</f>
        <v>5.0000000000000002E-5</v>
      </c>
      <c r="C37" s="30">
        <f>C36</f>
        <v>2</v>
      </c>
      <c r="D37" s="30" t="str">
        <f>D36</f>
        <v>SELL</v>
      </c>
      <c r="E37" s="29">
        <f>E36</f>
        <v>1.10005</v>
      </c>
      <c r="F37" s="29">
        <f>F36</f>
        <v>5.0000000000000001E-3</v>
      </c>
      <c r="G37" s="29">
        <f>IF(C36=1,IF(D36="BUY",E36+(ROUND(F36*G36/B36,0)*B36),E36-(ROUND(F36*G36/B36,0)*B36)),IF(D36="BUY",E36-(ROUND(F36*G36/B36,0)*B36),E36+(ROUND(F36*G36/B36,0)*B36)))</f>
        <v>1.1004</v>
      </c>
      <c r="H37" s="29">
        <f>IF(C36=1,IF(D36="BUY",G37-(ROUND(F36*H36/B36,0)*B36),G37+(ROUND(F36*H36/B36,0)*B36)),IF(D36="BUY",G37+(ROUND(F36*H36/B36,0)*B36),G37-(ROUND(F36*H36/B36,0)*B36)))</f>
        <v>1.1004</v>
      </c>
      <c r="I37" s="29">
        <f>IF(D36="BUY",G37+(ROUND(F36*I36/(B36*100),0)*B36),G37-(ROUND(F36*I36/(B36*100),0)*B36))</f>
        <v>1.1004</v>
      </c>
      <c r="J37" s="29">
        <f>IF(C36=1,IF(D36="BUY",E36+(ROUND(F36*J36/B36,0)*B36),E36-(ROUND(F36*J36/B36,0)*B36)),IF(D36="BUY",E36-(ROUND(F36*J36/B36,0)*B36),E36+(ROUND(F36*J36/B36,0)*B36)))</f>
        <v>1.1050499999999999</v>
      </c>
      <c r="K37" s="29">
        <f>IF(C36=1,IF(D36="BUY",E36-(ROUND(F36*K36/B36,0)*B36),E36+(ROUND(F36*K36/B36,0)*B36)),IF(D36="BUY",E36-(ROUND(F36*K36/B36,0)*B36),E36+(ROUND(F36*K36/B36,0)*B36)))</f>
        <v>1.1050499999999999</v>
      </c>
      <c r="L37" s="29">
        <f t="shared" ref="L37" si="50">IF(D37="BUY",I37+(R37*B37),I37-(R37*B37))</f>
        <v>1.0999000000000001</v>
      </c>
      <c r="M37" s="29">
        <f>IF(D36="BUY",E36+(ROUND(F36*M36/B36,0)*B36),E36-(ROUND(F36*M36/B36,0)*B36))</f>
        <v>1.0950500000000001</v>
      </c>
      <c r="N37" s="29">
        <f>IF(D36="BUY",E36-(ROUND(F36*N36/B36,0)*B36),E36+(ROUND(F36*N36/B36,0)*B36))</f>
        <v>1.1050499999999999</v>
      </c>
      <c r="O37" s="31">
        <f>IF(D37="BUY",N37-VLOOKUP(A37,Symbols!A$1:D$1000,4,FALSE),N37+VLOOKUP(A37,Symbols!A$1:D$1000,4,FALSE))</f>
        <v>1.1065499999999999</v>
      </c>
      <c r="P37" s="29">
        <f>P36</f>
        <v>1</v>
      </c>
      <c r="Q37" s="29">
        <f>Q36</f>
        <v>100</v>
      </c>
      <c r="R37" s="29">
        <f>R36</f>
        <v>10</v>
      </c>
      <c r="S37" s="29">
        <f>S36</f>
        <v>2</v>
      </c>
      <c r="T37" s="29">
        <f>T36</f>
        <v>1</v>
      </c>
      <c r="U37" s="29">
        <f>DATEDIF(DATE(1970,1,1),U36,"D")*86400</f>
        <v>1483660800</v>
      </c>
      <c r="V37" s="29">
        <f>HOUR(V36)*3600+MINUTE(V36)*60+SECOND(V36)</f>
        <v>26100</v>
      </c>
      <c r="W37" s="29">
        <f>DATEDIF(DATE(1970,1,1),W36,"D")*86400</f>
        <v>1502928000</v>
      </c>
      <c r="X37" s="29">
        <f>HOUR(X36)*3600+MINUTE(X36)*60+SECOND(X36)</f>
        <v>56400</v>
      </c>
      <c r="Y37" s="31">
        <f>(Y36*B37)</f>
        <v>1.4E-3</v>
      </c>
      <c r="Z37" s="29">
        <f>Z36</f>
        <v>1</v>
      </c>
      <c r="AA37" s="29">
        <f>DATEDIF(DATE(1970,1,1),AA36,"D")*86400</f>
        <v>1502928000</v>
      </c>
      <c r="AB37" s="29">
        <f>HOUR(AB36)*3600+MINUTE(AB36)*60+SECOND(AB36)</f>
        <v>56460</v>
      </c>
      <c r="AC37" s="29">
        <f>AC36</f>
        <v>1</v>
      </c>
    </row>
    <row r="38" spans="1:29">
      <c r="A38" s="23" t="str">
        <f>Parameters!A20</f>
        <v>6EM7</v>
      </c>
      <c r="B38" s="23">
        <f>Parameters!B20</f>
        <v>5.0000000000000002E-5</v>
      </c>
      <c r="C38" s="24">
        <f>Parameters!C20</f>
        <v>2</v>
      </c>
      <c r="D38" s="24" t="str">
        <f>Parameters!D20</f>
        <v>SELL</v>
      </c>
      <c r="E38" s="23">
        <f>Parameters!E20</f>
        <v>1.10005</v>
      </c>
      <c r="F38" s="23">
        <f>Parameters!F20</f>
        <v>5.0000000000000001E-3</v>
      </c>
      <c r="G38" s="25">
        <f>Parameters!G20</f>
        <v>0.08</v>
      </c>
      <c r="H38" s="25">
        <f>Parameters!H20</f>
        <v>0</v>
      </c>
      <c r="I38" s="25">
        <f>Parameters!I20</f>
        <v>0</v>
      </c>
      <c r="J38" s="25">
        <f>Parameters!J20</f>
        <v>1</v>
      </c>
      <c r="K38" s="25">
        <f>Parameters!K20</f>
        <v>1</v>
      </c>
      <c r="L38" s="26">
        <f t="shared" ref="L38" si="51">L39</f>
        <v>1.09995</v>
      </c>
      <c r="M38" s="25">
        <f>Parameters!L20</f>
        <v>1</v>
      </c>
      <c r="N38" s="25">
        <f>Parameters!M20</f>
        <v>1</v>
      </c>
      <c r="O38" s="26">
        <f t="shared" ref="O38" si="52">O39</f>
        <v>1.1065499999999999</v>
      </c>
      <c r="P38" s="23">
        <f>Parameters!N20</f>
        <v>1</v>
      </c>
      <c r="Q38" s="23">
        <f>Parameters!O20</f>
        <v>100</v>
      </c>
      <c r="R38" s="23">
        <f>Parameters!P20</f>
        <v>10</v>
      </c>
      <c r="S38" s="23">
        <f>Parameters!Q20</f>
        <v>2</v>
      </c>
      <c r="T38" s="23">
        <f>Parameters!R20</f>
        <v>1</v>
      </c>
      <c r="U38" s="27">
        <f>Parameters!S20</f>
        <v>42741</v>
      </c>
      <c r="V38" s="28">
        <f>Parameters!T20</f>
        <v>0.30208333333333331</v>
      </c>
      <c r="W38" s="27">
        <f>Parameters!U20</f>
        <v>42964</v>
      </c>
      <c r="X38" s="28">
        <f>Parameters!V20</f>
        <v>0.65277777777777779</v>
      </c>
      <c r="Y38" s="26">
        <f>Parameters!W20</f>
        <v>28</v>
      </c>
      <c r="Z38" s="23">
        <f>Parameters!X20</f>
        <v>1</v>
      </c>
      <c r="AA38" s="27">
        <f>Parameters!Y20</f>
        <v>42964</v>
      </c>
      <c r="AB38" s="28">
        <f>Parameters!Z20</f>
        <v>0.65347222222222223</v>
      </c>
      <c r="AC38" s="23">
        <f>Parameters!AA20</f>
        <v>1</v>
      </c>
    </row>
    <row r="39" spans="1:29">
      <c r="A39" s="29" t="str">
        <f>UPPER(A38)</f>
        <v>6EM7</v>
      </c>
      <c r="B39" s="29">
        <f>B38</f>
        <v>5.0000000000000002E-5</v>
      </c>
      <c r="C39" s="30">
        <f>C38</f>
        <v>2</v>
      </c>
      <c r="D39" s="30" t="str">
        <f>D38</f>
        <v>SELL</v>
      </c>
      <c r="E39" s="29">
        <f>E38</f>
        <v>1.10005</v>
      </c>
      <c r="F39" s="29">
        <f>F38</f>
        <v>5.0000000000000001E-3</v>
      </c>
      <c r="G39" s="29">
        <f>IF(C38=1,IF(D38="BUY",E38+(ROUND(F38*G38/B38,0)*B38),E38-(ROUND(F38*G38/B38,0)*B38)),IF(D38="BUY",E38-(ROUND(F38*G38/B38,0)*B38),E38+(ROUND(F38*G38/B38,0)*B38)))</f>
        <v>1.1004499999999999</v>
      </c>
      <c r="H39" s="29">
        <f>IF(C38=1,IF(D38="BUY",G39-(ROUND(F38*H38/B38,0)*B38),G39+(ROUND(F38*H38/B38,0)*B38)),IF(D38="BUY",G39+(ROUND(F38*H38/B38,0)*B38),G39-(ROUND(F38*H38/B38,0)*B38)))</f>
        <v>1.1004499999999999</v>
      </c>
      <c r="I39" s="29">
        <f>IF(D38="BUY",G39+(ROUND(F38*I38/(B38*100),0)*B38),G39-(ROUND(F38*I38/(B38*100),0)*B38))</f>
        <v>1.1004499999999999</v>
      </c>
      <c r="J39" s="29">
        <f>IF(C38=1,IF(D38="BUY",E38+(ROUND(F38*J38/B38,0)*B38),E38-(ROUND(F38*J38/B38,0)*B38)),IF(D38="BUY",E38-(ROUND(F38*J38/B38,0)*B38),E38+(ROUND(F38*J38/B38,0)*B38)))</f>
        <v>1.1050499999999999</v>
      </c>
      <c r="K39" s="29">
        <f>IF(C38=1,IF(D38="BUY",E38-(ROUND(F38*K38/B38,0)*B38),E38+(ROUND(F38*K38/B38,0)*B38)),IF(D38="BUY",E38-(ROUND(F38*K38/B38,0)*B38),E38+(ROUND(F38*K38/B38,0)*B38)))</f>
        <v>1.1050499999999999</v>
      </c>
      <c r="L39" s="29">
        <f t="shared" ref="L39" si="53">IF(D39="BUY",I39+(R39*B39),I39-(R39*B39))</f>
        <v>1.09995</v>
      </c>
      <c r="M39" s="29">
        <f>IF(D38="BUY",E38+(ROUND(F38*M38/B38,0)*B38),E38-(ROUND(F38*M38/B38,0)*B38))</f>
        <v>1.0950500000000001</v>
      </c>
      <c r="N39" s="29">
        <f>IF(D38="BUY",E38-(ROUND(F38*N38/B38,0)*B38),E38+(ROUND(F38*N38/B38,0)*B38))</f>
        <v>1.1050499999999999</v>
      </c>
      <c r="O39" s="31">
        <f>IF(D39="BUY",N39-VLOOKUP(A39,Symbols!A$1:D$1000,4,FALSE),N39+VLOOKUP(A39,Symbols!A$1:D$1000,4,FALSE))</f>
        <v>1.1065499999999999</v>
      </c>
      <c r="P39" s="29">
        <f>P38</f>
        <v>1</v>
      </c>
      <c r="Q39" s="29">
        <f>Q38</f>
        <v>100</v>
      </c>
      <c r="R39" s="29">
        <f>R38</f>
        <v>10</v>
      </c>
      <c r="S39" s="29">
        <f>S38</f>
        <v>2</v>
      </c>
      <c r="T39" s="29">
        <f>T38</f>
        <v>1</v>
      </c>
      <c r="U39" s="29">
        <f>DATEDIF(DATE(1970,1,1),U38,"D")*86400</f>
        <v>1483660800</v>
      </c>
      <c r="V39" s="29">
        <f>HOUR(V38)*3600+MINUTE(V38)*60+SECOND(V38)</f>
        <v>26100</v>
      </c>
      <c r="W39" s="29">
        <f>DATEDIF(DATE(1970,1,1),W38,"D")*86400</f>
        <v>1502928000</v>
      </c>
      <c r="X39" s="29">
        <f>HOUR(X38)*3600+MINUTE(X38)*60+SECOND(X38)</f>
        <v>56400</v>
      </c>
      <c r="Y39" s="31">
        <f>(Y38*B39)</f>
        <v>1.4E-3</v>
      </c>
      <c r="Z39" s="29">
        <f>Z38</f>
        <v>1</v>
      </c>
      <c r="AA39" s="29">
        <f>DATEDIF(DATE(1970,1,1),AA38,"D")*86400</f>
        <v>1502928000</v>
      </c>
      <c r="AB39" s="29">
        <f>HOUR(AB38)*3600+MINUTE(AB38)*60+SECOND(AB38)</f>
        <v>56460</v>
      </c>
      <c r="AC39" s="29">
        <f>AC38</f>
        <v>1</v>
      </c>
    </row>
    <row r="40" spans="1:29">
      <c r="A40" s="23" t="str">
        <f>Parameters!A21</f>
        <v>6EM7</v>
      </c>
      <c r="B40" s="23">
        <f>Parameters!B21</f>
        <v>5.0000000000000002E-5</v>
      </c>
      <c r="C40" s="24">
        <f>Parameters!C21</f>
        <v>2</v>
      </c>
      <c r="D40" s="24" t="str">
        <f>Parameters!D21</f>
        <v>SELL</v>
      </c>
      <c r="E40" s="23">
        <f>Parameters!E21</f>
        <v>1.10005</v>
      </c>
      <c r="F40" s="23">
        <f>Parameters!F21</f>
        <v>5.0000000000000001E-3</v>
      </c>
      <c r="G40" s="25">
        <f>Parameters!G21</f>
        <v>0.09</v>
      </c>
      <c r="H40" s="25">
        <f>Parameters!H21</f>
        <v>0</v>
      </c>
      <c r="I40" s="25">
        <f>Parameters!I21</f>
        <v>0</v>
      </c>
      <c r="J40" s="25">
        <f>Parameters!J21</f>
        <v>1</v>
      </c>
      <c r="K40" s="25">
        <f>Parameters!K21</f>
        <v>1</v>
      </c>
      <c r="L40" s="26">
        <f t="shared" ref="L40" si="54">L41</f>
        <v>1.1000000000000001</v>
      </c>
      <c r="M40" s="25">
        <f>Parameters!L21</f>
        <v>1</v>
      </c>
      <c r="N40" s="25">
        <f>Parameters!M21</f>
        <v>1</v>
      </c>
      <c r="O40" s="26">
        <f t="shared" ref="O40" si="55">O41</f>
        <v>1.1065499999999999</v>
      </c>
      <c r="P40" s="23">
        <f>Parameters!N21</f>
        <v>1</v>
      </c>
      <c r="Q40" s="23">
        <f>Parameters!O21</f>
        <v>100</v>
      </c>
      <c r="R40" s="23">
        <f>Parameters!P21</f>
        <v>10</v>
      </c>
      <c r="S40" s="23">
        <f>Parameters!Q21</f>
        <v>2</v>
      </c>
      <c r="T40" s="23">
        <f>Parameters!R21</f>
        <v>1</v>
      </c>
      <c r="U40" s="27">
        <f>Parameters!S21</f>
        <v>42741</v>
      </c>
      <c r="V40" s="28">
        <f>Parameters!T21</f>
        <v>0.30208333333333331</v>
      </c>
      <c r="W40" s="27">
        <f>Parameters!U21</f>
        <v>42964</v>
      </c>
      <c r="X40" s="28">
        <f>Parameters!V21</f>
        <v>0.65277777777777779</v>
      </c>
      <c r="Y40" s="26">
        <f>Parameters!W21</f>
        <v>28</v>
      </c>
      <c r="Z40" s="23">
        <f>Parameters!X21</f>
        <v>1</v>
      </c>
      <c r="AA40" s="27">
        <f>Parameters!Y21</f>
        <v>42964</v>
      </c>
      <c r="AB40" s="28">
        <f>Parameters!Z21</f>
        <v>0.65347222222222223</v>
      </c>
      <c r="AC40" s="23">
        <f>Parameters!AA21</f>
        <v>1</v>
      </c>
    </row>
    <row r="41" spans="1:29">
      <c r="A41" s="29" t="str">
        <f>UPPER(A40)</f>
        <v>6EM7</v>
      </c>
      <c r="B41" s="29">
        <f>B40</f>
        <v>5.0000000000000002E-5</v>
      </c>
      <c r="C41" s="30">
        <f>C40</f>
        <v>2</v>
      </c>
      <c r="D41" s="30" t="str">
        <f>D40</f>
        <v>SELL</v>
      </c>
      <c r="E41" s="29">
        <f>E40</f>
        <v>1.10005</v>
      </c>
      <c r="F41" s="29">
        <f>F40</f>
        <v>5.0000000000000001E-3</v>
      </c>
      <c r="G41" s="29">
        <f>IF(C40=1,IF(D40="BUY",E40+(ROUND(F40*G40/B40,0)*B40),E40-(ROUND(F40*G40/B40,0)*B40)),IF(D40="BUY",E40-(ROUND(F40*G40/B40,0)*B40),E40+(ROUND(F40*G40/B40,0)*B40)))</f>
        <v>1.1005</v>
      </c>
      <c r="H41" s="29">
        <f>IF(C40=1,IF(D40="BUY",G41-(ROUND(F40*H40/B40,0)*B40),G41+(ROUND(F40*H40/B40,0)*B40)),IF(D40="BUY",G41+(ROUND(F40*H40/B40,0)*B40),G41-(ROUND(F40*H40/B40,0)*B40)))</f>
        <v>1.1005</v>
      </c>
      <c r="I41" s="29">
        <f>IF(D40="BUY",G41+(ROUND(F40*I40/(B40*100),0)*B40),G41-(ROUND(F40*I40/(B40*100),0)*B40))</f>
        <v>1.1005</v>
      </c>
      <c r="J41" s="29">
        <f>IF(C40=1,IF(D40="BUY",E40+(ROUND(F40*J40/B40,0)*B40),E40-(ROUND(F40*J40/B40,0)*B40)),IF(D40="BUY",E40-(ROUND(F40*J40/B40,0)*B40),E40+(ROUND(F40*J40/B40,0)*B40)))</f>
        <v>1.1050499999999999</v>
      </c>
      <c r="K41" s="29">
        <f>IF(C40=1,IF(D40="BUY",E40-(ROUND(F40*K40/B40,0)*B40),E40+(ROUND(F40*K40/B40,0)*B40)),IF(D40="BUY",E40-(ROUND(F40*K40/B40,0)*B40),E40+(ROUND(F40*K40/B40,0)*B40)))</f>
        <v>1.1050499999999999</v>
      </c>
      <c r="L41" s="29">
        <f t="shared" ref="L41" si="56">IF(D41="BUY",I41+(R41*B41),I41-(R41*B41))</f>
        <v>1.1000000000000001</v>
      </c>
      <c r="M41" s="29">
        <f>IF(D40="BUY",E40+(ROUND(F40*M40/B40,0)*B40),E40-(ROUND(F40*M40/B40,0)*B40))</f>
        <v>1.0950500000000001</v>
      </c>
      <c r="N41" s="29">
        <f>IF(D40="BUY",E40-(ROUND(F40*N40/B40,0)*B40),E40+(ROUND(F40*N40/B40,0)*B40))</f>
        <v>1.1050499999999999</v>
      </c>
      <c r="O41" s="31">
        <f>IF(D41="BUY",N41-VLOOKUP(A41,Symbols!A$1:D$1000,4,FALSE),N41+VLOOKUP(A41,Symbols!A$1:D$1000,4,FALSE))</f>
        <v>1.1065499999999999</v>
      </c>
      <c r="P41" s="29">
        <f>P40</f>
        <v>1</v>
      </c>
      <c r="Q41" s="29">
        <f>Q40</f>
        <v>100</v>
      </c>
      <c r="R41" s="29">
        <f>R40</f>
        <v>10</v>
      </c>
      <c r="S41" s="29">
        <f>S40</f>
        <v>2</v>
      </c>
      <c r="T41" s="29">
        <f>T40</f>
        <v>1</v>
      </c>
      <c r="U41" s="29">
        <f>DATEDIF(DATE(1970,1,1),U40,"D")*86400</f>
        <v>1483660800</v>
      </c>
      <c r="V41" s="29">
        <f>HOUR(V40)*3600+MINUTE(V40)*60+SECOND(V40)</f>
        <v>26100</v>
      </c>
      <c r="W41" s="29">
        <f>DATEDIF(DATE(1970,1,1),W40,"D")*86400</f>
        <v>1502928000</v>
      </c>
      <c r="X41" s="29">
        <f>HOUR(X40)*3600+MINUTE(X40)*60+SECOND(X40)</f>
        <v>56400</v>
      </c>
      <c r="Y41" s="31">
        <f>(Y40*B41)</f>
        <v>1.4E-3</v>
      </c>
      <c r="Z41" s="29">
        <f>Z40</f>
        <v>1</v>
      </c>
      <c r="AA41" s="29">
        <f>DATEDIF(DATE(1970,1,1),AA40,"D")*86400</f>
        <v>1502928000</v>
      </c>
      <c r="AB41" s="29">
        <f>HOUR(AB40)*3600+MINUTE(AB40)*60+SECOND(AB40)</f>
        <v>56460</v>
      </c>
      <c r="AC41" s="29">
        <f>AC40</f>
        <v>1</v>
      </c>
    </row>
    <row r="42" spans="1:29">
      <c r="A42" s="23" t="str">
        <f>Parameters!A22</f>
        <v>6BM7</v>
      </c>
      <c r="B42" s="23">
        <f>Parameters!B22</f>
        <v>1E-4</v>
      </c>
      <c r="C42" s="24">
        <f>Parameters!C22</f>
        <v>2</v>
      </c>
      <c r="D42" s="24" t="str">
        <f>Parameters!D22</f>
        <v>BUY</v>
      </c>
      <c r="E42" s="23">
        <f>Parameters!E22</f>
        <v>0</v>
      </c>
      <c r="F42" s="23">
        <f>Parameters!F22</f>
        <v>0.01</v>
      </c>
      <c r="G42" s="25">
        <f>Parameters!G22</f>
        <v>0</v>
      </c>
      <c r="H42" s="25">
        <f>Parameters!H22</f>
        <v>0</v>
      </c>
      <c r="I42" s="25">
        <f>Parameters!I22</f>
        <v>0</v>
      </c>
      <c r="J42" s="25">
        <f>Parameters!J22</f>
        <v>1</v>
      </c>
      <c r="K42" s="25">
        <f>Parameters!K22</f>
        <v>1</v>
      </c>
      <c r="L42" s="26">
        <f t="shared" ref="L42" si="57">L43</f>
        <v>1E-3</v>
      </c>
      <c r="M42" s="25">
        <f>Parameters!L22</f>
        <v>1</v>
      </c>
      <c r="N42" s="25">
        <f>Parameters!M22</f>
        <v>1</v>
      </c>
      <c r="O42" s="26">
        <f t="shared" ref="O42" si="58">O43</f>
        <v>-1.3000000000000001E-2</v>
      </c>
      <c r="P42" s="23">
        <f>Parameters!N22</f>
        <v>1</v>
      </c>
      <c r="Q42" s="23">
        <f>Parameters!O22</f>
        <v>100</v>
      </c>
      <c r="R42" s="23">
        <f>Parameters!P22</f>
        <v>10</v>
      </c>
      <c r="S42" s="23">
        <f>Parameters!Q22</f>
        <v>2</v>
      </c>
      <c r="T42" s="23">
        <f>Parameters!R22</f>
        <v>1</v>
      </c>
      <c r="U42" s="27">
        <f>Parameters!S22</f>
        <v>42741</v>
      </c>
      <c r="V42" s="28">
        <f>Parameters!T22</f>
        <v>0.30208333333333331</v>
      </c>
      <c r="W42" s="27">
        <f>Parameters!U22</f>
        <v>42964</v>
      </c>
      <c r="X42" s="28">
        <f>Parameters!V22</f>
        <v>0.65277777777777779</v>
      </c>
      <c r="Y42" s="26">
        <f>Parameters!W22</f>
        <v>28</v>
      </c>
      <c r="Z42" s="23">
        <f>Parameters!X22</f>
        <v>1</v>
      </c>
      <c r="AA42" s="27">
        <f>Parameters!Y22</f>
        <v>42964</v>
      </c>
      <c r="AB42" s="28">
        <f>Parameters!Z22</f>
        <v>0.65347222222222223</v>
      </c>
      <c r="AC42" s="23">
        <f>Parameters!AA22</f>
        <v>1</v>
      </c>
    </row>
    <row r="43" spans="1:29">
      <c r="A43" s="29" t="str">
        <f>UPPER(A42)</f>
        <v>6BM7</v>
      </c>
      <c r="B43" s="29">
        <f>B42</f>
        <v>1E-4</v>
      </c>
      <c r="C43" s="30">
        <f>C42</f>
        <v>2</v>
      </c>
      <c r="D43" s="30" t="str">
        <f>D42</f>
        <v>BUY</v>
      </c>
      <c r="E43" s="29">
        <f>E42</f>
        <v>0</v>
      </c>
      <c r="F43" s="29">
        <f>F42</f>
        <v>0.01</v>
      </c>
      <c r="G43" s="29">
        <f>IF(C42=1,IF(D42="BUY",E42+(ROUND(F42*G42/B42,0)*B42),E42-(ROUND(F42*G42/B42,0)*B42)),IF(D42="BUY",E42-(ROUND(F42*G42/B42,0)*B42),E42+(ROUND(F42*G42/B42,0)*B42)))</f>
        <v>0</v>
      </c>
      <c r="H43" s="29">
        <f>IF(C42=1,IF(D42="BUY",G43-(ROUND(F42*H42/B42,0)*B42),G43+(ROUND(F42*H42/B42,0)*B42)),IF(D42="BUY",G43+(ROUND(F42*H42/B42,0)*B42),G43-(ROUND(F42*H42/B42,0)*B42)))</f>
        <v>0</v>
      </c>
      <c r="I43" s="29">
        <f>IF(D42="BUY",G43+(ROUND(F42*I42/(B42*100),0)*B42),G43-(ROUND(F42*I42/(B42*100),0)*B42))</f>
        <v>0</v>
      </c>
      <c r="J43" s="29">
        <f>IF(C42=1,IF(D42="BUY",E42+(ROUND(F42*J42/B42,0)*B42),E42-(ROUND(F42*J42/B42,0)*B42)),IF(D42="BUY",E42-(ROUND(F42*J42/B42,0)*B42),E42+(ROUND(F42*J42/B42,0)*B42)))</f>
        <v>-0.01</v>
      </c>
      <c r="K43" s="29">
        <f>IF(C42=1,IF(D42="BUY",E42-(ROUND(F42*K42/B42,0)*B42),E42+(ROUND(F42*K42/B42,0)*B42)),IF(D42="BUY",E42-(ROUND(F42*K42/B42,0)*B42),E42+(ROUND(F42*K42/B42,0)*B42)))</f>
        <v>-0.01</v>
      </c>
      <c r="L43" s="29">
        <f t="shared" ref="L43" si="59">IF(D43="BUY",I43+(R43*B43),I43-(R43*B43))</f>
        <v>1E-3</v>
      </c>
      <c r="M43" s="29">
        <f>IF(D42="BUY",E42+(ROUND(F42*M42/B42,0)*B42),E42-(ROUND(F42*M42/B42,0)*B42))</f>
        <v>0.01</v>
      </c>
      <c r="N43" s="29">
        <f>IF(D42="BUY",E42-(ROUND(F42*N42/B42,0)*B42),E42+(ROUND(F42*N42/B42,0)*B42))</f>
        <v>-0.01</v>
      </c>
      <c r="O43" s="31">
        <f>IF(D43="BUY",N43-VLOOKUP(A43,Symbols!A$1:D$1000,4,FALSE),N43+VLOOKUP(A43,Symbols!A$1:D$1000,4,FALSE))</f>
        <v>-1.3000000000000001E-2</v>
      </c>
      <c r="P43" s="29">
        <f>P42</f>
        <v>1</v>
      </c>
      <c r="Q43" s="29">
        <f>Q42</f>
        <v>100</v>
      </c>
      <c r="R43" s="29">
        <f>R42</f>
        <v>10</v>
      </c>
      <c r="S43" s="29">
        <f>S42</f>
        <v>2</v>
      </c>
      <c r="T43" s="29">
        <f>T42</f>
        <v>1</v>
      </c>
      <c r="U43" s="29">
        <f>DATEDIF(DATE(1970,1,1),U42,"D")*86400</f>
        <v>1483660800</v>
      </c>
      <c r="V43" s="29">
        <f>HOUR(V42)*3600+MINUTE(V42)*60+SECOND(V42)</f>
        <v>26100</v>
      </c>
      <c r="W43" s="29">
        <f>DATEDIF(DATE(1970,1,1),W42,"D")*86400</f>
        <v>1502928000</v>
      </c>
      <c r="X43" s="29">
        <f>HOUR(X42)*3600+MINUTE(X42)*60+SECOND(X42)</f>
        <v>56400</v>
      </c>
      <c r="Y43" s="31">
        <f>(Y42*B43)</f>
        <v>2.8E-3</v>
      </c>
      <c r="Z43" s="29">
        <f>Z42</f>
        <v>1</v>
      </c>
      <c r="AA43" s="29">
        <f>DATEDIF(DATE(1970,1,1),AA42,"D")*86400</f>
        <v>1502928000</v>
      </c>
      <c r="AB43" s="29">
        <f>HOUR(AB42)*3600+MINUTE(AB42)*60+SECOND(AB42)</f>
        <v>56460</v>
      </c>
      <c r="AC43" s="29">
        <f>AC42</f>
        <v>1</v>
      </c>
    </row>
    <row r="44" spans="1:29">
      <c r="A44" s="23" t="str">
        <f>Parameters!A23</f>
        <v>6BM7</v>
      </c>
      <c r="B44" s="23">
        <f>Parameters!B23</f>
        <v>1E-4</v>
      </c>
      <c r="C44" s="24">
        <f>Parameters!C23</f>
        <v>2</v>
      </c>
      <c r="D44" s="24" t="str">
        <f>Parameters!D23</f>
        <v>BUY</v>
      </c>
      <c r="E44" s="23">
        <f>Parameters!E23</f>
        <v>0</v>
      </c>
      <c r="F44" s="23">
        <f>Parameters!F23</f>
        <v>0.01</v>
      </c>
      <c r="G44" s="25">
        <f>Parameters!G23</f>
        <v>0.01</v>
      </c>
      <c r="H44" s="25">
        <f>Parameters!H23</f>
        <v>0</v>
      </c>
      <c r="I44" s="25">
        <f>Parameters!I23</f>
        <v>0</v>
      </c>
      <c r="J44" s="25">
        <f>Parameters!J23</f>
        <v>1</v>
      </c>
      <c r="K44" s="25">
        <f>Parameters!K23</f>
        <v>1</v>
      </c>
      <c r="L44" s="26">
        <f t="shared" ref="L44" si="60">L45</f>
        <v>8.9999999999999998E-4</v>
      </c>
      <c r="M44" s="25">
        <f>Parameters!L23</f>
        <v>1</v>
      </c>
      <c r="N44" s="25">
        <f>Parameters!M23</f>
        <v>1</v>
      </c>
      <c r="O44" s="26">
        <f t="shared" ref="O44" si="61">O45</f>
        <v>-1.3000000000000001E-2</v>
      </c>
      <c r="P44" s="23">
        <f>Parameters!N23</f>
        <v>1</v>
      </c>
      <c r="Q44" s="23">
        <f>Parameters!O23</f>
        <v>100</v>
      </c>
      <c r="R44" s="23">
        <f>Parameters!P23</f>
        <v>10</v>
      </c>
      <c r="S44" s="23">
        <f>Parameters!Q23</f>
        <v>2</v>
      </c>
      <c r="T44" s="23">
        <f>Parameters!R23</f>
        <v>1</v>
      </c>
      <c r="U44" s="27">
        <f>Parameters!S23</f>
        <v>42741</v>
      </c>
      <c r="V44" s="28">
        <f>Parameters!T23</f>
        <v>0.30208333333333331</v>
      </c>
      <c r="W44" s="27">
        <f>Parameters!U23</f>
        <v>42964</v>
      </c>
      <c r="X44" s="28">
        <f>Parameters!V23</f>
        <v>0.65277777777777779</v>
      </c>
      <c r="Y44" s="26">
        <f>Parameters!W23</f>
        <v>28</v>
      </c>
      <c r="Z44" s="23">
        <f>Parameters!X23</f>
        <v>1</v>
      </c>
      <c r="AA44" s="27">
        <f>Parameters!Y23</f>
        <v>42964</v>
      </c>
      <c r="AB44" s="28">
        <f>Parameters!Z23</f>
        <v>0.65347222222222223</v>
      </c>
      <c r="AC44" s="23">
        <f>Parameters!AA23</f>
        <v>1</v>
      </c>
    </row>
    <row r="45" spans="1:29">
      <c r="A45" s="29" t="str">
        <f>UPPER(A44)</f>
        <v>6BM7</v>
      </c>
      <c r="B45" s="29">
        <f>B44</f>
        <v>1E-4</v>
      </c>
      <c r="C45" s="30">
        <f>C44</f>
        <v>2</v>
      </c>
      <c r="D45" s="30" t="str">
        <f>D44</f>
        <v>BUY</v>
      </c>
      <c r="E45" s="29">
        <f>E44</f>
        <v>0</v>
      </c>
      <c r="F45" s="29">
        <f>F44</f>
        <v>0.01</v>
      </c>
      <c r="G45" s="29">
        <f>IF(C44=1,IF(D44="BUY",E44+(ROUND(F44*G44/B44,0)*B44),E44-(ROUND(F44*G44/B44,0)*B44)),IF(D44="BUY",E44-(ROUND(F44*G44/B44,0)*B44),E44+(ROUND(F44*G44/B44,0)*B44)))</f>
        <v>-1E-4</v>
      </c>
      <c r="H45" s="29">
        <f>IF(C44=1,IF(D44="BUY",G45-(ROUND(F44*H44/B44,0)*B44),G45+(ROUND(F44*H44/B44,0)*B44)),IF(D44="BUY",G45+(ROUND(F44*H44/B44,0)*B44),G45-(ROUND(F44*H44/B44,0)*B44)))</f>
        <v>-1E-4</v>
      </c>
      <c r="I45" s="29">
        <f>IF(D44="BUY",G45+(ROUND(F44*I44/(B44*100),0)*B44),G45-(ROUND(F44*I44/(B44*100),0)*B44))</f>
        <v>-1E-4</v>
      </c>
      <c r="J45" s="29">
        <f>IF(C44=1,IF(D44="BUY",E44+(ROUND(F44*J44/B44,0)*B44),E44-(ROUND(F44*J44/B44,0)*B44)),IF(D44="BUY",E44-(ROUND(F44*J44/B44,0)*B44),E44+(ROUND(F44*J44/B44,0)*B44)))</f>
        <v>-0.01</v>
      </c>
      <c r="K45" s="29">
        <f>IF(C44=1,IF(D44="BUY",E44-(ROUND(F44*K44/B44,0)*B44),E44+(ROUND(F44*K44/B44,0)*B44)),IF(D44="BUY",E44-(ROUND(F44*K44/B44,0)*B44),E44+(ROUND(F44*K44/B44,0)*B44)))</f>
        <v>-0.01</v>
      </c>
      <c r="L45" s="29">
        <f t="shared" ref="L45" si="62">IF(D45="BUY",I45+(R45*B45),I45-(R45*B45))</f>
        <v>8.9999999999999998E-4</v>
      </c>
      <c r="M45" s="29">
        <f>IF(D44="BUY",E44+(ROUND(F44*M44/B44,0)*B44),E44-(ROUND(F44*M44/B44,0)*B44))</f>
        <v>0.01</v>
      </c>
      <c r="N45" s="29">
        <f>IF(D44="BUY",E44-(ROUND(F44*N44/B44,0)*B44),E44+(ROUND(F44*N44/B44,0)*B44))</f>
        <v>-0.01</v>
      </c>
      <c r="O45" s="31">
        <f>IF(D45="BUY",N45-VLOOKUP(A45,Symbols!A$1:D$1000,4,FALSE),N45+VLOOKUP(A45,Symbols!A$1:D$1000,4,FALSE))</f>
        <v>-1.3000000000000001E-2</v>
      </c>
      <c r="P45" s="29">
        <f>P44</f>
        <v>1</v>
      </c>
      <c r="Q45" s="29">
        <f>Q44</f>
        <v>100</v>
      </c>
      <c r="R45" s="29">
        <f>R44</f>
        <v>10</v>
      </c>
      <c r="S45" s="29">
        <f>S44</f>
        <v>2</v>
      </c>
      <c r="T45" s="29">
        <f>T44</f>
        <v>1</v>
      </c>
      <c r="U45" s="29">
        <f>DATEDIF(DATE(1970,1,1),U44,"D")*86400</f>
        <v>1483660800</v>
      </c>
      <c r="V45" s="29">
        <f>HOUR(V44)*3600+MINUTE(V44)*60+SECOND(V44)</f>
        <v>26100</v>
      </c>
      <c r="W45" s="29">
        <f>DATEDIF(DATE(1970,1,1),W44,"D")*86400</f>
        <v>1502928000</v>
      </c>
      <c r="X45" s="29">
        <f>HOUR(X44)*3600+MINUTE(X44)*60+SECOND(X44)</f>
        <v>56400</v>
      </c>
      <c r="Y45" s="31">
        <f>(Y44*B45)</f>
        <v>2.8E-3</v>
      </c>
      <c r="Z45" s="29">
        <f>Z44</f>
        <v>1</v>
      </c>
      <c r="AA45" s="29">
        <f>DATEDIF(DATE(1970,1,1),AA44,"D")*86400</f>
        <v>1502928000</v>
      </c>
      <c r="AB45" s="29">
        <f>HOUR(AB44)*3600+MINUTE(AB44)*60+SECOND(AB44)</f>
        <v>56460</v>
      </c>
      <c r="AC45" s="29">
        <f>AC44</f>
        <v>1</v>
      </c>
    </row>
    <row r="46" spans="1:29">
      <c r="A46" s="23" t="str">
        <f>Parameters!A24</f>
        <v>6BM7</v>
      </c>
      <c r="B46" s="23">
        <f>Parameters!B24</f>
        <v>1E-4</v>
      </c>
      <c r="C46" s="24">
        <f>Parameters!C24</f>
        <v>2</v>
      </c>
      <c r="D46" s="24" t="str">
        <f>Parameters!D24</f>
        <v>BUY</v>
      </c>
      <c r="E46" s="23">
        <f>Parameters!E24</f>
        <v>0</v>
      </c>
      <c r="F46" s="23">
        <f>Parameters!F24</f>
        <v>0.01</v>
      </c>
      <c r="G46" s="25">
        <f>Parameters!G24</f>
        <v>0.02</v>
      </c>
      <c r="H46" s="25">
        <f>Parameters!H24</f>
        <v>0</v>
      </c>
      <c r="I46" s="25">
        <f>Parameters!I24</f>
        <v>0</v>
      </c>
      <c r="J46" s="25">
        <f>Parameters!J24</f>
        <v>1</v>
      </c>
      <c r="K46" s="25">
        <f>Parameters!K24</f>
        <v>1</v>
      </c>
      <c r="L46" s="26">
        <f t="shared" ref="L46" si="63">L47</f>
        <v>8.0000000000000004E-4</v>
      </c>
      <c r="M46" s="25">
        <f>Parameters!L24</f>
        <v>1</v>
      </c>
      <c r="N46" s="25">
        <f>Parameters!M24</f>
        <v>1</v>
      </c>
      <c r="O46" s="26">
        <f t="shared" ref="O46" si="64">O47</f>
        <v>-1.3000000000000001E-2</v>
      </c>
      <c r="P46" s="23">
        <f>Parameters!N24</f>
        <v>1</v>
      </c>
      <c r="Q46" s="23">
        <f>Parameters!O24</f>
        <v>100</v>
      </c>
      <c r="R46" s="23">
        <f>Parameters!P24</f>
        <v>10</v>
      </c>
      <c r="S46" s="23">
        <f>Parameters!Q24</f>
        <v>2</v>
      </c>
      <c r="T46" s="23">
        <f>Parameters!R24</f>
        <v>1</v>
      </c>
      <c r="U46" s="27">
        <f>Parameters!S24</f>
        <v>42741</v>
      </c>
      <c r="V46" s="28">
        <f>Parameters!T24</f>
        <v>0.30208333333333331</v>
      </c>
      <c r="W46" s="27">
        <f>Parameters!U24</f>
        <v>42964</v>
      </c>
      <c r="X46" s="28">
        <f>Parameters!V24</f>
        <v>0.65277777777777779</v>
      </c>
      <c r="Y46" s="26">
        <f>Parameters!W24</f>
        <v>28</v>
      </c>
      <c r="Z46" s="23">
        <f>Parameters!X24</f>
        <v>1</v>
      </c>
      <c r="AA46" s="27">
        <f>Parameters!Y24</f>
        <v>42964</v>
      </c>
      <c r="AB46" s="28">
        <f>Parameters!Z24</f>
        <v>0.65347222222222223</v>
      </c>
      <c r="AC46" s="23">
        <f>Parameters!AA24</f>
        <v>1</v>
      </c>
    </row>
    <row r="47" spans="1:29">
      <c r="A47" s="29" t="str">
        <f>UPPER(A46)</f>
        <v>6BM7</v>
      </c>
      <c r="B47" s="29">
        <f>B46</f>
        <v>1E-4</v>
      </c>
      <c r="C47" s="30">
        <f>C46</f>
        <v>2</v>
      </c>
      <c r="D47" s="30" t="str">
        <f>D46</f>
        <v>BUY</v>
      </c>
      <c r="E47" s="29">
        <f>E46</f>
        <v>0</v>
      </c>
      <c r="F47" s="29">
        <f>F46</f>
        <v>0.01</v>
      </c>
      <c r="G47" s="29">
        <f>IF(C46=1,IF(D46="BUY",E46+(ROUND(F46*G46/B46,0)*B46),E46-(ROUND(F46*G46/B46,0)*B46)),IF(D46="BUY",E46-(ROUND(F46*G46/B46,0)*B46),E46+(ROUND(F46*G46/B46,0)*B46)))</f>
        <v>-2.0000000000000001E-4</v>
      </c>
      <c r="H47" s="29">
        <f>IF(C46=1,IF(D46="BUY",G47-(ROUND(F46*H46/B46,0)*B46),G47+(ROUND(F46*H46/B46,0)*B46)),IF(D46="BUY",G47+(ROUND(F46*H46/B46,0)*B46),G47-(ROUND(F46*H46/B46,0)*B46)))</f>
        <v>-2.0000000000000001E-4</v>
      </c>
      <c r="I47" s="29">
        <f>IF(D46="BUY",G47+(ROUND(F46*I46/(B46*100),0)*B46),G47-(ROUND(F46*I46/(B46*100),0)*B46))</f>
        <v>-2.0000000000000001E-4</v>
      </c>
      <c r="J47" s="29">
        <f>IF(C46=1,IF(D46="BUY",E46+(ROUND(F46*J46/B46,0)*B46),E46-(ROUND(F46*J46/B46,0)*B46)),IF(D46="BUY",E46-(ROUND(F46*J46/B46,0)*B46),E46+(ROUND(F46*J46/B46,0)*B46)))</f>
        <v>-0.01</v>
      </c>
      <c r="K47" s="29">
        <f>IF(C46=1,IF(D46="BUY",E46-(ROUND(F46*K46/B46,0)*B46),E46+(ROUND(F46*K46/B46,0)*B46)),IF(D46="BUY",E46-(ROUND(F46*K46/B46,0)*B46),E46+(ROUND(F46*K46/B46,0)*B46)))</f>
        <v>-0.01</v>
      </c>
      <c r="L47" s="29">
        <f t="shared" ref="L47" si="65">IF(D47="BUY",I47+(R47*B47),I47-(R47*B47))</f>
        <v>8.0000000000000004E-4</v>
      </c>
      <c r="M47" s="29">
        <f>IF(D46="BUY",E46+(ROUND(F46*M46/B46,0)*B46),E46-(ROUND(F46*M46/B46,0)*B46))</f>
        <v>0.01</v>
      </c>
      <c r="N47" s="29">
        <f>IF(D46="BUY",E46-(ROUND(F46*N46/B46,0)*B46),E46+(ROUND(F46*N46/B46,0)*B46))</f>
        <v>-0.01</v>
      </c>
      <c r="O47" s="31">
        <f>IF(D47="BUY",N47-VLOOKUP(A47,Symbols!A$1:D$1000,4,FALSE),N47+VLOOKUP(A47,Symbols!A$1:D$1000,4,FALSE))</f>
        <v>-1.3000000000000001E-2</v>
      </c>
      <c r="P47" s="29">
        <f>P46</f>
        <v>1</v>
      </c>
      <c r="Q47" s="29">
        <f>Q46</f>
        <v>100</v>
      </c>
      <c r="R47" s="29">
        <f>R46</f>
        <v>10</v>
      </c>
      <c r="S47" s="29">
        <f>S46</f>
        <v>2</v>
      </c>
      <c r="T47" s="29">
        <f>T46</f>
        <v>1</v>
      </c>
      <c r="U47" s="29">
        <f>DATEDIF(DATE(1970,1,1),U46,"D")*86400</f>
        <v>1483660800</v>
      </c>
      <c r="V47" s="29">
        <f>HOUR(V46)*3600+MINUTE(V46)*60+SECOND(V46)</f>
        <v>26100</v>
      </c>
      <c r="W47" s="29">
        <f>DATEDIF(DATE(1970,1,1),W46,"D")*86400</f>
        <v>1502928000</v>
      </c>
      <c r="X47" s="29">
        <f>HOUR(X46)*3600+MINUTE(X46)*60+SECOND(X46)</f>
        <v>56400</v>
      </c>
      <c r="Y47" s="31">
        <f>(Y46*B47)</f>
        <v>2.8E-3</v>
      </c>
      <c r="Z47" s="29">
        <f>Z46</f>
        <v>1</v>
      </c>
      <c r="AA47" s="29">
        <f>DATEDIF(DATE(1970,1,1),AA46,"D")*86400</f>
        <v>1502928000</v>
      </c>
      <c r="AB47" s="29">
        <f>HOUR(AB46)*3600+MINUTE(AB46)*60+SECOND(AB46)</f>
        <v>56460</v>
      </c>
      <c r="AC47" s="29">
        <f>AC46</f>
        <v>1</v>
      </c>
    </row>
    <row r="48" spans="1:29">
      <c r="A48" s="23" t="str">
        <f>Parameters!A25</f>
        <v>6BM7</v>
      </c>
      <c r="B48" s="23">
        <f>Parameters!B25</f>
        <v>1E-4</v>
      </c>
      <c r="C48" s="24">
        <f>Parameters!C25</f>
        <v>2</v>
      </c>
      <c r="D48" s="24" t="str">
        <f>Parameters!D25</f>
        <v>BUY</v>
      </c>
      <c r="E48" s="23">
        <f>Parameters!E25</f>
        <v>0</v>
      </c>
      <c r="F48" s="23">
        <f>Parameters!F25</f>
        <v>0.01</v>
      </c>
      <c r="G48" s="25">
        <f>Parameters!G25</f>
        <v>0.03</v>
      </c>
      <c r="H48" s="25">
        <f>Parameters!H25</f>
        <v>0</v>
      </c>
      <c r="I48" s="25">
        <f>Parameters!I25</f>
        <v>0</v>
      </c>
      <c r="J48" s="25">
        <f>Parameters!J25</f>
        <v>1</v>
      </c>
      <c r="K48" s="25">
        <f>Parameters!K25</f>
        <v>1</v>
      </c>
      <c r="L48" s="26">
        <f t="shared" ref="L48" si="66">L49</f>
        <v>6.9999999999999999E-4</v>
      </c>
      <c r="M48" s="25">
        <f>Parameters!L25</f>
        <v>1</v>
      </c>
      <c r="N48" s="25">
        <f>Parameters!M25</f>
        <v>1</v>
      </c>
      <c r="O48" s="26">
        <f t="shared" ref="O48" si="67">O49</f>
        <v>-1.3000000000000001E-2</v>
      </c>
      <c r="P48" s="23">
        <f>Parameters!N25</f>
        <v>1</v>
      </c>
      <c r="Q48" s="23">
        <f>Parameters!O25</f>
        <v>100</v>
      </c>
      <c r="R48" s="23">
        <f>Parameters!P25</f>
        <v>10</v>
      </c>
      <c r="S48" s="23">
        <f>Parameters!Q25</f>
        <v>2</v>
      </c>
      <c r="T48" s="23">
        <f>Parameters!R25</f>
        <v>1</v>
      </c>
      <c r="U48" s="27">
        <f>Parameters!S25</f>
        <v>42741</v>
      </c>
      <c r="V48" s="28">
        <f>Parameters!T25</f>
        <v>0.30208333333333331</v>
      </c>
      <c r="W48" s="27">
        <f>Parameters!U25</f>
        <v>42964</v>
      </c>
      <c r="X48" s="28">
        <f>Parameters!V25</f>
        <v>0.65277777777777779</v>
      </c>
      <c r="Y48" s="26">
        <f>Parameters!W25</f>
        <v>28</v>
      </c>
      <c r="Z48" s="23">
        <f>Parameters!X25</f>
        <v>1</v>
      </c>
      <c r="AA48" s="27">
        <f>Parameters!Y25</f>
        <v>42964</v>
      </c>
      <c r="AB48" s="28">
        <f>Parameters!Z25</f>
        <v>0.65347222222222223</v>
      </c>
      <c r="AC48" s="23">
        <f>Parameters!AA25</f>
        <v>1</v>
      </c>
    </row>
    <row r="49" spans="1:29">
      <c r="A49" s="29" t="str">
        <f>UPPER(A48)</f>
        <v>6BM7</v>
      </c>
      <c r="B49" s="29">
        <f>B48</f>
        <v>1E-4</v>
      </c>
      <c r="C49" s="30">
        <f>C48</f>
        <v>2</v>
      </c>
      <c r="D49" s="30" t="str">
        <f>D48</f>
        <v>BUY</v>
      </c>
      <c r="E49" s="29">
        <f>E48</f>
        <v>0</v>
      </c>
      <c r="F49" s="29">
        <f>F48</f>
        <v>0.01</v>
      </c>
      <c r="G49" s="29">
        <f>IF(C48=1,IF(D48="BUY",E48+(ROUND(F48*G48/B48,0)*B48),E48-(ROUND(F48*G48/B48,0)*B48)),IF(D48="BUY",E48-(ROUND(F48*G48/B48,0)*B48),E48+(ROUND(F48*G48/B48,0)*B48)))</f>
        <v>-3.0000000000000003E-4</v>
      </c>
      <c r="H49" s="29">
        <f>IF(C48=1,IF(D48="BUY",G49-(ROUND(F48*H48/B48,0)*B48),G49+(ROUND(F48*H48/B48,0)*B48)),IF(D48="BUY",G49+(ROUND(F48*H48/B48,0)*B48),G49-(ROUND(F48*H48/B48,0)*B48)))</f>
        <v>-3.0000000000000003E-4</v>
      </c>
      <c r="I49" s="29">
        <f>IF(D48="BUY",G49+(ROUND(F48*I48/(B48*100),0)*B48),G49-(ROUND(F48*I48/(B48*100),0)*B48))</f>
        <v>-3.0000000000000003E-4</v>
      </c>
      <c r="J49" s="29">
        <f>IF(C48=1,IF(D48="BUY",E48+(ROUND(F48*J48/B48,0)*B48),E48-(ROUND(F48*J48/B48,0)*B48)),IF(D48="BUY",E48-(ROUND(F48*J48/B48,0)*B48),E48+(ROUND(F48*J48/B48,0)*B48)))</f>
        <v>-0.01</v>
      </c>
      <c r="K49" s="29">
        <f>IF(C48=1,IF(D48="BUY",E48-(ROUND(F48*K48/B48,0)*B48),E48+(ROUND(F48*K48/B48,0)*B48)),IF(D48="BUY",E48-(ROUND(F48*K48/B48,0)*B48),E48+(ROUND(F48*K48/B48,0)*B48)))</f>
        <v>-0.01</v>
      </c>
      <c r="L49" s="29">
        <f t="shared" ref="L49" si="68">IF(D49="BUY",I49+(R49*B49),I49-(R49*B49))</f>
        <v>6.9999999999999999E-4</v>
      </c>
      <c r="M49" s="29">
        <f>IF(D48="BUY",E48+(ROUND(F48*M48/B48,0)*B48),E48-(ROUND(F48*M48/B48,0)*B48))</f>
        <v>0.01</v>
      </c>
      <c r="N49" s="29">
        <f>IF(D48="BUY",E48-(ROUND(F48*N48/B48,0)*B48),E48+(ROUND(F48*N48/B48,0)*B48))</f>
        <v>-0.01</v>
      </c>
      <c r="O49" s="31">
        <f>IF(D49="BUY",N49-VLOOKUP(A49,Symbols!A$1:D$1000,4,FALSE),N49+VLOOKUP(A49,Symbols!A$1:D$1000,4,FALSE))</f>
        <v>-1.3000000000000001E-2</v>
      </c>
      <c r="P49" s="29">
        <f>P48</f>
        <v>1</v>
      </c>
      <c r="Q49" s="29">
        <f>Q48</f>
        <v>100</v>
      </c>
      <c r="R49" s="29">
        <f>R48</f>
        <v>10</v>
      </c>
      <c r="S49" s="29">
        <f>S48</f>
        <v>2</v>
      </c>
      <c r="T49" s="29">
        <f>T48</f>
        <v>1</v>
      </c>
      <c r="U49" s="29">
        <f>DATEDIF(DATE(1970,1,1),U48,"D")*86400</f>
        <v>1483660800</v>
      </c>
      <c r="V49" s="29">
        <f>HOUR(V48)*3600+MINUTE(V48)*60+SECOND(V48)</f>
        <v>26100</v>
      </c>
      <c r="W49" s="29">
        <f>DATEDIF(DATE(1970,1,1),W48,"D")*86400</f>
        <v>1502928000</v>
      </c>
      <c r="X49" s="29">
        <f>HOUR(X48)*3600+MINUTE(X48)*60+SECOND(X48)</f>
        <v>56400</v>
      </c>
      <c r="Y49" s="31">
        <f>(Y48*B49)</f>
        <v>2.8E-3</v>
      </c>
      <c r="Z49" s="29">
        <f>Z48</f>
        <v>1</v>
      </c>
      <c r="AA49" s="29">
        <f>DATEDIF(DATE(1970,1,1),AA48,"D")*86400</f>
        <v>1502928000</v>
      </c>
      <c r="AB49" s="29">
        <f>HOUR(AB48)*3600+MINUTE(AB48)*60+SECOND(AB48)</f>
        <v>56460</v>
      </c>
      <c r="AC49" s="29">
        <f>AC48</f>
        <v>1</v>
      </c>
    </row>
    <row r="50" spans="1:29">
      <c r="A50" s="23" t="str">
        <f>Parameters!A26</f>
        <v>6BM7</v>
      </c>
      <c r="B50" s="23">
        <f>Parameters!B26</f>
        <v>1E-4</v>
      </c>
      <c r="C50" s="24">
        <f>Parameters!C26</f>
        <v>2</v>
      </c>
      <c r="D50" s="24" t="str">
        <f>Parameters!D26</f>
        <v>BUY</v>
      </c>
      <c r="E50" s="23">
        <f>Parameters!E26</f>
        <v>0</v>
      </c>
      <c r="F50" s="23">
        <f>Parameters!F26</f>
        <v>0.01</v>
      </c>
      <c r="G50" s="25">
        <f>Parameters!G26</f>
        <v>0.04</v>
      </c>
      <c r="H50" s="25">
        <f>Parameters!H26</f>
        <v>0</v>
      </c>
      <c r="I50" s="25">
        <f>Parameters!I26</f>
        <v>0</v>
      </c>
      <c r="J50" s="25">
        <f>Parameters!J26</f>
        <v>1</v>
      </c>
      <c r="K50" s="25">
        <f>Parameters!K26</f>
        <v>1</v>
      </c>
      <c r="L50" s="26">
        <f t="shared" ref="L50" si="69">L51</f>
        <v>6.0000000000000006E-4</v>
      </c>
      <c r="M50" s="25">
        <f>Parameters!L26</f>
        <v>1</v>
      </c>
      <c r="N50" s="25">
        <f>Parameters!M26</f>
        <v>1</v>
      </c>
      <c r="O50" s="26">
        <f t="shared" ref="O50" si="70">O51</f>
        <v>-1.3000000000000001E-2</v>
      </c>
      <c r="P50" s="23">
        <f>Parameters!N26</f>
        <v>1</v>
      </c>
      <c r="Q50" s="23">
        <f>Parameters!O26</f>
        <v>100</v>
      </c>
      <c r="R50" s="23">
        <f>Parameters!P26</f>
        <v>10</v>
      </c>
      <c r="S50" s="23">
        <f>Parameters!Q26</f>
        <v>2</v>
      </c>
      <c r="T50" s="23">
        <f>Parameters!R26</f>
        <v>1</v>
      </c>
      <c r="U50" s="27">
        <f>Parameters!S26</f>
        <v>42741</v>
      </c>
      <c r="V50" s="28">
        <f>Parameters!T26</f>
        <v>0.30208333333333331</v>
      </c>
      <c r="W50" s="27">
        <f>Parameters!U26</f>
        <v>42964</v>
      </c>
      <c r="X50" s="28">
        <f>Parameters!V26</f>
        <v>0.65277777777777779</v>
      </c>
      <c r="Y50" s="26">
        <f>Parameters!W26</f>
        <v>28</v>
      </c>
      <c r="Z50" s="23">
        <f>Parameters!X26</f>
        <v>1</v>
      </c>
      <c r="AA50" s="27">
        <f>Parameters!Y26</f>
        <v>42964</v>
      </c>
      <c r="AB50" s="28">
        <f>Parameters!Z26</f>
        <v>0.65347222222222223</v>
      </c>
      <c r="AC50" s="23">
        <f>Parameters!AA26</f>
        <v>1</v>
      </c>
    </row>
    <row r="51" spans="1:29">
      <c r="A51" s="29" t="str">
        <f>UPPER(A50)</f>
        <v>6BM7</v>
      </c>
      <c r="B51" s="29">
        <f>B50</f>
        <v>1E-4</v>
      </c>
      <c r="C51" s="30">
        <f>C50</f>
        <v>2</v>
      </c>
      <c r="D51" s="30" t="str">
        <f>D50</f>
        <v>BUY</v>
      </c>
      <c r="E51" s="29">
        <f>E50</f>
        <v>0</v>
      </c>
      <c r="F51" s="29">
        <f>F50</f>
        <v>0.01</v>
      </c>
      <c r="G51" s="29">
        <f>IF(C50=1,IF(D50="BUY",E50+(ROUND(F50*G50/B50,0)*B50),E50-(ROUND(F50*G50/B50,0)*B50)),IF(D50="BUY",E50-(ROUND(F50*G50/B50,0)*B50),E50+(ROUND(F50*G50/B50,0)*B50)))</f>
        <v>-4.0000000000000002E-4</v>
      </c>
      <c r="H51" s="29">
        <f>IF(C50=1,IF(D50="BUY",G51-(ROUND(F50*H50/B50,0)*B50),G51+(ROUND(F50*H50/B50,0)*B50)),IF(D50="BUY",G51+(ROUND(F50*H50/B50,0)*B50),G51-(ROUND(F50*H50/B50,0)*B50)))</f>
        <v>-4.0000000000000002E-4</v>
      </c>
      <c r="I51" s="29">
        <f>IF(D50="BUY",G51+(ROUND(F50*I50/(B50*100),0)*B50),G51-(ROUND(F50*I50/(B50*100),0)*B50))</f>
        <v>-4.0000000000000002E-4</v>
      </c>
      <c r="J51" s="29">
        <f>IF(C50=1,IF(D50="BUY",E50+(ROUND(F50*J50/B50,0)*B50),E50-(ROUND(F50*J50/B50,0)*B50)),IF(D50="BUY",E50-(ROUND(F50*J50/B50,0)*B50),E50+(ROUND(F50*J50/B50,0)*B50)))</f>
        <v>-0.01</v>
      </c>
      <c r="K51" s="29">
        <f>IF(C50=1,IF(D50="BUY",E50-(ROUND(F50*K50/B50,0)*B50),E50+(ROUND(F50*K50/B50,0)*B50)),IF(D50="BUY",E50-(ROUND(F50*K50/B50,0)*B50),E50+(ROUND(F50*K50/B50,0)*B50)))</f>
        <v>-0.01</v>
      </c>
      <c r="L51" s="29">
        <f t="shared" ref="L51" si="71">IF(D51="BUY",I51+(R51*B51),I51-(R51*B51))</f>
        <v>6.0000000000000006E-4</v>
      </c>
      <c r="M51" s="29">
        <f>IF(D50="BUY",E50+(ROUND(F50*M50/B50,0)*B50),E50-(ROUND(F50*M50/B50,0)*B50))</f>
        <v>0.01</v>
      </c>
      <c r="N51" s="29">
        <f>IF(D50="BUY",E50-(ROUND(F50*N50/B50,0)*B50),E50+(ROUND(F50*N50/B50,0)*B50))</f>
        <v>-0.01</v>
      </c>
      <c r="O51" s="31">
        <f>IF(D51="BUY",N51-VLOOKUP(A51,Symbols!A$1:D$1000,4,FALSE),N51+VLOOKUP(A51,Symbols!A$1:D$1000,4,FALSE))</f>
        <v>-1.3000000000000001E-2</v>
      </c>
      <c r="P51" s="29">
        <f>P50</f>
        <v>1</v>
      </c>
      <c r="Q51" s="29">
        <f>Q50</f>
        <v>100</v>
      </c>
      <c r="R51" s="29">
        <f>R50</f>
        <v>10</v>
      </c>
      <c r="S51" s="29">
        <f>S50</f>
        <v>2</v>
      </c>
      <c r="T51" s="29">
        <f>T50</f>
        <v>1</v>
      </c>
      <c r="U51" s="29">
        <f>DATEDIF(DATE(1970,1,1),U50,"D")*86400</f>
        <v>1483660800</v>
      </c>
      <c r="V51" s="29">
        <f>HOUR(V50)*3600+MINUTE(V50)*60+SECOND(V50)</f>
        <v>26100</v>
      </c>
      <c r="W51" s="29">
        <f>DATEDIF(DATE(1970,1,1),W50,"D")*86400</f>
        <v>1502928000</v>
      </c>
      <c r="X51" s="29">
        <f>HOUR(X50)*3600+MINUTE(X50)*60+SECOND(X50)</f>
        <v>56400</v>
      </c>
      <c r="Y51" s="31">
        <f>(Y50*B51)</f>
        <v>2.8E-3</v>
      </c>
      <c r="Z51" s="29">
        <f>Z50</f>
        <v>1</v>
      </c>
      <c r="AA51" s="29">
        <f>DATEDIF(DATE(1970,1,1),AA50,"D")*86400</f>
        <v>1502928000</v>
      </c>
      <c r="AB51" s="29">
        <f>HOUR(AB50)*3600+MINUTE(AB50)*60+SECOND(AB50)</f>
        <v>56460</v>
      </c>
      <c r="AC51" s="29">
        <f>AC50</f>
        <v>1</v>
      </c>
    </row>
    <row r="52" spans="1:29">
      <c r="A52" s="23" t="str">
        <f>Parameters!A27</f>
        <v>6BM7</v>
      </c>
      <c r="B52" s="23">
        <f>Parameters!B27</f>
        <v>1E-4</v>
      </c>
      <c r="C52" s="24">
        <f>Parameters!C27</f>
        <v>2</v>
      </c>
      <c r="D52" s="24" t="str">
        <f>Parameters!D27</f>
        <v>BUY</v>
      </c>
      <c r="E52" s="23">
        <f>Parameters!E27</f>
        <v>0</v>
      </c>
      <c r="F52" s="23">
        <f>Parameters!F27</f>
        <v>0.01</v>
      </c>
      <c r="G52" s="25">
        <f>Parameters!G27</f>
        <v>0.05</v>
      </c>
      <c r="H52" s="25">
        <f>Parameters!H27</f>
        <v>0</v>
      </c>
      <c r="I52" s="25">
        <f>Parameters!I27</f>
        <v>0</v>
      </c>
      <c r="J52" s="25">
        <f>Parameters!J27</f>
        <v>1</v>
      </c>
      <c r="K52" s="25">
        <f>Parameters!K27</f>
        <v>1</v>
      </c>
      <c r="L52" s="26">
        <f t="shared" ref="L52" si="72">L53</f>
        <v>5.0000000000000001E-4</v>
      </c>
      <c r="M52" s="25">
        <f>Parameters!L27</f>
        <v>1</v>
      </c>
      <c r="N52" s="25">
        <f>Parameters!M27</f>
        <v>1</v>
      </c>
      <c r="O52" s="26">
        <f t="shared" ref="O52" si="73">O53</f>
        <v>-1.3000000000000001E-2</v>
      </c>
      <c r="P52" s="23">
        <f>Parameters!N27</f>
        <v>1</v>
      </c>
      <c r="Q52" s="23">
        <f>Parameters!O27</f>
        <v>100</v>
      </c>
      <c r="R52" s="23">
        <f>Parameters!P27</f>
        <v>10</v>
      </c>
      <c r="S52" s="23">
        <f>Parameters!Q27</f>
        <v>2</v>
      </c>
      <c r="T52" s="23">
        <f>Parameters!R27</f>
        <v>1</v>
      </c>
      <c r="U52" s="27">
        <f>Parameters!S27</f>
        <v>42741</v>
      </c>
      <c r="V52" s="28">
        <f>Parameters!T27</f>
        <v>0.30208333333333331</v>
      </c>
      <c r="W52" s="27">
        <f>Parameters!U27</f>
        <v>42964</v>
      </c>
      <c r="X52" s="28">
        <f>Parameters!V27</f>
        <v>0.65277777777777779</v>
      </c>
      <c r="Y52" s="26">
        <f>Parameters!W27</f>
        <v>28</v>
      </c>
      <c r="Z52" s="23">
        <f>Parameters!X27</f>
        <v>1</v>
      </c>
      <c r="AA52" s="27">
        <f>Parameters!Y27</f>
        <v>42964</v>
      </c>
      <c r="AB52" s="28">
        <f>Parameters!Z27</f>
        <v>0.65347222222222223</v>
      </c>
      <c r="AC52" s="23">
        <f>Parameters!AA27</f>
        <v>1</v>
      </c>
    </row>
    <row r="53" spans="1:29">
      <c r="A53" s="29" t="str">
        <f>UPPER(A52)</f>
        <v>6BM7</v>
      </c>
      <c r="B53" s="29">
        <f>B52</f>
        <v>1E-4</v>
      </c>
      <c r="C53" s="30">
        <f>C52</f>
        <v>2</v>
      </c>
      <c r="D53" s="30" t="str">
        <f>D52</f>
        <v>BUY</v>
      </c>
      <c r="E53" s="29">
        <f>E52</f>
        <v>0</v>
      </c>
      <c r="F53" s="29">
        <f>F52</f>
        <v>0.01</v>
      </c>
      <c r="G53" s="29">
        <f>IF(C52=1,IF(D52="BUY",E52+(ROUND(F52*G52/B52,0)*B52),E52-(ROUND(F52*G52/B52,0)*B52)),IF(D52="BUY",E52-(ROUND(F52*G52/B52,0)*B52),E52+(ROUND(F52*G52/B52,0)*B52)))</f>
        <v>-5.0000000000000001E-4</v>
      </c>
      <c r="H53" s="29">
        <f>IF(C52=1,IF(D52="BUY",G53-(ROUND(F52*H52/B52,0)*B52),G53+(ROUND(F52*H52/B52,0)*B52)),IF(D52="BUY",G53+(ROUND(F52*H52/B52,0)*B52),G53-(ROUND(F52*H52/B52,0)*B52)))</f>
        <v>-5.0000000000000001E-4</v>
      </c>
      <c r="I53" s="29">
        <f>IF(D52="BUY",G53+(ROUND(F52*I52/(B52*100),0)*B52),G53-(ROUND(F52*I52/(B52*100),0)*B52))</f>
        <v>-5.0000000000000001E-4</v>
      </c>
      <c r="J53" s="29">
        <f>IF(C52=1,IF(D52="BUY",E52+(ROUND(F52*J52/B52,0)*B52),E52-(ROUND(F52*J52/B52,0)*B52)),IF(D52="BUY",E52-(ROUND(F52*J52/B52,0)*B52),E52+(ROUND(F52*J52/B52,0)*B52)))</f>
        <v>-0.01</v>
      </c>
      <c r="K53" s="29">
        <f>IF(C52=1,IF(D52="BUY",E52-(ROUND(F52*K52/B52,0)*B52),E52+(ROUND(F52*K52/B52,0)*B52)),IF(D52="BUY",E52-(ROUND(F52*K52/B52,0)*B52),E52+(ROUND(F52*K52/B52,0)*B52)))</f>
        <v>-0.01</v>
      </c>
      <c r="L53" s="29">
        <f t="shared" ref="L53" si="74">IF(D53="BUY",I53+(R53*B53),I53-(R53*B53))</f>
        <v>5.0000000000000001E-4</v>
      </c>
      <c r="M53" s="29">
        <f>IF(D52="BUY",E52+(ROUND(F52*M52/B52,0)*B52),E52-(ROUND(F52*M52/B52,0)*B52))</f>
        <v>0.01</v>
      </c>
      <c r="N53" s="29">
        <f>IF(D52="BUY",E52-(ROUND(F52*N52/B52,0)*B52),E52+(ROUND(F52*N52/B52,0)*B52))</f>
        <v>-0.01</v>
      </c>
      <c r="O53" s="31">
        <f>IF(D53="BUY",N53-VLOOKUP(A53,Symbols!A$1:D$1000,4,FALSE),N53+VLOOKUP(A53,Symbols!A$1:D$1000,4,FALSE))</f>
        <v>-1.3000000000000001E-2</v>
      </c>
      <c r="P53" s="29">
        <f>P52</f>
        <v>1</v>
      </c>
      <c r="Q53" s="29">
        <f>Q52</f>
        <v>100</v>
      </c>
      <c r="R53" s="29">
        <f>R52</f>
        <v>10</v>
      </c>
      <c r="S53" s="29">
        <f>S52</f>
        <v>2</v>
      </c>
      <c r="T53" s="29">
        <f>T52</f>
        <v>1</v>
      </c>
      <c r="U53" s="29">
        <f>DATEDIF(DATE(1970,1,1),U52,"D")*86400</f>
        <v>1483660800</v>
      </c>
      <c r="V53" s="29">
        <f>HOUR(V52)*3600+MINUTE(V52)*60+SECOND(V52)</f>
        <v>26100</v>
      </c>
      <c r="W53" s="29">
        <f>DATEDIF(DATE(1970,1,1),W52,"D")*86400</f>
        <v>1502928000</v>
      </c>
      <c r="X53" s="29">
        <f>HOUR(X52)*3600+MINUTE(X52)*60+SECOND(X52)</f>
        <v>56400</v>
      </c>
      <c r="Y53" s="31">
        <f>(Y52*B53)</f>
        <v>2.8E-3</v>
      </c>
      <c r="Z53" s="29">
        <f>Z52</f>
        <v>1</v>
      </c>
      <c r="AA53" s="29">
        <f>DATEDIF(DATE(1970,1,1),AA52,"D")*86400</f>
        <v>1502928000</v>
      </c>
      <c r="AB53" s="29">
        <f>HOUR(AB52)*3600+MINUTE(AB52)*60+SECOND(AB52)</f>
        <v>56460</v>
      </c>
      <c r="AC53" s="29">
        <f>AC52</f>
        <v>1</v>
      </c>
    </row>
    <row r="54" spans="1:29">
      <c r="A54" s="23" t="str">
        <f>Parameters!A28</f>
        <v>6BM7</v>
      </c>
      <c r="B54" s="23">
        <f>Parameters!B28</f>
        <v>1E-4</v>
      </c>
      <c r="C54" s="24">
        <f>Parameters!C28</f>
        <v>2</v>
      </c>
      <c r="D54" s="24" t="str">
        <f>Parameters!D28</f>
        <v>BUY</v>
      </c>
      <c r="E54" s="23">
        <f>Parameters!E28</f>
        <v>0</v>
      </c>
      <c r="F54" s="23">
        <f>Parameters!F28</f>
        <v>0.01</v>
      </c>
      <c r="G54" s="25">
        <f>Parameters!G28</f>
        <v>0.06</v>
      </c>
      <c r="H54" s="25">
        <f>Parameters!H28</f>
        <v>0</v>
      </c>
      <c r="I54" s="25">
        <f>Parameters!I28</f>
        <v>0</v>
      </c>
      <c r="J54" s="25">
        <f>Parameters!J28</f>
        <v>1</v>
      </c>
      <c r="K54" s="25">
        <f>Parameters!K28</f>
        <v>1</v>
      </c>
      <c r="L54" s="26">
        <f t="shared" ref="L54" si="75">L55</f>
        <v>3.9999999999999996E-4</v>
      </c>
      <c r="M54" s="25">
        <f>Parameters!L28</f>
        <v>1</v>
      </c>
      <c r="N54" s="25">
        <f>Parameters!M28</f>
        <v>1</v>
      </c>
      <c r="O54" s="26">
        <f t="shared" ref="O54" si="76">O55</f>
        <v>-1.3000000000000001E-2</v>
      </c>
      <c r="P54" s="23">
        <f>Parameters!N28</f>
        <v>1</v>
      </c>
      <c r="Q54" s="23">
        <f>Parameters!O28</f>
        <v>100</v>
      </c>
      <c r="R54" s="23">
        <f>Parameters!P28</f>
        <v>10</v>
      </c>
      <c r="S54" s="23">
        <f>Parameters!Q28</f>
        <v>2</v>
      </c>
      <c r="T54" s="23">
        <f>Parameters!R28</f>
        <v>1</v>
      </c>
      <c r="U54" s="27">
        <f>Parameters!S28</f>
        <v>42741</v>
      </c>
      <c r="V54" s="28">
        <f>Parameters!T28</f>
        <v>0.30208333333333331</v>
      </c>
      <c r="W54" s="27">
        <f>Parameters!U28</f>
        <v>42964</v>
      </c>
      <c r="X54" s="28">
        <f>Parameters!V28</f>
        <v>0.65277777777777779</v>
      </c>
      <c r="Y54" s="26">
        <f>Parameters!W28</f>
        <v>28</v>
      </c>
      <c r="Z54" s="23">
        <f>Parameters!X28</f>
        <v>1</v>
      </c>
      <c r="AA54" s="27">
        <f>Parameters!Y28</f>
        <v>42964</v>
      </c>
      <c r="AB54" s="28">
        <f>Parameters!Z28</f>
        <v>0.65347222222222223</v>
      </c>
      <c r="AC54" s="23">
        <f>Parameters!AA28</f>
        <v>1</v>
      </c>
    </row>
    <row r="55" spans="1:29">
      <c r="A55" s="29" t="str">
        <f>UPPER(A54)</f>
        <v>6BM7</v>
      </c>
      <c r="B55" s="29">
        <f>B54</f>
        <v>1E-4</v>
      </c>
      <c r="C55" s="30">
        <f>C54</f>
        <v>2</v>
      </c>
      <c r="D55" s="30" t="str">
        <f>D54</f>
        <v>BUY</v>
      </c>
      <c r="E55" s="29">
        <f>E54</f>
        <v>0</v>
      </c>
      <c r="F55" s="29">
        <f>F54</f>
        <v>0.01</v>
      </c>
      <c r="G55" s="29">
        <f>IF(C54=1,IF(D54="BUY",E54+(ROUND(F54*G54/B54,0)*B54),E54-(ROUND(F54*G54/B54,0)*B54)),IF(D54="BUY",E54-(ROUND(F54*G54/B54,0)*B54),E54+(ROUND(F54*G54/B54,0)*B54)))</f>
        <v>-6.0000000000000006E-4</v>
      </c>
      <c r="H55" s="29">
        <f>IF(C54=1,IF(D54="BUY",G55-(ROUND(F54*H54/B54,0)*B54),G55+(ROUND(F54*H54/B54,0)*B54)),IF(D54="BUY",G55+(ROUND(F54*H54/B54,0)*B54),G55-(ROUND(F54*H54/B54,0)*B54)))</f>
        <v>-6.0000000000000006E-4</v>
      </c>
      <c r="I55" s="29">
        <f>IF(D54="BUY",G55+(ROUND(F54*I54/(B54*100),0)*B54),G55-(ROUND(F54*I54/(B54*100),0)*B54))</f>
        <v>-6.0000000000000006E-4</v>
      </c>
      <c r="J55" s="29">
        <f>IF(C54=1,IF(D54="BUY",E54+(ROUND(F54*J54/B54,0)*B54),E54-(ROUND(F54*J54/B54,0)*B54)),IF(D54="BUY",E54-(ROUND(F54*J54/B54,0)*B54),E54+(ROUND(F54*J54/B54,0)*B54)))</f>
        <v>-0.01</v>
      </c>
      <c r="K55" s="29">
        <f>IF(C54=1,IF(D54="BUY",E54-(ROUND(F54*K54/B54,0)*B54),E54+(ROUND(F54*K54/B54,0)*B54)),IF(D54="BUY",E54-(ROUND(F54*K54/B54,0)*B54),E54+(ROUND(F54*K54/B54,0)*B54)))</f>
        <v>-0.01</v>
      </c>
      <c r="L55" s="29">
        <f t="shared" ref="L55" si="77">IF(D55="BUY",I55+(R55*B55),I55-(R55*B55))</f>
        <v>3.9999999999999996E-4</v>
      </c>
      <c r="M55" s="29">
        <f>IF(D54="BUY",E54+(ROUND(F54*M54/B54,0)*B54),E54-(ROUND(F54*M54/B54,0)*B54))</f>
        <v>0.01</v>
      </c>
      <c r="N55" s="29">
        <f>IF(D54="BUY",E54-(ROUND(F54*N54/B54,0)*B54),E54+(ROUND(F54*N54/B54,0)*B54))</f>
        <v>-0.01</v>
      </c>
      <c r="O55" s="31">
        <f>IF(D55="BUY",N55-VLOOKUP(A55,Symbols!A$1:D$1000,4,FALSE),N55+VLOOKUP(A55,Symbols!A$1:D$1000,4,FALSE))</f>
        <v>-1.3000000000000001E-2</v>
      </c>
      <c r="P55" s="29">
        <f>P54</f>
        <v>1</v>
      </c>
      <c r="Q55" s="29">
        <f>Q54</f>
        <v>100</v>
      </c>
      <c r="R55" s="29">
        <f>R54</f>
        <v>10</v>
      </c>
      <c r="S55" s="29">
        <f>S54</f>
        <v>2</v>
      </c>
      <c r="T55" s="29">
        <f>T54</f>
        <v>1</v>
      </c>
      <c r="U55" s="29">
        <f>DATEDIF(DATE(1970,1,1),U54,"D")*86400</f>
        <v>1483660800</v>
      </c>
      <c r="V55" s="29">
        <f>HOUR(V54)*3600+MINUTE(V54)*60+SECOND(V54)</f>
        <v>26100</v>
      </c>
      <c r="W55" s="29">
        <f>DATEDIF(DATE(1970,1,1),W54,"D")*86400</f>
        <v>1502928000</v>
      </c>
      <c r="X55" s="29">
        <f>HOUR(X54)*3600+MINUTE(X54)*60+SECOND(X54)</f>
        <v>56400</v>
      </c>
      <c r="Y55" s="31">
        <f>(Y54*B55)</f>
        <v>2.8E-3</v>
      </c>
      <c r="Z55" s="29">
        <f>Z54</f>
        <v>1</v>
      </c>
      <c r="AA55" s="29">
        <f>DATEDIF(DATE(1970,1,1),AA54,"D")*86400</f>
        <v>1502928000</v>
      </c>
      <c r="AB55" s="29">
        <f>HOUR(AB54)*3600+MINUTE(AB54)*60+SECOND(AB54)</f>
        <v>56460</v>
      </c>
      <c r="AC55" s="29">
        <f>AC54</f>
        <v>1</v>
      </c>
    </row>
    <row r="56" spans="1:29">
      <c r="A56" s="23" t="str">
        <f>Parameters!A29</f>
        <v>6BM7</v>
      </c>
      <c r="B56" s="23">
        <f>Parameters!B29</f>
        <v>1E-4</v>
      </c>
      <c r="C56" s="24">
        <f>Parameters!C29</f>
        <v>2</v>
      </c>
      <c r="D56" s="24" t="str">
        <f>Parameters!D29</f>
        <v>BUY</v>
      </c>
      <c r="E56" s="23">
        <f>Parameters!E29</f>
        <v>0</v>
      </c>
      <c r="F56" s="23">
        <f>Parameters!F29</f>
        <v>0.01</v>
      </c>
      <c r="G56" s="25">
        <f>Parameters!G29</f>
        <v>7.0000000000000007E-2</v>
      </c>
      <c r="H56" s="25">
        <f>Parameters!H29</f>
        <v>0</v>
      </c>
      <c r="I56" s="25">
        <f>Parameters!I29</f>
        <v>0</v>
      </c>
      <c r="J56" s="25">
        <f>Parameters!J29</f>
        <v>1</v>
      </c>
      <c r="K56" s="25">
        <f>Parameters!K29</f>
        <v>1</v>
      </c>
      <c r="L56" s="26">
        <f t="shared" ref="L56" si="78">L57</f>
        <v>3.0000000000000003E-4</v>
      </c>
      <c r="M56" s="25">
        <f>Parameters!L29</f>
        <v>1</v>
      </c>
      <c r="N56" s="25">
        <f>Parameters!M29</f>
        <v>1</v>
      </c>
      <c r="O56" s="26">
        <f t="shared" ref="O56" si="79">O57</f>
        <v>-1.3000000000000001E-2</v>
      </c>
      <c r="P56" s="23">
        <f>Parameters!N29</f>
        <v>1</v>
      </c>
      <c r="Q56" s="23">
        <f>Parameters!O29</f>
        <v>100</v>
      </c>
      <c r="R56" s="23">
        <f>Parameters!P29</f>
        <v>10</v>
      </c>
      <c r="S56" s="23">
        <f>Parameters!Q29</f>
        <v>2</v>
      </c>
      <c r="T56" s="23">
        <f>Parameters!R29</f>
        <v>1</v>
      </c>
      <c r="U56" s="27">
        <f>Parameters!S29</f>
        <v>42741</v>
      </c>
      <c r="V56" s="28">
        <f>Parameters!T29</f>
        <v>0.30208333333333331</v>
      </c>
      <c r="W56" s="27">
        <f>Parameters!U29</f>
        <v>42964</v>
      </c>
      <c r="X56" s="28">
        <f>Parameters!V29</f>
        <v>0.65277777777777779</v>
      </c>
      <c r="Y56" s="26">
        <f>Parameters!W29</f>
        <v>28</v>
      </c>
      <c r="Z56" s="23">
        <f>Parameters!X29</f>
        <v>1</v>
      </c>
      <c r="AA56" s="27">
        <f>Parameters!Y29</f>
        <v>42964</v>
      </c>
      <c r="AB56" s="28">
        <f>Parameters!Z29</f>
        <v>0.65347222222222223</v>
      </c>
      <c r="AC56" s="23">
        <f>Parameters!AA29</f>
        <v>1</v>
      </c>
    </row>
    <row r="57" spans="1:29">
      <c r="A57" s="29" t="str">
        <f>UPPER(A56)</f>
        <v>6BM7</v>
      </c>
      <c r="B57" s="29">
        <f>B56</f>
        <v>1E-4</v>
      </c>
      <c r="C57" s="30">
        <f>C56</f>
        <v>2</v>
      </c>
      <c r="D57" s="30" t="str">
        <f>D56</f>
        <v>BUY</v>
      </c>
      <c r="E57" s="29">
        <f>E56</f>
        <v>0</v>
      </c>
      <c r="F57" s="29">
        <f>F56</f>
        <v>0.01</v>
      </c>
      <c r="G57" s="29">
        <f>IF(C56=1,IF(D56="BUY",E56+(ROUND(F56*G56/B56,0)*B56),E56-(ROUND(F56*G56/B56,0)*B56)),IF(D56="BUY",E56-(ROUND(F56*G56/B56,0)*B56),E56+(ROUND(F56*G56/B56,0)*B56)))</f>
        <v>-6.9999999999999999E-4</v>
      </c>
      <c r="H57" s="29">
        <f>IF(C56=1,IF(D56="BUY",G57-(ROUND(F56*H56/B56,0)*B56),G57+(ROUND(F56*H56/B56,0)*B56)),IF(D56="BUY",G57+(ROUND(F56*H56/B56,0)*B56),G57-(ROUND(F56*H56/B56,0)*B56)))</f>
        <v>-6.9999999999999999E-4</v>
      </c>
      <c r="I57" s="29">
        <f>IF(D56="BUY",G57+(ROUND(F56*I56/(B56*100),0)*B56),G57-(ROUND(F56*I56/(B56*100),0)*B56))</f>
        <v>-6.9999999999999999E-4</v>
      </c>
      <c r="J57" s="29">
        <f>IF(C56=1,IF(D56="BUY",E56+(ROUND(F56*J56/B56,0)*B56),E56-(ROUND(F56*J56/B56,0)*B56)),IF(D56="BUY",E56-(ROUND(F56*J56/B56,0)*B56),E56+(ROUND(F56*J56/B56,0)*B56)))</f>
        <v>-0.01</v>
      </c>
      <c r="K57" s="29">
        <f>IF(C56=1,IF(D56="BUY",E56-(ROUND(F56*K56/B56,0)*B56),E56+(ROUND(F56*K56/B56,0)*B56)),IF(D56="BUY",E56-(ROUND(F56*K56/B56,0)*B56),E56+(ROUND(F56*K56/B56,0)*B56)))</f>
        <v>-0.01</v>
      </c>
      <c r="L57" s="29">
        <f t="shared" ref="L57" si="80">IF(D57="BUY",I57+(R57*B57),I57-(R57*B57))</f>
        <v>3.0000000000000003E-4</v>
      </c>
      <c r="M57" s="29">
        <f>IF(D56="BUY",E56+(ROUND(F56*M56/B56,0)*B56),E56-(ROUND(F56*M56/B56,0)*B56))</f>
        <v>0.01</v>
      </c>
      <c r="N57" s="29">
        <f>IF(D56="BUY",E56-(ROUND(F56*N56/B56,0)*B56),E56+(ROUND(F56*N56/B56,0)*B56))</f>
        <v>-0.01</v>
      </c>
      <c r="O57" s="31">
        <f>IF(D57="BUY",N57-VLOOKUP(A57,Symbols!A$1:D$1000,4,FALSE),N57+VLOOKUP(A57,Symbols!A$1:D$1000,4,FALSE))</f>
        <v>-1.3000000000000001E-2</v>
      </c>
      <c r="P57" s="29">
        <f>P56</f>
        <v>1</v>
      </c>
      <c r="Q57" s="29">
        <f>Q56</f>
        <v>100</v>
      </c>
      <c r="R57" s="29">
        <f>R56</f>
        <v>10</v>
      </c>
      <c r="S57" s="29">
        <f>S56</f>
        <v>2</v>
      </c>
      <c r="T57" s="29">
        <f>T56</f>
        <v>1</v>
      </c>
      <c r="U57" s="29">
        <f>DATEDIF(DATE(1970,1,1),U56,"D")*86400</f>
        <v>1483660800</v>
      </c>
      <c r="V57" s="29">
        <f>HOUR(V56)*3600+MINUTE(V56)*60+SECOND(V56)</f>
        <v>26100</v>
      </c>
      <c r="W57" s="29">
        <f>DATEDIF(DATE(1970,1,1),W56,"D")*86400</f>
        <v>1502928000</v>
      </c>
      <c r="X57" s="29">
        <f>HOUR(X56)*3600+MINUTE(X56)*60+SECOND(X56)</f>
        <v>56400</v>
      </c>
      <c r="Y57" s="31">
        <f>(Y56*B57)</f>
        <v>2.8E-3</v>
      </c>
      <c r="Z57" s="29">
        <f>Z56</f>
        <v>1</v>
      </c>
      <c r="AA57" s="29">
        <f>DATEDIF(DATE(1970,1,1),AA56,"D")*86400</f>
        <v>1502928000</v>
      </c>
      <c r="AB57" s="29">
        <f>HOUR(AB56)*3600+MINUTE(AB56)*60+SECOND(AB56)</f>
        <v>56460</v>
      </c>
      <c r="AC57" s="29">
        <f>AC56</f>
        <v>1</v>
      </c>
    </row>
    <row r="58" spans="1:29">
      <c r="A58" s="23" t="str">
        <f>Parameters!A30</f>
        <v>6BM7</v>
      </c>
      <c r="B58" s="23">
        <f>Parameters!B30</f>
        <v>1E-4</v>
      </c>
      <c r="C58" s="24">
        <f>Parameters!C30</f>
        <v>2</v>
      </c>
      <c r="D58" s="24" t="str">
        <f>Parameters!D30</f>
        <v>BUY</v>
      </c>
      <c r="E58" s="23">
        <f>Parameters!E30</f>
        <v>0</v>
      </c>
      <c r="F58" s="23">
        <f>Parameters!F30</f>
        <v>0.01</v>
      </c>
      <c r="G58" s="25">
        <f>Parameters!G30</f>
        <v>0.08</v>
      </c>
      <c r="H58" s="25">
        <f>Parameters!H30</f>
        <v>0</v>
      </c>
      <c r="I58" s="25">
        <f>Parameters!I30</f>
        <v>0</v>
      </c>
      <c r="J58" s="25">
        <f>Parameters!J30</f>
        <v>1</v>
      </c>
      <c r="K58" s="25">
        <f>Parameters!K30</f>
        <v>1</v>
      </c>
      <c r="L58" s="26">
        <f t="shared" ref="L58" si="81">L59</f>
        <v>1.9999999999999998E-4</v>
      </c>
      <c r="M58" s="25">
        <f>Parameters!L30</f>
        <v>1</v>
      </c>
      <c r="N58" s="25">
        <f>Parameters!M30</f>
        <v>1</v>
      </c>
      <c r="O58" s="26">
        <f t="shared" ref="O58" si="82">O59</f>
        <v>-1.3000000000000001E-2</v>
      </c>
      <c r="P58" s="23">
        <f>Parameters!N30</f>
        <v>1</v>
      </c>
      <c r="Q58" s="23">
        <f>Parameters!O30</f>
        <v>100</v>
      </c>
      <c r="R58" s="23">
        <f>Parameters!P30</f>
        <v>10</v>
      </c>
      <c r="S58" s="23">
        <f>Parameters!Q30</f>
        <v>2</v>
      </c>
      <c r="T58" s="23">
        <f>Parameters!R30</f>
        <v>1</v>
      </c>
      <c r="U58" s="27">
        <f>Parameters!S30</f>
        <v>42741</v>
      </c>
      <c r="V58" s="28">
        <f>Parameters!T30</f>
        <v>0.30208333333333331</v>
      </c>
      <c r="W58" s="27">
        <f>Parameters!U30</f>
        <v>42964</v>
      </c>
      <c r="X58" s="28">
        <f>Parameters!V30</f>
        <v>0.65277777777777779</v>
      </c>
      <c r="Y58" s="26">
        <f>Parameters!W30</f>
        <v>28</v>
      </c>
      <c r="Z58" s="23">
        <f>Parameters!X30</f>
        <v>1</v>
      </c>
      <c r="AA58" s="27">
        <f>Parameters!Y30</f>
        <v>42964</v>
      </c>
      <c r="AB58" s="28">
        <f>Parameters!Z30</f>
        <v>0.65347222222222223</v>
      </c>
      <c r="AC58" s="23">
        <f>Parameters!AA30</f>
        <v>1</v>
      </c>
    </row>
    <row r="59" spans="1:29">
      <c r="A59" s="29" t="str">
        <f>UPPER(A58)</f>
        <v>6BM7</v>
      </c>
      <c r="B59" s="29">
        <f>B58</f>
        <v>1E-4</v>
      </c>
      <c r="C59" s="30">
        <f>C58</f>
        <v>2</v>
      </c>
      <c r="D59" s="30" t="str">
        <f>D58</f>
        <v>BUY</v>
      </c>
      <c r="E59" s="29">
        <f>E58</f>
        <v>0</v>
      </c>
      <c r="F59" s="29">
        <f>F58</f>
        <v>0.01</v>
      </c>
      <c r="G59" s="29">
        <f>IF(C58=1,IF(D58="BUY",E58+(ROUND(F58*G58/B58,0)*B58),E58-(ROUND(F58*G58/B58,0)*B58)),IF(D58="BUY",E58-(ROUND(F58*G58/B58,0)*B58),E58+(ROUND(F58*G58/B58,0)*B58)))</f>
        <v>-8.0000000000000004E-4</v>
      </c>
      <c r="H59" s="29">
        <f>IF(C58=1,IF(D58="BUY",G59-(ROUND(F58*H58/B58,0)*B58),G59+(ROUND(F58*H58/B58,0)*B58)),IF(D58="BUY",G59+(ROUND(F58*H58/B58,0)*B58),G59-(ROUND(F58*H58/B58,0)*B58)))</f>
        <v>-8.0000000000000004E-4</v>
      </c>
      <c r="I59" s="29">
        <f>IF(D58="BUY",G59+(ROUND(F58*I58/(B58*100),0)*B58),G59-(ROUND(F58*I58/(B58*100),0)*B58))</f>
        <v>-8.0000000000000004E-4</v>
      </c>
      <c r="J59" s="29">
        <f>IF(C58=1,IF(D58="BUY",E58+(ROUND(F58*J58/B58,0)*B58),E58-(ROUND(F58*J58/B58,0)*B58)),IF(D58="BUY",E58-(ROUND(F58*J58/B58,0)*B58),E58+(ROUND(F58*J58/B58,0)*B58)))</f>
        <v>-0.01</v>
      </c>
      <c r="K59" s="29">
        <f>IF(C58=1,IF(D58="BUY",E58-(ROUND(F58*K58/B58,0)*B58),E58+(ROUND(F58*K58/B58,0)*B58)),IF(D58="BUY",E58-(ROUND(F58*K58/B58,0)*B58),E58+(ROUND(F58*K58/B58,0)*B58)))</f>
        <v>-0.01</v>
      </c>
      <c r="L59" s="29">
        <f t="shared" ref="L59" si="83">IF(D59="BUY",I59+(R59*B59),I59-(R59*B59))</f>
        <v>1.9999999999999998E-4</v>
      </c>
      <c r="M59" s="29">
        <f>IF(D58="BUY",E58+(ROUND(F58*M58/B58,0)*B58),E58-(ROUND(F58*M58/B58,0)*B58))</f>
        <v>0.01</v>
      </c>
      <c r="N59" s="29">
        <f>IF(D58="BUY",E58-(ROUND(F58*N58/B58,0)*B58),E58+(ROUND(F58*N58/B58,0)*B58))</f>
        <v>-0.01</v>
      </c>
      <c r="O59" s="31">
        <f>IF(D59="BUY",N59-VLOOKUP(A59,Symbols!A$1:D$1000,4,FALSE),N59+VLOOKUP(A59,Symbols!A$1:D$1000,4,FALSE))</f>
        <v>-1.3000000000000001E-2</v>
      </c>
      <c r="P59" s="29">
        <f>P58</f>
        <v>1</v>
      </c>
      <c r="Q59" s="29">
        <f>Q58</f>
        <v>100</v>
      </c>
      <c r="R59" s="29">
        <f>R58</f>
        <v>10</v>
      </c>
      <c r="S59" s="29">
        <f>S58</f>
        <v>2</v>
      </c>
      <c r="T59" s="29">
        <f>T58</f>
        <v>1</v>
      </c>
      <c r="U59" s="29">
        <f>DATEDIF(DATE(1970,1,1),U58,"D")*86400</f>
        <v>1483660800</v>
      </c>
      <c r="V59" s="29">
        <f>HOUR(V58)*3600+MINUTE(V58)*60+SECOND(V58)</f>
        <v>26100</v>
      </c>
      <c r="W59" s="29">
        <f>DATEDIF(DATE(1970,1,1),W58,"D")*86400</f>
        <v>1502928000</v>
      </c>
      <c r="X59" s="29">
        <f>HOUR(X58)*3600+MINUTE(X58)*60+SECOND(X58)</f>
        <v>56400</v>
      </c>
      <c r="Y59" s="31">
        <f>(Y58*B59)</f>
        <v>2.8E-3</v>
      </c>
      <c r="Z59" s="29">
        <f>Z58</f>
        <v>1</v>
      </c>
      <c r="AA59" s="29">
        <f>DATEDIF(DATE(1970,1,1),AA58,"D")*86400</f>
        <v>1502928000</v>
      </c>
      <c r="AB59" s="29">
        <f>HOUR(AB58)*3600+MINUTE(AB58)*60+SECOND(AB58)</f>
        <v>56460</v>
      </c>
      <c r="AC59" s="29">
        <f>AC58</f>
        <v>1</v>
      </c>
    </row>
    <row r="60" spans="1:29">
      <c r="A60" s="23" t="str">
        <f>Parameters!A31</f>
        <v>6BM7</v>
      </c>
      <c r="B60" s="23">
        <f>Parameters!B31</f>
        <v>1E-4</v>
      </c>
      <c r="C60" s="24">
        <f>Parameters!C31</f>
        <v>2</v>
      </c>
      <c r="D60" s="24" t="str">
        <f>Parameters!D31</f>
        <v>BUY</v>
      </c>
      <c r="E60" s="23">
        <f>Parameters!E31</f>
        <v>0</v>
      </c>
      <c r="F60" s="23">
        <f>Parameters!F31</f>
        <v>0.01</v>
      </c>
      <c r="G60" s="25">
        <f>Parameters!G31</f>
        <v>0.09</v>
      </c>
      <c r="H60" s="25">
        <f>Parameters!H31</f>
        <v>0</v>
      </c>
      <c r="I60" s="25">
        <f>Parameters!I31</f>
        <v>0</v>
      </c>
      <c r="J60" s="25">
        <f>Parameters!J31</f>
        <v>1</v>
      </c>
      <c r="K60" s="25">
        <f>Parameters!K31</f>
        <v>1</v>
      </c>
      <c r="L60" s="26">
        <f t="shared" ref="L60" si="84">L61</f>
        <v>9.9999999999999937E-5</v>
      </c>
      <c r="M60" s="25">
        <f>Parameters!L31</f>
        <v>1</v>
      </c>
      <c r="N60" s="25">
        <f>Parameters!M31</f>
        <v>1</v>
      </c>
      <c r="O60" s="26">
        <f t="shared" ref="O60" si="85">O61</f>
        <v>-1.3000000000000001E-2</v>
      </c>
      <c r="P60" s="23">
        <f>Parameters!N31</f>
        <v>1</v>
      </c>
      <c r="Q60" s="23">
        <f>Parameters!O31</f>
        <v>100</v>
      </c>
      <c r="R60" s="23">
        <f>Parameters!P31</f>
        <v>10</v>
      </c>
      <c r="S60" s="23">
        <f>Parameters!Q31</f>
        <v>2</v>
      </c>
      <c r="T60" s="23">
        <f>Parameters!R31</f>
        <v>1</v>
      </c>
      <c r="U60" s="27">
        <f>Parameters!S31</f>
        <v>42741</v>
      </c>
      <c r="V60" s="28">
        <f>Parameters!T31</f>
        <v>0.30208333333333331</v>
      </c>
      <c r="W60" s="27">
        <f>Parameters!U31</f>
        <v>42964</v>
      </c>
      <c r="X60" s="28">
        <f>Parameters!V31</f>
        <v>0.65277777777777779</v>
      </c>
      <c r="Y60" s="26">
        <f>Parameters!W31</f>
        <v>28</v>
      </c>
      <c r="Z60" s="23">
        <f>Parameters!X31</f>
        <v>1</v>
      </c>
      <c r="AA60" s="27">
        <f>Parameters!Y31</f>
        <v>42964</v>
      </c>
      <c r="AB60" s="28">
        <f>Parameters!Z31</f>
        <v>0.65347222222222223</v>
      </c>
      <c r="AC60" s="23">
        <f>Parameters!AA31</f>
        <v>1</v>
      </c>
    </row>
    <row r="61" spans="1:29">
      <c r="A61" s="29" t="str">
        <f>UPPER(A60)</f>
        <v>6BM7</v>
      </c>
      <c r="B61" s="29">
        <f>B60</f>
        <v>1E-4</v>
      </c>
      <c r="C61" s="30">
        <f>C60</f>
        <v>2</v>
      </c>
      <c r="D61" s="30" t="str">
        <f>D60</f>
        <v>BUY</v>
      </c>
      <c r="E61" s="29">
        <f>E60</f>
        <v>0</v>
      </c>
      <c r="F61" s="29">
        <f>F60</f>
        <v>0.01</v>
      </c>
      <c r="G61" s="29">
        <f>IF(C60=1,IF(D60="BUY",E60+(ROUND(F60*G60/B60,0)*B60),E60-(ROUND(F60*G60/B60,0)*B60)),IF(D60="BUY",E60-(ROUND(F60*G60/B60,0)*B60),E60+(ROUND(F60*G60/B60,0)*B60)))</f>
        <v>-9.0000000000000008E-4</v>
      </c>
      <c r="H61" s="29">
        <f>IF(C60=1,IF(D60="BUY",G61-(ROUND(F60*H60/B60,0)*B60),G61+(ROUND(F60*H60/B60,0)*B60)),IF(D60="BUY",G61+(ROUND(F60*H60/B60,0)*B60),G61-(ROUND(F60*H60/B60,0)*B60)))</f>
        <v>-9.0000000000000008E-4</v>
      </c>
      <c r="I61" s="29">
        <f>IF(D60="BUY",G61+(ROUND(F60*I60/(B60*100),0)*B60),G61-(ROUND(F60*I60/(B60*100),0)*B60))</f>
        <v>-9.0000000000000008E-4</v>
      </c>
      <c r="J61" s="29">
        <f>IF(C60=1,IF(D60="BUY",E60+(ROUND(F60*J60/B60,0)*B60),E60-(ROUND(F60*J60/B60,0)*B60)),IF(D60="BUY",E60-(ROUND(F60*J60/B60,0)*B60),E60+(ROUND(F60*J60/B60,0)*B60)))</f>
        <v>-0.01</v>
      </c>
      <c r="K61" s="29">
        <f>IF(C60=1,IF(D60="BUY",E60-(ROUND(F60*K60/B60,0)*B60),E60+(ROUND(F60*K60/B60,0)*B60)),IF(D60="BUY",E60-(ROUND(F60*K60/B60,0)*B60),E60+(ROUND(F60*K60/B60,0)*B60)))</f>
        <v>-0.01</v>
      </c>
      <c r="L61" s="29">
        <f t="shared" ref="L61" si="86">IF(D61="BUY",I61+(R61*B61),I61-(R61*B61))</f>
        <v>9.9999999999999937E-5</v>
      </c>
      <c r="M61" s="29">
        <f>IF(D60="BUY",E60+(ROUND(F60*M60/B60,0)*B60),E60-(ROUND(F60*M60/B60,0)*B60))</f>
        <v>0.01</v>
      </c>
      <c r="N61" s="29">
        <f>IF(D60="BUY",E60-(ROUND(F60*N60/B60,0)*B60),E60+(ROUND(F60*N60/B60,0)*B60))</f>
        <v>-0.01</v>
      </c>
      <c r="O61" s="31">
        <f>IF(D61="BUY",N61-VLOOKUP(A61,Symbols!A$1:D$1000,4,FALSE),N61+VLOOKUP(A61,Symbols!A$1:D$1000,4,FALSE))</f>
        <v>-1.3000000000000001E-2</v>
      </c>
      <c r="P61" s="29">
        <f>P60</f>
        <v>1</v>
      </c>
      <c r="Q61" s="29">
        <f>Q60</f>
        <v>100</v>
      </c>
      <c r="R61" s="29">
        <f>R60</f>
        <v>10</v>
      </c>
      <c r="S61" s="29">
        <f>S60</f>
        <v>2</v>
      </c>
      <c r="T61" s="29">
        <f>T60</f>
        <v>1</v>
      </c>
      <c r="U61" s="29">
        <f>DATEDIF(DATE(1970,1,1),U60,"D")*86400</f>
        <v>1483660800</v>
      </c>
      <c r="V61" s="29">
        <f>HOUR(V60)*3600+MINUTE(V60)*60+SECOND(V60)</f>
        <v>26100</v>
      </c>
      <c r="W61" s="29">
        <f>DATEDIF(DATE(1970,1,1),W60,"D")*86400</f>
        <v>1502928000</v>
      </c>
      <c r="X61" s="29">
        <f>HOUR(X60)*3600+MINUTE(X60)*60+SECOND(X60)</f>
        <v>56400</v>
      </c>
      <c r="Y61" s="31">
        <f>(Y60*B61)</f>
        <v>2.8E-3</v>
      </c>
      <c r="Z61" s="29">
        <f>Z60</f>
        <v>1</v>
      </c>
      <c r="AA61" s="29">
        <f>DATEDIF(DATE(1970,1,1),AA60,"D")*86400</f>
        <v>1502928000</v>
      </c>
      <c r="AB61" s="29">
        <f>HOUR(AB60)*3600+MINUTE(AB60)*60+SECOND(AB60)</f>
        <v>56460</v>
      </c>
      <c r="AC61" s="29">
        <f>AC60</f>
        <v>1</v>
      </c>
    </row>
    <row r="62" spans="1:29">
      <c r="A62" s="23" t="str">
        <f>Parameters!A32</f>
        <v>6BM7</v>
      </c>
      <c r="B62" s="23">
        <f>Parameters!B32</f>
        <v>1E-4</v>
      </c>
      <c r="C62" s="24">
        <f>Parameters!C32</f>
        <v>2</v>
      </c>
      <c r="D62" s="24" t="str">
        <f>Parameters!D32</f>
        <v>SELL</v>
      </c>
      <c r="E62" s="23">
        <f>Parameters!E32</f>
        <v>0</v>
      </c>
      <c r="F62" s="23">
        <f>Parameters!F32</f>
        <v>0.01</v>
      </c>
      <c r="G62" s="25">
        <f>Parameters!G32</f>
        <v>0</v>
      </c>
      <c r="H62" s="25">
        <f>Parameters!H32</f>
        <v>0</v>
      </c>
      <c r="I62" s="25">
        <f>Parameters!I32</f>
        <v>0</v>
      </c>
      <c r="J62" s="25">
        <f>Parameters!J32</f>
        <v>1</v>
      </c>
      <c r="K62" s="25">
        <f>Parameters!K32</f>
        <v>1</v>
      </c>
      <c r="L62" s="26">
        <f t="shared" ref="L62" si="87">L63</f>
        <v>-1E-3</v>
      </c>
      <c r="M62" s="25">
        <f>Parameters!L32</f>
        <v>1</v>
      </c>
      <c r="N62" s="25">
        <f>Parameters!M32</f>
        <v>1</v>
      </c>
      <c r="O62" s="26">
        <f t="shared" ref="O62" si="88">O63</f>
        <v>1.3000000000000001E-2</v>
      </c>
      <c r="P62" s="23">
        <f>Parameters!N32</f>
        <v>1</v>
      </c>
      <c r="Q62" s="23">
        <f>Parameters!O32</f>
        <v>100</v>
      </c>
      <c r="R62" s="23">
        <f>Parameters!P32</f>
        <v>10</v>
      </c>
      <c r="S62" s="23">
        <f>Parameters!Q32</f>
        <v>2</v>
      </c>
      <c r="T62" s="23">
        <f>Parameters!R32</f>
        <v>1</v>
      </c>
      <c r="U62" s="27">
        <f>Parameters!S32</f>
        <v>42741</v>
      </c>
      <c r="V62" s="28">
        <f>Parameters!T32</f>
        <v>0.30208333333333331</v>
      </c>
      <c r="W62" s="27">
        <f>Parameters!U32</f>
        <v>42964</v>
      </c>
      <c r="X62" s="28">
        <f>Parameters!V32</f>
        <v>0.65277777777777779</v>
      </c>
      <c r="Y62" s="26">
        <f>Parameters!W32</f>
        <v>28</v>
      </c>
      <c r="Z62" s="23">
        <f>Parameters!X32</f>
        <v>1</v>
      </c>
      <c r="AA62" s="27">
        <f>Parameters!Y32</f>
        <v>42964</v>
      </c>
      <c r="AB62" s="28">
        <f>Parameters!Z32</f>
        <v>0.65347222222222223</v>
      </c>
      <c r="AC62" s="23">
        <f>Parameters!AA32</f>
        <v>1</v>
      </c>
    </row>
    <row r="63" spans="1:29">
      <c r="A63" s="29" t="str">
        <f>UPPER(A62)</f>
        <v>6BM7</v>
      </c>
      <c r="B63" s="29">
        <f>B62</f>
        <v>1E-4</v>
      </c>
      <c r="C63" s="30">
        <f>C62</f>
        <v>2</v>
      </c>
      <c r="D63" s="30" t="str">
        <f>D62</f>
        <v>SELL</v>
      </c>
      <c r="E63" s="29">
        <f>E62</f>
        <v>0</v>
      </c>
      <c r="F63" s="29">
        <f>F62</f>
        <v>0.01</v>
      </c>
      <c r="G63" s="29">
        <f>IF(C62=1,IF(D62="BUY",E62+(ROUND(F62*G62/B62,0)*B62),E62-(ROUND(F62*G62/B62,0)*B62)),IF(D62="BUY",E62-(ROUND(F62*G62/B62,0)*B62),E62+(ROUND(F62*G62/B62,0)*B62)))</f>
        <v>0</v>
      </c>
      <c r="H63" s="29">
        <f>IF(C62=1,IF(D62="BUY",G63-(ROUND(F62*H62/B62,0)*B62),G63+(ROUND(F62*H62/B62,0)*B62)),IF(D62="BUY",G63+(ROUND(F62*H62/B62,0)*B62),G63-(ROUND(F62*H62/B62,0)*B62)))</f>
        <v>0</v>
      </c>
      <c r="I63" s="29">
        <f>IF(D62="BUY",G63+(ROUND(F62*I62/(B62*100),0)*B62),G63-(ROUND(F62*I62/(B62*100),0)*B62))</f>
        <v>0</v>
      </c>
      <c r="J63" s="29">
        <f>IF(C62=1,IF(D62="BUY",E62+(ROUND(F62*J62/B62,0)*B62),E62-(ROUND(F62*J62/B62,0)*B62)),IF(D62="BUY",E62-(ROUND(F62*J62/B62,0)*B62),E62+(ROUND(F62*J62/B62,0)*B62)))</f>
        <v>0.01</v>
      </c>
      <c r="K63" s="29">
        <f>IF(C62=1,IF(D62="BUY",E62-(ROUND(F62*K62/B62,0)*B62),E62+(ROUND(F62*K62/B62,0)*B62)),IF(D62="BUY",E62-(ROUND(F62*K62/B62,0)*B62),E62+(ROUND(F62*K62/B62,0)*B62)))</f>
        <v>0.01</v>
      </c>
      <c r="L63" s="29">
        <f t="shared" ref="L63" si="89">IF(D63="BUY",I63+(R63*B63),I63-(R63*B63))</f>
        <v>-1E-3</v>
      </c>
      <c r="M63" s="29">
        <f>IF(D62="BUY",E62+(ROUND(F62*M62/B62,0)*B62),E62-(ROUND(F62*M62/B62,0)*B62))</f>
        <v>-0.01</v>
      </c>
      <c r="N63" s="29">
        <f>IF(D62="BUY",E62-(ROUND(F62*N62/B62,0)*B62),E62+(ROUND(F62*N62/B62,0)*B62))</f>
        <v>0.01</v>
      </c>
      <c r="O63" s="31">
        <f>IF(D63="BUY",N63-VLOOKUP(A63,Symbols!A$1:D$1000,4,FALSE),N63+VLOOKUP(A63,Symbols!A$1:D$1000,4,FALSE))</f>
        <v>1.3000000000000001E-2</v>
      </c>
      <c r="P63" s="29">
        <f>P62</f>
        <v>1</v>
      </c>
      <c r="Q63" s="29">
        <f>Q62</f>
        <v>100</v>
      </c>
      <c r="R63" s="29">
        <f>R62</f>
        <v>10</v>
      </c>
      <c r="S63" s="29">
        <f>S62</f>
        <v>2</v>
      </c>
      <c r="T63" s="29">
        <f>T62</f>
        <v>1</v>
      </c>
      <c r="U63" s="29">
        <f>DATEDIF(DATE(1970,1,1),U62,"D")*86400</f>
        <v>1483660800</v>
      </c>
      <c r="V63" s="29">
        <f>HOUR(V62)*3600+MINUTE(V62)*60+SECOND(V62)</f>
        <v>26100</v>
      </c>
      <c r="W63" s="29">
        <f>DATEDIF(DATE(1970,1,1),W62,"D")*86400</f>
        <v>1502928000</v>
      </c>
      <c r="X63" s="29">
        <f>HOUR(X62)*3600+MINUTE(X62)*60+SECOND(X62)</f>
        <v>56400</v>
      </c>
      <c r="Y63" s="31">
        <f>(Y62*B63)</f>
        <v>2.8E-3</v>
      </c>
      <c r="Z63" s="29">
        <f>Z62</f>
        <v>1</v>
      </c>
      <c r="AA63" s="29">
        <f>DATEDIF(DATE(1970,1,1),AA62,"D")*86400</f>
        <v>1502928000</v>
      </c>
      <c r="AB63" s="29">
        <f>HOUR(AB62)*3600+MINUTE(AB62)*60+SECOND(AB62)</f>
        <v>56460</v>
      </c>
      <c r="AC63" s="29">
        <f>AC62</f>
        <v>1</v>
      </c>
    </row>
    <row r="64" spans="1:29">
      <c r="A64" s="23" t="str">
        <f>Parameters!A33</f>
        <v>6BM7</v>
      </c>
      <c r="B64" s="23">
        <f>Parameters!B33</f>
        <v>1E-4</v>
      </c>
      <c r="C64" s="24">
        <f>Parameters!C33</f>
        <v>2</v>
      </c>
      <c r="D64" s="24" t="str">
        <f>Parameters!D33</f>
        <v>SELL</v>
      </c>
      <c r="E64" s="23">
        <f>Parameters!E33</f>
        <v>0</v>
      </c>
      <c r="F64" s="23">
        <f>Parameters!F33</f>
        <v>0.01</v>
      </c>
      <c r="G64" s="25">
        <f>Parameters!G33</f>
        <v>0.01</v>
      </c>
      <c r="H64" s="25">
        <f>Parameters!H33</f>
        <v>0</v>
      </c>
      <c r="I64" s="25">
        <f>Parameters!I33</f>
        <v>0</v>
      </c>
      <c r="J64" s="25">
        <f>Parameters!J33</f>
        <v>1</v>
      </c>
      <c r="K64" s="25">
        <f>Parameters!K33</f>
        <v>1</v>
      </c>
      <c r="L64" s="26">
        <f t="shared" ref="L64" si="90">L65</f>
        <v>-8.9999999999999998E-4</v>
      </c>
      <c r="M64" s="25">
        <f>Parameters!L33</f>
        <v>1</v>
      </c>
      <c r="N64" s="25">
        <f>Parameters!M33</f>
        <v>1</v>
      </c>
      <c r="O64" s="26">
        <f t="shared" ref="O64" si="91">O65</f>
        <v>1.3000000000000001E-2</v>
      </c>
      <c r="P64" s="23">
        <f>Parameters!N33</f>
        <v>1</v>
      </c>
      <c r="Q64" s="23">
        <f>Parameters!O33</f>
        <v>100</v>
      </c>
      <c r="R64" s="23">
        <f>Parameters!P33</f>
        <v>10</v>
      </c>
      <c r="S64" s="23">
        <f>Parameters!Q33</f>
        <v>2</v>
      </c>
      <c r="T64" s="23">
        <f>Parameters!R33</f>
        <v>1</v>
      </c>
      <c r="U64" s="27">
        <f>Parameters!S33</f>
        <v>42741</v>
      </c>
      <c r="V64" s="28">
        <f>Parameters!T33</f>
        <v>0.30208333333333331</v>
      </c>
      <c r="W64" s="27">
        <f>Parameters!U33</f>
        <v>42964</v>
      </c>
      <c r="X64" s="28">
        <f>Parameters!V33</f>
        <v>0.65277777777777779</v>
      </c>
      <c r="Y64" s="26">
        <f>Parameters!W33</f>
        <v>28</v>
      </c>
      <c r="Z64" s="23">
        <f>Parameters!X33</f>
        <v>1</v>
      </c>
      <c r="AA64" s="27">
        <f>Parameters!Y33</f>
        <v>42964</v>
      </c>
      <c r="AB64" s="28">
        <f>Parameters!Z33</f>
        <v>0.65347222222222223</v>
      </c>
      <c r="AC64" s="23">
        <f>Parameters!AA33</f>
        <v>1</v>
      </c>
    </row>
    <row r="65" spans="1:29">
      <c r="A65" s="29" t="str">
        <f>UPPER(A64)</f>
        <v>6BM7</v>
      </c>
      <c r="B65" s="29">
        <f>B64</f>
        <v>1E-4</v>
      </c>
      <c r="C65" s="30">
        <f>C64</f>
        <v>2</v>
      </c>
      <c r="D65" s="30" t="str">
        <f>D64</f>
        <v>SELL</v>
      </c>
      <c r="E65" s="29">
        <f>E64</f>
        <v>0</v>
      </c>
      <c r="F65" s="29">
        <f>F64</f>
        <v>0.01</v>
      </c>
      <c r="G65" s="29">
        <f>IF(C64=1,IF(D64="BUY",E64+(ROUND(F64*G64/B64,0)*B64),E64-(ROUND(F64*G64/B64,0)*B64)),IF(D64="BUY",E64-(ROUND(F64*G64/B64,0)*B64),E64+(ROUND(F64*G64/B64,0)*B64)))</f>
        <v>1E-4</v>
      </c>
      <c r="H65" s="29">
        <f>IF(C64=1,IF(D64="BUY",G65-(ROUND(F64*H64/B64,0)*B64),G65+(ROUND(F64*H64/B64,0)*B64)),IF(D64="BUY",G65+(ROUND(F64*H64/B64,0)*B64),G65-(ROUND(F64*H64/B64,0)*B64)))</f>
        <v>1E-4</v>
      </c>
      <c r="I65" s="29">
        <f>IF(D64="BUY",G65+(ROUND(F64*I64/(B64*100),0)*B64),G65-(ROUND(F64*I64/(B64*100),0)*B64))</f>
        <v>1E-4</v>
      </c>
      <c r="J65" s="29">
        <f>IF(C64=1,IF(D64="BUY",E64+(ROUND(F64*J64/B64,0)*B64),E64-(ROUND(F64*J64/B64,0)*B64)),IF(D64="BUY",E64-(ROUND(F64*J64/B64,0)*B64),E64+(ROUND(F64*J64/B64,0)*B64)))</f>
        <v>0.01</v>
      </c>
      <c r="K65" s="29">
        <f>IF(C64=1,IF(D64="BUY",E64-(ROUND(F64*K64/B64,0)*B64),E64+(ROUND(F64*K64/B64,0)*B64)),IF(D64="BUY",E64-(ROUND(F64*K64/B64,0)*B64),E64+(ROUND(F64*K64/B64,0)*B64)))</f>
        <v>0.01</v>
      </c>
      <c r="L65" s="29">
        <f t="shared" ref="L65" si="92">IF(D65="BUY",I65+(R65*B65),I65-(R65*B65))</f>
        <v>-8.9999999999999998E-4</v>
      </c>
      <c r="M65" s="29">
        <f>IF(D64="BUY",E64+(ROUND(F64*M64/B64,0)*B64),E64-(ROUND(F64*M64/B64,0)*B64))</f>
        <v>-0.01</v>
      </c>
      <c r="N65" s="29">
        <f>IF(D64="BUY",E64-(ROUND(F64*N64/B64,0)*B64),E64+(ROUND(F64*N64/B64,0)*B64))</f>
        <v>0.01</v>
      </c>
      <c r="O65" s="31">
        <f>IF(D65="BUY",N65-VLOOKUP(A65,Symbols!A$1:D$1000,4,FALSE),N65+VLOOKUP(A65,Symbols!A$1:D$1000,4,FALSE))</f>
        <v>1.3000000000000001E-2</v>
      </c>
      <c r="P65" s="29">
        <f>P64</f>
        <v>1</v>
      </c>
      <c r="Q65" s="29">
        <f>Q64</f>
        <v>100</v>
      </c>
      <c r="R65" s="29">
        <f>R64</f>
        <v>10</v>
      </c>
      <c r="S65" s="29">
        <f>S64</f>
        <v>2</v>
      </c>
      <c r="T65" s="29">
        <f>T64</f>
        <v>1</v>
      </c>
      <c r="U65" s="29">
        <f>DATEDIF(DATE(1970,1,1),U64,"D")*86400</f>
        <v>1483660800</v>
      </c>
      <c r="V65" s="29">
        <f>HOUR(V64)*3600+MINUTE(V64)*60+SECOND(V64)</f>
        <v>26100</v>
      </c>
      <c r="W65" s="29">
        <f>DATEDIF(DATE(1970,1,1),W64,"D")*86400</f>
        <v>1502928000</v>
      </c>
      <c r="X65" s="29">
        <f>HOUR(X64)*3600+MINUTE(X64)*60+SECOND(X64)</f>
        <v>56400</v>
      </c>
      <c r="Y65" s="31">
        <f>(Y64*B65)</f>
        <v>2.8E-3</v>
      </c>
      <c r="Z65" s="29">
        <f>Z64</f>
        <v>1</v>
      </c>
      <c r="AA65" s="29">
        <f>DATEDIF(DATE(1970,1,1),AA64,"D")*86400</f>
        <v>1502928000</v>
      </c>
      <c r="AB65" s="29">
        <f>HOUR(AB64)*3600+MINUTE(AB64)*60+SECOND(AB64)</f>
        <v>56460</v>
      </c>
      <c r="AC65" s="29">
        <f>AC64</f>
        <v>1</v>
      </c>
    </row>
    <row r="66" spans="1:29">
      <c r="A66" s="23" t="str">
        <f>Parameters!A34</f>
        <v>6BM7</v>
      </c>
      <c r="B66" s="23">
        <f>Parameters!B34</f>
        <v>1E-4</v>
      </c>
      <c r="C66" s="24">
        <f>Parameters!C34</f>
        <v>2</v>
      </c>
      <c r="D66" s="24" t="str">
        <f>Parameters!D34</f>
        <v>SELL</v>
      </c>
      <c r="E66" s="23">
        <f>Parameters!E34</f>
        <v>0</v>
      </c>
      <c r="F66" s="23">
        <f>Parameters!F34</f>
        <v>0.01</v>
      </c>
      <c r="G66" s="25">
        <f>Parameters!G34</f>
        <v>0.02</v>
      </c>
      <c r="H66" s="25">
        <f>Parameters!H34</f>
        <v>0</v>
      </c>
      <c r="I66" s="25">
        <f>Parameters!I34</f>
        <v>0</v>
      </c>
      <c r="J66" s="25">
        <f>Parameters!J34</f>
        <v>1</v>
      </c>
      <c r="K66" s="25">
        <f>Parameters!K34</f>
        <v>1</v>
      </c>
      <c r="L66" s="26">
        <f t="shared" ref="L66" si="93">L67</f>
        <v>-8.0000000000000004E-4</v>
      </c>
      <c r="M66" s="25">
        <f>Parameters!L34</f>
        <v>1</v>
      </c>
      <c r="N66" s="25">
        <f>Parameters!M34</f>
        <v>1</v>
      </c>
      <c r="O66" s="26">
        <f t="shared" ref="O66" si="94">O67</f>
        <v>1.3000000000000001E-2</v>
      </c>
      <c r="P66" s="23">
        <f>Parameters!N34</f>
        <v>1</v>
      </c>
      <c r="Q66" s="23">
        <f>Parameters!O34</f>
        <v>100</v>
      </c>
      <c r="R66" s="23">
        <f>Parameters!P34</f>
        <v>10</v>
      </c>
      <c r="S66" s="23">
        <f>Parameters!Q34</f>
        <v>2</v>
      </c>
      <c r="T66" s="23">
        <f>Parameters!R34</f>
        <v>1</v>
      </c>
      <c r="U66" s="27">
        <f>Parameters!S34</f>
        <v>42741</v>
      </c>
      <c r="V66" s="28">
        <f>Parameters!T34</f>
        <v>0.30208333333333331</v>
      </c>
      <c r="W66" s="27">
        <f>Parameters!U34</f>
        <v>42964</v>
      </c>
      <c r="X66" s="28">
        <f>Parameters!V34</f>
        <v>0.65277777777777779</v>
      </c>
      <c r="Y66" s="25">
        <f>Parameters!W34</f>
        <v>28</v>
      </c>
      <c r="Z66" s="23">
        <f>Parameters!X34</f>
        <v>1</v>
      </c>
      <c r="AA66" s="27">
        <f>Parameters!Y34</f>
        <v>42964</v>
      </c>
      <c r="AB66" s="28">
        <f>Parameters!Z34</f>
        <v>0.65347222222222223</v>
      </c>
      <c r="AC66" s="23">
        <f>Parameters!AA34</f>
        <v>1</v>
      </c>
    </row>
    <row r="67" spans="1:29">
      <c r="A67" s="29" t="str">
        <f>UPPER(A66)</f>
        <v>6BM7</v>
      </c>
      <c r="B67" s="29">
        <f>B66</f>
        <v>1E-4</v>
      </c>
      <c r="C67" s="30">
        <f>C66</f>
        <v>2</v>
      </c>
      <c r="D67" s="30" t="str">
        <f>D66</f>
        <v>SELL</v>
      </c>
      <c r="E67" s="29">
        <f>E66</f>
        <v>0</v>
      </c>
      <c r="F67" s="29">
        <f>F66</f>
        <v>0.01</v>
      </c>
      <c r="G67" s="29">
        <f>IF(C66=1,IF(D66="BUY",E66+(ROUND(F66*G66/B66,0)*B66),E66-(ROUND(F66*G66/B66,0)*B66)),IF(D66="BUY",E66-(ROUND(F66*G66/B66,0)*B66),E66+(ROUND(F66*G66/B66,0)*B66)))</f>
        <v>2.0000000000000001E-4</v>
      </c>
      <c r="H67" s="29">
        <f>IF(C66=1,IF(D66="BUY",G67-(ROUND(F66*H66/B66,0)*B66),G67+(ROUND(F66*H66/B66,0)*B66)),IF(D66="BUY",G67+(ROUND(F66*H66/B66,0)*B66),G67-(ROUND(F66*H66/B66,0)*B66)))</f>
        <v>2.0000000000000001E-4</v>
      </c>
      <c r="I67" s="29">
        <f>IF(D66="BUY",G67+(ROUND(F66*I66/(B66*100),0)*B66),G67-(ROUND(F66*I66/(B66*100),0)*B66))</f>
        <v>2.0000000000000001E-4</v>
      </c>
      <c r="J67" s="29">
        <f>IF(C66=1,IF(D66="BUY",E66+(ROUND(F66*J66/B66,0)*B66),E66-(ROUND(F66*J66/B66,0)*B66)),IF(D66="BUY",E66-(ROUND(F66*J66/B66,0)*B66),E66+(ROUND(F66*J66/B66,0)*B66)))</f>
        <v>0.01</v>
      </c>
      <c r="K67" s="29">
        <f>IF(C66=1,IF(D66="BUY",E66-(ROUND(F66*K66/B66,0)*B66),E66+(ROUND(F66*K66/B66,0)*B66)),IF(D66="BUY",E66-(ROUND(F66*K66/B66,0)*B66),E66+(ROUND(F66*K66/B66,0)*B66)))</f>
        <v>0.01</v>
      </c>
      <c r="L67" s="29">
        <f t="shared" ref="L67" si="95">IF(D67="BUY",I67+(R67*B67),I67-(R67*B67))</f>
        <v>-8.0000000000000004E-4</v>
      </c>
      <c r="M67" s="29">
        <f>IF(D66="BUY",E66+(ROUND(F66*M66/B66,0)*B66),E66-(ROUND(F66*M66/B66,0)*B66))</f>
        <v>-0.01</v>
      </c>
      <c r="N67" s="29">
        <f>IF(D66="BUY",E66-(ROUND(F66*N66/B66,0)*B66),E66+(ROUND(F66*N66/B66,0)*B66))</f>
        <v>0.01</v>
      </c>
      <c r="O67" s="31">
        <f>IF(D67="BUY",N67-VLOOKUP(A67,Symbols!A$1:D$1000,4,FALSE),N67+VLOOKUP(A67,Symbols!A$1:D$1000,4,FALSE))</f>
        <v>1.3000000000000001E-2</v>
      </c>
      <c r="P67" s="29">
        <f>P66</f>
        <v>1</v>
      </c>
      <c r="Q67" s="29">
        <f>Q66</f>
        <v>100</v>
      </c>
      <c r="R67" s="29">
        <f>R66</f>
        <v>10</v>
      </c>
      <c r="S67" s="29">
        <f>S66</f>
        <v>2</v>
      </c>
      <c r="T67" s="29">
        <f>T66</f>
        <v>1</v>
      </c>
      <c r="U67" s="29">
        <f>DATEDIF(DATE(1970,1,1),U66,"D")*86400</f>
        <v>1483660800</v>
      </c>
      <c r="V67" s="29">
        <f>HOUR(V66)*3600+MINUTE(V66)*60+SECOND(V66)</f>
        <v>26100</v>
      </c>
      <c r="W67" s="29">
        <f>DATEDIF(DATE(1970,1,1),W66,"D")*86400</f>
        <v>1502928000</v>
      </c>
      <c r="X67" s="29">
        <f>HOUR(X66)*3600+MINUTE(X66)*60+SECOND(X66)</f>
        <v>56400</v>
      </c>
      <c r="Y67" s="31">
        <f>(Y66*B67)</f>
        <v>2.8E-3</v>
      </c>
      <c r="Z67" s="29">
        <f>Z66</f>
        <v>1</v>
      </c>
      <c r="AA67" s="29">
        <f>DATEDIF(DATE(1970,1,1),AA66,"D")*86400</f>
        <v>1502928000</v>
      </c>
      <c r="AB67" s="29">
        <f>HOUR(AB66)*3600+MINUTE(AB66)*60+SECOND(AB66)</f>
        <v>56460</v>
      </c>
      <c r="AC67" s="29">
        <f>AC66</f>
        <v>1</v>
      </c>
    </row>
    <row r="68" spans="1:29">
      <c r="A68" s="23" t="str">
        <f>Parameters!A35</f>
        <v>6BM7</v>
      </c>
      <c r="B68" s="23">
        <f>Parameters!B35</f>
        <v>1E-4</v>
      </c>
      <c r="C68" s="24">
        <f>Parameters!C35</f>
        <v>2</v>
      </c>
      <c r="D68" s="24" t="str">
        <f>Parameters!D35</f>
        <v>SELL</v>
      </c>
      <c r="E68" s="23">
        <f>Parameters!E35</f>
        <v>0</v>
      </c>
      <c r="F68" s="23">
        <f>Parameters!F35</f>
        <v>0.01</v>
      </c>
      <c r="G68" s="25">
        <f>Parameters!G35</f>
        <v>0.03</v>
      </c>
      <c r="H68" s="25">
        <f>Parameters!H35</f>
        <v>0</v>
      </c>
      <c r="I68" s="25">
        <f>Parameters!I35</f>
        <v>0</v>
      </c>
      <c r="J68" s="25">
        <f>Parameters!J35</f>
        <v>1</v>
      </c>
      <c r="K68" s="25">
        <f>Parameters!K35</f>
        <v>1</v>
      </c>
      <c r="L68" s="26">
        <f t="shared" ref="L68" si="96">L69</f>
        <v>-6.9999999999999999E-4</v>
      </c>
      <c r="M68" s="25">
        <f>Parameters!L35</f>
        <v>1</v>
      </c>
      <c r="N68" s="25">
        <f>Parameters!M35</f>
        <v>1</v>
      </c>
      <c r="O68" s="26">
        <f t="shared" ref="O68" si="97">O69</f>
        <v>1.3000000000000001E-2</v>
      </c>
      <c r="P68" s="23">
        <f>Parameters!N35</f>
        <v>1</v>
      </c>
      <c r="Q68" s="23">
        <f>Parameters!O35</f>
        <v>100</v>
      </c>
      <c r="R68" s="23">
        <f>Parameters!P35</f>
        <v>10</v>
      </c>
      <c r="S68" s="23">
        <f>Parameters!Q35</f>
        <v>2</v>
      </c>
      <c r="T68" s="23">
        <f>Parameters!R35</f>
        <v>1</v>
      </c>
      <c r="U68" s="27">
        <f>Parameters!S35</f>
        <v>42741</v>
      </c>
      <c r="V68" s="28">
        <f>Parameters!T35</f>
        <v>0.30208333333333331</v>
      </c>
      <c r="W68" s="27">
        <f>Parameters!U35</f>
        <v>42964</v>
      </c>
      <c r="X68" s="28">
        <f>Parameters!V35</f>
        <v>0.65277777777777779</v>
      </c>
      <c r="Y68" s="25">
        <f>Parameters!W35</f>
        <v>28</v>
      </c>
      <c r="Z68" s="23">
        <f>Parameters!X35</f>
        <v>1</v>
      </c>
      <c r="AA68" s="27">
        <f>Parameters!Y35</f>
        <v>42964</v>
      </c>
      <c r="AB68" s="28">
        <f>Parameters!Z35</f>
        <v>0.65347222222222223</v>
      </c>
      <c r="AC68" s="23">
        <f>Parameters!AA35</f>
        <v>1</v>
      </c>
    </row>
    <row r="69" spans="1:29">
      <c r="A69" s="29" t="str">
        <f>UPPER(A68)</f>
        <v>6BM7</v>
      </c>
      <c r="B69" s="29">
        <f>B68</f>
        <v>1E-4</v>
      </c>
      <c r="C69" s="30">
        <f>C68</f>
        <v>2</v>
      </c>
      <c r="D69" s="30" t="str">
        <f>D68</f>
        <v>SELL</v>
      </c>
      <c r="E69" s="29">
        <f>E68</f>
        <v>0</v>
      </c>
      <c r="F69" s="29">
        <f>F68</f>
        <v>0.01</v>
      </c>
      <c r="G69" s="29">
        <f>IF(C68=1,IF(D68="BUY",E68+(ROUND(F68*G68/B68,0)*B68),E68-(ROUND(F68*G68/B68,0)*B68)),IF(D68="BUY",E68-(ROUND(F68*G68/B68,0)*B68),E68+(ROUND(F68*G68/B68,0)*B68)))</f>
        <v>3.0000000000000003E-4</v>
      </c>
      <c r="H69" s="29">
        <f>IF(C68=1,IF(D68="BUY",G69-(ROUND(F68*H68/B68,0)*B68),G69+(ROUND(F68*H68/B68,0)*B68)),IF(D68="BUY",G69+(ROUND(F68*H68/B68,0)*B68),G69-(ROUND(F68*H68/B68,0)*B68)))</f>
        <v>3.0000000000000003E-4</v>
      </c>
      <c r="I69" s="29">
        <f>IF(D68="BUY",G69+(ROUND(F68*I68/(B68*100),0)*B68),G69-(ROUND(F68*I68/(B68*100),0)*B68))</f>
        <v>3.0000000000000003E-4</v>
      </c>
      <c r="J69" s="29">
        <f>IF(C68=1,IF(D68="BUY",E68+(ROUND(F68*J68/B68,0)*B68),E68-(ROUND(F68*J68/B68,0)*B68)),IF(D68="BUY",E68-(ROUND(F68*J68/B68,0)*B68),E68+(ROUND(F68*J68/B68,0)*B68)))</f>
        <v>0.01</v>
      </c>
      <c r="K69" s="29">
        <f>IF(C68=1,IF(D68="BUY",E68-(ROUND(F68*K68/B68,0)*B68),E68+(ROUND(F68*K68/B68,0)*B68)),IF(D68="BUY",E68-(ROUND(F68*K68/B68,0)*B68),E68+(ROUND(F68*K68/B68,0)*B68)))</f>
        <v>0.01</v>
      </c>
      <c r="L69" s="29">
        <f t="shared" ref="L69" si="98">IF(D69="BUY",I69+(R69*B69),I69-(R69*B69))</f>
        <v>-6.9999999999999999E-4</v>
      </c>
      <c r="M69" s="29">
        <f>IF(D68="BUY",E68+(ROUND(F68*M68/B68,0)*B68),E68-(ROUND(F68*M68/B68,0)*B68))</f>
        <v>-0.01</v>
      </c>
      <c r="N69" s="29">
        <f>IF(D68="BUY",E68-(ROUND(F68*N68/B68,0)*B68),E68+(ROUND(F68*N68/B68,0)*B68))</f>
        <v>0.01</v>
      </c>
      <c r="O69" s="31">
        <f>IF(D69="BUY",N69-VLOOKUP(A69,Symbols!A$1:D$1000,4,FALSE),N69+VLOOKUP(A69,Symbols!A$1:D$1000,4,FALSE))</f>
        <v>1.3000000000000001E-2</v>
      </c>
      <c r="P69" s="29">
        <f>P68</f>
        <v>1</v>
      </c>
      <c r="Q69" s="29">
        <f>Q68</f>
        <v>100</v>
      </c>
      <c r="R69" s="29">
        <f>R68</f>
        <v>10</v>
      </c>
      <c r="S69" s="29">
        <f>S68</f>
        <v>2</v>
      </c>
      <c r="T69" s="29">
        <f>T68</f>
        <v>1</v>
      </c>
      <c r="U69" s="29">
        <f>DATEDIF(DATE(1970,1,1),U68,"D")*86400</f>
        <v>1483660800</v>
      </c>
      <c r="V69" s="29">
        <f>HOUR(V68)*3600+MINUTE(V68)*60+SECOND(V68)</f>
        <v>26100</v>
      </c>
      <c r="W69" s="29">
        <f>DATEDIF(DATE(1970,1,1),W68,"D")*86400</f>
        <v>1502928000</v>
      </c>
      <c r="X69" s="29">
        <f>HOUR(X68)*3600+MINUTE(X68)*60+SECOND(X68)</f>
        <v>56400</v>
      </c>
      <c r="Y69" s="31">
        <f>(Y68*B69)</f>
        <v>2.8E-3</v>
      </c>
      <c r="Z69" s="29">
        <f>Z68</f>
        <v>1</v>
      </c>
      <c r="AA69" s="29">
        <f>DATEDIF(DATE(1970,1,1),AA68,"D")*86400</f>
        <v>1502928000</v>
      </c>
      <c r="AB69" s="29">
        <f>HOUR(AB68)*3600+MINUTE(AB68)*60+SECOND(AB68)</f>
        <v>56460</v>
      </c>
      <c r="AC69" s="29">
        <f>AC68</f>
        <v>1</v>
      </c>
    </row>
    <row r="70" spans="1:29">
      <c r="A70" s="23" t="str">
        <f>Parameters!A36</f>
        <v>6BM7</v>
      </c>
      <c r="B70" s="23">
        <f>Parameters!B36</f>
        <v>1E-4</v>
      </c>
      <c r="C70" s="24">
        <f>Parameters!C36</f>
        <v>2</v>
      </c>
      <c r="D70" s="24" t="str">
        <f>Parameters!D36</f>
        <v>SELL</v>
      </c>
      <c r="E70" s="23">
        <f>Parameters!E36</f>
        <v>0</v>
      </c>
      <c r="F70" s="23">
        <f>Parameters!F36</f>
        <v>0.01</v>
      </c>
      <c r="G70" s="25">
        <f>Parameters!G36</f>
        <v>0.04</v>
      </c>
      <c r="H70" s="25">
        <f>Parameters!H36</f>
        <v>0</v>
      </c>
      <c r="I70" s="25">
        <f>Parameters!I36</f>
        <v>0</v>
      </c>
      <c r="J70" s="25">
        <f>Parameters!J36</f>
        <v>1</v>
      </c>
      <c r="K70" s="25">
        <f>Parameters!K36</f>
        <v>1</v>
      </c>
      <c r="L70" s="26">
        <f t="shared" ref="L70" si="99">L71</f>
        <v>-6.0000000000000006E-4</v>
      </c>
      <c r="M70" s="25">
        <f>Parameters!L36</f>
        <v>1</v>
      </c>
      <c r="N70" s="25">
        <f>Parameters!M36</f>
        <v>1</v>
      </c>
      <c r="O70" s="26">
        <f t="shared" ref="O70" si="100">O71</f>
        <v>1.3000000000000001E-2</v>
      </c>
      <c r="P70" s="23">
        <f>Parameters!N36</f>
        <v>1</v>
      </c>
      <c r="Q70" s="23">
        <f>Parameters!O36</f>
        <v>100</v>
      </c>
      <c r="R70" s="23">
        <f>Parameters!P36</f>
        <v>10</v>
      </c>
      <c r="S70" s="23">
        <f>Parameters!Q36</f>
        <v>2</v>
      </c>
      <c r="T70" s="23">
        <f>Parameters!R36</f>
        <v>1</v>
      </c>
      <c r="U70" s="27">
        <f>Parameters!S36</f>
        <v>42741</v>
      </c>
      <c r="V70" s="28">
        <f>Parameters!T36</f>
        <v>0.30208333333333331</v>
      </c>
      <c r="W70" s="27">
        <f>Parameters!U36</f>
        <v>42964</v>
      </c>
      <c r="X70" s="28">
        <f>Parameters!V36</f>
        <v>0.65277777777777779</v>
      </c>
      <c r="Y70" s="25">
        <f>Parameters!W36</f>
        <v>28</v>
      </c>
      <c r="Z70" s="23">
        <f>Parameters!X36</f>
        <v>1</v>
      </c>
      <c r="AA70" s="27">
        <f>Parameters!Y36</f>
        <v>42964</v>
      </c>
      <c r="AB70" s="28">
        <f>Parameters!Z36</f>
        <v>0.65347222222222223</v>
      </c>
      <c r="AC70" s="23">
        <f>Parameters!AA36</f>
        <v>1</v>
      </c>
    </row>
    <row r="71" spans="1:29">
      <c r="A71" s="29" t="str">
        <f>UPPER(A70)</f>
        <v>6BM7</v>
      </c>
      <c r="B71" s="29">
        <f>B70</f>
        <v>1E-4</v>
      </c>
      <c r="C71" s="30">
        <f>C70</f>
        <v>2</v>
      </c>
      <c r="D71" s="30" t="str">
        <f>D70</f>
        <v>SELL</v>
      </c>
      <c r="E71" s="29">
        <f>E70</f>
        <v>0</v>
      </c>
      <c r="F71" s="29">
        <f>F70</f>
        <v>0.01</v>
      </c>
      <c r="G71" s="29">
        <f>IF(C70=1,IF(D70="BUY",E70+(ROUND(F70*G70/B70,0)*B70),E70-(ROUND(F70*G70/B70,0)*B70)),IF(D70="BUY",E70-(ROUND(F70*G70/B70,0)*B70),E70+(ROUND(F70*G70/B70,0)*B70)))</f>
        <v>4.0000000000000002E-4</v>
      </c>
      <c r="H71" s="29">
        <f>IF(C70=1,IF(D70="BUY",G71-(ROUND(F70*H70/B70,0)*B70),G71+(ROUND(F70*H70/B70,0)*B70)),IF(D70="BUY",G71+(ROUND(F70*H70/B70,0)*B70),G71-(ROUND(F70*H70/B70,0)*B70)))</f>
        <v>4.0000000000000002E-4</v>
      </c>
      <c r="I71" s="29">
        <f>IF(D70="BUY",G71+(ROUND(F70*I70/(B70*100),0)*B70),G71-(ROUND(F70*I70/(B70*100),0)*B70))</f>
        <v>4.0000000000000002E-4</v>
      </c>
      <c r="J71" s="29">
        <f>IF(C70=1,IF(D70="BUY",E70+(ROUND(F70*J70/B70,0)*B70),E70-(ROUND(F70*J70/B70,0)*B70)),IF(D70="BUY",E70-(ROUND(F70*J70/B70,0)*B70),E70+(ROUND(F70*J70/B70,0)*B70)))</f>
        <v>0.01</v>
      </c>
      <c r="K71" s="29">
        <f>IF(C70=1,IF(D70="BUY",E70-(ROUND(F70*K70/B70,0)*B70),E70+(ROUND(F70*K70/B70,0)*B70)),IF(D70="BUY",E70-(ROUND(F70*K70/B70,0)*B70),E70+(ROUND(F70*K70/B70,0)*B70)))</f>
        <v>0.01</v>
      </c>
      <c r="L71" s="29">
        <f t="shared" ref="L71" si="101">IF(D71="BUY",I71+(R71*B71),I71-(R71*B71))</f>
        <v>-6.0000000000000006E-4</v>
      </c>
      <c r="M71" s="29">
        <f>IF(D70="BUY",E70+(ROUND(F70*M70/B70,0)*B70),E70-(ROUND(F70*M70/B70,0)*B70))</f>
        <v>-0.01</v>
      </c>
      <c r="N71" s="29">
        <f>IF(D70="BUY",E70-(ROUND(F70*N70/B70,0)*B70),E70+(ROUND(F70*N70/B70,0)*B70))</f>
        <v>0.01</v>
      </c>
      <c r="O71" s="31">
        <f>IF(D71="BUY",N71-VLOOKUP(A71,Symbols!A$1:D$1000,4,FALSE),N71+VLOOKUP(A71,Symbols!A$1:D$1000,4,FALSE))</f>
        <v>1.3000000000000001E-2</v>
      </c>
      <c r="P71" s="29">
        <f>P70</f>
        <v>1</v>
      </c>
      <c r="Q71" s="29">
        <f>Q70</f>
        <v>100</v>
      </c>
      <c r="R71" s="29">
        <f>R70</f>
        <v>10</v>
      </c>
      <c r="S71" s="29">
        <f>S70</f>
        <v>2</v>
      </c>
      <c r="T71" s="29">
        <f>T70</f>
        <v>1</v>
      </c>
      <c r="U71" s="29">
        <f>DATEDIF(DATE(1970,1,1),U70,"D")*86400</f>
        <v>1483660800</v>
      </c>
      <c r="V71" s="29">
        <f>HOUR(V70)*3600+MINUTE(V70)*60+SECOND(V70)</f>
        <v>26100</v>
      </c>
      <c r="W71" s="29">
        <f>DATEDIF(DATE(1970,1,1),W70,"D")*86400</f>
        <v>1502928000</v>
      </c>
      <c r="X71" s="29">
        <f>HOUR(X70)*3600+MINUTE(X70)*60+SECOND(X70)</f>
        <v>56400</v>
      </c>
      <c r="Y71" s="31">
        <f>(Y70*B71)</f>
        <v>2.8E-3</v>
      </c>
      <c r="Z71" s="29">
        <f>Z70</f>
        <v>1</v>
      </c>
      <c r="AA71" s="29">
        <f>DATEDIF(DATE(1970,1,1),AA70,"D")*86400</f>
        <v>1502928000</v>
      </c>
      <c r="AB71" s="29">
        <f>HOUR(AB70)*3600+MINUTE(AB70)*60+SECOND(AB70)</f>
        <v>56460</v>
      </c>
      <c r="AC71" s="29">
        <f>AC70</f>
        <v>1</v>
      </c>
    </row>
    <row r="72" spans="1:29">
      <c r="A72" s="23" t="str">
        <f>Parameters!A37</f>
        <v>6BM7</v>
      </c>
      <c r="B72" s="23">
        <f>Parameters!B37</f>
        <v>1E-4</v>
      </c>
      <c r="C72" s="24">
        <f>Parameters!C37</f>
        <v>2</v>
      </c>
      <c r="D72" s="24" t="str">
        <f>Parameters!D37</f>
        <v>SELL</v>
      </c>
      <c r="E72" s="23">
        <f>Parameters!E37</f>
        <v>0</v>
      </c>
      <c r="F72" s="23">
        <f>Parameters!F37</f>
        <v>0.01</v>
      </c>
      <c r="G72" s="25">
        <f>Parameters!G37</f>
        <v>0.05</v>
      </c>
      <c r="H72" s="25">
        <f>Parameters!H37</f>
        <v>0</v>
      </c>
      <c r="I72" s="25">
        <f>Parameters!I37</f>
        <v>0</v>
      </c>
      <c r="J72" s="25">
        <f>Parameters!J37</f>
        <v>1</v>
      </c>
      <c r="K72" s="25">
        <f>Parameters!K37</f>
        <v>1</v>
      </c>
      <c r="L72" s="26">
        <f t="shared" ref="L72" si="102">L73</f>
        <v>-5.0000000000000001E-4</v>
      </c>
      <c r="M72" s="25">
        <f>Parameters!L37</f>
        <v>1</v>
      </c>
      <c r="N72" s="25">
        <f>Parameters!M37</f>
        <v>1</v>
      </c>
      <c r="O72" s="26">
        <f t="shared" ref="O72" si="103">O73</f>
        <v>1.3000000000000001E-2</v>
      </c>
      <c r="P72" s="23">
        <f>Parameters!N37</f>
        <v>1</v>
      </c>
      <c r="Q72" s="23">
        <f>Parameters!O37</f>
        <v>100</v>
      </c>
      <c r="R72" s="23">
        <f>Parameters!P37</f>
        <v>10</v>
      </c>
      <c r="S72" s="23">
        <f>Parameters!Q37</f>
        <v>2</v>
      </c>
      <c r="T72" s="23">
        <f>Parameters!R37</f>
        <v>1</v>
      </c>
      <c r="U72" s="27">
        <f>Parameters!S37</f>
        <v>42741</v>
      </c>
      <c r="V72" s="28">
        <f>Parameters!T37</f>
        <v>0.30208333333333331</v>
      </c>
      <c r="W72" s="27">
        <f>Parameters!U37</f>
        <v>42964</v>
      </c>
      <c r="X72" s="28">
        <f>Parameters!V37</f>
        <v>0.65277777777777779</v>
      </c>
      <c r="Y72" s="25">
        <f>Parameters!W37</f>
        <v>28</v>
      </c>
      <c r="Z72" s="23">
        <f>Parameters!X37</f>
        <v>1</v>
      </c>
      <c r="AA72" s="27">
        <f>Parameters!Y37</f>
        <v>42964</v>
      </c>
      <c r="AB72" s="28">
        <f>Parameters!Z37</f>
        <v>0.65347222222222223</v>
      </c>
      <c r="AC72" s="23">
        <f>Parameters!AA37</f>
        <v>1</v>
      </c>
    </row>
    <row r="73" spans="1:29">
      <c r="A73" s="29" t="str">
        <f>UPPER(A72)</f>
        <v>6BM7</v>
      </c>
      <c r="B73" s="29">
        <f>B72</f>
        <v>1E-4</v>
      </c>
      <c r="C73" s="30">
        <f>C72</f>
        <v>2</v>
      </c>
      <c r="D73" s="30" t="str">
        <f>D72</f>
        <v>SELL</v>
      </c>
      <c r="E73" s="29">
        <f>E72</f>
        <v>0</v>
      </c>
      <c r="F73" s="29">
        <f>F72</f>
        <v>0.01</v>
      </c>
      <c r="G73" s="29">
        <f>IF(C72=1,IF(D72="BUY",E72+(ROUND(F72*G72/B72,0)*B72),E72-(ROUND(F72*G72/B72,0)*B72)),IF(D72="BUY",E72-(ROUND(F72*G72/B72,0)*B72),E72+(ROUND(F72*G72/B72,0)*B72)))</f>
        <v>5.0000000000000001E-4</v>
      </c>
      <c r="H73" s="29">
        <f>IF(C72=1,IF(D72="BUY",G73-(ROUND(F72*H72/B72,0)*B72),G73+(ROUND(F72*H72/B72,0)*B72)),IF(D72="BUY",G73+(ROUND(F72*H72/B72,0)*B72),G73-(ROUND(F72*H72/B72,0)*B72)))</f>
        <v>5.0000000000000001E-4</v>
      </c>
      <c r="I73" s="29">
        <f>IF(D72="BUY",G73+(ROUND(F72*I72/(B72*100),0)*B72),G73-(ROUND(F72*I72/(B72*100),0)*B72))</f>
        <v>5.0000000000000001E-4</v>
      </c>
      <c r="J73" s="29">
        <f>IF(C72=1,IF(D72="BUY",E72+(ROUND(F72*J72/B72,0)*B72),E72-(ROUND(F72*J72/B72,0)*B72)),IF(D72="BUY",E72-(ROUND(F72*J72/B72,0)*B72),E72+(ROUND(F72*J72/B72,0)*B72)))</f>
        <v>0.01</v>
      </c>
      <c r="K73" s="29">
        <f>IF(C72=1,IF(D72="BUY",E72-(ROUND(F72*K72/B72,0)*B72),E72+(ROUND(F72*K72/B72,0)*B72)),IF(D72="BUY",E72-(ROUND(F72*K72/B72,0)*B72),E72+(ROUND(F72*K72/B72,0)*B72)))</f>
        <v>0.01</v>
      </c>
      <c r="L73" s="29">
        <f t="shared" ref="L73" si="104">IF(D73="BUY",I73+(R73*B73),I73-(R73*B73))</f>
        <v>-5.0000000000000001E-4</v>
      </c>
      <c r="M73" s="29">
        <f>IF(D72="BUY",E72+(ROUND(F72*M72/B72,0)*B72),E72-(ROUND(F72*M72/B72,0)*B72))</f>
        <v>-0.01</v>
      </c>
      <c r="N73" s="29">
        <f>IF(D72="BUY",E72-(ROUND(F72*N72/B72,0)*B72),E72+(ROUND(F72*N72/B72,0)*B72))</f>
        <v>0.01</v>
      </c>
      <c r="O73" s="31">
        <f>IF(D73="BUY",N73-VLOOKUP(A73,Symbols!A$1:D$1000,4,FALSE),N73+VLOOKUP(A73,Symbols!A$1:D$1000,4,FALSE))</f>
        <v>1.3000000000000001E-2</v>
      </c>
      <c r="P73" s="29">
        <f>P72</f>
        <v>1</v>
      </c>
      <c r="Q73" s="29">
        <f>Q72</f>
        <v>100</v>
      </c>
      <c r="R73" s="29">
        <f>R72</f>
        <v>10</v>
      </c>
      <c r="S73" s="29">
        <f>S72</f>
        <v>2</v>
      </c>
      <c r="T73" s="29">
        <f>T72</f>
        <v>1</v>
      </c>
      <c r="U73" s="29">
        <f>DATEDIF(DATE(1970,1,1),U72,"D")*86400</f>
        <v>1483660800</v>
      </c>
      <c r="V73" s="29">
        <f>HOUR(V72)*3600+MINUTE(V72)*60+SECOND(V72)</f>
        <v>26100</v>
      </c>
      <c r="W73" s="29">
        <f>DATEDIF(DATE(1970,1,1),W72,"D")*86400</f>
        <v>1502928000</v>
      </c>
      <c r="X73" s="29">
        <f>HOUR(X72)*3600+MINUTE(X72)*60+SECOND(X72)</f>
        <v>56400</v>
      </c>
      <c r="Y73" s="31">
        <f>(Y72*B73)</f>
        <v>2.8E-3</v>
      </c>
      <c r="Z73" s="29">
        <f>Z72</f>
        <v>1</v>
      </c>
      <c r="AA73" s="29">
        <f>DATEDIF(DATE(1970,1,1),AA72,"D")*86400</f>
        <v>1502928000</v>
      </c>
      <c r="AB73" s="29">
        <f>HOUR(AB72)*3600+MINUTE(AB72)*60+SECOND(AB72)</f>
        <v>56460</v>
      </c>
      <c r="AC73" s="29">
        <f>AC72</f>
        <v>1</v>
      </c>
    </row>
    <row r="74" spans="1:29">
      <c r="A74" s="23" t="str">
        <f>Parameters!A38</f>
        <v>6BM7</v>
      </c>
      <c r="B74" s="23">
        <f>Parameters!B38</f>
        <v>1E-4</v>
      </c>
      <c r="C74" s="24">
        <f>Parameters!C38</f>
        <v>2</v>
      </c>
      <c r="D74" s="24" t="str">
        <f>Parameters!D38</f>
        <v>SELL</v>
      </c>
      <c r="E74" s="23">
        <f>Parameters!E38</f>
        <v>0</v>
      </c>
      <c r="F74" s="23">
        <f>Parameters!F38</f>
        <v>0.01</v>
      </c>
      <c r="G74" s="25">
        <f>Parameters!G38</f>
        <v>0.06</v>
      </c>
      <c r="H74" s="25">
        <f>Parameters!H38</f>
        <v>0</v>
      </c>
      <c r="I74" s="25">
        <f>Parameters!I38</f>
        <v>0</v>
      </c>
      <c r="J74" s="25">
        <f>Parameters!J38</f>
        <v>1</v>
      </c>
      <c r="K74" s="25">
        <f>Parameters!K38</f>
        <v>1</v>
      </c>
      <c r="L74" s="26">
        <f t="shared" ref="L74" si="105">L75</f>
        <v>-3.9999999999999996E-4</v>
      </c>
      <c r="M74" s="25">
        <f>Parameters!L38</f>
        <v>1</v>
      </c>
      <c r="N74" s="25">
        <f>Parameters!M38</f>
        <v>1</v>
      </c>
      <c r="O74" s="26">
        <f t="shared" ref="O74" si="106">O75</f>
        <v>1.3000000000000001E-2</v>
      </c>
      <c r="P74" s="23">
        <f>Parameters!N38</f>
        <v>1</v>
      </c>
      <c r="Q74" s="23">
        <f>Parameters!O38</f>
        <v>100</v>
      </c>
      <c r="R74" s="23">
        <f>Parameters!P38</f>
        <v>10</v>
      </c>
      <c r="S74" s="23">
        <f>Parameters!Q38</f>
        <v>2</v>
      </c>
      <c r="T74" s="23">
        <f>Parameters!R38</f>
        <v>1</v>
      </c>
      <c r="U74" s="27">
        <f>Parameters!S38</f>
        <v>42741</v>
      </c>
      <c r="V74" s="28">
        <f>Parameters!T38</f>
        <v>0.30208333333333331</v>
      </c>
      <c r="W74" s="27">
        <f>Parameters!U38</f>
        <v>42964</v>
      </c>
      <c r="X74" s="28">
        <f>Parameters!V38</f>
        <v>0.65277777777777779</v>
      </c>
      <c r="Y74" s="25">
        <f>Parameters!W38</f>
        <v>28</v>
      </c>
      <c r="Z74" s="23">
        <f>Parameters!X38</f>
        <v>1</v>
      </c>
      <c r="AA74" s="27">
        <f>Parameters!Y38</f>
        <v>42964</v>
      </c>
      <c r="AB74" s="28">
        <f>Parameters!Z38</f>
        <v>0.65347222222222223</v>
      </c>
      <c r="AC74" s="23">
        <f>Parameters!AA38</f>
        <v>1</v>
      </c>
    </row>
    <row r="75" spans="1:29">
      <c r="A75" s="29" t="str">
        <f>UPPER(A74)</f>
        <v>6BM7</v>
      </c>
      <c r="B75" s="29">
        <f>B74</f>
        <v>1E-4</v>
      </c>
      <c r="C75" s="30">
        <f>C74</f>
        <v>2</v>
      </c>
      <c r="D75" s="30" t="str">
        <f>D74</f>
        <v>SELL</v>
      </c>
      <c r="E75" s="29">
        <f>E74</f>
        <v>0</v>
      </c>
      <c r="F75" s="29">
        <f>F74</f>
        <v>0.01</v>
      </c>
      <c r="G75" s="29">
        <f>IF(C74=1,IF(D74="BUY",E74+(ROUND(F74*G74/B74,0)*B74),E74-(ROUND(F74*G74/B74,0)*B74)),IF(D74="BUY",E74-(ROUND(F74*G74/B74,0)*B74),E74+(ROUND(F74*G74/B74,0)*B74)))</f>
        <v>6.0000000000000006E-4</v>
      </c>
      <c r="H75" s="29">
        <f>IF(C74=1,IF(D74="BUY",G75-(ROUND(F74*H74/B74,0)*B74),G75+(ROUND(F74*H74/B74,0)*B74)),IF(D74="BUY",G75+(ROUND(F74*H74/B74,0)*B74),G75-(ROUND(F74*H74/B74,0)*B74)))</f>
        <v>6.0000000000000006E-4</v>
      </c>
      <c r="I75" s="29">
        <f>IF(D74="BUY",G75+(ROUND(F74*I74/(B74*100),0)*B74),G75-(ROUND(F74*I74/(B74*100),0)*B74))</f>
        <v>6.0000000000000006E-4</v>
      </c>
      <c r="J75" s="29">
        <f>IF(C74=1,IF(D74="BUY",E74+(ROUND(F74*J74/B74,0)*B74),E74-(ROUND(F74*J74/B74,0)*B74)),IF(D74="BUY",E74-(ROUND(F74*J74/B74,0)*B74),E74+(ROUND(F74*J74/B74,0)*B74)))</f>
        <v>0.01</v>
      </c>
      <c r="K75" s="29">
        <f>IF(C74=1,IF(D74="BUY",E74-(ROUND(F74*K74/B74,0)*B74),E74+(ROUND(F74*K74/B74,0)*B74)),IF(D74="BUY",E74-(ROUND(F74*K74/B74,0)*B74),E74+(ROUND(F74*K74/B74,0)*B74)))</f>
        <v>0.01</v>
      </c>
      <c r="L75" s="29">
        <f t="shared" ref="L75" si="107">IF(D75="BUY",I75+(R75*B75),I75-(R75*B75))</f>
        <v>-3.9999999999999996E-4</v>
      </c>
      <c r="M75" s="29">
        <f>IF(D74="BUY",E74+(ROUND(F74*M74/B74,0)*B74),E74-(ROUND(F74*M74/B74,0)*B74))</f>
        <v>-0.01</v>
      </c>
      <c r="N75" s="29">
        <f>IF(D74="BUY",E74-(ROUND(F74*N74/B74,0)*B74),E74+(ROUND(F74*N74/B74,0)*B74))</f>
        <v>0.01</v>
      </c>
      <c r="O75" s="31">
        <f>IF(D75="BUY",N75-VLOOKUP(A75,Symbols!A$1:D$1000,4,FALSE),N75+VLOOKUP(A75,Symbols!A$1:D$1000,4,FALSE))</f>
        <v>1.3000000000000001E-2</v>
      </c>
      <c r="P75" s="29">
        <f>P74</f>
        <v>1</v>
      </c>
      <c r="Q75" s="29">
        <f>Q74</f>
        <v>100</v>
      </c>
      <c r="R75" s="29">
        <f>R74</f>
        <v>10</v>
      </c>
      <c r="S75" s="29">
        <f>S74</f>
        <v>2</v>
      </c>
      <c r="T75" s="29">
        <f>T74</f>
        <v>1</v>
      </c>
      <c r="U75" s="29">
        <f>DATEDIF(DATE(1970,1,1),U74,"D")*86400</f>
        <v>1483660800</v>
      </c>
      <c r="V75" s="29">
        <f>HOUR(V74)*3600+MINUTE(V74)*60+SECOND(V74)</f>
        <v>26100</v>
      </c>
      <c r="W75" s="29">
        <f>DATEDIF(DATE(1970,1,1),W74,"D")*86400</f>
        <v>1502928000</v>
      </c>
      <c r="X75" s="29">
        <f>HOUR(X74)*3600+MINUTE(X74)*60+SECOND(X74)</f>
        <v>56400</v>
      </c>
      <c r="Y75" s="31">
        <f>(Y74*B75)</f>
        <v>2.8E-3</v>
      </c>
      <c r="Z75" s="29">
        <f>Z74</f>
        <v>1</v>
      </c>
      <c r="AA75" s="29">
        <f>DATEDIF(DATE(1970,1,1),AA74,"D")*86400</f>
        <v>1502928000</v>
      </c>
      <c r="AB75" s="29">
        <f>HOUR(AB74)*3600+MINUTE(AB74)*60+SECOND(AB74)</f>
        <v>56460</v>
      </c>
      <c r="AC75" s="29">
        <f>AC74</f>
        <v>1</v>
      </c>
    </row>
    <row r="76" spans="1:29">
      <c r="A76" s="23" t="str">
        <f>Parameters!A39</f>
        <v>6BM7</v>
      </c>
      <c r="B76" s="23">
        <f>Parameters!B39</f>
        <v>1E-4</v>
      </c>
      <c r="C76" s="24">
        <f>Parameters!C39</f>
        <v>2</v>
      </c>
      <c r="D76" s="24" t="str">
        <f>Parameters!D39</f>
        <v>SELL</v>
      </c>
      <c r="E76" s="23">
        <f>Parameters!E39</f>
        <v>0</v>
      </c>
      <c r="F76" s="23">
        <f>Parameters!F39</f>
        <v>0.01</v>
      </c>
      <c r="G76" s="25">
        <f>Parameters!G39</f>
        <v>7.0000000000000007E-2</v>
      </c>
      <c r="H76" s="25">
        <f>Parameters!H39</f>
        <v>0</v>
      </c>
      <c r="I76" s="25">
        <f>Parameters!I39</f>
        <v>0</v>
      </c>
      <c r="J76" s="25">
        <f>Parameters!J39</f>
        <v>1</v>
      </c>
      <c r="K76" s="25">
        <f>Parameters!K39</f>
        <v>1</v>
      </c>
      <c r="L76" s="26">
        <f t="shared" ref="L76" si="108">L77</f>
        <v>-3.0000000000000003E-4</v>
      </c>
      <c r="M76" s="25">
        <f>Parameters!L39</f>
        <v>1</v>
      </c>
      <c r="N76" s="25">
        <f>Parameters!M39</f>
        <v>1</v>
      </c>
      <c r="O76" s="26">
        <f t="shared" ref="O76" si="109">O77</f>
        <v>1.3000000000000001E-2</v>
      </c>
      <c r="P76" s="23">
        <f>Parameters!N39</f>
        <v>1</v>
      </c>
      <c r="Q76" s="23">
        <f>Parameters!O39</f>
        <v>100</v>
      </c>
      <c r="R76" s="23">
        <f>Parameters!P39</f>
        <v>10</v>
      </c>
      <c r="S76" s="23">
        <f>Parameters!Q39</f>
        <v>2</v>
      </c>
      <c r="T76" s="23">
        <f>Parameters!R39</f>
        <v>1</v>
      </c>
      <c r="U76" s="27">
        <f>Parameters!S39</f>
        <v>42741</v>
      </c>
      <c r="V76" s="28">
        <f>Parameters!T39</f>
        <v>0.30208333333333331</v>
      </c>
      <c r="W76" s="27">
        <f>Parameters!U39</f>
        <v>42964</v>
      </c>
      <c r="X76" s="28">
        <f>Parameters!V39</f>
        <v>0.65277777777777779</v>
      </c>
      <c r="Y76" s="25">
        <f>Parameters!W39</f>
        <v>28</v>
      </c>
      <c r="Z76" s="23">
        <f>Parameters!X39</f>
        <v>1</v>
      </c>
      <c r="AA76" s="27">
        <f>Parameters!Y39</f>
        <v>42964</v>
      </c>
      <c r="AB76" s="28">
        <f>Parameters!Z39</f>
        <v>0.65347222222222223</v>
      </c>
      <c r="AC76" s="23">
        <f>Parameters!AA39</f>
        <v>1</v>
      </c>
    </row>
    <row r="77" spans="1:29">
      <c r="A77" s="29" t="str">
        <f>UPPER(A76)</f>
        <v>6BM7</v>
      </c>
      <c r="B77" s="29">
        <f>B76</f>
        <v>1E-4</v>
      </c>
      <c r="C77" s="30">
        <f>C76</f>
        <v>2</v>
      </c>
      <c r="D77" s="30" t="str">
        <f>D76</f>
        <v>SELL</v>
      </c>
      <c r="E77" s="29">
        <f>E76</f>
        <v>0</v>
      </c>
      <c r="F77" s="29">
        <f>F76</f>
        <v>0.01</v>
      </c>
      <c r="G77" s="29">
        <f>IF(C76=1,IF(D76="BUY",E76+(ROUND(F76*G76/B76,0)*B76),E76-(ROUND(F76*G76/B76,0)*B76)),IF(D76="BUY",E76-(ROUND(F76*G76/B76,0)*B76),E76+(ROUND(F76*G76/B76,0)*B76)))</f>
        <v>6.9999999999999999E-4</v>
      </c>
      <c r="H77" s="29">
        <f>IF(C76=1,IF(D76="BUY",G77-(ROUND(F76*H76/B76,0)*B76),G77+(ROUND(F76*H76/B76,0)*B76)),IF(D76="BUY",G77+(ROUND(F76*H76/B76,0)*B76),G77-(ROUND(F76*H76/B76,0)*B76)))</f>
        <v>6.9999999999999999E-4</v>
      </c>
      <c r="I77" s="29">
        <f>IF(D76="BUY",G77+(ROUND(F76*I76/(B76*100),0)*B76),G77-(ROUND(F76*I76/(B76*100),0)*B76))</f>
        <v>6.9999999999999999E-4</v>
      </c>
      <c r="J77" s="29">
        <f>IF(C76=1,IF(D76="BUY",E76+(ROUND(F76*J76/B76,0)*B76),E76-(ROUND(F76*J76/B76,0)*B76)),IF(D76="BUY",E76-(ROUND(F76*J76/B76,0)*B76),E76+(ROUND(F76*J76/B76,0)*B76)))</f>
        <v>0.01</v>
      </c>
      <c r="K77" s="29">
        <f>IF(C76=1,IF(D76="BUY",E76-(ROUND(F76*K76/B76,0)*B76),E76+(ROUND(F76*K76/B76,0)*B76)),IF(D76="BUY",E76-(ROUND(F76*K76/B76,0)*B76),E76+(ROUND(F76*K76/B76,0)*B76)))</f>
        <v>0.01</v>
      </c>
      <c r="L77" s="29">
        <f t="shared" ref="L77" si="110">IF(D77="BUY",I77+(R77*B77),I77-(R77*B77))</f>
        <v>-3.0000000000000003E-4</v>
      </c>
      <c r="M77" s="29">
        <f>IF(D76="BUY",E76+(ROUND(F76*M76/B76,0)*B76),E76-(ROUND(F76*M76/B76,0)*B76))</f>
        <v>-0.01</v>
      </c>
      <c r="N77" s="29">
        <f>IF(D76="BUY",E76-(ROUND(F76*N76/B76,0)*B76),E76+(ROUND(F76*N76/B76,0)*B76))</f>
        <v>0.01</v>
      </c>
      <c r="O77" s="31">
        <f>IF(D77="BUY",N77-VLOOKUP(A77,Symbols!A$1:D$1000,4,FALSE),N77+VLOOKUP(A77,Symbols!A$1:D$1000,4,FALSE))</f>
        <v>1.3000000000000001E-2</v>
      </c>
      <c r="P77" s="29">
        <f>P76</f>
        <v>1</v>
      </c>
      <c r="Q77" s="29">
        <f>Q76</f>
        <v>100</v>
      </c>
      <c r="R77" s="29">
        <f>R76</f>
        <v>10</v>
      </c>
      <c r="S77" s="29">
        <f>S76</f>
        <v>2</v>
      </c>
      <c r="T77" s="29">
        <f>T76</f>
        <v>1</v>
      </c>
      <c r="U77" s="29">
        <f>DATEDIF(DATE(1970,1,1),U76,"D")*86400</f>
        <v>1483660800</v>
      </c>
      <c r="V77" s="29">
        <f>HOUR(V76)*3600+MINUTE(V76)*60+SECOND(V76)</f>
        <v>26100</v>
      </c>
      <c r="W77" s="29">
        <f>DATEDIF(DATE(1970,1,1),W76,"D")*86400</f>
        <v>1502928000</v>
      </c>
      <c r="X77" s="29">
        <f>HOUR(X76)*3600+MINUTE(X76)*60+SECOND(X76)</f>
        <v>56400</v>
      </c>
      <c r="Y77" s="31">
        <f>(Y76*B77)</f>
        <v>2.8E-3</v>
      </c>
      <c r="Z77" s="29">
        <f>Z76</f>
        <v>1</v>
      </c>
      <c r="AA77" s="29">
        <f>DATEDIF(DATE(1970,1,1),AA76,"D")*86400</f>
        <v>1502928000</v>
      </c>
      <c r="AB77" s="29">
        <f>HOUR(AB76)*3600+MINUTE(AB76)*60+SECOND(AB76)</f>
        <v>56460</v>
      </c>
      <c r="AC77" s="29">
        <f>AC76</f>
        <v>1</v>
      </c>
    </row>
    <row r="78" spans="1:29">
      <c r="A78" s="23" t="str">
        <f>Parameters!A40</f>
        <v>6BM7</v>
      </c>
      <c r="B78" s="23">
        <f>Parameters!B40</f>
        <v>1E-4</v>
      </c>
      <c r="C78" s="24">
        <f>Parameters!C40</f>
        <v>2</v>
      </c>
      <c r="D78" s="24" t="str">
        <f>Parameters!D40</f>
        <v>SELL</v>
      </c>
      <c r="E78" s="23">
        <f>Parameters!E40</f>
        <v>0</v>
      </c>
      <c r="F78" s="23">
        <f>Parameters!F40</f>
        <v>0.01</v>
      </c>
      <c r="G78" s="25">
        <f>Parameters!G40</f>
        <v>0.08</v>
      </c>
      <c r="H78" s="25">
        <f>Parameters!H40</f>
        <v>0</v>
      </c>
      <c r="I78" s="25">
        <f>Parameters!I40</f>
        <v>0</v>
      </c>
      <c r="J78" s="25">
        <f>Parameters!J40</f>
        <v>1</v>
      </c>
      <c r="K78" s="25">
        <f>Parameters!K40</f>
        <v>1</v>
      </c>
      <c r="L78" s="26">
        <f t="shared" ref="L78" si="111">L79</f>
        <v>-1.9999999999999998E-4</v>
      </c>
      <c r="M78" s="25">
        <f>Parameters!L40</f>
        <v>1</v>
      </c>
      <c r="N78" s="25">
        <f>Parameters!M40</f>
        <v>1</v>
      </c>
      <c r="O78" s="26">
        <f t="shared" ref="O78" si="112">O79</f>
        <v>1.3000000000000001E-2</v>
      </c>
      <c r="P78" s="23">
        <f>Parameters!N40</f>
        <v>1</v>
      </c>
      <c r="Q78" s="23">
        <f>Parameters!O40</f>
        <v>100</v>
      </c>
      <c r="R78" s="23">
        <f>Parameters!P40</f>
        <v>10</v>
      </c>
      <c r="S78" s="23">
        <f>Parameters!Q40</f>
        <v>2</v>
      </c>
      <c r="T78" s="23">
        <f>Parameters!R40</f>
        <v>1</v>
      </c>
      <c r="U78" s="27">
        <f>Parameters!S40</f>
        <v>42741</v>
      </c>
      <c r="V78" s="28">
        <f>Parameters!T40</f>
        <v>0.30208333333333331</v>
      </c>
      <c r="W78" s="27">
        <f>Parameters!U40</f>
        <v>42964</v>
      </c>
      <c r="X78" s="28">
        <f>Parameters!V40</f>
        <v>0.65277777777777779</v>
      </c>
      <c r="Y78" s="25">
        <f>Parameters!W40</f>
        <v>28</v>
      </c>
      <c r="Z78" s="23">
        <f>Parameters!X40</f>
        <v>1</v>
      </c>
      <c r="AA78" s="27">
        <f>Parameters!Y40</f>
        <v>42964</v>
      </c>
      <c r="AB78" s="28">
        <f>Parameters!Z40</f>
        <v>0.65347222222222223</v>
      </c>
      <c r="AC78" s="23">
        <f>Parameters!AA40</f>
        <v>1</v>
      </c>
    </row>
    <row r="79" spans="1:29">
      <c r="A79" s="29" t="str">
        <f>UPPER(A78)</f>
        <v>6BM7</v>
      </c>
      <c r="B79" s="29">
        <f>B78</f>
        <v>1E-4</v>
      </c>
      <c r="C79" s="30">
        <f>C78</f>
        <v>2</v>
      </c>
      <c r="D79" s="30" t="str">
        <f>D78</f>
        <v>SELL</v>
      </c>
      <c r="E79" s="29">
        <f>E78</f>
        <v>0</v>
      </c>
      <c r="F79" s="29">
        <f>F78</f>
        <v>0.01</v>
      </c>
      <c r="G79" s="29">
        <f>IF(C78=1,IF(D78="BUY",E78+(ROUND(F78*G78/B78,0)*B78),E78-(ROUND(F78*G78/B78,0)*B78)),IF(D78="BUY",E78-(ROUND(F78*G78/B78,0)*B78),E78+(ROUND(F78*G78/B78,0)*B78)))</f>
        <v>8.0000000000000004E-4</v>
      </c>
      <c r="H79" s="29">
        <f>IF(C78=1,IF(D78="BUY",G79-(ROUND(F78*H78/B78,0)*B78),G79+(ROUND(F78*H78/B78,0)*B78)),IF(D78="BUY",G79+(ROUND(F78*H78/B78,0)*B78),G79-(ROUND(F78*H78/B78,0)*B78)))</f>
        <v>8.0000000000000004E-4</v>
      </c>
      <c r="I79" s="29">
        <f>IF(D78="BUY",G79+(ROUND(F78*I78/(B78*100),0)*B78),G79-(ROUND(F78*I78/(B78*100),0)*B78))</f>
        <v>8.0000000000000004E-4</v>
      </c>
      <c r="J79" s="29">
        <f>IF(C78=1,IF(D78="BUY",E78+(ROUND(F78*J78/B78,0)*B78),E78-(ROUND(F78*J78/B78,0)*B78)),IF(D78="BUY",E78-(ROUND(F78*J78/B78,0)*B78),E78+(ROUND(F78*J78/B78,0)*B78)))</f>
        <v>0.01</v>
      </c>
      <c r="K79" s="29">
        <f>IF(C78=1,IF(D78="BUY",E78-(ROUND(F78*K78/B78,0)*B78),E78+(ROUND(F78*K78/B78,0)*B78)),IF(D78="BUY",E78-(ROUND(F78*K78/B78,0)*B78),E78+(ROUND(F78*K78/B78,0)*B78)))</f>
        <v>0.01</v>
      </c>
      <c r="L79" s="29">
        <f t="shared" ref="L79" si="113">IF(D79="BUY",I79+(R79*B79),I79-(R79*B79))</f>
        <v>-1.9999999999999998E-4</v>
      </c>
      <c r="M79" s="29">
        <f>IF(D78="BUY",E78+(ROUND(F78*M78/B78,0)*B78),E78-(ROUND(F78*M78/B78,0)*B78))</f>
        <v>-0.01</v>
      </c>
      <c r="N79" s="29">
        <f>IF(D78="BUY",E78-(ROUND(F78*N78/B78,0)*B78),E78+(ROUND(F78*N78/B78,0)*B78))</f>
        <v>0.01</v>
      </c>
      <c r="O79" s="31">
        <f>IF(D79="BUY",N79-VLOOKUP(A79,Symbols!A$1:D$1000,4,FALSE),N79+VLOOKUP(A79,Symbols!A$1:D$1000,4,FALSE))</f>
        <v>1.3000000000000001E-2</v>
      </c>
      <c r="P79" s="29">
        <f>P78</f>
        <v>1</v>
      </c>
      <c r="Q79" s="29">
        <f>Q78</f>
        <v>100</v>
      </c>
      <c r="R79" s="29">
        <f>R78</f>
        <v>10</v>
      </c>
      <c r="S79" s="29">
        <f>S78</f>
        <v>2</v>
      </c>
      <c r="T79" s="29">
        <f>T78</f>
        <v>1</v>
      </c>
      <c r="U79" s="29">
        <f>DATEDIF(DATE(1970,1,1),U78,"D")*86400</f>
        <v>1483660800</v>
      </c>
      <c r="V79" s="29">
        <f>HOUR(V78)*3600+MINUTE(V78)*60+SECOND(V78)</f>
        <v>26100</v>
      </c>
      <c r="W79" s="29">
        <f>DATEDIF(DATE(1970,1,1),W78,"D")*86400</f>
        <v>1502928000</v>
      </c>
      <c r="X79" s="29">
        <f>HOUR(X78)*3600+MINUTE(X78)*60+SECOND(X78)</f>
        <v>56400</v>
      </c>
      <c r="Y79" s="31">
        <f>(Y78*B79)</f>
        <v>2.8E-3</v>
      </c>
      <c r="Z79" s="29">
        <f>Z78</f>
        <v>1</v>
      </c>
      <c r="AA79" s="29">
        <f>DATEDIF(DATE(1970,1,1),AA78,"D")*86400</f>
        <v>1502928000</v>
      </c>
      <c r="AB79" s="29">
        <f>HOUR(AB78)*3600+MINUTE(AB78)*60+SECOND(AB78)</f>
        <v>56460</v>
      </c>
      <c r="AC79" s="29">
        <f>AC78</f>
        <v>1</v>
      </c>
    </row>
    <row r="80" spans="1:29">
      <c r="A80" s="23" t="str">
        <f>Parameters!A41</f>
        <v>6BM7</v>
      </c>
      <c r="B80" s="23">
        <f>Parameters!B41</f>
        <v>1E-4</v>
      </c>
      <c r="C80" s="24">
        <f>Parameters!C41</f>
        <v>2</v>
      </c>
      <c r="D80" s="24" t="str">
        <f>Parameters!D41</f>
        <v>SELL</v>
      </c>
      <c r="E80" s="23">
        <f>Parameters!E41</f>
        <v>0</v>
      </c>
      <c r="F80" s="23">
        <f>Parameters!F41</f>
        <v>0.01</v>
      </c>
      <c r="G80" s="25">
        <f>Parameters!G41</f>
        <v>0.09</v>
      </c>
      <c r="H80" s="25">
        <f>Parameters!H41</f>
        <v>0</v>
      </c>
      <c r="I80" s="25">
        <f>Parameters!I41</f>
        <v>0</v>
      </c>
      <c r="J80" s="25">
        <f>Parameters!J41</f>
        <v>1</v>
      </c>
      <c r="K80" s="25">
        <f>Parameters!K41</f>
        <v>1</v>
      </c>
      <c r="L80" s="26">
        <f t="shared" ref="L80" si="114">L81</f>
        <v>-9.9999999999999937E-5</v>
      </c>
      <c r="M80" s="25">
        <f>Parameters!L41</f>
        <v>1</v>
      </c>
      <c r="N80" s="25">
        <f>Parameters!M41</f>
        <v>1</v>
      </c>
      <c r="O80" s="26">
        <f t="shared" ref="O80" si="115">O81</f>
        <v>1.3000000000000001E-2</v>
      </c>
      <c r="P80" s="23">
        <f>Parameters!N41</f>
        <v>1</v>
      </c>
      <c r="Q80" s="23">
        <f>Parameters!O41</f>
        <v>100</v>
      </c>
      <c r="R80" s="23">
        <f>Parameters!P41</f>
        <v>10</v>
      </c>
      <c r="S80" s="23">
        <f>Parameters!Q41</f>
        <v>2</v>
      </c>
      <c r="T80" s="23">
        <f>Parameters!R41</f>
        <v>1</v>
      </c>
      <c r="U80" s="27">
        <f>Parameters!S41</f>
        <v>42741</v>
      </c>
      <c r="V80" s="28">
        <f>Parameters!T41</f>
        <v>0.30208333333333331</v>
      </c>
      <c r="W80" s="27">
        <f>Parameters!U41</f>
        <v>42964</v>
      </c>
      <c r="X80" s="28">
        <f>Parameters!V41</f>
        <v>0.65277777777777779</v>
      </c>
      <c r="Y80" s="25">
        <f>Parameters!W41</f>
        <v>28</v>
      </c>
      <c r="Z80" s="23">
        <f>Parameters!X41</f>
        <v>1</v>
      </c>
      <c r="AA80" s="27">
        <f>Parameters!Y41</f>
        <v>42964</v>
      </c>
      <c r="AB80" s="28">
        <f>Parameters!Z41</f>
        <v>0.65347222222222223</v>
      </c>
      <c r="AC80" s="23">
        <f>Parameters!AA41</f>
        <v>1</v>
      </c>
    </row>
    <row r="81" spans="1:29">
      <c r="A81" s="29" t="str">
        <f>UPPER(A80)</f>
        <v>6BM7</v>
      </c>
      <c r="B81" s="29">
        <f>B80</f>
        <v>1E-4</v>
      </c>
      <c r="C81" s="30">
        <f>C80</f>
        <v>2</v>
      </c>
      <c r="D81" s="30" t="str">
        <f>D80</f>
        <v>SELL</v>
      </c>
      <c r="E81" s="29">
        <f>E80</f>
        <v>0</v>
      </c>
      <c r="F81" s="29">
        <f>F80</f>
        <v>0.01</v>
      </c>
      <c r="G81" s="29">
        <f>IF(C80=1,IF(D80="BUY",E80+(ROUND(F80*G80/B80,0)*B80),E80-(ROUND(F80*G80/B80,0)*B80)),IF(D80="BUY",E80-(ROUND(F80*G80/B80,0)*B80),E80+(ROUND(F80*G80/B80,0)*B80)))</f>
        <v>9.0000000000000008E-4</v>
      </c>
      <c r="H81" s="29">
        <f>IF(C80=1,IF(D80="BUY",G81-(ROUND(F80*H80/B80,0)*B80),G81+(ROUND(F80*H80/B80,0)*B80)),IF(D80="BUY",G81+(ROUND(F80*H80/B80,0)*B80),G81-(ROUND(F80*H80/B80,0)*B80)))</f>
        <v>9.0000000000000008E-4</v>
      </c>
      <c r="I81" s="29">
        <f>IF(D80="BUY",G81+(ROUND(F80*I80/(B80*100),0)*B80),G81-(ROUND(F80*I80/(B80*100),0)*B80))</f>
        <v>9.0000000000000008E-4</v>
      </c>
      <c r="J81" s="29">
        <f>IF(C80=1,IF(D80="BUY",E80+(ROUND(F80*J80/B80,0)*B80),E80-(ROUND(F80*J80/B80,0)*B80)),IF(D80="BUY",E80-(ROUND(F80*J80/B80,0)*B80),E80+(ROUND(F80*J80/B80,0)*B80)))</f>
        <v>0.01</v>
      </c>
      <c r="K81" s="29">
        <f>IF(C80=1,IF(D80="BUY",E80-(ROUND(F80*K80/B80,0)*B80),E80+(ROUND(F80*K80/B80,0)*B80)),IF(D80="BUY",E80-(ROUND(F80*K80/B80,0)*B80),E80+(ROUND(F80*K80/B80,0)*B80)))</f>
        <v>0.01</v>
      </c>
      <c r="L81" s="29">
        <f t="shared" ref="L81" si="116">IF(D81="BUY",I81+(R81*B81),I81-(R81*B81))</f>
        <v>-9.9999999999999937E-5</v>
      </c>
      <c r="M81" s="29">
        <f>IF(D80="BUY",E80+(ROUND(F80*M80/B80,0)*B80),E80-(ROUND(F80*M80/B80,0)*B80))</f>
        <v>-0.01</v>
      </c>
      <c r="N81" s="29">
        <f>IF(D80="BUY",E80-(ROUND(F80*N80/B80,0)*B80),E80+(ROUND(F80*N80/B80,0)*B80))</f>
        <v>0.01</v>
      </c>
      <c r="O81" s="31">
        <f>IF(D81="BUY",N81-VLOOKUP(A81,Symbols!A$1:D$1000,4,FALSE),N81+VLOOKUP(A81,Symbols!A$1:D$1000,4,FALSE))</f>
        <v>1.3000000000000001E-2</v>
      </c>
      <c r="P81" s="29">
        <f>P80</f>
        <v>1</v>
      </c>
      <c r="Q81" s="29">
        <f>Q80</f>
        <v>100</v>
      </c>
      <c r="R81" s="29">
        <f>R80</f>
        <v>10</v>
      </c>
      <c r="S81" s="29">
        <f>S80</f>
        <v>2</v>
      </c>
      <c r="T81" s="29">
        <f>T80</f>
        <v>1</v>
      </c>
      <c r="U81" s="29">
        <f>DATEDIF(DATE(1970,1,1),U80,"D")*86400</f>
        <v>1483660800</v>
      </c>
      <c r="V81" s="29">
        <f>HOUR(V80)*3600+MINUTE(V80)*60+SECOND(V80)</f>
        <v>26100</v>
      </c>
      <c r="W81" s="29">
        <f>DATEDIF(DATE(1970,1,1),W80,"D")*86400</f>
        <v>1502928000</v>
      </c>
      <c r="X81" s="29">
        <f>HOUR(X80)*3600+MINUTE(X80)*60+SECOND(X80)</f>
        <v>56400</v>
      </c>
      <c r="Y81" s="31">
        <f>(Y80*B81)</f>
        <v>2.8E-3</v>
      </c>
      <c r="Z81" s="29">
        <f>Z80</f>
        <v>1</v>
      </c>
      <c r="AA81" s="29">
        <f>DATEDIF(DATE(1970,1,1),AA80,"D")*86400</f>
        <v>1502928000</v>
      </c>
      <c r="AB81" s="29">
        <f>HOUR(AB80)*3600+MINUTE(AB80)*60+SECOND(AB80)</f>
        <v>56460</v>
      </c>
      <c r="AC81" s="29">
        <f>AC80</f>
        <v>1</v>
      </c>
    </row>
    <row r="82" spans="1:29">
      <c r="A82" s="23" t="str">
        <f>Parameters!A42</f>
        <v>6JM7</v>
      </c>
      <c r="B82" s="23">
        <f>Parameters!B42</f>
        <v>4.9999999999999998E-7</v>
      </c>
      <c r="C82" s="24">
        <f>Parameters!C42</f>
        <v>2</v>
      </c>
      <c r="D82" s="24" t="str">
        <f>Parameters!D42</f>
        <v>BUY</v>
      </c>
      <c r="E82" s="23">
        <f>Parameters!E42</f>
        <v>0</v>
      </c>
      <c r="F82" s="23">
        <f>Parameters!F42</f>
        <v>4.9999999999999996E-5</v>
      </c>
      <c r="G82" s="25">
        <f>Parameters!G42</f>
        <v>0</v>
      </c>
      <c r="H82" s="25">
        <f>Parameters!H42</f>
        <v>0</v>
      </c>
      <c r="I82" s="25">
        <f>Parameters!I42</f>
        <v>0</v>
      </c>
      <c r="J82" s="25">
        <f>Parameters!J42</f>
        <v>1</v>
      </c>
      <c r="K82" s="25">
        <f>Parameters!K42</f>
        <v>1</v>
      </c>
      <c r="L82" s="26">
        <f t="shared" ref="L82" si="117">L83</f>
        <v>4.9999999999999996E-6</v>
      </c>
      <c r="M82" s="25">
        <f>Parameters!L42</f>
        <v>1</v>
      </c>
      <c r="N82" s="25">
        <f>Parameters!M42</f>
        <v>1</v>
      </c>
      <c r="O82" s="26">
        <f t="shared" ref="O82" si="118">O83</f>
        <v>-6.4999999999999994E-5</v>
      </c>
      <c r="P82" s="23">
        <f>Parameters!N42</f>
        <v>1</v>
      </c>
      <c r="Q82" s="23">
        <f>Parameters!O42</f>
        <v>100</v>
      </c>
      <c r="R82" s="23">
        <f>Parameters!P42</f>
        <v>10</v>
      </c>
      <c r="S82" s="23">
        <f>Parameters!Q42</f>
        <v>2</v>
      </c>
      <c r="T82" s="23">
        <f>Parameters!R42</f>
        <v>1</v>
      </c>
      <c r="U82" s="27">
        <f>Parameters!S42</f>
        <v>42741</v>
      </c>
      <c r="V82" s="28">
        <f>Parameters!T42</f>
        <v>0.30208333333333331</v>
      </c>
      <c r="W82" s="27">
        <f>Parameters!U42</f>
        <v>42964</v>
      </c>
      <c r="X82" s="28">
        <f>Parameters!V42</f>
        <v>0.65277777777777779</v>
      </c>
      <c r="Y82" s="25">
        <f>Parameters!W42</f>
        <v>28</v>
      </c>
      <c r="Z82" s="23">
        <f>Parameters!X42</f>
        <v>1</v>
      </c>
      <c r="AA82" s="27">
        <f>Parameters!Y42</f>
        <v>42964</v>
      </c>
      <c r="AB82" s="28">
        <f>Parameters!Z42</f>
        <v>0.65347222222222223</v>
      </c>
      <c r="AC82" s="23">
        <f>Parameters!AA42</f>
        <v>1</v>
      </c>
    </row>
    <row r="83" spans="1:29">
      <c r="A83" s="29" t="str">
        <f>UPPER(A82)</f>
        <v>6JM7</v>
      </c>
      <c r="B83" s="29">
        <f>B82</f>
        <v>4.9999999999999998E-7</v>
      </c>
      <c r="C83" s="30">
        <f>C82</f>
        <v>2</v>
      </c>
      <c r="D83" s="30" t="str">
        <f>D82</f>
        <v>BUY</v>
      </c>
      <c r="E83" s="29">
        <f>E82</f>
        <v>0</v>
      </c>
      <c r="F83" s="29">
        <f>F82</f>
        <v>4.9999999999999996E-5</v>
      </c>
      <c r="G83" s="29">
        <f>IF(C82=1,IF(D82="BUY",E82+(ROUND(F82*G82/B82,0)*B82),E82-(ROUND(F82*G82/B82,0)*B82)),IF(D82="BUY",E82-(ROUND(F82*G82/B82,0)*B82),E82+(ROUND(F82*G82/B82,0)*B82)))</f>
        <v>0</v>
      </c>
      <c r="H83" s="29">
        <f>IF(C82=1,IF(D82="BUY",G83-(ROUND(F82*H82/B82,0)*B82),G83+(ROUND(F82*H82/B82,0)*B82)),IF(D82="BUY",G83+(ROUND(F82*H82/B82,0)*B82),G83-(ROUND(F82*H82/B82,0)*B82)))</f>
        <v>0</v>
      </c>
      <c r="I83" s="29">
        <f>IF(D82="BUY",G83+(ROUND(F82*I82/(B82*100),0)*B82),G83-(ROUND(F82*I82/(B82*100),0)*B82))</f>
        <v>0</v>
      </c>
      <c r="J83" s="29">
        <f>IF(C82=1,IF(D82="BUY",E82+(ROUND(F82*J82/B82,0)*B82),E82-(ROUND(F82*J82/B82,0)*B82)),IF(D82="BUY",E82-(ROUND(F82*J82/B82,0)*B82),E82+(ROUND(F82*J82/B82,0)*B82)))</f>
        <v>-4.9999999999999996E-5</v>
      </c>
      <c r="K83" s="29">
        <f>IF(C82=1,IF(D82="BUY",E82-(ROUND(F82*K82/B82,0)*B82),E82+(ROUND(F82*K82/B82,0)*B82)),IF(D82="BUY",E82-(ROUND(F82*K82/B82,0)*B82),E82+(ROUND(F82*K82/B82,0)*B82)))</f>
        <v>-4.9999999999999996E-5</v>
      </c>
      <c r="L83" s="29">
        <f t="shared" ref="L83" si="119">IF(D83="BUY",I83+(R83*B83),I83-(R83*B83))</f>
        <v>4.9999999999999996E-6</v>
      </c>
      <c r="M83" s="29">
        <f>IF(D82="BUY",E82+(ROUND(F82*M82/B82,0)*B82),E82-(ROUND(F82*M82/B82,0)*B82))</f>
        <v>4.9999999999999996E-5</v>
      </c>
      <c r="N83" s="29">
        <f>IF(D82="BUY",E82-(ROUND(F82*N82/B82,0)*B82),E82+(ROUND(F82*N82/B82,0)*B82))</f>
        <v>-4.9999999999999996E-5</v>
      </c>
      <c r="O83" s="31">
        <f>IF(D83="BUY",N83-VLOOKUP(A83,Symbols!A$1:D$1000,4,FALSE),N83+VLOOKUP(A83,Symbols!A$1:D$1000,4,FALSE))</f>
        <v>-6.4999999999999994E-5</v>
      </c>
      <c r="P83" s="29">
        <f>P82</f>
        <v>1</v>
      </c>
      <c r="Q83" s="29">
        <f>Q82</f>
        <v>100</v>
      </c>
      <c r="R83" s="29">
        <f>R82</f>
        <v>10</v>
      </c>
      <c r="S83" s="29">
        <f>S82</f>
        <v>2</v>
      </c>
      <c r="T83" s="29">
        <f>T82</f>
        <v>1</v>
      </c>
      <c r="U83" s="29">
        <f>DATEDIF(DATE(1970,1,1),U82,"D")*86400</f>
        <v>1483660800</v>
      </c>
      <c r="V83" s="29">
        <f>HOUR(V82)*3600+MINUTE(V82)*60+SECOND(V82)</f>
        <v>26100</v>
      </c>
      <c r="W83" s="29">
        <f>DATEDIF(DATE(1970,1,1),W82,"D")*86400</f>
        <v>1502928000</v>
      </c>
      <c r="X83" s="29">
        <f>HOUR(X82)*3600+MINUTE(X82)*60+SECOND(X82)</f>
        <v>56400</v>
      </c>
      <c r="Y83" s="31">
        <f>(Y82*B83)</f>
        <v>1.4E-5</v>
      </c>
      <c r="Z83" s="29">
        <f>Z82</f>
        <v>1</v>
      </c>
      <c r="AA83" s="29">
        <f>DATEDIF(DATE(1970,1,1),AA82,"D")*86400</f>
        <v>1502928000</v>
      </c>
      <c r="AB83" s="29">
        <f>HOUR(AB82)*3600+MINUTE(AB82)*60+SECOND(AB82)</f>
        <v>56460</v>
      </c>
      <c r="AC83" s="29">
        <f>AC82</f>
        <v>1</v>
      </c>
    </row>
    <row r="84" spans="1:29">
      <c r="A84" s="23" t="str">
        <f>Parameters!A43</f>
        <v>6JM7</v>
      </c>
      <c r="B84" s="23">
        <f>Parameters!B43</f>
        <v>4.9999999999999998E-7</v>
      </c>
      <c r="C84" s="24">
        <f>Parameters!C43</f>
        <v>2</v>
      </c>
      <c r="D84" s="24" t="str">
        <f>Parameters!D43</f>
        <v>BUY</v>
      </c>
      <c r="E84" s="23">
        <f>Parameters!E43</f>
        <v>0</v>
      </c>
      <c r="F84" s="23">
        <f>Parameters!F43</f>
        <v>4.9999999999999996E-5</v>
      </c>
      <c r="G84" s="25">
        <f>Parameters!G43</f>
        <v>0.01</v>
      </c>
      <c r="H84" s="25">
        <f>Parameters!H43</f>
        <v>0</v>
      </c>
      <c r="I84" s="25">
        <f>Parameters!I43</f>
        <v>0</v>
      </c>
      <c r="J84" s="25">
        <f>Parameters!J43</f>
        <v>1</v>
      </c>
      <c r="K84" s="25">
        <f>Parameters!K43</f>
        <v>1</v>
      </c>
      <c r="L84" s="26">
        <f t="shared" ref="L84" si="120">L85</f>
        <v>4.4999999999999993E-6</v>
      </c>
      <c r="M84" s="25">
        <f>Parameters!L43</f>
        <v>1</v>
      </c>
      <c r="N84" s="25">
        <f>Parameters!M43</f>
        <v>1</v>
      </c>
      <c r="O84" s="26">
        <f t="shared" ref="O84" si="121">O85</f>
        <v>-6.4999999999999994E-5</v>
      </c>
      <c r="P84" s="23">
        <f>Parameters!N43</f>
        <v>1</v>
      </c>
      <c r="Q84" s="23">
        <f>Parameters!O43</f>
        <v>100</v>
      </c>
      <c r="R84" s="23">
        <f>Parameters!P43</f>
        <v>10</v>
      </c>
      <c r="S84" s="23">
        <f>Parameters!Q43</f>
        <v>2</v>
      </c>
      <c r="T84" s="23">
        <f>Parameters!R43</f>
        <v>1</v>
      </c>
      <c r="U84" s="27">
        <f>Parameters!S43</f>
        <v>42741</v>
      </c>
      <c r="V84" s="28">
        <f>Parameters!T43</f>
        <v>0.30208333333333331</v>
      </c>
      <c r="W84" s="27">
        <f>Parameters!U43</f>
        <v>42964</v>
      </c>
      <c r="X84" s="28">
        <f>Parameters!V43</f>
        <v>0.65277777777777779</v>
      </c>
      <c r="Y84" s="25">
        <f>Parameters!W43</f>
        <v>28</v>
      </c>
      <c r="Z84" s="23">
        <f>Parameters!X43</f>
        <v>1</v>
      </c>
      <c r="AA84" s="27">
        <f>Parameters!Y43</f>
        <v>42964</v>
      </c>
      <c r="AB84" s="28">
        <f>Parameters!Z43</f>
        <v>0.65347222222222223</v>
      </c>
      <c r="AC84" s="23">
        <f>Parameters!AA43</f>
        <v>1</v>
      </c>
    </row>
    <row r="85" spans="1:29">
      <c r="A85" s="29" t="str">
        <f>UPPER(A84)</f>
        <v>6JM7</v>
      </c>
      <c r="B85" s="29">
        <f>B84</f>
        <v>4.9999999999999998E-7</v>
      </c>
      <c r="C85" s="30">
        <f>C84</f>
        <v>2</v>
      </c>
      <c r="D85" s="30" t="str">
        <f>D84</f>
        <v>BUY</v>
      </c>
      <c r="E85" s="29">
        <f>E84</f>
        <v>0</v>
      </c>
      <c r="F85" s="29">
        <f>F84</f>
        <v>4.9999999999999996E-5</v>
      </c>
      <c r="G85" s="29">
        <f>IF(C84=1,IF(D84="BUY",E84+(ROUND(F84*G84/B84,0)*B84),E84-(ROUND(F84*G84/B84,0)*B84)),IF(D84="BUY",E84-(ROUND(F84*G84/B84,0)*B84),E84+(ROUND(F84*G84/B84,0)*B84)))</f>
        <v>-4.9999999999999998E-7</v>
      </c>
      <c r="H85" s="29">
        <f>IF(C84=1,IF(D84="BUY",G85-(ROUND(F84*H84/B84,0)*B84),G85+(ROUND(F84*H84/B84,0)*B84)),IF(D84="BUY",G85+(ROUND(F84*H84/B84,0)*B84),G85-(ROUND(F84*H84/B84,0)*B84)))</f>
        <v>-4.9999999999999998E-7</v>
      </c>
      <c r="I85" s="29">
        <f>IF(D84="BUY",G85+(ROUND(F84*I84/(B84*100),0)*B84),G85-(ROUND(F84*I84/(B84*100),0)*B84))</f>
        <v>-4.9999999999999998E-7</v>
      </c>
      <c r="J85" s="29">
        <f>IF(C84=1,IF(D84="BUY",E84+(ROUND(F84*J84/B84,0)*B84),E84-(ROUND(F84*J84/B84,0)*B84)),IF(D84="BUY",E84-(ROUND(F84*J84/B84,0)*B84),E84+(ROUND(F84*J84/B84,0)*B84)))</f>
        <v>-4.9999999999999996E-5</v>
      </c>
      <c r="K85" s="29">
        <f>IF(C84=1,IF(D84="BUY",E84-(ROUND(F84*K84/B84,0)*B84),E84+(ROUND(F84*K84/B84,0)*B84)),IF(D84="BUY",E84-(ROUND(F84*K84/B84,0)*B84),E84+(ROUND(F84*K84/B84,0)*B84)))</f>
        <v>-4.9999999999999996E-5</v>
      </c>
      <c r="L85" s="29">
        <f t="shared" ref="L85" si="122">IF(D85="BUY",I85+(R85*B85),I85-(R85*B85))</f>
        <v>4.4999999999999993E-6</v>
      </c>
      <c r="M85" s="29">
        <f>IF(D84="BUY",E84+(ROUND(F84*M84/B84,0)*B84),E84-(ROUND(F84*M84/B84,0)*B84))</f>
        <v>4.9999999999999996E-5</v>
      </c>
      <c r="N85" s="29">
        <f>IF(D84="BUY",E84-(ROUND(F84*N84/B84,0)*B84),E84+(ROUND(F84*N84/B84,0)*B84))</f>
        <v>-4.9999999999999996E-5</v>
      </c>
      <c r="O85" s="31">
        <f>IF(D85="BUY",N85-VLOOKUP(A85,Symbols!A$1:D$1000,4,FALSE),N85+VLOOKUP(A85,Symbols!A$1:D$1000,4,FALSE))</f>
        <v>-6.4999999999999994E-5</v>
      </c>
      <c r="P85" s="29">
        <f>P84</f>
        <v>1</v>
      </c>
      <c r="Q85" s="29">
        <f>Q84</f>
        <v>100</v>
      </c>
      <c r="R85" s="29">
        <f>R84</f>
        <v>10</v>
      </c>
      <c r="S85" s="29">
        <f>S84</f>
        <v>2</v>
      </c>
      <c r="T85" s="29">
        <f>T84</f>
        <v>1</v>
      </c>
      <c r="U85" s="29">
        <f>DATEDIF(DATE(1970,1,1),U84,"D")*86400</f>
        <v>1483660800</v>
      </c>
      <c r="V85" s="29">
        <f>HOUR(V84)*3600+MINUTE(V84)*60+SECOND(V84)</f>
        <v>26100</v>
      </c>
      <c r="W85" s="29">
        <f>DATEDIF(DATE(1970,1,1),W84,"D")*86400</f>
        <v>1502928000</v>
      </c>
      <c r="X85" s="29">
        <f>HOUR(X84)*3600+MINUTE(X84)*60+SECOND(X84)</f>
        <v>56400</v>
      </c>
      <c r="Y85" s="31">
        <f>(Y84*B85)</f>
        <v>1.4E-5</v>
      </c>
      <c r="Z85" s="29">
        <f>Z84</f>
        <v>1</v>
      </c>
      <c r="AA85" s="29">
        <f>DATEDIF(DATE(1970,1,1),AA84,"D")*86400</f>
        <v>1502928000</v>
      </c>
      <c r="AB85" s="29">
        <f>HOUR(AB84)*3600+MINUTE(AB84)*60+SECOND(AB84)</f>
        <v>56460</v>
      </c>
      <c r="AC85" s="29">
        <f>AC84</f>
        <v>1</v>
      </c>
    </row>
    <row r="86" spans="1:29">
      <c r="A86" s="23" t="str">
        <f>Parameters!A44</f>
        <v>6JM7</v>
      </c>
      <c r="B86" s="23">
        <f>Parameters!B44</f>
        <v>4.9999999999999998E-7</v>
      </c>
      <c r="C86" s="24">
        <f>Parameters!C44</f>
        <v>2</v>
      </c>
      <c r="D86" s="24" t="str">
        <f>Parameters!D44</f>
        <v>BUY</v>
      </c>
      <c r="E86" s="23">
        <f>Parameters!E44</f>
        <v>0</v>
      </c>
      <c r="F86" s="23">
        <f>Parameters!F44</f>
        <v>4.9999999999999996E-5</v>
      </c>
      <c r="G86" s="25">
        <f>Parameters!G44</f>
        <v>0.02</v>
      </c>
      <c r="H86" s="25">
        <f>Parameters!H44</f>
        <v>0</v>
      </c>
      <c r="I86" s="25">
        <f>Parameters!I44</f>
        <v>0</v>
      </c>
      <c r="J86" s="25">
        <f>Parameters!J44</f>
        <v>1</v>
      </c>
      <c r="K86" s="25">
        <f>Parameters!K44</f>
        <v>1</v>
      </c>
      <c r="L86" s="26">
        <f t="shared" ref="L86" si="123">L87</f>
        <v>3.9999999999999998E-6</v>
      </c>
      <c r="M86" s="25">
        <f>Parameters!L44</f>
        <v>1</v>
      </c>
      <c r="N86" s="25">
        <f>Parameters!M44</f>
        <v>1</v>
      </c>
      <c r="O86" s="26">
        <f t="shared" ref="O86" si="124">O87</f>
        <v>-6.4999999999999994E-5</v>
      </c>
      <c r="P86" s="23">
        <f>Parameters!N44</f>
        <v>1</v>
      </c>
      <c r="Q86" s="23">
        <f>Parameters!O44</f>
        <v>100</v>
      </c>
      <c r="R86" s="23">
        <f>Parameters!P44</f>
        <v>10</v>
      </c>
      <c r="S86" s="23">
        <f>Parameters!Q44</f>
        <v>2</v>
      </c>
      <c r="T86" s="23">
        <f>Parameters!R44</f>
        <v>1</v>
      </c>
      <c r="U86" s="27">
        <f>Parameters!S44</f>
        <v>42741</v>
      </c>
      <c r="V86" s="28">
        <f>Parameters!T44</f>
        <v>0.30208333333333331</v>
      </c>
      <c r="W86" s="27">
        <f>Parameters!U44</f>
        <v>42964</v>
      </c>
      <c r="X86" s="28">
        <f>Parameters!V44</f>
        <v>0.65277777777777779</v>
      </c>
      <c r="Y86" s="25">
        <f>Parameters!W44</f>
        <v>28</v>
      </c>
      <c r="Z86" s="23">
        <f>Parameters!X44</f>
        <v>1</v>
      </c>
      <c r="AA86" s="27">
        <f>Parameters!Y44</f>
        <v>42964</v>
      </c>
      <c r="AB86" s="28">
        <f>Parameters!Z44</f>
        <v>0.65347222222222223</v>
      </c>
      <c r="AC86" s="23">
        <f>Parameters!AA44</f>
        <v>1</v>
      </c>
    </row>
    <row r="87" spans="1:29">
      <c r="A87" s="29" t="str">
        <f>UPPER(A86)</f>
        <v>6JM7</v>
      </c>
      <c r="B87" s="29">
        <f>B86</f>
        <v>4.9999999999999998E-7</v>
      </c>
      <c r="C87" s="30">
        <f>C86</f>
        <v>2</v>
      </c>
      <c r="D87" s="30" t="str">
        <f>D86</f>
        <v>BUY</v>
      </c>
      <c r="E87" s="29">
        <f>E86</f>
        <v>0</v>
      </c>
      <c r="F87" s="29">
        <f>F86</f>
        <v>4.9999999999999996E-5</v>
      </c>
      <c r="G87" s="29">
        <f>IF(C86=1,IF(D86="BUY",E86+(ROUND(F86*G86/B86,0)*B86),E86-(ROUND(F86*G86/B86,0)*B86)),IF(D86="BUY",E86-(ROUND(F86*G86/B86,0)*B86),E86+(ROUND(F86*G86/B86,0)*B86)))</f>
        <v>-9.9999999999999995E-7</v>
      </c>
      <c r="H87" s="29">
        <f>IF(C86=1,IF(D86="BUY",G87-(ROUND(F86*H86/B86,0)*B86),G87+(ROUND(F86*H86/B86,0)*B86)),IF(D86="BUY",G87+(ROUND(F86*H86/B86,0)*B86),G87-(ROUND(F86*H86/B86,0)*B86)))</f>
        <v>-9.9999999999999995E-7</v>
      </c>
      <c r="I87" s="29">
        <f>IF(D86="BUY",G87+(ROUND(F86*I86/(B86*100),0)*B86),G87-(ROUND(F86*I86/(B86*100),0)*B86))</f>
        <v>-9.9999999999999995E-7</v>
      </c>
      <c r="J87" s="29">
        <f>IF(C86=1,IF(D86="BUY",E86+(ROUND(F86*J86/B86,0)*B86),E86-(ROUND(F86*J86/B86,0)*B86)),IF(D86="BUY",E86-(ROUND(F86*J86/B86,0)*B86),E86+(ROUND(F86*J86/B86,0)*B86)))</f>
        <v>-4.9999999999999996E-5</v>
      </c>
      <c r="K87" s="29">
        <f>IF(C86=1,IF(D86="BUY",E86-(ROUND(F86*K86/B86,0)*B86),E86+(ROUND(F86*K86/B86,0)*B86)),IF(D86="BUY",E86-(ROUND(F86*K86/B86,0)*B86),E86+(ROUND(F86*K86/B86,0)*B86)))</f>
        <v>-4.9999999999999996E-5</v>
      </c>
      <c r="L87" s="29">
        <f t="shared" ref="L87" si="125">IF(D87="BUY",I87+(R87*B87),I87-(R87*B87))</f>
        <v>3.9999999999999998E-6</v>
      </c>
      <c r="M87" s="29">
        <f>IF(D86="BUY",E86+(ROUND(F86*M86/B86,0)*B86),E86-(ROUND(F86*M86/B86,0)*B86))</f>
        <v>4.9999999999999996E-5</v>
      </c>
      <c r="N87" s="29">
        <f>IF(D86="BUY",E86-(ROUND(F86*N86/B86,0)*B86),E86+(ROUND(F86*N86/B86,0)*B86))</f>
        <v>-4.9999999999999996E-5</v>
      </c>
      <c r="O87" s="31">
        <f>IF(D87="BUY",N87-VLOOKUP(A87,Symbols!A$1:D$1000,4,FALSE),N87+VLOOKUP(A87,Symbols!A$1:D$1000,4,FALSE))</f>
        <v>-6.4999999999999994E-5</v>
      </c>
      <c r="P87" s="29">
        <f>P86</f>
        <v>1</v>
      </c>
      <c r="Q87" s="29">
        <f>Q86</f>
        <v>100</v>
      </c>
      <c r="R87" s="29">
        <f>R86</f>
        <v>10</v>
      </c>
      <c r="S87" s="29">
        <f>S86</f>
        <v>2</v>
      </c>
      <c r="T87" s="29">
        <f>T86</f>
        <v>1</v>
      </c>
      <c r="U87" s="29">
        <f>DATEDIF(DATE(1970,1,1),U86,"D")*86400</f>
        <v>1483660800</v>
      </c>
      <c r="V87" s="29">
        <f>HOUR(V86)*3600+MINUTE(V86)*60+SECOND(V86)</f>
        <v>26100</v>
      </c>
      <c r="W87" s="29">
        <f>DATEDIF(DATE(1970,1,1),W86,"D")*86400</f>
        <v>1502928000</v>
      </c>
      <c r="X87" s="29">
        <f>HOUR(X86)*3600+MINUTE(X86)*60+SECOND(X86)</f>
        <v>56400</v>
      </c>
      <c r="Y87" s="31">
        <f>(Y86*B87)</f>
        <v>1.4E-5</v>
      </c>
      <c r="Z87" s="29">
        <f>Z86</f>
        <v>1</v>
      </c>
      <c r="AA87" s="29">
        <f>DATEDIF(DATE(1970,1,1),AA86,"D")*86400</f>
        <v>1502928000</v>
      </c>
      <c r="AB87" s="29">
        <f>HOUR(AB86)*3600+MINUTE(AB86)*60+SECOND(AB86)</f>
        <v>56460</v>
      </c>
      <c r="AC87" s="29">
        <f>AC86</f>
        <v>1</v>
      </c>
    </row>
    <row r="88" spans="1:29">
      <c r="A88" s="23" t="str">
        <f>Parameters!A45</f>
        <v>6JM7</v>
      </c>
      <c r="B88" s="23">
        <f>Parameters!B45</f>
        <v>4.9999999999999998E-7</v>
      </c>
      <c r="C88" s="24">
        <f>Parameters!C45</f>
        <v>2</v>
      </c>
      <c r="D88" s="24" t="str">
        <f>Parameters!D45</f>
        <v>BUY</v>
      </c>
      <c r="E88" s="23">
        <f>Parameters!E45</f>
        <v>0</v>
      </c>
      <c r="F88" s="23">
        <f>Parameters!F45</f>
        <v>4.9999999999999996E-5</v>
      </c>
      <c r="G88" s="25">
        <f>Parameters!G45</f>
        <v>0.03</v>
      </c>
      <c r="H88" s="25">
        <f>Parameters!H45</f>
        <v>0</v>
      </c>
      <c r="I88" s="25">
        <f>Parameters!I45</f>
        <v>0</v>
      </c>
      <c r="J88" s="25">
        <f>Parameters!J45</f>
        <v>1</v>
      </c>
      <c r="K88" s="25">
        <f>Parameters!K45</f>
        <v>1</v>
      </c>
      <c r="L88" s="26">
        <f t="shared" ref="L88" si="126">L89</f>
        <v>3.4999999999999995E-6</v>
      </c>
      <c r="M88" s="25">
        <f>Parameters!L45</f>
        <v>1</v>
      </c>
      <c r="N88" s="25">
        <f>Parameters!M45</f>
        <v>1</v>
      </c>
      <c r="O88" s="26">
        <f t="shared" ref="O88" si="127">O89</f>
        <v>-6.4999999999999994E-5</v>
      </c>
      <c r="P88" s="23">
        <f>Parameters!N45</f>
        <v>1</v>
      </c>
      <c r="Q88" s="23">
        <f>Parameters!O45</f>
        <v>100</v>
      </c>
      <c r="R88" s="23">
        <f>Parameters!P45</f>
        <v>10</v>
      </c>
      <c r="S88" s="23">
        <f>Parameters!Q45</f>
        <v>2</v>
      </c>
      <c r="T88" s="23">
        <f>Parameters!R45</f>
        <v>1</v>
      </c>
      <c r="U88" s="27">
        <f>Parameters!S45</f>
        <v>42741</v>
      </c>
      <c r="V88" s="28">
        <f>Parameters!T45</f>
        <v>0.30208333333333331</v>
      </c>
      <c r="W88" s="27">
        <f>Parameters!U45</f>
        <v>42964</v>
      </c>
      <c r="X88" s="28">
        <f>Parameters!V45</f>
        <v>0.65277777777777779</v>
      </c>
      <c r="Y88" s="25">
        <f>Parameters!W45</f>
        <v>28</v>
      </c>
      <c r="Z88" s="23">
        <f>Parameters!X45</f>
        <v>1</v>
      </c>
      <c r="AA88" s="27">
        <f>Parameters!Y45</f>
        <v>42964</v>
      </c>
      <c r="AB88" s="28">
        <f>Parameters!Z45</f>
        <v>0.65347222222222223</v>
      </c>
      <c r="AC88" s="23">
        <f>Parameters!AA45</f>
        <v>1</v>
      </c>
    </row>
    <row r="89" spans="1:29">
      <c r="A89" s="29" t="str">
        <f>UPPER(A88)</f>
        <v>6JM7</v>
      </c>
      <c r="B89" s="29">
        <f>B88</f>
        <v>4.9999999999999998E-7</v>
      </c>
      <c r="C89" s="30">
        <f>C88</f>
        <v>2</v>
      </c>
      <c r="D89" s="30" t="str">
        <f>D88</f>
        <v>BUY</v>
      </c>
      <c r="E89" s="29">
        <f>E88</f>
        <v>0</v>
      </c>
      <c r="F89" s="29">
        <f>F88</f>
        <v>4.9999999999999996E-5</v>
      </c>
      <c r="G89" s="29">
        <f>IF(C88=1,IF(D88="BUY",E88+(ROUND(F88*G88/B88,0)*B88),E88-(ROUND(F88*G88/B88,0)*B88)),IF(D88="BUY",E88-(ROUND(F88*G88/B88,0)*B88),E88+(ROUND(F88*G88/B88,0)*B88)))</f>
        <v>-1.5E-6</v>
      </c>
      <c r="H89" s="29">
        <f>IF(C88=1,IF(D88="BUY",G89-(ROUND(F88*H88/B88,0)*B88),G89+(ROUND(F88*H88/B88,0)*B88)),IF(D88="BUY",G89+(ROUND(F88*H88/B88,0)*B88),G89-(ROUND(F88*H88/B88,0)*B88)))</f>
        <v>-1.5E-6</v>
      </c>
      <c r="I89" s="29">
        <f>IF(D88="BUY",G89+(ROUND(F88*I88/(B88*100),0)*B88),G89-(ROUND(F88*I88/(B88*100),0)*B88))</f>
        <v>-1.5E-6</v>
      </c>
      <c r="J89" s="29">
        <f>IF(C88=1,IF(D88="BUY",E88+(ROUND(F88*J88/B88,0)*B88),E88-(ROUND(F88*J88/B88,0)*B88)),IF(D88="BUY",E88-(ROUND(F88*J88/B88,0)*B88),E88+(ROUND(F88*J88/B88,0)*B88)))</f>
        <v>-4.9999999999999996E-5</v>
      </c>
      <c r="K89" s="29">
        <f>IF(C88=1,IF(D88="BUY",E88-(ROUND(F88*K88/B88,0)*B88),E88+(ROUND(F88*K88/B88,0)*B88)),IF(D88="BUY",E88-(ROUND(F88*K88/B88,0)*B88),E88+(ROUND(F88*K88/B88,0)*B88)))</f>
        <v>-4.9999999999999996E-5</v>
      </c>
      <c r="L89" s="29">
        <f t="shared" ref="L89" si="128">IF(D89="BUY",I89+(R89*B89),I89-(R89*B89))</f>
        <v>3.4999999999999995E-6</v>
      </c>
      <c r="M89" s="29">
        <f>IF(D88="BUY",E88+(ROUND(F88*M88/B88,0)*B88),E88-(ROUND(F88*M88/B88,0)*B88))</f>
        <v>4.9999999999999996E-5</v>
      </c>
      <c r="N89" s="29">
        <f>IF(D88="BUY",E88-(ROUND(F88*N88/B88,0)*B88),E88+(ROUND(F88*N88/B88,0)*B88))</f>
        <v>-4.9999999999999996E-5</v>
      </c>
      <c r="O89" s="31">
        <f>IF(D89="BUY",N89-VLOOKUP(A89,Symbols!A$1:D$1000,4,FALSE),N89+VLOOKUP(A89,Symbols!A$1:D$1000,4,FALSE))</f>
        <v>-6.4999999999999994E-5</v>
      </c>
      <c r="P89" s="29">
        <f>P88</f>
        <v>1</v>
      </c>
      <c r="Q89" s="29">
        <f>Q88</f>
        <v>100</v>
      </c>
      <c r="R89" s="29">
        <f>R88</f>
        <v>10</v>
      </c>
      <c r="S89" s="29">
        <f>S88</f>
        <v>2</v>
      </c>
      <c r="T89" s="29">
        <f>T88</f>
        <v>1</v>
      </c>
      <c r="U89" s="29">
        <f>DATEDIF(DATE(1970,1,1),U88,"D")*86400</f>
        <v>1483660800</v>
      </c>
      <c r="V89" s="29">
        <f>HOUR(V88)*3600+MINUTE(V88)*60+SECOND(V88)</f>
        <v>26100</v>
      </c>
      <c r="W89" s="29">
        <f>DATEDIF(DATE(1970,1,1),W88,"D")*86400</f>
        <v>1502928000</v>
      </c>
      <c r="X89" s="29">
        <f>HOUR(X88)*3600+MINUTE(X88)*60+SECOND(X88)</f>
        <v>56400</v>
      </c>
      <c r="Y89" s="31">
        <f>(Y88*B89)</f>
        <v>1.4E-5</v>
      </c>
      <c r="Z89" s="29">
        <f>Z88</f>
        <v>1</v>
      </c>
      <c r="AA89" s="29">
        <f>DATEDIF(DATE(1970,1,1),AA88,"D")*86400</f>
        <v>1502928000</v>
      </c>
      <c r="AB89" s="29">
        <f>HOUR(AB88)*3600+MINUTE(AB88)*60+SECOND(AB88)</f>
        <v>56460</v>
      </c>
      <c r="AC89" s="29">
        <f>AC88</f>
        <v>1</v>
      </c>
    </row>
    <row r="90" spans="1:29">
      <c r="A90" s="23" t="str">
        <f>Parameters!A46</f>
        <v>6JM7</v>
      </c>
      <c r="B90" s="23">
        <f>Parameters!B46</f>
        <v>4.9999999999999998E-7</v>
      </c>
      <c r="C90" s="24">
        <f>Parameters!C46</f>
        <v>2</v>
      </c>
      <c r="D90" s="24" t="str">
        <f>Parameters!D46</f>
        <v>BUY</v>
      </c>
      <c r="E90" s="23">
        <f>Parameters!E46</f>
        <v>0</v>
      </c>
      <c r="F90" s="23">
        <f>Parameters!F46</f>
        <v>4.9999999999999996E-5</v>
      </c>
      <c r="G90" s="25">
        <f>Parameters!G46</f>
        <v>0.04</v>
      </c>
      <c r="H90" s="25">
        <f>Parameters!H46</f>
        <v>0</v>
      </c>
      <c r="I90" s="25">
        <f>Parameters!I46</f>
        <v>0</v>
      </c>
      <c r="J90" s="25">
        <f>Parameters!J46</f>
        <v>1</v>
      </c>
      <c r="K90" s="25">
        <f>Parameters!K46</f>
        <v>1</v>
      </c>
      <c r="L90" s="26">
        <f t="shared" ref="L90" si="129">L91</f>
        <v>2.9999999999999997E-6</v>
      </c>
      <c r="M90" s="25">
        <f>Parameters!L46</f>
        <v>1</v>
      </c>
      <c r="N90" s="25">
        <f>Parameters!M46</f>
        <v>1</v>
      </c>
      <c r="O90" s="26">
        <f t="shared" ref="O90" si="130">O91</f>
        <v>-6.4999999999999994E-5</v>
      </c>
      <c r="P90" s="23">
        <f>Parameters!N46</f>
        <v>1</v>
      </c>
      <c r="Q90" s="23">
        <f>Parameters!O46</f>
        <v>100</v>
      </c>
      <c r="R90" s="23">
        <f>Parameters!P46</f>
        <v>10</v>
      </c>
      <c r="S90" s="23">
        <f>Parameters!Q46</f>
        <v>2</v>
      </c>
      <c r="T90" s="23">
        <f>Parameters!R46</f>
        <v>1</v>
      </c>
      <c r="U90" s="27">
        <f>Parameters!S46</f>
        <v>42741</v>
      </c>
      <c r="V90" s="28">
        <f>Parameters!T46</f>
        <v>0.30208333333333331</v>
      </c>
      <c r="W90" s="27">
        <f>Parameters!U46</f>
        <v>42964</v>
      </c>
      <c r="X90" s="28">
        <f>Parameters!V46</f>
        <v>0.65277777777777779</v>
      </c>
      <c r="Y90" s="25">
        <f>Parameters!W46</f>
        <v>28</v>
      </c>
      <c r="Z90" s="23">
        <f>Parameters!X46</f>
        <v>1</v>
      </c>
      <c r="AA90" s="27">
        <f>Parameters!Y46</f>
        <v>42964</v>
      </c>
      <c r="AB90" s="28">
        <f>Parameters!Z46</f>
        <v>0.65347222222222223</v>
      </c>
      <c r="AC90" s="23">
        <f>Parameters!AA46</f>
        <v>1</v>
      </c>
    </row>
    <row r="91" spans="1:29">
      <c r="A91" s="29" t="str">
        <f>UPPER(A90)</f>
        <v>6JM7</v>
      </c>
      <c r="B91" s="29">
        <f>B90</f>
        <v>4.9999999999999998E-7</v>
      </c>
      <c r="C91" s="30">
        <f>C90</f>
        <v>2</v>
      </c>
      <c r="D91" s="30" t="str">
        <f>D90</f>
        <v>BUY</v>
      </c>
      <c r="E91" s="29">
        <f>E90</f>
        <v>0</v>
      </c>
      <c r="F91" s="29">
        <f>F90</f>
        <v>4.9999999999999996E-5</v>
      </c>
      <c r="G91" s="29">
        <f>IF(C90=1,IF(D90="BUY",E90+(ROUND(F90*G90/B90,0)*B90),E90-(ROUND(F90*G90/B90,0)*B90)),IF(D90="BUY",E90-(ROUND(F90*G90/B90,0)*B90),E90+(ROUND(F90*G90/B90,0)*B90)))</f>
        <v>-1.9999999999999999E-6</v>
      </c>
      <c r="H91" s="29">
        <f>IF(C90=1,IF(D90="BUY",G91-(ROUND(F90*H90/B90,0)*B90),G91+(ROUND(F90*H90/B90,0)*B90)),IF(D90="BUY",G91+(ROUND(F90*H90/B90,0)*B90),G91-(ROUND(F90*H90/B90,0)*B90)))</f>
        <v>-1.9999999999999999E-6</v>
      </c>
      <c r="I91" s="29">
        <f>IF(D90="BUY",G91+(ROUND(F90*I90/(B90*100),0)*B90),G91-(ROUND(F90*I90/(B90*100),0)*B90))</f>
        <v>-1.9999999999999999E-6</v>
      </c>
      <c r="J91" s="29">
        <f>IF(C90=1,IF(D90="BUY",E90+(ROUND(F90*J90/B90,0)*B90),E90-(ROUND(F90*J90/B90,0)*B90)),IF(D90="BUY",E90-(ROUND(F90*J90/B90,0)*B90),E90+(ROUND(F90*J90/B90,0)*B90)))</f>
        <v>-4.9999999999999996E-5</v>
      </c>
      <c r="K91" s="29">
        <f>IF(C90=1,IF(D90="BUY",E90-(ROUND(F90*K90/B90,0)*B90),E90+(ROUND(F90*K90/B90,0)*B90)),IF(D90="BUY",E90-(ROUND(F90*K90/B90,0)*B90),E90+(ROUND(F90*K90/B90,0)*B90)))</f>
        <v>-4.9999999999999996E-5</v>
      </c>
      <c r="L91" s="29">
        <f t="shared" ref="L91" si="131">IF(D91="BUY",I91+(R91*B91),I91-(R91*B91))</f>
        <v>2.9999999999999997E-6</v>
      </c>
      <c r="M91" s="29">
        <f>IF(D90="BUY",E90+(ROUND(F90*M90/B90,0)*B90),E90-(ROUND(F90*M90/B90,0)*B90))</f>
        <v>4.9999999999999996E-5</v>
      </c>
      <c r="N91" s="29">
        <f>IF(D90="BUY",E90-(ROUND(F90*N90/B90,0)*B90),E90+(ROUND(F90*N90/B90,0)*B90))</f>
        <v>-4.9999999999999996E-5</v>
      </c>
      <c r="O91" s="31">
        <f>IF(D91="BUY",N91-VLOOKUP(A91,Symbols!A$1:D$1000,4,FALSE),N91+VLOOKUP(A91,Symbols!A$1:D$1000,4,FALSE))</f>
        <v>-6.4999999999999994E-5</v>
      </c>
      <c r="P91" s="29">
        <f>P90</f>
        <v>1</v>
      </c>
      <c r="Q91" s="29">
        <f>Q90</f>
        <v>100</v>
      </c>
      <c r="R91" s="29">
        <f>R90</f>
        <v>10</v>
      </c>
      <c r="S91" s="29">
        <f>S90</f>
        <v>2</v>
      </c>
      <c r="T91" s="29">
        <f>T90</f>
        <v>1</v>
      </c>
      <c r="U91" s="29">
        <f>DATEDIF(DATE(1970,1,1),U90,"D")*86400</f>
        <v>1483660800</v>
      </c>
      <c r="V91" s="29">
        <f>HOUR(V90)*3600+MINUTE(V90)*60+SECOND(V90)</f>
        <v>26100</v>
      </c>
      <c r="W91" s="29">
        <f>DATEDIF(DATE(1970,1,1),W90,"D")*86400</f>
        <v>1502928000</v>
      </c>
      <c r="X91" s="29">
        <f>HOUR(X90)*3600+MINUTE(X90)*60+SECOND(X90)</f>
        <v>56400</v>
      </c>
      <c r="Y91" s="31">
        <f>(Y90*B91)</f>
        <v>1.4E-5</v>
      </c>
      <c r="Z91" s="29">
        <f>Z90</f>
        <v>1</v>
      </c>
      <c r="AA91" s="29">
        <f>DATEDIF(DATE(1970,1,1),AA90,"D")*86400</f>
        <v>1502928000</v>
      </c>
      <c r="AB91" s="29">
        <f>HOUR(AB90)*3600+MINUTE(AB90)*60+SECOND(AB90)</f>
        <v>56460</v>
      </c>
      <c r="AC91" s="29">
        <f>AC90</f>
        <v>1</v>
      </c>
    </row>
    <row r="92" spans="1:29">
      <c r="A92" s="23" t="str">
        <f>Parameters!A47</f>
        <v>6JM7</v>
      </c>
      <c r="B92" s="23">
        <f>Parameters!B47</f>
        <v>4.9999999999999998E-7</v>
      </c>
      <c r="C92" s="24">
        <f>Parameters!C47</f>
        <v>2</v>
      </c>
      <c r="D92" s="24" t="str">
        <f>Parameters!D47</f>
        <v>BUY</v>
      </c>
      <c r="E92" s="23">
        <f>Parameters!E47</f>
        <v>0</v>
      </c>
      <c r="F92" s="23">
        <f>Parameters!F47</f>
        <v>4.9999999999999996E-5</v>
      </c>
      <c r="G92" s="25">
        <f>Parameters!G47</f>
        <v>0.05</v>
      </c>
      <c r="H92" s="25">
        <f>Parameters!H47</f>
        <v>0</v>
      </c>
      <c r="I92" s="25">
        <f>Parameters!I47</f>
        <v>0</v>
      </c>
      <c r="J92" s="25">
        <f>Parameters!J47</f>
        <v>1</v>
      </c>
      <c r="K92" s="25">
        <f>Parameters!K47</f>
        <v>1</v>
      </c>
      <c r="L92" s="26">
        <f t="shared" ref="L92" si="132">L93</f>
        <v>2.4999999999999998E-6</v>
      </c>
      <c r="M92" s="25">
        <f>Parameters!L47</f>
        <v>1</v>
      </c>
      <c r="N92" s="25">
        <f>Parameters!M47</f>
        <v>1</v>
      </c>
      <c r="O92" s="26">
        <f t="shared" ref="O92" si="133">O93</f>
        <v>-6.4999999999999994E-5</v>
      </c>
      <c r="P92" s="23">
        <f>Parameters!N47</f>
        <v>1</v>
      </c>
      <c r="Q92" s="23">
        <f>Parameters!O47</f>
        <v>100</v>
      </c>
      <c r="R92" s="23">
        <f>Parameters!P47</f>
        <v>10</v>
      </c>
      <c r="S92" s="23">
        <f>Parameters!Q47</f>
        <v>2</v>
      </c>
      <c r="T92" s="23">
        <f>Parameters!R47</f>
        <v>1</v>
      </c>
      <c r="U92" s="27">
        <f>Parameters!S47</f>
        <v>42741</v>
      </c>
      <c r="V92" s="28">
        <f>Parameters!T47</f>
        <v>0.30208333333333331</v>
      </c>
      <c r="W92" s="27">
        <f>Parameters!U47</f>
        <v>42964</v>
      </c>
      <c r="X92" s="28">
        <f>Parameters!V47</f>
        <v>0.65277777777777779</v>
      </c>
      <c r="Y92" s="25">
        <f>Parameters!W47</f>
        <v>28</v>
      </c>
      <c r="Z92" s="23">
        <f>Parameters!X47</f>
        <v>1</v>
      </c>
      <c r="AA92" s="27">
        <f>Parameters!Y47</f>
        <v>42964</v>
      </c>
      <c r="AB92" s="28">
        <f>Parameters!Z47</f>
        <v>0.65347222222222223</v>
      </c>
      <c r="AC92" s="23">
        <f>Parameters!AA47</f>
        <v>1</v>
      </c>
    </row>
    <row r="93" spans="1:29">
      <c r="A93" s="29" t="str">
        <f>UPPER(A92)</f>
        <v>6JM7</v>
      </c>
      <c r="B93" s="29">
        <f>B92</f>
        <v>4.9999999999999998E-7</v>
      </c>
      <c r="C93" s="30">
        <f>C92</f>
        <v>2</v>
      </c>
      <c r="D93" s="30" t="str">
        <f>D92</f>
        <v>BUY</v>
      </c>
      <c r="E93" s="29">
        <f>E92</f>
        <v>0</v>
      </c>
      <c r="F93" s="29">
        <f>F92</f>
        <v>4.9999999999999996E-5</v>
      </c>
      <c r="G93" s="29">
        <f>IF(C92=1,IF(D92="BUY",E92+(ROUND(F92*G92/B92,0)*B92),E92-(ROUND(F92*G92/B92,0)*B92)),IF(D92="BUY",E92-(ROUND(F92*G92/B92,0)*B92),E92+(ROUND(F92*G92/B92,0)*B92)))</f>
        <v>-2.4999999999999998E-6</v>
      </c>
      <c r="H93" s="29">
        <f>IF(C92=1,IF(D92="BUY",G93-(ROUND(F92*H92/B92,0)*B92),G93+(ROUND(F92*H92/B92,0)*B92)),IF(D92="BUY",G93+(ROUND(F92*H92/B92,0)*B92),G93-(ROUND(F92*H92/B92,0)*B92)))</f>
        <v>-2.4999999999999998E-6</v>
      </c>
      <c r="I93" s="29">
        <f>IF(D92="BUY",G93+(ROUND(F92*I92/(B92*100),0)*B92),G93-(ROUND(F92*I92/(B92*100),0)*B92))</f>
        <v>-2.4999999999999998E-6</v>
      </c>
      <c r="J93" s="29">
        <f>IF(C92=1,IF(D92="BUY",E92+(ROUND(F92*J92/B92,0)*B92),E92-(ROUND(F92*J92/B92,0)*B92)),IF(D92="BUY",E92-(ROUND(F92*J92/B92,0)*B92),E92+(ROUND(F92*J92/B92,0)*B92)))</f>
        <v>-4.9999999999999996E-5</v>
      </c>
      <c r="K93" s="29">
        <f>IF(C92=1,IF(D92="BUY",E92-(ROUND(F92*K92/B92,0)*B92),E92+(ROUND(F92*K92/B92,0)*B92)),IF(D92="BUY",E92-(ROUND(F92*K92/B92,0)*B92),E92+(ROUND(F92*K92/B92,0)*B92)))</f>
        <v>-4.9999999999999996E-5</v>
      </c>
      <c r="L93" s="29">
        <f t="shared" ref="L93" si="134">IF(D93="BUY",I93+(R93*B93),I93-(R93*B93))</f>
        <v>2.4999999999999998E-6</v>
      </c>
      <c r="M93" s="29">
        <f>IF(D92="BUY",E92+(ROUND(F92*M92/B92,0)*B92),E92-(ROUND(F92*M92/B92,0)*B92))</f>
        <v>4.9999999999999996E-5</v>
      </c>
      <c r="N93" s="29">
        <f>IF(D92="BUY",E92-(ROUND(F92*N92/B92,0)*B92),E92+(ROUND(F92*N92/B92,0)*B92))</f>
        <v>-4.9999999999999996E-5</v>
      </c>
      <c r="O93" s="31">
        <f>IF(D93="BUY",N93-VLOOKUP(A93,Symbols!A$1:D$1000,4,FALSE),N93+VLOOKUP(A93,Symbols!A$1:D$1000,4,FALSE))</f>
        <v>-6.4999999999999994E-5</v>
      </c>
      <c r="P93" s="29">
        <f>P92</f>
        <v>1</v>
      </c>
      <c r="Q93" s="29">
        <f>Q92</f>
        <v>100</v>
      </c>
      <c r="R93" s="29">
        <f>R92</f>
        <v>10</v>
      </c>
      <c r="S93" s="29">
        <f>S92</f>
        <v>2</v>
      </c>
      <c r="T93" s="29">
        <f>T92</f>
        <v>1</v>
      </c>
      <c r="U93" s="29">
        <f>DATEDIF(DATE(1970,1,1),U92,"D")*86400</f>
        <v>1483660800</v>
      </c>
      <c r="V93" s="29">
        <f>HOUR(V92)*3600+MINUTE(V92)*60+SECOND(V92)</f>
        <v>26100</v>
      </c>
      <c r="W93" s="29">
        <f>DATEDIF(DATE(1970,1,1),W92,"D")*86400</f>
        <v>1502928000</v>
      </c>
      <c r="X93" s="29">
        <f>HOUR(X92)*3600+MINUTE(X92)*60+SECOND(X92)</f>
        <v>56400</v>
      </c>
      <c r="Y93" s="31">
        <f>(Y92*B93)</f>
        <v>1.4E-5</v>
      </c>
      <c r="Z93" s="29">
        <f>Z92</f>
        <v>1</v>
      </c>
      <c r="AA93" s="29">
        <f>DATEDIF(DATE(1970,1,1),AA92,"D")*86400</f>
        <v>1502928000</v>
      </c>
      <c r="AB93" s="29">
        <f>HOUR(AB92)*3600+MINUTE(AB92)*60+SECOND(AB92)</f>
        <v>56460</v>
      </c>
      <c r="AC93" s="29">
        <f>AC92</f>
        <v>1</v>
      </c>
    </row>
    <row r="94" spans="1:29">
      <c r="A94" s="23" t="str">
        <f>Parameters!A48</f>
        <v>6JM7</v>
      </c>
      <c r="B94" s="23">
        <f>Parameters!B48</f>
        <v>4.9999999999999998E-7</v>
      </c>
      <c r="C94" s="24">
        <f>Parameters!C48</f>
        <v>2</v>
      </c>
      <c r="D94" s="24" t="str">
        <f>Parameters!D48</f>
        <v>BUY</v>
      </c>
      <c r="E94" s="23">
        <f>Parameters!E48</f>
        <v>0</v>
      </c>
      <c r="F94" s="23">
        <f>Parameters!F48</f>
        <v>4.9999999999999996E-5</v>
      </c>
      <c r="G94" s="25">
        <f>Parameters!G48</f>
        <v>0.06</v>
      </c>
      <c r="H94" s="25">
        <f>Parameters!H48</f>
        <v>0</v>
      </c>
      <c r="I94" s="25">
        <f>Parameters!I48</f>
        <v>0</v>
      </c>
      <c r="J94" s="25">
        <f>Parameters!J48</f>
        <v>1</v>
      </c>
      <c r="K94" s="25">
        <f>Parameters!K48</f>
        <v>1</v>
      </c>
      <c r="L94" s="26">
        <f t="shared" ref="L94" si="135">L95</f>
        <v>1.9999999999999995E-6</v>
      </c>
      <c r="M94" s="25">
        <f>Parameters!L48</f>
        <v>1</v>
      </c>
      <c r="N94" s="25">
        <f>Parameters!M48</f>
        <v>1</v>
      </c>
      <c r="O94" s="26">
        <f t="shared" ref="O94" si="136">O95</f>
        <v>-6.4999999999999994E-5</v>
      </c>
      <c r="P94" s="23">
        <f>Parameters!N48</f>
        <v>1</v>
      </c>
      <c r="Q94" s="23">
        <f>Parameters!O48</f>
        <v>100</v>
      </c>
      <c r="R94" s="23">
        <f>Parameters!P48</f>
        <v>10</v>
      </c>
      <c r="S94" s="23">
        <f>Parameters!Q48</f>
        <v>2</v>
      </c>
      <c r="T94" s="23">
        <f>Parameters!R48</f>
        <v>1</v>
      </c>
      <c r="U94" s="27">
        <f>Parameters!S48</f>
        <v>42741</v>
      </c>
      <c r="V94" s="28">
        <f>Parameters!T48</f>
        <v>0.30208333333333331</v>
      </c>
      <c r="W94" s="27">
        <f>Parameters!U48</f>
        <v>42964</v>
      </c>
      <c r="X94" s="28">
        <f>Parameters!V48</f>
        <v>0.65277777777777779</v>
      </c>
      <c r="Y94" s="25">
        <f>Parameters!W48</f>
        <v>28</v>
      </c>
      <c r="Z94" s="23">
        <f>Parameters!X48</f>
        <v>1</v>
      </c>
      <c r="AA94" s="27">
        <f>Parameters!Y48</f>
        <v>42964</v>
      </c>
      <c r="AB94" s="28">
        <f>Parameters!Z48</f>
        <v>0.65347222222222223</v>
      </c>
      <c r="AC94" s="23">
        <f>Parameters!AA48</f>
        <v>1</v>
      </c>
    </row>
    <row r="95" spans="1:29">
      <c r="A95" s="29" t="str">
        <f>UPPER(A94)</f>
        <v>6JM7</v>
      </c>
      <c r="B95" s="29">
        <f>B94</f>
        <v>4.9999999999999998E-7</v>
      </c>
      <c r="C95" s="30">
        <f>C94</f>
        <v>2</v>
      </c>
      <c r="D95" s="30" t="str">
        <f>D94</f>
        <v>BUY</v>
      </c>
      <c r="E95" s="29">
        <f>E94</f>
        <v>0</v>
      </c>
      <c r="F95" s="29">
        <f>F94</f>
        <v>4.9999999999999996E-5</v>
      </c>
      <c r="G95" s="29">
        <f>IF(C94=1,IF(D94="BUY",E94+(ROUND(F94*G94/B94,0)*B94),E94-(ROUND(F94*G94/B94,0)*B94)),IF(D94="BUY",E94-(ROUND(F94*G94/B94,0)*B94),E94+(ROUND(F94*G94/B94,0)*B94)))</f>
        <v>-3.0000000000000001E-6</v>
      </c>
      <c r="H95" s="29">
        <f>IF(C94=1,IF(D94="BUY",G95-(ROUND(F94*H94/B94,0)*B94),G95+(ROUND(F94*H94/B94,0)*B94)),IF(D94="BUY",G95+(ROUND(F94*H94/B94,0)*B94),G95-(ROUND(F94*H94/B94,0)*B94)))</f>
        <v>-3.0000000000000001E-6</v>
      </c>
      <c r="I95" s="29">
        <f>IF(D94="BUY",G95+(ROUND(F94*I94/(B94*100),0)*B94),G95-(ROUND(F94*I94/(B94*100),0)*B94))</f>
        <v>-3.0000000000000001E-6</v>
      </c>
      <c r="J95" s="29">
        <f>IF(C94=1,IF(D94="BUY",E94+(ROUND(F94*J94/B94,0)*B94),E94-(ROUND(F94*J94/B94,0)*B94)),IF(D94="BUY",E94-(ROUND(F94*J94/B94,0)*B94),E94+(ROUND(F94*J94/B94,0)*B94)))</f>
        <v>-4.9999999999999996E-5</v>
      </c>
      <c r="K95" s="29">
        <f>IF(C94=1,IF(D94="BUY",E94-(ROUND(F94*K94/B94,0)*B94),E94+(ROUND(F94*K94/B94,0)*B94)),IF(D94="BUY",E94-(ROUND(F94*K94/B94,0)*B94),E94+(ROUND(F94*K94/B94,0)*B94)))</f>
        <v>-4.9999999999999996E-5</v>
      </c>
      <c r="L95" s="29">
        <f t="shared" ref="L95" si="137">IF(D95="BUY",I95+(R95*B95),I95-(R95*B95))</f>
        <v>1.9999999999999995E-6</v>
      </c>
      <c r="M95" s="29">
        <f>IF(D94="BUY",E94+(ROUND(F94*M94/B94,0)*B94),E94-(ROUND(F94*M94/B94,0)*B94))</f>
        <v>4.9999999999999996E-5</v>
      </c>
      <c r="N95" s="29">
        <f>IF(D94="BUY",E94-(ROUND(F94*N94/B94,0)*B94),E94+(ROUND(F94*N94/B94,0)*B94))</f>
        <v>-4.9999999999999996E-5</v>
      </c>
      <c r="O95" s="31">
        <f>IF(D95="BUY",N95-VLOOKUP(A95,Symbols!A$1:D$1000,4,FALSE),N95+VLOOKUP(A95,Symbols!A$1:D$1000,4,FALSE))</f>
        <v>-6.4999999999999994E-5</v>
      </c>
      <c r="P95" s="29">
        <f>P94</f>
        <v>1</v>
      </c>
      <c r="Q95" s="29">
        <f>Q94</f>
        <v>100</v>
      </c>
      <c r="R95" s="29">
        <f>R94</f>
        <v>10</v>
      </c>
      <c r="S95" s="29">
        <f>S94</f>
        <v>2</v>
      </c>
      <c r="T95" s="29">
        <f>T94</f>
        <v>1</v>
      </c>
      <c r="U95" s="29">
        <f>DATEDIF(DATE(1970,1,1),U94,"D")*86400</f>
        <v>1483660800</v>
      </c>
      <c r="V95" s="29">
        <f>HOUR(V94)*3600+MINUTE(V94)*60+SECOND(V94)</f>
        <v>26100</v>
      </c>
      <c r="W95" s="29">
        <f>DATEDIF(DATE(1970,1,1),W94,"D")*86400</f>
        <v>1502928000</v>
      </c>
      <c r="X95" s="29">
        <f>HOUR(X94)*3600+MINUTE(X94)*60+SECOND(X94)</f>
        <v>56400</v>
      </c>
      <c r="Y95" s="31">
        <f>(Y94*B95)</f>
        <v>1.4E-5</v>
      </c>
      <c r="Z95" s="29">
        <f>Z94</f>
        <v>1</v>
      </c>
      <c r="AA95" s="29">
        <f>DATEDIF(DATE(1970,1,1),AA94,"D")*86400</f>
        <v>1502928000</v>
      </c>
      <c r="AB95" s="29">
        <f>HOUR(AB94)*3600+MINUTE(AB94)*60+SECOND(AB94)</f>
        <v>56460</v>
      </c>
      <c r="AC95" s="29">
        <f>AC94</f>
        <v>1</v>
      </c>
    </row>
    <row r="96" spans="1:29">
      <c r="A96" s="23" t="str">
        <f>Parameters!A49</f>
        <v>6JM7</v>
      </c>
      <c r="B96" s="23">
        <f>Parameters!B49</f>
        <v>4.9999999999999998E-7</v>
      </c>
      <c r="C96" s="24">
        <f>Parameters!C49</f>
        <v>2</v>
      </c>
      <c r="D96" s="24" t="str">
        <f>Parameters!D49</f>
        <v>BUY</v>
      </c>
      <c r="E96" s="23">
        <f>Parameters!E49</f>
        <v>0</v>
      </c>
      <c r="F96" s="23">
        <f>Parameters!F49</f>
        <v>4.9999999999999996E-5</v>
      </c>
      <c r="G96" s="25">
        <f>Parameters!G49</f>
        <v>7.0000000000000007E-2</v>
      </c>
      <c r="H96" s="25">
        <f>Parameters!H49</f>
        <v>0</v>
      </c>
      <c r="I96" s="25">
        <f>Parameters!I49</f>
        <v>0</v>
      </c>
      <c r="J96" s="25">
        <f>Parameters!J49</f>
        <v>1</v>
      </c>
      <c r="K96" s="25">
        <f>Parameters!K49</f>
        <v>1</v>
      </c>
      <c r="L96" s="26">
        <f t="shared" ref="L96" si="138">L97</f>
        <v>1.4999999999999996E-6</v>
      </c>
      <c r="M96" s="25">
        <f>Parameters!L49</f>
        <v>1</v>
      </c>
      <c r="N96" s="25">
        <f>Parameters!M49</f>
        <v>1</v>
      </c>
      <c r="O96" s="26">
        <f t="shared" ref="O96" si="139">O97</f>
        <v>-6.4999999999999994E-5</v>
      </c>
      <c r="P96" s="23">
        <f>Parameters!N49</f>
        <v>1</v>
      </c>
      <c r="Q96" s="23">
        <f>Parameters!O49</f>
        <v>100</v>
      </c>
      <c r="R96" s="23">
        <f>Parameters!P49</f>
        <v>10</v>
      </c>
      <c r="S96" s="23">
        <f>Parameters!Q49</f>
        <v>2</v>
      </c>
      <c r="T96" s="23">
        <f>Parameters!R49</f>
        <v>1</v>
      </c>
      <c r="U96" s="27">
        <f>Parameters!S49</f>
        <v>42741</v>
      </c>
      <c r="V96" s="28">
        <f>Parameters!T49</f>
        <v>0.30208333333333331</v>
      </c>
      <c r="W96" s="27">
        <f>Parameters!U49</f>
        <v>42964</v>
      </c>
      <c r="X96" s="28">
        <f>Parameters!V49</f>
        <v>0.65277777777777779</v>
      </c>
      <c r="Y96" s="25">
        <f>Parameters!W49</f>
        <v>28</v>
      </c>
      <c r="Z96" s="23">
        <f>Parameters!X49</f>
        <v>1</v>
      </c>
      <c r="AA96" s="27">
        <f>Parameters!Y49</f>
        <v>42964</v>
      </c>
      <c r="AB96" s="28">
        <f>Parameters!Z49</f>
        <v>0.65347222222222223</v>
      </c>
      <c r="AC96" s="23">
        <f>Parameters!AA49</f>
        <v>1</v>
      </c>
    </row>
    <row r="97" spans="1:29">
      <c r="A97" s="29" t="str">
        <f>UPPER(A96)</f>
        <v>6JM7</v>
      </c>
      <c r="B97" s="29">
        <f>B96</f>
        <v>4.9999999999999998E-7</v>
      </c>
      <c r="C97" s="30">
        <f>C96</f>
        <v>2</v>
      </c>
      <c r="D97" s="30" t="str">
        <f>D96</f>
        <v>BUY</v>
      </c>
      <c r="E97" s="29">
        <f>E96</f>
        <v>0</v>
      </c>
      <c r="F97" s="29">
        <f>F96</f>
        <v>4.9999999999999996E-5</v>
      </c>
      <c r="G97" s="29">
        <f>IF(C96=1,IF(D96="BUY",E96+(ROUND(F96*G96/B96,0)*B96),E96-(ROUND(F96*G96/B96,0)*B96)),IF(D96="BUY",E96-(ROUND(F96*G96/B96,0)*B96),E96+(ROUND(F96*G96/B96,0)*B96)))</f>
        <v>-3.4999999999999999E-6</v>
      </c>
      <c r="H97" s="29">
        <f>IF(C96=1,IF(D96="BUY",G97-(ROUND(F96*H96/B96,0)*B96),G97+(ROUND(F96*H96/B96,0)*B96)),IF(D96="BUY",G97+(ROUND(F96*H96/B96,0)*B96),G97-(ROUND(F96*H96/B96,0)*B96)))</f>
        <v>-3.4999999999999999E-6</v>
      </c>
      <c r="I97" s="29">
        <f>IF(D96="BUY",G97+(ROUND(F96*I96/(B96*100),0)*B96),G97-(ROUND(F96*I96/(B96*100),0)*B96))</f>
        <v>-3.4999999999999999E-6</v>
      </c>
      <c r="J97" s="29">
        <f>IF(C96=1,IF(D96="BUY",E96+(ROUND(F96*J96/B96,0)*B96),E96-(ROUND(F96*J96/B96,0)*B96)),IF(D96="BUY",E96-(ROUND(F96*J96/B96,0)*B96),E96+(ROUND(F96*J96/B96,0)*B96)))</f>
        <v>-4.9999999999999996E-5</v>
      </c>
      <c r="K97" s="29">
        <f>IF(C96=1,IF(D96="BUY",E96-(ROUND(F96*K96/B96,0)*B96),E96+(ROUND(F96*K96/B96,0)*B96)),IF(D96="BUY",E96-(ROUND(F96*K96/B96,0)*B96),E96+(ROUND(F96*K96/B96,0)*B96)))</f>
        <v>-4.9999999999999996E-5</v>
      </c>
      <c r="L97" s="29">
        <f t="shared" ref="L97" si="140">IF(D97="BUY",I97+(R97*B97),I97-(R97*B97))</f>
        <v>1.4999999999999996E-6</v>
      </c>
      <c r="M97" s="29">
        <f>IF(D96="BUY",E96+(ROUND(F96*M96/B96,0)*B96),E96-(ROUND(F96*M96/B96,0)*B96))</f>
        <v>4.9999999999999996E-5</v>
      </c>
      <c r="N97" s="29">
        <f>IF(D96="BUY",E96-(ROUND(F96*N96/B96,0)*B96),E96+(ROUND(F96*N96/B96,0)*B96))</f>
        <v>-4.9999999999999996E-5</v>
      </c>
      <c r="O97" s="31">
        <f>IF(D97="BUY",N97-VLOOKUP(A97,Symbols!A$1:D$1000,4,FALSE),N97+VLOOKUP(A97,Symbols!A$1:D$1000,4,FALSE))</f>
        <v>-6.4999999999999994E-5</v>
      </c>
      <c r="P97" s="29">
        <f>P96</f>
        <v>1</v>
      </c>
      <c r="Q97" s="29">
        <f>Q96</f>
        <v>100</v>
      </c>
      <c r="R97" s="29">
        <f>R96</f>
        <v>10</v>
      </c>
      <c r="S97" s="29">
        <f>S96</f>
        <v>2</v>
      </c>
      <c r="T97" s="29">
        <f>T96</f>
        <v>1</v>
      </c>
      <c r="U97" s="29">
        <f>DATEDIF(DATE(1970,1,1),U96,"D")*86400</f>
        <v>1483660800</v>
      </c>
      <c r="V97" s="29">
        <f>HOUR(V96)*3600+MINUTE(V96)*60+SECOND(V96)</f>
        <v>26100</v>
      </c>
      <c r="W97" s="29">
        <f>DATEDIF(DATE(1970,1,1),W96,"D")*86400</f>
        <v>1502928000</v>
      </c>
      <c r="X97" s="29">
        <f>HOUR(X96)*3600+MINUTE(X96)*60+SECOND(X96)</f>
        <v>56400</v>
      </c>
      <c r="Y97" s="31">
        <f>(Y96*B97)</f>
        <v>1.4E-5</v>
      </c>
      <c r="Z97" s="29">
        <f>Z96</f>
        <v>1</v>
      </c>
      <c r="AA97" s="29">
        <f>DATEDIF(DATE(1970,1,1),AA96,"D")*86400</f>
        <v>1502928000</v>
      </c>
      <c r="AB97" s="29">
        <f>HOUR(AB96)*3600+MINUTE(AB96)*60+SECOND(AB96)</f>
        <v>56460</v>
      </c>
      <c r="AC97" s="29">
        <f>AC96</f>
        <v>1</v>
      </c>
    </row>
    <row r="98" spans="1:29">
      <c r="A98" s="23" t="str">
        <f>Parameters!A50</f>
        <v>6JM7</v>
      </c>
      <c r="B98" s="23">
        <f>Parameters!B50</f>
        <v>4.9999999999999998E-7</v>
      </c>
      <c r="C98" s="24">
        <f>Parameters!C50</f>
        <v>2</v>
      </c>
      <c r="D98" s="24" t="str">
        <f>Parameters!D50</f>
        <v>BUY</v>
      </c>
      <c r="E98" s="23">
        <f>Parameters!E50</f>
        <v>0</v>
      </c>
      <c r="F98" s="23">
        <f>Parameters!F50</f>
        <v>4.9999999999999996E-5</v>
      </c>
      <c r="G98" s="25">
        <f>Parameters!G50</f>
        <v>0.08</v>
      </c>
      <c r="H98" s="25">
        <f>Parameters!H50</f>
        <v>0</v>
      </c>
      <c r="I98" s="25">
        <f>Parameters!I50</f>
        <v>0</v>
      </c>
      <c r="J98" s="25">
        <f>Parameters!J50</f>
        <v>1</v>
      </c>
      <c r="K98" s="25">
        <f>Parameters!K50</f>
        <v>1</v>
      </c>
      <c r="L98" s="26">
        <f t="shared" ref="L98" si="141">L99</f>
        <v>9.9999999999999974E-7</v>
      </c>
      <c r="M98" s="25">
        <f>Parameters!L50</f>
        <v>1</v>
      </c>
      <c r="N98" s="25">
        <f>Parameters!M50</f>
        <v>1</v>
      </c>
      <c r="O98" s="26">
        <f t="shared" ref="O98" si="142">O99</f>
        <v>-6.4999999999999994E-5</v>
      </c>
      <c r="P98" s="23">
        <f>Parameters!N50</f>
        <v>1</v>
      </c>
      <c r="Q98" s="23">
        <f>Parameters!O50</f>
        <v>100</v>
      </c>
      <c r="R98" s="23">
        <f>Parameters!P50</f>
        <v>10</v>
      </c>
      <c r="S98" s="23">
        <f>Parameters!Q50</f>
        <v>2</v>
      </c>
      <c r="T98" s="23">
        <f>Parameters!R50</f>
        <v>1</v>
      </c>
      <c r="U98" s="27">
        <f>Parameters!S50</f>
        <v>42741</v>
      </c>
      <c r="V98" s="28">
        <f>Parameters!T50</f>
        <v>0.30208333333333331</v>
      </c>
      <c r="W98" s="27">
        <f>Parameters!U50</f>
        <v>42964</v>
      </c>
      <c r="X98" s="28">
        <f>Parameters!V50</f>
        <v>0.65277777777777779</v>
      </c>
      <c r="Y98" s="25">
        <f>Parameters!W50</f>
        <v>28</v>
      </c>
      <c r="Z98" s="23">
        <f>Parameters!X50</f>
        <v>1</v>
      </c>
      <c r="AA98" s="27">
        <f>Parameters!Y50</f>
        <v>42964</v>
      </c>
      <c r="AB98" s="28">
        <f>Parameters!Z50</f>
        <v>0.65347222222222223</v>
      </c>
      <c r="AC98" s="23">
        <f>Parameters!AA50</f>
        <v>1</v>
      </c>
    </row>
    <row r="99" spans="1:29">
      <c r="A99" s="29" t="str">
        <f>UPPER(A98)</f>
        <v>6JM7</v>
      </c>
      <c r="B99" s="29">
        <f>B98</f>
        <v>4.9999999999999998E-7</v>
      </c>
      <c r="C99" s="30">
        <f>C98</f>
        <v>2</v>
      </c>
      <c r="D99" s="30" t="str">
        <f>D98</f>
        <v>BUY</v>
      </c>
      <c r="E99" s="29">
        <f>E98</f>
        <v>0</v>
      </c>
      <c r="F99" s="29">
        <f>F98</f>
        <v>4.9999999999999996E-5</v>
      </c>
      <c r="G99" s="29">
        <f>IF(C98=1,IF(D98="BUY",E98+(ROUND(F98*G98/B98,0)*B98),E98-(ROUND(F98*G98/B98,0)*B98)),IF(D98="BUY",E98-(ROUND(F98*G98/B98,0)*B98),E98+(ROUND(F98*G98/B98,0)*B98)))</f>
        <v>-3.9999999999999998E-6</v>
      </c>
      <c r="H99" s="29">
        <f>IF(C98=1,IF(D98="BUY",G99-(ROUND(F98*H98/B98,0)*B98),G99+(ROUND(F98*H98/B98,0)*B98)),IF(D98="BUY",G99+(ROUND(F98*H98/B98,0)*B98),G99-(ROUND(F98*H98/B98,0)*B98)))</f>
        <v>-3.9999999999999998E-6</v>
      </c>
      <c r="I99" s="29">
        <f>IF(D98="BUY",G99+(ROUND(F98*I98/(B98*100),0)*B98),G99-(ROUND(F98*I98/(B98*100),0)*B98))</f>
        <v>-3.9999999999999998E-6</v>
      </c>
      <c r="J99" s="29">
        <f>IF(C98=1,IF(D98="BUY",E98+(ROUND(F98*J98/B98,0)*B98),E98-(ROUND(F98*J98/B98,0)*B98)),IF(D98="BUY",E98-(ROUND(F98*J98/B98,0)*B98),E98+(ROUND(F98*J98/B98,0)*B98)))</f>
        <v>-4.9999999999999996E-5</v>
      </c>
      <c r="K99" s="29">
        <f>IF(C98=1,IF(D98="BUY",E98-(ROUND(F98*K98/B98,0)*B98),E98+(ROUND(F98*K98/B98,0)*B98)),IF(D98="BUY",E98-(ROUND(F98*K98/B98,0)*B98),E98+(ROUND(F98*K98/B98,0)*B98)))</f>
        <v>-4.9999999999999996E-5</v>
      </c>
      <c r="L99" s="29">
        <f t="shared" ref="L99" si="143">IF(D99="BUY",I99+(R99*B99),I99-(R99*B99))</f>
        <v>9.9999999999999974E-7</v>
      </c>
      <c r="M99" s="29">
        <f>IF(D98="BUY",E98+(ROUND(F98*M98/B98,0)*B98),E98-(ROUND(F98*M98/B98,0)*B98))</f>
        <v>4.9999999999999996E-5</v>
      </c>
      <c r="N99" s="29">
        <f>IF(D98="BUY",E98-(ROUND(F98*N98/B98,0)*B98),E98+(ROUND(F98*N98/B98,0)*B98))</f>
        <v>-4.9999999999999996E-5</v>
      </c>
      <c r="O99" s="31">
        <f>IF(D99="BUY",N99-VLOOKUP(A99,Symbols!A$1:D$1000,4,FALSE),N99+VLOOKUP(A99,Symbols!A$1:D$1000,4,FALSE))</f>
        <v>-6.4999999999999994E-5</v>
      </c>
      <c r="P99" s="29">
        <f>P98</f>
        <v>1</v>
      </c>
      <c r="Q99" s="29">
        <f>Q98</f>
        <v>100</v>
      </c>
      <c r="R99" s="29">
        <f>R98</f>
        <v>10</v>
      </c>
      <c r="S99" s="29">
        <f>S98</f>
        <v>2</v>
      </c>
      <c r="T99" s="29">
        <f>T98</f>
        <v>1</v>
      </c>
      <c r="U99" s="29">
        <f>DATEDIF(DATE(1970,1,1),U98,"D")*86400</f>
        <v>1483660800</v>
      </c>
      <c r="V99" s="29">
        <f>HOUR(V98)*3600+MINUTE(V98)*60+SECOND(V98)</f>
        <v>26100</v>
      </c>
      <c r="W99" s="29">
        <f>DATEDIF(DATE(1970,1,1),W98,"D")*86400</f>
        <v>1502928000</v>
      </c>
      <c r="X99" s="29">
        <f>HOUR(X98)*3600+MINUTE(X98)*60+SECOND(X98)</f>
        <v>56400</v>
      </c>
      <c r="Y99" s="31">
        <f>(Y98*B99)</f>
        <v>1.4E-5</v>
      </c>
      <c r="Z99" s="29">
        <f>Z98</f>
        <v>1</v>
      </c>
      <c r="AA99" s="29">
        <f>DATEDIF(DATE(1970,1,1),AA98,"D")*86400</f>
        <v>1502928000</v>
      </c>
      <c r="AB99" s="29">
        <f>HOUR(AB98)*3600+MINUTE(AB98)*60+SECOND(AB98)</f>
        <v>56460</v>
      </c>
      <c r="AC99" s="29">
        <f>AC98</f>
        <v>1</v>
      </c>
    </row>
    <row r="100" spans="1:29">
      <c r="A100" s="23" t="str">
        <f>Parameters!A51</f>
        <v>6JM7</v>
      </c>
      <c r="B100" s="23">
        <f>Parameters!B51</f>
        <v>4.9999999999999998E-7</v>
      </c>
      <c r="C100" s="24">
        <f>Parameters!C51</f>
        <v>2</v>
      </c>
      <c r="D100" s="24" t="str">
        <f>Parameters!D51</f>
        <v>BUY</v>
      </c>
      <c r="E100" s="23">
        <f>Parameters!E51</f>
        <v>0</v>
      </c>
      <c r="F100" s="23">
        <f>Parameters!F51</f>
        <v>4.9999999999999996E-5</v>
      </c>
      <c r="G100" s="25">
        <f>Parameters!G51</f>
        <v>0.09</v>
      </c>
      <c r="H100" s="25">
        <f>Parameters!H51</f>
        <v>0</v>
      </c>
      <c r="I100" s="25">
        <f>Parameters!I51</f>
        <v>0</v>
      </c>
      <c r="J100" s="25">
        <f>Parameters!J51</f>
        <v>1</v>
      </c>
      <c r="K100" s="25">
        <f>Parameters!K51</f>
        <v>1</v>
      </c>
      <c r="L100" s="26">
        <f t="shared" ref="L100" si="144">L101</f>
        <v>4.9999999999999945E-7</v>
      </c>
      <c r="M100" s="25">
        <f>Parameters!L51</f>
        <v>1</v>
      </c>
      <c r="N100" s="25">
        <f>Parameters!M51</f>
        <v>1</v>
      </c>
      <c r="O100" s="26">
        <f t="shared" ref="O100" si="145">O101</f>
        <v>-6.4999999999999994E-5</v>
      </c>
      <c r="P100" s="23">
        <f>Parameters!N51</f>
        <v>1</v>
      </c>
      <c r="Q100" s="23">
        <f>Parameters!O51</f>
        <v>100</v>
      </c>
      <c r="R100" s="23">
        <f>Parameters!P51</f>
        <v>10</v>
      </c>
      <c r="S100" s="23">
        <f>Parameters!Q51</f>
        <v>2</v>
      </c>
      <c r="T100" s="23">
        <f>Parameters!R51</f>
        <v>1</v>
      </c>
      <c r="U100" s="27">
        <f>Parameters!S51</f>
        <v>42741</v>
      </c>
      <c r="V100" s="28">
        <f>Parameters!T51</f>
        <v>0.30208333333333331</v>
      </c>
      <c r="W100" s="27">
        <f>Parameters!U51</f>
        <v>42964</v>
      </c>
      <c r="X100" s="28">
        <f>Parameters!V51</f>
        <v>0.65277777777777779</v>
      </c>
      <c r="Y100" s="25">
        <f>Parameters!W51</f>
        <v>28</v>
      </c>
      <c r="Z100" s="23">
        <f>Parameters!X51</f>
        <v>1</v>
      </c>
      <c r="AA100" s="27">
        <f>Parameters!Y51</f>
        <v>42964</v>
      </c>
      <c r="AB100" s="28">
        <f>Parameters!Z51</f>
        <v>0.65347222222222223</v>
      </c>
      <c r="AC100" s="23">
        <f>Parameters!AA51</f>
        <v>1</v>
      </c>
    </row>
    <row r="101" spans="1:29">
      <c r="A101" s="29" t="str">
        <f>UPPER(A100)</f>
        <v>6JM7</v>
      </c>
      <c r="B101" s="29">
        <f>B100</f>
        <v>4.9999999999999998E-7</v>
      </c>
      <c r="C101" s="30">
        <f>C100</f>
        <v>2</v>
      </c>
      <c r="D101" s="30" t="str">
        <f>D100</f>
        <v>BUY</v>
      </c>
      <c r="E101" s="29">
        <f>E100</f>
        <v>0</v>
      </c>
      <c r="F101" s="29">
        <f>F100</f>
        <v>4.9999999999999996E-5</v>
      </c>
      <c r="G101" s="29">
        <f>IF(C100=1,IF(D100="BUY",E100+(ROUND(F100*G100/B100,0)*B100),E100-(ROUND(F100*G100/B100,0)*B100)),IF(D100="BUY",E100-(ROUND(F100*G100/B100,0)*B100),E100+(ROUND(F100*G100/B100,0)*B100)))</f>
        <v>-4.5000000000000001E-6</v>
      </c>
      <c r="H101" s="29">
        <f>IF(C100=1,IF(D100="BUY",G101-(ROUND(F100*H100/B100,0)*B100),G101+(ROUND(F100*H100/B100,0)*B100)),IF(D100="BUY",G101+(ROUND(F100*H100/B100,0)*B100),G101-(ROUND(F100*H100/B100,0)*B100)))</f>
        <v>-4.5000000000000001E-6</v>
      </c>
      <c r="I101" s="29">
        <f>IF(D100="BUY",G101+(ROUND(F100*I100/(B100*100),0)*B100),G101-(ROUND(F100*I100/(B100*100),0)*B100))</f>
        <v>-4.5000000000000001E-6</v>
      </c>
      <c r="J101" s="29">
        <f>IF(C100=1,IF(D100="BUY",E100+(ROUND(F100*J100/B100,0)*B100),E100-(ROUND(F100*J100/B100,0)*B100)),IF(D100="BUY",E100-(ROUND(F100*J100/B100,0)*B100),E100+(ROUND(F100*J100/B100,0)*B100)))</f>
        <v>-4.9999999999999996E-5</v>
      </c>
      <c r="K101" s="29">
        <f>IF(C100=1,IF(D100="BUY",E100-(ROUND(F100*K100/B100,0)*B100),E100+(ROUND(F100*K100/B100,0)*B100)),IF(D100="BUY",E100-(ROUND(F100*K100/B100,0)*B100),E100+(ROUND(F100*K100/B100,0)*B100)))</f>
        <v>-4.9999999999999996E-5</v>
      </c>
      <c r="L101" s="29">
        <f t="shared" ref="L101" si="146">IF(D101="BUY",I101+(R101*B101),I101-(R101*B101))</f>
        <v>4.9999999999999945E-7</v>
      </c>
      <c r="M101" s="29">
        <f>IF(D100="BUY",E100+(ROUND(F100*M100/B100,0)*B100),E100-(ROUND(F100*M100/B100,0)*B100))</f>
        <v>4.9999999999999996E-5</v>
      </c>
      <c r="N101" s="29">
        <f>IF(D100="BUY",E100-(ROUND(F100*N100/B100,0)*B100),E100+(ROUND(F100*N100/B100,0)*B100))</f>
        <v>-4.9999999999999996E-5</v>
      </c>
      <c r="O101" s="31">
        <f>IF(D101="BUY",N101-VLOOKUP(A101,Symbols!A$1:D$1000,4,FALSE),N101+VLOOKUP(A101,Symbols!A$1:D$1000,4,FALSE))</f>
        <v>-6.4999999999999994E-5</v>
      </c>
      <c r="P101" s="29">
        <f>P100</f>
        <v>1</v>
      </c>
      <c r="Q101" s="29">
        <f>Q100</f>
        <v>100</v>
      </c>
      <c r="R101" s="29">
        <f>R100</f>
        <v>10</v>
      </c>
      <c r="S101" s="29">
        <f>S100</f>
        <v>2</v>
      </c>
      <c r="T101" s="29">
        <f>T100</f>
        <v>1</v>
      </c>
      <c r="U101" s="29">
        <f>DATEDIF(DATE(1970,1,1),U100,"D")*86400</f>
        <v>1483660800</v>
      </c>
      <c r="V101" s="29">
        <f>HOUR(V100)*3600+MINUTE(V100)*60+SECOND(V100)</f>
        <v>26100</v>
      </c>
      <c r="W101" s="29">
        <f>DATEDIF(DATE(1970,1,1),W100,"D")*86400</f>
        <v>1502928000</v>
      </c>
      <c r="X101" s="29">
        <f>HOUR(X100)*3600+MINUTE(X100)*60+SECOND(X100)</f>
        <v>56400</v>
      </c>
      <c r="Y101" s="31">
        <f>(Y100*B101)</f>
        <v>1.4E-5</v>
      </c>
      <c r="Z101" s="29">
        <f>Z100</f>
        <v>1</v>
      </c>
      <c r="AA101" s="29">
        <f>DATEDIF(DATE(1970,1,1),AA100,"D")*86400</f>
        <v>1502928000</v>
      </c>
      <c r="AB101" s="29">
        <f>HOUR(AB100)*3600+MINUTE(AB100)*60+SECOND(AB100)</f>
        <v>56460</v>
      </c>
      <c r="AC101" s="29">
        <f>AC100</f>
        <v>1</v>
      </c>
    </row>
    <row r="102" spans="1:29">
      <c r="A102" s="23" t="str">
        <f>Parameters!A52</f>
        <v>6JM7</v>
      </c>
      <c r="B102" s="23">
        <f>Parameters!B52</f>
        <v>4.9999999999999998E-7</v>
      </c>
      <c r="C102" s="24">
        <f>Parameters!C52</f>
        <v>2</v>
      </c>
      <c r="D102" s="24" t="str">
        <f>Parameters!D52</f>
        <v>SELL</v>
      </c>
      <c r="E102" s="23">
        <f>Parameters!E52</f>
        <v>0</v>
      </c>
      <c r="F102" s="23">
        <f>Parameters!F52</f>
        <v>4.9999999999999996E-5</v>
      </c>
      <c r="G102" s="25">
        <f>Parameters!G52</f>
        <v>0</v>
      </c>
      <c r="H102" s="25">
        <f>Parameters!H52</f>
        <v>0</v>
      </c>
      <c r="I102" s="25">
        <f>Parameters!I52</f>
        <v>0</v>
      </c>
      <c r="J102" s="25">
        <f>Parameters!J52</f>
        <v>1</v>
      </c>
      <c r="K102" s="25">
        <f>Parameters!K52</f>
        <v>1</v>
      </c>
      <c r="L102" s="26">
        <f t="shared" ref="L102" si="147">L103</f>
        <v>-4.9999999999999996E-6</v>
      </c>
      <c r="M102" s="25">
        <f>Parameters!L52</f>
        <v>1</v>
      </c>
      <c r="N102" s="25">
        <f>Parameters!M52</f>
        <v>1</v>
      </c>
      <c r="O102" s="26">
        <f t="shared" ref="O102" si="148">O103</f>
        <v>6.4999999999999994E-5</v>
      </c>
      <c r="P102" s="23">
        <f>Parameters!N52</f>
        <v>1</v>
      </c>
      <c r="Q102" s="23">
        <f>Parameters!O52</f>
        <v>100</v>
      </c>
      <c r="R102" s="23">
        <f>Parameters!P52</f>
        <v>10</v>
      </c>
      <c r="S102" s="23">
        <f>Parameters!Q52</f>
        <v>2</v>
      </c>
      <c r="T102" s="23">
        <f>Parameters!R52</f>
        <v>1</v>
      </c>
      <c r="U102" s="27">
        <f>Parameters!S52</f>
        <v>42741</v>
      </c>
      <c r="V102" s="28">
        <f>Parameters!T52</f>
        <v>0.30208333333333331</v>
      </c>
      <c r="W102" s="27">
        <f>Parameters!U52</f>
        <v>42964</v>
      </c>
      <c r="X102" s="28">
        <f>Parameters!V52</f>
        <v>0.65277777777777779</v>
      </c>
      <c r="Y102" s="25">
        <f>Parameters!W52</f>
        <v>28</v>
      </c>
      <c r="Z102" s="23">
        <f>Parameters!X52</f>
        <v>1</v>
      </c>
      <c r="AA102" s="27">
        <f>Parameters!Y52</f>
        <v>42964</v>
      </c>
      <c r="AB102" s="28">
        <f>Parameters!Z52</f>
        <v>0.65347222222222223</v>
      </c>
      <c r="AC102" s="23">
        <f>Parameters!AA52</f>
        <v>1</v>
      </c>
    </row>
    <row r="103" spans="1:29">
      <c r="A103" s="29" t="str">
        <f>UPPER(A102)</f>
        <v>6JM7</v>
      </c>
      <c r="B103" s="29">
        <f>B102</f>
        <v>4.9999999999999998E-7</v>
      </c>
      <c r="C103" s="30">
        <f>C102</f>
        <v>2</v>
      </c>
      <c r="D103" s="30" t="str">
        <f>D102</f>
        <v>SELL</v>
      </c>
      <c r="E103" s="29">
        <f>E102</f>
        <v>0</v>
      </c>
      <c r="F103" s="29">
        <f>F102</f>
        <v>4.9999999999999996E-5</v>
      </c>
      <c r="G103" s="29">
        <f>IF(C102=1,IF(D102="BUY",E102+(ROUND(F102*G102/B102,0)*B102),E102-(ROUND(F102*G102/B102,0)*B102)),IF(D102="BUY",E102-(ROUND(F102*G102/B102,0)*B102),E102+(ROUND(F102*G102/B102,0)*B102)))</f>
        <v>0</v>
      </c>
      <c r="H103" s="29">
        <f>IF(C102=1,IF(D102="BUY",G103-(ROUND(F102*H102/B102,0)*B102),G103+(ROUND(F102*H102/B102,0)*B102)),IF(D102="BUY",G103+(ROUND(F102*H102/B102,0)*B102),G103-(ROUND(F102*H102/B102,0)*B102)))</f>
        <v>0</v>
      </c>
      <c r="I103" s="29">
        <f>IF(D102="BUY",G103+(ROUND(F102*I102/(B102*100),0)*B102),G103-(ROUND(F102*I102/(B102*100),0)*B102))</f>
        <v>0</v>
      </c>
      <c r="J103" s="29">
        <f>IF(C102=1,IF(D102="BUY",E102+(ROUND(F102*J102/B102,0)*B102),E102-(ROUND(F102*J102/B102,0)*B102)),IF(D102="BUY",E102-(ROUND(F102*J102/B102,0)*B102),E102+(ROUND(F102*J102/B102,0)*B102)))</f>
        <v>4.9999999999999996E-5</v>
      </c>
      <c r="K103" s="29">
        <f>IF(C102=1,IF(D102="BUY",E102-(ROUND(F102*K102/B102,0)*B102),E102+(ROUND(F102*K102/B102,0)*B102)),IF(D102="BUY",E102-(ROUND(F102*K102/B102,0)*B102),E102+(ROUND(F102*K102/B102,0)*B102)))</f>
        <v>4.9999999999999996E-5</v>
      </c>
      <c r="L103" s="29">
        <f t="shared" ref="L103" si="149">IF(D103="BUY",I103+(R103*B103),I103-(R103*B103))</f>
        <v>-4.9999999999999996E-6</v>
      </c>
      <c r="M103" s="29">
        <f>IF(D102="BUY",E102+(ROUND(F102*M102/B102,0)*B102),E102-(ROUND(F102*M102/B102,0)*B102))</f>
        <v>-4.9999999999999996E-5</v>
      </c>
      <c r="N103" s="29">
        <f>IF(D102="BUY",E102-(ROUND(F102*N102/B102,0)*B102),E102+(ROUND(F102*N102/B102,0)*B102))</f>
        <v>4.9999999999999996E-5</v>
      </c>
      <c r="O103" s="31">
        <f>IF(D103="BUY",N103-VLOOKUP(A103,Symbols!A$1:D$1000,4,FALSE),N103+VLOOKUP(A103,Symbols!A$1:D$1000,4,FALSE))</f>
        <v>6.4999999999999994E-5</v>
      </c>
      <c r="P103" s="29">
        <f>P102</f>
        <v>1</v>
      </c>
      <c r="Q103" s="29">
        <f>Q102</f>
        <v>100</v>
      </c>
      <c r="R103" s="29">
        <f>R102</f>
        <v>10</v>
      </c>
      <c r="S103" s="29">
        <f>S102</f>
        <v>2</v>
      </c>
      <c r="T103" s="29">
        <f>T102</f>
        <v>1</v>
      </c>
      <c r="U103" s="29">
        <f>DATEDIF(DATE(1970,1,1),U102,"D")*86400</f>
        <v>1483660800</v>
      </c>
      <c r="V103" s="29">
        <f>HOUR(V102)*3600+MINUTE(V102)*60+SECOND(V102)</f>
        <v>26100</v>
      </c>
      <c r="W103" s="29">
        <f>DATEDIF(DATE(1970,1,1),W102,"D")*86400</f>
        <v>1502928000</v>
      </c>
      <c r="X103" s="29">
        <f>HOUR(X102)*3600+MINUTE(X102)*60+SECOND(X102)</f>
        <v>56400</v>
      </c>
      <c r="Y103" s="31">
        <f>(Y102*B103)</f>
        <v>1.4E-5</v>
      </c>
      <c r="Z103" s="29">
        <f>Z102</f>
        <v>1</v>
      </c>
      <c r="AA103" s="29">
        <f>DATEDIF(DATE(1970,1,1),AA102,"D")*86400</f>
        <v>1502928000</v>
      </c>
      <c r="AB103" s="29">
        <f>HOUR(AB102)*3600+MINUTE(AB102)*60+SECOND(AB102)</f>
        <v>56460</v>
      </c>
      <c r="AC103" s="29">
        <f>AC102</f>
        <v>1</v>
      </c>
    </row>
    <row r="104" spans="1:29">
      <c r="A104" s="23" t="str">
        <f>Parameters!A53</f>
        <v>6JM7</v>
      </c>
      <c r="B104" s="23">
        <f>Parameters!B53</f>
        <v>4.9999999999999998E-7</v>
      </c>
      <c r="C104" s="24">
        <f>Parameters!C53</f>
        <v>2</v>
      </c>
      <c r="D104" s="24" t="str">
        <f>Parameters!D53</f>
        <v>SELL</v>
      </c>
      <c r="E104" s="23">
        <f>Parameters!E53</f>
        <v>0</v>
      </c>
      <c r="F104" s="23">
        <f>Parameters!F53</f>
        <v>4.9999999999999996E-5</v>
      </c>
      <c r="G104" s="25">
        <f>Parameters!G53</f>
        <v>0.01</v>
      </c>
      <c r="H104" s="25">
        <f>Parameters!H53</f>
        <v>0</v>
      </c>
      <c r="I104" s="25">
        <f>Parameters!I53</f>
        <v>0</v>
      </c>
      <c r="J104" s="25">
        <f>Parameters!J53</f>
        <v>1</v>
      </c>
      <c r="K104" s="25">
        <f>Parameters!K53</f>
        <v>1</v>
      </c>
      <c r="L104" s="26">
        <f t="shared" ref="L104" si="150">L105</f>
        <v>-4.4999999999999993E-6</v>
      </c>
      <c r="M104" s="25">
        <f>Parameters!L53</f>
        <v>1</v>
      </c>
      <c r="N104" s="25">
        <f>Parameters!M53</f>
        <v>1</v>
      </c>
      <c r="O104" s="26">
        <f t="shared" ref="O104" si="151">O105</f>
        <v>6.4999999999999994E-5</v>
      </c>
      <c r="P104" s="23">
        <f>Parameters!N53</f>
        <v>1</v>
      </c>
      <c r="Q104" s="23">
        <f>Parameters!O53</f>
        <v>100</v>
      </c>
      <c r="R104" s="23">
        <f>Parameters!P53</f>
        <v>10</v>
      </c>
      <c r="S104" s="23">
        <f>Parameters!Q53</f>
        <v>2</v>
      </c>
      <c r="T104" s="23">
        <f>Parameters!R53</f>
        <v>1</v>
      </c>
      <c r="U104" s="27">
        <f>Parameters!S53</f>
        <v>42741</v>
      </c>
      <c r="V104" s="28">
        <f>Parameters!T53</f>
        <v>0.30208333333333331</v>
      </c>
      <c r="W104" s="27">
        <f>Parameters!U53</f>
        <v>42964</v>
      </c>
      <c r="X104" s="28">
        <f>Parameters!V53</f>
        <v>0.65277777777777779</v>
      </c>
      <c r="Y104" s="25">
        <f>Parameters!W53</f>
        <v>28</v>
      </c>
      <c r="Z104" s="23">
        <f>Parameters!X53</f>
        <v>1</v>
      </c>
      <c r="AA104" s="27">
        <f>Parameters!Y53</f>
        <v>42964</v>
      </c>
      <c r="AB104" s="28">
        <f>Parameters!Z53</f>
        <v>0.65347222222222223</v>
      </c>
      <c r="AC104" s="23">
        <f>Parameters!AA53</f>
        <v>1</v>
      </c>
    </row>
    <row r="105" spans="1:29">
      <c r="A105" s="29" t="str">
        <f>UPPER(A104)</f>
        <v>6JM7</v>
      </c>
      <c r="B105" s="29">
        <f>B104</f>
        <v>4.9999999999999998E-7</v>
      </c>
      <c r="C105" s="30">
        <f>C104</f>
        <v>2</v>
      </c>
      <c r="D105" s="30" t="str">
        <f>D104</f>
        <v>SELL</v>
      </c>
      <c r="E105" s="29">
        <f>E104</f>
        <v>0</v>
      </c>
      <c r="F105" s="29">
        <f>F104</f>
        <v>4.9999999999999996E-5</v>
      </c>
      <c r="G105" s="29">
        <f>IF(C104=1,IF(D104="BUY",E104+(ROUND(F104*G104/B104,0)*B104),E104-(ROUND(F104*G104/B104,0)*B104)),IF(D104="BUY",E104-(ROUND(F104*G104/B104,0)*B104),E104+(ROUND(F104*G104/B104,0)*B104)))</f>
        <v>4.9999999999999998E-7</v>
      </c>
      <c r="H105" s="29">
        <f>IF(C104=1,IF(D104="BUY",G105-(ROUND(F104*H104/B104,0)*B104),G105+(ROUND(F104*H104/B104,0)*B104)),IF(D104="BUY",G105+(ROUND(F104*H104/B104,0)*B104),G105-(ROUND(F104*H104/B104,0)*B104)))</f>
        <v>4.9999999999999998E-7</v>
      </c>
      <c r="I105" s="29">
        <f>IF(D104="BUY",G105+(ROUND(F104*I104/(B104*100),0)*B104),G105-(ROUND(F104*I104/(B104*100),0)*B104))</f>
        <v>4.9999999999999998E-7</v>
      </c>
      <c r="J105" s="29">
        <f>IF(C104=1,IF(D104="BUY",E104+(ROUND(F104*J104/B104,0)*B104),E104-(ROUND(F104*J104/B104,0)*B104)),IF(D104="BUY",E104-(ROUND(F104*J104/B104,0)*B104),E104+(ROUND(F104*J104/B104,0)*B104)))</f>
        <v>4.9999999999999996E-5</v>
      </c>
      <c r="K105" s="29">
        <f>IF(C104=1,IF(D104="BUY",E104-(ROUND(F104*K104/B104,0)*B104),E104+(ROUND(F104*K104/B104,0)*B104)),IF(D104="BUY",E104-(ROUND(F104*K104/B104,0)*B104),E104+(ROUND(F104*K104/B104,0)*B104)))</f>
        <v>4.9999999999999996E-5</v>
      </c>
      <c r="L105" s="29">
        <f t="shared" ref="L105" si="152">IF(D105="BUY",I105+(R105*B105),I105-(R105*B105))</f>
        <v>-4.4999999999999993E-6</v>
      </c>
      <c r="M105" s="29">
        <f>IF(D104="BUY",E104+(ROUND(F104*M104/B104,0)*B104),E104-(ROUND(F104*M104/B104,0)*B104))</f>
        <v>-4.9999999999999996E-5</v>
      </c>
      <c r="N105" s="29">
        <f>IF(D104="BUY",E104-(ROUND(F104*N104/B104,0)*B104),E104+(ROUND(F104*N104/B104,0)*B104))</f>
        <v>4.9999999999999996E-5</v>
      </c>
      <c r="O105" s="31">
        <f>IF(D105="BUY",N105-VLOOKUP(A105,Symbols!A$1:D$1000,4,FALSE),N105+VLOOKUP(A105,Symbols!A$1:D$1000,4,FALSE))</f>
        <v>6.4999999999999994E-5</v>
      </c>
      <c r="P105" s="29">
        <f>P104</f>
        <v>1</v>
      </c>
      <c r="Q105" s="29">
        <f>Q104</f>
        <v>100</v>
      </c>
      <c r="R105" s="29">
        <f>R104</f>
        <v>10</v>
      </c>
      <c r="S105" s="29">
        <f>S104</f>
        <v>2</v>
      </c>
      <c r="T105" s="29">
        <f>T104</f>
        <v>1</v>
      </c>
      <c r="U105" s="29">
        <f>DATEDIF(DATE(1970,1,1),U104,"D")*86400</f>
        <v>1483660800</v>
      </c>
      <c r="V105" s="29">
        <f>HOUR(V104)*3600+MINUTE(V104)*60+SECOND(V104)</f>
        <v>26100</v>
      </c>
      <c r="W105" s="29">
        <f>DATEDIF(DATE(1970,1,1),W104,"D")*86400</f>
        <v>1502928000</v>
      </c>
      <c r="X105" s="29">
        <f>HOUR(X104)*3600+MINUTE(X104)*60+SECOND(X104)</f>
        <v>56400</v>
      </c>
      <c r="Y105" s="31">
        <f>(Y104*B105)</f>
        <v>1.4E-5</v>
      </c>
      <c r="Z105" s="29">
        <f>Z104</f>
        <v>1</v>
      </c>
      <c r="AA105" s="29">
        <f>DATEDIF(DATE(1970,1,1),AA104,"D")*86400</f>
        <v>1502928000</v>
      </c>
      <c r="AB105" s="29">
        <f>HOUR(AB104)*3600+MINUTE(AB104)*60+SECOND(AB104)</f>
        <v>56460</v>
      </c>
      <c r="AC105" s="29">
        <f>AC104</f>
        <v>1</v>
      </c>
    </row>
    <row r="106" spans="1:29">
      <c r="A106" s="23" t="str">
        <f>Parameters!A54</f>
        <v>6JM7</v>
      </c>
      <c r="B106" s="23">
        <f>Parameters!B54</f>
        <v>4.9999999999999998E-7</v>
      </c>
      <c r="C106" s="24">
        <f>Parameters!C54</f>
        <v>2</v>
      </c>
      <c r="D106" s="24" t="str">
        <f>Parameters!D54</f>
        <v>SELL</v>
      </c>
      <c r="E106" s="23">
        <f>Parameters!E54</f>
        <v>0</v>
      </c>
      <c r="F106" s="23">
        <f>Parameters!F54</f>
        <v>4.9999999999999996E-5</v>
      </c>
      <c r="G106" s="25">
        <f>Parameters!G54</f>
        <v>0.02</v>
      </c>
      <c r="H106" s="25">
        <f>Parameters!H54</f>
        <v>0</v>
      </c>
      <c r="I106" s="25">
        <f>Parameters!I54</f>
        <v>0</v>
      </c>
      <c r="J106" s="25">
        <f>Parameters!J54</f>
        <v>1</v>
      </c>
      <c r="K106" s="25">
        <f>Parameters!K54</f>
        <v>1</v>
      </c>
      <c r="L106" s="26">
        <f t="shared" ref="L106" si="153">L107</f>
        <v>-3.9999999999999998E-6</v>
      </c>
      <c r="M106" s="25">
        <f>Parameters!L54</f>
        <v>1</v>
      </c>
      <c r="N106" s="25">
        <f>Parameters!M54</f>
        <v>1</v>
      </c>
      <c r="O106" s="26">
        <f t="shared" ref="O106" si="154">O107</f>
        <v>6.4999999999999994E-5</v>
      </c>
      <c r="P106" s="23">
        <f>Parameters!N54</f>
        <v>1</v>
      </c>
      <c r="Q106" s="23">
        <f>Parameters!O54</f>
        <v>100</v>
      </c>
      <c r="R106" s="23">
        <f>Parameters!P54</f>
        <v>10</v>
      </c>
      <c r="S106" s="23">
        <f>Parameters!Q54</f>
        <v>2</v>
      </c>
      <c r="T106" s="23">
        <f>Parameters!R54</f>
        <v>1</v>
      </c>
      <c r="U106" s="27">
        <f>Parameters!S54</f>
        <v>42741</v>
      </c>
      <c r="V106" s="28">
        <f>Parameters!T54</f>
        <v>0.30208333333333331</v>
      </c>
      <c r="W106" s="27">
        <f>Parameters!U54</f>
        <v>42964</v>
      </c>
      <c r="X106" s="28">
        <f>Parameters!V54</f>
        <v>0.65277777777777779</v>
      </c>
      <c r="Y106" s="25">
        <f>Parameters!W54</f>
        <v>28</v>
      </c>
      <c r="Z106" s="23">
        <f>Parameters!X54</f>
        <v>1</v>
      </c>
      <c r="AA106" s="27">
        <f>Parameters!Y54</f>
        <v>42964</v>
      </c>
      <c r="AB106" s="28">
        <f>Parameters!Z54</f>
        <v>0.65347222222222223</v>
      </c>
      <c r="AC106" s="23">
        <f>Parameters!AA54</f>
        <v>1</v>
      </c>
    </row>
    <row r="107" spans="1:29">
      <c r="A107" s="29" t="str">
        <f>UPPER(A106)</f>
        <v>6JM7</v>
      </c>
      <c r="B107" s="29">
        <f>B106</f>
        <v>4.9999999999999998E-7</v>
      </c>
      <c r="C107" s="30">
        <f>C106</f>
        <v>2</v>
      </c>
      <c r="D107" s="30" t="str">
        <f>D106</f>
        <v>SELL</v>
      </c>
      <c r="E107" s="29">
        <f>E106</f>
        <v>0</v>
      </c>
      <c r="F107" s="29">
        <f>F106</f>
        <v>4.9999999999999996E-5</v>
      </c>
      <c r="G107" s="29">
        <f>IF(C106=1,IF(D106="BUY",E106+(ROUND(F106*G106/B106,0)*B106),E106-(ROUND(F106*G106/B106,0)*B106)),IF(D106="BUY",E106-(ROUND(F106*G106/B106,0)*B106),E106+(ROUND(F106*G106/B106,0)*B106)))</f>
        <v>9.9999999999999995E-7</v>
      </c>
      <c r="H107" s="29">
        <f>IF(C106=1,IF(D106="BUY",G107-(ROUND(F106*H106/B106,0)*B106),G107+(ROUND(F106*H106/B106,0)*B106)),IF(D106="BUY",G107+(ROUND(F106*H106/B106,0)*B106),G107-(ROUND(F106*H106/B106,0)*B106)))</f>
        <v>9.9999999999999995E-7</v>
      </c>
      <c r="I107" s="29">
        <f>IF(D106="BUY",G107+(ROUND(F106*I106/(B106*100),0)*B106),G107-(ROUND(F106*I106/(B106*100),0)*B106))</f>
        <v>9.9999999999999995E-7</v>
      </c>
      <c r="J107" s="29">
        <f>IF(C106=1,IF(D106="BUY",E106+(ROUND(F106*J106/B106,0)*B106),E106-(ROUND(F106*J106/B106,0)*B106)),IF(D106="BUY",E106-(ROUND(F106*J106/B106,0)*B106),E106+(ROUND(F106*J106/B106,0)*B106)))</f>
        <v>4.9999999999999996E-5</v>
      </c>
      <c r="K107" s="29">
        <f>IF(C106=1,IF(D106="BUY",E106-(ROUND(F106*K106/B106,0)*B106),E106+(ROUND(F106*K106/B106,0)*B106)),IF(D106="BUY",E106-(ROUND(F106*K106/B106,0)*B106),E106+(ROUND(F106*K106/B106,0)*B106)))</f>
        <v>4.9999999999999996E-5</v>
      </c>
      <c r="L107" s="29">
        <f t="shared" ref="L107" si="155">IF(D107="BUY",I107+(R107*B107),I107-(R107*B107))</f>
        <v>-3.9999999999999998E-6</v>
      </c>
      <c r="M107" s="29">
        <f>IF(D106="BUY",E106+(ROUND(F106*M106/B106,0)*B106),E106-(ROUND(F106*M106/B106,0)*B106))</f>
        <v>-4.9999999999999996E-5</v>
      </c>
      <c r="N107" s="29">
        <f>IF(D106="BUY",E106-(ROUND(F106*N106/B106,0)*B106),E106+(ROUND(F106*N106/B106,0)*B106))</f>
        <v>4.9999999999999996E-5</v>
      </c>
      <c r="O107" s="31">
        <f>IF(D107="BUY",N107-VLOOKUP(A107,Symbols!A$1:D$1000,4,FALSE),N107+VLOOKUP(A107,Symbols!A$1:D$1000,4,FALSE))</f>
        <v>6.4999999999999994E-5</v>
      </c>
      <c r="P107" s="29">
        <f>P106</f>
        <v>1</v>
      </c>
      <c r="Q107" s="29">
        <f>Q106</f>
        <v>100</v>
      </c>
      <c r="R107" s="29">
        <f>R106</f>
        <v>10</v>
      </c>
      <c r="S107" s="29">
        <f>S106</f>
        <v>2</v>
      </c>
      <c r="T107" s="29">
        <f>T106</f>
        <v>1</v>
      </c>
      <c r="U107" s="29">
        <f>DATEDIF(DATE(1970,1,1),U106,"D")*86400</f>
        <v>1483660800</v>
      </c>
      <c r="V107" s="29">
        <f>HOUR(V106)*3600+MINUTE(V106)*60+SECOND(V106)</f>
        <v>26100</v>
      </c>
      <c r="W107" s="29">
        <f>DATEDIF(DATE(1970,1,1),W106,"D")*86400</f>
        <v>1502928000</v>
      </c>
      <c r="X107" s="29">
        <f>HOUR(X106)*3600+MINUTE(X106)*60+SECOND(X106)</f>
        <v>56400</v>
      </c>
      <c r="Y107" s="31">
        <f>(Y106*B107)</f>
        <v>1.4E-5</v>
      </c>
      <c r="Z107" s="29">
        <f>Z106</f>
        <v>1</v>
      </c>
      <c r="AA107" s="29">
        <f>DATEDIF(DATE(1970,1,1),AA106,"D")*86400</f>
        <v>1502928000</v>
      </c>
      <c r="AB107" s="29">
        <f>HOUR(AB106)*3600+MINUTE(AB106)*60+SECOND(AB106)</f>
        <v>56460</v>
      </c>
      <c r="AC107" s="29">
        <f>AC106</f>
        <v>1</v>
      </c>
    </row>
    <row r="108" spans="1:29">
      <c r="A108" s="23" t="str">
        <f>Parameters!A55</f>
        <v>6JM7</v>
      </c>
      <c r="B108" s="23">
        <f>Parameters!B55</f>
        <v>4.9999999999999998E-7</v>
      </c>
      <c r="C108" s="24">
        <f>Parameters!C55</f>
        <v>2</v>
      </c>
      <c r="D108" s="24" t="str">
        <f>Parameters!D55</f>
        <v>SELL</v>
      </c>
      <c r="E108" s="23">
        <f>Parameters!E55</f>
        <v>0</v>
      </c>
      <c r="F108" s="23">
        <f>Parameters!F55</f>
        <v>4.9999999999999996E-5</v>
      </c>
      <c r="G108" s="25">
        <f>Parameters!G55</f>
        <v>0.03</v>
      </c>
      <c r="H108" s="25">
        <f>Parameters!H55</f>
        <v>0</v>
      </c>
      <c r="I108" s="25">
        <f>Parameters!I55</f>
        <v>0</v>
      </c>
      <c r="J108" s="25">
        <f>Parameters!J55</f>
        <v>1</v>
      </c>
      <c r="K108" s="25">
        <f>Parameters!K55</f>
        <v>1</v>
      </c>
      <c r="L108" s="26">
        <f t="shared" ref="L108" si="156">L109</f>
        <v>-3.4999999999999995E-6</v>
      </c>
      <c r="M108" s="25">
        <f>Parameters!L55</f>
        <v>1</v>
      </c>
      <c r="N108" s="25">
        <f>Parameters!M55</f>
        <v>1</v>
      </c>
      <c r="O108" s="26">
        <f t="shared" ref="O108" si="157">O109</f>
        <v>6.4999999999999994E-5</v>
      </c>
      <c r="P108" s="23">
        <f>Parameters!N55</f>
        <v>1</v>
      </c>
      <c r="Q108" s="23">
        <f>Parameters!O55</f>
        <v>100</v>
      </c>
      <c r="R108" s="23">
        <f>Parameters!P55</f>
        <v>10</v>
      </c>
      <c r="S108" s="23">
        <f>Parameters!Q55</f>
        <v>2</v>
      </c>
      <c r="T108" s="23">
        <f>Parameters!R55</f>
        <v>1</v>
      </c>
      <c r="U108" s="27">
        <f>Parameters!S55</f>
        <v>42741</v>
      </c>
      <c r="V108" s="28">
        <f>Parameters!T55</f>
        <v>0.30208333333333331</v>
      </c>
      <c r="W108" s="27">
        <f>Parameters!U55</f>
        <v>42964</v>
      </c>
      <c r="X108" s="28">
        <f>Parameters!V55</f>
        <v>0.65277777777777779</v>
      </c>
      <c r="Y108" s="25">
        <f>Parameters!W55</f>
        <v>28</v>
      </c>
      <c r="Z108" s="23">
        <f>Parameters!X55</f>
        <v>1</v>
      </c>
      <c r="AA108" s="27">
        <f>Parameters!Y55</f>
        <v>42964</v>
      </c>
      <c r="AB108" s="28">
        <f>Parameters!Z55</f>
        <v>0.65347222222222223</v>
      </c>
      <c r="AC108" s="23">
        <f>Parameters!AA55</f>
        <v>1</v>
      </c>
    </row>
    <row r="109" spans="1:29">
      <c r="A109" s="29" t="str">
        <f>UPPER(A108)</f>
        <v>6JM7</v>
      </c>
      <c r="B109" s="29">
        <f>B108</f>
        <v>4.9999999999999998E-7</v>
      </c>
      <c r="C109" s="30">
        <f>C108</f>
        <v>2</v>
      </c>
      <c r="D109" s="30" t="str">
        <f>D108</f>
        <v>SELL</v>
      </c>
      <c r="E109" s="29">
        <f>E108</f>
        <v>0</v>
      </c>
      <c r="F109" s="29">
        <f>F108</f>
        <v>4.9999999999999996E-5</v>
      </c>
      <c r="G109" s="29">
        <f>IF(C108=1,IF(D108="BUY",E108+(ROUND(F108*G108/B108,0)*B108),E108-(ROUND(F108*G108/B108,0)*B108)),IF(D108="BUY",E108-(ROUND(F108*G108/B108,0)*B108),E108+(ROUND(F108*G108/B108,0)*B108)))</f>
        <v>1.5E-6</v>
      </c>
      <c r="H109" s="29">
        <f>IF(C108=1,IF(D108="BUY",G109-(ROUND(F108*H108/B108,0)*B108),G109+(ROUND(F108*H108/B108,0)*B108)),IF(D108="BUY",G109+(ROUND(F108*H108/B108,0)*B108),G109-(ROUND(F108*H108/B108,0)*B108)))</f>
        <v>1.5E-6</v>
      </c>
      <c r="I109" s="29">
        <f>IF(D108="BUY",G109+(ROUND(F108*I108/(B108*100),0)*B108),G109-(ROUND(F108*I108/(B108*100),0)*B108))</f>
        <v>1.5E-6</v>
      </c>
      <c r="J109" s="29">
        <f>IF(C108=1,IF(D108="BUY",E108+(ROUND(F108*J108/B108,0)*B108),E108-(ROUND(F108*J108/B108,0)*B108)),IF(D108="BUY",E108-(ROUND(F108*J108/B108,0)*B108),E108+(ROUND(F108*J108/B108,0)*B108)))</f>
        <v>4.9999999999999996E-5</v>
      </c>
      <c r="K109" s="29">
        <f>IF(C108=1,IF(D108="BUY",E108-(ROUND(F108*K108/B108,0)*B108),E108+(ROUND(F108*K108/B108,0)*B108)),IF(D108="BUY",E108-(ROUND(F108*K108/B108,0)*B108),E108+(ROUND(F108*K108/B108,0)*B108)))</f>
        <v>4.9999999999999996E-5</v>
      </c>
      <c r="L109" s="29">
        <f t="shared" ref="L109" si="158">IF(D109="BUY",I109+(R109*B109),I109-(R109*B109))</f>
        <v>-3.4999999999999995E-6</v>
      </c>
      <c r="M109" s="29">
        <f>IF(D108="BUY",E108+(ROUND(F108*M108/B108,0)*B108),E108-(ROUND(F108*M108/B108,0)*B108))</f>
        <v>-4.9999999999999996E-5</v>
      </c>
      <c r="N109" s="29">
        <f>IF(D108="BUY",E108-(ROUND(F108*N108/B108,0)*B108),E108+(ROUND(F108*N108/B108,0)*B108))</f>
        <v>4.9999999999999996E-5</v>
      </c>
      <c r="O109" s="31">
        <f>IF(D109="BUY",N109-VLOOKUP(A109,Symbols!A$1:D$1000,4,FALSE),N109+VLOOKUP(A109,Symbols!A$1:D$1000,4,FALSE))</f>
        <v>6.4999999999999994E-5</v>
      </c>
      <c r="P109" s="29">
        <f>P108</f>
        <v>1</v>
      </c>
      <c r="Q109" s="29">
        <f>Q108</f>
        <v>100</v>
      </c>
      <c r="R109" s="29">
        <f>R108</f>
        <v>10</v>
      </c>
      <c r="S109" s="29">
        <f>S108</f>
        <v>2</v>
      </c>
      <c r="T109" s="29">
        <f>T108</f>
        <v>1</v>
      </c>
      <c r="U109" s="29">
        <f>DATEDIF(DATE(1970,1,1),U108,"D")*86400</f>
        <v>1483660800</v>
      </c>
      <c r="V109" s="29">
        <f>HOUR(V108)*3600+MINUTE(V108)*60+SECOND(V108)</f>
        <v>26100</v>
      </c>
      <c r="W109" s="29">
        <f>DATEDIF(DATE(1970,1,1),W108,"D")*86400</f>
        <v>1502928000</v>
      </c>
      <c r="X109" s="29">
        <f>HOUR(X108)*3600+MINUTE(X108)*60+SECOND(X108)</f>
        <v>56400</v>
      </c>
      <c r="Y109" s="31">
        <f>(Y108*B109)</f>
        <v>1.4E-5</v>
      </c>
      <c r="Z109" s="29">
        <f>Z108</f>
        <v>1</v>
      </c>
      <c r="AA109" s="29">
        <f>DATEDIF(DATE(1970,1,1),AA108,"D")*86400</f>
        <v>1502928000</v>
      </c>
      <c r="AB109" s="29">
        <f>HOUR(AB108)*3600+MINUTE(AB108)*60+SECOND(AB108)</f>
        <v>56460</v>
      </c>
      <c r="AC109" s="29">
        <f>AC108</f>
        <v>1</v>
      </c>
    </row>
    <row r="110" spans="1:29">
      <c r="A110" s="23" t="str">
        <f>Parameters!A56</f>
        <v>6JM7</v>
      </c>
      <c r="B110" s="23">
        <f>Parameters!B56</f>
        <v>4.9999999999999998E-7</v>
      </c>
      <c r="C110" s="24">
        <f>Parameters!C56</f>
        <v>2</v>
      </c>
      <c r="D110" s="24" t="str">
        <f>Parameters!D56</f>
        <v>SELL</v>
      </c>
      <c r="E110" s="23">
        <f>Parameters!E56</f>
        <v>0</v>
      </c>
      <c r="F110" s="23">
        <f>Parameters!F56</f>
        <v>4.9999999999999996E-5</v>
      </c>
      <c r="G110" s="25">
        <f>Parameters!G56</f>
        <v>0.04</v>
      </c>
      <c r="H110" s="25">
        <f>Parameters!H56</f>
        <v>0</v>
      </c>
      <c r="I110" s="25">
        <f>Parameters!I56</f>
        <v>0</v>
      </c>
      <c r="J110" s="25">
        <f>Parameters!J56</f>
        <v>1</v>
      </c>
      <c r="K110" s="25">
        <f>Parameters!K56</f>
        <v>1</v>
      </c>
      <c r="L110" s="26">
        <f t="shared" ref="L110" si="159">L111</f>
        <v>-2.9999999999999997E-6</v>
      </c>
      <c r="M110" s="25">
        <f>Parameters!L56</f>
        <v>1</v>
      </c>
      <c r="N110" s="25">
        <f>Parameters!M56</f>
        <v>1</v>
      </c>
      <c r="O110" s="26">
        <f t="shared" ref="O110" si="160">O111</f>
        <v>6.4999999999999994E-5</v>
      </c>
      <c r="P110" s="23">
        <f>Parameters!N56</f>
        <v>1</v>
      </c>
      <c r="Q110" s="23">
        <f>Parameters!O56</f>
        <v>100</v>
      </c>
      <c r="R110" s="23">
        <f>Parameters!P56</f>
        <v>10</v>
      </c>
      <c r="S110" s="23">
        <f>Parameters!Q56</f>
        <v>2</v>
      </c>
      <c r="T110" s="23">
        <f>Parameters!R56</f>
        <v>1</v>
      </c>
      <c r="U110" s="27">
        <f>Parameters!S56</f>
        <v>42741</v>
      </c>
      <c r="V110" s="28">
        <f>Parameters!T56</f>
        <v>0.30208333333333331</v>
      </c>
      <c r="W110" s="27">
        <f>Parameters!U56</f>
        <v>42964</v>
      </c>
      <c r="X110" s="28">
        <f>Parameters!V56</f>
        <v>0.65277777777777779</v>
      </c>
      <c r="Y110" s="25">
        <f>Parameters!W56</f>
        <v>28</v>
      </c>
      <c r="Z110" s="23">
        <f>Parameters!X56</f>
        <v>1</v>
      </c>
      <c r="AA110" s="27">
        <f>Parameters!Y56</f>
        <v>42964</v>
      </c>
      <c r="AB110" s="28">
        <f>Parameters!Z56</f>
        <v>0.65347222222222223</v>
      </c>
      <c r="AC110" s="23">
        <f>Parameters!AA56</f>
        <v>1</v>
      </c>
    </row>
    <row r="111" spans="1:29">
      <c r="A111" s="29" t="str">
        <f>UPPER(A110)</f>
        <v>6JM7</v>
      </c>
      <c r="B111" s="29">
        <f>B110</f>
        <v>4.9999999999999998E-7</v>
      </c>
      <c r="C111" s="30">
        <f>C110</f>
        <v>2</v>
      </c>
      <c r="D111" s="30" t="str">
        <f>D110</f>
        <v>SELL</v>
      </c>
      <c r="E111" s="29">
        <f>E110</f>
        <v>0</v>
      </c>
      <c r="F111" s="29">
        <f>F110</f>
        <v>4.9999999999999996E-5</v>
      </c>
      <c r="G111" s="29">
        <f>IF(C110=1,IF(D110="BUY",E110+(ROUND(F110*G110/B110,0)*B110),E110-(ROUND(F110*G110/B110,0)*B110)),IF(D110="BUY",E110-(ROUND(F110*G110/B110,0)*B110),E110+(ROUND(F110*G110/B110,0)*B110)))</f>
        <v>1.9999999999999999E-6</v>
      </c>
      <c r="H111" s="29">
        <f>IF(C110=1,IF(D110="BUY",G111-(ROUND(F110*H110/B110,0)*B110),G111+(ROUND(F110*H110/B110,0)*B110)),IF(D110="BUY",G111+(ROUND(F110*H110/B110,0)*B110),G111-(ROUND(F110*H110/B110,0)*B110)))</f>
        <v>1.9999999999999999E-6</v>
      </c>
      <c r="I111" s="29">
        <f>IF(D110="BUY",G111+(ROUND(F110*I110/(B110*100),0)*B110),G111-(ROUND(F110*I110/(B110*100),0)*B110))</f>
        <v>1.9999999999999999E-6</v>
      </c>
      <c r="J111" s="29">
        <f>IF(C110=1,IF(D110="BUY",E110+(ROUND(F110*J110/B110,0)*B110),E110-(ROUND(F110*J110/B110,0)*B110)),IF(D110="BUY",E110-(ROUND(F110*J110/B110,0)*B110),E110+(ROUND(F110*J110/B110,0)*B110)))</f>
        <v>4.9999999999999996E-5</v>
      </c>
      <c r="K111" s="29">
        <f>IF(C110=1,IF(D110="BUY",E110-(ROUND(F110*K110/B110,0)*B110),E110+(ROUND(F110*K110/B110,0)*B110)),IF(D110="BUY",E110-(ROUND(F110*K110/B110,0)*B110),E110+(ROUND(F110*K110/B110,0)*B110)))</f>
        <v>4.9999999999999996E-5</v>
      </c>
      <c r="L111" s="29">
        <f t="shared" ref="L111" si="161">IF(D111="BUY",I111+(R111*B111),I111-(R111*B111))</f>
        <v>-2.9999999999999997E-6</v>
      </c>
      <c r="M111" s="29">
        <f>IF(D110="BUY",E110+(ROUND(F110*M110/B110,0)*B110),E110-(ROUND(F110*M110/B110,0)*B110))</f>
        <v>-4.9999999999999996E-5</v>
      </c>
      <c r="N111" s="29">
        <f>IF(D110="BUY",E110-(ROUND(F110*N110/B110,0)*B110),E110+(ROUND(F110*N110/B110,0)*B110))</f>
        <v>4.9999999999999996E-5</v>
      </c>
      <c r="O111" s="31">
        <f>IF(D111="BUY",N111-VLOOKUP(A111,Symbols!A$1:D$1000,4,FALSE),N111+VLOOKUP(A111,Symbols!A$1:D$1000,4,FALSE))</f>
        <v>6.4999999999999994E-5</v>
      </c>
      <c r="P111" s="29">
        <f>P110</f>
        <v>1</v>
      </c>
      <c r="Q111" s="29">
        <f>Q110</f>
        <v>100</v>
      </c>
      <c r="R111" s="29">
        <f>R110</f>
        <v>10</v>
      </c>
      <c r="S111" s="29">
        <f>S110</f>
        <v>2</v>
      </c>
      <c r="T111" s="29">
        <f>T110</f>
        <v>1</v>
      </c>
      <c r="U111" s="29">
        <f>DATEDIF(DATE(1970,1,1),U110,"D")*86400</f>
        <v>1483660800</v>
      </c>
      <c r="V111" s="29">
        <f>HOUR(V110)*3600+MINUTE(V110)*60+SECOND(V110)</f>
        <v>26100</v>
      </c>
      <c r="W111" s="29">
        <f>DATEDIF(DATE(1970,1,1),W110,"D")*86400</f>
        <v>1502928000</v>
      </c>
      <c r="X111" s="29">
        <f>HOUR(X110)*3600+MINUTE(X110)*60+SECOND(X110)</f>
        <v>56400</v>
      </c>
      <c r="Y111" s="31">
        <f>(Y110*B111)</f>
        <v>1.4E-5</v>
      </c>
      <c r="Z111" s="29">
        <f>Z110</f>
        <v>1</v>
      </c>
      <c r="AA111" s="29">
        <f>DATEDIF(DATE(1970,1,1),AA110,"D")*86400</f>
        <v>1502928000</v>
      </c>
      <c r="AB111" s="29">
        <f>HOUR(AB110)*3600+MINUTE(AB110)*60+SECOND(AB110)</f>
        <v>56460</v>
      </c>
      <c r="AC111" s="29">
        <f>AC110</f>
        <v>1</v>
      </c>
    </row>
    <row r="112" spans="1:29">
      <c r="A112" s="23" t="str">
        <f>Parameters!A57</f>
        <v>6JM7</v>
      </c>
      <c r="B112" s="23">
        <f>Parameters!B57</f>
        <v>4.9999999999999998E-7</v>
      </c>
      <c r="C112" s="24">
        <f>Parameters!C57</f>
        <v>2</v>
      </c>
      <c r="D112" s="24" t="str">
        <f>Parameters!D57</f>
        <v>SELL</v>
      </c>
      <c r="E112" s="23">
        <f>Parameters!E57</f>
        <v>0</v>
      </c>
      <c r="F112" s="23">
        <f>Parameters!F57</f>
        <v>4.9999999999999996E-5</v>
      </c>
      <c r="G112" s="25">
        <f>Parameters!G57</f>
        <v>0.05</v>
      </c>
      <c r="H112" s="25">
        <f>Parameters!H57</f>
        <v>0</v>
      </c>
      <c r="I112" s="25">
        <f>Parameters!I57</f>
        <v>0</v>
      </c>
      <c r="J112" s="25">
        <f>Parameters!J57</f>
        <v>1</v>
      </c>
      <c r="K112" s="25">
        <f>Parameters!K57</f>
        <v>1</v>
      </c>
      <c r="L112" s="26">
        <f t="shared" ref="L112" si="162">L113</f>
        <v>-2.4999999999999998E-6</v>
      </c>
      <c r="M112" s="25">
        <f>Parameters!L57</f>
        <v>1</v>
      </c>
      <c r="N112" s="25">
        <f>Parameters!M57</f>
        <v>1</v>
      </c>
      <c r="O112" s="26">
        <f t="shared" ref="O112" si="163">O113</f>
        <v>6.4999999999999994E-5</v>
      </c>
      <c r="P112" s="23">
        <f>Parameters!N57</f>
        <v>1</v>
      </c>
      <c r="Q112" s="23">
        <f>Parameters!O57</f>
        <v>100</v>
      </c>
      <c r="R112" s="23">
        <f>Parameters!P57</f>
        <v>10</v>
      </c>
      <c r="S112" s="23">
        <f>Parameters!Q57</f>
        <v>2</v>
      </c>
      <c r="T112" s="23">
        <f>Parameters!R57</f>
        <v>1</v>
      </c>
      <c r="U112" s="27">
        <f>Parameters!S57</f>
        <v>42741</v>
      </c>
      <c r="V112" s="28">
        <f>Parameters!T57</f>
        <v>0.30208333333333331</v>
      </c>
      <c r="W112" s="27">
        <f>Parameters!U57</f>
        <v>42964</v>
      </c>
      <c r="X112" s="28">
        <f>Parameters!V57</f>
        <v>0.65277777777777779</v>
      </c>
      <c r="Y112" s="25">
        <f>Parameters!W57</f>
        <v>28</v>
      </c>
      <c r="Z112" s="23">
        <f>Parameters!X57</f>
        <v>1</v>
      </c>
      <c r="AA112" s="27">
        <f>Parameters!Y57</f>
        <v>42964</v>
      </c>
      <c r="AB112" s="28">
        <f>Parameters!Z57</f>
        <v>0.65347222222222223</v>
      </c>
      <c r="AC112" s="23">
        <f>Parameters!AA57</f>
        <v>1</v>
      </c>
    </row>
    <row r="113" spans="1:29">
      <c r="A113" s="29" t="str">
        <f>UPPER(A112)</f>
        <v>6JM7</v>
      </c>
      <c r="B113" s="29">
        <f>B112</f>
        <v>4.9999999999999998E-7</v>
      </c>
      <c r="C113" s="30">
        <f>C112</f>
        <v>2</v>
      </c>
      <c r="D113" s="30" t="str">
        <f>D112</f>
        <v>SELL</v>
      </c>
      <c r="E113" s="29">
        <f>E112</f>
        <v>0</v>
      </c>
      <c r="F113" s="29">
        <f>F112</f>
        <v>4.9999999999999996E-5</v>
      </c>
      <c r="G113" s="29">
        <f>IF(C112=1,IF(D112="BUY",E112+(ROUND(F112*G112/B112,0)*B112),E112-(ROUND(F112*G112/B112,0)*B112)),IF(D112="BUY",E112-(ROUND(F112*G112/B112,0)*B112),E112+(ROUND(F112*G112/B112,0)*B112)))</f>
        <v>2.4999999999999998E-6</v>
      </c>
      <c r="H113" s="29">
        <f>IF(C112=1,IF(D112="BUY",G113-(ROUND(F112*H112/B112,0)*B112),G113+(ROUND(F112*H112/B112,0)*B112)),IF(D112="BUY",G113+(ROUND(F112*H112/B112,0)*B112),G113-(ROUND(F112*H112/B112,0)*B112)))</f>
        <v>2.4999999999999998E-6</v>
      </c>
      <c r="I113" s="29">
        <f>IF(D112="BUY",G113+(ROUND(F112*I112/(B112*100),0)*B112),G113-(ROUND(F112*I112/(B112*100),0)*B112))</f>
        <v>2.4999999999999998E-6</v>
      </c>
      <c r="J113" s="29">
        <f>IF(C112=1,IF(D112="BUY",E112+(ROUND(F112*J112/B112,0)*B112),E112-(ROUND(F112*J112/B112,0)*B112)),IF(D112="BUY",E112-(ROUND(F112*J112/B112,0)*B112),E112+(ROUND(F112*J112/B112,0)*B112)))</f>
        <v>4.9999999999999996E-5</v>
      </c>
      <c r="K113" s="29">
        <f>IF(C112=1,IF(D112="BUY",E112-(ROUND(F112*K112/B112,0)*B112),E112+(ROUND(F112*K112/B112,0)*B112)),IF(D112="BUY",E112-(ROUND(F112*K112/B112,0)*B112),E112+(ROUND(F112*K112/B112,0)*B112)))</f>
        <v>4.9999999999999996E-5</v>
      </c>
      <c r="L113" s="29">
        <f t="shared" ref="L113" si="164">IF(D113="BUY",I113+(R113*B113),I113-(R113*B113))</f>
        <v>-2.4999999999999998E-6</v>
      </c>
      <c r="M113" s="29">
        <f>IF(D112="BUY",E112+(ROUND(F112*M112/B112,0)*B112),E112-(ROUND(F112*M112/B112,0)*B112))</f>
        <v>-4.9999999999999996E-5</v>
      </c>
      <c r="N113" s="29">
        <f>IF(D112="BUY",E112-(ROUND(F112*N112/B112,0)*B112),E112+(ROUND(F112*N112/B112,0)*B112))</f>
        <v>4.9999999999999996E-5</v>
      </c>
      <c r="O113" s="31">
        <f>IF(D113="BUY",N113-VLOOKUP(A113,Symbols!A$1:D$1000,4,FALSE),N113+VLOOKUP(A113,Symbols!A$1:D$1000,4,FALSE))</f>
        <v>6.4999999999999994E-5</v>
      </c>
      <c r="P113" s="29">
        <f>P112</f>
        <v>1</v>
      </c>
      <c r="Q113" s="29">
        <f>Q112</f>
        <v>100</v>
      </c>
      <c r="R113" s="29">
        <f>R112</f>
        <v>10</v>
      </c>
      <c r="S113" s="29">
        <f>S112</f>
        <v>2</v>
      </c>
      <c r="T113" s="29">
        <f>T112</f>
        <v>1</v>
      </c>
      <c r="U113" s="29">
        <f>DATEDIF(DATE(1970,1,1),U112,"D")*86400</f>
        <v>1483660800</v>
      </c>
      <c r="V113" s="29">
        <f>HOUR(V112)*3600+MINUTE(V112)*60+SECOND(V112)</f>
        <v>26100</v>
      </c>
      <c r="W113" s="29">
        <f>DATEDIF(DATE(1970,1,1),W112,"D")*86400</f>
        <v>1502928000</v>
      </c>
      <c r="X113" s="29">
        <f>HOUR(X112)*3600+MINUTE(X112)*60+SECOND(X112)</f>
        <v>56400</v>
      </c>
      <c r="Y113" s="31">
        <f>(Y112*B113)</f>
        <v>1.4E-5</v>
      </c>
      <c r="Z113" s="29">
        <f>Z112</f>
        <v>1</v>
      </c>
      <c r="AA113" s="29">
        <f>DATEDIF(DATE(1970,1,1),AA112,"D")*86400</f>
        <v>1502928000</v>
      </c>
      <c r="AB113" s="29">
        <f>HOUR(AB112)*3600+MINUTE(AB112)*60+SECOND(AB112)</f>
        <v>56460</v>
      </c>
      <c r="AC113" s="29">
        <f>AC112</f>
        <v>1</v>
      </c>
    </row>
    <row r="114" spans="1:29">
      <c r="A114" s="23" t="str">
        <f>Parameters!A58</f>
        <v>6JM7</v>
      </c>
      <c r="B114" s="23">
        <f>Parameters!B58</f>
        <v>4.9999999999999998E-7</v>
      </c>
      <c r="C114" s="24">
        <f>Parameters!C58</f>
        <v>2</v>
      </c>
      <c r="D114" s="24" t="str">
        <f>Parameters!D58</f>
        <v>SELL</v>
      </c>
      <c r="E114" s="23">
        <f>Parameters!E58</f>
        <v>0</v>
      </c>
      <c r="F114" s="23">
        <f>Parameters!F58</f>
        <v>4.9999999999999996E-5</v>
      </c>
      <c r="G114" s="25">
        <f>Parameters!G58</f>
        <v>0.06</v>
      </c>
      <c r="H114" s="25">
        <f>Parameters!H58</f>
        <v>0</v>
      </c>
      <c r="I114" s="25">
        <f>Parameters!I58</f>
        <v>0</v>
      </c>
      <c r="J114" s="25">
        <f>Parameters!J58</f>
        <v>1</v>
      </c>
      <c r="K114" s="25">
        <f>Parameters!K58</f>
        <v>1</v>
      </c>
      <c r="L114" s="26">
        <f t="shared" ref="L114" si="165">L115</f>
        <v>-1.9999999999999995E-6</v>
      </c>
      <c r="M114" s="25">
        <f>Parameters!L58</f>
        <v>1</v>
      </c>
      <c r="N114" s="25">
        <f>Parameters!M58</f>
        <v>1</v>
      </c>
      <c r="O114" s="26">
        <f t="shared" ref="O114" si="166">O115</f>
        <v>6.4999999999999994E-5</v>
      </c>
      <c r="P114" s="23">
        <f>Parameters!N58</f>
        <v>1</v>
      </c>
      <c r="Q114" s="23">
        <f>Parameters!O58</f>
        <v>100</v>
      </c>
      <c r="R114" s="23">
        <f>Parameters!P58</f>
        <v>10</v>
      </c>
      <c r="S114" s="23">
        <f>Parameters!Q58</f>
        <v>2</v>
      </c>
      <c r="T114" s="23">
        <f>Parameters!R58</f>
        <v>1</v>
      </c>
      <c r="U114" s="27">
        <f>Parameters!S58</f>
        <v>42741</v>
      </c>
      <c r="V114" s="28">
        <f>Parameters!T58</f>
        <v>0.30208333333333331</v>
      </c>
      <c r="W114" s="27">
        <f>Parameters!U58</f>
        <v>42964</v>
      </c>
      <c r="X114" s="28">
        <f>Parameters!V58</f>
        <v>0.65277777777777779</v>
      </c>
      <c r="Y114" s="25">
        <f>Parameters!W58</f>
        <v>28</v>
      </c>
      <c r="Z114" s="23">
        <f>Parameters!X58</f>
        <v>1</v>
      </c>
      <c r="AA114" s="27">
        <f>Parameters!Y58</f>
        <v>42964</v>
      </c>
      <c r="AB114" s="28">
        <f>Parameters!Z58</f>
        <v>0.65347222222222223</v>
      </c>
      <c r="AC114" s="23">
        <f>Parameters!AA58</f>
        <v>1</v>
      </c>
    </row>
    <row r="115" spans="1:29">
      <c r="A115" s="29" t="str">
        <f>UPPER(A114)</f>
        <v>6JM7</v>
      </c>
      <c r="B115" s="29">
        <f>B114</f>
        <v>4.9999999999999998E-7</v>
      </c>
      <c r="C115" s="30">
        <f>C114</f>
        <v>2</v>
      </c>
      <c r="D115" s="30" t="str">
        <f>D114</f>
        <v>SELL</v>
      </c>
      <c r="E115" s="29">
        <f>E114</f>
        <v>0</v>
      </c>
      <c r="F115" s="29">
        <f>F114</f>
        <v>4.9999999999999996E-5</v>
      </c>
      <c r="G115" s="29">
        <f>IF(C114=1,IF(D114="BUY",E114+(ROUND(F114*G114/B114,0)*B114),E114-(ROUND(F114*G114/B114,0)*B114)),IF(D114="BUY",E114-(ROUND(F114*G114/B114,0)*B114),E114+(ROUND(F114*G114/B114,0)*B114)))</f>
        <v>3.0000000000000001E-6</v>
      </c>
      <c r="H115" s="29">
        <f>IF(C114=1,IF(D114="BUY",G115-(ROUND(F114*H114/B114,0)*B114),G115+(ROUND(F114*H114/B114,0)*B114)),IF(D114="BUY",G115+(ROUND(F114*H114/B114,0)*B114),G115-(ROUND(F114*H114/B114,0)*B114)))</f>
        <v>3.0000000000000001E-6</v>
      </c>
      <c r="I115" s="29">
        <f>IF(D114="BUY",G115+(ROUND(F114*I114/(B114*100),0)*B114),G115-(ROUND(F114*I114/(B114*100),0)*B114))</f>
        <v>3.0000000000000001E-6</v>
      </c>
      <c r="J115" s="29">
        <f>IF(C114=1,IF(D114="BUY",E114+(ROUND(F114*J114/B114,0)*B114),E114-(ROUND(F114*J114/B114,0)*B114)),IF(D114="BUY",E114-(ROUND(F114*J114/B114,0)*B114),E114+(ROUND(F114*J114/B114,0)*B114)))</f>
        <v>4.9999999999999996E-5</v>
      </c>
      <c r="K115" s="29">
        <f>IF(C114=1,IF(D114="BUY",E114-(ROUND(F114*K114/B114,0)*B114),E114+(ROUND(F114*K114/B114,0)*B114)),IF(D114="BUY",E114-(ROUND(F114*K114/B114,0)*B114),E114+(ROUND(F114*K114/B114,0)*B114)))</f>
        <v>4.9999999999999996E-5</v>
      </c>
      <c r="L115" s="29">
        <f t="shared" ref="L115" si="167">IF(D115="BUY",I115+(R115*B115),I115-(R115*B115))</f>
        <v>-1.9999999999999995E-6</v>
      </c>
      <c r="M115" s="29">
        <f>IF(D114="BUY",E114+(ROUND(F114*M114/B114,0)*B114),E114-(ROUND(F114*M114/B114,0)*B114))</f>
        <v>-4.9999999999999996E-5</v>
      </c>
      <c r="N115" s="29">
        <f>IF(D114="BUY",E114-(ROUND(F114*N114/B114,0)*B114),E114+(ROUND(F114*N114/B114,0)*B114))</f>
        <v>4.9999999999999996E-5</v>
      </c>
      <c r="O115" s="31">
        <f>IF(D115="BUY",N115-VLOOKUP(A115,Symbols!A$1:D$1000,4,FALSE),N115+VLOOKUP(A115,Symbols!A$1:D$1000,4,FALSE))</f>
        <v>6.4999999999999994E-5</v>
      </c>
      <c r="P115" s="29">
        <f>P114</f>
        <v>1</v>
      </c>
      <c r="Q115" s="29">
        <f>Q114</f>
        <v>100</v>
      </c>
      <c r="R115" s="29">
        <f>R114</f>
        <v>10</v>
      </c>
      <c r="S115" s="29">
        <f>S114</f>
        <v>2</v>
      </c>
      <c r="T115" s="29">
        <f>T114</f>
        <v>1</v>
      </c>
      <c r="U115" s="29">
        <f>DATEDIF(DATE(1970,1,1),U114,"D")*86400</f>
        <v>1483660800</v>
      </c>
      <c r="V115" s="29">
        <f>HOUR(V114)*3600+MINUTE(V114)*60+SECOND(V114)</f>
        <v>26100</v>
      </c>
      <c r="W115" s="29">
        <f>DATEDIF(DATE(1970,1,1),W114,"D")*86400</f>
        <v>1502928000</v>
      </c>
      <c r="X115" s="29">
        <f>HOUR(X114)*3600+MINUTE(X114)*60+SECOND(X114)</f>
        <v>56400</v>
      </c>
      <c r="Y115" s="31">
        <f>(Y114*B115)</f>
        <v>1.4E-5</v>
      </c>
      <c r="Z115" s="29">
        <f>Z114</f>
        <v>1</v>
      </c>
      <c r="AA115" s="29">
        <f>DATEDIF(DATE(1970,1,1),AA114,"D")*86400</f>
        <v>1502928000</v>
      </c>
      <c r="AB115" s="29">
        <f>HOUR(AB114)*3600+MINUTE(AB114)*60+SECOND(AB114)</f>
        <v>56460</v>
      </c>
      <c r="AC115" s="29">
        <f>AC114</f>
        <v>1</v>
      </c>
    </row>
    <row r="116" spans="1:29">
      <c r="A116" s="23" t="str">
        <f>Parameters!A59</f>
        <v>6JM7</v>
      </c>
      <c r="B116" s="23">
        <f>Parameters!B59</f>
        <v>4.9999999999999998E-7</v>
      </c>
      <c r="C116" s="24">
        <f>Parameters!C59</f>
        <v>2</v>
      </c>
      <c r="D116" s="24" t="str">
        <f>Parameters!D59</f>
        <v>SELL</v>
      </c>
      <c r="E116" s="23">
        <f>Parameters!E59</f>
        <v>0</v>
      </c>
      <c r="F116" s="23">
        <f>Parameters!F59</f>
        <v>4.9999999999999996E-5</v>
      </c>
      <c r="G116" s="25">
        <f>Parameters!G59</f>
        <v>7.0000000000000007E-2</v>
      </c>
      <c r="H116" s="25">
        <f>Parameters!H59</f>
        <v>0</v>
      </c>
      <c r="I116" s="25">
        <f>Parameters!I59</f>
        <v>0</v>
      </c>
      <c r="J116" s="25">
        <f>Parameters!J59</f>
        <v>1</v>
      </c>
      <c r="K116" s="25">
        <f>Parameters!K59</f>
        <v>1</v>
      </c>
      <c r="L116" s="26">
        <f t="shared" ref="L116" si="168">L117</f>
        <v>-1.4999999999999996E-6</v>
      </c>
      <c r="M116" s="25">
        <f>Parameters!L59</f>
        <v>1</v>
      </c>
      <c r="N116" s="25">
        <f>Parameters!M59</f>
        <v>1</v>
      </c>
      <c r="O116" s="26">
        <f t="shared" ref="O116" si="169">O117</f>
        <v>6.4999999999999994E-5</v>
      </c>
      <c r="P116" s="23">
        <f>Parameters!N59</f>
        <v>1</v>
      </c>
      <c r="Q116" s="23">
        <f>Parameters!O59</f>
        <v>100</v>
      </c>
      <c r="R116" s="23">
        <f>Parameters!P59</f>
        <v>10</v>
      </c>
      <c r="S116" s="23">
        <f>Parameters!Q59</f>
        <v>2</v>
      </c>
      <c r="T116" s="23">
        <f>Parameters!R59</f>
        <v>1</v>
      </c>
      <c r="U116" s="27">
        <f>Parameters!S59</f>
        <v>42741</v>
      </c>
      <c r="V116" s="28">
        <f>Parameters!T59</f>
        <v>0.30208333333333331</v>
      </c>
      <c r="W116" s="27">
        <f>Parameters!U59</f>
        <v>42964</v>
      </c>
      <c r="X116" s="28">
        <f>Parameters!V59</f>
        <v>0.65277777777777779</v>
      </c>
      <c r="Y116" s="25">
        <f>Parameters!W59</f>
        <v>28</v>
      </c>
      <c r="Z116" s="23">
        <f>Parameters!X59</f>
        <v>1</v>
      </c>
      <c r="AA116" s="27">
        <f>Parameters!Y59</f>
        <v>42964</v>
      </c>
      <c r="AB116" s="28">
        <f>Parameters!Z59</f>
        <v>0.65347222222222223</v>
      </c>
      <c r="AC116" s="23">
        <f>Parameters!AA59</f>
        <v>1</v>
      </c>
    </row>
    <row r="117" spans="1:29">
      <c r="A117" s="29" t="str">
        <f>UPPER(A116)</f>
        <v>6JM7</v>
      </c>
      <c r="B117" s="29">
        <f>B116</f>
        <v>4.9999999999999998E-7</v>
      </c>
      <c r="C117" s="30">
        <f>C116</f>
        <v>2</v>
      </c>
      <c r="D117" s="30" t="str">
        <f>D116</f>
        <v>SELL</v>
      </c>
      <c r="E117" s="29">
        <f>E116</f>
        <v>0</v>
      </c>
      <c r="F117" s="29">
        <f>F116</f>
        <v>4.9999999999999996E-5</v>
      </c>
      <c r="G117" s="29">
        <f>IF(C116=1,IF(D116="BUY",E116+(ROUND(F116*G116/B116,0)*B116),E116-(ROUND(F116*G116/B116,0)*B116)),IF(D116="BUY",E116-(ROUND(F116*G116/B116,0)*B116),E116+(ROUND(F116*G116/B116,0)*B116)))</f>
        <v>3.4999999999999999E-6</v>
      </c>
      <c r="H117" s="29">
        <f>IF(C116=1,IF(D116="BUY",G117-(ROUND(F116*H116/B116,0)*B116),G117+(ROUND(F116*H116/B116,0)*B116)),IF(D116="BUY",G117+(ROUND(F116*H116/B116,0)*B116),G117-(ROUND(F116*H116/B116,0)*B116)))</f>
        <v>3.4999999999999999E-6</v>
      </c>
      <c r="I117" s="29">
        <f>IF(D116="BUY",G117+(ROUND(F116*I116/(B116*100),0)*B116),G117-(ROUND(F116*I116/(B116*100),0)*B116))</f>
        <v>3.4999999999999999E-6</v>
      </c>
      <c r="J117" s="29">
        <f>IF(C116=1,IF(D116="BUY",E116+(ROUND(F116*J116/B116,0)*B116),E116-(ROUND(F116*J116/B116,0)*B116)),IF(D116="BUY",E116-(ROUND(F116*J116/B116,0)*B116),E116+(ROUND(F116*J116/B116,0)*B116)))</f>
        <v>4.9999999999999996E-5</v>
      </c>
      <c r="K117" s="29">
        <f>IF(C116=1,IF(D116="BUY",E116-(ROUND(F116*K116/B116,0)*B116),E116+(ROUND(F116*K116/B116,0)*B116)),IF(D116="BUY",E116-(ROUND(F116*K116/B116,0)*B116),E116+(ROUND(F116*K116/B116,0)*B116)))</f>
        <v>4.9999999999999996E-5</v>
      </c>
      <c r="L117" s="29">
        <f t="shared" ref="L117" si="170">IF(D117="BUY",I117+(R117*B117),I117-(R117*B117))</f>
        <v>-1.4999999999999996E-6</v>
      </c>
      <c r="M117" s="29">
        <f>IF(D116="BUY",E116+(ROUND(F116*M116/B116,0)*B116),E116-(ROUND(F116*M116/B116,0)*B116))</f>
        <v>-4.9999999999999996E-5</v>
      </c>
      <c r="N117" s="29">
        <f>IF(D116="BUY",E116-(ROUND(F116*N116/B116,0)*B116),E116+(ROUND(F116*N116/B116,0)*B116))</f>
        <v>4.9999999999999996E-5</v>
      </c>
      <c r="O117" s="31">
        <f>IF(D117="BUY",N117-VLOOKUP(A117,Symbols!A$1:D$1000,4,FALSE),N117+VLOOKUP(A117,Symbols!A$1:D$1000,4,FALSE))</f>
        <v>6.4999999999999994E-5</v>
      </c>
      <c r="P117" s="29">
        <f>P116</f>
        <v>1</v>
      </c>
      <c r="Q117" s="29">
        <f>Q116</f>
        <v>100</v>
      </c>
      <c r="R117" s="29">
        <f>R116</f>
        <v>10</v>
      </c>
      <c r="S117" s="29">
        <f>S116</f>
        <v>2</v>
      </c>
      <c r="T117" s="29">
        <f>T116</f>
        <v>1</v>
      </c>
      <c r="U117" s="29">
        <f>DATEDIF(DATE(1970,1,1),U116,"D")*86400</f>
        <v>1483660800</v>
      </c>
      <c r="V117" s="29">
        <f>HOUR(V116)*3600+MINUTE(V116)*60+SECOND(V116)</f>
        <v>26100</v>
      </c>
      <c r="W117" s="29">
        <f>DATEDIF(DATE(1970,1,1),W116,"D")*86400</f>
        <v>1502928000</v>
      </c>
      <c r="X117" s="29">
        <f>HOUR(X116)*3600+MINUTE(X116)*60+SECOND(X116)</f>
        <v>56400</v>
      </c>
      <c r="Y117" s="31">
        <f>(Y116*B117)</f>
        <v>1.4E-5</v>
      </c>
      <c r="Z117" s="29">
        <f>Z116</f>
        <v>1</v>
      </c>
      <c r="AA117" s="29">
        <f>DATEDIF(DATE(1970,1,1),AA116,"D")*86400</f>
        <v>1502928000</v>
      </c>
      <c r="AB117" s="29">
        <f>HOUR(AB116)*3600+MINUTE(AB116)*60+SECOND(AB116)</f>
        <v>56460</v>
      </c>
      <c r="AC117" s="29">
        <f>AC116</f>
        <v>1</v>
      </c>
    </row>
    <row r="118" spans="1:29">
      <c r="A118" s="23" t="str">
        <f>Parameters!A60</f>
        <v>6JM7</v>
      </c>
      <c r="B118" s="23">
        <f>Parameters!B60</f>
        <v>4.9999999999999998E-7</v>
      </c>
      <c r="C118" s="24">
        <f>Parameters!C60</f>
        <v>2</v>
      </c>
      <c r="D118" s="24" t="str">
        <f>Parameters!D60</f>
        <v>SELL</v>
      </c>
      <c r="E118" s="23">
        <f>Parameters!E60</f>
        <v>0</v>
      </c>
      <c r="F118" s="23">
        <f>Parameters!F60</f>
        <v>4.9999999999999996E-5</v>
      </c>
      <c r="G118" s="25">
        <f>Parameters!G60</f>
        <v>0.08</v>
      </c>
      <c r="H118" s="25">
        <f>Parameters!H60</f>
        <v>0</v>
      </c>
      <c r="I118" s="25">
        <f>Parameters!I60</f>
        <v>0</v>
      </c>
      <c r="J118" s="25">
        <f>Parameters!J60</f>
        <v>1</v>
      </c>
      <c r="K118" s="25">
        <f>Parameters!K60</f>
        <v>1</v>
      </c>
      <c r="L118" s="26">
        <f t="shared" ref="L118" si="171">L119</f>
        <v>-9.9999999999999974E-7</v>
      </c>
      <c r="M118" s="25">
        <f>Parameters!L60</f>
        <v>1</v>
      </c>
      <c r="N118" s="25">
        <f>Parameters!M60</f>
        <v>1</v>
      </c>
      <c r="O118" s="26">
        <f t="shared" ref="O118" si="172">O119</f>
        <v>6.4999999999999994E-5</v>
      </c>
      <c r="P118" s="23">
        <f>Parameters!N60</f>
        <v>1</v>
      </c>
      <c r="Q118" s="23">
        <f>Parameters!O60</f>
        <v>100</v>
      </c>
      <c r="R118" s="23">
        <f>Parameters!P60</f>
        <v>10</v>
      </c>
      <c r="S118" s="23">
        <f>Parameters!Q60</f>
        <v>2</v>
      </c>
      <c r="T118" s="23">
        <f>Parameters!R60</f>
        <v>1</v>
      </c>
      <c r="U118" s="27">
        <f>Parameters!S60</f>
        <v>42741</v>
      </c>
      <c r="V118" s="28">
        <f>Parameters!T60</f>
        <v>0.30208333333333331</v>
      </c>
      <c r="W118" s="27">
        <f>Parameters!U60</f>
        <v>42964</v>
      </c>
      <c r="X118" s="28">
        <f>Parameters!V60</f>
        <v>0.65277777777777779</v>
      </c>
      <c r="Y118" s="25">
        <f>Parameters!W60</f>
        <v>28</v>
      </c>
      <c r="Z118" s="23">
        <f>Parameters!X60</f>
        <v>1</v>
      </c>
      <c r="AA118" s="27">
        <f>Parameters!Y60</f>
        <v>42964</v>
      </c>
      <c r="AB118" s="28">
        <f>Parameters!Z60</f>
        <v>0.65347222222222223</v>
      </c>
      <c r="AC118" s="23">
        <f>Parameters!AA60</f>
        <v>1</v>
      </c>
    </row>
    <row r="119" spans="1:29">
      <c r="A119" s="29" t="str">
        <f>UPPER(A118)</f>
        <v>6JM7</v>
      </c>
      <c r="B119" s="29">
        <f>B118</f>
        <v>4.9999999999999998E-7</v>
      </c>
      <c r="C119" s="30">
        <f>C118</f>
        <v>2</v>
      </c>
      <c r="D119" s="30" t="str">
        <f>D118</f>
        <v>SELL</v>
      </c>
      <c r="E119" s="29">
        <f>E118</f>
        <v>0</v>
      </c>
      <c r="F119" s="29">
        <f>F118</f>
        <v>4.9999999999999996E-5</v>
      </c>
      <c r="G119" s="29">
        <f>IF(C118=1,IF(D118="BUY",E118+(ROUND(F118*G118/B118,0)*B118),E118-(ROUND(F118*G118/B118,0)*B118)),IF(D118="BUY",E118-(ROUND(F118*G118/B118,0)*B118),E118+(ROUND(F118*G118/B118,0)*B118)))</f>
        <v>3.9999999999999998E-6</v>
      </c>
      <c r="H119" s="29">
        <f>IF(C118=1,IF(D118="BUY",G119-(ROUND(F118*H118/B118,0)*B118),G119+(ROUND(F118*H118/B118,0)*B118)),IF(D118="BUY",G119+(ROUND(F118*H118/B118,0)*B118),G119-(ROUND(F118*H118/B118,0)*B118)))</f>
        <v>3.9999999999999998E-6</v>
      </c>
      <c r="I119" s="29">
        <f>IF(D118="BUY",G119+(ROUND(F118*I118/(B118*100),0)*B118),G119-(ROUND(F118*I118/(B118*100),0)*B118))</f>
        <v>3.9999999999999998E-6</v>
      </c>
      <c r="J119" s="29">
        <f>IF(C118=1,IF(D118="BUY",E118+(ROUND(F118*J118/B118,0)*B118),E118-(ROUND(F118*J118/B118,0)*B118)),IF(D118="BUY",E118-(ROUND(F118*J118/B118,0)*B118),E118+(ROUND(F118*J118/B118,0)*B118)))</f>
        <v>4.9999999999999996E-5</v>
      </c>
      <c r="K119" s="29">
        <f>IF(C118=1,IF(D118="BUY",E118-(ROUND(F118*K118/B118,0)*B118),E118+(ROUND(F118*K118/B118,0)*B118)),IF(D118="BUY",E118-(ROUND(F118*K118/B118,0)*B118),E118+(ROUND(F118*K118/B118,0)*B118)))</f>
        <v>4.9999999999999996E-5</v>
      </c>
      <c r="L119" s="29">
        <f t="shared" ref="L119" si="173">IF(D119="BUY",I119+(R119*B119),I119-(R119*B119))</f>
        <v>-9.9999999999999974E-7</v>
      </c>
      <c r="M119" s="29">
        <f>IF(D118="BUY",E118+(ROUND(F118*M118/B118,0)*B118),E118-(ROUND(F118*M118/B118,0)*B118))</f>
        <v>-4.9999999999999996E-5</v>
      </c>
      <c r="N119" s="29">
        <f>IF(D118="BUY",E118-(ROUND(F118*N118/B118,0)*B118),E118+(ROUND(F118*N118/B118,0)*B118))</f>
        <v>4.9999999999999996E-5</v>
      </c>
      <c r="O119" s="31">
        <f>IF(D119="BUY",N119-VLOOKUP(A119,Symbols!A$1:D$1000,4,FALSE),N119+VLOOKUP(A119,Symbols!A$1:D$1000,4,FALSE))</f>
        <v>6.4999999999999994E-5</v>
      </c>
      <c r="P119" s="29">
        <f>P118</f>
        <v>1</v>
      </c>
      <c r="Q119" s="29">
        <f>Q118</f>
        <v>100</v>
      </c>
      <c r="R119" s="29">
        <f>R118</f>
        <v>10</v>
      </c>
      <c r="S119" s="29">
        <f>S118</f>
        <v>2</v>
      </c>
      <c r="T119" s="29">
        <f>T118</f>
        <v>1</v>
      </c>
      <c r="U119" s="29">
        <f>DATEDIF(DATE(1970,1,1),U118,"D")*86400</f>
        <v>1483660800</v>
      </c>
      <c r="V119" s="29">
        <f>HOUR(V118)*3600+MINUTE(V118)*60+SECOND(V118)</f>
        <v>26100</v>
      </c>
      <c r="W119" s="29">
        <f>DATEDIF(DATE(1970,1,1),W118,"D")*86400</f>
        <v>1502928000</v>
      </c>
      <c r="X119" s="29">
        <f>HOUR(X118)*3600+MINUTE(X118)*60+SECOND(X118)</f>
        <v>56400</v>
      </c>
      <c r="Y119" s="31">
        <f>(Y118*B119)</f>
        <v>1.4E-5</v>
      </c>
      <c r="Z119" s="29">
        <f>Z118</f>
        <v>1</v>
      </c>
      <c r="AA119" s="29">
        <f>DATEDIF(DATE(1970,1,1),AA118,"D")*86400</f>
        <v>1502928000</v>
      </c>
      <c r="AB119" s="29">
        <f>HOUR(AB118)*3600+MINUTE(AB118)*60+SECOND(AB118)</f>
        <v>56460</v>
      </c>
      <c r="AC119" s="29">
        <f>AC118</f>
        <v>1</v>
      </c>
    </row>
    <row r="120" spans="1:29">
      <c r="A120" s="23" t="str">
        <f>Parameters!A61</f>
        <v>6JM7</v>
      </c>
      <c r="B120" s="23">
        <f>Parameters!B61</f>
        <v>4.9999999999999998E-7</v>
      </c>
      <c r="C120" s="24">
        <f>Parameters!C61</f>
        <v>2</v>
      </c>
      <c r="D120" s="24" t="str">
        <f>Parameters!D61</f>
        <v>SELL</v>
      </c>
      <c r="E120" s="23">
        <f>Parameters!E61</f>
        <v>0</v>
      </c>
      <c r="F120" s="23">
        <f>Parameters!F61</f>
        <v>4.9999999999999996E-5</v>
      </c>
      <c r="G120" s="25">
        <f>Parameters!G61</f>
        <v>0.09</v>
      </c>
      <c r="H120" s="25">
        <f>Parameters!H61</f>
        <v>0</v>
      </c>
      <c r="I120" s="25">
        <f>Parameters!I61</f>
        <v>0</v>
      </c>
      <c r="J120" s="25">
        <f>Parameters!J61</f>
        <v>1</v>
      </c>
      <c r="K120" s="25">
        <f>Parameters!K61</f>
        <v>1</v>
      </c>
      <c r="L120" s="26">
        <f t="shared" ref="L120" si="174">L121</f>
        <v>-4.9999999999999945E-7</v>
      </c>
      <c r="M120" s="25">
        <f>Parameters!L61</f>
        <v>1</v>
      </c>
      <c r="N120" s="25">
        <f>Parameters!M61</f>
        <v>1</v>
      </c>
      <c r="O120" s="26">
        <f t="shared" ref="O120" si="175">O121</f>
        <v>6.4999999999999994E-5</v>
      </c>
      <c r="P120" s="23">
        <f>Parameters!N61</f>
        <v>1</v>
      </c>
      <c r="Q120" s="23">
        <f>Parameters!O61</f>
        <v>100</v>
      </c>
      <c r="R120" s="23">
        <f>Parameters!P61</f>
        <v>10</v>
      </c>
      <c r="S120" s="23">
        <f>Parameters!Q61</f>
        <v>2</v>
      </c>
      <c r="T120" s="23">
        <f>Parameters!R61</f>
        <v>1</v>
      </c>
      <c r="U120" s="27">
        <f>Parameters!S61</f>
        <v>42741</v>
      </c>
      <c r="V120" s="28">
        <f>Parameters!T61</f>
        <v>0.30208333333333331</v>
      </c>
      <c r="W120" s="27">
        <f>Parameters!U61</f>
        <v>42964</v>
      </c>
      <c r="X120" s="28">
        <f>Parameters!V61</f>
        <v>0.65277777777777779</v>
      </c>
      <c r="Y120" s="25">
        <f>Parameters!W61</f>
        <v>28</v>
      </c>
      <c r="Z120" s="23">
        <f>Parameters!X61</f>
        <v>1</v>
      </c>
      <c r="AA120" s="27">
        <f>Parameters!Y61</f>
        <v>42964</v>
      </c>
      <c r="AB120" s="28">
        <f>Parameters!Z61</f>
        <v>0.65347222222222223</v>
      </c>
      <c r="AC120" s="23">
        <f>Parameters!AA61</f>
        <v>1</v>
      </c>
    </row>
    <row r="121" spans="1:29">
      <c r="A121" s="29" t="str">
        <f>UPPER(A120)</f>
        <v>6JM7</v>
      </c>
      <c r="B121" s="29">
        <f>B120</f>
        <v>4.9999999999999998E-7</v>
      </c>
      <c r="C121" s="30">
        <f>C120</f>
        <v>2</v>
      </c>
      <c r="D121" s="30" t="str">
        <f>D120</f>
        <v>SELL</v>
      </c>
      <c r="E121" s="29">
        <f>E120</f>
        <v>0</v>
      </c>
      <c r="F121" s="29">
        <f>F120</f>
        <v>4.9999999999999996E-5</v>
      </c>
      <c r="G121" s="29">
        <f>IF(C120=1,IF(D120="BUY",E120+(ROUND(F120*G120/B120,0)*B120),E120-(ROUND(F120*G120/B120,0)*B120)),IF(D120="BUY",E120-(ROUND(F120*G120/B120,0)*B120),E120+(ROUND(F120*G120/B120,0)*B120)))</f>
        <v>4.5000000000000001E-6</v>
      </c>
      <c r="H121" s="29">
        <f>IF(C120=1,IF(D120="BUY",G121-(ROUND(F120*H120/B120,0)*B120),G121+(ROUND(F120*H120/B120,0)*B120)),IF(D120="BUY",G121+(ROUND(F120*H120/B120,0)*B120),G121-(ROUND(F120*H120/B120,0)*B120)))</f>
        <v>4.5000000000000001E-6</v>
      </c>
      <c r="I121" s="29">
        <f>IF(D120="BUY",G121+(ROUND(F120*I120/(B120*100),0)*B120),G121-(ROUND(F120*I120/(B120*100),0)*B120))</f>
        <v>4.5000000000000001E-6</v>
      </c>
      <c r="J121" s="29">
        <f>IF(C120=1,IF(D120="BUY",E120+(ROUND(F120*J120/B120,0)*B120),E120-(ROUND(F120*J120/B120,0)*B120)),IF(D120="BUY",E120-(ROUND(F120*J120/B120,0)*B120),E120+(ROUND(F120*J120/B120,0)*B120)))</f>
        <v>4.9999999999999996E-5</v>
      </c>
      <c r="K121" s="29">
        <f>IF(C120=1,IF(D120="BUY",E120-(ROUND(F120*K120/B120,0)*B120),E120+(ROUND(F120*K120/B120,0)*B120)),IF(D120="BUY",E120-(ROUND(F120*K120/B120,0)*B120),E120+(ROUND(F120*K120/B120,0)*B120)))</f>
        <v>4.9999999999999996E-5</v>
      </c>
      <c r="L121" s="29">
        <f t="shared" ref="L121" si="176">IF(D121="BUY",I121+(R121*B121),I121-(R121*B121))</f>
        <v>-4.9999999999999945E-7</v>
      </c>
      <c r="M121" s="29">
        <f>IF(D120="BUY",E120+(ROUND(F120*M120/B120,0)*B120),E120-(ROUND(F120*M120/B120,0)*B120))</f>
        <v>-4.9999999999999996E-5</v>
      </c>
      <c r="N121" s="29">
        <f>IF(D120="BUY",E120-(ROUND(F120*N120/B120,0)*B120),E120+(ROUND(F120*N120/B120,0)*B120))</f>
        <v>4.9999999999999996E-5</v>
      </c>
      <c r="O121" s="31">
        <f>IF(D121="BUY",N121-VLOOKUP(A121,Symbols!A$1:D$1000,4,FALSE),N121+VLOOKUP(A121,Symbols!A$1:D$1000,4,FALSE))</f>
        <v>6.4999999999999994E-5</v>
      </c>
      <c r="P121" s="29">
        <f>P120</f>
        <v>1</v>
      </c>
      <c r="Q121" s="29">
        <f>Q120</f>
        <v>100</v>
      </c>
      <c r="R121" s="29">
        <f>R120</f>
        <v>10</v>
      </c>
      <c r="S121" s="29">
        <f>S120</f>
        <v>2</v>
      </c>
      <c r="T121" s="29">
        <f>T120</f>
        <v>1</v>
      </c>
      <c r="U121" s="29">
        <f>DATEDIF(DATE(1970,1,1),U120,"D")*86400</f>
        <v>1483660800</v>
      </c>
      <c r="V121" s="29">
        <f>HOUR(V120)*3600+MINUTE(V120)*60+SECOND(V120)</f>
        <v>26100</v>
      </c>
      <c r="W121" s="29">
        <f>DATEDIF(DATE(1970,1,1),W120,"D")*86400</f>
        <v>1502928000</v>
      </c>
      <c r="X121" s="29">
        <f>HOUR(X120)*3600+MINUTE(X120)*60+SECOND(X120)</f>
        <v>56400</v>
      </c>
      <c r="Y121" s="31">
        <f>(Y120*B121)</f>
        <v>1.4E-5</v>
      </c>
      <c r="Z121" s="29">
        <f>Z120</f>
        <v>1</v>
      </c>
      <c r="AA121" s="29">
        <f>DATEDIF(DATE(1970,1,1),AA120,"D")*86400</f>
        <v>1502928000</v>
      </c>
      <c r="AB121" s="29">
        <f>HOUR(AB120)*3600+MINUTE(AB120)*60+SECOND(AB120)</f>
        <v>56460</v>
      </c>
      <c r="AC121" s="29">
        <f>AC120</f>
        <v>1</v>
      </c>
    </row>
    <row r="122" spans="1:29">
      <c r="A122" s="23" t="str">
        <f>Parameters!A62</f>
        <v>6CM7</v>
      </c>
      <c r="B122" s="23">
        <f>Parameters!B62</f>
        <v>5.0000000000000002E-5</v>
      </c>
      <c r="C122" s="24">
        <f>Parameters!C62</f>
        <v>2</v>
      </c>
      <c r="D122" s="24" t="str">
        <f>Parameters!D62</f>
        <v>BUY</v>
      </c>
      <c r="E122" s="23">
        <f>Parameters!E62</f>
        <v>0</v>
      </c>
      <c r="F122" s="23">
        <f>Parameters!F62</f>
        <v>5.0000000000000001E-3</v>
      </c>
      <c r="G122" s="25">
        <f>Parameters!G62</f>
        <v>0</v>
      </c>
      <c r="H122" s="25">
        <f>Parameters!H62</f>
        <v>0</v>
      </c>
      <c r="I122" s="25">
        <f>Parameters!I62</f>
        <v>0</v>
      </c>
      <c r="J122" s="25">
        <f>Parameters!J62</f>
        <v>1</v>
      </c>
      <c r="K122" s="25">
        <f>Parameters!K62</f>
        <v>1</v>
      </c>
      <c r="L122" s="26">
        <f t="shared" ref="L122" si="177">L123</f>
        <v>5.0000000000000001E-4</v>
      </c>
      <c r="M122" s="25">
        <f>Parameters!L62</f>
        <v>1</v>
      </c>
      <c r="N122" s="25">
        <f>Parameters!M62</f>
        <v>1</v>
      </c>
      <c r="O122" s="26">
        <f t="shared" ref="O122" si="178">O123</f>
        <v>-6.5000000000000006E-3</v>
      </c>
      <c r="P122" s="23">
        <f>Parameters!N62</f>
        <v>1</v>
      </c>
      <c r="Q122" s="23">
        <f>Parameters!O62</f>
        <v>100</v>
      </c>
      <c r="R122" s="23">
        <f>Parameters!P62</f>
        <v>10</v>
      </c>
      <c r="S122" s="23">
        <f>Parameters!Q62</f>
        <v>2</v>
      </c>
      <c r="T122" s="23">
        <f>Parameters!R62</f>
        <v>1</v>
      </c>
      <c r="U122" s="27">
        <f>Parameters!S62</f>
        <v>42741</v>
      </c>
      <c r="V122" s="28">
        <f>Parameters!T62</f>
        <v>0.30208333333333331</v>
      </c>
      <c r="W122" s="27">
        <f>Parameters!U62</f>
        <v>42964</v>
      </c>
      <c r="X122" s="28">
        <f>Parameters!V62</f>
        <v>0.65277777777777779</v>
      </c>
      <c r="Y122" s="25">
        <f>Parameters!W62</f>
        <v>28</v>
      </c>
      <c r="Z122" s="23">
        <f>Parameters!X62</f>
        <v>1</v>
      </c>
      <c r="AA122" s="27">
        <f>Parameters!Y62</f>
        <v>42964</v>
      </c>
      <c r="AB122" s="28">
        <f>Parameters!Z62</f>
        <v>0.65347222222222223</v>
      </c>
      <c r="AC122" s="23">
        <f>Parameters!AA62</f>
        <v>1</v>
      </c>
    </row>
    <row r="123" spans="1:29">
      <c r="A123" s="29" t="str">
        <f>UPPER(A122)</f>
        <v>6CM7</v>
      </c>
      <c r="B123" s="29">
        <f>B122</f>
        <v>5.0000000000000002E-5</v>
      </c>
      <c r="C123" s="30">
        <f>C122</f>
        <v>2</v>
      </c>
      <c r="D123" s="30" t="str">
        <f>D122</f>
        <v>BUY</v>
      </c>
      <c r="E123" s="29">
        <f>E122</f>
        <v>0</v>
      </c>
      <c r="F123" s="29">
        <f>F122</f>
        <v>5.0000000000000001E-3</v>
      </c>
      <c r="G123" s="29">
        <f>IF(C122=1,IF(D122="BUY",E122+(ROUND(F122*G122/B122,0)*B122),E122-(ROUND(F122*G122/B122,0)*B122)),IF(D122="BUY",E122-(ROUND(F122*G122/B122,0)*B122),E122+(ROUND(F122*G122/B122,0)*B122)))</f>
        <v>0</v>
      </c>
      <c r="H123" s="29">
        <f>IF(C122=1,IF(D122="BUY",G123-(ROUND(F122*H122/B122,0)*B122),G123+(ROUND(F122*H122/B122,0)*B122)),IF(D122="BUY",G123+(ROUND(F122*H122/B122,0)*B122),G123-(ROUND(F122*H122/B122,0)*B122)))</f>
        <v>0</v>
      </c>
      <c r="I123" s="29">
        <f>IF(D122="BUY",G123+(ROUND(F122*I122/(B122*100),0)*B122),G123-(ROUND(F122*I122/(B122*100),0)*B122))</f>
        <v>0</v>
      </c>
      <c r="J123" s="29">
        <f>IF(C122=1,IF(D122="BUY",E122+(ROUND(F122*J122/B122,0)*B122),E122-(ROUND(F122*J122/B122,0)*B122)),IF(D122="BUY",E122-(ROUND(F122*J122/B122,0)*B122),E122+(ROUND(F122*J122/B122,0)*B122)))</f>
        <v>-5.0000000000000001E-3</v>
      </c>
      <c r="K123" s="29">
        <f>IF(C122=1,IF(D122="BUY",E122-(ROUND(F122*K122/B122,0)*B122),E122+(ROUND(F122*K122/B122,0)*B122)),IF(D122="BUY",E122-(ROUND(F122*K122/B122,0)*B122),E122+(ROUND(F122*K122/B122,0)*B122)))</f>
        <v>-5.0000000000000001E-3</v>
      </c>
      <c r="L123" s="29">
        <f t="shared" ref="L123" si="179">IF(D123="BUY",I123+(R123*B123),I123-(R123*B123))</f>
        <v>5.0000000000000001E-4</v>
      </c>
      <c r="M123" s="29">
        <f>IF(D122="BUY",E122+(ROUND(F122*M122/B122,0)*B122),E122-(ROUND(F122*M122/B122,0)*B122))</f>
        <v>5.0000000000000001E-3</v>
      </c>
      <c r="N123" s="29">
        <f>IF(D122="BUY",E122-(ROUND(F122*N122/B122,0)*B122),E122+(ROUND(F122*N122/B122,0)*B122))</f>
        <v>-5.0000000000000001E-3</v>
      </c>
      <c r="O123" s="31">
        <f>IF(D123="BUY",N123-VLOOKUP(A123,Symbols!A$1:D$1000,4,FALSE),N123+VLOOKUP(A123,Symbols!A$1:D$1000,4,FALSE))</f>
        <v>-6.5000000000000006E-3</v>
      </c>
      <c r="P123" s="29">
        <f>P122</f>
        <v>1</v>
      </c>
      <c r="Q123" s="29">
        <f>Q122</f>
        <v>100</v>
      </c>
      <c r="R123" s="29">
        <f>R122</f>
        <v>10</v>
      </c>
      <c r="S123" s="29">
        <f>S122</f>
        <v>2</v>
      </c>
      <c r="T123" s="29">
        <f>T122</f>
        <v>1</v>
      </c>
      <c r="U123" s="29">
        <f>DATEDIF(DATE(1970,1,1),U122,"D")*86400</f>
        <v>1483660800</v>
      </c>
      <c r="V123" s="29">
        <f>HOUR(V122)*3600+MINUTE(V122)*60+SECOND(V122)</f>
        <v>26100</v>
      </c>
      <c r="W123" s="29">
        <f>DATEDIF(DATE(1970,1,1),W122,"D")*86400</f>
        <v>1502928000</v>
      </c>
      <c r="X123" s="29">
        <f>HOUR(X122)*3600+MINUTE(X122)*60+SECOND(X122)</f>
        <v>56400</v>
      </c>
      <c r="Y123" s="31">
        <f>(Y122*B123)</f>
        <v>1.4E-3</v>
      </c>
      <c r="Z123" s="29">
        <f>Z122</f>
        <v>1</v>
      </c>
      <c r="AA123" s="29">
        <f>DATEDIF(DATE(1970,1,1),AA122,"D")*86400</f>
        <v>1502928000</v>
      </c>
      <c r="AB123" s="29">
        <f>HOUR(AB122)*3600+MINUTE(AB122)*60+SECOND(AB122)</f>
        <v>56460</v>
      </c>
      <c r="AC123" s="29">
        <f>AC122</f>
        <v>1</v>
      </c>
    </row>
    <row r="124" spans="1:29">
      <c r="A124" s="23" t="str">
        <f>Parameters!A63</f>
        <v>6CM7</v>
      </c>
      <c r="B124" s="23">
        <f>Parameters!B63</f>
        <v>5.0000000000000002E-5</v>
      </c>
      <c r="C124" s="24">
        <f>Parameters!C63</f>
        <v>2</v>
      </c>
      <c r="D124" s="24" t="str">
        <f>Parameters!D63</f>
        <v>BUY</v>
      </c>
      <c r="E124" s="23">
        <f>Parameters!E63</f>
        <v>0</v>
      </c>
      <c r="F124" s="23">
        <f>Parameters!F63</f>
        <v>5.0000000000000001E-3</v>
      </c>
      <c r="G124" s="25">
        <f>Parameters!G63</f>
        <v>0.01</v>
      </c>
      <c r="H124" s="25">
        <f>Parameters!H63</f>
        <v>0</v>
      </c>
      <c r="I124" s="25">
        <f>Parameters!I63</f>
        <v>0</v>
      </c>
      <c r="J124" s="25">
        <f>Parameters!J63</f>
        <v>1</v>
      </c>
      <c r="K124" s="25">
        <f>Parameters!K63</f>
        <v>1</v>
      </c>
      <c r="L124" s="26">
        <f t="shared" ref="L124" si="180">L125</f>
        <v>4.4999999999999999E-4</v>
      </c>
      <c r="M124" s="25">
        <f>Parameters!L63</f>
        <v>1</v>
      </c>
      <c r="N124" s="25">
        <f>Parameters!M63</f>
        <v>1</v>
      </c>
      <c r="O124" s="26">
        <f t="shared" ref="O124" si="181">O125</f>
        <v>-6.5000000000000006E-3</v>
      </c>
      <c r="P124" s="23">
        <f>Parameters!N63</f>
        <v>1</v>
      </c>
      <c r="Q124" s="23">
        <f>Parameters!O63</f>
        <v>100</v>
      </c>
      <c r="R124" s="23">
        <f>Parameters!P63</f>
        <v>10</v>
      </c>
      <c r="S124" s="23">
        <f>Parameters!Q63</f>
        <v>2</v>
      </c>
      <c r="T124" s="23">
        <f>Parameters!R63</f>
        <v>1</v>
      </c>
      <c r="U124" s="27">
        <f>Parameters!S63</f>
        <v>42741</v>
      </c>
      <c r="V124" s="28">
        <f>Parameters!T63</f>
        <v>0.30208333333333331</v>
      </c>
      <c r="W124" s="27">
        <f>Parameters!U63</f>
        <v>42964</v>
      </c>
      <c r="X124" s="28">
        <f>Parameters!V63</f>
        <v>0.65277777777777779</v>
      </c>
      <c r="Y124" s="25">
        <f>Parameters!W63</f>
        <v>28</v>
      </c>
      <c r="Z124" s="23">
        <f>Parameters!X63</f>
        <v>1</v>
      </c>
      <c r="AA124" s="27">
        <f>Parameters!Y63</f>
        <v>42964</v>
      </c>
      <c r="AB124" s="28">
        <f>Parameters!Z63</f>
        <v>0.65347222222222223</v>
      </c>
      <c r="AC124" s="23">
        <f>Parameters!AA63</f>
        <v>1</v>
      </c>
    </row>
    <row r="125" spans="1:29">
      <c r="A125" s="29" t="str">
        <f>UPPER(A124)</f>
        <v>6CM7</v>
      </c>
      <c r="B125" s="29">
        <f>B124</f>
        <v>5.0000000000000002E-5</v>
      </c>
      <c r="C125" s="30">
        <f>C124</f>
        <v>2</v>
      </c>
      <c r="D125" s="30" t="str">
        <f>D124</f>
        <v>BUY</v>
      </c>
      <c r="E125" s="29">
        <f>E124</f>
        <v>0</v>
      </c>
      <c r="F125" s="29">
        <f>F124</f>
        <v>5.0000000000000001E-3</v>
      </c>
      <c r="G125" s="29">
        <f>IF(C124=1,IF(D124="BUY",E124+(ROUND(F124*G124/B124,0)*B124),E124-(ROUND(F124*G124/B124,0)*B124)),IF(D124="BUY",E124-(ROUND(F124*G124/B124,0)*B124),E124+(ROUND(F124*G124/B124,0)*B124)))</f>
        <v>-5.0000000000000002E-5</v>
      </c>
      <c r="H125" s="29">
        <f>IF(C124=1,IF(D124="BUY",G125-(ROUND(F124*H124/B124,0)*B124),G125+(ROUND(F124*H124/B124,0)*B124)),IF(D124="BUY",G125+(ROUND(F124*H124/B124,0)*B124),G125-(ROUND(F124*H124/B124,0)*B124)))</f>
        <v>-5.0000000000000002E-5</v>
      </c>
      <c r="I125" s="29">
        <f>IF(D124="BUY",G125+(ROUND(F124*I124/(B124*100),0)*B124),G125-(ROUND(F124*I124/(B124*100),0)*B124))</f>
        <v>-5.0000000000000002E-5</v>
      </c>
      <c r="J125" s="29">
        <f>IF(C124=1,IF(D124="BUY",E124+(ROUND(F124*J124/B124,0)*B124),E124-(ROUND(F124*J124/B124,0)*B124)),IF(D124="BUY",E124-(ROUND(F124*J124/B124,0)*B124),E124+(ROUND(F124*J124/B124,0)*B124)))</f>
        <v>-5.0000000000000001E-3</v>
      </c>
      <c r="K125" s="29">
        <f>IF(C124=1,IF(D124="BUY",E124-(ROUND(F124*K124/B124,0)*B124),E124+(ROUND(F124*K124/B124,0)*B124)),IF(D124="BUY",E124-(ROUND(F124*K124/B124,0)*B124),E124+(ROUND(F124*K124/B124,0)*B124)))</f>
        <v>-5.0000000000000001E-3</v>
      </c>
      <c r="L125" s="29">
        <f t="shared" ref="L125" si="182">IF(D125="BUY",I125+(R125*B125),I125-(R125*B125))</f>
        <v>4.4999999999999999E-4</v>
      </c>
      <c r="M125" s="29">
        <f>IF(D124="BUY",E124+(ROUND(F124*M124/B124,0)*B124),E124-(ROUND(F124*M124/B124,0)*B124))</f>
        <v>5.0000000000000001E-3</v>
      </c>
      <c r="N125" s="29">
        <f>IF(D124="BUY",E124-(ROUND(F124*N124/B124,0)*B124),E124+(ROUND(F124*N124/B124,0)*B124))</f>
        <v>-5.0000000000000001E-3</v>
      </c>
      <c r="O125" s="31">
        <f>IF(D125="BUY",N125-VLOOKUP(A125,Symbols!A$1:D$1000,4,FALSE),N125+VLOOKUP(A125,Symbols!A$1:D$1000,4,FALSE))</f>
        <v>-6.5000000000000006E-3</v>
      </c>
      <c r="P125" s="29">
        <f>P124</f>
        <v>1</v>
      </c>
      <c r="Q125" s="29">
        <f>Q124</f>
        <v>100</v>
      </c>
      <c r="R125" s="29">
        <f>R124</f>
        <v>10</v>
      </c>
      <c r="S125" s="29">
        <f>S124</f>
        <v>2</v>
      </c>
      <c r="T125" s="29">
        <f>T124</f>
        <v>1</v>
      </c>
      <c r="U125" s="29">
        <f>DATEDIF(DATE(1970,1,1),U124,"D")*86400</f>
        <v>1483660800</v>
      </c>
      <c r="V125" s="29">
        <f>HOUR(V124)*3600+MINUTE(V124)*60+SECOND(V124)</f>
        <v>26100</v>
      </c>
      <c r="W125" s="29">
        <f>DATEDIF(DATE(1970,1,1),W124,"D")*86400</f>
        <v>1502928000</v>
      </c>
      <c r="X125" s="29">
        <f>HOUR(X124)*3600+MINUTE(X124)*60+SECOND(X124)</f>
        <v>56400</v>
      </c>
      <c r="Y125" s="31">
        <f>(Y124*B125)</f>
        <v>1.4E-3</v>
      </c>
      <c r="Z125" s="29">
        <f>Z124</f>
        <v>1</v>
      </c>
      <c r="AA125" s="29">
        <f>DATEDIF(DATE(1970,1,1),AA124,"D")*86400</f>
        <v>1502928000</v>
      </c>
      <c r="AB125" s="29">
        <f>HOUR(AB124)*3600+MINUTE(AB124)*60+SECOND(AB124)</f>
        <v>56460</v>
      </c>
      <c r="AC125" s="29">
        <f>AC124</f>
        <v>1</v>
      </c>
    </row>
    <row r="126" spans="1:29">
      <c r="A126" s="23" t="str">
        <f>Parameters!A64</f>
        <v>6CM7</v>
      </c>
      <c r="B126" s="23">
        <f>Parameters!B64</f>
        <v>5.0000000000000002E-5</v>
      </c>
      <c r="C126" s="24">
        <f>Parameters!C64</f>
        <v>2</v>
      </c>
      <c r="D126" s="24" t="str">
        <f>Parameters!D64</f>
        <v>BUY</v>
      </c>
      <c r="E126" s="23">
        <f>Parameters!E64</f>
        <v>0</v>
      </c>
      <c r="F126" s="23">
        <f>Parameters!F64</f>
        <v>5.0000000000000001E-3</v>
      </c>
      <c r="G126" s="25">
        <f>Parameters!G64</f>
        <v>0.02</v>
      </c>
      <c r="H126" s="25">
        <f>Parameters!H64</f>
        <v>0</v>
      </c>
      <c r="I126" s="25">
        <f>Parameters!I64</f>
        <v>0</v>
      </c>
      <c r="J126" s="25">
        <f>Parameters!J64</f>
        <v>1</v>
      </c>
      <c r="K126" s="25">
        <f>Parameters!K64</f>
        <v>1</v>
      </c>
      <c r="L126" s="26">
        <f t="shared" ref="L126" si="183">L127</f>
        <v>4.0000000000000002E-4</v>
      </c>
      <c r="M126" s="25">
        <f>Parameters!L64</f>
        <v>1</v>
      </c>
      <c r="N126" s="25">
        <f>Parameters!M64</f>
        <v>1</v>
      </c>
      <c r="O126" s="26">
        <f t="shared" ref="O126" si="184">O127</f>
        <v>-6.5000000000000006E-3</v>
      </c>
      <c r="P126" s="23">
        <f>Parameters!N64</f>
        <v>1</v>
      </c>
      <c r="Q126" s="23">
        <f>Parameters!O64</f>
        <v>100</v>
      </c>
      <c r="R126" s="23">
        <f>Parameters!P64</f>
        <v>10</v>
      </c>
      <c r="S126" s="23">
        <f>Parameters!Q64</f>
        <v>2</v>
      </c>
      <c r="T126" s="23">
        <f>Parameters!R64</f>
        <v>1</v>
      </c>
      <c r="U126" s="27">
        <f>Parameters!S64</f>
        <v>42741</v>
      </c>
      <c r="V126" s="28">
        <f>Parameters!T64</f>
        <v>0.30208333333333331</v>
      </c>
      <c r="W126" s="27">
        <f>Parameters!U64</f>
        <v>42964</v>
      </c>
      <c r="X126" s="28">
        <f>Parameters!V64</f>
        <v>0.65277777777777779</v>
      </c>
      <c r="Y126" s="25">
        <f>Parameters!W64</f>
        <v>28</v>
      </c>
      <c r="Z126" s="23">
        <f>Parameters!X64</f>
        <v>1</v>
      </c>
      <c r="AA126" s="27">
        <f>Parameters!Y64</f>
        <v>42964</v>
      </c>
      <c r="AB126" s="28">
        <f>Parameters!Z64</f>
        <v>0.65347222222222223</v>
      </c>
      <c r="AC126" s="23">
        <f>Parameters!AA64</f>
        <v>1</v>
      </c>
    </row>
    <row r="127" spans="1:29">
      <c r="A127" s="29" t="str">
        <f>UPPER(A126)</f>
        <v>6CM7</v>
      </c>
      <c r="B127" s="29">
        <f>B126</f>
        <v>5.0000000000000002E-5</v>
      </c>
      <c r="C127" s="30">
        <f>C126</f>
        <v>2</v>
      </c>
      <c r="D127" s="30" t="str">
        <f>D126</f>
        <v>BUY</v>
      </c>
      <c r="E127" s="29">
        <f>E126</f>
        <v>0</v>
      </c>
      <c r="F127" s="29">
        <f>F126</f>
        <v>5.0000000000000001E-3</v>
      </c>
      <c r="G127" s="29">
        <f>IF(C126=1,IF(D126="BUY",E126+(ROUND(F126*G126/B126,0)*B126),E126-(ROUND(F126*G126/B126,0)*B126)),IF(D126="BUY",E126-(ROUND(F126*G126/B126,0)*B126),E126+(ROUND(F126*G126/B126,0)*B126)))</f>
        <v>-1E-4</v>
      </c>
      <c r="H127" s="29">
        <f>IF(C126=1,IF(D126="BUY",G127-(ROUND(F126*H126/B126,0)*B126),G127+(ROUND(F126*H126/B126,0)*B126)),IF(D126="BUY",G127+(ROUND(F126*H126/B126,0)*B126),G127-(ROUND(F126*H126/B126,0)*B126)))</f>
        <v>-1E-4</v>
      </c>
      <c r="I127" s="29">
        <f>IF(D126="BUY",G127+(ROUND(F126*I126/(B126*100),0)*B126),G127-(ROUND(F126*I126/(B126*100),0)*B126))</f>
        <v>-1E-4</v>
      </c>
      <c r="J127" s="29">
        <f>IF(C126=1,IF(D126="BUY",E126+(ROUND(F126*J126/B126,0)*B126),E126-(ROUND(F126*J126/B126,0)*B126)),IF(D126="BUY",E126-(ROUND(F126*J126/B126,0)*B126),E126+(ROUND(F126*J126/B126,0)*B126)))</f>
        <v>-5.0000000000000001E-3</v>
      </c>
      <c r="K127" s="29">
        <f>IF(C126=1,IF(D126="BUY",E126-(ROUND(F126*K126/B126,0)*B126),E126+(ROUND(F126*K126/B126,0)*B126)),IF(D126="BUY",E126-(ROUND(F126*K126/B126,0)*B126),E126+(ROUND(F126*K126/B126,0)*B126)))</f>
        <v>-5.0000000000000001E-3</v>
      </c>
      <c r="L127" s="29">
        <f t="shared" ref="L127" si="185">IF(D127="BUY",I127+(R127*B127),I127-(R127*B127))</f>
        <v>4.0000000000000002E-4</v>
      </c>
      <c r="M127" s="29">
        <f>IF(D126="BUY",E126+(ROUND(F126*M126/B126,0)*B126),E126-(ROUND(F126*M126/B126,0)*B126))</f>
        <v>5.0000000000000001E-3</v>
      </c>
      <c r="N127" s="29">
        <f>IF(D126="BUY",E126-(ROUND(F126*N126/B126,0)*B126),E126+(ROUND(F126*N126/B126,0)*B126))</f>
        <v>-5.0000000000000001E-3</v>
      </c>
      <c r="O127" s="31">
        <f>IF(D127="BUY",N127-VLOOKUP(A127,Symbols!A$1:D$1000,4,FALSE),N127+VLOOKUP(A127,Symbols!A$1:D$1000,4,FALSE))</f>
        <v>-6.5000000000000006E-3</v>
      </c>
      <c r="P127" s="29">
        <f>P126</f>
        <v>1</v>
      </c>
      <c r="Q127" s="29">
        <f>Q126</f>
        <v>100</v>
      </c>
      <c r="R127" s="29">
        <f>R126</f>
        <v>10</v>
      </c>
      <c r="S127" s="29">
        <f>S126</f>
        <v>2</v>
      </c>
      <c r="T127" s="29">
        <f>T126</f>
        <v>1</v>
      </c>
      <c r="U127" s="29">
        <f>DATEDIF(DATE(1970,1,1),U126,"D")*86400</f>
        <v>1483660800</v>
      </c>
      <c r="V127" s="29">
        <f>HOUR(V126)*3600+MINUTE(V126)*60+SECOND(V126)</f>
        <v>26100</v>
      </c>
      <c r="W127" s="29">
        <f>DATEDIF(DATE(1970,1,1),W126,"D")*86400</f>
        <v>1502928000</v>
      </c>
      <c r="X127" s="29">
        <f>HOUR(X126)*3600+MINUTE(X126)*60+SECOND(X126)</f>
        <v>56400</v>
      </c>
      <c r="Y127" s="31">
        <f>(Y126*B127)</f>
        <v>1.4E-3</v>
      </c>
      <c r="Z127" s="29">
        <f>Z126</f>
        <v>1</v>
      </c>
      <c r="AA127" s="29">
        <f>DATEDIF(DATE(1970,1,1),AA126,"D")*86400</f>
        <v>1502928000</v>
      </c>
      <c r="AB127" s="29">
        <f>HOUR(AB126)*3600+MINUTE(AB126)*60+SECOND(AB126)</f>
        <v>56460</v>
      </c>
      <c r="AC127" s="29">
        <f>AC126</f>
        <v>1</v>
      </c>
    </row>
    <row r="128" spans="1:29">
      <c r="A128" s="23" t="str">
        <f>Parameters!A65</f>
        <v>6CM7</v>
      </c>
      <c r="B128" s="23">
        <f>Parameters!B65</f>
        <v>5.0000000000000002E-5</v>
      </c>
      <c r="C128" s="24">
        <f>Parameters!C65</f>
        <v>2</v>
      </c>
      <c r="D128" s="24" t="str">
        <f>Parameters!D65</f>
        <v>BUY</v>
      </c>
      <c r="E128" s="23">
        <f>Parameters!E65</f>
        <v>0</v>
      </c>
      <c r="F128" s="23">
        <f>Parameters!F65</f>
        <v>5.0000000000000001E-3</v>
      </c>
      <c r="G128" s="25">
        <f>Parameters!G65</f>
        <v>0.03</v>
      </c>
      <c r="H128" s="25">
        <f>Parameters!H65</f>
        <v>0</v>
      </c>
      <c r="I128" s="25">
        <f>Parameters!I65</f>
        <v>0</v>
      </c>
      <c r="J128" s="25">
        <f>Parameters!J65</f>
        <v>1</v>
      </c>
      <c r="K128" s="25">
        <f>Parameters!K65</f>
        <v>1</v>
      </c>
      <c r="L128" s="26">
        <f t="shared" ref="L128" si="186">L129</f>
        <v>3.5E-4</v>
      </c>
      <c r="M128" s="25">
        <f>Parameters!L65</f>
        <v>1</v>
      </c>
      <c r="N128" s="25">
        <f>Parameters!M65</f>
        <v>1</v>
      </c>
      <c r="O128" s="26">
        <f t="shared" ref="O128" si="187">O129</f>
        <v>-6.5000000000000006E-3</v>
      </c>
      <c r="P128" s="23">
        <f>Parameters!N65</f>
        <v>1</v>
      </c>
      <c r="Q128" s="23">
        <f>Parameters!O65</f>
        <v>100</v>
      </c>
      <c r="R128" s="23">
        <f>Parameters!P65</f>
        <v>10</v>
      </c>
      <c r="S128" s="23">
        <f>Parameters!Q65</f>
        <v>2</v>
      </c>
      <c r="T128" s="23">
        <f>Parameters!R65</f>
        <v>1</v>
      </c>
      <c r="U128" s="27">
        <f>Parameters!S65</f>
        <v>42741</v>
      </c>
      <c r="V128" s="28">
        <f>Parameters!T65</f>
        <v>0.30208333333333331</v>
      </c>
      <c r="W128" s="27">
        <f>Parameters!U65</f>
        <v>42964</v>
      </c>
      <c r="X128" s="28">
        <f>Parameters!V65</f>
        <v>0.65277777777777779</v>
      </c>
      <c r="Y128" s="25">
        <f>Parameters!W65</f>
        <v>28</v>
      </c>
      <c r="Z128" s="23">
        <f>Parameters!X65</f>
        <v>1</v>
      </c>
      <c r="AA128" s="27">
        <f>Parameters!Y65</f>
        <v>42964</v>
      </c>
      <c r="AB128" s="28">
        <f>Parameters!Z65</f>
        <v>0.65347222222222223</v>
      </c>
      <c r="AC128" s="23">
        <f>Parameters!AA65</f>
        <v>1</v>
      </c>
    </row>
    <row r="129" spans="1:29">
      <c r="A129" s="29" t="str">
        <f>UPPER(A128)</f>
        <v>6CM7</v>
      </c>
      <c r="B129" s="29">
        <f>B128</f>
        <v>5.0000000000000002E-5</v>
      </c>
      <c r="C129" s="30">
        <f>C128</f>
        <v>2</v>
      </c>
      <c r="D129" s="30" t="str">
        <f>D128</f>
        <v>BUY</v>
      </c>
      <c r="E129" s="29">
        <f>E128</f>
        <v>0</v>
      </c>
      <c r="F129" s="29">
        <f>F128</f>
        <v>5.0000000000000001E-3</v>
      </c>
      <c r="G129" s="29">
        <f>IF(C128=1,IF(D128="BUY",E128+(ROUND(F128*G128/B128,0)*B128),E128-(ROUND(F128*G128/B128,0)*B128)),IF(D128="BUY",E128-(ROUND(F128*G128/B128,0)*B128),E128+(ROUND(F128*G128/B128,0)*B128)))</f>
        <v>-1.5000000000000001E-4</v>
      </c>
      <c r="H129" s="29">
        <f>IF(C128=1,IF(D128="BUY",G129-(ROUND(F128*H128/B128,0)*B128),G129+(ROUND(F128*H128/B128,0)*B128)),IF(D128="BUY",G129+(ROUND(F128*H128/B128,0)*B128),G129-(ROUND(F128*H128/B128,0)*B128)))</f>
        <v>-1.5000000000000001E-4</v>
      </c>
      <c r="I129" s="29">
        <f>IF(D128="BUY",G129+(ROUND(F128*I128/(B128*100),0)*B128),G129-(ROUND(F128*I128/(B128*100),0)*B128))</f>
        <v>-1.5000000000000001E-4</v>
      </c>
      <c r="J129" s="29">
        <f>IF(C128=1,IF(D128="BUY",E128+(ROUND(F128*J128/B128,0)*B128),E128-(ROUND(F128*J128/B128,0)*B128)),IF(D128="BUY",E128-(ROUND(F128*J128/B128,0)*B128),E128+(ROUND(F128*J128/B128,0)*B128)))</f>
        <v>-5.0000000000000001E-3</v>
      </c>
      <c r="K129" s="29">
        <f>IF(C128=1,IF(D128="BUY",E128-(ROUND(F128*K128/B128,0)*B128),E128+(ROUND(F128*K128/B128,0)*B128)),IF(D128="BUY",E128-(ROUND(F128*K128/B128,0)*B128),E128+(ROUND(F128*K128/B128,0)*B128)))</f>
        <v>-5.0000000000000001E-3</v>
      </c>
      <c r="L129" s="29">
        <f t="shared" ref="L129" si="188">IF(D129="BUY",I129+(R129*B129),I129-(R129*B129))</f>
        <v>3.5E-4</v>
      </c>
      <c r="M129" s="29">
        <f>IF(D128="BUY",E128+(ROUND(F128*M128/B128,0)*B128),E128-(ROUND(F128*M128/B128,0)*B128))</f>
        <v>5.0000000000000001E-3</v>
      </c>
      <c r="N129" s="29">
        <f>IF(D128="BUY",E128-(ROUND(F128*N128/B128,0)*B128),E128+(ROUND(F128*N128/B128,0)*B128))</f>
        <v>-5.0000000000000001E-3</v>
      </c>
      <c r="O129" s="31">
        <f>IF(D129="BUY",N129-VLOOKUP(A129,Symbols!A$1:D$1000,4,FALSE),N129+VLOOKUP(A129,Symbols!A$1:D$1000,4,FALSE))</f>
        <v>-6.5000000000000006E-3</v>
      </c>
      <c r="P129" s="29">
        <f>P128</f>
        <v>1</v>
      </c>
      <c r="Q129" s="29">
        <f>Q128</f>
        <v>100</v>
      </c>
      <c r="R129" s="29">
        <f>R128</f>
        <v>10</v>
      </c>
      <c r="S129" s="29">
        <f>S128</f>
        <v>2</v>
      </c>
      <c r="T129" s="29">
        <f>T128</f>
        <v>1</v>
      </c>
      <c r="U129" s="29">
        <f>DATEDIF(DATE(1970,1,1),U128,"D")*86400</f>
        <v>1483660800</v>
      </c>
      <c r="V129" s="29">
        <f>HOUR(V128)*3600+MINUTE(V128)*60+SECOND(V128)</f>
        <v>26100</v>
      </c>
      <c r="W129" s="29">
        <f>DATEDIF(DATE(1970,1,1),W128,"D")*86400</f>
        <v>1502928000</v>
      </c>
      <c r="X129" s="29">
        <f>HOUR(X128)*3600+MINUTE(X128)*60+SECOND(X128)</f>
        <v>56400</v>
      </c>
      <c r="Y129" s="31">
        <f>(Y128*B129)</f>
        <v>1.4E-3</v>
      </c>
      <c r="Z129" s="29">
        <f>Z128</f>
        <v>1</v>
      </c>
      <c r="AA129" s="29">
        <f>DATEDIF(DATE(1970,1,1),AA128,"D")*86400</f>
        <v>1502928000</v>
      </c>
      <c r="AB129" s="29">
        <f>HOUR(AB128)*3600+MINUTE(AB128)*60+SECOND(AB128)</f>
        <v>56460</v>
      </c>
      <c r="AC129" s="29">
        <f>AC128</f>
        <v>1</v>
      </c>
    </row>
    <row r="130" spans="1:29">
      <c r="A130" s="23" t="str">
        <f>Parameters!A66</f>
        <v>6CM7</v>
      </c>
      <c r="B130" s="23">
        <f>Parameters!B66</f>
        <v>5.0000000000000002E-5</v>
      </c>
      <c r="C130" s="24">
        <f>Parameters!C66</f>
        <v>2</v>
      </c>
      <c r="D130" s="24" t="str">
        <f>Parameters!D66</f>
        <v>BUY</v>
      </c>
      <c r="E130" s="23">
        <f>Parameters!E66</f>
        <v>0</v>
      </c>
      <c r="F130" s="23">
        <f>Parameters!F66</f>
        <v>5.0000000000000001E-3</v>
      </c>
      <c r="G130" s="25">
        <f>Parameters!G66</f>
        <v>0.04</v>
      </c>
      <c r="H130" s="25">
        <f>Parameters!H66</f>
        <v>0</v>
      </c>
      <c r="I130" s="25">
        <f>Parameters!I66</f>
        <v>0</v>
      </c>
      <c r="J130" s="25">
        <f>Parameters!J66</f>
        <v>1</v>
      </c>
      <c r="K130" s="25">
        <f>Parameters!K66</f>
        <v>1</v>
      </c>
      <c r="L130" s="26">
        <f t="shared" ref="L130" si="189">L131</f>
        <v>3.0000000000000003E-4</v>
      </c>
      <c r="M130" s="25">
        <f>Parameters!L66</f>
        <v>1</v>
      </c>
      <c r="N130" s="25">
        <f>Parameters!M66</f>
        <v>1</v>
      </c>
      <c r="O130" s="26">
        <f t="shared" ref="O130" si="190">O131</f>
        <v>-6.5000000000000006E-3</v>
      </c>
      <c r="P130" s="23">
        <f>Parameters!N66</f>
        <v>1</v>
      </c>
      <c r="Q130" s="23">
        <f>Parameters!O66</f>
        <v>100</v>
      </c>
      <c r="R130" s="23">
        <f>Parameters!P66</f>
        <v>10</v>
      </c>
      <c r="S130" s="23">
        <f>Parameters!Q66</f>
        <v>2</v>
      </c>
      <c r="T130" s="23">
        <f>Parameters!R66</f>
        <v>1</v>
      </c>
      <c r="U130" s="27">
        <f>Parameters!S66</f>
        <v>42741</v>
      </c>
      <c r="V130" s="28">
        <f>Parameters!T66</f>
        <v>0.30208333333333331</v>
      </c>
      <c r="W130" s="27">
        <f>Parameters!U66</f>
        <v>42964</v>
      </c>
      <c r="X130" s="28">
        <f>Parameters!V66</f>
        <v>0.65277777777777779</v>
      </c>
      <c r="Y130" s="25">
        <f>Parameters!W66</f>
        <v>28</v>
      </c>
      <c r="Z130" s="23">
        <f>Parameters!X66</f>
        <v>1</v>
      </c>
      <c r="AA130" s="27">
        <f>Parameters!Y66</f>
        <v>42964</v>
      </c>
      <c r="AB130" s="28">
        <f>Parameters!Z66</f>
        <v>0.65347222222222223</v>
      </c>
      <c r="AC130" s="23">
        <f>Parameters!AA66</f>
        <v>1</v>
      </c>
    </row>
    <row r="131" spans="1:29">
      <c r="A131" s="29" t="str">
        <f>UPPER(A130)</f>
        <v>6CM7</v>
      </c>
      <c r="B131" s="29">
        <f>B130</f>
        <v>5.0000000000000002E-5</v>
      </c>
      <c r="C131" s="30">
        <f>C130</f>
        <v>2</v>
      </c>
      <c r="D131" s="30" t="str">
        <f>D130</f>
        <v>BUY</v>
      </c>
      <c r="E131" s="29">
        <f>E130</f>
        <v>0</v>
      </c>
      <c r="F131" s="29">
        <f>F130</f>
        <v>5.0000000000000001E-3</v>
      </c>
      <c r="G131" s="29">
        <f>IF(C130=1,IF(D130="BUY",E130+(ROUND(F130*G130/B130,0)*B130),E130-(ROUND(F130*G130/B130,0)*B130)),IF(D130="BUY",E130-(ROUND(F130*G130/B130,0)*B130),E130+(ROUND(F130*G130/B130,0)*B130)))</f>
        <v>-2.0000000000000001E-4</v>
      </c>
      <c r="H131" s="29">
        <f>IF(C130=1,IF(D130="BUY",G131-(ROUND(F130*H130/B130,0)*B130),G131+(ROUND(F130*H130/B130,0)*B130)),IF(D130="BUY",G131+(ROUND(F130*H130/B130,0)*B130),G131-(ROUND(F130*H130/B130,0)*B130)))</f>
        <v>-2.0000000000000001E-4</v>
      </c>
      <c r="I131" s="29">
        <f>IF(D130="BUY",G131+(ROUND(F130*I130/(B130*100),0)*B130),G131-(ROUND(F130*I130/(B130*100),0)*B130))</f>
        <v>-2.0000000000000001E-4</v>
      </c>
      <c r="J131" s="29">
        <f>IF(C130=1,IF(D130="BUY",E130+(ROUND(F130*J130/B130,0)*B130),E130-(ROUND(F130*J130/B130,0)*B130)),IF(D130="BUY",E130-(ROUND(F130*J130/B130,0)*B130),E130+(ROUND(F130*J130/B130,0)*B130)))</f>
        <v>-5.0000000000000001E-3</v>
      </c>
      <c r="K131" s="29">
        <f>IF(C130=1,IF(D130="BUY",E130-(ROUND(F130*K130/B130,0)*B130),E130+(ROUND(F130*K130/B130,0)*B130)),IF(D130="BUY",E130-(ROUND(F130*K130/B130,0)*B130),E130+(ROUND(F130*K130/B130,0)*B130)))</f>
        <v>-5.0000000000000001E-3</v>
      </c>
      <c r="L131" s="29">
        <f t="shared" ref="L131" si="191">IF(D131="BUY",I131+(R131*B131),I131-(R131*B131))</f>
        <v>3.0000000000000003E-4</v>
      </c>
      <c r="M131" s="29">
        <f>IF(D130="BUY",E130+(ROUND(F130*M130/B130,0)*B130),E130-(ROUND(F130*M130/B130,0)*B130))</f>
        <v>5.0000000000000001E-3</v>
      </c>
      <c r="N131" s="29">
        <f>IF(D130="BUY",E130-(ROUND(F130*N130/B130,0)*B130),E130+(ROUND(F130*N130/B130,0)*B130))</f>
        <v>-5.0000000000000001E-3</v>
      </c>
      <c r="O131" s="31">
        <f>IF(D131="BUY",N131-VLOOKUP(A131,Symbols!A$1:D$1000,4,FALSE),N131+VLOOKUP(A131,Symbols!A$1:D$1000,4,FALSE))</f>
        <v>-6.5000000000000006E-3</v>
      </c>
      <c r="P131" s="29">
        <f>P130</f>
        <v>1</v>
      </c>
      <c r="Q131" s="29">
        <f>Q130</f>
        <v>100</v>
      </c>
      <c r="R131" s="29">
        <f>R130</f>
        <v>10</v>
      </c>
      <c r="S131" s="29">
        <f>S130</f>
        <v>2</v>
      </c>
      <c r="T131" s="29">
        <f>T130</f>
        <v>1</v>
      </c>
      <c r="U131" s="29">
        <f>DATEDIF(DATE(1970,1,1),U130,"D")*86400</f>
        <v>1483660800</v>
      </c>
      <c r="V131" s="29">
        <f>HOUR(V130)*3600+MINUTE(V130)*60+SECOND(V130)</f>
        <v>26100</v>
      </c>
      <c r="W131" s="29">
        <f>DATEDIF(DATE(1970,1,1),W130,"D")*86400</f>
        <v>1502928000</v>
      </c>
      <c r="X131" s="29">
        <f>HOUR(X130)*3600+MINUTE(X130)*60+SECOND(X130)</f>
        <v>56400</v>
      </c>
      <c r="Y131" s="31">
        <f>(Y130*B131)</f>
        <v>1.4E-3</v>
      </c>
      <c r="Z131" s="29">
        <f>Z130</f>
        <v>1</v>
      </c>
      <c r="AA131" s="29">
        <f>DATEDIF(DATE(1970,1,1),AA130,"D")*86400</f>
        <v>1502928000</v>
      </c>
      <c r="AB131" s="29">
        <f>HOUR(AB130)*3600+MINUTE(AB130)*60+SECOND(AB130)</f>
        <v>56460</v>
      </c>
      <c r="AC131" s="29">
        <f>AC130</f>
        <v>1</v>
      </c>
    </row>
    <row r="132" spans="1:29">
      <c r="A132" s="23" t="str">
        <f>Parameters!A67</f>
        <v>6CM7</v>
      </c>
      <c r="B132" s="23">
        <f>Parameters!B67</f>
        <v>5.0000000000000002E-5</v>
      </c>
      <c r="C132" s="24">
        <f>Parameters!C67</f>
        <v>2</v>
      </c>
      <c r="D132" s="24" t="str">
        <f>Parameters!D67</f>
        <v>BUY</v>
      </c>
      <c r="E132" s="23">
        <f>Parameters!E67</f>
        <v>0</v>
      </c>
      <c r="F132" s="23">
        <f>Parameters!F67</f>
        <v>5.0000000000000001E-3</v>
      </c>
      <c r="G132" s="25">
        <f>Parameters!G67</f>
        <v>0.05</v>
      </c>
      <c r="H132" s="25">
        <f>Parameters!H67</f>
        <v>0</v>
      </c>
      <c r="I132" s="25">
        <f>Parameters!I67</f>
        <v>0</v>
      </c>
      <c r="J132" s="25">
        <f>Parameters!J67</f>
        <v>1</v>
      </c>
      <c r="K132" s="25">
        <f>Parameters!K67</f>
        <v>1</v>
      </c>
      <c r="L132" s="26">
        <f t="shared" ref="L132" si="192">L133</f>
        <v>2.5000000000000001E-4</v>
      </c>
      <c r="M132" s="25">
        <f>Parameters!L67</f>
        <v>1</v>
      </c>
      <c r="N132" s="25">
        <f>Parameters!M67</f>
        <v>1</v>
      </c>
      <c r="O132" s="26">
        <f t="shared" ref="O132" si="193">O133</f>
        <v>-6.5000000000000006E-3</v>
      </c>
      <c r="P132" s="23">
        <f>Parameters!N67</f>
        <v>1</v>
      </c>
      <c r="Q132" s="23">
        <f>Parameters!O67</f>
        <v>100</v>
      </c>
      <c r="R132" s="23">
        <f>Parameters!P67</f>
        <v>10</v>
      </c>
      <c r="S132" s="23">
        <f>Parameters!Q67</f>
        <v>2</v>
      </c>
      <c r="T132" s="23">
        <f>Parameters!R67</f>
        <v>1</v>
      </c>
      <c r="U132" s="27">
        <f>Parameters!S67</f>
        <v>42741</v>
      </c>
      <c r="V132" s="28">
        <f>Parameters!T67</f>
        <v>0.30208333333333331</v>
      </c>
      <c r="W132" s="27">
        <f>Parameters!U67</f>
        <v>42964</v>
      </c>
      <c r="X132" s="28">
        <f>Parameters!V67</f>
        <v>0.65277777777777779</v>
      </c>
      <c r="Y132" s="25">
        <f>Parameters!W67</f>
        <v>28</v>
      </c>
      <c r="Z132" s="23">
        <f>Parameters!X67</f>
        <v>1</v>
      </c>
      <c r="AA132" s="27">
        <f>Parameters!Y67</f>
        <v>42964</v>
      </c>
      <c r="AB132" s="28">
        <f>Parameters!Z67</f>
        <v>0.65347222222222223</v>
      </c>
      <c r="AC132" s="23">
        <f>Parameters!AA67</f>
        <v>1</v>
      </c>
    </row>
    <row r="133" spans="1:29">
      <c r="A133" s="29" t="str">
        <f>UPPER(A132)</f>
        <v>6CM7</v>
      </c>
      <c r="B133" s="29">
        <f>B132</f>
        <v>5.0000000000000002E-5</v>
      </c>
      <c r="C133" s="30">
        <f>C132</f>
        <v>2</v>
      </c>
      <c r="D133" s="30" t="str">
        <f>D132</f>
        <v>BUY</v>
      </c>
      <c r="E133" s="29">
        <f>E132</f>
        <v>0</v>
      </c>
      <c r="F133" s="29">
        <f>F132</f>
        <v>5.0000000000000001E-3</v>
      </c>
      <c r="G133" s="29">
        <f>IF(C132=1,IF(D132="BUY",E132+(ROUND(F132*G132/B132,0)*B132),E132-(ROUND(F132*G132/B132,0)*B132)),IF(D132="BUY",E132-(ROUND(F132*G132/B132,0)*B132),E132+(ROUND(F132*G132/B132,0)*B132)))</f>
        <v>-2.5000000000000001E-4</v>
      </c>
      <c r="H133" s="29">
        <f>IF(C132=1,IF(D132="BUY",G133-(ROUND(F132*H132/B132,0)*B132),G133+(ROUND(F132*H132/B132,0)*B132)),IF(D132="BUY",G133+(ROUND(F132*H132/B132,0)*B132),G133-(ROUND(F132*H132/B132,0)*B132)))</f>
        <v>-2.5000000000000001E-4</v>
      </c>
      <c r="I133" s="29">
        <f>IF(D132="BUY",G133+(ROUND(F132*I132/(B132*100),0)*B132),G133-(ROUND(F132*I132/(B132*100),0)*B132))</f>
        <v>-2.5000000000000001E-4</v>
      </c>
      <c r="J133" s="29">
        <f>IF(C132=1,IF(D132="BUY",E132+(ROUND(F132*J132/B132,0)*B132),E132-(ROUND(F132*J132/B132,0)*B132)),IF(D132="BUY",E132-(ROUND(F132*J132/B132,0)*B132),E132+(ROUND(F132*J132/B132,0)*B132)))</f>
        <v>-5.0000000000000001E-3</v>
      </c>
      <c r="K133" s="29">
        <f>IF(C132=1,IF(D132="BUY",E132-(ROUND(F132*K132/B132,0)*B132),E132+(ROUND(F132*K132/B132,0)*B132)),IF(D132="BUY",E132-(ROUND(F132*K132/B132,0)*B132),E132+(ROUND(F132*K132/B132,0)*B132)))</f>
        <v>-5.0000000000000001E-3</v>
      </c>
      <c r="L133" s="29">
        <f t="shared" ref="L133" si="194">IF(D133="BUY",I133+(R133*B133),I133-(R133*B133))</f>
        <v>2.5000000000000001E-4</v>
      </c>
      <c r="M133" s="29">
        <f>IF(D132="BUY",E132+(ROUND(F132*M132/B132,0)*B132),E132-(ROUND(F132*M132/B132,0)*B132))</f>
        <v>5.0000000000000001E-3</v>
      </c>
      <c r="N133" s="29">
        <f>IF(D132="BUY",E132-(ROUND(F132*N132/B132,0)*B132),E132+(ROUND(F132*N132/B132,0)*B132))</f>
        <v>-5.0000000000000001E-3</v>
      </c>
      <c r="O133" s="31">
        <f>IF(D133="BUY",N133-VLOOKUP(A133,Symbols!A$1:D$1000,4,FALSE),N133+VLOOKUP(A133,Symbols!A$1:D$1000,4,FALSE))</f>
        <v>-6.5000000000000006E-3</v>
      </c>
      <c r="P133" s="29">
        <f>P132</f>
        <v>1</v>
      </c>
      <c r="Q133" s="29">
        <f>Q132</f>
        <v>100</v>
      </c>
      <c r="R133" s="29">
        <f>R132</f>
        <v>10</v>
      </c>
      <c r="S133" s="29">
        <f>S132</f>
        <v>2</v>
      </c>
      <c r="T133" s="29">
        <f>T132</f>
        <v>1</v>
      </c>
      <c r="U133" s="29">
        <f>DATEDIF(DATE(1970,1,1),U132,"D")*86400</f>
        <v>1483660800</v>
      </c>
      <c r="V133" s="29">
        <f>HOUR(V132)*3600+MINUTE(V132)*60+SECOND(V132)</f>
        <v>26100</v>
      </c>
      <c r="W133" s="29">
        <f>DATEDIF(DATE(1970,1,1),W132,"D")*86400</f>
        <v>1502928000</v>
      </c>
      <c r="X133" s="29">
        <f>HOUR(X132)*3600+MINUTE(X132)*60+SECOND(X132)</f>
        <v>56400</v>
      </c>
      <c r="Y133" s="31">
        <f>(Y132*B133)</f>
        <v>1.4E-3</v>
      </c>
      <c r="Z133" s="29">
        <f>Z132</f>
        <v>1</v>
      </c>
      <c r="AA133" s="29">
        <f>DATEDIF(DATE(1970,1,1),AA132,"D")*86400</f>
        <v>1502928000</v>
      </c>
      <c r="AB133" s="29">
        <f>HOUR(AB132)*3600+MINUTE(AB132)*60+SECOND(AB132)</f>
        <v>56460</v>
      </c>
      <c r="AC133" s="29">
        <f>AC132</f>
        <v>1</v>
      </c>
    </row>
    <row r="134" spans="1:29">
      <c r="A134" s="23" t="str">
        <f>Parameters!A68</f>
        <v>6CM7</v>
      </c>
      <c r="B134" s="23">
        <f>Parameters!B68</f>
        <v>5.0000000000000002E-5</v>
      </c>
      <c r="C134" s="24">
        <f>Parameters!C68</f>
        <v>2</v>
      </c>
      <c r="D134" s="24" t="str">
        <f>Parameters!D68</f>
        <v>BUY</v>
      </c>
      <c r="E134" s="23">
        <f>Parameters!E68</f>
        <v>0</v>
      </c>
      <c r="F134" s="23">
        <f>Parameters!F68</f>
        <v>5.0000000000000001E-3</v>
      </c>
      <c r="G134" s="25">
        <f>Parameters!G68</f>
        <v>0.06</v>
      </c>
      <c r="H134" s="25">
        <f>Parameters!H68</f>
        <v>0</v>
      </c>
      <c r="I134" s="25">
        <f>Parameters!I68</f>
        <v>0</v>
      </c>
      <c r="J134" s="25">
        <f>Parameters!J68</f>
        <v>1</v>
      </c>
      <c r="K134" s="25">
        <f>Parameters!K68</f>
        <v>1</v>
      </c>
      <c r="L134" s="26">
        <f t="shared" ref="L134" si="195">L135</f>
        <v>1.9999999999999998E-4</v>
      </c>
      <c r="M134" s="25">
        <f>Parameters!L68</f>
        <v>1</v>
      </c>
      <c r="N134" s="25">
        <f>Parameters!M68</f>
        <v>1</v>
      </c>
      <c r="O134" s="26">
        <f t="shared" ref="O134" si="196">O135</f>
        <v>-6.5000000000000006E-3</v>
      </c>
      <c r="P134" s="23">
        <f>Parameters!N68</f>
        <v>1</v>
      </c>
      <c r="Q134" s="23">
        <f>Parameters!O68</f>
        <v>100</v>
      </c>
      <c r="R134" s="23">
        <f>Parameters!P68</f>
        <v>10</v>
      </c>
      <c r="S134" s="23">
        <f>Parameters!Q68</f>
        <v>2</v>
      </c>
      <c r="T134" s="23">
        <f>Parameters!R68</f>
        <v>1</v>
      </c>
      <c r="U134" s="27">
        <f>Parameters!S68</f>
        <v>42741</v>
      </c>
      <c r="V134" s="28">
        <f>Parameters!T68</f>
        <v>0.30208333333333331</v>
      </c>
      <c r="W134" s="27">
        <f>Parameters!U68</f>
        <v>42964</v>
      </c>
      <c r="X134" s="28">
        <f>Parameters!V68</f>
        <v>0.65277777777777779</v>
      </c>
      <c r="Y134" s="25">
        <f>Parameters!W68</f>
        <v>28</v>
      </c>
      <c r="Z134" s="23">
        <f>Parameters!X68</f>
        <v>1</v>
      </c>
      <c r="AA134" s="27">
        <f>Parameters!Y68</f>
        <v>42964</v>
      </c>
      <c r="AB134" s="28">
        <f>Parameters!Z68</f>
        <v>0.65347222222222223</v>
      </c>
      <c r="AC134" s="23">
        <f>Parameters!AA68</f>
        <v>1</v>
      </c>
    </row>
    <row r="135" spans="1:29">
      <c r="A135" s="29" t="str">
        <f>UPPER(A134)</f>
        <v>6CM7</v>
      </c>
      <c r="B135" s="29">
        <f>B134</f>
        <v>5.0000000000000002E-5</v>
      </c>
      <c r="C135" s="30">
        <f>C134</f>
        <v>2</v>
      </c>
      <c r="D135" s="30" t="str">
        <f>D134</f>
        <v>BUY</v>
      </c>
      <c r="E135" s="29">
        <f>E134</f>
        <v>0</v>
      </c>
      <c r="F135" s="29">
        <f>F134</f>
        <v>5.0000000000000001E-3</v>
      </c>
      <c r="G135" s="29">
        <f>IF(C134=1,IF(D134="BUY",E134+(ROUND(F134*G134/B134,0)*B134),E134-(ROUND(F134*G134/B134,0)*B134)),IF(D134="BUY",E134-(ROUND(F134*G134/B134,0)*B134),E134+(ROUND(F134*G134/B134,0)*B134)))</f>
        <v>-3.0000000000000003E-4</v>
      </c>
      <c r="H135" s="29">
        <f>IF(C134=1,IF(D134="BUY",G135-(ROUND(F134*H134/B134,0)*B134),G135+(ROUND(F134*H134/B134,0)*B134)),IF(D134="BUY",G135+(ROUND(F134*H134/B134,0)*B134),G135-(ROUND(F134*H134/B134,0)*B134)))</f>
        <v>-3.0000000000000003E-4</v>
      </c>
      <c r="I135" s="29">
        <f>IF(D134="BUY",G135+(ROUND(F134*I134/(B134*100),0)*B134),G135-(ROUND(F134*I134/(B134*100),0)*B134))</f>
        <v>-3.0000000000000003E-4</v>
      </c>
      <c r="J135" s="29">
        <f>IF(C134=1,IF(D134="BUY",E134+(ROUND(F134*J134/B134,0)*B134),E134-(ROUND(F134*J134/B134,0)*B134)),IF(D134="BUY",E134-(ROUND(F134*J134/B134,0)*B134),E134+(ROUND(F134*J134/B134,0)*B134)))</f>
        <v>-5.0000000000000001E-3</v>
      </c>
      <c r="K135" s="29">
        <f>IF(C134=1,IF(D134="BUY",E134-(ROUND(F134*K134/B134,0)*B134),E134+(ROUND(F134*K134/B134,0)*B134)),IF(D134="BUY",E134-(ROUND(F134*K134/B134,0)*B134),E134+(ROUND(F134*K134/B134,0)*B134)))</f>
        <v>-5.0000000000000001E-3</v>
      </c>
      <c r="L135" s="29">
        <f t="shared" ref="L135" si="197">IF(D135="BUY",I135+(R135*B135),I135-(R135*B135))</f>
        <v>1.9999999999999998E-4</v>
      </c>
      <c r="M135" s="29">
        <f>IF(D134="BUY",E134+(ROUND(F134*M134/B134,0)*B134),E134-(ROUND(F134*M134/B134,0)*B134))</f>
        <v>5.0000000000000001E-3</v>
      </c>
      <c r="N135" s="29">
        <f>IF(D134="BUY",E134-(ROUND(F134*N134/B134,0)*B134),E134+(ROUND(F134*N134/B134,0)*B134))</f>
        <v>-5.0000000000000001E-3</v>
      </c>
      <c r="O135" s="31">
        <f>IF(D135="BUY",N135-VLOOKUP(A135,Symbols!A$1:D$1000,4,FALSE),N135+VLOOKUP(A135,Symbols!A$1:D$1000,4,FALSE))</f>
        <v>-6.5000000000000006E-3</v>
      </c>
      <c r="P135" s="29">
        <f>P134</f>
        <v>1</v>
      </c>
      <c r="Q135" s="29">
        <f>Q134</f>
        <v>100</v>
      </c>
      <c r="R135" s="29">
        <f>R134</f>
        <v>10</v>
      </c>
      <c r="S135" s="29">
        <f>S134</f>
        <v>2</v>
      </c>
      <c r="T135" s="29">
        <f>T134</f>
        <v>1</v>
      </c>
      <c r="U135" s="29">
        <f>DATEDIF(DATE(1970,1,1),U134,"D")*86400</f>
        <v>1483660800</v>
      </c>
      <c r="V135" s="29">
        <f>HOUR(V134)*3600+MINUTE(V134)*60+SECOND(V134)</f>
        <v>26100</v>
      </c>
      <c r="W135" s="29">
        <f>DATEDIF(DATE(1970,1,1),W134,"D")*86400</f>
        <v>1502928000</v>
      </c>
      <c r="X135" s="29">
        <f>HOUR(X134)*3600+MINUTE(X134)*60+SECOND(X134)</f>
        <v>56400</v>
      </c>
      <c r="Y135" s="31">
        <f>(Y134*B135)</f>
        <v>1.4E-3</v>
      </c>
      <c r="Z135" s="29">
        <f>Z134</f>
        <v>1</v>
      </c>
      <c r="AA135" s="29">
        <f>DATEDIF(DATE(1970,1,1),AA134,"D")*86400</f>
        <v>1502928000</v>
      </c>
      <c r="AB135" s="29">
        <f>HOUR(AB134)*3600+MINUTE(AB134)*60+SECOND(AB134)</f>
        <v>56460</v>
      </c>
      <c r="AC135" s="29">
        <f>AC134</f>
        <v>1</v>
      </c>
    </row>
    <row r="136" spans="1:29">
      <c r="A136" s="23" t="str">
        <f>Parameters!A69</f>
        <v>6CM7</v>
      </c>
      <c r="B136" s="23">
        <f>Parameters!B69</f>
        <v>5.0000000000000002E-5</v>
      </c>
      <c r="C136" s="24">
        <f>Parameters!C69</f>
        <v>2</v>
      </c>
      <c r="D136" s="24" t="str">
        <f>Parameters!D69</f>
        <v>BUY</v>
      </c>
      <c r="E136" s="23">
        <f>Parameters!E69</f>
        <v>0</v>
      </c>
      <c r="F136" s="23">
        <f>Parameters!F69</f>
        <v>5.0000000000000001E-3</v>
      </c>
      <c r="G136" s="25">
        <f>Parameters!G69</f>
        <v>7.0000000000000007E-2</v>
      </c>
      <c r="H136" s="25">
        <f>Parameters!H69</f>
        <v>0</v>
      </c>
      <c r="I136" s="25">
        <f>Parameters!I69</f>
        <v>0</v>
      </c>
      <c r="J136" s="25">
        <f>Parameters!J69</f>
        <v>1</v>
      </c>
      <c r="K136" s="25">
        <f>Parameters!K69</f>
        <v>1</v>
      </c>
      <c r="L136" s="26">
        <f t="shared" ref="L136" si="198">L137</f>
        <v>1.5000000000000001E-4</v>
      </c>
      <c r="M136" s="25">
        <f>Parameters!L69</f>
        <v>1</v>
      </c>
      <c r="N136" s="25">
        <f>Parameters!M69</f>
        <v>1</v>
      </c>
      <c r="O136" s="26">
        <f t="shared" ref="O136" si="199">O137</f>
        <v>-6.5000000000000006E-3</v>
      </c>
      <c r="P136" s="23">
        <f>Parameters!N69</f>
        <v>1</v>
      </c>
      <c r="Q136" s="23">
        <f>Parameters!O69</f>
        <v>100</v>
      </c>
      <c r="R136" s="23">
        <f>Parameters!P69</f>
        <v>10</v>
      </c>
      <c r="S136" s="23">
        <f>Parameters!Q69</f>
        <v>2</v>
      </c>
      <c r="T136" s="23">
        <f>Parameters!R69</f>
        <v>1</v>
      </c>
      <c r="U136" s="27">
        <f>Parameters!S69</f>
        <v>42741</v>
      </c>
      <c r="V136" s="28">
        <f>Parameters!T69</f>
        <v>0.30208333333333331</v>
      </c>
      <c r="W136" s="27">
        <f>Parameters!U69</f>
        <v>42964</v>
      </c>
      <c r="X136" s="28">
        <f>Parameters!V69</f>
        <v>0.65277777777777779</v>
      </c>
      <c r="Y136" s="25">
        <f>Parameters!W69</f>
        <v>28</v>
      </c>
      <c r="Z136" s="23">
        <f>Parameters!X69</f>
        <v>1</v>
      </c>
      <c r="AA136" s="27">
        <f>Parameters!Y69</f>
        <v>42964</v>
      </c>
      <c r="AB136" s="28">
        <f>Parameters!Z69</f>
        <v>0.65347222222222223</v>
      </c>
      <c r="AC136" s="23">
        <f>Parameters!AA69</f>
        <v>1</v>
      </c>
    </row>
    <row r="137" spans="1:29">
      <c r="A137" s="29" t="str">
        <f>UPPER(A136)</f>
        <v>6CM7</v>
      </c>
      <c r="B137" s="29">
        <f>B136</f>
        <v>5.0000000000000002E-5</v>
      </c>
      <c r="C137" s="30">
        <f>C136</f>
        <v>2</v>
      </c>
      <c r="D137" s="30" t="str">
        <f>D136</f>
        <v>BUY</v>
      </c>
      <c r="E137" s="29">
        <f>E136</f>
        <v>0</v>
      </c>
      <c r="F137" s="29">
        <f>F136</f>
        <v>5.0000000000000001E-3</v>
      </c>
      <c r="G137" s="29">
        <f>IF(C136=1,IF(D136="BUY",E136+(ROUND(F136*G136/B136,0)*B136),E136-(ROUND(F136*G136/B136,0)*B136)),IF(D136="BUY",E136-(ROUND(F136*G136/B136,0)*B136),E136+(ROUND(F136*G136/B136,0)*B136)))</f>
        <v>-3.5E-4</v>
      </c>
      <c r="H137" s="29">
        <f>IF(C136=1,IF(D136="BUY",G137-(ROUND(F136*H136/B136,0)*B136),G137+(ROUND(F136*H136/B136,0)*B136)),IF(D136="BUY",G137+(ROUND(F136*H136/B136,0)*B136),G137-(ROUND(F136*H136/B136,0)*B136)))</f>
        <v>-3.5E-4</v>
      </c>
      <c r="I137" s="29">
        <f>IF(D136="BUY",G137+(ROUND(F136*I136/(B136*100),0)*B136),G137-(ROUND(F136*I136/(B136*100),0)*B136))</f>
        <v>-3.5E-4</v>
      </c>
      <c r="J137" s="29">
        <f>IF(C136=1,IF(D136="BUY",E136+(ROUND(F136*J136/B136,0)*B136),E136-(ROUND(F136*J136/B136,0)*B136)),IF(D136="BUY",E136-(ROUND(F136*J136/B136,0)*B136),E136+(ROUND(F136*J136/B136,0)*B136)))</f>
        <v>-5.0000000000000001E-3</v>
      </c>
      <c r="K137" s="29">
        <f>IF(C136=1,IF(D136="BUY",E136-(ROUND(F136*K136/B136,0)*B136),E136+(ROUND(F136*K136/B136,0)*B136)),IF(D136="BUY",E136-(ROUND(F136*K136/B136,0)*B136),E136+(ROUND(F136*K136/B136,0)*B136)))</f>
        <v>-5.0000000000000001E-3</v>
      </c>
      <c r="L137" s="29">
        <f t="shared" ref="L137" si="200">IF(D137="BUY",I137+(R137*B137),I137-(R137*B137))</f>
        <v>1.5000000000000001E-4</v>
      </c>
      <c r="M137" s="29">
        <f>IF(D136="BUY",E136+(ROUND(F136*M136/B136,0)*B136),E136-(ROUND(F136*M136/B136,0)*B136))</f>
        <v>5.0000000000000001E-3</v>
      </c>
      <c r="N137" s="29">
        <f>IF(D136="BUY",E136-(ROUND(F136*N136/B136,0)*B136),E136+(ROUND(F136*N136/B136,0)*B136))</f>
        <v>-5.0000000000000001E-3</v>
      </c>
      <c r="O137" s="31">
        <f>IF(D137="BUY",N137-VLOOKUP(A137,Symbols!A$1:D$1000,4,FALSE),N137+VLOOKUP(A137,Symbols!A$1:D$1000,4,FALSE))</f>
        <v>-6.5000000000000006E-3</v>
      </c>
      <c r="P137" s="29">
        <f>P136</f>
        <v>1</v>
      </c>
      <c r="Q137" s="29">
        <f>Q136</f>
        <v>100</v>
      </c>
      <c r="R137" s="29">
        <f>R136</f>
        <v>10</v>
      </c>
      <c r="S137" s="29">
        <f>S136</f>
        <v>2</v>
      </c>
      <c r="T137" s="29">
        <f>T136</f>
        <v>1</v>
      </c>
      <c r="U137" s="29">
        <f>DATEDIF(DATE(1970,1,1),U136,"D")*86400</f>
        <v>1483660800</v>
      </c>
      <c r="V137" s="29">
        <f>HOUR(V136)*3600+MINUTE(V136)*60+SECOND(V136)</f>
        <v>26100</v>
      </c>
      <c r="W137" s="29">
        <f>DATEDIF(DATE(1970,1,1),W136,"D")*86400</f>
        <v>1502928000</v>
      </c>
      <c r="X137" s="29">
        <f>HOUR(X136)*3600+MINUTE(X136)*60+SECOND(X136)</f>
        <v>56400</v>
      </c>
      <c r="Y137" s="31">
        <f>(Y136*B137)</f>
        <v>1.4E-3</v>
      </c>
      <c r="Z137" s="29">
        <f>Z136</f>
        <v>1</v>
      </c>
      <c r="AA137" s="29">
        <f>DATEDIF(DATE(1970,1,1),AA136,"D")*86400</f>
        <v>1502928000</v>
      </c>
      <c r="AB137" s="29">
        <f>HOUR(AB136)*3600+MINUTE(AB136)*60+SECOND(AB136)</f>
        <v>56460</v>
      </c>
      <c r="AC137" s="29">
        <f>AC136</f>
        <v>1</v>
      </c>
    </row>
    <row r="138" spans="1:29">
      <c r="A138" s="23" t="str">
        <f>Parameters!A70</f>
        <v>6CM7</v>
      </c>
      <c r="B138" s="23">
        <f>Parameters!B70</f>
        <v>5.0000000000000002E-5</v>
      </c>
      <c r="C138" s="24">
        <f>Parameters!C70</f>
        <v>2</v>
      </c>
      <c r="D138" s="24" t="str">
        <f>Parameters!D70</f>
        <v>BUY</v>
      </c>
      <c r="E138" s="23">
        <f>Parameters!E70</f>
        <v>0</v>
      </c>
      <c r="F138" s="23">
        <f>Parameters!F70</f>
        <v>5.0000000000000001E-3</v>
      </c>
      <c r="G138" s="25">
        <f>Parameters!G70</f>
        <v>0.08</v>
      </c>
      <c r="H138" s="25">
        <f>Parameters!H70</f>
        <v>0</v>
      </c>
      <c r="I138" s="25">
        <f>Parameters!I70</f>
        <v>0</v>
      </c>
      <c r="J138" s="25">
        <f>Parameters!J70</f>
        <v>1</v>
      </c>
      <c r="K138" s="25">
        <f>Parameters!K70</f>
        <v>1</v>
      </c>
      <c r="L138" s="26">
        <f t="shared" ref="L138" si="201">L139</f>
        <v>9.9999999999999991E-5</v>
      </c>
      <c r="M138" s="25">
        <f>Parameters!L70</f>
        <v>1</v>
      </c>
      <c r="N138" s="25">
        <f>Parameters!M70</f>
        <v>1</v>
      </c>
      <c r="O138" s="26">
        <f t="shared" ref="O138" si="202">O139</f>
        <v>-6.5000000000000006E-3</v>
      </c>
      <c r="P138" s="23">
        <f>Parameters!N70</f>
        <v>1</v>
      </c>
      <c r="Q138" s="23">
        <f>Parameters!O70</f>
        <v>100</v>
      </c>
      <c r="R138" s="23">
        <f>Parameters!P70</f>
        <v>10</v>
      </c>
      <c r="S138" s="23">
        <f>Parameters!Q70</f>
        <v>2</v>
      </c>
      <c r="T138" s="23">
        <f>Parameters!R70</f>
        <v>1</v>
      </c>
      <c r="U138" s="27">
        <f>Parameters!S70</f>
        <v>42741</v>
      </c>
      <c r="V138" s="28">
        <f>Parameters!T70</f>
        <v>0.30208333333333331</v>
      </c>
      <c r="W138" s="27">
        <f>Parameters!U70</f>
        <v>42964</v>
      </c>
      <c r="X138" s="28">
        <f>Parameters!V70</f>
        <v>0.65277777777777779</v>
      </c>
      <c r="Y138" s="25">
        <f>Parameters!W70</f>
        <v>28</v>
      </c>
      <c r="Z138" s="23">
        <f>Parameters!X70</f>
        <v>1</v>
      </c>
      <c r="AA138" s="27">
        <f>Parameters!Y70</f>
        <v>42964</v>
      </c>
      <c r="AB138" s="28">
        <f>Parameters!Z70</f>
        <v>0.65347222222222223</v>
      </c>
      <c r="AC138" s="23">
        <f>Parameters!AA70</f>
        <v>1</v>
      </c>
    </row>
    <row r="139" spans="1:29">
      <c r="A139" s="29" t="str">
        <f>UPPER(A138)</f>
        <v>6CM7</v>
      </c>
      <c r="B139" s="29">
        <f>B138</f>
        <v>5.0000000000000002E-5</v>
      </c>
      <c r="C139" s="30">
        <f>C138</f>
        <v>2</v>
      </c>
      <c r="D139" s="30" t="str">
        <f>D138</f>
        <v>BUY</v>
      </c>
      <c r="E139" s="29">
        <f>E138</f>
        <v>0</v>
      </c>
      <c r="F139" s="29">
        <f>F138</f>
        <v>5.0000000000000001E-3</v>
      </c>
      <c r="G139" s="29">
        <f>IF(C138=1,IF(D138="BUY",E138+(ROUND(F138*G138/B138,0)*B138),E138-(ROUND(F138*G138/B138,0)*B138)),IF(D138="BUY",E138-(ROUND(F138*G138/B138,0)*B138),E138+(ROUND(F138*G138/B138,0)*B138)))</f>
        <v>-4.0000000000000002E-4</v>
      </c>
      <c r="H139" s="29">
        <f>IF(C138=1,IF(D138="BUY",G139-(ROUND(F138*H138/B138,0)*B138),G139+(ROUND(F138*H138/B138,0)*B138)),IF(D138="BUY",G139+(ROUND(F138*H138/B138,0)*B138),G139-(ROUND(F138*H138/B138,0)*B138)))</f>
        <v>-4.0000000000000002E-4</v>
      </c>
      <c r="I139" s="29">
        <f>IF(D138="BUY",G139+(ROUND(F138*I138/(B138*100),0)*B138),G139-(ROUND(F138*I138/(B138*100),0)*B138))</f>
        <v>-4.0000000000000002E-4</v>
      </c>
      <c r="J139" s="29">
        <f>IF(C138=1,IF(D138="BUY",E138+(ROUND(F138*J138/B138,0)*B138),E138-(ROUND(F138*J138/B138,0)*B138)),IF(D138="BUY",E138-(ROUND(F138*J138/B138,0)*B138),E138+(ROUND(F138*J138/B138,0)*B138)))</f>
        <v>-5.0000000000000001E-3</v>
      </c>
      <c r="K139" s="29">
        <f>IF(C138=1,IF(D138="BUY",E138-(ROUND(F138*K138/B138,0)*B138),E138+(ROUND(F138*K138/B138,0)*B138)),IF(D138="BUY",E138-(ROUND(F138*K138/B138,0)*B138),E138+(ROUND(F138*K138/B138,0)*B138)))</f>
        <v>-5.0000000000000001E-3</v>
      </c>
      <c r="L139" s="29">
        <f t="shared" ref="L139" si="203">IF(D139="BUY",I139+(R139*B139),I139-(R139*B139))</f>
        <v>9.9999999999999991E-5</v>
      </c>
      <c r="M139" s="29">
        <f>IF(D138="BUY",E138+(ROUND(F138*M138/B138,0)*B138),E138-(ROUND(F138*M138/B138,0)*B138))</f>
        <v>5.0000000000000001E-3</v>
      </c>
      <c r="N139" s="29">
        <f>IF(D138="BUY",E138-(ROUND(F138*N138/B138,0)*B138),E138+(ROUND(F138*N138/B138,0)*B138))</f>
        <v>-5.0000000000000001E-3</v>
      </c>
      <c r="O139" s="31">
        <f>IF(D139="BUY",N139-VLOOKUP(A139,Symbols!A$1:D$1000,4,FALSE),N139+VLOOKUP(A139,Symbols!A$1:D$1000,4,FALSE))</f>
        <v>-6.5000000000000006E-3</v>
      </c>
      <c r="P139" s="29">
        <f>P138</f>
        <v>1</v>
      </c>
      <c r="Q139" s="29">
        <f>Q138</f>
        <v>100</v>
      </c>
      <c r="R139" s="29">
        <f>R138</f>
        <v>10</v>
      </c>
      <c r="S139" s="29">
        <f>S138</f>
        <v>2</v>
      </c>
      <c r="T139" s="29">
        <f>T138</f>
        <v>1</v>
      </c>
      <c r="U139" s="29">
        <f>DATEDIF(DATE(1970,1,1),U138,"D")*86400</f>
        <v>1483660800</v>
      </c>
      <c r="V139" s="29">
        <f>HOUR(V138)*3600+MINUTE(V138)*60+SECOND(V138)</f>
        <v>26100</v>
      </c>
      <c r="W139" s="29">
        <f>DATEDIF(DATE(1970,1,1),W138,"D")*86400</f>
        <v>1502928000</v>
      </c>
      <c r="X139" s="29">
        <f>HOUR(X138)*3600+MINUTE(X138)*60+SECOND(X138)</f>
        <v>56400</v>
      </c>
      <c r="Y139" s="31">
        <f>(Y138*B139)</f>
        <v>1.4E-3</v>
      </c>
      <c r="Z139" s="29">
        <f>Z138</f>
        <v>1</v>
      </c>
      <c r="AA139" s="29">
        <f>DATEDIF(DATE(1970,1,1),AA138,"D")*86400</f>
        <v>1502928000</v>
      </c>
      <c r="AB139" s="29">
        <f>HOUR(AB138)*3600+MINUTE(AB138)*60+SECOND(AB138)</f>
        <v>56460</v>
      </c>
      <c r="AC139" s="29">
        <f>AC138</f>
        <v>1</v>
      </c>
    </row>
    <row r="140" spans="1:29">
      <c r="A140" s="23" t="str">
        <f>Parameters!A71</f>
        <v>6CM7</v>
      </c>
      <c r="B140" s="23">
        <f>Parameters!B71</f>
        <v>5.0000000000000002E-5</v>
      </c>
      <c r="C140" s="24">
        <f>Parameters!C71</f>
        <v>2</v>
      </c>
      <c r="D140" s="24" t="str">
        <f>Parameters!D71</f>
        <v>BUY</v>
      </c>
      <c r="E140" s="23">
        <f>Parameters!E71</f>
        <v>0</v>
      </c>
      <c r="F140" s="23">
        <f>Parameters!F71</f>
        <v>5.0000000000000001E-3</v>
      </c>
      <c r="G140" s="25">
        <f>Parameters!G71</f>
        <v>0.09</v>
      </c>
      <c r="H140" s="25">
        <f>Parameters!H71</f>
        <v>0</v>
      </c>
      <c r="I140" s="25">
        <f>Parameters!I71</f>
        <v>0</v>
      </c>
      <c r="J140" s="25">
        <f>Parameters!J71</f>
        <v>1</v>
      </c>
      <c r="K140" s="25">
        <f>Parameters!K71</f>
        <v>1</v>
      </c>
      <c r="L140" s="26">
        <f t="shared" ref="L140" si="204">L141</f>
        <v>4.9999999999999969E-5</v>
      </c>
      <c r="M140" s="25">
        <f>Parameters!L71</f>
        <v>1</v>
      </c>
      <c r="N140" s="25">
        <f>Parameters!M71</f>
        <v>1</v>
      </c>
      <c r="O140" s="26">
        <f t="shared" ref="O140" si="205">O141</f>
        <v>-6.5000000000000006E-3</v>
      </c>
      <c r="P140" s="23">
        <f>Parameters!N71</f>
        <v>1</v>
      </c>
      <c r="Q140" s="23">
        <f>Parameters!O71</f>
        <v>100</v>
      </c>
      <c r="R140" s="23">
        <f>Parameters!P71</f>
        <v>10</v>
      </c>
      <c r="S140" s="23">
        <f>Parameters!Q71</f>
        <v>2</v>
      </c>
      <c r="T140" s="23">
        <f>Parameters!R71</f>
        <v>1</v>
      </c>
      <c r="U140" s="27">
        <f>Parameters!S71</f>
        <v>42741</v>
      </c>
      <c r="V140" s="28">
        <f>Parameters!T71</f>
        <v>0.30208333333333331</v>
      </c>
      <c r="W140" s="27">
        <f>Parameters!U71</f>
        <v>42964</v>
      </c>
      <c r="X140" s="28">
        <f>Parameters!V71</f>
        <v>0.65277777777777779</v>
      </c>
      <c r="Y140" s="25">
        <f>Parameters!W71</f>
        <v>28</v>
      </c>
      <c r="Z140" s="23">
        <f>Parameters!X71</f>
        <v>1</v>
      </c>
      <c r="AA140" s="27">
        <f>Parameters!Y71</f>
        <v>42964</v>
      </c>
      <c r="AB140" s="28">
        <f>Parameters!Z71</f>
        <v>0.65347222222222223</v>
      </c>
      <c r="AC140" s="23">
        <f>Parameters!AA71</f>
        <v>1</v>
      </c>
    </row>
    <row r="141" spans="1:29">
      <c r="A141" s="29" t="str">
        <f>UPPER(A140)</f>
        <v>6CM7</v>
      </c>
      <c r="B141" s="29">
        <f>B140</f>
        <v>5.0000000000000002E-5</v>
      </c>
      <c r="C141" s="30">
        <f>C140</f>
        <v>2</v>
      </c>
      <c r="D141" s="30" t="str">
        <f>D140</f>
        <v>BUY</v>
      </c>
      <c r="E141" s="29">
        <f>E140</f>
        <v>0</v>
      </c>
      <c r="F141" s="29">
        <f>F140</f>
        <v>5.0000000000000001E-3</v>
      </c>
      <c r="G141" s="29">
        <f>IF(C140=1,IF(D140="BUY",E140+(ROUND(F140*G140/B140,0)*B140),E140-(ROUND(F140*G140/B140,0)*B140)),IF(D140="BUY",E140-(ROUND(F140*G140/B140,0)*B140),E140+(ROUND(F140*G140/B140,0)*B140)))</f>
        <v>-4.5000000000000004E-4</v>
      </c>
      <c r="H141" s="29">
        <f>IF(C140=1,IF(D140="BUY",G141-(ROUND(F140*H140/B140,0)*B140),G141+(ROUND(F140*H140/B140,0)*B140)),IF(D140="BUY",G141+(ROUND(F140*H140/B140,0)*B140),G141-(ROUND(F140*H140/B140,0)*B140)))</f>
        <v>-4.5000000000000004E-4</v>
      </c>
      <c r="I141" s="29">
        <f>IF(D140="BUY",G141+(ROUND(F140*I140/(B140*100),0)*B140),G141-(ROUND(F140*I140/(B140*100),0)*B140))</f>
        <v>-4.5000000000000004E-4</v>
      </c>
      <c r="J141" s="29">
        <f>IF(C140=1,IF(D140="BUY",E140+(ROUND(F140*J140/B140,0)*B140),E140-(ROUND(F140*J140/B140,0)*B140)),IF(D140="BUY",E140-(ROUND(F140*J140/B140,0)*B140),E140+(ROUND(F140*J140/B140,0)*B140)))</f>
        <v>-5.0000000000000001E-3</v>
      </c>
      <c r="K141" s="29">
        <f>IF(C140=1,IF(D140="BUY",E140-(ROUND(F140*K140/B140,0)*B140),E140+(ROUND(F140*K140/B140,0)*B140)),IF(D140="BUY",E140-(ROUND(F140*K140/B140,0)*B140),E140+(ROUND(F140*K140/B140,0)*B140)))</f>
        <v>-5.0000000000000001E-3</v>
      </c>
      <c r="L141" s="29">
        <f t="shared" ref="L141" si="206">IF(D141="BUY",I141+(R141*B141),I141-(R141*B141))</f>
        <v>4.9999999999999969E-5</v>
      </c>
      <c r="M141" s="29">
        <f>IF(D140="BUY",E140+(ROUND(F140*M140/B140,0)*B140),E140-(ROUND(F140*M140/B140,0)*B140))</f>
        <v>5.0000000000000001E-3</v>
      </c>
      <c r="N141" s="29">
        <f>IF(D140="BUY",E140-(ROUND(F140*N140/B140,0)*B140),E140+(ROUND(F140*N140/B140,0)*B140))</f>
        <v>-5.0000000000000001E-3</v>
      </c>
      <c r="O141" s="31">
        <f>IF(D141="BUY",N141-VLOOKUP(A141,Symbols!A$1:D$1000,4,FALSE),N141+VLOOKUP(A141,Symbols!A$1:D$1000,4,FALSE))</f>
        <v>-6.5000000000000006E-3</v>
      </c>
      <c r="P141" s="29">
        <f>P140</f>
        <v>1</v>
      </c>
      <c r="Q141" s="29">
        <f>Q140</f>
        <v>100</v>
      </c>
      <c r="R141" s="29">
        <f>R140</f>
        <v>10</v>
      </c>
      <c r="S141" s="29">
        <f>S140</f>
        <v>2</v>
      </c>
      <c r="T141" s="29">
        <f>T140</f>
        <v>1</v>
      </c>
      <c r="U141" s="29">
        <f>DATEDIF(DATE(1970,1,1),U140,"D")*86400</f>
        <v>1483660800</v>
      </c>
      <c r="V141" s="29">
        <f>HOUR(V140)*3600+MINUTE(V140)*60+SECOND(V140)</f>
        <v>26100</v>
      </c>
      <c r="W141" s="29">
        <f>DATEDIF(DATE(1970,1,1),W140,"D")*86400</f>
        <v>1502928000</v>
      </c>
      <c r="X141" s="29">
        <f>HOUR(X140)*3600+MINUTE(X140)*60+SECOND(X140)</f>
        <v>56400</v>
      </c>
      <c r="Y141" s="31">
        <f>(Y140*B141)</f>
        <v>1.4E-3</v>
      </c>
      <c r="Z141" s="29">
        <f>Z140</f>
        <v>1</v>
      </c>
      <c r="AA141" s="29">
        <f>DATEDIF(DATE(1970,1,1),AA140,"D")*86400</f>
        <v>1502928000</v>
      </c>
      <c r="AB141" s="29">
        <f>HOUR(AB140)*3600+MINUTE(AB140)*60+SECOND(AB140)</f>
        <v>56460</v>
      </c>
      <c r="AC141" s="29">
        <f>AC140</f>
        <v>1</v>
      </c>
    </row>
    <row r="142" spans="1:29">
      <c r="A142" s="23" t="str">
        <f>Parameters!A72</f>
        <v>6CM7</v>
      </c>
      <c r="B142" s="23">
        <f>Parameters!B72</f>
        <v>5.0000000000000002E-5</v>
      </c>
      <c r="C142" s="24">
        <f>Parameters!C72</f>
        <v>2</v>
      </c>
      <c r="D142" s="24" t="str">
        <f>Parameters!D72</f>
        <v>SELL</v>
      </c>
      <c r="E142" s="23">
        <f>Parameters!E72</f>
        <v>0</v>
      </c>
      <c r="F142" s="23">
        <f>Parameters!F72</f>
        <v>5.0000000000000001E-3</v>
      </c>
      <c r="G142" s="25">
        <f>Parameters!G72</f>
        <v>0</v>
      </c>
      <c r="H142" s="25">
        <f>Parameters!H72</f>
        <v>0</v>
      </c>
      <c r="I142" s="25">
        <f>Parameters!I72</f>
        <v>0</v>
      </c>
      <c r="J142" s="25">
        <f>Parameters!J72</f>
        <v>1</v>
      </c>
      <c r="K142" s="25">
        <f>Parameters!K72</f>
        <v>1</v>
      </c>
      <c r="L142" s="26">
        <f t="shared" ref="L142" si="207">L143</f>
        <v>-5.0000000000000001E-4</v>
      </c>
      <c r="M142" s="25">
        <f>Parameters!L72</f>
        <v>1</v>
      </c>
      <c r="N142" s="25">
        <f>Parameters!M72</f>
        <v>1</v>
      </c>
      <c r="O142" s="26">
        <f t="shared" ref="O142" si="208">O143</f>
        <v>6.5000000000000006E-3</v>
      </c>
      <c r="P142" s="23">
        <f>Parameters!N72</f>
        <v>1</v>
      </c>
      <c r="Q142" s="23">
        <f>Parameters!O72</f>
        <v>100</v>
      </c>
      <c r="R142" s="23">
        <f>Parameters!P72</f>
        <v>10</v>
      </c>
      <c r="S142" s="23">
        <f>Parameters!Q72</f>
        <v>2</v>
      </c>
      <c r="T142" s="23">
        <f>Parameters!R72</f>
        <v>1</v>
      </c>
      <c r="U142" s="27">
        <f>Parameters!S72</f>
        <v>42741</v>
      </c>
      <c r="V142" s="28">
        <f>Parameters!T72</f>
        <v>0.30208333333333331</v>
      </c>
      <c r="W142" s="27">
        <f>Parameters!U72</f>
        <v>42964</v>
      </c>
      <c r="X142" s="28">
        <f>Parameters!V72</f>
        <v>0.65277777777777779</v>
      </c>
      <c r="Y142" s="25">
        <f>Parameters!W72</f>
        <v>28</v>
      </c>
      <c r="Z142" s="23">
        <f>Parameters!X72</f>
        <v>1</v>
      </c>
      <c r="AA142" s="27">
        <f>Parameters!Y72</f>
        <v>42964</v>
      </c>
      <c r="AB142" s="28">
        <f>Parameters!Z72</f>
        <v>0.65347222222222223</v>
      </c>
      <c r="AC142" s="23">
        <f>Parameters!AA72</f>
        <v>1</v>
      </c>
    </row>
    <row r="143" spans="1:29">
      <c r="A143" s="29" t="str">
        <f>UPPER(A142)</f>
        <v>6CM7</v>
      </c>
      <c r="B143" s="29">
        <f>B142</f>
        <v>5.0000000000000002E-5</v>
      </c>
      <c r="C143" s="30">
        <f>C142</f>
        <v>2</v>
      </c>
      <c r="D143" s="30" t="str">
        <f>D142</f>
        <v>SELL</v>
      </c>
      <c r="E143" s="29">
        <f>E142</f>
        <v>0</v>
      </c>
      <c r="F143" s="29">
        <f>F142</f>
        <v>5.0000000000000001E-3</v>
      </c>
      <c r="G143" s="29">
        <f>IF(C142=1,IF(D142="BUY",E142+(ROUND(F142*G142/B142,0)*B142),E142-(ROUND(F142*G142/B142,0)*B142)),IF(D142="BUY",E142-(ROUND(F142*G142/B142,0)*B142),E142+(ROUND(F142*G142/B142,0)*B142)))</f>
        <v>0</v>
      </c>
      <c r="H143" s="29">
        <f>IF(C142=1,IF(D142="BUY",G143-(ROUND(F142*H142/B142,0)*B142),G143+(ROUND(F142*H142/B142,0)*B142)),IF(D142="BUY",G143+(ROUND(F142*H142/B142,0)*B142),G143-(ROUND(F142*H142/B142,0)*B142)))</f>
        <v>0</v>
      </c>
      <c r="I143" s="29">
        <f>IF(D142="BUY",G143+(ROUND(F142*I142/(B142*100),0)*B142),G143-(ROUND(F142*I142/(B142*100),0)*B142))</f>
        <v>0</v>
      </c>
      <c r="J143" s="29">
        <f>IF(C142=1,IF(D142="BUY",E142+(ROUND(F142*J142/B142,0)*B142),E142-(ROUND(F142*J142/B142,0)*B142)),IF(D142="BUY",E142-(ROUND(F142*J142/B142,0)*B142),E142+(ROUND(F142*J142/B142,0)*B142)))</f>
        <v>5.0000000000000001E-3</v>
      </c>
      <c r="K143" s="29">
        <f>IF(C142=1,IF(D142="BUY",E142-(ROUND(F142*K142/B142,0)*B142),E142+(ROUND(F142*K142/B142,0)*B142)),IF(D142="BUY",E142-(ROUND(F142*K142/B142,0)*B142),E142+(ROUND(F142*K142/B142,0)*B142)))</f>
        <v>5.0000000000000001E-3</v>
      </c>
      <c r="L143" s="29">
        <f t="shared" ref="L143" si="209">IF(D143="BUY",I143+(R143*B143),I143-(R143*B143))</f>
        <v>-5.0000000000000001E-4</v>
      </c>
      <c r="M143" s="29">
        <f>IF(D142="BUY",E142+(ROUND(F142*M142/B142,0)*B142),E142-(ROUND(F142*M142/B142,0)*B142))</f>
        <v>-5.0000000000000001E-3</v>
      </c>
      <c r="N143" s="29">
        <f>IF(D142="BUY",E142-(ROUND(F142*N142/B142,0)*B142),E142+(ROUND(F142*N142/B142,0)*B142))</f>
        <v>5.0000000000000001E-3</v>
      </c>
      <c r="O143" s="31">
        <f>IF(D143="BUY",N143-VLOOKUP(A143,Symbols!A$1:D$1000,4,FALSE),N143+VLOOKUP(A143,Symbols!A$1:D$1000,4,FALSE))</f>
        <v>6.5000000000000006E-3</v>
      </c>
      <c r="P143" s="29">
        <f>P142</f>
        <v>1</v>
      </c>
      <c r="Q143" s="29">
        <f>Q142</f>
        <v>100</v>
      </c>
      <c r="R143" s="29">
        <f>R142</f>
        <v>10</v>
      </c>
      <c r="S143" s="29">
        <f>S142</f>
        <v>2</v>
      </c>
      <c r="T143" s="29">
        <f>T142</f>
        <v>1</v>
      </c>
      <c r="U143" s="29">
        <f>DATEDIF(DATE(1970,1,1),U142,"D")*86400</f>
        <v>1483660800</v>
      </c>
      <c r="V143" s="29">
        <f>HOUR(V142)*3600+MINUTE(V142)*60+SECOND(V142)</f>
        <v>26100</v>
      </c>
      <c r="W143" s="29">
        <f>DATEDIF(DATE(1970,1,1),W142,"D")*86400</f>
        <v>1502928000</v>
      </c>
      <c r="X143" s="29">
        <f>HOUR(X142)*3600+MINUTE(X142)*60+SECOND(X142)</f>
        <v>56400</v>
      </c>
      <c r="Y143" s="31">
        <f>(Y142*B143)</f>
        <v>1.4E-3</v>
      </c>
      <c r="Z143" s="29">
        <f>Z142</f>
        <v>1</v>
      </c>
      <c r="AA143" s="29">
        <f>DATEDIF(DATE(1970,1,1),AA142,"D")*86400</f>
        <v>1502928000</v>
      </c>
      <c r="AB143" s="29">
        <f>HOUR(AB142)*3600+MINUTE(AB142)*60+SECOND(AB142)</f>
        <v>56460</v>
      </c>
      <c r="AC143" s="29">
        <f>AC142</f>
        <v>1</v>
      </c>
    </row>
    <row r="144" spans="1:29">
      <c r="A144" s="23" t="str">
        <f>Parameters!A73</f>
        <v>6CM7</v>
      </c>
      <c r="B144" s="23">
        <f>Parameters!B73</f>
        <v>5.0000000000000002E-5</v>
      </c>
      <c r="C144" s="24">
        <f>Parameters!C73</f>
        <v>2</v>
      </c>
      <c r="D144" s="24" t="str">
        <f>Parameters!D73</f>
        <v>SELL</v>
      </c>
      <c r="E144" s="23">
        <f>Parameters!E73</f>
        <v>0</v>
      </c>
      <c r="F144" s="23">
        <f>Parameters!F73</f>
        <v>5.0000000000000001E-3</v>
      </c>
      <c r="G144" s="25">
        <f>Parameters!G73</f>
        <v>0.01</v>
      </c>
      <c r="H144" s="25">
        <f>Parameters!H73</f>
        <v>0</v>
      </c>
      <c r="I144" s="25">
        <f>Parameters!I73</f>
        <v>0</v>
      </c>
      <c r="J144" s="25">
        <f>Parameters!J73</f>
        <v>1</v>
      </c>
      <c r="K144" s="25">
        <f>Parameters!K73</f>
        <v>1</v>
      </c>
      <c r="L144" s="26">
        <f t="shared" ref="L144" si="210">L145</f>
        <v>-4.4999999999999999E-4</v>
      </c>
      <c r="M144" s="25">
        <f>Parameters!L73</f>
        <v>1</v>
      </c>
      <c r="N144" s="25">
        <f>Parameters!M73</f>
        <v>1</v>
      </c>
      <c r="O144" s="26">
        <f t="shared" ref="O144" si="211">O145</f>
        <v>6.5000000000000006E-3</v>
      </c>
      <c r="P144" s="23">
        <f>Parameters!N73</f>
        <v>1</v>
      </c>
      <c r="Q144" s="23">
        <f>Parameters!O73</f>
        <v>100</v>
      </c>
      <c r="R144" s="23">
        <f>Parameters!P73</f>
        <v>10</v>
      </c>
      <c r="S144" s="23">
        <f>Parameters!Q73</f>
        <v>2</v>
      </c>
      <c r="T144" s="23">
        <f>Parameters!R73</f>
        <v>1</v>
      </c>
      <c r="U144" s="27">
        <f>Parameters!S73</f>
        <v>42741</v>
      </c>
      <c r="V144" s="28">
        <f>Parameters!T73</f>
        <v>0.30208333333333331</v>
      </c>
      <c r="W144" s="27">
        <f>Parameters!U73</f>
        <v>42964</v>
      </c>
      <c r="X144" s="28">
        <f>Parameters!V73</f>
        <v>0.65277777777777779</v>
      </c>
      <c r="Y144" s="25">
        <f>Parameters!W73</f>
        <v>28</v>
      </c>
      <c r="Z144" s="23">
        <f>Parameters!X73</f>
        <v>1</v>
      </c>
      <c r="AA144" s="27">
        <f>Parameters!Y73</f>
        <v>42964</v>
      </c>
      <c r="AB144" s="28">
        <f>Parameters!Z73</f>
        <v>0.65347222222222223</v>
      </c>
      <c r="AC144" s="23">
        <f>Parameters!AA73</f>
        <v>1</v>
      </c>
    </row>
    <row r="145" spans="1:29">
      <c r="A145" s="29" t="str">
        <f>UPPER(A144)</f>
        <v>6CM7</v>
      </c>
      <c r="B145" s="29">
        <f>B144</f>
        <v>5.0000000000000002E-5</v>
      </c>
      <c r="C145" s="30">
        <f>C144</f>
        <v>2</v>
      </c>
      <c r="D145" s="30" t="str">
        <f>D144</f>
        <v>SELL</v>
      </c>
      <c r="E145" s="29">
        <f>E144</f>
        <v>0</v>
      </c>
      <c r="F145" s="29">
        <f>F144</f>
        <v>5.0000000000000001E-3</v>
      </c>
      <c r="G145" s="29">
        <f>IF(C144=1,IF(D144="BUY",E144+(ROUND(F144*G144/B144,0)*B144),E144-(ROUND(F144*G144/B144,0)*B144)),IF(D144="BUY",E144-(ROUND(F144*G144/B144,0)*B144),E144+(ROUND(F144*G144/B144,0)*B144)))</f>
        <v>5.0000000000000002E-5</v>
      </c>
      <c r="H145" s="29">
        <f>IF(C144=1,IF(D144="BUY",G145-(ROUND(F144*H144/B144,0)*B144),G145+(ROUND(F144*H144/B144,0)*B144)),IF(D144="BUY",G145+(ROUND(F144*H144/B144,0)*B144),G145-(ROUND(F144*H144/B144,0)*B144)))</f>
        <v>5.0000000000000002E-5</v>
      </c>
      <c r="I145" s="29">
        <f>IF(D144="BUY",G145+(ROUND(F144*I144/(B144*100),0)*B144),G145-(ROUND(F144*I144/(B144*100),0)*B144))</f>
        <v>5.0000000000000002E-5</v>
      </c>
      <c r="J145" s="29">
        <f>IF(C144=1,IF(D144="BUY",E144+(ROUND(F144*J144/B144,0)*B144),E144-(ROUND(F144*J144/B144,0)*B144)),IF(D144="BUY",E144-(ROUND(F144*J144/B144,0)*B144),E144+(ROUND(F144*J144/B144,0)*B144)))</f>
        <v>5.0000000000000001E-3</v>
      </c>
      <c r="K145" s="29">
        <f>IF(C144=1,IF(D144="BUY",E144-(ROUND(F144*K144/B144,0)*B144),E144+(ROUND(F144*K144/B144,0)*B144)),IF(D144="BUY",E144-(ROUND(F144*K144/B144,0)*B144),E144+(ROUND(F144*K144/B144,0)*B144)))</f>
        <v>5.0000000000000001E-3</v>
      </c>
      <c r="L145" s="29">
        <f t="shared" ref="L145" si="212">IF(D145="BUY",I145+(R145*B145),I145-(R145*B145))</f>
        <v>-4.4999999999999999E-4</v>
      </c>
      <c r="M145" s="29">
        <f>IF(D144="BUY",E144+(ROUND(F144*M144/B144,0)*B144),E144-(ROUND(F144*M144/B144,0)*B144))</f>
        <v>-5.0000000000000001E-3</v>
      </c>
      <c r="N145" s="29">
        <f>IF(D144="BUY",E144-(ROUND(F144*N144/B144,0)*B144),E144+(ROUND(F144*N144/B144,0)*B144))</f>
        <v>5.0000000000000001E-3</v>
      </c>
      <c r="O145" s="31">
        <f>IF(D145="BUY",N145-VLOOKUP(A145,Symbols!A$1:D$1000,4,FALSE),N145+VLOOKUP(A145,Symbols!A$1:D$1000,4,FALSE))</f>
        <v>6.5000000000000006E-3</v>
      </c>
      <c r="P145" s="29">
        <f>P144</f>
        <v>1</v>
      </c>
      <c r="Q145" s="29">
        <f>Q144</f>
        <v>100</v>
      </c>
      <c r="R145" s="29">
        <f>R144</f>
        <v>10</v>
      </c>
      <c r="S145" s="29">
        <f>S144</f>
        <v>2</v>
      </c>
      <c r="T145" s="29">
        <f>T144</f>
        <v>1</v>
      </c>
      <c r="U145" s="29">
        <f>DATEDIF(DATE(1970,1,1),U144,"D")*86400</f>
        <v>1483660800</v>
      </c>
      <c r="V145" s="29">
        <f>HOUR(V144)*3600+MINUTE(V144)*60+SECOND(V144)</f>
        <v>26100</v>
      </c>
      <c r="W145" s="29">
        <f>DATEDIF(DATE(1970,1,1),W144,"D")*86400</f>
        <v>1502928000</v>
      </c>
      <c r="X145" s="29">
        <f>HOUR(X144)*3600+MINUTE(X144)*60+SECOND(X144)</f>
        <v>56400</v>
      </c>
      <c r="Y145" s="31">
        <f>(Y144*B145)</f>
        <v>1.4E-3</v>
      </c>
      <c r="Z145" s="29">
        <f>Z144</f>
        <v>1</v>
      </c>
      <c r="AA145" s="29">
        <f>DATEDIF(DATE(1970,1,1),AA144,"D")*86400</f>
        <v>1502928000</v>
      </c>
      <c r="AB145" s="29">
        <f>HOUR(AB144)*3600+MINUTE(AB144)*60+SECOND(AB144)</f>
        <v>56460</v>
      </c>
      <c r="AC145" s="29">
        <f>AC144</f>
        <v>1</v>
      </c>
    </row>
    <row r="146" spans="1:29">
      <c r="A146" s="23" t="str">
        <f>Parameters!A74</f>
        <v>6CM7</v>
      </c>
      <c r="B146" s="23">
        <f>Parameters!B74</f>
        <v>5.0000000000000002E-5</v>
      </c>
      <c r="C146" s="24">
        <f>Parameters!C74</f>
        <v>2</v>
      </c>
      <c r="D146" s="24" t="str">
        <f>Parameters!D74</f>
        <v>SELL</v>
      </c>
      <c r="E146" s="23">
        <f>Parameters!E74</f>
        <v>0</v>
      </c>
      <c r="F146" s="23">
        <f>Parameters!F74</f>
        <v>5.0000000000000001E-3</v>
      </c>
      <c r="G146" s="25">
        <f>Parameters!G74</f>
        <v>0.02</v>
      </c>
      <c r="H146" s="25">
        <f>Parameters!H74</f>
        <v>0</v>
      </c>
      <c r="I146" s="25">
        <f>Parameters!I74</f>
        <v>0</v>
      </c>
      <c r="J146" s="25">
        <f>Parameters!J74</f>
        <v>1</v>
      </c>
      <c r="K146" s="25">
        <f>Parameters!K74</f>
        <v>1</v>
      </c>
      <c r="L146" s="26">
        <f t="shared" ref="L146" si="213">L147</f>
        <v>-4.0000000000000002E-4</v>
      </c>
      <c r="M146" s="25">
        <f>Parameters!L74</f>
        <v>1</v>
      </c>
      <c r="N146" s="25">
        <f>Parameters!M74</f>
        <v>1</v>
      </c>
      <c r="O146" s="26">
        <f t="shared" ref="O146" si="214">O147</f>
        <v>6.5000000000000006E-3</v>
      </c>
      <c r="P146" s="23">
        <f>Parameters!N74</f>
        <v>1</v>
      </c>
      <c r="Q146" s="23">
        <f>Parameters!O74</f>
        <v>100</v>
      </c>
      <c r="R146" s="23">
        <f>Parameters!P74</f>
        <v>10</v>
      </c>
      <c r="S146" s="23">
        <f>Parameters!Q74</f>
        <v>2</v>
      </c>
      <c r="T146" s="23">
        <f>Parameters!R74</f>
        <v>1</v>
      </c>
      <c r="U146" s="27">
        <f>Parameters!S74</f>
        <v>42741</v>
      </c>
      <c r="V146" s="28">
        <f>Parameters!T74</f>
        <v>0.30208333333333331</v>
      </c>
      <c r="W146" s="27">
        <f>Parameters!U74</f>
        <v>42964</v>
      </c>
      <c r="X146" s="28">
        <f>Parameters!V74</f>
        <v>0.65277777777777779</v>
      </c>
      <c r="Y146" s="25">
        <f>Parameters!W74</f>
        <v>28</v>
      </c>
      <c r="Z146" s="23">
        <f>Parameters!X74</f>
        <v>1</v>
      </c>
      <c r="AA146" s="27">
        <f>Parameters!Y74</f>
        <v>42964</v>
      </c>
      <c r="AB146" s="28">
        <f>Parameters!Z74</f>
        <v>0.65347222222222223</v>
      </c>
      <c r="AC146" s="23">
        <f>Parameters!AA74</f>
        <v>1</v>
      </c>
    </row>
    <row r="147" spans="1:29">
      <c r="A147" s="29" t="str">
        <f>UPPER(A146)</f>
        <v>6CM7</v>
      </c>
      <c r="B147" s="29">
        <f>B146</f>
        <v>5.0000000000000002E-5</v>
      </c>
      <c r="C147" s="30">
        <f>C146</f>
        <v>2</v>
      </c>
      <c r="D147" s="30" t="str">
        <f>D146</f>
        <v>SELL</v>
      </c>
      <c r="E147" s="29">
        <f>E146</f>
        <v>0</v>
      </c>
      <c r="F147" s="29">
        <f>F146</f>
        <v>5.0000000000000001E-3</v>
      </c>
      <c r="G147" s="29">
        <f>IF(C146=1,IF(D146="BUY",E146+(ROUND(F146*G146/B146,0)*B146),E146-(ROUND(F146*G146/B146,0)*B146)),IF(D146="BUY",E146-(ROUND(F146*G146/B146,0)*B146),E146+(ROUND(F146*G146/B146,0)*B146)))</f>
        <v>1E-4</v>
      </c>
      <c r="H147" s="29">
        <f>IF(C146=1,IF(D146="BUY",G147-(ROUND(F146*H146/B146,0)*B146),G147+(ROUND(F146*H146/B146,0)*B146)),IF(D146="BUY",G147+(ROUND(F146*H146/B146,0)*B146),G147-(ROUND(F146*H146/B146,0)*B146)))</f>
        <v>1E-4</v>
      </c>
      <c r="I147" s="29">
        <f>IF(D146="BUY",G147+(ROUND(F146*I146/(B146*100),0)*B146),G147-(ROUND(F146*I146/(B146*100),0)*B146))</f>
        <v>1E-4</v>
      </c>
      <c r="J147" s="29">
        <f>IF(C146=1,IF(D146="BUY",E146+(ROUND(F146*J146/B146,0)*B146),E146-(ROUND(F146*J146/B146,0)*B146)),IF(D146="BUY",E146-(ROUND(F146*J146/B146,0)*B146),E146+(ROUND(F146*J146/B146,0)*B146)))</f>
        <v>5.0000000000000001E-3</v>
      </c>
      <c r="K147" s="29">
        <f>IF(C146=1,IF(D146="BUY",E146-(ROUND(F146*K146/B146,0)*B146),E146+(ROUND(F146*K146/B146,0)*B146)),IF(D146="BUY",E146-(ROUND(F146*K146/B146,0)*B146),E146+(ROUND(F146*K146/B146,0)*B146)))</f>
        <v>5.0000000000000001E-3</v>
      </c>
      <c r="L147" s="29">
        <f t="shared" ref="L147" si="215">IF(D147="BUY",I147+(R147*B147),I147-(R147*B147))</f>
        <v>-4.0000000000000002E-4</v>
      </c>
      <c r="M147" s="29">
        <f>IF(D146="BUY",E146+(ROUND(F146*M146/B146,0)*B146),E146-(ROUND(F146*M146/B146,0)*B146))</f>
        <v>-5.0000000000000001E-3</v>
      </c>
      <c r="N147" s="29">
        <f>IF(D146="BUY",E146-(ROUND(F146*N146/B146,0)*B146),E146+(ROUND(F146*N146/B146,0)*B146))</f>
        <v>5.0000000000000001E-3</v>
      </c>
      <c r="O147" s="31">
        <f>IF(D147="BUY",N147-VLOOKUP(A147,Symbols!A$1:D$1000,4,FALSE),N147+VLOOKUP(A147,Symbols!A$1:D$1000,4,FALSE))</f>
        <v>6.5000000000000006E-3</v>
      </c>
      <c r="P147" s="29">
        <f>P146</f>
        <v>1</v>
      </c>
      <c r="Q147" s="29">
        <f>Q146</f>
        <v>100</v>
      </c>
      <c r="R147" s="29">
        <f>R146</f>
        <v>10</v>
      </c>
      <c r="S147" s="29">
        <f>S146</f>
        <v>2</v>
      </c>
      <c r="T147" s="29">
        <f>T146</f>
        <v>1</v>
      </c>
      <c r="U147" s="29">
        <f>DATEDIF(DATE(1970,1,1),U146,"D")*86400</f>
        <v>1483660800</v>
      </c>
      <c r="V147" s="29">
        <f>HOUR(V146)*3600+MINUTE(V146)*60+SECOND(V146)</f>
        <v>26100</v>
      </c>
      <c r="W147" s="29">
        <f>DATEDIF(DATE(1970,1,1),W146,"D")*86400</f>
        <v>1502928000</v>
      </c>
      <c r="X147" s="29">
        <f>HOUR(X146)*3600+MINUTE(X146)*60+SECOND(X146)</f>
        <v>56400</v>
      </c>
      <c r="Y147" s="31">
        <f>(Y146*B147)</f>
        <v>1.4E-3</v>
      </c>
      <c r="Z147" s="29">
        <f>Z146</f>
        <v>1</v>
      </c>
      <c r="AA147" s="29">
        <f>DATEDIF(DATE(1970,1,1),AA146,"D")*86400</f>
        <v>1502928000</v>
      </c>
      <c r="AB147" s="29">
        <f>HOUR(AB146)*3600+MINUTE(AB146)*60+SECOND(AB146)</f>
        <v>56460</v>
      </c>
      <c r="AC147" s="29">
        <f>AC146</f>
        <v>1</v>
      </c>
    </row>
    <row r="148" spans="1:29">
      <c r="A148" s="23" t="str">
        <f>Parameters!A75</f>
        <v>6CM7</v>
      </c>
      <c r="B148" s="23">
        <f>Parameters!B75</f>
        <v>5.0000000000000002E-5</v>
      </c>
      <c r="C148" s="24">
        <f>Parameters!C75</f>
        <v>2</v>
      </c>
      <c r="D148" s="24" t="str">
        <f>Parameters!D75</f>
        <v>SELL</v>
      </c>
      <c r="E148" s="23">
        <f>Parameters!E75</f>
        <v>0</v>
      </c>
      <c r="F148" s="23">
        <f>Parameters!F75</f>
        <v>5.0000000000000001E-3</v>
      </c>
      <c r="G148" s="25">
        <f>Parameters!G75</f>
        <v>0.03</v>
      </c>
      <c r="H148" s="25">
        <f>Parameters!H75</f>
        <v>0</v>
      </c>
      <c r="I148" s="25">
        <f>Parameters!I75</f>
        <v>0</v>
      </c>
      <c r="J148" s="25">
        <f>Parameters!J75</f>
        <v>1</v>
      </c>
      <c r="K148" s="25">
        <f>Parameters!K75</f>
        <v>1</v>
      </c>
      <c r="L148" s="26">
        <f t="shared" ref="L148" si="216">L149</f>
        <v>-3.5E-4</v>
      </c>
      <c r="M148" s="25">
        <f>Parameters!L75</f>
        <v>1</v>
      </c>
      <c r="N148" s="25">
        <f>Parameters!M75</f>
        <v>1</v>
      </c>
      <c r="O148" s="26">
        <f t="shared" ref="O148" si="217">O149</f>
        <v>6.5000000000000006E-3</v>
      </c>
      <c r="P148" s="23">
        <f>Parameters!N75</f>
        <v>1</v>
      </c>
      <c r="Q148" s="23">
        <f>Parameters!O75</f>
        <v>100</v>
      </c>
      <c r="R148" s="23">
        <f>Parameters!P75</f>
        <v>10</v>
      </c>
      <c r="S148" s="23">
        <f>Parameters!Q75</f>
        <v>2</v>
      </c>
      <c r="T148" s="23">
        <f>Parameters!R75</f>
        <v>1</v>
      </c>
      <c r="U148" s="27">
        <f>Parameters!S75</f>
        <v>42741</v>
      </c>
      <c r="V148" s="28">
        <f>Parameters!T75</f>
        <v>0.30208333333333331</v>
      </c>
      <c r="W148" s="27">
        <f>Parameters!U75</f>
        <v>42964</v>
      </c>
      <c r="X148" s="28">
        <f>Parameters!V75</f>
        <v>0.65277777777777779</v>
      </c>
      <c r="Y148" s="25">
        <f>Parameters!W75</f>
        <v>28</v>
      </c>
      <c r="Z148" s="23">
        <f>Parameters!X75</f>
        <v>1</v>
      </c>
      <c r="AA148" s="27">
        <f>Parameters!Y75</f>
        <v>42964</v>
      </c>
      <c r="AB148" s="28">
        <f>Parameters!Z75</f>
        <v>0.65347222222222223</v>
      </c>
      <c r="AC148" s="23">
        <f>Parameters!AA75</f>
        <v>1</v>
      </c>
    </row>
    <row r="149" spans="1:29">
      <c r="A149" s="29" t="str">
        <f>UPPER(A148)</f>
        <v>6CM7</v>
      </c>
      <c r="B149" s="29">
        <f>B148</f>
        <v>5.0000000000000002E-5</v>
      </c>
      <c r="C149" s="30">
        <f>C148</f>
        <v>2</v>
      </c>
      <c r="D149" s="30" t="str">
        <f>D148</f>
        <v>SELL</v>
      </c>
      <c r="E149" s="29">
        <f>E148</f>
        <v>0</v>
      </c>
      <c r="F149" s="29">
        <f>F148</f>
        <v>5.0000000000000001E-3</v>
      </c>
      <c r="G149" s="29">
        <f>IF(C148=1,IF(D148="BUY",E148+(ROUND(F148*G148/B148,0)*B148),E148-(ROUND(F148*G148/B148,0)*B148)),IF(D148="BUY",E148-(ROUND(F148*G148/B148,0)*B148),E148+(ROUND(F148*G148/B148,0)*B148)))</f>
        <v>1.5000000000000001E-4</v>
      </c>
      <c r="H149" s="29">
        <f>IF(C148=1,IF(D148="BUY",G149-(ROUND(F148*H148/B148,0)*B148),G149+(ROUND(F148*H148/B148,0)*B148)),IF(D148="BUY",G149+(ROUND(F148*H148/B148,0)*B148),G149-(ROUND(F148*H148/B148,0)*B148)))</f>
        <v>1.5000000000000001E-4</v>
      </c>
      <c r="I149" s="29">
        <f>IF(D148="BUY",G149+(ROUND(F148*I148/(B148*100),0)*B148),G149-(ROUND(F148*I148/(B148*100),0)*B148))</f>
        <v>1.5000000000000001E-4</v>
      </c>
      <c r="J149" s="29">
        <f>IF(C148=1,IF(D148="BUY",E148+(ROUND(F148*J148/B148,0)*B148),E148-(ROUND(F148*J148/B148,0)*B148)),IF(D148="BUY",E148-(ROUND(F148*J148/B148,0)*B148),E148+(ROUND(F148*J148/B148,0)*B148)))</f>
        <v>5.0000000000000001E-3</v>
      </c>
      <c r="K149" s="29">
        <f>IF(C148=1,IF(D148="BUY",E148-(ROUND(F148*K148/B148,0)*B148),E148+(ROUND(F148*K148/B148,0)*B148)),IF(D148="BUY",E148-(ROUND(F148*K148/B148,0)*B148),E148+(ROUND(F148*K148/B148,0)*B148)))</f>
        <v>5.0000000000000001E-3</v>
      </c>
      <c r="L149" s="29">
        <f t="shared" ref="L149" si="218">IF(D149="BUY",I149+(R149*B149),I149-(R149*B149))</f>
        <v>-3.5E-4</v>
      </c>
      <c r="M149" s="29">
        <f>IF(D148="BUY",E148+(ROUND(F148*M148/B148,0)*B148),E148-(ROUND(F148*M148/B148,0)*B148))</f>
        <v>-5.0000000000000001E-3</v>
      </c>
      <c r="N149" s="29">
        <f>IF(D148="BUY",E148-(ROUND(F148*N148/B148,0)*B148),E148+(ROUND(F148*N148/B148,0)*B148))</f>
        <v>5.0000000000000001E-3</v>
      </c>
      <c r="O149" s="31">
        <f>IF(D149="BUY",N149-VLOOKUP(A149,Symbols!A$1:D$1000,4,FALSE),N149+VLOOKUP(A149,Symbols!A$1:D$1000,4,FALSE))</f>
        <v>6.5000000000000006E-3</v>
      </c>
      <c r="P149" s="29">
        <f>P148</f>
        <v>1</v>
      </c>
      <c r="Q149" s="29">
        <f>Q148</f>
        <v>100</v>
      </c>
      <c r="R149" s="29">
        <f>R148</f>
        <v>10</v>
      </c>
      <c r="S149" s="29">
        <f>S148</f>
        <v>2</v>
      </c>
      <c r="T149" s="29">
        <f>T148</f>
        <v>1</v>
      </c>
      <c r="U149" s="29">
        <f>DATEDIF(DATE(1970,1,1),U148,"D")*86400</f>
        <v>1483660800</v>
      </c>
      <c r="V149" s="29">
        <f>HOUR(V148)*3600+MINUTE(V148)*60+SECOND(V148)</f>
        <v>26100</v>
      </c>
      <c r="W149" s="29">
        <f>DATEDIF(DATE(1970,1,1),W148,"D")*86400</f>
        <v>1502928000</v>
      </c>
      <c r="X149" s="29">
        <f>HOUR(X148)*3600+MINUTE(X148)*60+SECOND(X148)</f>
        <v>56400</v>
      </c>
      <c r="Y149" s="31">
        <f>(Y148*B149)</f>
        <v>1.4E-3</v>
      </c>
      <c r="Z149" s="29">
        <f>Z148</f>
        <v>1</v>
      </c>
      <c r="AA149" s="29">
        <f>DATEDIF(DATE(1970,1,1),AA148,"D")*86400</f>
        <v>1502928000</v>
      </c>
      <c r="AB149" s="29">
        <f>HOUR(AB148)*3600+MINUTE(AB148)*60+SECOND(AB148)</f>
        <v>56460</v>
      </c>
      <c r="AC149" s="29">
        <f>AC148</f>
        <v>1</v>
      </c>
    </row>
    <row r="150" spans="1:29">
      <c r="A150" s="23" t="str">
        <f>Parameters!A76</f>
        <v>6CM7</v>
      </c>
      <c r="B150" s="23">
        <f>Parameters!B76</f>
        <v>5.0000000000000002E-5</v>
      </c>
      <c r="C150" s="24">
        <f>Parameters!C76</f>
        <v>2</v>
      </c>
      <c r="D150" s="24" t="str">
        <f>Parameters!D76</f>
        <v>SELL</v>
      </c>
      <c r="E150" s="23">
        <f>Parameters!E76</f>
        <v>0</v>
      </c>
      <c r="F150" s="23">
        <f>Parameters!F76</f>
        <v>5.0000000000000001E-3</v>
      </c>
      <c r="G150" s="25">
        <f>Parameters!G76</f>
        <v>0.04</v>
      </c>
      <c r="H150" s="25">
        <f>Parameters!H76</f>
        <v>0</v>
      </c>
      <c r="I150" s="25">
        <f>Parameters!I76</f>
        <v>0</v>
      </c>
      <c r="J150" s="25">
        <f>Parameters!J76</f>
        <v>1</v>
      </c>
      <c r="K150" s="25">
        <f>Parameters!K76</f>
        <v>1</v>
      </c>
      <c r="L150" s="26">
        <f t="shared" ref="L150" si="219">L151</f>
        <v>-3.0000000000000003E-4</v>
      </c>
      <c r="M150" s="25">
        <f>Parameters!L76</f>
        <v>1</v>
      </c>
      <c r="N150" s="25">
        <f>Parameters!M76</f>
        <v>1</v>
      </c>
      <c r="O150" s="26">
        <f t="shared" ref="O150" si="220">O151</f>
        <v>6.5000000000000006E-3</v>
      </c>
      <c r="P150" s="23">
        <f>Parameters!N76</f>
        <v>1</v>
      </c>
      <c r="Q150" s="23">
        <f>Parameters!O76</f>
        <v>100</v>
      </c>
      <c r="R150" s="23">
        <f>Parameters!P76</f>
        <v>10</v>
      </c>
      <c r="S150" s="23">
        <f>Parameters!Q76</f>
        <v>2</v>
      </c>
      <c r="T150" s="23">
        <f>Parameters!R76</f>
        <v>1</v>
      </c>
      <c r="U150" s="27">
        <f>Parameters!S76</f>
        <v>42741</v>
      </c>
      <c r="V150" s="28">
        <f>Parameters!T76</f>
        <v>0.30208333333333331</v>
      </c>
      <c r="W150" s="27">
        <f>Parameters!U76</f>
        <v>42964</v>
      </c>
      <c r="X150" s="28">
        <f>Parameters!V76</f>
        <v>0.65277777777777779</v>
      </c>
      <c r="Y150" s="25">
        <f>Parameters!W76</f>
        <v>28</v>
      </c>
      <c r="Z150" s="23">
        <f>Parameters!X76</f>
        <v>1</v>
      </c>
      <c r="AA150" s="27">
        <f>Parameters!Y76</f>
        <v>42964</v>
      </c>
      <c r="AB150" s="28">
        <f>Parameters!Z76</f>
        <v>0.65347222222222223</v>
      </c>
      <c r="AC150" s="23">
        <f>Parameters!AA76</f>
        <v>1</v>
      </c>
    </row>
    <row r="151" spans="1:29">
      <c r="A151" s="29" t="str">
        <f>UPPER(A150)</f>
        <v>6CM7</v>
      </c>
      <c r="B151" s="29">
        <f>B150</f>
        <v>5.0000000000000002E-5</v>
      </c>
      <c r="C151" s="30">
        <f>C150</f>
        <v>2</v>
      </c>
      <c r="D151" s="30" t="str">
        <f>D150</f>
        <v>SELL</v>
      </c>
      <c r="E151" s="29">
        <f>E150</f>
        <v>0</v>
      </c>
      <c r="F151" s="29">
        <f>F150</f>
        <v>5.0000000000000001E-3</v>
      </c>
      <c r="G151" s="29">
        <f>IF(C150=1,IF(D150="BUY",E150+(ROUND(F150*G150/B150,0)*B150),E150-(ROUND(F150*G150/B150,0)*B150)),IF(D150="BUY",E150-(ROUND(F150*G150/B150,0)*B150),E150+(ROUND(F150*G150/B150,0)*B150)))</f>
        <v>2.0000000000000001E-4</v>
      </c>
      <c r="H151" s="29">
        <f>IF(C150=1,IF(D150="BUY",G151-(ROUND(F150*H150/B150,0)*B150),G151+(ROUND(F150*H150/B150,0)*B150)),IF(D150="BUY",G151+(ROUND(F150*H150/B150,0)*B150),G151-(ROUND(F150*H150/B150,0)*B150)))</f>
        <v>2.0000000000000001E-4</v>
      </c>
      <c r="I151" s="29">
        <f>IF(D150="BUY",G151+(ROUND(F150*I150/(B150*100),0)*B150),G151-(ROUND(F150*I150/(B150*100),0)*B150))</f>
        <v>2.0000000000000001E-4</v>
      </c>
      <c r="J151" s="29">
        <f>IF(C150=1,IF(D150="BUY",E150+(ROUND(F150*J150/B150,0)*B150),E150-(ROUND(F150*J150/B150,0)*B150)),IF(D150="BUY",E150-(ROUND(F150*J150/B150,0)*B150),E150+(ROUND(F150*J150/B150,0)*B150)))</f>
        <v>5.0000000000000001E-3</v>
      </c>
      <c r="K151" s="29">
        <f>IF(C150=1,IF(D150="BUY",E150-(ROUND(F150*K150/B150,0)*B150),E150+(ROUND(F150*K150/B150,0)*B150)),IF(D150="BUY",E150-(ROUND(F150*K150/B150,0)*B150),E150+(ROUND(F150*K150/B150,0)*B150)))</f>
        <v>5.0000000000000001E-3</v>
      </c>
      <c r="L151" s="29">
        <f t="shared" ref="L151" si="221">IF(D151="BUY",I151+(R151*B151),I151-(R151*B151))</f>
        <v>-3.0000000000000003E-4</v>
      </c>
      <c r="M151" s="29">
        <f>IF(D150="BUY",E150+(ROUND(F150*M150/B150,0)*B150),E150-(ROUND(F150*M150/B150,0)*B150))</f>
        <v>-5.0000000000000001E-3</v>
      </c>
      <c r="N151" s="29">
        <f>IF(D150="BUY",E150-(ROUND(F150*N150/B150,0)*B150),E150+(ROUND(F150*N150/B150,0)*B150))</f>
        <v>5.0000000000000001E-3</v>
      </c>
      <c r="O151" s="31">
        <f>IF(D151="BUY",N151-VLOOKUP(A151,Symbols!A$1:D$1000,4,FALSE),N151+VLOOKUP(A151,Symbols!A$1:D$1000,4,FALSE))</f>
        <v>6.5000000000000006E-3</v>
      </c>
      <c r="P151" s="29">
        <f>P150</f>
        <v>1</v>
      </c>
      <c r="Q151" s="29">
        <f>Q150</f>
        <v>100</v>
      </c>
      <c r="R151" s="29">
        <f>R150</f>
        <v>10</v>
      </c>
      <c r="S151" s="29">
        <f>S150</f>
        <v>2</v>
      </c>
      <c r="T151" s="29">
        <f>T150</f>
        <v>1</v>
      </c>
      <c r="U151" s="29">
        <f>DATEDIF(DATE(1970,1,1),U150,"D")*86400</f>
        <v>1483660800</v>
      </c>
      <c r="V151" s="29">
        <f>HOUR(V150)*3600+MINUTE(V150)*60+SECOND(V150)</f>
        <v>26100</v>
      </c>
      <c r="W151" s="29">
        <f>DATEDIF(DATE(1970,1,1),W150,"D")*86400</f>
        <v>1502928000</v>
      </c>
      <c r="X151" s="29">
        <f>HOUR(X150)*3600+MINUTE(X150)*60+SECOND(X150)</f>
        <v>56400</v>
      </c>
      <c r="Y151" s="31">
        <f>(Y150*B151)</f>
        <v>1.4E-3</v>
      </c>
      <c r="Z151" s="29">
        <f>Z150</f>
        <v>1</v>
      </c>
      <c r="AA151" s="29">
        <f>DATEDIF(DATE(1970,1,1),AA150,"D")*86400</f>
        <v>1502928000</v>
      </c>
      <c r="AB151" s="29">
        <f>HOUR(AB150)*3600+MINUTE(AB150)*60+SECOND(AB150)</f>
        <v>56460</v>
      </c>
      <c r="AC151" s="29">
        <f>AC150</f>
        <v>1</v>
      </c>
    </row>
    <row r="152" spans="1:29">
      <c r="A152" s="23" t="str">
        <f>Parameters!A77</f>
        <v>6CM7</v>
      </c>
      <c r="B152" s="23">
        <f>Parameters!B77</f>
        <v>5.0000000000000002E-5</v>
      </c>
      <c r="C152" s="24">
        <f>Parameters!C77</f>
        <v>2</v>
      </c>
      <c r="D152" s="24" t="str">
        <f>Parameters!D77</f>
        <v>SELL</v>
      </c>
      <c r="E152" s="23">
        <f>Parameters!E77</f>
        <v>0</v>
      </c>
      <c r="F152" s="23">
        <f>Parameters!F77</f>
        <v>5.0000000000000001E-3</v>
      </c>
      <c r="G152" s="25">
        <f>Parameters!G77</f>
        <v>0.05</v>
      </c>
      <c r="H152" s="25">
        <f>Parameters!H77</f>
        <v>0</v>
      </c>
      <c r="I152" s="25">
        <f>Parameters!I77</f>
        <v>0</v>
      </c>
      <c r="J152" s="25">
        <f>Parameters!J77</f>
        <v>1</v>
      </c>
      <c r="K152" s="25">
        <f>Parameters!K77</f>
        <v>1</v>
      </c>
      <c r="L152" s="26">
        <f t="shared" ref="L152" si="222">L153</f>
        <v>-2.5000000000000001E-4</v>
      </c>
      <c r="M152" s="25">
        <f>Parameters!L77</f>
        <v>1</v>
      </c>
      <c r="N152" s="25">
        <f>Parameters!M77</f>
        <v>1</v>
      </c>
      <c r="O152" s="26">
        <f t="shared" ref="O152" si="223">O153</f>
        <v>6.5000000000000006E-3</v>
      </c>
      <c r="P152" s="23">
        <f>Parameters!N77</f>
        <v>1</v>
      </c>
      <c r="Q152" s="23">
        <f>Parameters!O77</f>
        <v>100</v>
      </c>
      <c r="R152" s="23">
        <f>Parameters!P77</f>
        <v>10</v>
      </c>
      <c r="S152" s="23">
        <f>Parameters!Q77</f>
        <v>2</v>
      </c>
      <c r="T152" s="23">
        <f>Parameters!R77</f>
        <v>1</v>
      </c>
      <c r="U152" s="27">
        <f>Parameters!S77</f>
        <v>42741</v>
      </c>
      <c r="V152" s="28">
        <f>Parameters!T77</f>
        <v>0.30208333333333331</v>
      </c>
      <c r="W152" s="27">
        <f>Parameters!U77</f>
        <v>42964</v>
      </c>
      <c r="X152" s="28">
        <f>Parameters!V77</f>
        <v>0.65277777777777779</v>
      </c>
      <c r="Y152" s="25">
        <f>Parameters!W77</f>
        <v>28</v>
      </c>
      <c r="Z152" s="23">
        <f>Parameters!X77</f>
        <v>1</v>
      </c>
      <c r="AA152" s="27">
        <f>Parameters!Y77</f>
        <v>42964</v>
      </c>
      <c r="AB152" s="28">
        <f>Parameters!Z77</f>
        <v>0.65347222222222223</v>
      </c>
      <c r="AC152" s="23">
        <f>Parameters!AA77</f>
        <v>1</v>
      </c>
    </row>
    <row r="153" spans="1:29">
      <c r="A153" s="29" t="str">
        <f>UPPER(A152)</f>
        <v>6CM7</v>
      </c>
      <c r="B153" s="29">
        <f>B152</f>
        <v>5.0000000000000002E-5</v>
      </c>
      <c r="C153" s="30">
        <f>C152</f>
        <v>2</v>
      </c>
      <c r="D153" s="30" t="str">
        <f>D152</f>
        <v>SELL</v>
      </c>
      <c r="E153" s="29">
        <f>E152</f>
        <v>0</v>
      </c>
      <c r="F153" s="29">
        <f>F152</f>
        <v>5.0000000000000001E-3</v>
      </c>
      <c r="G153" s="29">
        <f>IF(C152=1,IF(D152="BUY",E152+(ROUND(F152*G152/B152,0)*B152),E152-(ROUND(F152*G152/B152,0)*B152)),IF(D152="BUY",E152-(ROUND(F152*G152/B152,0)*B152),E152+(ROUND(F152*G152/B152,0)*B152)))</f>
        <v>2.5000000000000001E-4</v>
      </c>
      <c r="H153" s="29">
        <f>IF(C152=1,IF(D152="BUY",G153-(ROUND(F152*H152/B152,0)*B152),G153+(ROUND(F152*H152/B152,0)*B152)),IF(D152="BUY",G153+(ROUND(F152*H152/B152,0)*B152),G153-(ROUND(F152*H152/B152,0)*B152)))</f>
        <v>2.5000000000000001E-4</v>
      </c>
      <c r="I153" s="29">
        <f>IF(D152="BUY",G153+(ROUND(F152*I152/(B152*100),0)*B152),G153-(ROUND(F152*I152/(B152*100),0)*B152))</f>
        <v>2.5000000000000001E-4</v>
      </c>
      <c r="J153" s="29">
        <f>IF(C152=1,IF(D152="BUY",E152+(ROUND(F152*J152/B152,0)*B152),E152-(ROUND(F152*J152/B152,0)*B152)),IF(D152="BUY",E152-(ROUND(F152*J152/B152,0)*B152),E152+(ROUND(F152*J152/B152,0)*B152)))</f>
        <v>5.0000000000000001E-3</v>
      </c>
      <c r="K153" s="29">
        <f>IF(C152=1,IF(D152="BUY",E152-(ROUND(F152*K152/B152,0)*B152),E152+(ROUND(F152*K152/B152,0)*B152)),IF(D152="BUY",E152-(ROUND(F152*K152/B152,0)*B152),E152+(ROUND(F152*K152/B152,0)*B152)))</f>
        <v>5.0000000000000001E-3</v>
      </c>
      <c r="L153" s="29">
        <f t="shared" ref="L153" si="224">IF(D153="BUY",I153+(R153*B153),I153-(R153*B153))</f>
        <v>-2.5000000000000001E-4</v>
      </c>
      <c r="M153" s="29">
        <f>IF(D152="BUY",E152+(ROUND(F152*M152/B152,0)*B152),E152-(ROUND(F152*M152/B152,0)*B152))</f>
        <v>-5.0000000000000001E-3</v>
      </c>
      <c r="N153" s="29">
        <f>IF(D152="BUY",E152-(ROUND(F152*N152/B152,0)*B152),E152+(ROUND(F152*N152/B152,0)*B152))</f>
        <v>5.0000000000000001E-3</v>
      </c>
      <c r="O153" s="31">
        <f>IF(D153="BUY",N153-VLOOKUP(A153,Symbols!A$1:D$1000,4,FALSE),N153+VLOOKUP(A153,Symbols!A$1:D$1000,4,FALSE))</f>
        <v>6.5000000000000006E-3</v>
      </c>
      <c r="P153" s="29">
        <f>P152</f>
        <v>1</v>
      </c>
      <c r="Q153" s="29">
        <f>Q152</f>
        <v>100</v>
      </c>
      <c r="R153" s="29">
        <f>R152</f>
        <v>10</v>
      </c>
      <c r="S153" s="29">
        <f>S152</f>
        <v>2</v>
      </c>
      <c r="T153" s="29">
        <f>T152</f>
        <v>1</v>
      </c>
      <c r="U153" s="29">
        <f>DATEDIF(DATE(1970,1,1),U152,"D")*86400</f>
        <v>1483660800</v>
      </c>
      <c r="V153" s="29">
        <f>HOUR(V152)*3600+MINUTE(V152)*60+SECOND(V152)</f>
        <v>26100</v>
      </c>
      <c r="W153" s="29">
        <f>DATEDIF(DATE(1970,1,1),W152,"D")*86400</f>
        <v>1502928000</v>
      </c>
      <c r="X153" s="29">
        <f>HOUR(X152)*3600+MINUTE(X152)*60+SECOND(X152)</f>
        <v>56400</v>
      </c>
      <c r="Y153" s="31">
        <f>(Y152*B153)</f>
        <v>1.4E-3</v>
      </c>
      <c r="Z153" s="29">
        <f>Z152</f>
        <v>1</v>
      </c>
      <c r="AA153" s="29">
        <f>DATEDIF(DATE(1970,1,1),AA152,"D")*86400</f>
        <v>1502928000</v>
      </c>
      <c r="AB153" s="29">
        <f>HOUR(AB152)*3600+MINUTE(AB152)*60+SECOND(AB152)</f>
        <v>56460</v>
      </c>
      <c r="AC153" s="29">
        <f>AC152</f>
        <v>1</v>
      </c>
    </row>
    <row r="154" spans="1:29">
      <c r="A154" s="23" t="str">
        <f>Parameters!A78</f>
        <v>6CM7</v>
      </c>
      <c r="B154" s="23">
        <f>Parameters!B78</f>
        <v>5.0000000000000002E-5</v>
      </c>
      <c r="C154" s="24">
        <f>Parameters!C78</f>
        <v>2</v>
      </c>
      <c r="D154" s="24" t="str">
        <f>Parameters!D78</f>
        <v>SELL</v>
      </c>
      <c r="E154" s="23">
        <f>Parameters!E78</f>
        <v>0</v>
      </c>
      <c r="F154" s="23">
        <f>Parameters!F78</f>
        <v>5.0000000000000001E-3</v>
      </c>
      <c r="G154" s="25">
        <f>Parameters!G78</f>
        <v>0.06</v>
      </c>
      <c r="H154" s="25">
        <f>Parameters!H78</f>
        <v>0</v>
      </c>
      <c r="I154" s="25">
        <f>Parameters!I78</f>
        <v>0</v>
      </c>
      <c r="J154" s="25">
        <f>Parameters!J78</f>
        <v>1</v>
      </c>
      <c r="K154" s="25">
        <f>Parameters!K78</f>
        <v>1</v>
      </c>
      <c r="L154" s="26">
        <f t="shared" ref="L154" si="225">L155</f>
        <v>-1.9999999999999998E-4</v>
      </c>
      <c r="M154" s="25">
        <f>Parameters!L78</f>
        <v>1</v>
      </c>
      <c r="N154" s="25">
        <f>Parameters!M78</f>
        <v>1</v>
      </c>
      <c r="O154" s="26">
        <f t="shared" ref="O154" si="226">O155</f>
        <v>6.5000000000000006E-3</v>
      </c>
      <c r="P154" s="23">
        <f>Parameters!N78</f>
        <v>1</v>
      </c>
      <c r="Q154" s="23">
        <f>Parameters!O78</f>
        <v>100</v>
      </c>
      <c r="R154" s="23">
        <f>Parameters!P78</f>
        <v>10</v>
      </c>
      <c r="S154" s="23">
        <f>Parameters!Q78</f>
        <v>2</v>
      </c>
      <c r="T154" s="23">
        <f>Parameters!R78</f>
        <v>1</v>
      </c>
      <c r="U154" s="27">
        <f>Parameters!S78</f>
        <v>42741</v>
      </c>
      <c r="V154" s="28">
        <f>Parameters!T78</f>
        <v>0.30208333333333331</v>
      </c>
      <c r="W154" s="27">
        <f>Parameters!U78</f>
        <v>42964</v>
      </c>
      <c r="X154" s="28">
        <f>Parameters!V78</f>
        <v>0.65277777777777779</v>
      </c>
      <c r="Y154" s="25">
        <f>Parameters!W78</f>
        <v>28</v>
      </c>
      <c r="Z154" s="23">
        <f>Parameters!X78</f>
        <v>1</v>
      </c>
      <c r="AA154" s="27">
        <f>Parameters!Y78</f>
        <v>42964</v>
      </c>
      <c r="AB154" s="28">
        <f>Parameters!Z78</f>
        <v>0.65347222222222223</v>
      </c>
      <c r="AC154" s="23">
        <f>Parameters!AA78</f>
        <v>1</v>
      </c>
    </row>
    <row r="155" spans="1:29">
      <c r="A155" s="29" t="str">
        <f>UPPER(A154)</f>
        <v>6CM7</v>
      </c>
      <c r="B155" s="29">
        <f>B154</f>
        <v>5.0000000000000002E-5</v>
      </c>
      <c r="C155" s="30">
        <f>C154</f>
        <v>2</v>
      </c>
      <c r="D155" s="30" t="str">
        <f>D154</f>
        <v>SELL</v>
      </c>
      <c r="E155" s="29">
        <f>E154</f>
        <v>0</v>
      </c>
      <c r="F155" s="29">
        <f>F154</f>
        <v>5.0000000000000001E-3</v>
      </c>
      <c r="G155" s="29">
        <f>IF(C154=1,IF(D154="BUY",E154+(ROUND(F154*G154/B154,0)*B154),E154-(ROUND(F154*G154/B154,0)*B154)),IF(D154="BUY",E154-(ROUND(F154*G154/B154,0)*B154),E154+(ROUND(F154*G154/B154,0)*B154)))</f>
        <v>3.0000000000000003E-4</v>
      </c>
      <c r="H155" s="29">
        <f>IF(C154=1,IF(D154="BUY",G155-(ROUND(F154*H154/B154,0)*B154),G155+(ROUND(F154*H154/B154,0)*B154)),IF(D154="BUY",G155+(ROUND(F154*H154/B154,0)*B154),G155-(ROUND(F154*H154/B154,0)*B154)))</f>
        <v>3.0000000000000003E-4</v>
      </c>
      <c r="I155" s="29">
        <f>IF(D154="BUY",G155+(ROUND(F154*I154/(B154*100),0)*B154),G155-(ROUND(F154*I154/(B154*100),0)*B154))</f>
        <v>3.0000000000000003E-4</v>
      </c>
      <c r="J155" s="29">
        <f>IF(C154=1,IF(D154="BUY",E154+(ROUND(F154*J154/B154,0)*B154),E154-(ROUND(F154*J154/B154,0)*B154)),IF(D154="BUY",E154-(ROUND(F154*J154/B154,0)*B154),E154+(ROUND(F154*J154/B154,0)*B154)))</f>
        <v>5.0000000000000001E-3</v>
      </c>
      <c r="K155" s="29">
        <f>IF(C154=1,IF(D154="BUY",E154-(ROUND(F154*K154/B154,0)*B154),E154+(ROUND(F154*K154/B154,0)*B154)),IF(D154="BUY",E154-(ROUND(F154*K154/B154,0)*B154),E154+(ROUND(F154*K154/B154,0)*B154)))</f>
        <v>5.0000000000000001E-3</v>
      </c>
      <c r="L155" s="29">
        <f t="shared" ref="L155" si="227">IF(D155="BUY",I155+(R155*B155),I155-(R155*B155))</f>
        <v>-1.9999999999999998E-4</v>
      </c>
      <c r="M155" s="29">
        <f>IF(D154="BUY",E154+(ROUND(F154*M154/B154,0)*B154),E154-(ROUND(F154*M154/B154,0)*B154))</f>
        <v>-5.0000000000000001E-3</v>
      </c>
      <c r="N155" s="29">
        <f>IF(D154="BUY",E154-(ROUND(F154*N154/B154,0)*B154),E154+(ROUND(F154*N154/B154,0)*B154))</f>
        <v>5.0000000000000001E-3</v>
      </c>
      <c r="O155" s="31">
        <f>IF(D155="BUY",N155-VLOOKUP(A155,Symbols!A$1:D$1000,4,FALSE),N155+VLOOKUP(A155,Symbols!A$1:D$1000,4,FALSE))</f>
        <v>6.5000000000000006E-3</v>
      </c>
      <c r="P155" s="29">
        <f>P154</f>
        <v>1</v>
      </c>
      <c r="Q155" s="29">
        <f>Q154</f>
        <v>100</v>
      </c>
      <c r="R155" s="29">
        <f>R154</f>
        <v>10</v>
      </c>
      <c r="S155" s="29">
        <f>S154</f>
        <v>2</v>
      </c>
      <c r="T155" s="29">
        <f>T154</f>
        <v>1</v>
      </c>
      <c r="U155" s="29">
        <f>DATEDIF(DATE(1970,1,1),U154,"D")*86400</f>
        <v>1483660800</v>
      </c>
      <c r="V155" s="29">
        <f>HOUR(V154)*3600+MINUTE(V154)*60+SECOND(V154)</f>
        <v>26100</v>
      </c>
      <c r="W155" s="29">
        <f>DATEDIF(DATE(1970,1,1),W154,"D")*86400</f>
        <v>1502928000</v>
      </c>
      <c r="X155" s="29">
        <f>HOUR(X154)*3600+MINUTE(X154)*60+SECOND(X154)</f>
        <v>56400</v>
      </c>
      <c r="Y155" s="31">
        <f>(Y154*B155)</f>
        <v>1.4E-3</v>
      </c>
      <c r="Z155" s="29">
        <f>Z154</f>
        <v>1</v>
      </c>
      <c r="AA155" s="29">
        <f>DATEDIF(DATE(1970,1,1),AA154,"D")*86400</f>
        <v>1502928000</v>
      </c>
      <c r="AB155" s="29">
        <f>HOUR(AB154)*3600+MINUTE(AB154)*60+SECOND(AB154)</f>
        <v>56460</v>
      </c>
      <c r="AC155" s="29">
        <f>AC154</f>
        <v>1</v>
      </c>
    </row>
    <row r="156" spans="1:29">
      <c r="A156" s="23" t="str">
        <f>Parameters!A79</f>
        <v>6CM7</v>
      </c>
      <c r="B156" s="23">
        <f>Parameters!B79</f>
        <v>5.0000000000000002E-5</v>
      </c>
      <c r="C156" s="24">
        <f>Parameters!C79</f>
        <v>2</v>
      </c>
      <c r="D156" s="24" t="str">
        <f>Parameters!D79</f>
        <v>SELL</v>
      </c>
      <c r="E156" s="23">
        <f>Parameters!E79</f>
        <v>0</v>
      </c>
      <c r="F156" s="23">
        <f>Parameters!F79</f>
        <v>5.0000000000000001E-3</v>
      </c>
      <c r="G156" s="25">
        <f>Parameters!G79</f>
        <v>7.0000000000000007E-2</v>
      </c>
      <c r="H156" s="25">
        <f>Parameters!H79</f>
        <v>0</v>
      </c>
      <c r="I156" s="25">
        <f>Parameters!I79</f>
        <v>0</v>
      </c>
      <c r="J156" s="25">
        <f>Parameters!J79</f>
        <v>1</v>
      </c>
      <c r="K156" s="25">
        <f>Parameters!K79</f>
        <v>1</v>
      </c>
      <c r="L156" s="26">
        <f t="shared" ref="L156" si="228">L157</f>
        <v>-1.5000000000000001E-4</v>
      </c>
      <c r="M156" s="25">
        <f>Parameters!L79</f>
        <v>1</v>
      </c>
      <c r="N156" s="25">
        <f>Parameters!M79</f>
        <v>1</v>
      </c>
      <c r="O156" s="26">
        <f t="shared" ref="O156" si="229">O157</f>
        <v>6.5000000000000006E-3</v>
      </c>
      <c r="P156" s="23">
        <f>Parameters!N79</f>
        <v>1</v>
      </c>
      <c r="Q156" s="23">
        <f>Parameters!O79</f>
        <v>100</v>
      </c>
      <c r="R156" s="23">
        <f>Parameters!P79</f>
        <v>10</v>
      </c>
      <c r="S156" s="23">
        <f>Parameters!Q79</f>
        <v>2</v>
      </c>
      <c r="T156" s="23">
        <f>Parameters!R79</f>
        <v>1</v>
      </c>
      <c r="U156" s="27">
        <f>Parameters!S79</f>
        <v>42741</v>
      </c>
      <c r="V156" s="28">
        <f>Parameters!T79</f>
        <v>0.30208333333333331</v>
      </c>
      <c r="W156" s="27">
        <f>Parameters!U79</f>
        <v>42964</v>
      </c>
      <c r="X156" s="28">
        <f>Parameters!V79</f>
        <v>0.65277777777777779</v>
      </c>
      <c r="Y156" s="25">
        <f>Parameters!W79</f>
        <v>28</v>
      </c>
      <c r="Z156" s="23">
        <f>Parameters!X79</f>
        <v>1</v>
      </c>
      <c r="AA156" s="27">
        <f>Parameters!Y79</f>
        <v>42964</v>
      </c>
      <c r="AB156" s="28">
        <f>Parameters!Z79</f>
        <v>0.65347222222222223</v>
      </c>
      <c r="AC156" s="23">
        <f>Parameters!AA79</f>
        <v>1</v>
      </c>
    </row>
    <row r="157" spans="1:29">
      <c r="A157" s="29" t="str">
        <f>UPPER(A156)</f>
        <v>6CM7</v>
      </c>
      <c r="B157" s="29">
        <f>B156</f>
        <v>5.0000000000000002E-5</v>
      </c>
      <c r="C157" s="30">
        <f>C156</f>
        <v>2</v>
      </c>
      <c r="D157" s="30" t="str">
        <f>D156</f>
        <v>SELL</v>
      </c>
      <c r="E157" s="29">
        <f>E156</f>
        <v>0</v>
      </c>
      <c r="F157" s="29">
        <f>F156</f>
        <v>5.0000000000000001E-3</v>
      </c>
      <c r="G157" s="29">
        <f>IF(C156=1,IF(D156="BUY",E156+(ROUND(F156*G156/B156,0)*B156),E156-(ROUND(F156*G156/B156,0)*B156)),IF(D156="BUY",E156-(ROUND(F156*G156/B156,0)*B156),E156+(ROUND(F156*G156/B156,0)*B156)))</f>
        <v>3.5E-4</v>
      </c>
      <c r="H157" s="29">
        <f>IF(C156=1,IF(D156="BUY",G157-(ROUND(F156*H156/B156,0)*B156),G157+(ROUND(F156*H156/B156,0)*B156)),IF(D156="BUY",G157+(ROUND(F156*H156/B156,0)*B156),G157-(ROUND(F156*H156/B156,0)*B156)))</f>
        <v>3.5E-4</v>
      </c>
      <c r="I157" s="29">
        <f>IF(D156="BUY",G157+(ROUND(F156*I156/(B156*100),0)*B156),G157-(ROUND(F156*I156/(B156*100),0)*B156))</f>
        <v>3.5E-4</v>
      </c>
      <c r="J157" s="29">
        <f>IF(C156=1,IF(D156="BUY",E156+(ROUND(F156*J156/B156,0)*B156),E156-(ROUND(F156*J156/B156,0)*B156)),IF(D156="BUY",E156-(ROUND(F156*J156/B156,0)*B156),E156+(ROUND(F156*J156/B156,0)*B156)))</f>
        <v>5.0000000000000001E-3</v>
      </c>
      <c r="K157" s="29">
        <f>IF(C156=1,IF(D156="BUY",E156-(ROUND(F156*K156/B156,0)*B156),E156+(ROUND(F156*K156/B156,0)*B156)),IF(D156="BUY",E156-(ROUND(F156*K156/B156,0)*B156),E156+(ROUND(F156*K156/B156,0)*B156)))</f>
        <v>5.0000000000000001E-3</v>
      </c>
      <c r="L157" s="29">
        <f t="shared" ref="L157" si="230">IF(D157="BUY",I157+(R157*B157),I157-(R157*B157))</f>
        <v>-1.5000000000000001E-4</v>
      </c>
      <c r="M157" s="29">
        <f>IF(D156="BUY",E156+(ROUND(F156*M156/B156,0)*B156),E156-(ROUND(F156*M156/B156,0)*B156))</f>
        <v>-5.0000000000000001E-3</v>
      </c>
      <c r="N157" s="29">
        <f>IF(D156="BUY",E156-(ROUND(F156*N156/B156,0)*B156),E156+(ROUND(F156*N156/B156,0)*B156))</f>
        <v>5.0000000000000001E-3</v>
      </c>
      <c r="O157" s="31">
        <f>IF(D157="BUY",N157-VLOOKUP(A157,Symbols!A$1:D$1000,4,FALSE),N157+VLOOKUP(A157,Symbols!A$1:D$1000,4,FALSE))</f>
        <v>6.5000000000000006E-3</v>
      </c>
      <c r="P157" s="29">
        <f>P156</f>
        <v>1</v>
      </c>
      <c r="Q157" s="29">
        <f>Q156</f>
        <v>100</v>
      </c>
      <c r="R157" s="29">
        <f>R156</f>
        <v>10</v>
      </c>
      <c r="S157" s="29">
        <f>S156</f>
        <v>2</v>
      </c>
      <c r="T157" s="29">
        <f>T156</f>
        <v>1</v>
      </c>
      <c r="U157" s="29">
        <f>DATEDIF(DATE(1970,1,1),U156,"D")*86400</f>
        <v>1483660800</v>
      </c>
      <c r="V157" s="29">
        <f>HOUR(V156)*3600+MINUTE(V156)*60+SECOND(V156)</f>
        <v>26100</v>
      </c>
      <c r="W157" s="29">
        <f>DATEDIF(DATE(1970,1,1),W156,"D")*86400</f>
        <v>1502928000</v>
      </c>
      <c r="X157" s="29">
        <f>HOUR(X156)*3600+MINUTE(X156)*60+SECOND(X156)</f>
        <v>56400</v>
      </c>
      <c r="Y157" s="31">
        <f>(Y156*B157)</f>
        <v>1.4E-3</v>
      </c>
      <c r="Z157" s="29">
        <f>Z156</f>
        <v>1</v>
      </c>
      <c r="AA157" s="29">
        <f>DATEDIF(DATE(1970,1,1),AA156,"D")*86400</f>
        <v>1502928000</v>
      </c>
      <c r="AB157" s="29">
        <f>HOUR(AB156)*3600+MINUTE(AB156)*60+SECOND(AB156)</f>
        <v>56460</v>
      </c>
      <c r="AC157" s="29">
        <f>AC156</f>
        <v>1</v>
      </c>
    </row>
    <row r="158" spans="1:29">
      <c r="A158" s="23" t="str">
        <f>Parameters!A80</f>
        <v>6CM7</v>
      </c>
      <c r="B158" s="23">
        <f>Parameters!B80</f>
        <v>5.0000000000000002E-5</v>
      </c>
      <c r="C158" s="24">
        <f>Parameters!C80</f>
        <v>2</v>
      </c>
      <c r="D158" s="24" t="str">
        <f>Parameters!D80</f>
        <v>SELL</v>
      </c>
      <c r="E158" s="23">
        <f>Parameters!E80</f>
        <v>0</v>
      </c>
      <c r="F158" s="23">
        <f>Parameters!F80</f>
        <v>5.0000000000000001E-3</v>
      </c>
      <c r="G158" s="25">
        <f>Parameters!G80</f>
        <v>0.08</v>
      </c>
      <c r="H158" s="25">
        <f>Parameters!H80</f>
        <v>0</v>
      </c>
      <c r="I158" s="25">
        <f>Parameters!I80</f>
        <v>0</v>
      </c>
      <c r="J158" s="25">
        <f>Parameters!J80</f>
        <v>1</v>
      </c>
      <c r="K158" s="25">
        <f>Parameters!K80</f>
        <v>1</v>
      </c>
      <c r="L158" s="26">
        <f t="shared" ref="L158" si="231">L159</f>
        <v>-9.9999999999999991E-5</v>
      </c>
      <c r="M158" s="25">
        <f>Parameters!L80</f>
        <v>1</v>
      </c>
      <c r="N158" s="25">
        <f>Parameters!M80</f>
        <v>1</v>
      </c>
      <c r="O158" s="26">
        <f t="shared" ref="O158" si="232">O159</f>
        <v>6.5000000000000006E-3</v>
      </c>
      <c r="P158" s="23">
        <f>Parameters!N80</f>
        <v>1</v>
      </c>
      <c r="Q158" s="23">
        <f>Parameters!O80</f>
        <v>100</v>
      </c>
      <c r="R158" s="23">
        <f>Parameters!P80</f>
        <v>10</v>
      </c>
      <c r="S158" s="23">
        <f>Parameters!Q80</f>
        <v>2</v>
      </c>
      <c r="T158" s="23">
        <f>Parameters!R80</f>
        <v>1</v>
      </c>
      <c r="U158" s="27">
        <f>Parameters!S80</f>
        <v>42741</v>
      </c>
      <c r="V158" s="28">
        <f>Parameters!T80</f>
        <v>0.30208333333333331</v>
      </c>
      <c r="W158" s="27">
        <f>Parameters!U80</f>
        <v>42964</v>
      </c>
      <c r="X158" s="28">
        <f>Parameters!V80</f>
        <v>0.65277777777777779</v>
      </c>
      <c r="Y158" s="25">
        <f>Parameters!W80</f>
        <v>28</v>
      </c>
      <c r="Z158" s="23">
        <f>Parameters!X80</f>
        <v>1</v>
      </c>
      <c r="AA158" s="27">
        <f>Parameters!Y80</f>
        <v>42964</v>
      </c>
      <c r="AB158" s="28">
        <f>Parameters!Z80</f>
        <v>0.65347222222222223</v>
      </c>
      <c r="AC158" s="23">
        <f>Parameters!AA80</f>
        <v>1</v>
      </c>
    </row>
    <row r="159" spans="1:29">
      <c r="A159" s="29" t="str">
        <f>UPPER(A158)</f>
        <v>6CM7</v>
      </c>
      <c r="B159" s="29">
        <f>B158</f>
        <v>5.0000000000000002E-5</v>
      </c>
      <c r="C159" s="30">
        <f>C158</f>
        <v>2</v>
      </c>
      <c r="D159" s="30" t="str">
        <f>D158</f>
        <v>SELL</v>
      </c>
      <c r="E159" s="29">
        <f>E158</f>
        <v>0</v>
      </c>
      <c r="F159" s="29">
        <f>F158</f>
        <v>5.0000000000000001E-3</v>
      </c>
      <c r="G159" s="29">
        <f>IF(C158=1,IF(D158="BUY",E158+(ROUND(F158*G158/B158,0)*B158),E158-(ROUND(F158*G158/B158,0)*B158)),IF(D158="BUY",E158-(ROUND(F158*G158/B158,0)*B158),E158+(ROUND(F158*G158/B158,0)*B158)))</f>
        <v>4.0000000000000002E-4</v>
      </c>
      <c r="H159" s="29">
        <f>IF(C158=1,IF(D158="BUY",G159-(ROUND(F158*H158/B158,0)*B158),G159+(ROUND(F158*H158/B158,0)*B158)),IF(D158="BUY",G159+(ROUND(F158*H158/B158,0)*B158),G159-(ROUND(F158*H158/B158,0)*B158)))</f>
        <v>4.0000000000000002E-4</v>
      </c>
      <c r="I159" s="29">
        <f>IF(D158="BUY",G159+(ROUND(F158*I158/(B158*100),0)*B158),G159-(ROUND(F158*I158/(B158*100),0)*B158))</f>
        <v>4.0000000000000002E-4</v>
      </c>
      <c r="J159" s="29">
        <f>IF(C158=1,IF(D158="BUY",E158+(ROUND(F158*J158/B158,0)*B158),E158-(ROUND(F158*J158/B158,0)*B158)),IF(D158="BUY",E158-(ROUND(F158*J158/B158,0)*B158),E158+(ROUND(F158*J158/B158,0)*B158)))</f>
        <v>5.0000000000000001E-3</v>
      </c>
      <c r="K159" s="29">
        <f>IF(C158=1,IF(D158="BUY",E158-(ROUND(F158*K158/B158,0)*B158),E158+(ROUND(F158*K158/B158,0)*B158)),IF(D158="BUY",E158-(ROUND(F158*K158/B158,0)*B158),E158+(ROUND(F158*K158/B158,0)*B158)))</f>
        <v>5.0000000000000001E-3</v>
      </c>
      <c r="L159" s="29">
        <f t="shared" ref="L159" si="233">IF(D159="BUY",I159+(R159*B159),I159-(R159*B159))</f>
        <v>-9.9999999999999991E-5</v>
      </c>
      <c r="M159" s="29">
        <f>IF(D158="BUY",E158+(ROUND(F158*M158/B158,0)*B158),E158-(ROUND(F158*M158/B158,0)*B158))</f>
        <v>-5.0000000000000001E-3</v>
      </c>
      <c r="N159" s="29">
        <f>IF(D158="BUY",E158-(ROUND(F158*N158/B158,0)*B158),E158+(ROUND(F158*N158/B158,0)*B158))</f>
        <v>5.0000000000000001E-3</v>
      </c>
      <c r="O159" s="31">
        <f>IF(D159="BUY",N159-VLOOKUP(A159,Symbols!A$1:D$1000,4,FALSE),N159+VLOOKUP(A159,Symbols!A$1:D$1000,4,FALSE))</f>
        <v>6.5000000000000006E-3</v>
      </c>
      <c r="P159" s="29">
        <f>P158</f>
        <v>1</v>
      </c>
      <c r="Q159" s="29">
        <f>Q158</f>
        <v>100</v>
      </c>
      <c r="R159" s="29">
        <f>R158</f>
        <v>10</v>
      </c>
      <c r="S159" s="29">
        <f>S158</f>
        <v>2</v>
      </c>
      <c r="T159" s="29">
        <f>T158</f>
        <v>1</v>
      </c>
      <c r="U159" s="29">
        <f>DATEDIF(DATE(1970,1,1),U158,"D")*86400</f>
        <v>1483660800</v>
      </c>
      <c r="V159" s="29">
        <f>HOUR(V158)*3600+MINUTE(V158)*60+SECOND(V158)</f>
        <v>26100</v>
      </c>
      <c r="W159" s="29">
        <f>DATEDIF(DATE(1970,1,1),W158,"D")*86400</f>
        <v>1502928000</v>
      </c>
      <c r="X159" s="29">
        <f>HOUR(X158)*3600+MINUTE(X158)*60+SECOND(X158)</f>
        <v>56400</v>
      </c>
      <c r="Y159" s="31">
        <f>(Y158*B159)</f>
        <v>1.4E-3</v>
      </c>
      <c r="Z159" s="29">
        <f>Z158</f>
        <v>1</v>
      </c>
      <c r="AA159" s="29">
        <f>DATEDIF(DATE(1970,1,1),AA158,"D")*86400</f>
        <v>1502928000</v>
      </c>
      <c r="AB159" s="29">
        <f>HOUR(AB158)*3600+MINUTE(AB158)*60+SECOND(AB158)</f>
        <v>56460</v>
      </c>
      <c r="AC159" s="29">
        <f>AC158</f>
        <v>1</v>
      </c>
    </row>
    <row r="160" spans="1:29">
      <c r="A160" s="23" t="str">
        <f>Parameters!A81</f>
        <v>6CM7</v>
      </c>
      <c r="B160" s="23">
        <f>Parameters!B81</f>
        <v>5.0000000000000002E-5</v>
      </c>
      <c r="C160" s="24">
        <f>Parameters!C81</f>
        <v>2</v>
      </c>
      <c r="D160" s="24" t="str">
        <f>Parameters!D81</f>
        <v>SELL</v>
      </c>
      <c r="E160" s="23">
        <f>Parameters!E81</f>
        <v>0</v>
      </c>
      <c r="F160" s="23">
        <f>Parameters!F81</f>
        <v>5.0000000000000001E-3</v>
      </c>
      <c r="G160" s="25">
        <f>Parameters!G81</f>
        <v>0.09</v>
      </c>
      <c r="H160" s="25">
        <f>Parameters!H81</f>
        <v>0</v>
      </c>
      <c r="I160" s="25">
        <f>Parameters!I81</f>
        <v>0</v>
      </c>
      <c r="J160" s="25">
        <f>Parameters!J81</f>
        <v>1</v>
      </c>
      <c r="K160" s="25">
        <f>Parameters!K81</f>
        <v>1</v>
      </c>
      <c r="L160" s="26">
        <f t="shared" ref="L160" si="234">L161</f>
        <v>-4.9999999999999969E-5</v>
      </c>
      <c r="M160" s="25">
        <f>Parameters!L81</f>
        <v>1</v>
      </c>
      <c r="N160" s="25">
        <f>Parameters!M81</f>
        <v>1</v>
      </c>
      <c r="O160" s="26">
        <f t="shared" ref="O160" si="235">O161</f>
        <v>6.5000000000000006E-3</v>
      </c>
      <c r="P160" s="23">
        <f>Parameters!N81</f>
        <v>1</v>
      </c>
      <c r="Q160" s="23">
        <f>Parameters!O81</f>
        <v>100</v>
      </c>
      <c r="R160" s="23">
        <f>Parameters!P81</f>
        <v>10</v>
      </c>
      <c r="S160" s="23">
        <f>Parameters!Q81</f>
        <v>2</v>
      </c>
      <c r="T160" s="23">
        <f>Parameters!R81</f>
        <v>1</v>
      </c>
      <c r="U160" s="27">
        <f>Parameters!S81</f>
        <v>42741</v>
      </c>
      <c r="V160" s="28">
        <f>Parameters!T81</f>
        <v>0.30208333333333331</v>
      </c>
      <c r="W160" s="27">
        <f>Parameters!U81</f>
        <v>42964</v>
      </c>
      <c r="X160" s="28">
        <f>Parameters!V81</f>
        <v>0.65277777777777779</v>
      </c>
      <c r="Y160" s="25">
        <f>Parameters!W81</f>
        <v>28</v>
      </c>
      <c r="Z160" s="23">
        <f>Parameters!X81</f>
        <v>1</v>
      </c>
      <c r="AA160" s="27">
        <f>Parameters!Y81</f>
        <v>42964</v>
      </c>
      <c r="AB160" s="28">
        <f>Parameters!Z81</f>
        <v>0.65347222222222223</v>
      </c>
      <c r="AC160" s="23">
        <f>Parameters!AA81</f>
        <v>1</v>
      </c>
    </row>
    <row r="161" spans="1:29">
      <c r="A161" s="29" t="str">
        <f>UPPER(A160)</f>
        <v>6CM7</v>
      </c>
      <c r="B161" s="29">
        <f>B160</f>
        <v>5.0000000000000002E-5</v>
      </c>
      <c r="C161" s="30">
        <f>C160</f>
        <v>2</v>
      </c>
      <c r="D161" s="30" t="str">
        <f>D160</f>
        <v>SELL</v>
      </c>
      <c r="E161" s="29">
        <f>E160</f>
        <v>0</v>
      </c>
      <c r="F161" s="29">
        <f>F160</f>
        <v>5.0000000000000001E-3</v>
      </c>
      <c r="G161" s="29">
        <f>IF(C160=1,IF(D160="BUY",E160+(ROUND(F160*G160/B160,0)*B160),E160-(ROUND(F160*G160/B160,0)*B160)),IF(D160="BUY",E160-(ROUND(F160*G160/B160,0)*B160),E160+(ROUND(F160*G160/B160,0)*B160)))</f>
        <v>4.5000000000000004E-4</v>
      </c>
      <c r="H161" s="29">
        <f>IF(C160=1,IF(D160="BUY",G161-(ROUND(F160*H160/B160,0)*B160),G161+(ROUND(F160*H160/B160,0)*B160)),IF(D160="BUY",G161+(ROUND(F160*H160/B160,0)*B160),G161-(ROUND(F160*H160/B160,0)*B160)))</f>
        <v>4.5000000000000004E-4</v>
      </c>
      <c r="I161" s="29">
        <f>IF(D160="BUY",G161+(ROUND(F160*I160/(B160*100),0)*B160),G161-(ROUND(F160*I160/(B160*100),0)*B160))</f>
        <v>4.5000000000000004E-4</v>
      </c>
      <c r="J161" s="29">
        <f>IF(C160=1,IF(D160="BUY",E160+(ROUND(F160*J160/B160,0)*B160),E160-(ROUND(F160*J160/B160,0)*B160)),IF(D160="BUY",E160-(ROUND(F160*J160/B160,0)*B160),E160+(ROUND(F160*J160/B160,0)*B160)))</f>
        <v>5.0000000000000001E-3</v>
      </c>
      <c r="K161" s="29">
        <f>IF(C160=1,IF(D160="BUY",E160-(ROUND(F160*K160/B160,0)*B160),E160+(ROUND(F160*K160/B160,0)*B160)),IF(D160="BUY",E160-(ROUND(F160*K160/B160,0)*B160),E160+(ROUND(F160*K160/B160,0)*B160)))</f>
        <v>5.0000000000000001E-3</v>
      </c>
      <c r="L161" s="29">
        <f t="shared" ref="L161" si="236">IF(D161="BUY",I161+(R161*B161),I161-(R161*B161))</f>
        <v>-4.9999999999999969E-5</v>
      </c>
      <c r="M161" s="29">
        <f>IF(D160="BUY",E160+(ROUND(F160*M160/B160,0)*B160),E160-(ROUND(F160*M160/B160,0)*B160))</f>
        <v>-5.0000000000000001E-3</v>
      </c>
      <c r="N161" s="29">
        <f>IF(D160="BUY",E160-(ROUND(F160*N160/B160,0)*B160),E160+(ROUND(F160*N160/B160,0)*B160))</f>
        <v>5.0000000000000001E-3</v>
      </c>
      <c r="O161" s="31">
        <f>IF(D161="BUY",N161-VLOOKUP(A161,Symbols!A$1:D$1000,4,FALSE),N161+VLOOKUP(A161,Symbols!A$1:D$1000,4,FALSE))</f>
        <v>6.5000000000000006E-3</v>
      </c>
      <c r="P161" s="29">
        <f>P160</f>
        <v>1</v>
      </c>
      <c r="Q161" s="29">
        <f>Q160</f>
        <v>100</v>
      </c>
      <c r="R161" s="29">
        <f>R160</f>
        <v>10</v>
      </c>
      <c r="S161" s="29">
        <f>S160</f>
        <v>2</v>
      </c>
      <c r="T161" s="29">
        <f>T160</f>
        <v>1</v>
      </c>
      <c r="U161" s="29">
        <f>DATEDIF(DATE(1970,1,1),U160,"D")*86400</f>
        <v>1483660800</v>
      </c>
      <c r="V161" s="29">
        <f>HOUR(V160)*3600+MINUTE(V160)*60+SECOND(V160)</f>
        <v>26100</v>
      </c>
      <c r="W161" s="29">
        <f>DATEDIF(DATE(1970,1,1),W160,"D")*86400</f>
        <v>1502928000</v>
      </c>
      <c r="X161" s="29">
        <f>HOUR(X160)*3600+MINUTE(X160)*60+SECOND(X160)</f>
        <v>56400</v>
      </c>
      <c r="Y161" s="31">
        <f>(Y160*B161)</f>
        <v>1.4E-3</v>
      </c>
      <c r="Z161" s="29">
        <f>Z160</f>
        <v>1</v>
      </c>
      <c r="AA161" s="29">
        <f>DATEDIF(DATE(1970,1,1),AA160,"D")*86400</f>
        <v>1502928000</v>
      </c>
      <c r="AB161" s="29">
        <f>HOUR(AB160)*3600+MINUTE(AB160)*60+SECOND(AB160)</f>
        <v>56460</v>
      </c>
      <c r="AC161" s="29">
        <f>AC160</f>
        <v>1</v>
      </c>
    </row>
    <row r="162" spans="1:29">
      <c r="A162" s="23" t="str">
        <f>Parameters!A82</f>
        <v>6AM7</v>
      </c>
      <c r="B162" s="23">
        <f>Parameters!B82</f>
        <v>1E-4</v>
      </c>
      <c r="C162" s="24">
        <f>Parameters!C82</f>
        <v>2</v>
      </c>
      <c r="D162" s="24" t="str">
        <f>Parameters!D82</f>
        <v>BUY</v>
      </c>
      <c r="E162" s="23">
        <f>Parameters!E82</f>
        <v>0</v>
      </c>
      <c r="F162" s="23">
        <f>Parameters!F82</f>
        <v>0.01</v>
      </c>
      <c r="G162" s="25">
        <f>Parameters!G82</f>
        <v>0</v>
      </c>
      <c r="H162" s="25">
        <f>Parameters!H82</f>
        <v>0</v>
      </c>
      <c r="I162" s="25">
        <f>Parameters!I82</f>
        <v>0</v>
      </c>
      <c r="J162" s="25">
        <f>Parameters!J82</f>
        <v>1</v>
      </c>
      <c r="K162" s="25">
        <f>Parameters!K82</f>
        <v>1</v>
      </c>
      <c r="L162" s="26">
        <f t="shared" ref="L162" si="237">L163</f>
        <v>1E-3</v>
      </c>
      <c r="M162" s="25">
        <f>Parameters!L82</f>
        <v>1</v>
      </c>
      <c r="N162" s="25">
        <f>Parameters!M82</f>
        <v>1</v>
      </c>
      <c r="O162" s="26">
        <f t="shared" ref="O162" si="238">O163</f>
        <v>-1.3000000000000001E-2</v>
      </c>
      <c r="P162" s="23">
        <f>Parameters!N82</f>
        <v>1</v>
      </c>
      <c r="Q162" s="23">
        <f>Parameters!O82</f>
        <v>100</v>
      </c>
      <c r="R162" s="23">
        <f>Parameters!P82</f>
        <v>10</v>
      </c>
      <c r="S162" s="23">
        <f>Parameters!Q82</f>
        <v>2</v>
      </c>
      <c r="T162" s="23">
        <f>Parameters!R82</f>
        <v>1</v>
      </c>
      <c r="U162" s="27">
        <f>Parameters!S82</f>
        <v>42741</v>
      </c>
      <c r="V162" s="28">
        <f>Parameters!T82</f>
        <v>0.30208333333333331</v>
      </c>
      <c r="W162" s="27">
        <f>Parameters!U82</f>
        <v>42964</v>
      </c>
      <c r="X162" s="28">
        <f>Parameters!V82</f>
        <v>0.65277777777777779</v>
      </c>
      <c r="Y162" s="25">
        <f>Parameters!W82</f>
        <v>28</v>
      </c>
      <c r="Z162" s="23">
        <f>Parameters!X82</f>
        <v>1</v>
      </c>
      <c r="AA162" s="27">
        <f>Parameters!Y82</f>
        <v>42964</v>
      </c>
      <c r="AB162" s="28">
        <f>Parameters!Z82</f>
        <v>0.65347222222222223</v>
      </c>
      <c r="AC162" s="23">
        <f>Parameters!AA82</f>
        <v>1</v>
      </c>
    </row>
    <row r="163" spans="1:29">
      <c r="A163" s="29" t="str">
        <f>UPPER(A162)</f>
        <v>6AM7</v>
      </c>
      <c r="B163" s="29">
        <f>B162</f>
        <v>1E-4</v>
      </c>
      <c r="C163" s="30">
        <f>C162</f>
        <v>2</v>
      </c>
      <c r="D163" s="30" t="str">
        <f>D162</f>
        <v>BUY</v>
      </c>
      <c r="E163" s="29">
        <f>E162</f>
        <v>0</v>
      </c>
      <c r="F163" s="29">
        <f>F162</f>
        <v>0.01</v>
      </c>
      <c r="G163" s="29">
        <f>IF(C162=1,IF(D162="BUY",E162+(ROUND(F162*G162/B162,0)*B162),E162-(ROUND(F162*G162/B162,0)*B162)),IF(D162="BUY",E162-(ROUND(F162*G162/B162,0)*B162),E162+(ROUND(F162*G162/B162,0)*B162)))</f>
        <v>0</v>
      </c>
      <c r="H163" s="29">
        <f>IF(C162=1,IF(D162="BUY",G163-(ROUND(F162*H162/B162,0)*B162),G163+(ROUND(F162*H162/B162,0)*B162)),IF(D162="BUY",G163+(ROUND(F162*H162/B162,0)*B162),G163-(ROUND(F162*H162/B162,0)*B162)))</f>
        <v>0</v>
      </c>
      <c r="I163" s="29">
        <f>IF(D162="BUY",G163+(ROUND(F162*I162/(B162*100),0)*B162),G163-(ROUND(F162*I162/(B162*100),0)*B162))</f>
        <v>0</v>
      </c>
      <c r="J163" s="29">
        <f>IF(C162=1,IF(D162="BUY",E162+(ROUND(F162*J162/B162,0)*B162),E162-(ROUND(F162*J162/B162,0)*B162)),IF(D162="BUY",E162-(ROUND(F162*J162/B162,0)*B162),E162+(ROUND(F162*J162/B162,0)*B162)))</f>
        <v>-0.01</v>
      </c>
      <c r="K163" s="29">
        <f>IF(C162=1,IF(D162="BUY",E162-(ROUND(F162*K162/B162,0)*B162),E162+(ROUND(F162*K162/B162,0)*B162)),IF(D162="BUY",E162-(ROUND(F162*K162/B162,0)*B162),E162+(ROUND(F162*K162/B162,0)*B162)))</f>
        <v>-0.01</v>
      </c>
      <c r="L163" s="29">
        <f t="shared" ref="L163" si="239">IF(D163="BUY",I163+(R163*B163),I163-(R163*B163))</f>
        <v>1E-3</v>
      </c>
      <c r="M163" s="29">
        <f>IF(D162="BUY",E162+(ROUND(F162*M162/B162,0)*B162),E162-(ROUND(F162*M162/B162,0)*B162))</f>
        <v>0.01</v>
      </c>
      <c r="N163" s="29">
        <f>IF(D162="BUY",E162-(ROUND(F162*N162/B162,0)*B162),E162+(ROUND(F162*N162/B162,0)*B162))</f>
        <v>-0.01</v>
      </c>
      <c r="O163" s="31">
        <f>IF(D163="BUY",N163-VLOOKUP(A163,Symbols!A$1:D$1000,4,FALSE),N163+VLOOKUP(A163,Symbols!A$1:D$1000,4,FALSE))</f>
        <v>-1.3000000000000001E-2</v>
      </c>
      <c r="P163" s="29">
        <f>P162</f>
        <v>1</v>
      </c>
      <c r="Q163" s="29">
        <f>Q162</f>
        <v>100</v>
      </c>
      <c r="R163" s="29">
        <f>R162</f>
        <v>10</v>
      </c>
      <c r="S163" s="29">
        <f>S162</f>
        <v>2</v>
      </c>
      <c r="T163" s="29">
        <f>T162</f>
        <v>1</v>
      </c>
      <c r="U163" s="29">
        <f>DATEDIF(DATE(1970,1,1),U162,"D")*86400</f>
        <v>1483660800</v>
      </c>
      <c r="V163" s="29">
        <f>HOUR(V162)*3600+MINUTE(V162)*60+SECOND(V162)</f>
        <v>26100</v>
      </c>
      <c r="W163" s="29">
        <f>DATEDIF(DATE(1970,1,1),W162,"D")*86400</f>
        <v>1502928000</v>
      </c>
      <c r="X163" s="29">
        <f>HOUR(X162)*3600+MINUTE(X162)*60+SECOND(X162)</f>
        <v>56400</v>
      </c>
      <c r="Y163" s="31">
        <f>(Y162*B163)</f>
        <v>2.8E-3</v>
      </c>
      <c r="Z163" s="29">
        <f>Z162</f>
        <v>1</v>
      </c>
      <c r="AA163" s="29">
        <f>DATEDIF(DATE(1970,1,1),AA162,"D")*86400</f>
        <v>1502928000</v>
      </c>
      <c r="AB163" s="29">
        <f>HOUR(AB162)*3600+MINUTE(AB162)*60+SECOND(AB162)</f>
        <v>56460</v>
      </c>
      <c r="AC163" s="29">
        <f>AC162</f>
        <v>1</v>
      </c>
    </row>
    <row r="164" spans="1:29">
      <c r="A164" s="23" t="str">
        <f>Parameters!A83</f>
        <v>6AM7</v>
      </c>
      <c r="B164" s="23">
        <f>Parameters!B83</f>
        <v>1E-4</v>
      </c>
      <c r="C164" s="24">
        <f>Parameters!C83</f>
        <v>2</v>
      </c>
      <c r="D164" s="24" t="str">
        <f>Parameters!D83</f>
        <v>BUY</v>
      </c>
      <c r="E164" s="23">
        <f>Parameters!E83</f>
        <v>0</v>
      </c>
      <c r="F164" s="23">
        <f>Parameters!F83</f>
        <v>0.01</v>
      </c>
      <c r="G164" s="25">
        <f>Parameters!G83</f>
        <v>0.01</v>
      </c>
      <c r="H164" s="25">
        <f>Parameters!H83</f>
        <v>0</v>
      </c>
      <c r="I164" s="25">
        <f>Parameters!I83</f>
        <v>0</v>
      </c>
      <c r="J164" s="25">
        <f>Parameters!J83</f>
        <v>1</v>
      </c>
      <c r="K164" s="25">
        <f>Parameters!K83</f>
        <v>1</v>
      </c>
      <c r="L164" s="26">
        <f t="shared" ref="L164" si="240">L165</f>
        <v>8.9999999999999998E-4</v>
      </c>
      <c r="M164" s="25">
        <f>Parameters!L83</f>
        <v>1</v>
      </c>
      <c r="N164" s="25">
        <f>Parameters!M83</f>
        <v>1</v>
      </c>
      <c r="O164" s="26">
        <f t="shared" ref="O164" si="241">O165</f>
        <v>-1.3000000000000001E-2</v>
      </c>
      <c r="P164" s="23">
        <f>Parameters!N83</f>
        <v>1</v>
      </c>
      <c r="Q164" s="23">
        <f>Parameters!O83</f>
        <v>100</v>
      </c>
      <c r="R164" s="23">
        <f>Parameters!P83</f>
        <v>10</v>
      </c>
      <c r="S164" s="23">
        <f>Parameters!Q83</f>
        <v>2</v>
      </c>
      <c r="T164" s="23">
        <f>Parameters!R83</f>
        <v>1</v>
      </c>
      <c r="U164" s="27">
        <f>Parameters!S83</f>
        <v>42741</v>
      </c>
      <c r="V164" s="28">
        <f>Parameters!T83</f>
        <v>0.30208333333333331</v>
      </c>
      <c r="W164" s="27">
        <f>Parameters!U83</f>
        <v>42964</v>
      </c>
      <c r="X164" s="28">
        <f>Parameters!V83</f>
        <v>0.65277777777777779</v>
      </c>
      <c r="Y164" s="25">
        <f>Parameters!W83</f>
        <v>28</v>
      </c>
      <c r="Z164" s="23">
        <f>Parameters!X83</f>
        <v>1</v>
      </c>
      <c r="AA164" s="27">
        <f>Parameters!Y83</f>
        <v>42964</v>
      </c>
      <c r="AB164" s="28">
        <f>Parameters!Z83</f>
        <v>0.65347222222222223</v>
      </c>
      <c r="AC164" s="23">
        <f>Parameters!AA83</f>
        <v>1</v>
      </c>
    </row>
    <row r="165" spans="1:29">
      <c r="A165" s="29" t="str">
        <f>UPPER(A164)</f>
        <v>6AM7</v>
      </c>
      <c r="B165" s="29">
        <f>B164</f>
        <v>1E-4</v>
      </c>
      <c r="C165" s="30">
        <f>C164</f>
        <v>2</v>
      </c>
      <c r="D165" s="30" t="str">
        <f>D164</f>
        <v>BUY</v>
      </c>
      <c r="E165" s="29">
        <f>E164</f>
        <v>0</v>
      </c>
      <c r="F165" s="29">
        <f>F164</f>
        <v>0.01</v>
      </c>
      <c r="G165" s="29">
        <f>IF(C164=1,IF(D164="BUY",E164+(ROUND(F164*G164/B164,0)*B164),E164-(ROUND(F164*G164/B164,0)*B164)),IF(D164="BUY",E164-(ROUND(F164*G164/B164,0)*B164),E164+(ROUND(F164*G164/B164,0)*B164)))</f>
        <v>-1E-4</v>
      </c>
      <c r="H165" s="29">
        <f>IF(C164=1,IF(D164="BUY",G165-(ROUND(F164*H164/B164,0)*B164),G165+(ROUND(F164*H164/B164,0)*B164)),IF(D164="BUY",G165+(ROUND(F164*H164/B164,0)*B164),G165-(ROUND(F164*H164/B164,0)*B164)))</f>
        <v>-1E-4</v>
      </c>
      <c r="I165" s="29">
        <f>IF(D164="BUY",G165+(ROUND(F164*I164/(B164*100),0)*B164),G165-(ROUND(F164*I164/(B164*100),0)*B164))</f>
        <v>-1E-4</v>
      </c>
      <c r="J165" s="29">
        <f>IF(C164=1,IF(D164="BUY",E164+(ROUND(F164*J164/B164,0)*B164),E164-(ROUND(F164*J164/B164,0)*B164)),IF(D164="BUY",E164-(ROUND(F164*J164/B164,0)*B164),E164+(ROUND(F164*J164/B164,0)*B164)))</f>
        <v>-0.01</v>
      </c>
      <c r="K165" s="29">
        <f>IF(C164=1,IF(D164="BUY",E164-(ROUND(F164*K164/B164,0)*B164),E164+(ROUND(F164*K164/B164,0)*B164)),IF(D164="BUY",E164-(ROUND(F164*K164/B164,0)*B164),E164+(ROUND(F164*K164/B164,0)*B164)))</f>
        <v>-0.01</v>
      </c>
      <c r="L165" s="29">
        <f t="shared" ref="L165" si="242">IF(D165="BUY",I165+(R165*B165),I165-(R165*B165))</f>
        <v>8.9999999999999998E-4</v>
      </c>
      <c r="M165" s="29">
        <f>IF(D164="BUY",E164+(ROUND(F164*M164/B164,0)*B164),E164-(ROUND(F164*M164/B164,0)*B164))</f>
        <v>0.01</v>
      </c>
      <c r="N165" s="29">
        <f>IF(D164="BUY",E164-(ROUND(F164*N164/B164,0)*B164),E164+(ROUND(F164*N164/B164,0)*B164))</f>
        <v>-0.01</v>
      </c>
      <c r="O165" s="31">
        <f>IF(D165="BUY",N165-VLOOKUP(A165,Symbols!A$1:D$1000,4,FALSE),N165+VLOOKUP(A165,Symbols!A$1:D$1000,4,FALSE))</f>
        <v>-1.3000000000000001E-2</v>
      </c>
      <c r="P165" s="29">
        <f>P164</f>
        <v>1</v>
      </c>
      <c r="Q165" s="29">
        <f>Q164</f>
        <v>100</v>
      </c>
      <c r="R165" s="29">
        <f>R164</f>
        <v>10</v>
      </c>
      <c r="S165" s="29">
        <f>S164</f>
        <v>2</v>
      </c>
      <c r="T165" s="29">
        <f>T164</f>
        <v>1</v>
      </c>
      <c r="U165" s="29">
        <f>DATEDIF(DATE(1970,1,1),U164,"D")*86400</f>
        <v>1483660800</v>
      </c>
      <c r="V165" s="29">
        <f>HOUR(V164)*3600+MINUTE(V164)*60+SECOND(V164)</f>
        <v>26100</v>
      </c>
      <c r="W165" s="29">
        <f>DATEDIF(DATE(1970,1,1),W164,"D")*86400</f>
        <v>1502928000</v>
      </c>
      <c r="X165" s="29">
        <f>HOUR(X164)*3600+MINUTE(X164)*60+SECOND(X164)</f>
        <v>56400</v>
      </c>
      <c r="Y165" s="31">
        <f>(Y164*B165)</f>
        <v>2.8E-3</v>
      </c>
      <c r="Z165" s="29">
        <f>Z164</f>
        <v>1</v>
      </c>
      <c r="AA165" s="29">
        <f>DATEDIF(DATE(1970,1,1),AA164,"D")*86400</f>
        <v>1502928000</v>
      </c>
      <c r="AB165" s="29">
        <f>HOUR(AB164)*3600+MINUTE(AB164)*60+SECOND(AB164)</f>
        <v>56460</v>
      </c>
      <c r="AC165" s="29">
        <f>AC164</f>
        <v>1</v>
      </c>
    </row>
    <row r="166" spans="1:29">
      <c r="A166" s="23" t="str">
        <f>Parameters!A84</f>
        <v>6AM7</v>
      </c>
      <c r="B166" s="23">
        <f>Parameters!B84</f>
        <v>1E-4</v>
      </c>
      <c r="C166" s="24">
        <f>Parameters!C84</f>
        <v>2</v>
      </c>
      <c r="D166" s="24" t="str">
        <f>Parameters!D84</f>
        <v>BUY</v>
      </c>
      <c r="E166" s="23">
        <f>Parameters!E84</f>
        <v>0</v>
      </c>
      <c r="F166" s="23">
        <f>Parameters!F84</f>
        <v>0.01</v>
      </c>
      <c r="G166" s="25">
        <f>Parameters!G84</f>
        <v>0.02</v>
      </c>
      <c r="H166" s="25">
        <f>Parameters!H84</f>
        <v>0</v>
      </c>
      <c r="I166" s="25">
        <f>Parameters!I84</f>
        <v>0</v>
      </c>
      <c r="J166" s="25">
        <f>Parameters!J84</f>
        <v>1</v>
      </c>
      <c r="K166" s="25">
        <f>Parameters!K84</f>
        <v>1</v>
      </c>
      <c r="L166" s="26">
        <f t="shared" ref="L166" si="243">L167</f>
        <v>8.0000000000000004E-4</v>
      </c>
      <c r="M166" s="25">
        <f>Parameters!L84</f>
        <v>1</v>
      </c>
      <c r="N166" s="25">
        <f>Parameters!M84</f>
        <v>1</v>
      </c>
      <c r="O166" s="26">
        <f t="shared" ref="O166" si="244">O167</f>
        <v>-1.3000000000000001E-2</v>
      </c>
      <c r="P166" s="23">
        <f>Parameters!N84</f>
        <v>1</v>
      </c>
      <c r="Q166" s="23">
        <f>Parameters!O84</f>
        <v>100</v>
      </c>
      <c r="R166" s="23">
        <f>Parameters!P84</f>
        <v>10</v>
      </c>
      <c r="S166" s="23">
        <f>Parameters!Q84</f>
        <v>2</v>
      </c>
      <c r="T166" s="23">
        <f>Parameters!R84</f>
        <v>1</v>
      </c>
      <c r="U166" s="27">
        <f>Parameters!S84</f>
        <v>42741</v>
      </c>
      <c r="V166" s="28">
        <f>Parameters!T84</f>
        <v>0.30208333333333331</v>
      </c>
      <c r="W166" s="27">
        <f>Parameters!U84</f>
        <v>42964</v>
      </c>
      <c r="X166" s="28">
        <f>Parameters!V84</f>
        <v>0.65277777777777779</v>
      </c>
      <c r="Y166" s="25">
        <f>Parameters!W84</f>
        <v>28</v>
      </c>
      <c r="Z166" s="23">
        <f>Parameters!X84</f>
        <v>1</v>
      </c>
      <c r="AA166" s="27">
        <f>Parameters!Y84</f>
        <v>42964</v>
      </c>
      <c r="AB166" s="28">
        <f>Parameters!Z84</f>
        <v>0.65347222222222223</v>
      </c>
      <c r="AC166" s="23">
        <f>Parameters!AA84</f>
        <v>1</v>
      </c>
    </row>
    <row r="167" spans="1:29">
      <c r="A167" s="29" t="str">
        <f>UPPER(A166)</f>
        <v>6AM7</v>
      </c>
      <c r="B167" s="29">
        <f>B166</f>
        <v>1E-4</v>
      </c>
      <c r="C167" s="30">
        <f>C166</f>
        <v>2</v>
      </c>
      <c r="D167" s="30" t="str">
        <f>D166</f>
        <v>BUY</v>
      </c>
      <c r="E167" s="29">
        <f>E166</f>
        <v>0</v>
      </c>
      <c r="F167" s="29">
        <f>F166</f>
        <v>0.01</v>
      </c>
      <c r="G167" s="29">
        <f>IF(C166=1,IF(D166="BUY",E166+(ROUND(F166*G166/B166,0)*B166),E166-(ROUND(F166*G166/B166,0)*B166)),IF(D166="BUY",E166-(ROUND(F166*G166/B166,0)*B166),E166+(ROUND(F166*G166/B166,0)*B166)))</f>
        <v>-2.0000000000000001E-4</v>
      </c>
      <c r="H167" s="29">
        <f>IF(C166=1,IF(D166="BUY",G167-(ROUND(F166*H166/B166,0)*B166),G167+(ROUND(F166*H166/B166,0)*B166)),IF(D166="BUY",G167+(ROUND(F166*H166/B166,0)*B166),G167-(ROUND(F166*H166/B166,0)*B166)))</f>
        <v>-2.0000000000000001E-4</v>
      </c>
      <c r="I167" s="29">
        <f>IF(D166="BUY",G167+(ROUND(F166*I166/(B166*100),0)*B166),G167-(ROUND(F166*I166/(B166*100),0)*B166))</f>
        <v>-2.0000000000000001E-4</v>
      </c>
      <c r="J167" s="29">
        <f>IF(C166=1,IF(D166="BUY",E166+(ROUND(F166*J166/B166,0)*B166),E166-(ROUND(F166*J166/B166,0)*B166)),IF(D166="BUY",E166-(ROUND(F166*J166/B166,0)*B166),E166+(ROUND(F166*J166/B166,0)*B166)))</f>
        <v>-0.01</v>
      </c>
      <c r="K167" s="29">
        <f>IF(C166=1,IF(D166="BUY",E166-(ROUND(F166*K166/B166,0)*B166),E166+(ROUND(F166*K166/B166,0)*B166)),IF(D166="BUY",E166-(ROUND(F166*K166/B166,0)*B166),E166+(ROUND(F166*K166/B166,0)*B166)))</f>
        <v>-0.01</v>
      </c>
      <c r="L167" s="29">
        <f t="shared" ref="L167" si="245">IF(D167="BUY",I167+(R167*B167),I167-(R167*B167))</f>
        <v>8.0000000000000004E-4</v>
      </c>
      <c r="M167" s="29">
        <f>IF(D166="BUY",E166+(ROUND(F166*M166/B166,0)*B166),E166-(ROUND(F166*M166/B166,0)*B166))</f>
        <v>0.01</v>
      </c>
      <c r="N167" s="29">
        <f>IF(D166="BUY",E166-(ROUND(F166*N166/B166,0)*B166),E166+(ROUND(F166*N166/B166,0)*B166))</f>
        <v>-0.01</v>
      </c>
      <c r="O167" s="31">
        <f>IF(D167="BUY",N167-VLOOKUP(A167,Symbols!A$1:D$1000,4,FALSE),N167+VLOOKUP(A167,Symbols!A$1:D$1000,4,FALSE))</f>
        <v>-1.3000000000000001E-2</v>
      </c>
      <c r="P167" s="29">
        <f>P166</f>
        <v>1</v>
      </c>
      <c r="Q167" s="29">
        <f>Q166</f>
        <v>100</v>
      </c>
      <c r="R167" s="29">
        <f>R166</f>
        <v>10</v>
      </c>
      <c r="S167" s="29">
        <f>S166</f>
        <v>2</v>
      </c>
      <c r="T167" s="29">
        <f>T166</f>
        <v>1</v>
      </c>
      <c r="U167" s="29">
        <f>DATEDIF(DATE(1970,1,1),U166,"D")*86400</f>
        <v>1483660800</v>
      </c>
      <c r="V167" s="29">
        <f>HOUR(V166)*3600+MINUTE(V166)*60+SECOND(V166)</f>
        <v>26100</v>
      </c>
      <c r="W167" s="29">
        <f>DATEDIF(DATE(1970,1,1),W166,"D")*86400</f>
        <v>1502928000</v>
      </c>
      <c r="X167" s="29">
        <f>HOUR(X166)*3600+MINUTE(X166)*60+SECOND(X166)</f>
        <v>56400</v>
      </c>
      <c r="Y167" s="31">
        <f>(Y166*B167)</f>
        <v>2.8E-3</v>
      </c>
      <c r="Z167" s="29">
        <f>Z166</f>
        <v>1</v>
      </c>
      <c r="AA167" s="29">
        <f>DATEDIF(DATE(1970,1,1),AA166,"D")*86400</f>
        <v>1502928000</v>
      </c>
      <c r="AB167" s="29">
        <f>HOUR(AB166)*3600+MINUTE(AB166)*60+SECOND(AB166)</f>
        <v>56460</v>
      </c>
      <c r="AC167" s="29">
        <f>AC166</f>
        <v>1</v>
      </c>
    </row>
    <row r="168" spans="1:29">
      <c r="A168" s="23" t="str">
        <f>Parameters!A85</f>
        <v>6AM7</v>
      </c>
      <c r="B168" s="23">
        <f>Parameters!B85</f>
        <v>1E-4</v>
      </c>
      <c r="C168" s="24">
        <f>Parameters!C85</f>
        <v>2</v>
      </c>
      <c r="D168" s="24" t="str">
        <f>Parameters!D85</f>
        <v>BUY</v>
      </c>
      <c r="E168" s="23">
        <f>Parameters!E85</f>
        <v>0</v>
      </c>
      <c r="F168" s="23">
        <f>Parameters!F85</f>
        <v>0.01</v>
      </c>
      <c r="G168" s="25">
        <f>Parameters!G85</f>
        <v>0.03</v>
      </c>
      <c r="H168" s="25">
        <f>Parameters!H85</f>
        <v>0</v>
      </c>
      <c r="I168" s="25">
        <f>Parameters!I85</f>
        <v>0</v>
      </c>
      <c r="J168" s="25">
        <f>Parameters!J85</f>
        <v>1</v>
      </c>
      <c r="K168" s="25">
        <f>Parameters!K85</f>
        <v>1</v>
      </c>
      <c r="L168" s="26">
        <f t="shared" ref="L168" si="246">L169</f>
        <v>6.9999999999999999E-4</v>
      </c>
      <c r="M168" s="25">
        <f>Parameters!L85</f>
        <v>1</v>
      </c>
      <c r="N168" s="25">
        <f>Parameters!M85</f>
        <v>1</v>
      </c>
      <c r="O168" s="26">
        <f t="shared" ref="O168" si="247">O169</f>
        <v>-1.3000000000000001E-2</v>
      </c>
      <c r="P168" s="23">
        <f>Parameters!N85</f>
        <v>1</v>
      </c>
      <c r="Q168" s="23">
        <f>Parameters!O85</f>
        <v>100</v>
      </c>
      <c r="R168" s="23">
        <f>Parameters!P85</f>
        <v>10</v>
      </c>
      <c r="S168" s="23">
        <f>Parameters!Q85</f>
        <v>2</v>
      </c>
      <c r="T168" s="23">
        <f>Parameters!R85</f>
        <v>1</v>
      </c>
      <c r="U168" s="27">
        <f>Parameters!S85</f>
        <v>42741</v>
      </c>
      <c r="V168" s="28">
        <f>Parameters!T85</f>
        <v>0.30208333333333331</v>
      </c>
      <c r="W168" s="27">
        <f>Parameters!U85</f>
        <v>42964</v>
      </c>
      <c r="X168" s="28">
        <f>Parameters!V85</f>
        <v>0.65277777777777779</v>
      </c>
      <c r="Y168" s="25">
        <f>Parameters!W85</f>
        <v>28</v>
      </c>
      <c r="Z168" s="23">
        <f>Parameters!X85</f>
        <v>1</v>
      </c>
      <c r="AA168" s="27">
        <f>Parameters!Y85</f>
        <v>42964</v>
      </c>
      <c r="AB168" s="28">
        <f>Parameters!Z85</f>
        <v>0.65347222222222223</v>
      </c>
      <c r="AC168" s="23">
        <f>Parameters!AA85</f>
        <v>1</v>
      </c>
    </row>
    <row r="169" spans="1:29">
      <c r="A169" s="29" t="str">
        <f>UPPER(A168)</f>
        <v>6AM7</v>
      </c>
      <c r="B169" s="29">
        <f>B168</f>
        <v>1E-4</v>
      </c>
      <c r="C169" s="30">
        <f>C168</f>
        <v>2</v>
      </c>
      <c r="D169" s="30" t="str">
        <f>D168</f>
        <v>BUY</v>
      </c>
      <c r="E169" s="29">
        <f>E168</f>
        <v>0</v>
      </c>
      <c r="F169" s="29">
        <f>F168</f>
        <v>0.01</v>
      </c>
      <c r="G169" s="29">
        <f>IF(C168=1,IF(D168="BUY",E168+(ROUND(F168*G168/B168,0)*B168),E168-(ROUND(F168*G168/B168,0)*B168)),IF(D168="BUY",E168-(ROUND(F168*G168/B168,0)*B168),E168+(ROUND(F168*G168/B168,0)*B168)))</f>
        <v>-3.0000000000000003E-4</v>
      </c>
      <c r="H169" s="29">
        <f>IF(C168=1,IF(D168="BUY",G169-(ROUND(F168*H168/B168,0)*B168),G169+(ROUND(F168*H168/B168,0)*B168)),IF(D168="BUY",G169+(ROUND(F168*H168/B168,0)*B168),G169-(ROUND(F168*H168/B168,0)*B168)))</f>
        <v>-3.0000000000000003E-4</v>
      </c>
      <c r="I169" s="29">
        <f>IF(D168="BUY",G169+(ROUND(F168*I168/(B168*100),0)*B168),G169-(ROUND(F168*I168/(B168*100),0)*B168))</f>
        <v>-3.0000000000000003E-4</v>
      </c>
      <c r="J169" s="29">
        <f>IF(C168=1,IF(D168="BUY",E168+(ROUND(F168*J168/B168,0)*B168),E168-(ROUND(F168*J168/B168,0)*B168)),IF(D168="BUY",E168-(ROUND(F168*J168/B168,0)*B168),E168+(ROUND(F168*J168/B168,0)*B168)))</f>
        <v>-0.01</v>
      </c>
      <c r="K169" s="29">
        <f>IF(C168=1,IF(D168="BUY",E168-(ROUND(F168*K168/B168,0)*B168),E168+(ROUND(F168*K168/B168,0)*B168)),IF(D168="BUY",E168-(ROUND(F168*K168/B168,0)*B168),E168+(ROUND(F168*K168/B168,0)*B168)))</f>
        <v>-0.01</v>
      </c>
      <c r="L169" s="29">
        <f t="shared" ref="L169" si="248">IF(D169="BUY",I169+(R169*B169),I169-(R169*B169))</f>
        <v>6.9999999999999999E-4</v>
      </c>
      <c r="M169" s="29">
        <f>IF(D168="BUY",E168+(ROUND(F168*M168/B168,0)*B168),E168-(ROUND(F168*M168/B168,0)*B168))</f>
        <v>0.01</v>
      </c>
      <c r="N169" s="29">
        <f>IF(D168="BUY",E168-(ROUND(F168*N168/B168,0)*B168),E168+(ROUND(F168*N168/B168,0)*B168))</f>
        <v>-0.01</v>
      </c>
      <c r="O169" s="31">
        <f>IF(D169="BUY",N169-VLOOKUP(A169,Symbols!A$1:D$1000,4,FALSE),N169+VLOOKUP(A169,Symbols!A$1:D$1000,4,FALSE))</f>
        <v>-1.3000000000000001E-2</v>
      </c>
      <c r="P169" s="29">
        <f>P168</f>
        <v>1</v>
      </c>
      <c r="Q169" s="29">
        <f>Q168</f>
        <v>100</v>
      </c>
      <c r="R169" s="29">
        <f>R168</f>
        <v>10</v>
      </c>
      <c r="S169" s="29">
        <f>S168</f>
        <v>2</v>
      </c>
      <c r="T169" s="29">
        <f>T168</f>
        <v>1</v>
      </c>
      <c r="U169" s="29">
        <f>DATEDIF(DATE(1970,1,1),U168,"D")*86400</f>
        <v>1483660800</v>
      </c>
      <c r="V169" s="29">
        <f>HOUR(V168)*3600+MINUTE(V168)*60+SECOND(V168)</f>
        <v>26100</v>
      </c>
      <c r="W169" s="29">
        <f>DATEDIF(DATE(1970,1,1),W168,"D")*86400</f>
        <v>1502928000</v>
      </c>
      <c r="X169" s="29">
        <f>HOUR(X168)*3600+MINUTE(X168)*60+SECOND(X168)</f>
        <v>56400</v>
      </c>
      <c r="Y169" s="31">
        <f>(Y168*B169)</f>
        <v>2.8E-3</v>
      </c>
      <c r="Z169" s="29">
        <f>Z168</f>
        <v>1</v>
      </c>
      <c r="AA169" s="29">
        <f>DATEDIF(DATE(1970,1,1),AA168,"D")*86400</f>
        <v>1502928000</v>
      </c>
      <c r="AB169" s="29">
        <f>HOUR(AB168)*3600+MINUTE(AB168)*60+SECOND(AB168)</f>
        <v>56460</v>
      </c>
      <c r="AC169" s="29">
        <f>AC168</f>
        <v>1</v>
      </c>
    </row>
    <row r="170" spans="1:29">
      <c r="A170" s="23" t="str">
        <f>Parameters!A86</f>
        <v>6AM7</v>
      </c>
      <c r="B170" s="23">
        <f>Parameters!B86</f>
        <v>1E-4</v>
      </c>
      <c r="C170" s="24">
        <f>Parameters!C86</f>
        <v>2</v>
      </c>
      <c r="D170" s="24" t="str">
        <f>Parameters!D86</f>
        <v>BUY</v>
      </c>
      <c r="E170" s="23">
        <f>Parameters!E86</f>
        <v>0</v>
      </c>
      <c r="F170" s="23">
        <f>Parameters!F86</f>
        <v>0.01</v>
      </c>
      <c r="G170" s="25">
        <f>Parameters!G86</f>
        <v>0.04</v>
      </c>
      <c r="H170" s="25">
        <f>Parameters!H86</f>
        <v>0</v>
      </c>
      <c r="I170" s="25">
        <f>Parameters!I86</f>
        <v>0</v>
      </c>
      <c r="J170" s="25">
        <f>Parameters!J86</f>
        <v>1</v>
      </c>
      <c r="K170" s="25">
        <f>Parameters!K86</f>
        <v>1</v>
      </c>
      <c r="L170" s="26">
        <f t="shared" ref="L170" si="249">L171</f>
        <v>6.0000000000000006E-4</v>
      </c>
      <c r="M170" s="25">
        <f>Parameters!L86</f>
        <v>1</v>
      </c>
      <c r="N170" s="25">
        <f>Parameters!M86</f>
        <v>1</v>
      </c>
      <c r="O170" s="26">
        <f t="shared" ref="O170" si="250">O171</f>
        <v>-1.3000000000000001E-2</v>
      </c>
      <c r="P170" s="23">
        <f>Parameters!N86</f>
        <v>1</v>
      </c>
      <c r="Q170" s="23">
        <f>Parameters!O86</f>
        <v>100</v>
      </c>
      <c r="R170" s="23">
        <f>Parameters!P86</f>
        <v>10</v>
      </c>
      <c r="S170" s="23">
        <f>Parameters!Q86</f>
        <v>2</v>
      </c>
      <c r="T170" s="23">
        <f>Parameters!R86</f>
        <v>1</v>
      </c>
      <c r="U170" s="27">
        <f>Parameters!S86</f>
        <v>42741</v>
      </c>
      <c r="V170" s="28">
        <f>Parameters!T86</f>
        <v>0.30208333333333331</v>
      </c>
      <c r="W170" s="27">
        <f>Parameters!U86</f>
        <v>42964</v>
      </c>
      <c r="X170" s="28">
        <f>Parameters!V86</f>
        <v>0.65277777777777779</v>
      </c>
      <c r="Y170" s="25">
        <f>Parameters!W86</f>
        <v>28</v>
      </c>
      <c r="Z170" s="23">
        <f>Parameters!X86</f>
        <v>1</v>
      </c>
      <c r="AA170" s="27">
        <f>Parameters!Y86</f>
        <v>42964</v>
      </c>
      <c r="AB170" s="28">
        <f>Parameters!Z86</f>
        <v>0.65347222222222223</v>
      </c>
      <c r="AC170" s="23">
        <f>Parameters!AA86</f>
        <v>1</v>
      </c>
    </row>
    <row r="171" spans="1:29">
      <c r="A171" s="29" t="str">
        <f>UPPER(A170)</f>
        <v>6AM7</v>
      </c>
      <c r="B171" s="29">
        <f>B170</f>
        <v>1E-4</v>
      </c>
      <c r="C171" s="30">
        <f>C170</f>
        <v>2</v>
      </c>
      <c r="D171" s="30" t="str">
        <f>D170</f>
        <v>BUY</v>
      </c>
      <c r="E171" s="29">
        <f>E170</f>
        <v>0</v>
      </c>
      <c r="F171" s="29">
        <f>F170</f>
        <v>0.01</v>
      </c>
      <c r="G171" s="29">
        <f>IF(C170=1,IF(D170="BUY",E170+(ROUND(F170*G170/B170,0)*B170),E170-(ROUND(F170*G170/B170,0)*B170)),IF(D170="BUY",E170-(ROUND(F170*G170/B170,0)*B170),E170+(ROUND(F170*G170/B170,0)*B170)))</f>
        <v>-4.0000000000000002E-4</v>
      </c>
      <c r="H171" s="29">
        <f>IF(C170=1,IF(D170="BUY",G171-(ROUND(F170*H170/B170,0)*B170),G171+(ROUND(F170*H170/B170,0)*B170)),IF(D170="BUY",G171+(ROUND(F170*H170/B170,0)*B170),G171-(ROUND(F170*H170/B170,0)*B170)))</f>
        <v>-4.0000000000000002E-4</v>
      </c>
      <c r="I171" s="29">
        <f>IF(D170="BUY",G171+(ROUND(F170*I170/(B170*100),0)*B170),G171-(ROUND(F170*I170/(B170*100),0)*B170))</f>
        <v>-4.0000000000000002E-4</v>
      </c>
      <c r="J171" s="29">
        <f>IF(C170=1,IF(D170="BUY",E170+(ROUND(F170*J170/B170,0)*B170),E170-(ROUND(F170*J170/B170,0)*B170)),IF(D170="BUY",E170-(ROUND(F170*J170/B170,0)*B170),E170+(ROUND(F170*J170/B170,0)*B170)))</f>
        <v>-0.01</v>
      </c>
      <c r="K171" s="29">
        <f>IF(C170=1,IF(D170="BUY",E170-(ROUND(F170*K170/B170,0)*B170),E170+(ROUND(F170*K170/B170,0)*B170)),IF(D170="BUY",E170-(ROUND(F170*K170/B170,0)*B170),E170+(ROUND(F170*K170/B170,0)*B170)))</f>
        <v>-0.01</v>
      </c>
      <c r="L171" s="29">
        <f t="shared" ref="L171" si="251">IF(D171="BUY",I171+(R171*B171),I171-(R171*B171))</f>
        <v>6.0000000000000006E-4</v>
      </c>
      <c r="M171" s="29">
        <f>IF(D170="BUY",E170+(ROUND(F170*M170/B170,0)*B170),E170-(ROUND(F170*M170/B170,0)*B170))</f>
        <v>0.01</v>
      </c>
      <c r="N171" s="29">
        <f>IF(D170="BUY",E170-(ROUND(F170*N170/B170,0)*B170),E170+(ROUND(F170*N170/B170,0)*B170))</f>
        <v>-0.01</v>
      </c>
      <c r="O171" s="31">
        <f>IF(D171="BUY",N171-VLOOKUP(A171,Symbols!A$1:D$1000,4,FALSE),N171+VLOOKUP(A171,Symbols!A$1:D$1000,4,FALSE))</f>
        <v>-1.3000000000000001E-2</v>
      </c>
      <c r="P171" s="29">
        <f>P170</f>
        <v>1</v>
      </c>
      <c r="Q171" s="29">
        <f>Q170</f>
        <v>100</v>
      </c>
      <c r="R171" s="29">
        <f>R170</f>
        <v>10</v>
      </c>
      <c r="S171" s="29">
        <f>S170</f>
        <v>2</v>
      </c>
      <c r="T171" s="29">
        <f>T170</f>
        <v>1</v>
      </c>
      <c r="U171" s="29">
        <f>DATEDIF(DATE(1970,1,1),U170,"D")*86400</f>
        <v>1483660800</v>
      </c>
      <c r="V171" s="29">
        <f>HOUR(V170)*3600+MINUTE(V170)*60+SECOND(V170)</f>
        <v>26100</v>
      </c>
      <c r="W171" s="29">
        <f>DATEDIF(DATE(1970,1,1),W170,"D")*86400</f>
        <v>1502928000</v>
      </c>
      <c r="X171" s="29">
        <f>HOUR(X170)*3600+MINUTE(X170)*60+SECOND(X170)</f>
        <v>56400</v>
      </c>
      <c r="Y171" s="31">
        <f>(Y170*B171)</f>
        <v>2.8E-3</v>
      </c>
      <c r="Z171" s="29">
        <f>Z170</f>
        <v>1</v>
      </c>
      <c r="AA171" s="29">
        <f>DATEDIF(DATE(1970,1,1),AA170,"D")*86400</f>
        <v>1502928000</v>
      </c>
      <c r="AB171" s="29">
        <f>HOUR(AB170)*3600+MINUTE(AB170)*60+SECOND(AB170)</f>
        <v>56460</v>
      </c>
      <c r="AC171" s="29">
        <f>AC170</f>
        <v>1</v>
      </c>
    </row>
    <row r="172" spans="1:29">
      <c r="A172" s="23" t="str">
        <f>Parameters!A87</f>
        <v>6AM7</v>
      </c>
      <c r="B172" s="23">
        <f>Parameters!B87</f>
        <v>1E-4</v>
      </c>
      <c r="C172" s="24">
        <f>Parameters!C87</f>
        <v>2</v>
      </c>
      <c r="D172" s="24" t="str">
        <f>Parameters!D87</f>
        <v>BUY</v>
      </c>
      <c r="E172" s="23">
        <f>Parameters!E87</f>
        <v>0</v>
      </c>
      <c r="F172" s="23">
        <f>Parameters!F87</f>
        <v>0.01</v>
      </c>
      <c r="G172" s="25">
        <f>Parameters!G87</f>
        <v>0.05</v>
      </c>
      <c r="H172" s="25">
        <f>Parameters!H87</f>
        <v>0</v>
      </c>
      <c r="I172" s="25">
        <f>Parameters!I87</f>
        <v>0</v>
      </c>
      <c r="J172" s="25">
        <f>Parameters!J87</f>
        <v>1</v>
      </c>
      <c r="K172" s="25">
        <f>Parameters!K87</f>
        <v>1</v>
      </c>
      <c r="L172" s="26">
        <f t="shared" ref="L172" si="252">L173</f>
        <v>5.0000000000000001E-4</v>
      </c>
      <c r="M172" s="25">
        <f>Parameters!L87</f>
        <v>1</v>
      </c>
      <c r="N172" s="25">
        <f>Parameters!M87</f>
        <v>1</v>
      </c>
      <c r="O172" s="26">
        <f t="shared" ref="O172" si="253">O173</f>
        <v>-1.3000000000000001E-2</v>
      </c>
      <c r="P172" s="23">
        <f>Parameters!N87</f>
        <v>1</v>
      </c>
      <c r="Q172" s="23">
        <f>Parameters!O87</f>
        <v>100</v>
      </c>
      <c r="R172" s="23">
        <f>Parameters!P87</f>
        <v>10</v>
      </c>
      <c r="S172" s="23">
        <f>Parameters!Q87</f>
        <v>2</v>
      </c>
      <c r="T172" s="23">
        <f>Parameters!R87</f>
        <v>1</v>
      </c>
      <c r="U172" s="27">
        <f>Parameters!S87</f>
        <v>42741</v>
      </c>
      <c r="V172" s="28">
        <f>Parameters!T87</f>
        <v>0.30208333333333331</v>
      </c>
      <c r="W172" s="27">
        <f>Parameters!U87</f>
        <v>42964</v>
      </c>
      <c r="X172" s="28">
        <f>Parameters!V87</f>
        <v>0.65277777777777779</v>
      </c>
      <c r="Y172" s="25">
        <f>Parameters!W87</f>
        <v>28</v>
      </c>
      <c r="Z172" s="23">
        <f>Parameters!X87</f>
        <v>1</v>
      </c>
      <c r="AA172" s="27">
        <f>Parameters!Y87</f>
        <v>42964</v>
      </c>
      <c r="AB172" s="28">
        <f>Parameters!Z87</f>
        <v>0.65347222222222223</v>
      </c>
      <c r="AC172" s="23">
        <f>Parameters!AA87</f>
        <v>1</v>
      </c>
    </row>
    <row r="173" spans="1:29">
      <c r="A173" s="29" t="str">
        <f>UPPER(A172)</f>
        <v>6AM7</v>
      </c>
      <c r="B173" s="29">
        <f>B172</f>
        <v>1E-4</v>
      </c>
      <c r="C173" s="30">
        <f>C172</f>
        <v>2</v>
      </c>
      <c r="D173" s="30" t="str">
        <f>D172</f>
        <v>BUY</v>
      </c>
      <c r="E173" s="29">
        <f>E172</f>
        <v>0</v>
      </c>
      <c r="F173" s="29">
        <f>F172</f>
        <v>0.01</v>
      </c>
      <c r="G173" s="29">
        <f>IF(C172=1,IF(D172="BUY",E172+(ROUND(F172*G172/B172,0)*B172),E172-(ROUND(F172*G172/B172,0)*B172)),IF(D172="BUY",E172-(ROUND(F172*G172/B172,0)*B172),E172+(ROUND(F172*G172/B172,0)*B172)))</f>
        <v>-5.0000000000000001E-4</v>
      </c>
      <c r="H173" s="29">
        <f>IF(C172=1,IF(D172="BUY",G173-(ROUND(F172*H172/B172,0)*B172),G173+(ROUND(F172*H172/B172,0)*B172)),IF(D172="BUY",G173+(ROUND(F172*H172/B172,0)*B172),G173-(ROUND(F172*H172/B172,0)*B172)))</f>
        <v>-5.0000000000000001E-4</v>
      </c>
      <c r="I173" s="29">
        <f>IF(D172="BUY",G173+(ROUND(F172*I172/(B172*100),0)*B172),G173-(ROUND(F172*I172/(B172*100),0)*B172))</f>
        <v>-5.0000000000000001E-4</v>
      </c>
      <c r="J173" s="29">
        <f>IF(C172=1,IF(D172="BUY",E172+(ROUND(F172*J172/B172,0)*B172),E172-(ROUND(F172*J172/B172,0)*B172)),IF(D172="BUY",E172-(ROUND(F172*J172/B172,0)*B172),E172+(ROUND(F172*J172/B172,0)*B172)))</f>
        <v>-0.01</v>
      </c>
      <c r="K173" s="29">
        <f>IF(C172=1,IF(D172="BUY",E172-(ROUND(F172*K172/B172,0)*B172),E172+(ROUND(F172*K172/B172,0)*B172)),IF(D172="BUY",E172-(ROUND(F172*K172/B172,0)*B172),E172+(ROUND(F172*K172/B172,0)*B172)))</f>
        <v>-0.01</v>
      </c>
      <c r="L173" s="29">
        <f t="shared" ref="L173" si="254">IF(D173="BUY",I173+(R173*B173),I173-(R173*B173))</f>
        <v>5.0000000000000001E-4</v>
      </c>
      <c r="M173" s="29">
        <f>IF(D172="BUY",E172+(ROUND(F172*M172/B172,0)*B172),E172-(ROUND(F172*M172/B172,0)*B172))</f>
        <v>0.01</v>
      </c>
      <c r="N173" s="29">
        <f>IF(D172="BUY",E172-(ROUND(F172*N172/B172,0)*B172),E172+(ROUND(F172*N172/B172,0)*B172))</f>
        <v>-0.01</v>
      </c>
      <c r="O173" s="31">
        <f>IF(D173="BUY",N173-VLOOKUP(A173,Symbols!A$1:D$1000,4,FALSE),N173+VLOOKUP(A173,Symbols!A$1:D$1000,4,FALSE))</f>
        <v>-1.3000000000000001E-2</v>
      </c>
      <c r="P173" s="29">
        <f>P172</f>
        <v>1</v>
      </c>
      <c r="Q173" s="29">
        <f>Q172</f>
        <v>100</v>
      </c>
      <c r="R173" s="29">
        <f>R172</f>
        <v>10</v>
      </c>
      <c r="S173" s="29">
        <f>S172</f>
        <v>2</v>
      </c>
      <c r="T173" s="29">
        <f>T172</f>
        <v>1</v>
      </c>
      <c r="U173" s="29">
        <f>DATEDIF(DATE(1970,1,1),U172,"D")*86400</f>
        <v>1483660800</v>
      </c>
      <c r="V173" s="29">
        <f>HOUR(V172)*3600+MINUTE(V172)*60+SECOND(V172)</f>
        <v>26100</v>
      </c>
      <c r="W173" s="29">
        <f>DATEDIF(DATE(1970,1,1),W172,"D")*86400</f>
        <v>1502928000</v>
      </c>
      <c r="X173" s="29">
        <f>HOUR(X172)*3600+MINUTE(X172)*60+SECOND(X172)</f>
        <v>56400</v>
      </c>
      <c r="Y173" s="31">
        <f>(Y172*B173)</f>
        <v>2.8E-3</v>
      </c>
      <c r="Z173" s="29">
        <f>Z172</f>
        <v>1</v>
      </c>
      <c r="AA173" s="29">
        <f>DATEDIF(DATE(1970,1,1),AA172,"D")*86400</f>
        <v>1502928000</v>
      </c>
      <c r="AB173" s="29">
        <f>HOUR(AB172)*3600+MINUTE(AB172)*60+SECOND(AB172)</f>
        <v>56460</v>
      </c>
      <c r="AC173" s="29">
        <f>AC172</f>
        <v>1</v>
      </c>
    </row>
    <row r="174" spans="1:29">
      <c r="A174" s="23" t="str">
        <f>Parameters!A88</f>
        <v>6AM7</v>
      </c>
      <c r="B174" s="23">
        <f>Parameters!B88</f>
        <v>1E-4</v>
      </c>
      <c r="C174" s="24">
        <f>Parameters!C88</f>
        <v>2</v>
      </c>
      <c r="D174" s="24" t="str">
        <f>Parameters!D88</f>
        <v>BUY</v>
      </c>
      <c r="E174" s="23">
        <f>Parameters!E88</f>
        <v>0</v>
      </c>
      <c r="F174" s="23">
        <f>Parameters!F88</f>
        <v>0.01</v>
      </c>
      <c r="G174" s="25">
        <f>Parameters!G88</f>
        <v>0.06</v>
      </c>
      <c r="H174" s="25">
        <f>Parameters!H88</f>
        <v>0</v>
      </c>
      <c r="I174" s="25">
        <f>Parameters!I88</f>
        <v>0</v>
      </c>
      <c r="J174" s="25">
        <f>Parameters!J88</f>
        <v>1</v>
      </c>
      <c r="K174" s="25">
        <f>Parameters!K88</f>
        <v>1</v>
      </c>
      <c r="L174" s="26">
        <f t="shared" ref="L174" si="255">L175</f>
        <v>3.9999999999999996E-4</v>
      </c>
      <c r="M174" s="25">
        <f>Parameters!L88</f>
        <v>1</v>
      </c>
      <c r="N174" s="25">
        <f>Parameters!M88</f>
        <v>1</v>
      </c>
      <c r="O174" s="26">
        <f t="shared" ref="O174" si="256">O175</f>
        <v>-1.3000000000000001E-2</v>
      </c>
      <c r="P174" s="23">
        <f>Parameters!N88</f>
        <v>1</v>
      </c>
      <c r="Q174" s="23">
        <f>Parameters!O88</f>
        <v>100</v>
      </c>
      <c r="R174" s="23">
        <f>Parameters!P88</f>
        <v>10</v>
      </c>
      <c r="S174" s="23">
        <f>Parameters!Q88</f>
        <v>2</v>
      </c>
      <c r="T174" s="23">
        <f>Parameters!R88</f>
        <v>1</v>
      </c>
      <c r="U174" s="27">
        <f>Parameters!S88</f>
        <v>42741</v>
      </c>
      <c r="V174" s="28">
        <f>Parameters!T88</f>
        <v>0.30208333333333331</v>
      </c>
      <c r="W174" s="27">
        <f>Parameters!U88</f>
        <v>42964</v>
      </c>
      <c r="X174" s="28">
        <f>Parameters!V88</f>
        <v>0.65277777777777779</v>
      </c>
      <c r="Y174" s="25">
        <f>Parameters!W88</f>
        <v>28</v>
      </c>
      <c r="Z174" s="23">
        <f>Parameters!X88</f>
        <v>1</v>
      </c>
      <c r="AA174" s="27">
        <f>Parameters!Y88</f>
        <v>42964</v>
      </c>
      <c r="AB174" s="28">
        <f>Parameters!Z88</f>
        <v>0.65347222222222223</v>
      </c>
      <c r="AC174" s="23">
        <f>Parameters!AA88</f>
        <v>1</v>
      </c>
    </row>
    <row r="175" spans="1:29">
      <c r="A175" s="29" t="str">
        <f>UPPER(A174)</f>
        <v>6AM7</v>
      </c>
      <c r="B175" s="29">
        <f>B174</f>
        <v>1E-4</v>
      </c>
      <c r="C175" s="30">
        <f>C174</f>
        <v>2</v>
      </c>
      <c r="D175" s="30" t="str">
        <f>D174</f>
        <v>BUY</v>
      </c>
      <c r="E175" s="29">
        <f>E174</f>
        <v>0</v>
      </c>
      <c r="F175" s="29">
        <f>F174</f>
        <v>0.01</v>
      </c>
      <c r="G175" s="29">
        <f>IF(C174=1,IF(D174="BUY",E174+(ROUND(F174*G174/B174,0)*B174),E174-(ROUND(F174*G174/B174,0)*B174)),IF(D174="BUY",E174-(ROUND(F174*G174/B174,0)*B174),E174+(ROUND(F174*G174/B174,0)*B174)))</f>
        <v>-6.0000000000000006E-4</v>
      </c>
      <c r="H175" s="29">
        <f>IF(C174=1,IF(D174="BUY",G175-(ROUND(F174*H174/B174,0)*B174),G175+(ROUND(F174*H174/B174,0)*B174)),IF(D174="BUY",G175+(ROUND(F174*H174/B174,0)*B174),G175-(ROUND(F174*H174/B174,0)*B174)))</f>
        <v>-6.0000000000000006E-4</v>
      </c>
      <c r="I175" s="29">
        <f>IF(D174="BUY",G175+(ROUND(F174*I174/(B174*100),0)*B174),G175-(ROUND(F174*I174/(B174*100),0)*B174))</f>
        <v>-6.0000000000000006E-4</v>
      </c>
      <c r="J175" s="29">
        <f>IF(C174=1,IF(D174="BUY",E174+(ROUND(F174*J174/B174,0)*B174),E174-(ROUND(F174*J174/B174,0)*B174)),IF(D174="BUY",E174-(ROUND(F174*J174/B174,0)*B174),E174+(ROUND(F174*J174/B174,0)*B174)))</f>
        <v>-0.01</v>
      </c>
      <c r="K175" s="29">
        <f>IF(C174=1,IF(D174="BUY",E174-(ROUND(F174*K174/B174,0)*B174),E174+(ROUND(F174*K174/B174,0)*B174)),IF(D174="BUY",E174-(ROUND(F174*K174/B174,0)*B174),E174+(ROUND(F174*K174/B174,0)*B174)))</f>
        <v>-0.01</v>
      </c>
      <c r="L175" s="29">
        <f t="shared" ref="L175" si="257">IF(D175="BUY",I175+(R175*B175),I175-(R175*B175))</f>
        <v>3.9999999999999996E-4</v>
      </c>
      <c r="M175" s="29">
        <f>IF(D174="BUY",E174+(ROUND(F174*M174/B174,0)*B174),E174-(ROUND(F174*M174/B174,0)*B174))</f>
        <v>0.01</v>
      </c>
      <c r="N175" s="29">
        <f>IF(D174="BUY",E174-(ROUND(F174*N174/B174,0)*B174),E174+(ROUND(F174*N174/B174,0)*B174))</f>
        <v>-0.01</v>
      </c>
      <c r="O175" s="31">
        <f>IF(D175="BUY",N175-VLOOKUP(A175,Symbols!A$1:D$1000,4,FALSE),N175+VLOOKUP(A175,Symbols!A$1:D$1000,4,FALSE))</f>
        <v>-1.3000000000000001E-2</v>
      </c>
      <c r="P175" s="29">
        <f>P174</f>
        <v>1</v>
      </c>
      <c r="Q175" s="29">
        <f>Q174</f>
        <v>100</v>
      </c>
      <c r="R175" s="29">
        <f>R174</f>
        <v>10</v>
      </c>
      <c r="S175" s="29">
        <f>S174</f>
        <v>2</v>
      </c>
      <c r="T175" s="29">
        <f>T174</f>
        <v>1</v>
      </c>
      <c r="U175" s="29">
        <f>DATEDIF(DATE(1970,1,1),U174,"D")*86400</f>
        <v>1483660800</v>
      </c>
      <c r="V175" s="29">
        <f>HOUR(V174)*3600+MINUTE(V174)*60+SECOND(V174)</f>
        <v>26100</v>
      </c>
      <c r="W175" s="29">
        <f>DATEDIF(DATE(1970,1,1),W174,"D")*86400</f>
        <v>1502928000</v>
      </c>
      <c r="X175" s="29">
        <f>HOUR(X174)*3600+MINUTE(X174)*60+SECOND(X174)</f>
        <v>56400</v>
      </c>
      <c r="Y175" s="31">
        <f>(Y174*B175)</f>
        <v>2.8E-3</v>
      </c>
      <c r="Z175" s="29">
        <f>Z174</f>
        <v>1</v>
      </c>
      <c r="AA175" s="29">
        <f>DATEDIF(DATE(1970,1,1),AA174,"D")*86400</f>
        <v>1502928000</v>
      </c>
      <c r="AB175" s="29">
        <f>HOUR(AB174)*3600+MINUTE(AB174)*60+SECOND(AB174)</f>
        <v>56460</v>
      </c>
      <c r="AC175" s="29">
        <f>AC174</f>
        <v>1</v>
      </c>
    </row>
    <row r="176" spans="1:29">
      <c r="A176" s="23" t="str">
        <f>Parameters!A89</f>
        <v>6AM7</v>
      </c>
      <c r="B176" s="23">
        <f>Parameters!B89</f>
        <v>1E-4</v>
      </c>
      <c r="C176" s="24">
        <f>Parameters!C89</f>
        <v>2</v>
      </c>
      <c r="D176" s="24" t="str">
        <f>Parameters!D89</f>
        <v>BUY</v>
      </c>
      <c r="E176" s="23">
        <f>Parameters!E89</f>
        <v>0</v>
      </c>
      <c r="F176" s="23">
        <f>Parameters!F89</f>
        <v>0.01</v>
      </c>
      <c r="G176" s="25">
        <f>Parameters!G89</f>
        <v>7.0000000000000007E-2</v>
      </c>
      <c r="H176" s="25">
        <f>Parameters!H89</f>
        <v>0</v>
      </c>
      <c r="I176" s="25">
        <f>Parameters!I89</f>
        <v>0</v>
      </c>
      <c r="J176" s="25">
        <f>Parameters!J89</f>
        <v>1</v>
      </c>
      <c r="K176" s="25">
        <f>Parameters!K89</f>
        <v>1</v>
      </c>
      <c r="L176" s="26">
        <f t="shared" ref="L176" si="258">L177</f>
        <v>3.0000000000000003E-4</v>
      </c>
      <c r="M176" s="25">
        <f>Parameters!L89</f>
        <v>1</v>
      </c>
      <c r="N176" s="25">
        <f>Parameters!M89</f>
        <v>1</v>
      </c>
      <c r="O176" s="26">
        <f t="shared" ref="O176" si="259">O177</f>
        <v>-1.3000000000000001E-2</v>
      </c>
      <c r="P176" s="23">
        <f>Parameters!N89</f>
        <v>1</v>
      </c>
      <c r="Q176" s="23">
        <f>Parameters!O89</f>
        <v>100</v>
      </c>
      <c r="R176" s="23">
        <f>Parameters!P89</f>
        <v>10</v>
      </c>
      <c r="S176" s="23">
        <f>Parameters!Q89</f>
        <v>2</v>
      </c>
      <c r="T176" s="23">
        <f>Parameters!R89</f>
        <v>1</v>
      </c>
      <c r="U176" s="27">
        <f>Parameters!S89</f>
        <v>42741</v>
      </c>
      <c r="V176" s="28">
        <f>Parameters!T89</f>
        <v>0.30208333333333331</v>
      </c>
      <c r="W176" s="27">
        <f>Parameters!U89</f>
        <v>42964</v>
      </c>
      <c r="X176" s="28">
        <f>Parameters!V89</f>
        <v>0.65277777777777779</v>
      </c>
      <c r="Y176" s="25">
        <f>Parameters!W89</f>
        <v>28</v>
      </c>
      <c r="Z176" s="23">
        <f>Parameters!X89</f>
        <v>1</v>
      </c>
      <c r="AA176" s="27">
        <f>Parameters!Y89</f>
        <v>42964</v>
      </c>
      <c r="AB176" s="28">
        <f>Parameters!Z89</f>
        <v>0.65347222222222223</v>
      </c>
      <c r="AC176" s="23">
        <f>Parameters!AA89</f>
        <v>1</v>
      </c>
    </row>
    <row r="177" spans="1:29">
      <c r="A177" s="29" t="str">
        <f>UPPER(A176)</f>
        <v>6AM7</v>
      </c>
      <c r="B177" s="29">
        <f>B176</f>
        <v>1E-4</v>
      </c>
      <c r="C177" s="30">
        <f>C176</f>
        <v>2</v>
      </c>
      <c r="D177" s="30" t="str">
        <f>D176</f>
        <v>BUY</v>
      </c>
      <c r="E177" s="29">
        <f>E176</f>
        <v>0</v>
      </c>
      <c r="F177" s="29">
        <f>F176</f>
        <v>0.01</v>
      </c>
      <c r="G177" s="29">
        <f>IF(C176=1,IF(D176="BUY",E176+(ROUND(F176*G176/B176,0)*B176),E176-(ROUND(F176*G176/B176,0)*B176)),IF(D176="BUY",E176-(ROUND(F176*G176/B176,0)*B176),E176+(ROUND(F176*G176/B176,0)*B176)))</f>
        <v>-6.9999999999999999E-4</v>
      </c>
      <c r="H177" s="29">
        <f>IF(C176=1,IF(D176="BUY",G177-(ROUND(F176*H176/B176,0)*B176),G177+(ROUND(F176*H176/B176,0)*B176)),IF(D176="BUY",G177+(ROUND(F176*H176/B176,0)*B176),G177-(ROUND(F176*H176/B176,0)*B176)))</f>
        <v>-6.9999999999999999E-4</v>
      </c>
      <c r="I177" s="29">
        <f>IF(D176="BUY",G177+(ROUND(F176*I176/(B176*100),0)*B176),G177-(ROUND(F176*I176/(B176*100),0)*B176))</f>
        <v>-6.9999999999999999E-4</v>
      </c>
      <c r="J177" s="29">
        <f>IF(C176=1,IF(D176="BUY",E176+(ROUND(F176*J176/B176,0)*B176),E176-(ROUND(F176*J176/B176,0)*B176)),IF(D176="BUY",E176-(ROUND(F176*J176/B176,0)*B176),E176+(ROUND(F176*J176/B176,0)*B176)))</f>
        <v>-0.01</v>
      </c>
      <c r="K177" s="29">
        <f>IF(C176=1,IF(D176="BUY",E176-(ROUND(F176*K176/B176,0)*B176),E176+(ROUND(F176*K176/B176,0)*B176)),IF(D176="BUY",E176-(ROUND(F176*K176/B176,0)*B176),E176+(ROUND(F176*K176/B176,0)*B176)))</f>
        <v>-0.01</v>
      </c>
      <c r="L177" s="29">
        <f t="shared" ref="L177" si="260">IF(D177="BUY",I177+(R177*B177),I177-(R177*B177))</f>
        <v>3.0000000000000003E-4</v>
      </c>
      <c r="M177" s="29">
        <f>IF(D176="BUY",E176+(ROUND(F176*M176/B176,0)*B176),E176-(ROUND(F176*M176/B176,0)*B176))</f>
        <v>0.01</v>
      </c>
      <c r="N177" s="29">
        <f>IF(D176="BUY",E176-(ROUND(F176*N176/B176,0)*B176),E176+(ROUND(F176*N176/B176,0)*B176))</f>
        <v>-0.01</v>
      </c>
      <c r="O177" s="31">
        <f>IF(D177="BUY",N177-VLOOKUP(A177,Symbols!A$1:D$1000,4,FALSE),N177+VLOOKUP(A177,Symbols!A$1:D$1000,4,FALSE))</f>
        <v>-1.3000000000000001E-2</v>
      </c>
      <c r="P177" s="29">
        <f>P176</f>
        <v>1</v>
      </c>
      <c r="Q177" s="29">
        <f>Q176</f>
        <v>100</v>
      </c>
      <c r="R177" s="29">
        <f>R176</f>
        <v>10</v>
      </c>
      <c r="S177" s="29">
        <f>S176</f>
        <v>2</v>
      </c>
      <c r="T177" s="29">
        <f>T176</f>
        <v>1</v>
      </c>
      <c r="U177" s="29">
        <f>DATEDIF(DATE(1970,1,1),U176,"D")*86400</f>
        <v>1483660800</v>
      </c>
      <c r="V177" s="29">
        <f>HOUR(V176)*3600+MINUTE(V176)*60+SECOND(V176)</f>
        <v>26100</v>
      </c>
      <c r="W177" s="29">
        <f>DATEDIF(DATE(1970,1,1),W176,"D")*86400</f>
        <v>1502928000</v>
      </c>
      <c r="X177" s="29">
        <f>HOUR(X176)*3600+MINUTE(X176)*60+SECOND(X176)</f>
        <v>56400</v>
      </c>
      <c r="Y177" s="31">
        <f>(Y176*B177)</f>
        <v>2.8E-3</v>
      </c>
      <c r="Z177" s="29">
        <f>Z176</f>
        <v>1</v>
      </c>
      <c r="AA177" s="29">
        <f>DATEDIF(DATE(1970,1,1),AA176,"D")*86400</f>
        <v>1502928000</v>
      </c>
      <c r="AB177" s="29">
        <f>HOUR(AB176)*3600+MINUTE(AB176)*60+SECOND(AB176)</f>
        <v>56460</v>
      </c>
      <c r="AC177" s="29">
        <f>AC176</f>
        <v>1</v>
      </c>
    </row>
    <row r="178" spans="1:29">
      <c r="A178" s="23" t="str">
        <f>Parameters!A90</f>
        <v>6AM7</v>
      </c>
      <c r="B178" s="23">
        <f>Parameters!B90</f>
        <v>1E-4</v>
      </c>
      <c r="C178" s="24">
        <f>Parameters!C90</f>
        <v>2</v>
      </c>
      <c r="D178" s="24" t="str">
        <f>Parameters!D90</f>
        <v>BUY</v>
      </c>
      <c r="E178" s="23">
        <f>Parameters!E90</f>
        <v>0</v>
      </c>
      <c r="F178" s="23">
        <f>Parameters!F90</f>
        <v>0.01</v>
      </c>
      <c r="G178" s="25">
        <f>Parameters!G90</f>
        <v>0.08</v>
      </c>
      <c r="H178" s="25">
        <f>Parameters!H90</f>
        <v>0</v>
      </c>
      <c r="I178" s="25">
        <f>Parameters!I90</f>
        <v>0</v>
      </c>
      <c r="J178" s="25">
        <f>Parameters!J90</f>
        <v>1</v>
      </c>
      <c r="K178" s="25">
        <f>Parameters!K90</f>
        <v>1</v>
      </c>
      <c r="L178" s="26">
        <f t="shared" ref="L178" si="261">L179</f>
        <v>1.9999999999999998E-4</v>
      </c>
      <c r="M178" s="25">
        <f>Parameters!L90</f>
        <v>1</v>
      </c>
      <c r="N178" s="25">
        <f>Parameters!M90</f>
        <v>1</v>
      </c>
      <c r="O178" s="26">
        <f t="shared" ref="O178" si="262">O179</f>
        <v>-1.3000000000000001E-2</v>
      </c>
      <c r="P178" s="23">
        <f>Parameters!N90</f>
        <v>1</v>
      </c>
      <c r="Q178" s="23">
        <f>Parameters!O90</f>
        <v>100</v>
      </c>
      <c r="R178" s="23">
        <f>Parameters!P90</f>
        <v>10</v>
      </c>
      <c r="S178" s="23">
        <f>Parameters!Q90</f>
        <v>2</v>
      </c>
      <c r="T178" s="23">
        <f>Parameters!R90</f>
        <v>1</v>
      </c>
      <c r="U178" s="27">
        <f>Parameters!S90</f>
        <v>42741</v>
      </c>
      <c r="V178" s="28">
        <f>Parameters!T90</f>
        <v>0.30208333333333331</v>
      </c>
      <c r="W178" s="27">
        <f>Parameters!U90</f>
        <v>42964</v>
      </c>
      <c r="X178" s="28">
        <f>Parameters!V90</f>
        <v>0.65277777777777779</v>
      </c>
      <c r="Y178" s="25">
        <f>Parameters!W90</f>
        <v>28</v>
      </c>
      <c r="Z178" s="23">
        <f>Parameters!X90</f>
        <v>1</v>
      </c>
      <c r="AA178" s="27">
        <f>Parameters!Y90</f>
        <v>42964</v>
      </c>
      <c r="AB178" s="28">
        <f>Parameters!Z90</f>
        <v>0.65347222222222223</v>
      </c>
      <c r="AC178" s="23">
        <f>Parameters!AA90</f>
        <v>1</v>
      </c>
    </row>
    <row r="179" spans="1:29">
      <c r="A179" s="29" t="str">
        <f>UPPER(A178)</f>
        <v>6AM7</v>
      </c>
      <c r="B179" s="29">
        <f>B178</f>
        <v>1E-4</v>
      </c>
      <c r="C179" s="30">
        <f>C178</f>
        <v>2</v>
      </c>
      <c r="D179" s="30" t="str">
        <f>D178</f>
        <v>BUY</v>
      </c>
      <c r="E179" s="29">
        <f>E178</f>
        <v>0</v>
      </c>
      <c r="F179" s="29">
        <f>F178</f>
        <v>0.01</v>
      </c>
      <c r="G179" s="29">
        <f>IF(C178=1,IF(D178="BUY",E178+(ROUND(F178*G178/B178,0)*B178),E178-(ROUND(F178*G178/B178,0)*B178)),IF(D178="BUY",E178-(ROUND(F178*G178/B178,0)*B178),E178+(ROUND(F178*G178/B178,0)*B178)))</f>
        <v>-8.0000000000000004E-4</v>
      </c>
      <c r="H179" s="29">
        <f>IF(C178=1,IF(D178="BUY",G179-(ROUND(F178*H178/B178,0)*B178),G179+(ROUND(F178*H178/B178,0)*B178)),IF(D178="BUY",G179+(ROUND(F178*H178/B178,0)*B178),G179-(ROUND(F178*H178/B178,0)*B178)))</f>
        <v>-8.0000000000000004E-4</v>
      </c>
      <c r="I179" s="29">
        <f>IF(D178="BUY",G179+(ROUND(F178*I178/(B178*100),0)*B178),G179-(ROUND(F178*I178/(B178*100),0)*B178))</f>
        <v>-8.0000000000000004E-4</v>
      </c>
      <c r="J179" s="29">
        <f>IF(C178=1,IF(D178="BUY",E178+(ROUND(F178*J178/B178,0)*B178),E178-(ROUND(F178*J178/B178,0)*B178)),IF(D178="BUY",E178-(ROUND(F178*J178/B178,0)*B178),E178+(ROUND(F178*J178/B178,0)*B178)))</f>
        <v>-0.01</v>
      </c>
      <c r="K179" s="29">
        <f>IF(C178=1,IF(D178="BUY",E178-(ROUND(F178*K178/B178,0)*B178),E178+(ROUND(F178*K178/B178,0)*B178)),IF(D178="BUY",E178-(ROUND(F178*K178/B178,0)*B178),E178+(ROUND(F178*K178/B178,0)*B178)))</f>
        <v>-0.01</v>
      </c>
      <c r="L179" s="29">
        <f t="shared" ref="L179" si="263">IF(D179="BUY",I179+(R179*B179),I179-(R179*B179))</f>
        <v>1.9999999999999998E-4</v>
      </c>
      <c r="M179" s="29">
        <f>IF(D178="BUY",E178+(ROUND(F178*M178/B178,0)*B178),E178-(ROUND(F178*M178/B178,0)*B178))</f>
        <v>0.01</v>
      </c>
      <c r="N179" s="29">
        <f>IF(D178="BUY",E178-(ROUND(F178*N178/B178,0)*B178),E178+(ROUND(F178*N178/B178,0)*B178))</f>
        <v>-0.01</v>
      </c>
      <c r="O179" s="31">
        <f>IF(D179="BUY",N179-VLOOKUP(A179,Symbols!A$1:D$1000,4,FALSE),N179+VLOOKUP(A179,Symbols!A$1:D$1000,4,FALSE))</f>
        <v>-1.3000000000000001E-2</v>
      </c>
      <c r="P179" s="29">
        <f>P178</f>
        <v>1</v>
      </c>
      <c r="Q179" s="29">
        <f>Q178</f>
        <v>100</v>
      </c>
      <c r="R179" s="29">
        <f>R178</f>
        <v>10</v>
      </c>
      <c r="S179" s="29">
        <f>S178</f>
        <v>2</v>
      </c>
      <c r="T179" s="29">
        <f>T178</f>
        <v>1</v>
      </c>
      <c r="U179" s="29">
        <f>DATEDIF(DATE(1970,1,1),U178,"D")*86400</f>
        <v>1483660800</v>
      </c>
      <c r="V179" s="29">
        <f>HOUR(V178)*3600+MINUTE(V178)*60+SECOND(V178)</f>
        <v>26100</v>
      </c>
      <c r="W179" s="29">
        <f>DATEDIF(DATE(1970,1,1),W178,"D")*86400</f>
        <v>1502928000</v>
      </c>
      <c r="X179" s="29">
        <f>HOUR(X178)*3600+MINUTE(X178)*60+SECOND(X178)</f>
        <v>56400</v>
      </c>
      <c r="Y179" s="31">
        <f>(Y178*B179)</f>
        <v>2.8E-3</v>
      </c>
      <c r="Z179" s="29">
        <f>Z178</f>
        <v>1</v>
      </c>
      <c r="AA179" s="29">
        <f>DATEDIF(DATE(1970,1,1),AA178,"D")*86400</f>
        <v>1502928000</v>
      </c>
      <c r="AB179" s="29">
        <f>HOUR(AB178)*3600+MINUTE(AB178)*60+SECOND(AB178)</f>
        <v>56460</v>
      </c>
      <c r="AC179" s="29">
        <f>AC178</f>
        <v>1</v>
      </c>
    </row>
    <row r="180" spans="1:29">
      <c r="A180" s="23" t="str">
        <f>Parameters!A91</f>
        <v>6AM7</v>
      </c>
      <c r="B180" s="23">
        <f>Parameters!B91</f>
        <v>1E-4</v>
      </c>
      <c r="C180" s="24">
        <f>Parameters!C91</f>
        <v>2</v>
      </c>
      <c r="D180" s="24" t="str">
        <f>Parameters!D91</f>
        <v>BUY</v>
      </c>
      <c r="E180" s="23">
        <f>Parameters!E91</f>
        <v>0</v>
      </c>
      <c r="F180" s="23">
        <f>Parameters!F91</f>
        <v>0.01</v>
      </c>
      <c r="G180" s="25">
        <f>Parameters!G91</f>
        <v>0.09</v>
      </c>
      <c r="H180" s="25">
        <f>Parameters!H91</f>
        <v>0</v>
      </c>
      <c r="I180" s="25">
        <f>Parameters!I91</f>
        <v>0</v>
      </c>
      <c r="J180" s="25">
        <f>Parameters!J91</f>
        <v>1</v>
      </c>
      <c r="K180" s="25">
        <f>Parameters!K91</f>
        <v>1</v>
      </c>
      <c r="L180" s="26">
        <f t="shared" ref="L180" si="264">L181</f>
        <v>9.9999999999999937E-5</v>
      </c>
      <c r="M180" s="25">
        <f>Parameters!L91</f>
        <v>1</v>
      </c>
      <c r="N180" s="25">
        <f>Parameters!M91</f>
        <v>1</v>
      </c>
      <c r="O180" s="26">
        <f t="shared" ref="O180" si="265">O181</f>
        <v>-1.3000000000000001E-2</v>
      </c>
      <c r="P180" s="23">
        <f>Parameters!N91</f>
        <v>1</v>
      </c>
      <c r="Q180" s="23">
        <f>Parameters!O91</f>
        <v>100</v>
      </c>
      <c r="R180" s="23">
        <f>Parameters!P91</f>
        <v>10</v>
      </c>
      <c r="S180" s="23">
        <f>Parameters!Q91</f>
        <v>2</v>
      </c>
      <c r="T180" s="23">
        <f>Parameters!R91</f>
        <v>1</v>
      </c>
      <c r="U180" s="27">
        <f>Parameters!S91</f>
        <v>42741</v>
      </c>
      <c r="V180" s="28">
        <f>Parameters!T91</f>
        <v>0.30208333333333331</v>
      </c>
      <c r="W180" s="27">
        <f>Parameters!U91</f>
        <v>42964</v>
      </c>
      <c r="X180" s="28">
        <f>Parameters!V91</f>
        <v>0.65277777777777779</v>
      </c>
      <c r="Y180" s="25">
        <f>Parameters!W91</f>
        <v>28</v>
      </c>
      <c r="Z180" s="23">
        <f>Parameters!X91</f>
        <v>1</v>
      </c>
      <c r="AA180" s="27">
        <f>Parameters!Y91</f>
        <v>42964</v>
      </c>
      <c r="AB180" s="28">
        <f>Parameters!Z91</f>
        <v>0.65347222222222223</v>
      </c>
      <c r="AC180" s="23">
        <f>Parameters!AA91</f>
        <v>1</v>
      </c>
    </row>
    <row r="181" spans="1:29">
      <c r="A181" s="29" t="str">
        <f>UPPER(A180)</f>
        <v>6AM7</v>
      </c>
      <c r="B181" s="29">
        <f>B180</f>
        <v>1E-4</v>
      </c>
      <c r="C181" s="30">
        <f>C180</f>
        <v>2</v>
      </c>
      <c r="D181" s="30" t="str">
        <f>D180</f>
        <v>BUY</v>
      </c>
      <c r="E181" s="29">
        <f>E180</f>
        <v>0</v>
      </c>
      <c r="F181" s="29">
        <f>F180</f>
        <v>0.01</v>
      </c>
      <c r="G181" s="29">
        <f>IF(C180=1,IF(D180="BUY",E180+(ROUND(F180*G180/B180,0)*B180),E180-(ROUND(F180*G180/B180,0)*B180)),IF(D180="BUY",E180-(ROUND(F180*G180/B180,0)*B180),E180+(ROUND(F180*G180/B180,0)*B180)))</f>
        <v>-9.0000000000000008E-4</v>
      </c>
      <c r="H181" s="29">
        <f>IF(C180=1,IF(D180="BUY",G181-(ROUND(F180*H180/B180,0)*B180),G181+(ROUND(F180*H180/B180,0)*B180)),IF(D180="BUY",G181+(ROUND(F180*H180/B180,0)*B180),G181-(ROUND(F180*H180/B180,0)*B180)))</f>
        <v>-9.0000000000000008E-4</v>
      </c>
      <c r="I181" s="29">
        <f>IF(D180="BUY",G181+(ROUND(F180*I180/(B180*100),0)*B180),G181-(ROUND(F180*I180/(B180*100),0)*B180))</f>
        <v>-9.0000000000000008E-4</v>
      </c>
      <c r="J181" s="29">
        <f>IF(C180=1,IF(D180="BUY",E180+(ROUND(F180*J180/B180,0)*B180),E180-(ROUND(F180*J180/B180,0)*B180)),IF(D180="BUY",E180-(ROUND(F180*J180/B180,0)*B180),E180+(ROUND(F180*J180/B180,0)*B180)))</f>
        <v>-0.01</v>
      </c>
      <c r="K181" s="29">
        <f>IF(C180=1,IF(D180="BUY",E180-(ROUND(F180*K180/B180,0)*B180),E180+(ROUND(F180*K180/B180,0)*B180)),IF(D180="BUY",E180-(ROUND(F180*K180/B180,0)*B180),E180+(ROUND(F180*K180/B180,0)*B180)))</f>
        <v>-0.01</v>
      </c>
      <c r="L181" s="29">
        <f t="shared" ref="L181" si="266">IF(D181="BUY",I181+(R181*B181),I181-(R181*B181))</f>
        <v>9.9999999999999937E-5</v>
      </c>
      <c r="M181" s="29">
        <f>IF(D180="BUY",E180+(ROUND(F180*M180/B180,0)*B180),E180-(ROUND(F180*M180/B180,0)*B180))</f>
        <v>0.01</v>
      </c>
      <c r="N181" s="29">
        <f>IF(D180="BUY",E180-(ROUND(F180*N180/B180,0)*B180),E180+(ROUND(F180*N180/B180,0)*B180))</f>
        <v>-0.01</v>
      </c>
      <c r="O181" s="31">
        <f>IF(D181="BUY",N181-VLOOKUP(A181,Symbols!A$1:D$1000,4,FALSE),N181+VLOOKUP(A181,Symbols!A$1:D$1000,4,FALSE))</f>
        <v>-1.3000000000000001E-2</v>
      </c>
      <c r="P181" s="29">
        <f>P180</f>
        <v>1</v>
      </c>
      <c r="Q181" s="29">
        <f>Q180</f>
        <v>100</v>
      </c>
      <c r="R181" s="29">
        <f>R180</f>
        <v>10</v>
      </c>
      <c r="S181" s="29">
        <f>S180</f>
        <v>2</v>
      </c>
      <c r="T181" s="29">
        <f>T180</f>
        <v>1</v>
      </c>
      <c r="U181" s="29">
        <f>DATEDIF(DATE(1970,1,1),U180,"D")*86400</f>
        <v>1483660800</v>
      </c>
      <c r="V181" s="29">
        <f>HOUR(V180)*3600+MINUTE(V180)*60+SECOND(V180)</f>
        <v>26100</v>
      </c>
      <c r="W181" s="29">
        <f>DATEDIF(DATE(1970,1,1),W180,"D")*86400</f>
        <v>1502928000</v>
      </c>
      <c r="X181" s="29">
        <f>HOUR(X180)*3600+MINUTE(X180)*60+SECOND(X180)</f>
        <v>56400</v>
      </c>
      <c r="Y181" s="31">
        <f>(Y180*B181)</f>
        <v>2.8E-3</v>
      </c>
      <c r="Z181" s="29">
        <f>Z180</f>
        <v>1</v>
      </c>
      <c r="AA181" s="29">
        <f>DATEDIF(DATE(1970,1,1),AA180,"D")*86400</f>
        <v>1502928000</v>
      </c>
      <c r="AB181" s="29">
        <f>HOUR(AB180)*3600+MINUTE(AB180)*60+SECOND(AB180)</f>
        <v>56460</v>
      </c>
      <c r="AC181" s="29">
        <f>AC180</f>
        <v>1</v>
      </c>
    </row>
    <row r="182" spans="1:29">
      <c r="A182" s="23" t="str">
        <f>Parameters!A92</f>
        <v>6AM7</v>
      </c>
      <c r="B182" s="23">
        <f>Parameters!B92</f>
        <v>1E-4</v>
      </c>
      <c r="C182" s="24">
        <f>Parameters!C92</f>
        <v>2</v>
      </c>
      <c r="D182" s="24" t="str">
        <f>Parameters!D92</f>
        <v>SELL</v>
      </c>
      <c r="E182" s="23">
        <f>Parameters!E92</f>
        <v>0</v>
      </c>
      <c r="F182" s="23">
        <f>Parameters!F92</f>
        <v>0.01</v>
      </c>
      <c r="G182" s="25">
        <f>Parameters!G92</f>
        <v>0</v>
      </c>
      <c r="H182" s="25">
        <f>Parameters!H92</f>
        <v>0</v>
      </c>
      <c r="I182" s="25">
        <f>Parameters!I92</f>
        <v>0</v>
      </c>
      <c r="J182" s="25">
        <f>Parameters!J92</f>
        <v>1</v>
      </c>
      <c r="K182" s="25">
        <f>Parameters!K92</f>
        <v>1</v>
      </c>
      <c r="L182" s="26">
        <f t="shared" ref="L182" si="267">L183</f>
        <v>-1E-3</v>
      </c>
      <c r="M182" s="25">
        <f>Parameters!L92</f>
        <v>1</v>
      </c>
      <c r="N182" s="25">
        <f>Parameters!M92</f>
        <v>1</v>
      </c>
      <c r="O182" s="26">
        <f t="shared" ref="O182" si="268">O183</f>
        <v>1.3000000000000001E-2</v>
      </c>
      <c r="P182" s="23">
        <f>Parameters!N92</f>
        <v>1</v>
      </c>
      <c r="Q182" s="23">
        <f>Parameters!O92</f>
        <v>100</v>
      </c>
      <c r="R182" s="23">
        <f>Parameters!P92</f>
        <v>10</v>
      </c>
      <c r="S182" s="23">
        <f>Parameters!Q92</f>
        <v>2</v>
      </c>
      <c r="T182" s="23">
        <f>Parameters!R92</f>
        <v>1</v>
      </c>
      <c r="U182" s="27">
        <f>Parameters!S92</f>
        <v>42741</v>
      </c>
      <c r="V182" s="28">
        <f>Parameters!T92</f>
        <v>0.30208333333333331</v>
      </c>
      <c r="W182" s="27">
        <f>Parameters!U92</f>
        <v>42964</v>
      </c>
      <c r="X182" s="28">
        <f>Parameters!V92</f>
        <v>0.65277777777777779</v>
      </c>
      <c r="Y182" s="25">
        <f>Parameters!W92</f>
        <v>28</v>
      </c>
      <c r="Z182" s="23">
        <f>Parameters!X92</f>
        <v>1</v>
      </c>
      <c r="AA182" s="27">
        <f>Parameters!Y92</f>
        <v>42964</v>
      </c>
      <c r="AB182" s="28">
        <f>Parameters!Z92</f>
        <v>0.65347222222222223</v>
      </c>
      <c r="AC182" s="23">
        <f>Parameters!AA92</f>
        <v>1</v>
      </c>
    </row>
    <row r="183" spans="1:29">
      <c r="A183" s="29" t="str">
        <f>UPPER(A182)</f>
        <v>6AM7</v>
      </c>
      <c r="B183" s="29">
        <f>B182</f>
        <v>1E-4</v>
      </c>
      <c r="C183" s="30">
        <f>C182</f>
        <v>2</v>
      </c>
      <c r="D183" s="30" t="str">
        <f>D182</f>
        <v>SELL</v>
      </c>
      <c r="E183" s="29">
        <f>E182</f>
        <v>0</v>
      </c>
      <c r="F183" s="29">
        <f>F182</f>
        <v>0.01</v>
      </c>
      <c r="G183" s="29">
        <f>IF(C182=1,IF(D182="BUY",E182+(ROUND(F182*G182/B182,0)*B182),E182-(ROUND(F182*G182/B182,0)*B182)),IF(D182="BUY",E182-(ROUND(F182*G182/B182,0)*B182),E182+(ROUND(F182*G182/B182,0)*B182)))</f>
        <v>0</v>
      </c>
      <c r="H183" s="29">
        <f>IF(C182=1,IF(D182="BUY",G183-(ROUND(F182*H182/B182,0)*B182),G183+(ROUND(F182*H182/B182,0)*B182)),IF(D182="BUY",G183+(ROUND(F182*H182/B182,0)*B182),G183-(ROUND(F182*H182/B182,0)*B182)))</f>
        <v>0</v>
      </c>
      <c r="I183" s="29">
        <f>IF(D182="BUY",G183+(ROUND(F182*I182/(B182*100),0)*B182),G183-(ROUND(F182*I182/(B182*100),0)*B182))</f>
        <v>0</v>
      </c>
      <c r="J183" s="29">
        <f>IF(C182=1,IF(D182="BUY",E182+(ROUND(F182*J182/B182,0)*B182),E182-(ROUND(F182*J182/B182,0)*B182)),IF(D182="BUY",E182-(ROUND(F182*J182/B182,0)*B182),E182+(ROUND(F182*J182/B182,0)*B182)))</f>
        <v>0.01</v>
      </c>
      <c r="K183" s="29">
        <f>IF(C182=1,IF(D182="BUY",E182-(ROUND(F182*K182/B182,0)*B182),E182+(ROUND(F182*K182/B182,0)*B182)),IF(D182="BUY",E182-(ROUND(F182*K182/B182,0)*B182),E182+(ROUND(F182*K182/B182,0)*B182)))</f>
        <v>0.01</v>
      </c>
      <c r="L183" s="29">
        <f t="shared" ref="L183" si="269">IF(D183="BUY",I183+(R183*B183),I183-(R183*B183))</f>
        <v>-1E-3</v>
      </c>
      <c r="M183" s="29">
        <f>IF(D182="BUY",E182+(ROUND(F182*M182/B182,0)*B182),E182-(ROUND(F182*M182/B182,0)*B182))</f>
        <v>-0.01</v>
      </c>
      <c r="N183" s="29">
        <f>IF(D182="BUY",E182-(ROUND(F182*N182/B182,0)*B182),E182+(ROUND(F182*N182/B182,0)*B182))</f>
        <v>0.01</v>
      </c>
      <c r="O183" s="31">
        <f>IF(D183="BUY",N183-VLOOKUP(A183,Symbols!A$1:D$1000,4,FALSE),N183+VLOOKUP(A183,Symbols!A$1:D$1000,4,FALSE))</f>
        <v>1.3000000000000001E-2</v>
      </c>
      <c r="P183" s="29">
        <f>P182</f>
        <v>1</v>
      </c>
      <c r="Q183" s="29">
        <f>Q182</f>
        <v>100</v>
      </c>
      <c r="R183" s="29">
        <f>R182</f>
        <v>10</v>
      </c>
      <c r="S183" s="29">
        <f>S182</f>
        <v>2</v>
      </c>
      <c r="T183" s="29">
        <f>T182</f>
        <v>1</v>
      </c>
      <c r="U183" s="29">
        <f>DATEDIF(DATE(1970,1,1),U182,"D")*86400</f>
        <v>1483660800</v>
      </c>
      <c r="V183" s="29">
        <f>HOUR(V182)*3600+MINUTE(V182)*60+SECOND(V182)</f>
        <v>26100</v>
      </c>
      <c r="W183" s="29">
        <f>DATEDIF(DATE(1970,1,1),W182,"D")*86400</f>
        <v>1502928000</v>
      </c>
      <c r="X183" s="29">
        <f>HOUR(X182)*3600+MINUTE(X182)*60+SECOND(X182)</f>
        <v>56400</v>
      </c>
      <c r="Y183" s="31">
        <f>(Y182*B183)</f>
        <v>2.8E-3</v>
      </c>
      <c r="Z183" s="29">
        <f>Z182</f>
        <v>1</v>
      </c>
      <c r="AA183" s="29">
        <f>DATEDIF(DATE(1970,1,1),AA182,"D")*86400</f>
        <v>1502928000</v>
      </c>
      <c r="AB183" s="29">
        <f>HOUR(AB182)*3600+MINUTE(AB182)*60+SECOND(AB182)</f>
        <v>56460</v>
      </c>
      <c r="AC183" s="29">
        <f>AC182</f>
        <v>1</v>
      </c>
    </row>
    <row r="184" spans="1:29">
      <c r="A184" s="23" t="str">
        <f>Parameters!A93</f>
        <v>6AM7</v>
      </c>
      <c r="B184" s="23">
        <f>Parameters!B93</f>
        <v>1E-4</v>
      </c>
      <c r="C184" s="24">
        <f>Parameters!C93</f>
        <v>2</v>
      </c>
      <c r="D184" s="24" t="str">
        <f>Parameters!D93</f>
        <v>SELL</v>
      </c>
      <c r="E184" s="23">
        <f>Parameters!E93</f>
        <v>0</v>
      </c>
      <c r="F184" s="23">
        <f>Parameters!F93</f>
        <v>0.01</v>
      </c>
      <c r="G184" s="25">
        <f>Parameters!G93</f>
        <v>0.01</v>
      </c>
      <c r="H184" s="25">
        <f>Parameters!H93</f>
        <v>0</v>
      </c>
      <c r="I184" s="25">
        <f>Parameters!I93</f>
        <v>0</v>
      </c>
      <c r="J184" s="25">
        <f>Parameters!J93</f>
        <v>1</v>
      </c>
      <c r="K184" s="25">
        <f>Parameters!K93</f>
        <v>1</v>
      </c>
      <c r="L184" s="26">
        <f t="shared" ref="L184" si="270">L185</f>
        <v>-8.9999999999999998E-4</v>
      </c>
      <c r="M184" s="25">
        <f>Parameters!L93</f>
        <v>1</v>
      </c>
      <c r="N184" s="25">
        <f>Parameters!M93</f>
        <v>1</v>
      </c>
      <c r="O184" s="26">
        <f t="shared" ref="O184" si="271">O185</f>
        <v>1.3000000000000001E-2</v>
      </c>
      <c r="P184" s="23">
        <f>Parameters!N93</f>
        <v>1</v>
      </c>
      <c r="Q184" s="23">
        <f>Parameters!O93</f>
        <v>100</v>
      </c>
      <c r="R184" s="23">
        <f>Parameters!P93</f>
        <v>10</v>
      </c>
      <c r="S184" s="23">
        <f>Parameters!Q93</f>
        <v>2</v>
      </c>
      <c r="T184" s="23">
        <f>Parameters!R93</f>
        <v>1</v>
      </c>
      <c r="U184" s="27">
        <f>Parameters!S93</f>
        <v>42741</v>
      </c>
      <c r="V184" s="28">
        <f>Parameters!T93</f>
        <v>0.30208333333333331</v>
      </c>
      <c r="W184" s="27">
        <f>Parameters!U93</f>
        <v>42964</v>
      </c>
      <c r="X184" s="28">
        <f>Parameters!V93</f>
        <v>0.65277777777777779</v>
      </c>
      <c r="Y184" s="25">
        <f>Parameters!W93</f>
        <v>28</v>
      </c>
      <c r="Z184" s="23">
        <f>Parameters!X93</f>
        <v>1</v>
      </c>
      <c r="AA184" s="27">
        <f>Parameters!Y93</f>
        <v>42964</v>
      </c>
      <c r="AB184" s="28">
        <f>Parameters!Z93</f>
        <v>0.65347222222222223</v>
      </c>
      <c r="AC184" s="23">
        <f>Parameters!AA93</f>
        <v>1</v>
      </c>
    </row>
    <row r="185" spans="1:29">
      <c r="A185" s="29" t="str">
        <f>UPPER(A184)</f>
        <v>6AM7</v>
      </c>
      <c r="B185" s="29">
        <f>B184</f>
        <v>1E-4</v>
      </c>
      <c r="C185" s="30">
        <f>C184</f>
        <v>2</v>
      </c>
      <c r="D185" s="30" t="str">
        <f>D184</f>
        <v>SELL</v>
      </c>
      <c r="E185" s="29">
        <f>E184</f>
        <v>0</v>
      </c>
      <c r="F185" s="29">
        <f>F184</f>
        <v>0.01</v>
      </c>
      <c r="G185" s="29">
        <f>IF(C184=1,IF(D184="BUY",E184+(ROUND(F184*G184/B184,0)*B184),E184-(ROUND(F184*G184/B184,0)*B184)),IF(D184="BUY",E184-(ROUND(F184*G184/B184,0)*B184),E184+(ROUND(F184*G184/B184,0)*B184)))</f>
        <v>1E-4</v>
      </c>
      <c r="H185" s="29">
        <f>IF(C184=1,IF(D184="BUY",G185-(ROUND(F184*H184/B184,0)*B184),G185+(ROUND(F184*H184/B184,0)*B184)),IF(D184="BUY",G185+(ROUND(F184*H184/B184,0)*B184),G185-(ROUND(F184*H184/B184,0)*B184)))</f>
        <v>1E-4</v>
      </c>
      <c r="I185" s="29">
        <f>IF(D184="BUY",G185+(ROUND(F184*I184/(B184*100),0)*B184),G185-(ROUND(F184*I184/(B184*100),0)*B184))</f>
        <v>1E-4</v>
      </c>
      <c r="J185" s="29">
        <f>IF(C184=1,IF(D184="BUY",E184+(ROUND(F184*J184/B184,0)*B184),E184-(ROUND(F184*J184/B184,0)*B184)),IF(D184="BUY",E184-(ROUND(F184*J184/B184,0)*B184),E184+(ROUND(F184*J184/B184,0)*B184)))</f>
        <v>0.01</v>
      </c>
      <c r="K185" s="29">
        <f>IF(C184=1,IF(D184="BUY",E184-(ROUND(F184*K184/B184,0)*B184),E184+(ROUND(F184*K184/B184,0)*B184)),IF(D184="BUY",E184-(ROUND(F184*K184/B184,0)*B184),E184+(ROUND(F184*K184/B184,0)*B184)))</f>
        <v>0.01</v>
      </c>
      <c r="L185" s="29">
        <f t="shared" ref="L185" si="272">IF(D185="BUY",I185+(R185*B185),I185-(R185*B185))</f>
        <v>-8.9999999999999998E-4</v>
      </c>
      <c r="M185" s="29">
        <f>IF(D184="BUY",E184+(ROUND(F184*M184/B184,0)*B184),E184-(ROUND(F184*M184/B184,0)*B184))</f>
        <v>-0.01</v>
      </c>
      <c r="N185" s="29">
        <f>IF(D184="BUY",E184-(ROUND(F184*N184/B184,0)*B184),E184+(ROUND(F184*N184/B184,0)*B184))</f>
        <v>0.01</v>
      </c>
      <c r="O185" s="31">
        <f>IF(D185="BUY",N185-VLOOKUP(A185,Symbols!A$1:D$1000,4,FALSE),N185+VLOOKUP(A185,Symbols!A$1:D$1000,4,FALSE))</f>
        <v>1.3000000000000001E-2</v>
      </c>
      <c r="P185" s="29">
        <f>P184</f>
        <v>1</v>
      </c>
      <c r="Q185" s="29">
        <f>Q184</f>
        <v>100</v>
      </c>
      <c r="R185" s="29">
        <f>R184</f>
        <v>10</v>
      </c>
      <c r="S185" s="29">
        <f>S184</f>
        <v>2</v>
      </c>
      <c r="T185" s="29">
        <f>T184</f>
        <v>1</v>
      </c>
      <c r="U185" s="29">
        <f>DATEDIF(DATE(1970,1,1),U184,"D")*86400</f>
        <v>1483660800</v>
      </c>
      <c r="V185" s="29">
        <f>HOUR(V184)*3600+MINUTE(V184)*60+SECOND(V184)</f>
        <v>26100</v>
      </c>
      <c r="W185" s="29">
        <f>DATEDIF(DATE(1970,1,1),W184,"D")*86400</f>
        <v>1502928000</v>
      </c>
      <c r="X185" s="29">
        <f>HOUR(X184)*3600+MINUTE(X184)*60+SECOND(X184)</f>
        <v>56400</v>
      </c>
      <c r="Y185" s="31">
        <f>(Y184*B185)</f>
        <v>2.8E-3</v>
      </c>
      <c r="Z185" s="29">
        <f>Z184</f>
        <v>1</v>
      </c>
      <c r="AA185" s="29">
        <f>DATEDIF(DATE(1970,1,1),AA184,"D")*86400</f>
        <v>1502928000</v>
      </c>
      <c r="AB185" s="29">
        <f>HOUR(AB184)*3600+MINUTE(AB184)*60+SECOND(AB184)</f>
        <v>56460</v>
      </c>
      <c r="AC185" s="29">
        <f>AC184</f>
        <v>1</v>
      </c>
    </row>
    <row r="186" spans="1:29">
      <c r="A186" s="23" t="str">
        <f>Parameters!A94</f>
        <v>6AM7</v>
      </c>
      <c r="B186" s="23">
        <f>Parameters!B94</f>
        <v>1E-4</v>
      </c>
      <c r="C186" s="24">
        <f>Parameters!C94</f>
        <v>2</v>
      </c>
      <c r="D186" s="24" t="str">
        <f>Parameters!D94</f>
        <v>SELL</v>
      </c>
      <c r="E186" s="23">
        <f>Parameters!E94</f>
        <v>0</v>
      </c>
      <c r="F186" s="23">
        <f>Parameters!F94</f>
        <v>0.01</v>
      </c>
      <c r="G186" s="25">
        <f>Parameters!G94</f>
        <v>0.02</v>
      </c>
      <c r="H186" s="25">
        <f>Parameters!H94</f>
        <v>0</v>
      </c>
      <c r="I186" s="25">
        <f>Parameters!I94</f>
        <v>0</v>
      </c>
      <c r="J186" s="25">
        <f>Parameters!J94</f>
        <v>1</v>
      </c>
      <c r="K186" s="25">
        <f>Parameters!K94</f>
        <v>1</v>
      </c>
      <c r="L186" s="26">
        <f t="shared" ref="L186" si="273">L187</f>
        <v>-8.0000000000000004E-4</v>
      </c>
      <c r="M186" s="25">
        <f>Parameters!L94</f>
        <v>1</v>
      </c>
      <c r="N186" s="25">
        <f>Parameters!M94</f>
        <v>1</v>
      </c>
      <c r="O186" s="26">
        <f t="shared" ref="O186" si="274">O187</f>
        <v>1.3000000000000001E-2</v>
      </c>
      <c r="P186" s="23">
        <f>Parameters!N94</f>
        <v>1</v>
      </c>
      <c r="Q186" s="23">
        <f>Parameters!O94</f>
        <v>100</v>
      </c>
      <c r="R186" s="23">
        <f>Parameters!P94</f>
        <v>10</v>
      </c>
      <c r="S186" s="23">
        <f>Parameters!Q94</f>
        <v>2</v>
      </c>
      <c r="T186" s="23">
        <f>Parameters!R94</f>
        <v>1</v>
      </c>
      <c r="U186" s="27">
        <f>Parameters!S94</f>
        <v>42741</v>
      </c>
      <c r="V186" s="28">
        <f>Parameters!T94</f>
        <v>0.30208333333333331</v>
      </c>
      <c r="W186" s="27">
        <f>Parameters!U94</f>
        <v>42964</v>
      </c>
      <c r="X186" s="28">
        <f>Parameters!V94</f>
        <v>0.65277777777777779</v>
      </c>
      <c r="Y186" s="25">
        <f>Parameters!W94</f>
        <v>28</v>
      </c>
      <c r="Z186" s="23">
        <f>Parameters!X94</f>
        <v>1</v>
      </c>
      <c r="AA186" s="27">
        <f>Parameters!Y94</f>
        <v>42964</v>
      </c>
      <c r="AB186" s="28">
        <f>Parameters!Z94</f>
        <v>0.65347222222222223</v>
      </c>
      <c r="AC186" s="23">
        <f>Parameters!AA94</f>
        <v>1</v>
      </c>
    </row>
    <row r="187" spans="1:29">
      <c r="A187" s="29" t="str">
        <f>UPPER(A186)</f>
        <v>6AM7</v>
      </c>
      <c r="B187" s="29">
        <f>B186</f>
        <v>1E-4</v>
      </c>
      <c r="C187" s="30">
        <f>C186</f>
        <v>2</v>
      </c>
      <c r="D187" s="30" t="str">
        <f>D186</f>
        <v>SELL</v>
      </c>
      <c r="E187" s="29">
        <f>E186</f>
        <v>0</v>
      </c>
      <c r="F187" s="29">
        <f>F186</f>
        <v>0.01</v>
      </c>
      <c r="G187" s="29">
        <f>IF(C186=1,IF(D186="BUY",E186+(ROUND(F186*G186/B186,0)*B186),E186-(ROUND(F186*G186/B186,0)*B186)),IF(D186="BUY",E186-(ROUND(F186*G186/B186,0)*B186),E186+(ROUND(F186*G186/B186,0)*B186)))</f>
        <v>2.0000000000000001E-4</v>
      </c>
      <c r="H187" s="29">
        <f>IF(C186=1,IF(D186="BUY",G187-(ROUND(F186*H186/B186,0)*B186),G187+(ROUND(F186*H186/B186,0)*B186)),IF(D186="BUY",G187+(ROUND(F186*H186/B186,0)*B186),G187-(ROUND(F186*H186/B186,0)*B186)))</f>
        <v>2.0000000000000001E-4</v>
      </c>
      <c r="I187" s="29">
        <f>IF(D186="BUY",G187+(ROUND(F186*I186/(B186*100),0)*B186),G187-(ROUND(F186*I186/(B186*100),0)*B186))</f>
        <v>2.0000000000000001E-4</v>
      </c>
      <c r="J187" s="29">
        <f>IF(C186=1,IF(D186="BUY",E186+(ROUND(F186*J186/B186,0)*B186),E186-(ROUND(F186*J186/B186,0)*B186)),IF(D186="BUY",E186-(ROUND(F186*J186/B186,0)*B186),E186+(ROUND(F186*J186/B186,0)*B186)))</f>
        <v>0.01</v>
      </c>
      <c r="K187" s="29">
        <f>IF(C186=1,IF(D186="BUY",E186-(ROUND(F186*K186/B186,0)*B186),E186+(ROUND(F186*K186/B186,0)*B186)),IF(D186="BUY",E186-(ROUND(F186*K186/B186,0)*B186),E186+(ROUND(F186*K186/B186,0)*B186)))</f>
        <v>0.01</v>
      </c>
      <c r="L187" s="29">
        <f t="shared" ref="L187" si="275">IF(D187="BUY",I187+(R187*B187),I187-(R187*B187))</f>
        <v>-8.0000000000000004E-4</v>
      </c>
      <c r="M187" s="29">
        <f>IF(D186="BUY",E186+(ROUND(F186*M186/B186,0)*B186),E186-(ROUND(F186*M186/B186,0)*B186))</f>
        <v>-0.01</v>
      </c>
      <c r="N187" s="29">
        <f>IF(D186="BUY",E186-(ROUND(F186*N186/B186,0)*B186),E186+(ROUND(F186*N186/B186,0)*B186))</f>
        <v>0.01</v>
      </c>
      <c r="O187" s="31">
        <f>IF(D187="BUY",N187-VLOOKUP(A187,Symbols!A$1:D$1000,4,FALSE),N187+VLOOKUP(A187,Symbols!A$1:D$1000,4,FALSE))</f>
        <v>1.3000000000000001E-2</v>
      </c>
      <c r="P187" s="29">
        <f>P186</f>
        <v>1</v>
      </c>
      <c r="Q187" s="29">
        <f>Q186</f>
        <v>100</v>
      </c>
      <c r="R187" s="29">
        <f>R186</f>
        <v>10</v>
      </c>
      <c r="S187" s="29">
        <f>S186</f>
        <v>2</v>
      </c>
      <c r="T187" s="29">
        <f>T186</f>
        <v>1</v>
      </c>
      <c r="U187" s="29">
        <f>DATEDIF(DATE(1970,1,1),U186,"D")*86400</f>
        <v>1483660800</v>
      </c>
      <c r="V187" s="29">
        <f>HOUR(V186)*3600+MINUTE(V186)*60+SECOND(V186)</f>
        <v>26100</v>
      </c>
      <c r="W187" s="29">
        <f>DATEDIF(DATE(1970,1,1),W186,"D")*86400</f>
        <v>1502928000</v>
      </c>
      <c r="X187" s="29">
        <f>HOUR(X186)*3600+MINUTE(X186)*60+SECOND(X186)</f>
        <v>56400</v>
      </c>
      <c r="Y187" s="31">
        <f>(Y186*B187)</f>
        <v>2.8E-3</v>
      </c>
      <c r="Z187" s="29">
        <f>Z186</f>
        <v>1</v>
      </c>
      <c r="AA187" s="29">
        <f>DATEDIF(DATE(1970,1,1),AA186,"D")*86400</f>
        <v>1502928000</v>
      </c>
      <c r="AB187" s="29">
        <f>HOUR(AB186)*3600+MINUTE(AB186)*60+SECOND(AB186)</f>
        <v>56460</v>
      </c>
      <c r="AC187" s="29">
        <f>AC186</f>
        <v>1</v>
      </c>
    </row>
    <row r="188" spans="1:29">
      <c r="A188" s="23" t="str">
        <f>Parameters!A95</f>
        <v>6AM7</v>
      </c>
      <c r="B188" s="23">
        <f>Parameters!B95</f>
        <v>1E-4</v>
      </c>
      <c r="C188" s="24">
        <f>Parameters!C95</f>
        <v>2</v>
      </c>
      <c r="D188" s="24" t="str">
        <f>Parameters!D95</f>
        <v>SELL</v>
      </c>
      <c r="E188" s="23">
        <f>Parameters!E95</f>
        <v>0</v>
      </c>
      <c r="F188" s="23">
        <f>Parameters!F95</f>
        <v>0.01</v>
      </c>
      <c r="G188" s="25">
        <f>Parameters!G95</f>
        <v>0.03</v>
      </c>
      <c r="H188" s="25">
        <f>Parameters!H95</f>
        <v>0</v>
      </c>
      <c r="I188" s="25">
        <f>Parameters!I95</f>
        <v>0</v>
      </c>
      <c r="J188" s="25">
        <f>Parameters!J95</f>
        <v>1</v>
      </c>
      <c r="K188" s="25">
        <f>Parameters!K95</f>
        <v>1</v>
      </c>
      <c r="L188" s="26">
        <f t="shared" ref="L188" si="276">L189</f>
        <v>-6.9999999999999999E-4</v>
      </c>
      <c r="M188" s="25">
        <f>Parameters!L95</f>
        <v>1</v>
      </c>
      <c r="N188" s="25">
        <f>Parameters!M95</f>
        <v>1</v>
      </c>
      <c r="O188" s="26">
        <f t="shared" ref="O188" si="277">O189</f>
        <v>1.3000000000000001E-2</v>
      </c>
      <c r="P188" s="23">
        <f>Parameters!N95</f>
        <v>1</v>
      </c>
      <c r="Q188" s="23">
        <f>Parameters!O95</f>
        <v>100</v>
      </c>
      <c r="R188" s="23">
        <f>Parameters!P95</f>
        <v>10</v>
      </c>
      <c r="S188" s="23">
        <f>Parameters!Q95</f>
        <v>2</v>
      </c>
      <c r="T188" s="23">
        <f>Parameters!R95</f>
        <v>1</v>
      </c>
      <c r="U188" s="27">
        <f>Parameters!S95</f>
        <v>42741</v>
      </c>
      <c r="V188" s="28">
        <f>Parameters!T95</f>
        <v>0.30208333333333331</v>
      </c>
      <c r="W188" s="27">
        <f>Parameters!U95</f>
        <v>42964</v>
      </c>
      <c r="X188" s="28">
        <f>Parameters!V95</f>
        <v>0.65277777777777779</v>
      </c>
      <c r="Y188" s="25">
        <f>Parameters!W95</f>
        <v>28</v>
      </c>
      <c r="Z188" s="23">
        <f>Parameters!X95</f>
        <v>1</v>
      </c>
      <c r="AA188" s="27">
        <f>Parameters!Y95</f>
        <v>42964</v>
      </c>
      <c r="AB188" s="28">
        <f>Parameters!Z95</f>
        <v>0.65347222222222223</v>
      </c>
      <c r="AC188" s="23">
        <f>Parameters!AA95</f>
        <v>1</v>
      </c>
    </row>
    <row r="189" spans="1:29">
      <c r="A189" s="29" t="str">
        <f>UPPER(A188)</f>
        <v>6AM7</v>
      </c>
      <c r="B189" s="29">
        <f>B188</f>
        <v>1E-4</v>
      </c>
      <c r="C189" s="30">
        <f>C188</f>
        <v>2</v>
      </c>
      <c r="D189" s="30" t="str">
        <f>D188</f>
        <v>SELL</v>
      </c>
      <c r="E189" s="29">
        <f>E188</f>
        <v>0</v>
      </c>
      <c r="F189" s="29">
        <f>F188</f>
        <v>0.01</v>
      </c>
      <c r="G189" s="29">
        <f>IF(C188=1,IF(D188="BUY",E188+(ROUND(F188*G188/B188,0)*B188),E188-(ROUND(F188*G188/B188,0)*B188)),IF(D188="BUY",E188-(ROUND(F188*G188/B188,0)*B188),E188+(ROUND(F188*G188/B188,0)*B188)))</f>
        <v>3.0000000000000003E-4</v>
      </c>
      <c r="H189" s="29">
        <f>IF(C188=1,IF(D188="BUY",G189-(ROUND(F188*H188/B188,0)*B188),G189+(ROUND(F188*H188/B188,0)*B188)),IF(D188="BUY",G189+(ROUND(F188*H188/B188,0)*B188),G189-(ROUND(F188*H188/B188,0)*B188)))</f>
        <v>3.0000000000000003E-4</v>
      </c>
      <c r="I189" s="29">
        <f>IF(D188="BUY",G189+(ROUND(F188*I188/(B188*100),0)*B188),G189-(ROUND(F188*I188/(B188*100),0)*B188))</f>
        <v>3.0000000000000003E-4</v>
      </c>
      <c r="J189" s="29">
        <f>IF(C188=1,IF(D188="BUY",E188+(ROUND(F188*J188/B188,0)*B188),E188-(ROUND(F188*J188/B188,0)*B188)),IF(D188="BUY",E188-(ROUND(F188*J188/B188,0)*B188),E188+(ROUND(F188*J188/B188,0)*B188)))</f>
        <v>0.01</v>
      </c>
      <c r="K189" s="29">
        <f>IF(C188=1,IF(D188="BUY",E188-(ROUND(F188*K188/B188,0)*B188),E188+(ROUND(F188*K188/B188,0)*B188)),IF(D188="BUY",E188-(ROUND(F188*K188/B188,0)*B188),E188+(ROUND(F188*K188/B188,0)*B188)))</f>
        <v>0.01</v>
      </c>
      <c r="L189" s="29">
        <f t="shared" ref="L189" si="278">IF(D189="BUY",I189+(R189*B189),I189-(R189*B189))</f>
        <v>-6.9999999999999999E-4</v>
      </c>
      <c r="M189" s="29">
        <f>IF(D188="BUY",E188+(ROUND(F188*M188/B188,0)*B188),E188-(ROUND(F188*M188/B188,0)*B188))</f>
        <v>-0.01</v>
      </c>
      <c r="N189" s="29">
        <f>IF(D188="BUY",E188-(ROUND(F188*N188/B188,0)*B188),E188+(ROUND(F188*N188/B188,0)*B188))</f>
        <v>0.01</v>
      </c>
      <c r="O189" s="31">
        <f>IF(D189="BUY",N189-VLOOKUP(A189,Symbols!A$1:D$1000,4,FALSE),N189+VLOOKUP(A189,Symbols!A$1:D$1000,4,FALSE))</f>
        <v>1.3000000000000001E-2</v>
      </c>
      <c r="P189" s="29">
        <f>P188</f>
        <v>1</v>
      </c>
      <c r="Q189" s="29">
        <f>Q188</f>
        <v>100</v>
      </c>
      <c r="R189" s="29">
        <f>R188</f>
        <v>10</v>
      </c>
      <c r="S189" s="29">
        <f>S188</f>
        <v>2</v>
      </c>
      <c r="T189" s="29">
        <f>T188</f>
        <v>1</v>
      </c>
      <c r="U189" s="29">
        <f>DATEDIF(DATE(1970,1,1),U188,"D")*86400</f>
        <v>1483660800</v>
      </c>
      <c r="V189" s="29">
        <f>HOUR(V188)*3600+MINUTE(V188)*60+SECOND(V188)</f>
        <v>26100</v>
      </c>
      <c r="W189" s="29">
        <f>DATEDIF(DATE(1970,1,1),W188,"D")*86400</f>
        <v>1502928000</v>
      </c>
      <c r="X189" s="29">
        <f>HOUR(X188)*3600+MINUTE(X188)*60+SECOND(X188)</f>
        <v>56400</v>
      </c>
      <c r="Y189" s="31">
        <f>(Y188*B189)</f>
        <v>2.8E-3</v>
      </c>
      <c r="Z189" s="29">
        <f>Z188</f>
        <v>1</v>
      </c>
      <c r="AA189" s="29">
        <f>DATEDIF(DATE(1970,1,1),AA188,"D")*86400</f>
        <v>1502928000</v>
      </c>
      <c r="AB189" s="29">
        <f>HOUR(AB188)*3600+MINUTE(AB188)*60+SECOND(AB188)</f>
        <v>56460</v>
      </c>
      <c r="AC189" s="29">
        <f>AC188</f>
        <v>1</v>
      </c>
    </row>
    <row r="190" spans="1:29">
      <c r="A190" s="23" t="str">
        <f>Parameters!A96</f>
        <v>6AM7</v>
      </c>
      <c r="B190" s="23">
        <f>Parameters!B96</f>
        <v>1E-4</v>
      </c>
      <c r="C190" s="24">
        <f>Parameters!C96</f>
        <v>2</v>
      </c>
      <c r="D190" s="24" t="str">
        <f>Parameters!D96</f>
        <v>SELL</v>
      </c>
      <c r="E190" s="23">
        <f>Parameters!E96</f>
        <v>0</v>
      </c>
      <c r="F190" s="23">
        <f>Parameters!F96</f>
        <v>0.01</v>
      </c>
      <c r="G190" s="25">
        <f>Parameters!G96</f>
        <v>0.04</v>
      </c>
      <c r="H190" s="25">
        <f>Parameters!H96</f>
        <v>0</v>
      </c>
      <c r="I190" s="25">
        <f>Parameters!I96</f>
        <v>0</v>
      </c>
      <c r="J190" s="25">
        <f>Parameters!J96</f>
        <v>1</v>
      </c>
      <c r="K190" s="25">
        <f>Parameters!K96</f>
        <v>1</v>
      </c>
      <c r="L190" s="26">
        <f t="shared" ref="L190" si="279">L191</f>
        <v>-6.0000000000000006E-4</v>
      </c>
      <c r="M190" s="25">
        <f>Parameters!L96</f>
        <v>1</v>
      </c>
      <c r="N190" s="25">
        <f>Parameters!M96</f>
        <v>1</v>
      </c>
      <c r="O190" s="26">
        <f t="shared" ref="O190" si="280">O191</f>
        <v>1.3000000000000001E-2</v>
      </c>
      <c r="P190" s="23">
        <f>Parameters!N96</f>
        <v>1</v>
      </c>
      <c r="Q190" s="23">
        <f>Parameters!O96</f>
        <v>100</v>
      </c>
      <c r="R190" s="23">
        <f>Parameters!P96</f>
        <v>10</v>
      </c>
      <c r="S190" s="23">
        <f>Parameters!Q96</f>
        <v>2</v>
      </c>
      <c r="T190" s="23">
        <f>Parameters!R96</f>
        <v>1</v>
      </c>
      <c r="U190" s="27">
        <f>Parameters!S96</f>
        <v>42741</v>
      </c>
      <c r="V190" s="28">
        <f>Parameters!T96</f>
        <v>0.30208333333333331</v>
      </c>
      <c r="W190" s="27">
        <f>Parameters!U96</f>
        <v>42964</v>
      </c>
      <c r="X190" s="28">
        <f>Parameters!V96</f>
        <v>0.65277777777777779</v>
      </c>
      <c r="Y190" s="25">
        <f>Parameters!W96</f>
        <v>28</v>
      </c>
      <c r="Z190" s="23">
        <f>Parameters!X96</f>
        <v>1</v>
      </c>
      <c r="AA190" s="27">
        <f>Parameters!Y96</f>
        <v>42964</v>
      </c>
      <c r="AB190" s="28">
        <f>Parameters!Z96</f>
        <v>0.65347222222222223</v>
      </c>
      <c r="AC190" s="23">
        <f>Parameters!AA96</f>
        <v>1</v>
      </c>
    </row>
    <row r="191" spans="1:29">
      <c r="A191" s="29" t="str">
        <f>UPPER(A190)</f>
        <v>6AM7</v>
      </c>
      <c r="B191" s="29">
        <f>B190</f>
        <v>1E-4</v>
      </c>
      <c r="C191" s="30">
        <f>C190</f>
        <v>2</v>
      </c>
      <c r="D191" s="30" t="str">
        <f>D190</f>
        <v>SELL</v>
      </c>
      <c r="E191" s="29">
        <f>E190</f>
        <v>0</v>
      </c>
      <c r="F191" s="29">
        <f>F190</f>
        <v>0.01</v>
      </c>
      <c r="G191" s="29">
        <f>IF(C190=1,IF(D190="BUY",E190+(ROUND(F190*G190/B190,0)*B190),E190-(ROUND(F190*G190/B190,0)*B190)),IF(D190="BUY",E190-(ROUND(F190*G190/B190,0)*B190),E190+(ROUND(F190*G190/B190,0)*B190)))</f>
        <v>4.0000000000000002E-4</v>
      </c>
      <c r="H191" s="29">
        <f>IF(C190=1,IF(D190="BUY",G191-(ROUND(F190*H190/B190,0)*B190),G191+(ROUND(F190*H190/B190,0)*B190)),IF(D190="BUY",G191+(ROUND(F190*H190/B190,0)*B190),G191-(ROUND(F190*H190/B190,0)*B190)))</f>
        <v>4.0000000000000002E-4</v>
      </c>
      <c r="I191" s="29">
        <f>IF(D190="BUY",G191+(ROUND(F190*I190/(B190*100),0)*B190),G191-(ROUND(F190*I190/(B190*100),0)*B190))</f>
        <v>4.0000000000000002E-4</v>
      </c>
      <c r="J191" s="29">
        <f>IF(C190=1,IF(D190="BUY",E190+(ROUND(F190*J190/B190,0)*B190),E190-(ROUND(F190*J190/B190,0)*B190)),IF(D190="BUY",E190-(ROUND(F190*J190/B190,0)*B190),E190+(ROUND(F190*J190/B190,0)*B190)))</f>
        <v>0.01</v>
      </c>
      <c r="K191" s="29">
        <f>IF(C190=1,IF(D190="BUY",E190-(ROUND(F190*K190/B190,0)*B190),E190+(ROUND(F190*K190/B190,0)*B190)),IF(D190="BUY",E190-(ROUND(F190*K190/B190,0)*B190),E190+(ROUND(F190*K190/B190,0)*B190)))</f>
        <v>0.01</v>
      </c>
      <c r="L191" s="29">
        <f t="shared" ref="L191" si="281">IF(D191="BUY",I191+(R191*B191),I191-(R191*B191))</f>
        <v>-6.0000000000000006E-4</v>
      </c>
      <c r="M191" s="29">
        <f>IF(D190="BUY",E190+(ROUND(F190*M190/B190,0)*B190),E190-(ROUND(F190*M190/B190,0)*B190))</f>
        <v>-0.01</v>
      </c>
      <c r="N191" s="29">
        <f>IF(D190="BUY",E190-(ROUND(F190*N190/B190,0)*B190),E190+(ROUND(F190*N190/B190,0)*B190))</f>
        <v>0.01</v>
      </c>
      <c r="O191" s="31">
        <f>IF(D191="BUY",N191-VLOOKUP(A191,Symbols!A$1:D$1000,4,FALSE),N191+VLOOKUP(A191,Symbols!A$1:D$1000,4,FALSE))</f>
        <v>1.3000000000000001E-2</v>
      </c>
      <c r="P191" s="29">
        <f>P190</f>
        <v>1</v>
      </c>
      <c r="Q191" s="29">
        <f>Q190</f>
        <v>100</v>
      </c>
      <c r="R191" s="29">
        <f>R190</f>
        <v>10</v>
      </c>
      <c r="S191" s="29">
        <f>S190</f>
        <v>2</v>
      </c>
      <c r="T191" s="29">
        <f>T190</f>
        <v>1</v>
      </c>
      <c r="U191" s="29">
        <f>DATEDIF(DATE(1970,1,1),U190,"D")*86400</f>
        <v>1483660800</v>
      </c>
      <c r="V191" s="29">
        <f>HOUR(V190)*3600+MINUTE(V190)*60+SECOND(V190)</f>
        <v>26100</v>
      </c>
      <c r="W191" s="29">
        <f>DATEDIF(DATE(1970,1,1),W190,"D")*86400</f>
        <v>1502928000</v>
      </c>
      <c r="X191" s="29">
        <f>HOUR(X190)*3600+MINUTE(X190)*60+SECOND(X190)</f>
        <v>56400</v>
      </c>
      <c r="Y191" s="31">
        <f>(Y190*B191)</f>
        <v>2.8E-3</v>
      </c>
      <c r="Z191" s="29">
        <f>Z190</f>
        <v>1</v>
      </c>
      <c r="AA191" s="29">
        <f>DATEDIF(DATE(1970,1,1),AA190,"D")*86400</f>
        <v>1502928000</v>
      </c>
      <c r="AB191" s="29">
        <f>HOUR(AB190)*3600+MINUTE(AB190)*60+SECOND(AB190)</f>
        <v>56460</v>
      </c>
      <c r="AC191" s="29">
        <f>AC190</f>
        <v>1</v>
      </c>
    </row>
    <row r="192" spans="1:29">
      <c r="A192" s="23" t="str">
        <f>Parameters!A97</f>
        <v>6AM7</v>
      </c>
      <c r="B192" s="23">
        <f>Parameters!B97</f>
        <v>1E-4</v>
      </c>
      <c r="C192" s="24">
        <f>Parameters!C97</f>
        <v>2</v>
      </c>
      <c r="D192" s="24" t="str">
        <f>Parameters!D97</f>
        <v>SELL</v>
      </c>
      <c r="E192" s="23">
        <f>Parameters!E97</f>
        <v>0</v>
      </c>
      <c r="F192" s="23">
        <f>Parameters!F97</f>
        <v>0.01</v>
      </c>
      <c r="G192" s="25">
        <f>Parameters!G97</f>
        <v>0.05</v>
      </c>
      <c r="H192" s="25">
        <f>Parameters!H97</f>
        <v>0</v>
      </c>
      <c r="I192" s="25">
        <f>Parameters!I97</f>
        <v>0</v>
      </c>
      <c r="J192" s="25">
        <f>Parameters!J97</f>
        <v>1</v>
      </c>
      <c r="K192" s="25">
        <f>Parameters!K97</f>
        <v>1</v>
      </c>
      <c r="L192" s="26">
        <f t="shared" ref="L192" si="282">L193</f>
        <v>-5.0000000000000001E-4</v>
      </c>
      <c r="M192" s="25">
        <f>Parameters!L97</f>
        <v>1</v>
      </c>
      <c r="N192" s="25">
        <f>Parameters!M97</f>
        <v>1</v>
      </c>
      <c r="O192" s="26">
        <f t="shared" ref="O192" si="283">O193</f>
        <v>1.3000000000000001E-2</v>
      </c>
      <c r="P192" s="23">
        <f>Parameters!N97</f>
        <v>1</v>
      </c>
      <c r="Q192" s="23">
        <f>Parameters!O97</f>
        <v>100</v>
      </c>
      <c r="R192" s="23">
        <f>Parameters!P97</f>
        <v>10</v>
      </c>
      <c r="S192" s="23">
        <f>Parameters!Q97</f>
        <v>2</v>
      </c>
      <c r="T192" s="23">
        <f>Parameters!R97</f>
        <v>1</v>
      </c>
      <c r="U192" s="27">
        <f>Parameters!S97</f>
        <v>42741</v>
      </c>
      <c r="V192" s="28">
        <f>Parameters!T97</f>
        <v>0.30208333333333331</v>
      </c>
      <c r="W192" s="27">
        <f>Parameters!U97</f>
        <v>42964</v>
      </c>
      <c r="X192" s="28">
        <f>Parameters!V97</f>
        <v>0.65277777777777779</v>
      </c>
      <c r="Y192" s="25">
        <f>Parameters!W97</f>
        <v>28</v>
      </c>
      <c r="Z192" s="23">
        <f>Parameters!X97</f>
        <v>1</v>
      </c>
      <c r="AA192" s="27">
        <f>Parameters!Y97</f>
        <v>42964</v>
      </c>
      <c r="AB192" s="28">
        <f>Parameters!Z97</f>
        <v>0.65347222222222223</v>
      </c>
      <c r="AC192" s="23">
        <f>Parameters!AA97</f>
        <v>1</v>
      </c>
    </row>
    <row r="193" spans="1:29">
      <c r="A193" s="29" t="str">
        <f>UPPER(A192)</f>
        <v>6AM7</v>
      </c>
      <c r="B193" s="29">
        <f>B192</f>
        <v>1E-4</v>
      </c>
      <c r="C193" s="30">
        <f>C192</f>
        <v>2</v>
      </c>
      <c r="D193" s="30" t="str">
        <f>D192</f>
        <v>SELL</v>
      </c>
      <c r="E193" s="29">
        <f>E192</f>
        <v>0</v>
      </c>
      <c r="F193" s="29">
        <f>F192</f>
        <v>0.01</v>
      </c>
      <c r="G193" s="29">
        <f>IF(C192=1,IF(D192="BUY",E192+(ROUND(F192*G192/B192,0)*B192),E192-(ROUND(F192*G192/B192,0)*B192)),IF(D192="BUY",E192-(ROUND(F192*G192/B192,0)*B192),E192+(ROUND(F192*G192/B192,0)*B192)))</f>
        <v>5.0000000000000001E-4</v>
      </c>
      <c r="H193" s="29">
        <f>IF(C192=1,IF(D192="BUY",G193-(ROUND(F192*H192/B192,0)*B192),G193+(ROUND(F192*H192/B192,0)*B192)),IF(D192="BUY",G193+(ROUND(F192*H192/B192,0)*B192),G193-(ROUND(F192*H192/B192,0)*B192)))</f>
        <v>5.0000000000000001E-4</v>
      </c>
      <c r="I193" s="29">
        <f>IF(D192="BUY",G193+(ROUND(F192*I192/(B192*100),0)*B192),G193-(ROUND(F192*I192/(B192*100),0)*B192))</f>
        <v>5.0000000000000001E-4</v>
      </c>
      <c r="J193" s="29">
        <f>IF(C192=1,IF(D192="BUY",E192+(ROUND(F192*J192/B192,0)*B192),E192-(ROUND(F192*J192/B192,0)*B192)),IF(D192="BUY",E192-(ROUND(F192*J192/B192,0)*B192),E192+(ROUND(F192*J192/B192,0)*B192)))</f>
        <v>0.01</v>
      </c>
      <c r="K193" s="29">
        <f>IF(C192=1,IF(D192="BUY",E192-(ROUND(F192*K192/B192,0)*B192),E192+(ROUND(F192*K192/B192,0)*B192)),IF(D192="BUY",E192-(ROUND(F192*K192/B192,0)*B192),E192+(ROUND(F192*K192/B192,0)*B192)))</f>
        <v>0.01</v>
      </c>
      <c r="L193" s="29">
        <f t="shared" ref="L193" si="284">IF(D193="BUY",I193+(R193*B193),I193-(R193*B193))</f>
        <v>-5.0000000000000001E-4</v>
      </c>
      <c r="M193" s="29">
        <f>IF(D192="BUY",E192+(ROUND(F192*M192/B192,0)*B192),E192-(ROUND(F192*M192/B192,0)*B192))</f>
        <v>-0.01</v>
      </c>
      <c r="N193" s="29">
        <f>IF(D192="BUY",E192-(ROUND(F192*N192/B192,0)*B192),E192+(ROUND(F192*N192/B192,0)*B192))</f>
        <v>0.01</v>
      </c>
      <c r="O193" s="31">
        <f>IF(D193="BUY",N193-VLOOKUP(A193,Symbols!A$1:D$1000,4,FALSE),N193+VLOOKUP(A193,Symbols!A$1:D$1000,4,FALSE))</f>
        <v>1.3000000000000001E-2</v>
      </c>
      <c r="P193" s="29">
        <f>P192</f>
        <v>1</v>
      </c>
      <c r="Q193" s="29">
        <f>Q192</f>
        <v>100</v>
      </c>
      <c r="R193" s="29">
        <f>R192</f>
        <v>10</v>
      </c>
      <c r="S193" s="29">
        <f>S192</f>
        <v>2</v>
      </c>
      <c r="T193" s="29">
        <f>T192</f>
        <v>1</v>
      </c>
      <c r="U193" s="29">
        <f>DATEDIF(DATE(1970,1,1),U192,"D")*86400</f>
        <v>1483660800</v>
      </c>
      <c r="V193" s="29">
        <f>HOUR(V192)*3600+MINUTE(V192)*60+SECOND(V192)</f>
        <v>26100</v>
      </c>
      <c r="W193" s="29">
        <f>DATEDIF(DATE(1970,1,1),W192,"D")*86400</f>
        <v>1502928000</v>
      </c>
      <c r="X193" s="29">
        <f>HOUR(X192)*3600+MINUTE(X192)*60+SECOND(X192)</f>
        <v>56400</v>
      </c>
      <c r="Y193" s="31">
        <f>(Y192*B193)</f>
        <v>2.8E-3</v>
      </c>
      <c r="Z193" s="29">
        <f>Z192</f>
        <v>1</v>
      </c>
      <c r="AA193" s="29">
        <f>DATEDIF(DATE(1970,1,1),AA192,"D")*86400</f>
        <v>1502928000</v>
      </c>
      <c r="AB193" s="29">
        <f>HOUR(AB192)*3600+MINUTE(AB192)*60+SECOND(AB192)</f>
        <v>56460</v>
      </c>
      <c r="AC193" s="29">
        <f>AC192</f>
        <v>1</v>
      </c>
    </row>
    <row r="194" spans="1:29">
      <c r="A194" s="23" t="str">
        <f>Parameters!A98</f>
        <v>6AM7</v>
      </c>
      <c r="B194" s="23">
        <f>Parameters!B98</f>
        <v>1E-4</v>
      </c>
      <c r="C194" s="24">
        <f>Parameters!C98</f>
        <v>2</v>
      </c>
      <c r="D194" s="24" t="str">
        <f>Parameters!D98</f>
        <v>SELL</v>
      </c>
      <c r="E194" s="23">
        <f>Parameters!E98</f>
        <v>0</v>
      </c>
      <c r="F194" s="23">
        <f>Parameters!F98</f>
        <v>0.01</v>
      </c>
      <c r="G194" s="25">
        <f>Parameters!G98</f>
        <v>0.06</v>
      </c>
      <c r="H194" s="25">
        <f>Parameters!H98</f>
        <v>0</v>
      </c>
      <c r="I194" s="25">
        <f>Parameters!I98</f>
        <v>0</v>
      </c>
      <c r="J194" s="25">
        <f>Parameters!J98</f>
        <v>1</v>
      </c>
      <c r="K194" s="25">
        <f>Parameters!K98</f>
        <v>1</v>
      </c>
      <c r="L194" s="26">
        <f t="shared" ref="L194" si="285">L195</f>
        <v>-3.9999999999999996E-4</v>
      </c>
      <c r="M194" s="25">
        <f>Parameters!L98</f>
        <v>1</v>
      </c>
      <c r="N194" s="25">
        <f>Parameters!M98</f>
        <v>1</v>
      </c>
      <c r="O194" s="26">
        <f t="shared" ref="O194" si="286">O195</f>
        <v>1.3000000000000001E-2</v>
      </c>
      <c r="P194" s="23">
        <f>Parameters!N98</f>
        <v>1</v>
      </c>
      <c r="Q194" s="23">
        <f>Parameters!O98</f>
        <v>100</v>
      </c>
      <c r="R194" s="23">
        <f>Parameters!P98</f>
        <v>10</v>
      </c>
      <c r="S194" s="23">
        <f>Parameters!Q98</f>
        <v>2</v>
      </c>
      <c r="T194" s="23">
        <f>Parameters!R98</f>
        <v>1</v>
      </c>
      <c r="U194" s="27">
        <f>Parameters!S98</f>
        <v>42741</v>
      </c>
      <c r="V194" s="28">
        <f>Parameters!T98</f>
        <v>0.30208333333333331</v>
      </c>
      <c r="W194" s="27">
        <f>Parameters!U98</f>
        <v>42964</v>
      </c>
      <c r="X194" s="28">
        <f>Parameters!V98</f>
        <v>0.65277777777777779</v>
      </c>
      <c r="Y194" s="25">
        <f>Parameters!W98</f>
        <v>28</v>
      </c>
      <c r="Z194" s="23">
        <f>Parameters!X98</f>
        <v>1</v>
      </c>
      <c r="AA194" s="27">
        <f>Parameters!Y98</f>
        <v>42964</v>
      </c>
      <c r="AB194" s="28">
        <f>Parameters!Z98</f>
        <v>0.65347222222222223</v>
      </c>
      <c r="AC194" s="23">
        <f>Parameters!AA98</f>
        <v>1</v>
      </c>
    </row>
    <row r="195" spans="1:29">
      <c r="A195" s="29" t="str">
        <f>UPPER(A194)</f>
        <v>6AM7</v>
      </c>
      <c r="B195" s="29">
        <f>B194</f>
        <v>1E-4</v>
      </c>
      <c r="C195" s="30">
        <f>C194</f>
        <v>2</v>
      </c>
      <c r="D195" s="30" t="str">
        <f>D194</f>
        <v>SELL</v>
      </c>
      <c r="E195" s="29">
        <f>E194</f>
        <v>0</v>
      </c>
      <c r="F195" s="29">
        <f>F194</f>
        <v>0.01</v>
      </c>
      <c r="G195" s="29">
        <f>IF(C194=1,IF(D194="BUY",E194+(ROUND(F194*G194/B194,0)*B194),E194-(ROUND(F194*G194/B194,0)*B194)),IF(D194="BUY",E194-(ROUND(F194*G194/B194,0)*B194),E194+(ROUND(F194*G194/B194,0)*B194)))</f>
        <v>6.0000000000000006E-4</v>
      </c>
      <c r="H195" s="29">
        <f>IF(C194=1,IF(D194="BUY",G195-(ROUND(F194*H194/B194,0)*B194),G195+(ROUND(F194*H194/B194,0)*B194)),IF(D194="BUY",G195+(ROUND(F194*H194/B194,0)*B194),G195-(ROUND(F194*H194/B194,0)*B194)))</f>
        <v>6.0000000000000006E-4</v>
      </c>
      <c r="I195" s="29">
        <f>IF(D194="BUY",G195+(ROUND(F194*I194/(B194*100),0)*B194),G195-(ROUND(F194*I194/(B194*100),0)*B194))</f>
        <v>6.0000000000000006E-4</v>
      </c>
      <c r="J195" s="29">
        <f>IF(C194=1,IF(D194="BUY",E194+(ROUND(F194*J194/B194,0)*B194),E194-(ROUND(F194*J194/B194,0)*B194)),IF(D194="BUY",E194-(ROUND(F194*J194/B194,0)*B194),E194+(ROUND(F194*J194/B194,0)*B194)))</f>
        <v>0.01</v>
      </c>
      <c r="K195" s="29">
        <f>IF(C194=1,IF(D194="BUY",E194-(ROUND(F194*K194/B194,0)*B194),E194+(ROUND(F194*K194/B194,0)*B194)),IF(D194="BUY",E194-(ROUND(F194*K194/B194,0)*B194),E194+(ROUND(F194*K194/B194,0)*B194)))</f>
        <v>0.01</v>
      </c>
      <c r="L195" s="29">
        <f t="shared" ref="L195" si="287">IF(D195="BUY",I195+(R195*B195),I195-(R195*B195))</f>
        <v>-3.9999999999999996E-4</v>
      </c>
      <c r="M195" s="29">
        <f>IF(D194="BUY",E194+(ROUND(F194*M194/B194,0)*B194),E194-(ROUND(F194*M194/B194,0)*B194))</f>
        <v>-0.01</v>
      </c>
      <c r="N195" s="29">
        <f>IF(D194="BUY",E194-(ROUND(F194*N194/B194,0)*B194),E194+(ROUND(F194*N194/B194,0)*B194))</f>
        <v>0.01</v>
      </c>
      <c r="O195" s="31">
        <f>IF(D195="BUY",N195-VLOOKUP(A195,Symbols!A$1:D$1000,4,FALSE),N195+VLOOKUP(A195,Symbols!A$1:D$1000,4,FALSE))</f>
        <v>1.3000000000000001E-2</v>
      </c>
      <c r="P195" s="29">
        <f>P194</f>
        <v>1</v>
      </c>
      <c r="Q195" s="29">
        <f>Q194</f>
        <v>100</v>
      </c>
      <c r="R195" s="29">
        <f>R194</f>
        <v>10</v>
      </c>
      <c r="S195" s="29">
        <f>S194</f>
        <v>2</v>
      </c>
      <c r="T195" s="29">
        <f>T194</f>
        <v>1</v>
      </c>
      <c r="U195" s="29">
        <f>DATEDIF(DATE(1970,1,1),U194,"D")*86400</f>
        <v>1483660800</v>
      </c>
      <c r="V195" s="29">
        <f>HOUR(V194)*3600+MINUTE(V194)*60+SECOND(V194)</f>
        <v>26100</v>
      </c>
      <c r="W195" s="29">
        <f>DATEDIF(DATE(1970,1,1),W194,"D")*86400</f>
        <v>1502928000</v>
      </c>
      <c r="X195" s="29">
        <f>HOUR(X194)*3600+MINUTE(X194)*60+SECOND(X194)</f>
        <v>56400</v>
      </c>
      <c r="Y195" s="31">
        <f>(Y194*B195)</f>
        <v>2.8E-3</v>
      </c>
      <c r="Z195" s="29">
        <f>Z194</f>
        <v>1</v>
      </c>
      <c r="AA195" s="29">
        <f>DATEDIF(DATE(1970,1,1),AA194,"D")*86400</f>
        <v>1502928000</v>
      </c>
      <c r="AB195" s="29">
        <f>HOUR(AB194)*3600+MINUTE(AB194)*60+SECOND(AB194)</f>
        <v>56460</v>
      </c>
      <c r="AC195" s="29">
        <f>AC194</f>
        <v>1</v>
      </c>
    </row>
    <row r="196" spans="1:29">
      <c r="A196" s="23" t="str">
        <f>Parameters!A99</f>
        <v>6AM7</v>
      </c>
      <c r="B196" s="23">
        <f>Parameters!B99</f>
        <v>1E-4</v>
      </c>
      <c r="C196" s="24">
        <f>Parameters!C99</f>
        <v>2</v>
      </c>
      <c r="D196" s="24" t="str">
        <f>Parameters!D99</f>
        <v>SELL</v>
      </c>
      <c r="E196" s="23">
        <f>Parameters!E99</f>
        <v>0</v>
      </c>
      <c r="F196" s="23">
        <f>Parameters!F99</f>
        <v>0.01</v>
      </c>
      <c r="G196" s="25">
        <f>Parameters!G99</f>
        <v>7.0000000000000007E-2</v>
      </c>
      <c r="H196" s="25">
        <f>Parameters!H99</f>
        <v>0</v>
      </c>
      <c r="I196" s="25">
        <f>Parameters!I99</f>
        <v>0</v>
      </c>
      <c r="J196" s="25">
        <f>Parameters!J99</f>
        <v>1</v>
      </c>
      <c r="K196" s="25">
        <f>Parameters!K99</f>
        <v>1</v>
      </c>
      <c r="L196" s="26">
        <f t="shared" ref="L196" si="288">L197</f>
        <v>-3.0000000000000003E-4</v>
      </c>
      <c r="M196" s="25">
        <f>Parameters!L99</f>
        <v>1</v>
      </c>
      <c r="N196" s="25">
        <f>Parameters!M99</f>
        <v>1</v>
      </c>
      <c r="O196" s="26">
        <f t="shared" ref="O196" si="289">O197</f>
        <v>1.3000000000000001E-2</v>
      </c>
      <c r="P196" s="23">
        <f>Parameters!N99</f>
        <v>1</v>
      </c>
      <c r="Q196" s="23">
        <f>Parameters!O99</f>
        <v>100</v>
      </c>
      <c r="R196" s="23">
        <f>Parameters!P99</f>
        <v>10</v>
      </c>
      <c r="S196" s="23">
        <f>Parameters!Q99</f>
        <v>2</v>
      </c>
      <c r="T196" s="23">
        <f>Parameters!R99</f>
        <v>1</v>
      </c>
      <c r="U196" s="27">
        <f>Parameters!S99</f>
        <v>42741</v>
      </c>
      <c r="V196" s="28">
        <f>Parameters!T99</f>
        <v>0.30208333333333331</v>
      </c>
      <c r="W196" s="27">
        <f>Parameters!U99</f>
        <v>42964</v>
      </c>
      <c r="X196" s="28">
        <f>Parameters!V99</f>
        <v>0.65277777777777779</v>
      </c>
      <c r="Y196" s="25">
        <f>Parameters!W99</f>
        <v>28</v>
      </c>
      <c r="Z196" s="23">
        <f>Parameters!X99</f>
        <v>1</v>
      </c>
      <c r="AA196" s="27">
        <f>Parameters!Y99</f>
        <v>42964</v>
      </c>
      <c r="AB196" s="28">
        <f>Parameters!Z99</f>
        <v>0.65347222222222223</v>
      </c>
      <c r="AC196" s="23">
        <f>Parameters!AA99</f>
        <v>1</v>
      </c>
    </row>
    <row r="197" spans="1:29">
      <c r="A197" s="29" t="str">
        <f>UPPER(A196)</f>
        <v>6AM7</v>
      </c>
      <c r="B197" s="29">
        <f>B196</f>
        <v>1E-4</v>
      </c>
      <c r="C197" s="30">
        <f>C196</f>
        <v>2</v>
      </c>
      <c r="D197" s="30" t="str">
        <f>D196</f>
        <v>SELL</v>
      </c>
      <c r="E197" s="29">
        <f>E196</f>
        <v>0</v>
      </c>
      <c r="F197" s="29">
        <f>F196</f>
        <v>0.01</v>
      </c>
      <c r="G197" s="29">
        <f>IF(C196=1,IF(D196="BUY",E196+(ROUND(F196*G196/B196,0)*B196),E196-(ROUND(F196*G196/B196,0)*B196)),IF(D196="BUY",E196-(ROUND(F196*G196/B196,0)*B196),E196+(ROUND(F196*G196/B196,0)*B196)))</f>
        <v>6.9999999999999999E-4</v>
      </c>
      <c r="H197" s="29">
        <f>IF(C196=1,IF(D196="BUY",G197-(ROUND(F196*H196/B196,0)*B196),G197+(ROUND(F196*H196/B196,0)*B196)),IF(D196="BUY",G197+(ROUND(F196*H196/B196,0)*B196),G197-(ROUND(F196*H196/B196,0)*B196)))</f>
        <v>6.9999999999999999E-4</v>
      </c>
      <c r="I197" s="29">
        <f>IF(D196="BUY",G197+(ROUND(F196*I196/(B196*100),0)*B196),G197-(ROUND(F196*I196/(B196*100),0)*B196))</f>
        <v>6.9999999999999999E-4</v>
      </c>
      <c r="J197" s="29">
        <f>IF(C196=1,IF(D196="BUY",E196+(ROUND(F196*J196/B196,0)*B196),E196-(ROUND(F196*J196/B196,0)*B196)),IF(D196="BUY",E196-(ROUND(F196*J196/B196,0)*B196),E196+(ROUND(F196*J196/B196,0)*B196)))</f>
        <v>0.01</v>
      </c>
      <c r="K197" s="29">
        <f>IF(C196=1,IF(D196="BUY",E196-(ROUND(F196*K196/B196,0)*B196),E196+(ROUND(F196*K196/B196,0)*B196)),IF(D196="BUY",E196-(ROUND(F196*K196/B196,0)*B196),E196+(ROUND(F196*K196/B196,0)*B196)))</f>
        <v>0.01</v>
      </c>
      <c r="L197" s="29">
        <f t="shared" ref="L197" si="290">IF(D197="BUY",I197+(R197*B197),I197-(R197*B197))</f>
        <v>-3.0000000000000003E-4</v>
      </c>
      <c r="M197" s="29">
        <f>IF(D196="BUY",E196+(ROUND(F196*M196/B196,0)*B196),E196-(ROUND(F196*M196/B196,0)*B196))</f>
        <v>-0.01</v>
      </c>
      <c r="N197" s="29">
        <f>IF(D196="BUY",E196-(ROUND(F196*N196/B196,0)*B196),E196+(ROUND(F196*N196/B196,0)*B196))</f>
        <v>0.01</v>
      </c>
      <c r="O197" s="31">
        <f>IF(D197="BUY",N197-VLOOKUP(A197,Symbols!A$1:D$1000,4,FALSE),N197+VLOOKUP(A197,Symbols!A$1:D$1000,4,FALSE))</f>
        <v>1.3000000000000001E-2</v>
      </c>
      <c r="P197" s="29">
        <f>P196</f>
        <v>1</v>
      </c>
      <c r="Q197" s="29">
        <f>Q196</f>
        <v>100</v>
      </c>
      <c r="R197" s="29">
        <f>R196</f>
        <v>10</v>
      </c>
      <c r="S197" s="29">
        <f>S196</f>
        <v>2</v>
      </c>
      <c r="T197" s="29">
        <f>T196</f>
        <v>1</v>
      </c>
      <c r="U197" s="29">
        <f>DATEDIF(DATE(1970,1,1),U196,"D")*86400</f>
        <v>1483660800</v>
      </c>
      <c r="V197" s="29">
        <f>HOUR(V196)*3600+MINUTE(V196)*60+SECOND(V196)</f>
        <v>26100</v>
      </c>
      <c r="W197" s="29">
        <f>DATEDIF(DATE(1970,1,1),W196,"D")*86400</f>
        <v>1502928000</v>
      </c>
      <c r="X197" s="29">
        <f>HOUR(X196)*3600+MINUTE(X196)*60+SECOND(X196)</f>
        <v>56400</v>
      </c>
      <c r="Y197" s="31">
        <f>(Y196*B197)</f>
        <v>2.8E-3</v>
      </c>
      <c r="Z197" s="29">
        <f>Z196</f>
        <v>1</v>
      </c>
      <c r="AA197" s="29">
        <f>DATEDIF(DATE(1970,1,1),AA196,"D")*86400</f>
        <v>1502928000</v>
      </c>
      <c r="AB197" s="29">
        <f>HOUR(AB196)*3600+MINUTE(AB196)*60+SECOND(AB196)</f>
        <v>56460</v>
      </c>
      <c r="AC197" s="29">
        <f>AC196</f>
        <v>1</v>
      </c>
    </row>
    <row r="198" spans="1:29">
      <c r="A198" s="23" t="str">
        <f>Parameters!A100</f>
        <v>6AM7</v>
      </c>
      <c r="B198" s="23">
        <f>Parameters!B100</f>
        <v>1E-4</v>
      </c>
      <c r="C198" s="24">
        <f>Parameters!C100</f>
        <v>2</v>
      </c>
      <c r="D198" s="24" t="str">
        <f>Parameters!D100</f>
        <v>SELL</v>
      </c>
      <c r="E198" s="23">
        <f>Parameters!E100</f>
        <v>0</v>
      </c>
      <c r="F198" s="23">
        <f>Parameters!F100</f>
        <v>0.01</v>
      </c>
      <c r="G198" s="25">
        <f>Parameters!G100</f>
        <v>0.08</v>
      </c>
      <c r="H198" s="25">
        <f>Parameters!H100</f>
        <v>0</v>
      </c>
      <c r="I198" s="25">
        <f>Parameters!I100</f>
        <v>0</v>
      </c>
      <c r="J198" s="25">
        <f>Parameters!J100</f>
        <v>1</v>
      </c>
      <c r="K198" s="25">
        <f>Parameters!K100</f>
        <v>1</v>
      </c>
      <c r="L198" s="26">
        <f t="shared" ref="L198" si="291">L199</f>
        <v>-1.9999999999999998E-4</v>
      </c>
      <c r="M198" s="25">
        <f>Parameters!L100</f>
        <v>1</v>
      </c>
      <c r="N198" s="25">
        <f>Parameters!M100</f>
        <v>1</v>
      </c>
      <c r="O198" s="26">
        <f t="shared" ref="O198" si="292">O199</f>
        <v>1.3000000000000001E-2</v>
      </c>
      <c r="P198" s="23">
        <f>Parameters!N100</f>
        <v>1</v>
      </c>
      <c r="Q198" s="23">
        <f>Parameters!O100</f>
        <v>100</v>
      </c>
      <c r="R198" s="23">
        <f>Parameters!P100</f>
        <v>10</v>
      </c>
      <c r="S198" s="23">
        <f>Parameters!Q100</f>
        <v>2</v>
      </c>
      <c r="T198" s="23">
        <f>Parameters!R100</f>
        <v>1</v>
      </c>
      <c r="U198" s="27">
        <f>Parameters!S100</f>
        <v>42741</v>
      </c>
      <c r="V198" s="28">
        <f>Parameters!T100</f>
        <v>0.30208333333333331</v>
      </c>
      <c r="W198" s="27">
        <f>Parameters!U100</f>
        <v>42964</v>
      </c>
      <c r="X198" s="28">
        <f>Parameters!V100</f>
        <v>0.65277777777777779</v>
      </c>
      <c r="Y198" s="25">
        <f>Parameters!W100</f>
        <v>28</v>
      </c>
      <c r="Z198" s="23">
        <f>Parameters!X100</f>
        <v>1</v>
      </c>
      <c r="AA198" s="27">
        <f>Parameters!Y100</f>
        <v>42964</v>
      </c>
      <c r="AB198" s="28">
        <f>Parameters!Z100</f>
        <v>0.65347222222222223</v>
      </c>
      <c r="AC198" s="23">
        <f>Parameters!AA100</f>
        <v>1</v>
      </c>
    </row>
    <row r="199" spans="1:29">
      <c r="A199" s="29" t="str">
        <f>UPPER(A198)</f>
        <v>6AM7</v>
      </c>
      <c r="B199" s="29">
        <f>B198</f>
        <v>1E-4</v>
      </c>
      <c r="C199" s="30">
        <f>C198</f>
        <v>2</v>
      </c>
      <c r="D199" s="30" t="str">
        <f>D198</f>
        <v>SELL</v>
      </c>
      <c r="E199" s="29">
        <f>E198</f>
        <v>0</v>
      </c>
      <c r="F199" s="29">
        <f>F198</f>
        <v>0.01</v>
      </c>
      <c r="G199" s="29">
        <f>IF(C198=1,IF(D198="BUY",E198+(ROUND(F198*G198/B198,0)*B198),E198-(ROUND(F198*G198/B198,0)*B198)),IF(D198="BUY",E198-(ROUND(F198*G198/B198,0)*B198),E198+(ROUND(F198*G198/B198,0)*B198)))</f>
        <v>8.0000000000000004E-4</v>
      </c>
      <c r="H199" s="29">
        <f>IF(C198=1,IF(D198="BUY",G199-(ROUND(F198*H198/B198,0)*B198),G199+(ROUND(F198*H198/B198,0)*B198)),IF(D198="BUY",G199+(ROUND(F198*H198/B198,0)*B198),G199-(ROUND(F198*H198/B198,0)*B198)))</f>
        <v>8.0000000000000004E-4</v>
      </c>
      <c r="I199" s="29">
        <f>IF(D198="BUY",G199+(ROUND(F198*I198/(B198*100),0)*B198),G199-(ROUND(F198*I198/(B198*100),0)*B198))</f>
        <v>8.0000000000000004E-4</v>
      </c>
      <c r="J199" s="29">
        <f>IF(C198=1,IF(D198="BUY",E198+(ROUND(F198*J198/B198,0)*B198),E198-(ROUND(F198*J198/B198,0)*B198)),IF(D198="BUY",E198-(ROUND(F198*J198/B198,0)*B198),E198+(ROUND(F198*J198/B198,0)*B198)))</f>
        <v>0.01</v>
      </c>
      <c r="K199" s="29">
        <f>IF(C198=1,IF(D198="BUY",E198-(ROUND(F198*K198/B198,0)*B198),E198+(ROUND(F198*K198/B198,0)*B198)),IF(D198="BUY",E198-(ROUND(F198*K198/B198,0)*B198),E198+(ROUND(F198*K198/B198,0)*B198)))</f>
        <v>0.01</v>
      </c>
      <c r="L199" s="29">
        <f t="shared" ref="L199" si="293">IF(D199="BUY",I199+(R199*B199),I199-(R199*B199))</f>
        <v>-1.9999999999999998E-4</v>
      </c>
      <c r="M199" s="29">
        <f>IF(D198="BUY",E198+(ROUND(F198*M198/B198,0)*B198),E198-(ROUND(F198*M198/B198,0)*B198))</f>
        <v>-0.01</v>
      </c>
      <c r="N199" s="29">
        <f>IF(D198="BUY",E198-(ROUND(F198*N198/B198,0)*B198),E198+(ROUND(F198*N198/B198,0)*B198))</f>
        <v>0.01</v>
      </c>
      <c r="O199" s="31">
        <f>IF(D199="BUY",N199-VLOOKUP(A199,Symbols!A$1:D$1000,4,FALSE),N199+VLOOKUP(A199,Symbols!A$1:D$1000,4,FALSE))</f>
        <v>1.3000000000000001E-2</v>
      </c>
      <c r="P199" s="29">
        <f>P198</f>
        <v>1</v>
      </c>
      <c r="Q199" s="29">
        <f>Q198</f>
        <v>100</v>
      </c>
      <c r="R199" s="29">
        <f>R198</f>
        <v>10</v>
      </c>
      <c r="S199" s="29">
        <f>S198</f>
        <v>2</v>
      </c>
      <c r="T199" s="29">
        <f>T198</f>
        <v>1</v>
      </c>
      <c r="U199" s="29">
        <f>DATEDIF(DATE(1970,1,1),U198,"D")*86400</f>
        <v>1483660800</v>
      </c>
      <c r="V199" s="29">
        <f>HOUR(V198)*3600+MINUTE(V198)*60+SECOND(V198)</f>
        <v>26100</v>
      </c>
      <c r="W199" s="29">
        <f>DATEDIF(DATE(1970,1,1),W198,"D")*86400</f>
        <v>1502928000</v>
      </c>
      <c r="X199" s="29">
        <f>HOUR(X198)*3600+MINUTE(X198)*60+SECOND(X198)</f>
        <v>56400</v>
      </c>
      <c r="Y199" s="31">
        <f>(Y198*B199)</f>
        <v>2.8E-3</v>
      </c>
      <c r="Z199" s="29">
        <f>Z198</f>
        <v>1</v>
      </c>
      <c r="AA199" s="29">
        <f>DATEDIF(DATE(1970,1,1),AA198,"D")*86400</f>
        <v>1502928000</v>
      </c>
      <c r="AB199" s="29">
        <f>HOUR(AB198)*3600+MINUTE(AB198)*60+SECOND(AB198)</f>
        <v>56460</v>
      </c>
      <c r="AC199" s="29">
        <f>AC198</f>
        <v>1</v>
      </c>
    </row>
    <row r="200" spans="1:29">
      <c r="A200" s="23" t="str">
        <f>Parameters!A101</f>
        <v>6AM7</v>
      </c>
      <c r="B200" s="23">
        <f>Parameters!B101</f>
        <v>1E-4</v>
      </c>
      <c r="C200" s="24">
        <f>Parameters!C101</f>
        <v>2</v>
      </c>
      <c r="D200" s="24" t="str">
        <f>Parameters!D101</f>
        <v>SELL</v>
      </c>
      <c r="E200" s="23">
        <f>Parameters!E101</f>
        <v>0</v>
      </c>
      <c r="F200" s="23">
        <f>Parameters!F101</f>
        <v>0.01</v>
      </c>
      <c r="G200" s="25">
        <f>Parameters!G101</f>
        <v>0.09</v>
      </c>
      <c r="H200" s="25">
        <f>Parameters!H101</f>
        <v>0</v>
      </c>
      <c r="I200" s="25">
        <f>Parameters!I101</f>
        <v>0</v>
      </c>
      <c r="J200" s="25">
        <f>Parameters!J101</f>
        <v>1</v>
      </c>
      <c r="K200" s="25">
        <f>Parameters!K101</f>
        <v>1</v>
      </c>
      <c r="L200" s="26">
        <f t="shared" ref="L200" si="294">L201</f>
        <v>-9.9999999999999937E-5</v>
      </c>
      <c r="M200" s="25">
        <f>Parameters!L101</f>
        <v>1</v>
      </c>
      <c r="N200" s="25">
        <f>Parameters!M101</f>
        <v>1</v>
      </c>
      <c r="O200" s="26">
        <f t="shared" ref="O200" si="295">O201</f>
        <v>1.3000000000000001E-2</v>
      </c>
      <c r="P200" s="23">
        <f>Parameters!N101</f>
        <v>1</v>
      </c>
      <c r="Q200" s="23">
        <f>Parameters!O101</f>
        <v>100</v>
      </c>
      <c r="R200" s="23">
        <f>Parameters!P101</f>
        <v>10</v>
      </c>
      <c r="S200" s="23">
        <f>Parameters!Q101</f>
        <v>2</v>
      </c>
      <c r="T200" s="23">
        <f>Parameters!R101</f>
        <v>1</v>
      </c>
      <c r="U200" s="27">
        <f>Parameters!S101</f>
        <v>42741</v>
      </c>
      <c r="V200" s="28">
        <f>Parameters!T101</f>
        <v>0.30208333333333331</v>
      </c>
      <c r="W200" s="27">
        <f>Parameters!U101</f>
        <v>42964</v>
      </c>
      <c r="X200" s="28">
        <f>Parameters!V101</f>
        <v>0.65277777777777779</v>
      </c>
      <c r="Y200" s="25">
        <f>Parameters!W101</f>
        <v>28</v>
      </c>
      <c r="Z200" s="23">
        <f>Parameters!X101</f>
        <v>1</v>
      </c>
      <c r="AA200" s="27">
        <f>Parameters!Y101</f>
        <v>42964</v>
      </c>
      <c r="AB200" s="28">
        <f>Parameters!Z101</f>
        <v>0.65347222222222223</v>
      </c>
      <c r="AC200" s="23">
        <f>Parameters!AA101</f>
        <v>1</v>
      </c>
    </row>
    <row r="201" spans="1:29">
      <c r="A201" s="29" t="str">
        <f>UPPER(A200)</f>
        <v>6AM7</v>
      </c>
      <c r="B201" s="29">
        <f>B200</f>
        <v>1E-4</v>
      </c>
      <c r="C201" s="30">
        <f>C200</f>
        <v>2</v>
      </c>
      <c r="D201" s="30" t="str">
        <f>D200</f>
        <v>SELL</v>
      </c>
      <c r="E201" s="29">
        <f>E200</f>
        <v>0</v>
      </c>
      <c r="F201" s="29">
        <f>F200</f>
        <v>0.01</v>
      </c>
      <c r="G201" s="29">
        <f>IF(C200=1,IF(D200="BUY",E200+(ROUND(F200*G200/B200,0)*B200),E200-(ROUND(F200*G200/B200,0)*B200)),IF(D200="BUY",E200-(ROUND(F200*G200/B200,0)*B200),E200+(ROUND(F200*G200/B200,0)*B200)))</f>
        <v>9.0000000000000008E-4</v>
      </c>
      <c r="H201" s="29">
        <f>IF(C200=1,IF(D200="BUY",G201-(ROUND(F200*H200/B200,0)*B200),G201+(ROUND(F200*H200/B200,0)*B200)),IF(D200="BUY",G201+(ROUND(F200*H200/B200,0)*B200),G201-(ROUND(F200*H200/B200,0)*B200)))</f>
        <v>9.0000000000000008E-4</v>
      </c>
      <c r="I201" s="29">
        <f>IF(D200="BUY",G201+(ROUND(F200*I200/(B200*100),0)*B200),G201-(ROUND(F200*I200/(B200*100),0)*B200))</f>
        <v>9.0000000000000008E-4</v>
      </c>
      <c r="J201" s="29">
        <f>IF(C200=1,IF(D200="BUY",E200+(ROUND(F200*J200/B200,0)*B200),E200-(ROUND(F200*J200/B200,0)*B200)),IF(D200="BUY",E200-(ROUND(F200*J200/B200,0)*B200),E200+(ROUND(F200*J200/B200,0)*B200)))</f>
        <v>0.01</v>
      </c>
      <c r="K201" s="29">
        <f>IF(C200=1,IF(D200="BUY",E200-(ROUND(F200*K200/B200,0)*B200),E200+(ROUND(F200*K200/B200,0)*B200)),IF(D200="BUY",E200-(ROUND(F200*K200/B200,0)*B200),E200+(ROUND(F200*K200/B200,0)*B200)))</f>
        <v>0.01</v>
      </c>
      <c r="L201" s="29">
        <f t="shared" ref="L201" si="296">IF(D201="BUY",I201+(R201*B201),I201-(R201*B201))</f>
        <v>-9.9999999999999937E-5</v>
      </c>
      <c r="M201" s="29">
        <f>IF(D200="BUY",E200+(ROUND(F200*M200/B200,0)*B200),E200-(ROUND(F200*M200/B200,0)*B200))</f>
        <v>-0.01</v>
      </c>
      <c r="N201" s="29">
        <f>IF(D200="BUY",E200-(ROUND(F200*N200/B200,0)*B200),E200+(ROUND(F200*N200/B200,0)*B200))</f>
        <v>0.01</v>
      </c>
      <c r="O201" s="31">
        <f>IF(D201="BUY",N201-VLOOKUP(A201,Symbols!A$1:D$1000,4,FALSE),N201+VLOOKUP(A201,Symbols!A$1:D$1000,4,FALSE))</f>
        <v>1.3000000000000001E-2</v>
      </c>
      <c r="P201" s="29">
        <f>P200</f>
        <v>1</v>
      </c>
      <c r="Q201" s="29">
        <f>Q200</f>
        <v>100</v>
      </c>
      <c r="R201" s="29">
        <f>R200</f>
        <v>10</v>
      </c>
      <c r="S201" s="29">
        <f>S200</f>
        <v>2</v>
      </c>
      <c r="T201" s="29">
        <f>T200</f>
        <v>1</v>
      </c>
      <c r="U201" s="29">
        <f>DATEDIF(DATE(1970,1,1),U200,"D")*86400</f>
        <v>1483660800</v>
      </c>
      <c r="V201" s="29">
        <f>HOUR(V200)*3600+MINUTE(V200)*60+SECOND(V200)</f>
        <v>26100</v>
      </c>
      <c r="W201" s="29">
        <f>DATEDIF(DATE(1970,1,1),W200,"D")*86400</f>
        <v>1502928000</v>
      </c>
      <c r="X201" s="29">
        <f>HOUR(X200)*3600+MINUTE(X200)*60+SECOND(X200)</f>
        <v>56400</v>
      </c>
      <c r="Y201" s="31">
        <f>(Y200*B201)</f>
        <v>2.8E-3</v>
      </c>
      <c r="Z201" s="29">
        <f>Z200</f>
        <v>1</v>
      </c>
      <c r="AA201" s="29">
        <f>DATEDIF(DATE(1970,1,1),AA200,"D")*86400</f>
        <v>1502928000</v>
      </c>
      <c r="AB201" s="29">
        <f>HOUR(AB200)*3600+MINUTE(AB200)*60+SECOND(AB200)</f>
        <v>56460</v>
      </c>
      <c r="AC201" s="29">
        <f>AC200</f>
        <v>1</v>
      </c>
    </row>
    <row r="202" spans="1:29">
      <c r="A202" s="23" t="str">
        <f>Parameters!A102</f>
        <v>6SM7</v>
      </c>
      <c r="B202" s="23">
        <f>Parameters!B102</f>
        <v>1E-4</v>
      </c>
      <c r="C202" s="24">
        <f>Parameters!C102</f>
        <v>2</v>
      </c>
      <c r="D202" s="24" t="str">
        <f>Parameters!D102</f>
        <v>BUY</v>
      </c>
      <c r="E202" s="23">
        <f>Parameters!E102</f>
        <v>0</v>
      </c>
      <c r="F202" s="23">
        <f>Parameters!F102</f>
        <v>0.01</v>
      </c>
      <c r="G202" s="25">
        <f>Parameters!G102</f>
        <v>0</v>
      </c>
      <c r="H202" s="25">
        <f>Parameters!H102</f>
        <v>0</v>
      </c>
      <c r="I202" s="25">
        <f>Parameters!I102</f>
        <v>0</v>
      </c>
      <c r="J202" s="25">
        <f>Parameters!J102</f>
        <v>1</v>
      </c>
      <c r="K202" s="25">
        <f>Parameters!K102</f>
        <v>1</v>
      </c>
      <c r="L202" s="26">
        <f t="shared" ref="L202" si="297">L203</f>
        <v>1E-3</v>
      </c>
      <c r="M202" s="25">
        <f>Parameters!L102</f>
        <v>1</v>
      </c>
      <c r="N202" s="25">
        <f>Parameters!M102</f>
        <v>1</v>
      </c>
      <c r="O202" s="26">
        <f t="shared" ref="O202" si="298">O203</f>
        <v>-1.3000000000000001E-2</v>
      </c>
      <c r="P202" s="23">
        <f>Parameters!N102</f>
        <v>1</v>
      </c>
      <c r="Q202" s="23">
        <f>Parameters!O102</f>
        <v>100</v>
      </c>
      <c r="R202" s="23">
        <f>Parameters!P102</f>
        <v>10</v>
      </c>
      <c r="S202" s="23">
        <f>Parameters!Q102</f>
        <v>2</v>
      </c>
      <c r="T202" s="23">
        <f>Parameters!R102</f>
        <v>1</v>
      </c>
      <c r="U202" s="27">
        <f>Parameters!S102</f>
        <v>42741</v>
      </c>
      <c r="V202" s="28">
        <f>Parameters!T102</f>
        <v>0.30208333333333331</v>
      </c>
      <c r="W202" s="27">
        <f>Parameters!U102</f>
        <v>42964</v>
      </c>
      <c r="X202" s="28">
        <f>Parameters!V102</f>
        <v>0.65277777777777779</v>
      </c>
      <c r="Y202" s="25">
        <f>Parameters!W102</f>
        <v>28</v>
      </c>
      <c r="Z202" s="23">
        <f>Parameters!X102</f>
        <v>1</v>
      </c>
      <c r="AA202" s="27">
        <f>Parameters!Y102</f>
        <v>42964</v>
      </c>
      <c r="AB202" s="28">
        <f>Parameters!Z102</f>
        <v>0.65347222222222223</v>
      </c>
      <c r="AC202" s="23">
        <f>Parameters!AA102</f>
        <v>1</v>
      </c>
    </row>
    <row r="203" spans="1:29">
      <c r="A203" s="29" t="str">
        <f>UPPER(A202)</f>
        <v>6SM7</v>
      </c>
      <c r="B203" s="29">
        <f>B202</f>
        <v>1E-4</v>
      </c>
      <c r="C203" s="30">
        <f>C202</f>
        <v>2</v>
      </c>
      <c r="D203" s="30" t="str">
        <f>D202</f>
        <v>BUY</v>
      </c>
      <c r="E203" s="29">
        <f>E202</f>
        <v>0</v>
      </c>
      <c r="F203" s="29">
        <f>F202</f>
        <v>0.01</v>
      </c>
      <c r="G203" s="29">
        <f>IF(C202=1,IF(D202="BUY",E202+(ROUND(F202*G202/B202,0)*B202),E202-(ROUND(F202*G202/B202,0)*B202)),IF(D202="BUY",E202-(ROUND(F202*G202/B202,0)*B202),E202+(ROUND(F202*G202/B202,0)*B202)))</f>
        <v>0</v>
      </c>
      <c r="H203" s="29">
        <f>IF(C202=1,IF(D202="BUY",G203-(ROUND(F202*H202/B202,0)*B202),G203+(ROUND(F202*H202/B202,0)*B202)),IF(D202="BUY",G203+(ROUND(F202*H202/B202,0)*B202),G203-(ROUND(F202*H202/B202,0)*B202)))</f>
        <v>0</v>
      </c>
      <c r="I203" s="29">
        <f>IF(D202="BUY",G203+(ROUND(F202*I202/(B202*100),0)*B202),G203-(ROUND(F202*I202/(B202*100),0)*B202))</f>
        <v>0</v>
      </c>
      <c r="J203" s="29">
        <f>IF(C202=1,IF(D202="BUY",E202+(ROUND(F202*J202/B202,0)*B202),E202-(ROUND(F202*J202/B202,0)*B202)),IF(D202="BUY",E202-(ROUND(F202*J202/B202,0)*B202),E202+(ROUND(F202*J202/B202,0)*B202)))</f>
        <v>-0.01</v>
      </c>
      <c r="K203" s="29">
        <f>IF(C202=1,IF(D202="BUY",E202-(ROUND(F202*K202/B202,0)*B202),E202+(ROUND(F202*K202/B202,0)*B202)),IF(D202="BUY",E202-(ROUND(F202*K202/B202,0)*B202),E202+(ROUND(F202*K202/B202,0)*B202)))</f>
        <v>-0.01</v>
      </c>
      <c r="L203" s="29">
        <f t="shared" ref="L203" si="299">IF(D203="BUY",I203+(R203*B203),I203-(R203*B203))</f>
        <v>1E-3</v>
      </c>
      <c r="M203" s="29">
        <f>IF(D202="BUY",E202+(ROUND(F202*M202/B202,0)*B202),E202-(ROUND(F202*M202/B202,0)*B202))</f>
        <v>0.01</v>
      </c>
      <c r="N203" s="29">
        <f>IF(D202="BUY",E202-(ROUND(F202*N202/B202,0)*B202),E202+(ROUND(F202*N202/B202,0)*B202))</f>
        <v>-0.01</v>
      </c>
      <c r="O203" s="31">
        <f>IF(D203="BUY",N203-VLOOKUP(A203,Symbols!A$1:D$1000,4,FALSE),N203+VLOOKUP(A203,Symbols!A$1:D$1000,4,FALSE))</f>
        <v>-1.3000000000000001E-2</v>
      </c>
      <c r="P203" s="29">
        <f>P202</f>
        <v>1</v>
      </c>
      <c r="Q203" s="29">
        <f>Q202</f>
        <v>100</v>
      </c>
      <c r="R203" s="29">
        <f>R202</f>
        <v>10</v>
      </c>
      <c r="S203" s="29">
        <f>S202</f>
        <v>2</v>
      </c>
      <c r="T203" s="29">
        <f>T202</f>
        <v>1</v>
      </c>
      <c r="U203" s="29">
        <f>DATEDIF(DATE(1970,1,1),U202,"D")*86400</f>
        <v>1483660800</v>
      </c>
      <c r="V203" s="29">
        <f>HOUR(V202)*3600+MINUTE(V202)*60+SECOND(V202)</f>
        <v>26100</v>
      </c>
      <c r="W203" s="29">
        <f>DATEDIF(DATE(1970,1,1),W202,"D")*86400</f>
        <v>1502928000</v>
      </c>
      <c r="X203" s="29">
        <f>HOUR(X202)*3600+MINUTE(X202)*60+SECOND(X202)</f>
        <v>56400</v>
      </c>
      <c r="Y203" s="31">
        <f>(Y202*B203)</f>
        <v>2.8E-3</v>
      </c>
      <c r="Z203" s="29">
        <f>Z202</f>
        <v>1</v>
      </c>
      <c r="AA203" s="29">
        <f>DATEDIF(DATE(1970,1,1),AA202,"D")*86400</f>
        <v>1502928000</v>
      </c>
      <c r="AB203" s="29">
        <f>HOUR(AB202)*3600+MINUTE(AB202)*60+SECOND(AB202)</f>
        <v>56460</v>
      </c>
      <c r="AC203" s="29">
        <f>AC202</f>
        <v>1</v>
      </c>
    </row>
    <row r="204" spans="1:29">
      <c r="A204" s="23" t="str">
        <f>Parameters!A103</f>
        <v>6SM7</v>
      </c>
      <c r="B204" s="23">
        <f>Parameters!B103</f>
        <v>1E-4</v>
      </c>
      <c r="C204" s="24">
        <f>Parameters!C103</f>
        <v>2</v>
      </c>
      <c r="D204" s="24" t="str">
        <f>Parameters!D103</f>
        <v>BUY</v>
      </c>
      <c r="E204" s="23">
        <f>Parameters!E103</f>
        <v>0</v>
      </c>
      <c r="F204" s="23">
        <f>Parameters!F103</f>
        <v>0.01</v>
      </c>
      <c r="G204" s="25">
        <f>Parameters!G103</f>
        <v>0.01</v>
      </c>
      <c r="H204" s="25">
        <f>Parameters!H103</f>
        <v>0</v>
      </c>
      <c r="I204" s="25">
        <f>Parameters!I103</f>
        <v>0</v>
      </c>
      <c r="J204" s="25">
        <f>Parameters!J103</f>
        <v>1</v>
      </c>
      <c r="K204" s="25">
        <f>Parameters!K103</f>
        <v>1</v>
      </c>
      <c r="L204" s="26">
        <f t="shared" ref="L204" si="300">L205</f>
        <v>8.9999999999999998E-4</v>
      </c>
      <c r="M204" s="25">
        <f>Parameters!L103</f>
        <v>1</v>
      </c>
      <c r="N204" s="25">
        <f>Parameters!M103</f>
        <v>1</v>
      </c>
      <c r="O204" s="26">
        <f t="shared" ref="O204" si="301">O205</f>
        <v>-1.3000000000000001E-2</v>
      </c>
      <c r="P204" s="23">
        <f>Parameters!N103</f>
        <v>1</v>
      </c>
      <c r="Q204" s="23">
        <f>Parameters!O103</f>
        <v>100</v>
      </c>
      <c r="R204" s="23">
        <f>Parameters!P103</f>
        <v>10</v>
      </c>
      <c r="S204" s="23">
        <f>Parameters!Q103</f>
        <v>2</v>
      </c>
      <c r="T204" s="23">
        <f>Parameters!R103</f>
        <v>1</v>
      </c>
      <c r="U204" s="27">
        <f>Parameters!S103</f>
        <v>42741</v>
      </c>
      <c r="V204" s="28">
        <f>Parameters!T103</f>
        <v>0.30208333333333331</v>
      </c>
      <c r="W204" s="27">
        <f>Parameters!U103</f>
        <v>42964</v>
      </c>
      <c r="X204" s="28">
        <f>Parameters!V103</f>
        <v>0.65277777777777779</v>
      </c>
      <c r="Y204" s="25">
        <f>Parameters!W103</f>
        <v>28</v>
      </c>
      <c r="Z204" s="23">
        <f>Parameters!X103</f>
        <v>1</v>
      </c>
      <c r="AA204" s="27">
        <f>Parameters!Y103</f>
        <v>42964</v>
      </c>
      <c r="AB204" s="28">
        <f>Parameters!Z103</f>
        <v>0.65347222222222223</v>
      </c>
      <c r="AC204" s="23">
        <f>Parameters!AA103</f>
        <v>1</v>
      </c>
    </row>
    <row r="205" spans="1:29">
      <c r="A205" s="29" t="str">
        <f>UPPER(A204)</f>
        <v>6SM7</v>
      </c>
      <c r="B205" s="29">
        <f>B204</f>
        <v>1E-4</v>
      </c>
      <c r="C205" s="30">
        <f>C204</f>
        <v>2</v>
      </c>
      <c r="D205" s="30" t="str">
        <f>D204</f>
        <v>BUY</v>
      </c>
      <c r="E205" s="29">
        <f>E204</f>
        <v>0</v>
      </c>
      <c r="F205" s="29">
        <f>F204</f>
        <v>0.01</v>
      </c>
      <c r="G205" s="29">
        <f>IF(C204=1,IF(D204="BUY",E204+(ROUND(F204*G204/B204,0)*B204),E204-(ROUND(F204*G204/B204,0)*B204)),IF(D204="BUY",E204-(ROUND(F204*G204/B204,0)*B204),E204+(ROUND(F204*G204/B204,0)*B204)))</f>
        <v>-1E-4</v>
      </c>
      <c r="H205" s="29">
        <f>IF(C204=1,IF(D204="BUY",G205-(ROUND(F204*H204/B204,0)*B204),G205+(ROUND(F204*H204/B204,0)*B204)),IF(D204="BUY",G205+(ROUND(F204*H204/B204,0)*B204),G205-(ROUND(F204*H204/B204,0)*B204)))</f>
        <v>-1E-4</v>
      </c>
      <c r="I205" s="29">
        <f>IF(D204="BUY",G205+(ROUND(F204*I204/(B204*100),0)*B204),G205-(ROUND(F204*I204/(B204*100),0)*B204))</f>
        <v>-1E-4</v>
      </c>
      <c r="J205" s="29">
        <f>IF(C204=1,IF(D204="BUY",E204+(ROUND(F204*J204/B204,0)*B204),E204-(ROUND(F204*J204/B204,0)*B204)),IF(D204="BUY",E204-(ROUND(F204*J204/B204,0)*B204),E204+(ROUND(F204*J204/B204,0)*B204)))</f>
        <v>-0.01</v>
      </c>
      <c r="K205" s="29">
        <f>IF(C204=1,IF(D204="BUY",E204-(ROUND(F204*K204/B204,0)*B204),E204+(ROUND(F204*K204/B204,0)*B204)),IF(D204="BUY",E204-(ROUND(F204*K204/B204,0)*B204),E204+(ROUND(F204*K204/B204,0)*B204)))</f>
        <v>-0.01</v>
      </c>
      <c r="L205" s="29">
        <f t="shared" ref="L205" si="302">IF(D205="BUY",I205+(R205*B205),I205-(R205*B205))</f>
        <v>8.9999999999999998E-4</v>
      </c>
      <c r="M205" s="29">
        <f>IF(D204="BUY",E204+(ROUND(F204*M204/B204,0)*B204),E204-(ROUND(F204*M204/B204,0)*B204))</f>
        <v>0.01</v>
      </c>
      <c r="N205" s="29">
        <f>IF(D204="BUY",E204-(ROUND(F204*N204/B204,0)*B204),E204+(ROUND(F204*N204/B204,0)*B204))</f>
        <v>-0.01</v>
      </c>
      <c r="O205" s="31">
        <f>IF(D205="BUY",N205-VLOOKUP(A205,Symbols!A$1:D$1000,4,FALSE),N205+VLOOKUP(A205,Symbols!A$1:D$1000,4,FALSE))</f>
        <v>-1.3000000000000001E-2</v>
      </c>
      <c r="P205" s="29">
        <f>P204</f>
        <v>1</v>
      </c>
      <c r="Q205" s="29">
        <f>Q204</f>
        <v>100</v>
      </c>
      <c r="R205" s="29">
        <f>R204</f>
        <v>10</v>
      </c>
      <c r="S205" s="29">
        <f>S204</f>
        <v>2</v>
      </c>
      <c r="T205" s="29">
        <f>T204</f>
        <v>1</v>
      </c>
      <c r="U205" s="29">
        <f>DATEDIF(DATE(1970,1,1),U204,"D")*86400</f>
        <v>1483660800</v>
      </c>
      <c r="V205" s="29">
        <f>HOUR(V204)*3600+MINUTE(V204)*60+SECOND(V204)</f>
        <v>26100</v>
      </c>
      <c r="W205" s="29">
        <f>DATEDIF(DATE(1970,1,1),W204,"D")*86400</f>
        <v>1502928000</v>
      </c>
      <c r="X205" s="29">
        <f>HOUR(X204)*3600+MINUTE(X204)*60+SECOND(X204)</f>
        <v>56400</v>
      </c>
      <c r="Y205" s="31">
        <f>(Y204*B205)</f>
        <v>2.8E-3</v>
      </c>
      <c r="Z205" s="29">
        <f>Z204</f>
        <v>1</v>
      </c>
      <c r="AA205" s="29">
        <f>DATEDIF(DATE(1970,1,1),AA204,"D")*86400</f>
        <v>1502928000</v>
      </c>
      <c r="AB205" s="29">
        <f>HOUR(AB204)*3600+MINUTE(AB204)*60+SECOND(AB204)</f>
        <v>56460</v>
      </c>
      <c r="AC205" s="29">
        <f>AC204</f>
        <v>1</v>
      </c>
    </row>
    <row r="206" spans="1:29">
      <c r="A206" s="23" t="str">
        <f>Parameters!A104</f>
        <v>6SM7</v>
      </c>
      <c r="B206" s="23">
        <f>Parameters!B104</f>
        <v>1E-4</v>
      </c>
      <c r="C206" s="24">
        <f>Parameters!C104</f>
        <v>2</v>
      </c>
      <c r="D206" s="24" t="str">
        <f>Parameters!D104</f>
        <v>BUY</v>
      </c>
      <c r="E206" s="23">
        <f>Parameters!E104</f>
        <v>0</v>
      </c>
      <c r="F206" s="23">
        <f>Parameters!F104</f>
        <v>0.01</v>
      </c>
      <c r="G206" s="25">
        <f>Parameters!G104</f>
        <v>0.02</v>
      </c>
      <c r="H206" s="25">
        <f>Parameters!H104</f>
        <v>0</v>
      </c>
      <c r="I206" s="25">
        <f>Parameters!I104</f>
        <v>0</v>
      </c>
      <c r="J206" s="25">
        <f>Parameters!J104</f>
        <v>1</v>
      </c>
      <c r="K206" s="25">
        <f>Parameters!K104</f>
        <v>1</v>
      </c>
      <c r="L206" s="26">
        <f t="shared" ref="L206" si="303">L207</f>
        <v>8.0000000000000004E-4</v>
      </c>
      <c r="M206" s="25">
        <f>Parameters!L104</f>
        <v>1</v>
      </c>
      <c r="N206" s="25">
        <f>Parameters!M104</f>
        <v>1</v>
      </c>
      <c r="O206" s="26">
        <f t="shared" ref="O206" si="304">O207</f>
        <v>-1.3000000000000001E-2</v>
      </c>
      <c r="P206" s="23">
        <f>Parameters!N104</f>
        <v>1</v>
      </c>
      <c r="Q206" s="23">
        <f>Parameters!O104</f>
        <v>100</v>
      </c>
      <c r="R206" s="23">
        <f>Parameters!P104</f>
        <v>10</v>
      </c>
      <c r="S206" s="23">
        <f>Parameters!Q104</f>
        <v>2</v>
      </c>
      <c r="T206" s="23">
        <f>Parameters!R104</f>
        <v>1</v>
      </c>
      <c r="U206" s="27">
        <f>Parameters!S104</f>
        <v>42741</v>
      </c>
      <c r="V206" s="28">
        <f>Parameters!T104</f>
        <v>0.30208333333333331</v>
      </c>
      <c r="W206" s="27">
        <f>Parameters!U104</f>
        <v>42964</v>
      </c>
      <c r="X206" s="28">
        <f>Parameters!V104</f>
        <v>0.65277777777777779</v>
      </c>
      <c r="Y206" s="25">
        <f>Parameters!W104</f>
        <v>28</v>
      </c>
      <c r="Z206" s="23">
        <f>Parameters!X104</f>
        <v>1</v>
      </c>
      <c r="AA206" s="27">
        <f>Parameters!Y104</f>
        <v>42964</v>
      </c>
      <c r="AB206" s="28">
        <f>Parameters!Z104</f>
        <v>0.65347222222222223</v>
      </c>
      <c r="AC206" s="23">
        <f>Parameters!AA104</f>
        <v>1</v>
      </c>
    </row>
    <row r="207" spans="1:29">
      <c r="A207" s="29" t="str">
        <f>UPPER(A206)</f>
        <v>6SM7</v>
      </c>
      <c r="B207" s="29">
        <f>B206</f>
        <v>1E-4</v>
      </c>
      <c r="C207" s="30">
        <f>C206</f>
        <v>2</v>
      </c>
      <c r="D207" s="30" t="str">
        <f>D206</f>
        <v>BUY</v>
      </c>
      <c r="E207" s="29">
        <f>E206</f>
        <v>0</v>
      </c>
      <c r="F207" s="29">
        <f>F206</f>
        <v>0.01</v>
      </c>
      <c r="G207" s="29">
        <f>IF(C206=1,IF(D206="BUY",E206+(ROUND(F206*G206/B206,0)*B206),E206-(ROUND(F206*G206/B206,0)*B206)),IF(D206="BUY",E206-(ROUND(F206*G206/B206,0)*B206),E206+(ROUND(F206*G206/B206,0)*B206)))</f>
        <v>-2.0000000000000001E-4</v>
      </c>
      <c r="H207" s="29">
        <f>IF(C206=1,IF(D206="BUY",G207-(ROUND(F206*H206/B206,0)*B206),G207+(ROUND(F206*H206/B206,0)*B206)),IF(D206="BUY",G207+(ROUND(F206*H206/B206,0)*B206),G207-(ROUND(F206*H206/B206,0)*B206)))</f>
        <v>-2.0000000000000001E-4</v>
      </c>
      <c r="I207" s="29">
        <f>IF(D206="BUY",G207+(ROUND(F206*I206/(B206*100),0)*B206),G207-(ROUND(F206*I206/(B206*100),0)*B206))</f>
        <v>-2.0000000000000001E-4</v>
      </c>
      <c r="J207" s="29">
        <f>IF(C206=1,IF(D206="BUY",E206+(ROUND(F206*J206/B206,0)*B206),E206-(ROUND(F206*J206/B206,0)*B206)),IF(D206="BUY",E206-(ROUND(F206*J206/B206,0)*B206),E206+(ROUND(F206*J206/B206,0)*B206)))</f>
        <v>-0.01</v>
      </c>
      <c r="K207" s="29">
        <f>IF(C206=1,IF(D206="BUY",E206-(ROUND(F206*K206/B206,0)*B206),E206+(ROUND(F206*K206/B206,0)*B206)),IF(D206="BUY",E206-(ROUND(F206*K206/B206,0)*B206),E206+(ROUND(F206*K206/B206,0)*B206)))</f>
        <v>-0.01</v>
      </c>
      <c r="L207" s="29">
        <f t="shared" ref="L207" si="305">IF(D207="BUY",I207+(R207*B207),I207-(R207*B207))</f>
        <v>8.0000000000000004E-4</v>
      </c>
      <c r="M207" s="29">
        <f>IF(D206="BUY",E206+(ROUND(F206*M206/B206,0)*B206),E206-(ROUND(F206*M206/B206,0)*B206))</f>
        <v>0.01</v>
      </c>
      <c r="N207" s="29">
        <f>IF(D206="BUY",E206-(ROUND(F206*N206/B206,0)*B206),E206+(ROUND(F206*N206/B206,0)*B206))</f>
        <v>-0.01</v>
      </c>
      <c r="O207" s="31">
        <f>IF(D207="BUY",N207-VLOOKUP(A207,Symbols!A$1:D$1000,4,FALSE),N207+VLOOKUP(A207,Symbols!A$1:D$1000,4,FALSE))</f>
        <v>-1.3000000000000001E-2</v>
      </c>
      <c r="P207" s="29">
        <f>P206</f>
        <v>1</v>
      </c>
      <c r="Q207" s="29">
        <f>Q206</f>
        <v>100</v>
      </c>
      <c r="R207" s="29">
        <f>R206</f>
        <v>10</v>
      </c>
      <c r="S207" s="29">
        <f>S206</f>
        <v>2</v>
      </c>
      <c r="T207" s="29">
        <f>T206</f>
        <v>1</v>
      </c>
      <c r="U207" s="29">
        <f>DATEDIF(DATE(1970,1,1),U206,"D")*86400</f>
        <v>1483660800</v>
      </c>
      <c r="V207" s="29">
        <f>HOUR(V206)*3600+MINUTE(V206)*60+SECOND(V206)</f>
        <v>26100</v>
      </c>
      <c r="W207" s="29">
        <f>DATEDIF(DATE(1970,1,1),W206,"D")*86400</f>
        <v>1502928000</v>
      </c>
      <c r="X207" s="29">
        <f>HOUR(X206)*3600+MINUTE(X206)*60+SECOND(X206)</f>
        <v>56400</v>
      </c>
      <c r="Y207" s="31">
        <f>(Y206*B207)</f>
        <v>2.8E-3</v>
      </c>
      <c r="Z207" s="29">
        <f>Z206</f>
        <v>1</v>
      </c>
      <c r="AA207" s="29">
        <f>DATEDIF(DATE(1970,1,1),AA206,"D")*86400</f>
        <v>1502928000</v>
      </c>
      <c r="AB207" s="29">
        <f>HOUR(AB206)*3600+MINUTE(AB206)*60+SECOND(AB206)</f>
        <v>56460</v>
      </c>
      <c r="AC207" s="29">
        <f>AC206</f>
        <v>1</v>
      </c>
    </row>
    <row r="208" spans="1:29">
      <c r="A208" s="23" t="str">
        <f>Parameters!A105</f>
        <v>6SM7</v>
      </c>
      <c r="B208" s="23">
        <f>Parameters!B105</f>
        <v>1E-4</v>
      </c>
      <c r="C208" s="24">
        <f>Parameters!C105</f>
        <v>2</v>
      </c>
      <c r="D208" s="24" t="str">
        <f>Parameters!D105</f>
        <v>BUY</v>
      </c>
      <c r="E208" s="23">
        <f>Parameters!E105</f>
        <v>0</v>
      </c>
      <c r="F208" s="23">
        <f>Parameters!F105</f>
        <v>0.01</v>
      </c>
      <c r="G208" s="25">
        <f>Parameters!G105</f>
        <v>0.03</v>
      </c>
      <c r="H208" s="25">
        <f>Parameters!H105</f>
        <v>0</v>
      </c>
      <c r="I208" s="25">
        <f>Parameters!I105</f>
        <v>0</v>
      </c>
      <c r="J208" s="25">
        <f>Parameters!J105</f>
        <v>1</v>
      </c>
      <c r="K208" s="25">
        <f>Parameters!K105</f>
        <v>1</v>
      </c>
      <c r="L208" s="26">
        <f t="shared" ref="L208" si="306">L209</f>
        <v>6.9999999999999999E-4</v>
      </c>
      <c r="M208" s="25">
        <f>Parameters!L105</f>
        <v>1</v>
      </c>
      <c r="N208" s="25">
        <f>Parameters!M105</f>
        <v>1</v>
      </c>
      <c r="O208" s="26">
        <f t="shared" ref="O208" si="307">O209</f>
        <v>-1.3000000000000001E-2</v>
      </c>
      <c r="P208" s="23">
        <f>Parameters!N105</f>
        <v>1</v>
      </c>
      <c r="Q208" s="23">
        <f>Parameters!O105</f>
        <v>100</v>
      </c>
      <c r="R208" s="23">
        <f>Parameters!P105</f>
        <v>10</v>
      </c>
      <c r="S208" s="23">
        <f>Parameters!Q105</f>
        <v>2</v>
      </c>
      <c r="T208" s="23">
        <f>Parameters!R105</f>
        <v>1</v>
      </c>
      <c r="U208" s="27">
        <f>Parameters!S105</f>
        <v>42741</v>
      </c>
      <c r="V208" s="28">
        <f>Parameters!T105</f>
        <v>0.30208333333333331</v>
      </c>
      <c r="W208" s="27">
        <f>Parameters!U105</f>
        <v>42964</v>
      </c>
      <c r="X208" s="28">
        <f>Parameters!V105</f>
        <v>0.65277777777777779</v>
      </c>
      <c r="Y208" s="25">
        <f>Parameters!W105</f>
        <v>28</v>
      </c>
      <c r="Z208" s="23">
        <f>Parameters!X105</f>
        <v>1</v>
      </c>
      <c r="AA208" s="27">
        <f>Parameters!Y105</f>
        <v>42964</v>
      </c>
      <c r="AB208" s="28">
        <f>Parameters!Z105</f>
        <v>0.65347222222222223</v>
      </c>
      <c r="AC208" s="23">
        <f>Parameters!AA105</f>
        <v>1</v>
      </c>
    </row>
    <row r="209" spans="1:29">
      <c r="A209" s="29" t="str">
        <f>UPPER(A208)</f>
        <v>6SM7</v>
      </c>
      <c r="B209" s="29">
        <f>B208</f>
        <v>1E-4</v>
      </c>
      <c r="C209" s="30">
        <f>C208</f>
        <v>2</v>
      </c>
      <c r="D209" s="30" t="str">
        <f>D208</f>
        <v>BUY</v>
      </c>
      <c r="E209" s="29">
        <f>E208</f>
        <v>0</v>
      </c>
      <c r="F209" s="29">
        <f>F208</f>
        <v>0.01</v>
      </c>
      <c r="G209" s="29">
        <f>IF(C208=1,IF(D208="BUY",E208+(ROUND(F208*G208/B208,0)*B208),E208-(ROUND(F208*G208/B208,0)*B208)),IF(D208="BUY",E208-(ROUND(F208*G208/B208,0)*B208),E208+(ROUND(F208*G208/B208,0)*B208)))</f>
        <v>-3.0000000000000003E-4</v>
      </c>
      <c r="H209" s="29">
        <f>IF(C208=1,IF(D208="BUY",G209-(ROUND(F208*H208/B208,0)*B208),G209+(ROUND(F208*H208/B208,0)*B208)),IF(D208="BUY",G209+(ROUND(F208*H208/B208,0)*B208),G209-(ROUND(F208*H208/B208,0)*B208)))</f>
        <v>-3.0000000000000003E-4</v>
      </c>
      <c r="I209" s="29">
        <f>IF(D208="BUY",G209+(ROUND(F208*I208/(B208*100),0)*B208),G209-(ROUND(F208*I208/(B208*100),0)*B208))</f>
        <v>-3.0000000000000003E-4</v>
      </c>
      <c r="J209" s="29">
        <f>IF(C208=1,IF(D208="BUY",E208+(ROUND(F208*J208/B208,0)*B208),E208-(ROUND(F208*J208/B208,0)*B208)),IF(D208="BUY",E208-(ROUND(F208*J208/B208,0)*B208),E208+(ROUND(F208*J208/B208,0)*B208)))</f>
        <v>-0.01</v>
      </c>
      <c r="K209" s="29">
        <f>IF(C208=1,IF(D208="BUY",E208-(ROUND(F208*K208/B208,0)*B208),E208+(ROUND(F208*K208/B208,0)*B208)),IF(D208="BUY",E208-(ROUND(F208*K208/B208,0)*B208),E208+(ROUND(F208*K208/B208,0)*B208)))</f>
        <v>-0.01</v>
      </c>
      <c r="L209" s="29">
        <f t="shared" ref="L209" si="308">IF(D209="BUY",I209+(R209*B209),I209-(R209*B209))</f>
        <v>6.9999999999999999E-4</v>
      </c>
      <c r="M209" s="29">
        <f>IF(D208="BUY",E208+(ROUND(F208*M208/B208,0)*B208),E208-(ROUND(F208*M208/B208,0)*B208))</f>
        <v>0.01</v>
      </c>
      <c r="N209" s="29">
        <f>IF(D208="BUY",E208-(ROUND(F208*N208/B208,0)*B208),E208+(ROUND(F208*N208/B208,0)*B208))</f>
        <v>-0.01</v>
      </c>
      <c r="O209" s="31">
        <f>IF(D209="BUY",N209-VLOOKUP(A209,Symbols!A$1:D$1000,4,FALSE),N209+VLOOKUP(A209,Symbols!A$1:D$1000,4,FALSE))</f>
        <v>-1.3000000000000001E-2</v>
      </c>
      <c r="P209" s="29">
        <f>P208</f>
        <v>1</v>
      </c>
      <c r="Q209" s="29">
        <f>Q208</f>
        <v>100</v>
      </c>
      <c r="R209" s="29">
        <f>R208</f>
        <v>10</v>
      </c>
      <c r="S209" s="29">
        <f>S208</f>
        <v>2</v>
      </c>
      <c r="T209" s="29">
        <f>T208</f>
        <v>1</v>
      </c>
      <c r="U209" s="29">
        <f>DATEDIF(DATE(1970,1,1),U208,"D")*86400</f>
        <v>1483660800</v>
      </c>
      <c r="V209" s="29">
        <f>HOUR(V208)*3600+MINUTE(V208)*60+SECOND(V208)</f>
        <v>26100</v>
      </c>
      <c r="W209" s="29">
        <f>DATEDIF(DATE(1970,1,1),W208,"D")*86400</f>
        <v>1502928000</v>
      </c>
      <c r="X209" s="29">
        <f>HOUR(X208)*3600+MINUTE(X208)*60+SECOND(X208)</f>
        <v>56400</v>
      </c>
      <c r="Y209" s="31">
        <f>(Y208*B209)</f>
        <v>2.8E-3</v>
      </c>
      <c r="Z209" s="29">
        <f>Z208</f>
        <v>1</v>
      </c>
      <c r="AA209" s="29">
        <f>DATEDIF(DATE(1970,1,1),AA208,"D")*86400</f>
        <v>1502928000</v>
      </c>
      <c r="AB209" s="29">
        <f>HOUR(AB208)*3600+MINUTE(AB208)*60+SECOND(AB208)</f>
        <v>56460</v>
      </c>
      <c r="AC209" s="29">
        <f>AC208</f>
        <v>1</v>
      </c>
    </row>
    <row r="210" spans="1:29">
      <c r="A210" s="23" t="str">
        <f>Parameters!A106</f>
        <v>6SM7</v>
      </c>
      <c r="B210" s="23">
        <f>Parameters!B106</f>
        <v>1E-4</v>
      </c>
      <c r="C210" s="24">
        <f>Parameters!C106</f>
        <v>2</v>
      </c>
      <c r="D210" s="24" t="str">
        <f>Parameters!D106</f>
        <v>BUY</v>
      </c>
      <c r="E210" s="23">
        <f>Parameters!E106</f>
        <v>0</v>
      </c>
      <c r="F210" s="23">
        <f>Parameters!F106</f>
        <v>0.01</v>
      </c>
      <c r="G210" s="25">
        <f>Parameters!G106</f>
        <v>0.04</v>
      </c>
      <c r="H210" s="25">
        <f>Parameters!H106</f>
        <v>0</v>
      </c>
      <c r="I210" s="25">
        <f>Parameters!I106</f>
        <v>0</v>
      </c>
      <c r="J210" s="25">
        <f>Parameters!J106</f>
        <v>1</v>
      </c>
      <c r="K210" s="25">
        <f>Parameters!K106</f>
        <v>1</v>
      </c>
      <c r="L210" s="26">
        <f t="shared" ref="L210" si="309">L211</f>
        <v>6.0000000000000006E-4</v>
      </c>
      <c r="M210" s="25">
        <f>Parameters!L106</f>
        <v>1</v>
      </c>
      <c r="N210" s="25">
        <f>Parameters!M106</f>
        <v>1</v>
      </c>
      <c r="O210" s="26">
        <f t="shared" ref="O210" si="310">O211</f>
        <v>-1.3000000000000001E-2</v>
      </c>
      <c r="P210" s="23">
        <f>Parameters!N106</f>
        <v>1</v>
      </c>
      <c r="Q210" s="23">
        <f>Parameters!O106</f>
        <v>100</v>
      </c>
      <c r="R210" s="23">
        <f>Parameters!P106</f>
        <v>10</v>
      </c>
      <c r="S210" s="23">
        <f>Parameters!Q106</f>
        <v>2</v>
      </c>
      <c r="T210" s="23">
        <f>Parameters!R106</f>
        <v>1</v>
      </c>
      <c r="U210" s="27">
        <f>Parameters!S106</f>
        <v>42741</v>
      </c>
      <c r="V210" s="28">
        <f>Parameters!T106</f>
        <v>0.30208333333333331</v>
      </c>
      <c r="W210" s="27">
        <f>Parameters!U106</f>
        <v>42964</v>
      </c>
      <c r="X210" s="28">
        <f>Parameters!V106</f>
        <v>0.65277777777777779</v>
      </c>
      <c r="Y210" s="25">
        <f>Parameters!W106</f>
        <v>28</v>
      </c>
      <c r="Z210" s="23">
        <f>Parameters!X106</f>
        <v>1</v>
      </c>
      <c r="AA210" s="27">
        <f>Parameters!Y106</f>
        <v>42964</v>
      </c>
      <c r="AB210" s="28">
        <f>Parameters!Z106</f>
        <v>0.65347222222222223</v>
      </c>
      <c r="AC210" s="23">
        <f>Parameters!AA106</f>
        <v>1</v>
      </c>
    </row>
    <row r="211" spans="1:29">
      <c r="A211" s="29" t="str">
        <f>UPPER(A210)</f>
        <v>6SM7</v>
      </c>
      <c r="B211" s="29">
        <f>B210</f>
        <v>1E-4</v>
      </c>
      <c r="C211" s="30">
        <f>C210</f>
        <v>2</v>
      </c>
      <c r="D211" s="30" t="str">
        <f>D210</f>
        <v>BUY</v>
      </c>
      <c r="E211" s="29">
        <f>E210</f>
        <v>0</v>
      </c>
      <c r="F211" s="29">
        <f>F210</f>
        <v>0.01</v>
      </c>
      <c r="G211" s="29">
        <f>IF(C210=1,IF(D210="BUY",E210+(ROUND(F210*G210/B210,0)*B210),E210-(ROUND(F210*G210/B210,0)*B210)),IF(D210="BUY",E210-(ROUND(F210*G210/B210,0)*B210),E210+(ROUND(F210*G210/B210,0)*B210)))</f>
        <v>-4.0000000000000002E-4</v>
      </c>
      <c r="H211" s="29">
        <f>IF(C210=1,IF(D210="BUY",G211-(ROUND(F210*H210/B210,0)*B210),G211+(ROUND(F210*H210/B210,0)*B210)),IF(D210="BUY",G211+(ROUND(F210*H210/B210,0)*B210),G211-(ROUND(F210*H210/B210,0)*B210)))</f>
        <v>-4.0000000000000002E-4</v>
      </c>
      <c r="I211" s="29">
        <f>IF(D210="BUY",G211+(ROUND(F210*I210/(B210*100),0)*B210),G211-(ROUND(F210*I210/(B210*100),0)*B210))</f>
        <v>-4.0000000000000002E-4</v>
      </c>
      <c r="J211" s="29">
        <f>IF(C210=1,IF(D210="BUY",E210+(ROUND(F210*J210/B210,0)*B210),E210-(ROUND(F210*J210/B210,0)*B210)),IF(D210="BUY",E210-(ROUND(F210*J210/B210,0)*B210),E210+(ROUND(F210*J210/B210,0)*B210)))</f>
        <v>-0.01</v>
      </c>
      <c r="K211" s="29">
        <f>IF(C210=1,IF(D210="BUY",E210-(ROUND(F210*K210/B210,0)*B210),E210+(ROUND(F210*K210/B210,0)*B210)),IF(D210="BUY",E210-(ROUND(F210*K210/B210,0)*B210),E210+(ROUND(F210*K210/B210,0)*B210)))</f>
        <v>-0.01</v>
      </c>
      <c r="L211" s="29">
        <f t="shared" ref="L211" si="311">IF(D211="BUY",I211+(R211*B211),I211-(R211*B211))</f>
        <v>6.0000000000000006E-4</v>
      </c>
      <c r="M211" s="29">
        <f>IF(D210="BUY",E210+(ROUND(F210*M210/B210,0)*B210),E210-(ROUND(F210*M210/B210,0)*B210))</f>
        <v>0.01</v>
      </c>
      <c r="N211" s="29">
        <f>IF(D210="BUY",E210-(ROUND(F210*N210/B210,0)*B210),E210+(ROUND(F210*N210/B210,0)*B210))</f>
        <v>-0.01</v>
      </c>
      <c r="O211" s="31">
        <f>IF(D211="BUY",N211-VLOOKUP(A211,Symbols!A$1:D$1000,4,FALSE),N211+VLOOKUP(A211,Symbols!A$1:D$1000,4,FALSE))</f>
        <v>-1.3000000000000001E-2</v>
      </c>
      <c r="P211" s="29">
        <f>P210</f>
        <v>1</v>
      </c>
      <c r="Q211" s="29">
        <f>Q210</f>
        <v>100</v>
      </c>
      <c r="R211" s="29">
        <f>R210</f>
        <v>10</v>
      </c>
      <c r="S211" s="29">
        <f>S210</f>
        <v>2</v>
      </c>
      <c r="T211" s="29">
        <f>T210</f>
        <v>1</v>
      </c>
      <c r="U211" s="29">
        <f>DATEDIF(DATE(1970,1,1),U210,"D")*86400</f>
        <v>1483660800</v>
      </c>
      <c r="V211" s="29">
        <f>HOUR(V210)*3600+MINUTE(V210)*60+SECOND(V210)</f>
        <v>26100</v>
      </c>
      <c r="W211" s="29">
        <f>DATEDIF(DATE(1970,1,1),W210,"D")*86400</f>
        <v>1502928000</v>
      </c>
      <c r="X211" s="29">
        <f>HOUR(X210)*3600+MINUTE(X210)*60+SECOND(X210)</f>
        <v>56400</v>
      </c>
      <c r="Y211" s="31">
        <f>(Y210*B211)</f>
        <v>2.8E-3</v>
      </c>
      <c r="Z211" s="29">
        <f>Z210</f>
        <v>1</v>
      </c>
      <c r="AA211" s="29">
        <f>DATEDIF(DATE(1970,1,1),AA210,"D")*86400</f>
        <v>1502928000</v>
      </c>
      <c r="AB211" s="29">
        <f>HOUR(AB210)*3600+MINUTE(AB210)*60+SECOND(AB210)</f>
        <v>56460</v>
      </c>
      <c r="AC211" s="29">
        <f>AC210</f>
        <v>1</v>
      </c>
    </row>
    <row r="212" spans="1:29">
      <c r="A212" s="23" t="str">
        <f>Parameters!A107</f>
        <v>6SM7</v>
      </c>
      <c r="B212" s="23">
        <f>Parameters!B107</f>
        <v>1E-4</v>
      </c>
      <c r="C212" s="24">
        <f>Parameters!C107</f>
        <v>2</v>
      </c>
      <c r="D212" s="24" t="str">
        <f>Parameters!D107</f>
        <v>BUY</v>
      </c>
      <c r="E212" s="23">
        <f>Parameters!E107</f>
        <v>0</v>
      </c>
      <c r="F212" s="23">
        <f>Parameters!F107</f>
        <v>0.01</v>
      </c>
      <c r="G212" s="25">
        <f>Parameters!G107</f>
        <v>0.05</v>
      </c>
      <c r="H212" s="25">
        <f>Parameters!H107</f>
        <v>0</v>
      </c>
      <c r="I212" s="25">
        <f>Parameters!I107</f>
        <v>0</v>
      </c>
      <c r="J212" s="25">
        <f>Parameters!J107</f>
        <v>1</v>
      </c>
      <c r="K212" s="25">
        <f>Parameters!K107</f>
        <v>1</v>
      </c>
      <c r="L212" s="26">
        <f t="shared" ref="L212" si="312">L213</f>
        <v>5.0000000000000001E-4</v>
      </c>
      <c r="M212" s="25">
        <f>Parameters!L107</f>
        <v>1</v>
      </c>
      <c r="N212" s="25">
        <f>Parameters!M107</f>
        <v>1</v>
      </c>
      <c r="O212" s="26">
        <f t="shared" ref="O212" si="313">O213</f>
        <v>-1.3000000000000001E-2</v>
      </c>
      <c r="P212" s="23">
        <f>Parameters!N107</f>
        <v>1</v>
      </c>
      <c r="Q212" s="23">
        <f>Parameters!O107</f>
        <v>100</v>
      </c>
      <c r="R212" s="23">
        <f>Parameters!P107</f>
        <v>10</v>
      </c>
      <c r="S212" s="23">
        <f>Parameters!Q107</f>
        <v>2</v>
      </c>
      <c r="T212" s="23">
        <f>Parameters!R107</f>
        <v>1</v>
      </c>
      <c r="U212" s="27">
        <f>Parameters!S107</f>
        <v>42741</v>
      </c>
      <c r="V212" s="28">
        <f>Parameters!T107</f>
        <v>0.30208333333333331</v>
      </c>
      <c r="W212" s="27">
        <f>Parameters!U107</f>
        <v>42964</v>
      </c>
      <c r="X212" s="28">
        <f>Parameters!V107</f>
        <v>0.65277777777777779</v>
      </c>
      <c r="Y212" s="25">
        <f>Parameters!W107</f>
        <v>28</v>
      </c>
      <c r="Z212" s="23">
        <f>Parameters!X107</f>
        <v>1</v>
      </c>
      <c r="AA212" s="27">
        <f>Parameters!Y107</f>
        <v>42964</v>
      </c>
      <c r="AB212" s="28">
        <f>Parameters!Z107</f>
        <v>0.65347222222222223</v>
      </c>
      <c r="AC212" s="23">
        <f>Parameters!AA107</f>
        <v>1</v>
      </c>
    </row>
    <row r="213" spans="1:29">
      <c r="A213" s="29" t="str">
        <f>UPPER(A212)</f>
        <v>6SM7</v>
      </c>
      <c r="B213" s="29">
        <f>B212</f>
        <v>1E-4</v>
      </c>
      <c r="C213" s="30">
        <f>C212</f>
        <v>2</v>
      </c>
      <c r="D213" s="30" t="str">
        <f>D212</f>
        <v>BUY</v>
      </c>
      <c r="E213" s="29">
        <f>E212</f>
        <v>0</v>
      </c>
      <c r="F213" s="29">
        <f>F212</f>
        <v>0.01</v>
      </c>
      <c r="G213" s="29">
        <f>IF(C212=1,IF(D212="BUY",E212+(ROUND(F212*G212/B212,0)*B212),E212-(ROUND(F212*G212/B212,0)*B212)),IF(D212="BUY",E212-(ROUND(F212*G212/B212,0)*B212),E212+(ROUND(F212*G212/B212,0)*B212)))</f>
        <v>-5.0000000000000001E-4</v>
      </c>
      <c r="H213" s="29">
        <f>IF(C212=1,IF(D212="BUY",G213-(ROUND(F212*H212/B212,0)*B212),G213+(ROUND(F212*H212/B212,0)*B212)),IF(D212="BUY",G213+(ROUND(F212*H212/B212,0)*B212),G213-(ROUND(F212*H212/B212,0)*B212)))</f>
        <v>-5.0000000000000001E-4</v>
      </c>
      <c r="I213" s="29">
        <f>IF(D212="BUY",G213+(ROUND(F212*I212/(B212*100),0)*B212),G213-(ROUND(F212*I212/(B212*100),0)*B212))</f>
        <v>-5.0000000000000001E-4</v>
      </c>
      <c r="J213" s="29">
        <f>IF(C212=1,IF(D212="BUY",E212+(ROUND(F212*J212/B212,0)*B212),E212-(ROUND(F212*J212/B212,0)*B212)),IF(D212="BUY",E212-(ROUND(F212*J212/B212,0)*B212),E212+(ROUND(F212*J212/B212,0)*B212)))</f>
        <v>-0.01</v>
      </c>
      <c r="K213" s="29">
        <f>IF(C212=1,IF(D212="BUY",E212-(ROUND(F212*K212/B212,0)*B212),E212+(ROUND(F212*K212/B212,0)*B212)),IF(D212="BUY",E212-(ROUND(F212*K212/B212,0)*B212),E212+(ROUND(F212*K212/B212,0)*B212)))</f>
        <v>-0.01</v>
      </c>
      <c r="L213" s="29">
        <f t="shared" ref="L213" si="314">IF(D213="BUY",I213+(R213*B213),I213-(R213*B213))</f>
        <v>5.0000000000000001E-4</v>
      </c>
      <c r="M213" s="29">
        <f>IF(D212="BUY",E212+(ROUND(F212*M212/B212,0)*B212),E212-(ROUND(F212*M212/B212,0)*B212))</f>
        <v>0.01</v>
      </c>
      <c r="N213" s="29">
        <f>IF(D212="BUY",E212-(ROUND(F212*N212/B212,0)*B212),E212+(ROUND(F212*N212/B212,0)*B212))</f>
        <v>-0.01</v>
      </c>
      <c r="O213" s="31">
        <f>IF(D213="BUY",N213-VLOOKUP(A213,Symbols!A$1:D$1000,4,FALSE),N213+VLOOKUP(A213,Symbols!A$1:D$1000,4,FALSE))</f>
        <v>-1.3000000000000001E-2</v>
      </c>
      <c r="P213" s="29">
        <f>P212</f>
        <v>1</v>
      </c>
      <c r="Q213" s="29">
        <f>Q212</f>
        <v>100</v>
      </c>
      <c r="R213" s="29">
        <f>R212</f>
        <v>10</v>
      </c>
      <c r="S213" s="29">
        <f>S212</f>
        <v>2</v>
      </c>
      <c r="T213" s="29">
        <f>T212</f>
        <v>1</v>
      </c>
      <c r="U213" s="29">
        <f>DATEDIF(DATE(1970,1,1),U212,"D")*86400</f>
        <v>1483660800</v>
      </c>
      <c r="V213" s="29">
        <f>HOUR(V212)*3600+MINUTE(V212)*60+SECOND(V212)</f>
        <v>26100</v>
      </c>
      <c r="W213" s="29">
        <f>DATEDIF(DATE(1970,1,1),W212,"D")*86400</f>
        <v>1502928000</v>
      </c>
      <c r="X213" s="29">
        <f>HOUR(X212)*3600+MINUTE(X212)*60+SECOND(X212)</f>
        <v>56400</v>
      </c>
      <c r="Y213" s="31">
        <f>(Y212*B213)</f>
        <v>2.8E-3</v>
      </c>
      <c r="Z213" s="29">
        <f>Z212</f>
        <v>1</v>
      </c>
      <c r="AA213" s="29">
        <f>DATEDIF(DATE(1970,1,1),AA212,"D")*86400</f>
        <v>1502928000</v>
      </c>
      <c r="AB213" s="29">
        <f>HOUR(AB212)*3600+MINUTE(AB212)*60+SECOND(AB212)</f>
        <v>56460</v>
      </c>
      <c r="AC213" s="29">
        <f>AC212</f>
        <v>1</v>
      </c>
    </row>
    <row r="214" spans="1:29">
      <c r="A214" s="23" t="str">
        <f>Parameters!A108</f>
        <v>6SM7</v>
      </c>
      <c r="B214" s="23">
        <f>Parameters!B108</f>
        <v>1E-4</v>
      </c>
      <c r="C214" s="24">
        <f>Parameters!C108</f>
        <v>2</v>
      </c>
      <c r="D214" s="24" t="str">
        <f>Parameters!D108</f>
        <v>BUY</v>
      </c>
      <c r="E214" s="23">
        <f>Parameters!E108</f>
        <v>0</v>
      </c>
      <c r="F214" s="23">
        <f>Parameters!F108</f>
        <v>0.01</v>
      </c>
      <c r="G214" s="25">
        <f>Parameters!G108</f>
        <v>0.06</v>
      </c>
      <c r="H214" s="25">
        <f>Parameters!H108</f>
        <v>0</v>
      </c>
      <c r="I214" s="25">
        <f>Parameters!I108</f>
        <v>0</v>
      </c>
      <c r="J214" s="25">
        <f>Parameters!J108</f>
        <v>1</v>
      </c>
      <c r="K214" s="25">
        <f>Parameters!K108</f>
        <v>1</v>
      </c>
      <c r="L214" s="26">
        <f t="shared" ref="L214" si="315">L215</f>
        <v>3.9999999999999996E-4</v>
      </c>
      <c r="M214" s="25">
        <f>Parameters!L108</f>
        <v>1</v>
      </c>
      <c r="N214" s="25">
        <f>Parameters!M108</f>
        <v>1</v>
      </c>
      <c r="O214" s="26">
        <f t="shared" ref="O214" si="316">O215</f>
        <v>-1.3000000000000001E-2</v>
      </c>
      <c r="P214" s="23">
        <f>Parameters!N108</f>
        <v>1</v>
      </c>
      <c r="Q214" s="23">
        <f>Parameters!O108</f>
        <v>100</v>
      </c>
      <c r="R214" s="23">
        <f>Parameters!P108</f>
        <v>10</v>
      </c>
      <c r="S214" s="23">
        <f>Parameters!Q108</f>
        <v>2</v>
      </c>
      <c r="T214" s="23">
        <f>Parameters!R108</f>
        <v>1</v>
      </c>
      <c r="U214" s="27">
        <f>Parameters!S108</f>
        <v>42741</v>
      </c>
      <c r="V214" s="28">
        <f>Parameters!T108</f>
        <v>0.30208333333333331</v>
      </c>
      <c r="W214" s="27">
        <f>Parameters!U108</f>
        <v>42964</v>
      </c>
      <c r="X214" s="28">
        <f>Parameters!V108</f>
        <v>0.65277777777777779</v>
      </c>
      <c r="Y214" s="25">
        <f>Parameters!W108</f>
        <v>28</v>
      </c>
      <c r="Z214" s="23">
        <f>Parameters!X108</f>
        <v>1</v>
      </c>
      <c r="AA214" s="27">
        <f>Parameters!Y108</f>
        <v>42964</v>
      </c>
      <c r="AB214" s="28">
        <f>Parameters!Z108</f>
        <v>0.65347222222222223</v>
      </c>
      <c r="AC214" s="23">
        <f>Parameters!AA108</f>
        <v>1</v>
      </c>
    </row>
    <row r="215" spans="1:29">
      <c r="A215" s="29" t="str">
        <f>UPPER(A214)</f>
        <v>6SM7</v>
      </c>
      <c r="B215" s="29">
        <f>B214</f>
        <v>1E-4</v>
      </c>
      <c r="C215" s="30">
        <f>C214</f>
        <v>2</v>
      </c>
      <c r="D215" s="30" t="str">
        <f>D214</f>
        <v>BUY</v>
      </c>
      <c r="E215" s="29">
        <f>E214</f>
        <v>0</v>
      </c>
      <c r="F215" s="29">
        <f>F214</f>
        <v>0.01</v>
      </c>
      <c r="G215" s="29">
        <f>IF(C214=1,IF(D214="BUY",E214+(ROUND(F214*G214/B214,0)*B214),E214-(ROUND(F214*G214/B214,0)*B214)),IF(D214="BUY",E214-(ROUND(F214*G214/B214,0)*B214),E214+(ROUND(F214*G214/B214,0)*B214)))</f>
        <v>-6.0000000000000006E-4</v>
      </c>
      <c r="H215" s="29">
        <f>IF(C214=1,IF(D214="BUY",G215-(ROUND(F214*H214/B214,0)*B214),G215+(ROUND(F214*H214/B214,0)*B214)),IF(D214="BUY",G215+(ROUND(F214*H214/B214,0)*B214),G215-(ROUND(F214*H214/B214,0)*B214)))</f>
        <v>-6.0000000000000006E-4</v>
      </c>
      <c r="I215" s="29">
        <f>IF(D214="BUY",G215+(ROUND(F214*I214/(B214*100),0)*B214),G215-(ROUND(F214*I214/(B214*100),0)*B214))</f>
        <v>-6.0000000000000006E-4</v>
      </c>
      <c r="J215" s="29">
        <f>IF(C214=1,IF(D214="BUY",E214+(ROUND(F214*J214/B214,0)*B214),E214-(ROUND(F214*J214/B214,0)*B214)),IF(D214="BUY",E214-(ROUND(F214*J214/B214,0)*B214),E214+(ROUND(F214*J214/B214,0)*B214)))</f>
        <v>-0.01</v>
      </c>
      <c r="K215" s="29">
        <f>IF(C214=1,IF(D214="BUY",E214-(ROUND(F214*K214/B214,0)*B214),E214+(ROUND(F214*K214/B214,0)*B214)),IF(D214="BUY",E214-(ROUND(F214*K214/B214,0)*B214),E214+(ROUND(F214*K214/B214,0)*B214)))</f>
        <v>-0.01</v>
      </c>
      <c r="L215" s="29">
        <f t="shared" ref="L215" si="317">IF(D215="BUY",I215+(R215*B215),I215-(R215*B215))</f>
        <v>3.9999999999999996E-4</v>
      </c>
      <c r="M215" s="29">
        <f>IF(D214="BUY",E214+(ROUND(F214*M214/B214,0)*B214),E214-(ROUND(F214*M214/B214,0)*B214))</f>
        <v>0.01</v>
      </c>
      <c r="N215" s="29">
        <f>IF(D214="BUY",E214-(ROUND(F214*N214/B214,0)*B214),E214+(ROUND(F214*N214/B214,0)*B214))</f>
        <v>-0.01</v>
      </c>
      <c r="O215" s="31">
        <f>IF(D215="BUY",N215-VLOOKUP(A215,Symbols!A$1:D$1000,4,FALSE),N215+VLOOKUP(A215,Symbols!A$1:D$1000,4,FALSE))</f>
        <v>-1.3000000000000001E-2</v>
      </c>
      <c r="P215" s="29">
        <f>P214</f>
        <v>1</v>
      </c>
      <c r="Q215" s="29">
        <f>Q214</f>
        <v>100</v>
      </c>
      <c r="R215" s="29">
        <f>R214</f>
        <v>10</v>
      </c>
      <c r="S215" s="29">
        <f>S214</f>
        <v>2</v>
      </c>
      <c r="T215" s="29">
        <f>T214</f>
        <v>1</v>
      </c>
      <c r="U215" s="29">
        <f>DATEDIF(DATE(1970,1,1),U214,"D")*86400</f>
        <v>1483660800</v>
      </c>
      <c r="V215" s="29">
        <f>HOUR(V214)*3600+MINUTE(V214)*60+SECOND(V214)</f>
        <v>26100</v>
      </c>
      <c r="W215" s="29">
        <f>DATEDIF(DATE(1970,1,1),W214,"D")*86400</f>
        <v>1502928000</v>
      </c>
      <c r="X215" s="29">
        <f>HOUR(X214)*3600+MINUTE(X214)*60+SECOND(X214)</f>
        <v>56400</v>
      </c>
      <c r="Y215" s="31">
        <f>(Y214*B215)</f>
        <v>2.8E-3</v>
      </c>
      <c r="Z215" s="29">
        <f>Z214</f>
        <v>1</v>
      </c>
      <c r="AA215" s="29">
        <f>DATEDIF(DATE(1970,1,1),AA214,"D")*86400</f>
        <v>1502928000</v>
      </c>
      <c r="AB215" s="29">
        <f>HOUR(AB214)*3600+MINUTE(AB214)*60+SECOND(AB214)</f>
        <v>56460</v>
      </c>
      <c r="AC215" s="29">
        <f>AC214</f>
        <v>1</v>
      </c>
    </row>
    <row r="216" spans="1:29">
      <c r="A216" s="23" t="str">
        <f>Parameters!A109</f>
        <v>6SM7</v>
      </c>
      <c r="B216" s="23">
        <f>Parameters!B109</f>
        <v>1E-4</v>
      </c>
      <c r="C216" s="24">
        <f>Parameters!C109</f>
        <v>2</v>
      </c>
      <c r="D216" s="24" t="str">
        <f>Parameters!D109</f>
        <v>BUY</v>
      </c>
      <c r="E216" s="23">
        <f>Parameters!E109</f>
        <v>0</v>
      </c>
      <c r="F216" s="23">
        <f>Parameters!F109</f>
        <v>0.01</v>
      </c>
      <c r="G216" s="25">
        <f>Parameters!G109</f>
        <v>7.0000000000000007E-2</v>
      </c>
      <c r="H216" s="25">
        <f>Parameters!H109</f>
        <v>0</v>
      </c>
      <c r="I216" s="25">
        <f>Parameters!I109</f>
        <v>0</v>
      </c>
      <c r="J216" s="25">
        <f>Parameters!J109</f>
        <v>1</v>
      </c>
      <c r="K216" s="25">
        <f>Parameters!K109</f>
        <v>1</v>
      </c>
      <c r="L216" s="26">
        <f t="shared" ref="L216" si="318">L217</f>
        <v>3.0000000000000003E-4</v>
      </c>
      <c r="M216" s="25">
        <f>Parameters!L109</f>
        <v>1</v>
      </c>
      <c r="N216" s="25">
        <f>Parameters!M109</f>
        <v>1</v>
      </c>
      <c r="O216" s="26">
        <f t="shared" ref="O216" si="319">O217</f>
        <v>-1.3000000000000001E-2</v>
      </c>
      <c r="P216" s="23">
        <f>Parameters!N109</f>
        <v>1</v>
      </c>
      <c r="Q216" s="23">
        <f>Parameters!O109</f>
        <v>100</v>
      </c>
      <c r="R216" s="23">
        <f>Parameters!P109</f>
        <v>10</v>
      </c>
      <c r="S216" s="23">
        <f>Parameters!Q109</f>
        <v>2</v>
      </c>
      <c r="T216" s="23">
        <f>Parameters!R109</f>
        <v>1</v>
      </c>
      <c r="U216" s="27">
        <f>Parameters!S109</f>
        <v>42741</v>
      </c>
      <c r="V216" s="28">
        <f>Parameters!T109</f>
        <v>0.30208333333333331</v>
      </c>
      <c r="W216" s="27">
        <f>Parameters!U109</f>
        <v>42964</v>
      </c>
      <c r="X216" s="28">
        <f>Parameters!V109</f>
        <v>0.65277777777777779</v>
      </c>
      <c r="Y216" s="25">
        <f>Parameters!W109</f>
        <v>28</v>
      </c>
      <c r="Z216" s="23">
        <f>Parameters!X109</f>
        <v>1</v>
      </c>
      <c r="AA216" s="27">
        <f>Parameters!Y109</f>
        <v>42964</v>
      </c>
      <c r="AB216" s="28">
        <f>Parameters!Z109</f>
        <v>0.65347222222222223</v>
      </c>
      <c r="AC216" s="23">
        <f>Parameters!AA109</f>
        <v>1</v>
      </c>
    </row>
    <row r="217" spans="1:29">
      <c r="A217" s="29" t="str">
        <f>UPPER(A216)</f>
        <v>6SM7</v>
      </c>
      <c r="B217" s="29">
        <f>B216</f>
        <v>1E-4</v>
      </c>
      <c r="C217" s="30">
        <f>C216</f>
        <v>2</v>
      </c>
      <c r="D217" s="30" t="str">
        <f>D216</f>
        <v>BUY</v>
      </c>
      <c r="E217" s="29">
        <f>E216</f>
        <v>0</v>
      </c>
      <c r="F217" s="29">
        <f>F216</f>
        <v>0.01</v>
      </c>
      <c r="G217" s="29">
        <f>IF(C216=1,IF(D216="BUY",E216+(ROUND(F216*G216/B216,0)*B216),E216-(ROUND(F216*G216/B216,0)*B216)),IF(D216="BUY",E216-(ROUND(F216*G216/B216,0)*B216),E216+(ROUND(F216*G216/B216,0)*B216)))</f>
        <v>-6.9999999999999999E-4</v>
      </c>
      <c r="H217" s="29">
        <f>IF(C216=1,IF(D216="BUY",G217-(ROUND(F216*H216/B216,0)*B216),G217+(ROUND(F216*H216/B216,0)*B216)),IF(D216="BUY",G217+(ROUND(F216*H216/B216,0)*B216),G217-(ROUND(F216*H216/B216,0)*B216)))</f>
        <v>-6.9999999999999999E-4</v>
      </c>
      <c r="I217" s="29">
        <f>IF(D216="BUY",G217+(ROUND(F216*I216/(B216*100),0)*B216),G217-(ROUND(F216*I216/(B216*100),0)*B216))</f>
        <v>-6.9999999999999999E-4</v>
      </c>
      <c r="J217" s="29">
        <f>IF(C216=1,IF(D216="BUY",E216+(ROUND(F216*J216/B216,0)*B216),E216-(ROUND(F216*J216/B216,0)*B216)),IF(D216="BUY",E216-(ROUND(F216*J216/B216,0)*B216),E216+(ROUND(F216*J216/B216,0)*B216)))</f>
        <v>-0.01</v>
      </c>
      <c r="K217" s="29">
        <f>IF(C216=1,IF(D216="BUY",E216-(ROUND(F216*K216/B216,0)*B216),E216+(ROUND(F216*K216/B216,0)*B216)),IF(D216="BUY",E216-(ROUND(F216*K216/B216,0)*B216),E216+(ROUND(F216*K216/B216,0)*B216)))</f>
        <v>-0.01</v>
      </c>
      <c r="L217" s="29">
        <f t="shared" ref="L217" si="320">IF(D217="BUY",I217+(R217*B217),I217-(R217*B217))</f>
        <v>3.0000000000000003E-4</v>
      </c>
      <c r="M217" s="29">
        <f>IF(D216="BUY",E216+(ROUND(F216*M216/B216,0)*B216),E216-(ROUND(F216*M216/B216,0)*B216))</f>
        <v>0.01</v>
      </c>
      <c r="N217" s="29">
        <f>IF(D216="BUY",E216-(ROUND(F216*N216/B216,0)*B216),E216+(ROUND(F216*N216/B216,0)*B216))</f>
        <v>-0.01</v>
      </c>
      <c r="O217" s="31">
        <f>IF(D217="BUY",N217-VLOOKUP(A217,Symbols!A$1:D$1000,4,FALSE),N217+VLOOKUP(A217,Symbols!A$1:D$1000,4,FALSE))</f>
        <v>-1.3000000000000001E-2</v>
      </c>
      <c r="P217" s="29">
        <f>P216</f>
        <v>1</v>
      </c>
      <c r="Q217" s="29">
        <f>Q216</f>
        <v>100</v>
      </c>
      <c r="R217" s="29">
        <f>R216</f>
        <v>10</v>
      </c>
      <c r="S217" s="29">
        <f>S216</f>
        <v>2</v>
      </c>
      <c r="T217" s="29">
        <f>T216</f>
        <v>1</v>
      </c>
      <c r="U217" s="29">
        <f>DATEDIF(DATE(1970,1,1),U216,"D")*86400</f>
        <v>1483660800</v>
      </c>
      <c r="V217" s="29">
        <f>HOUR(V216)*3600+MINUTE(V216)*60+SECOND(V216)</f>
        <v>26100</v>
      </c>
      <c r="W217" s="29">
        <f>DATEDIF(DATE(1970,1,1),W216,"D")*86400</f>
        <v>1502928000</v>
      </c>
      <c r="X217" s="29">
        <f>HOUR(X216)*3600+MINUTE(X216)*60+SECOND(X216)</f>
        <v>56400</v>
      </c>
      <c r="Y217" s="31">
        <f>(Y216*B217)</f>
        <v>2.8E-3</v>
      </c>
      <c r="Z217" s="29">
        <f>Z216</f>
        <v>1</v>
      </c>
      <c r="AA217" s="29">
        <f>DATEDIF(DATE(1970,1,1),AA216,"D")*86400</f>
        <v>1502928000</v>
      </c>
      <c r="AB217" s="29">
        <f>HOUR(AB216)*3600+MINUTE(AB216)*60+SECOND(AB216)</f>
        <v>56460</v>
      </c>
      <c r="AC217" s="29">
        <f>AC216</f>
        <v>1</v>
      </c>
    </row>
    <row r="218" spans="1:29">
      <c r="A218" s="23" t="str">
        <f>Parameters!A110</f>
        <v>6SM7</v>
      </c>
      <c r="B218" s="23">
        <f>Parameters!B110</f>
        <v>1E-4</v>
      </c>
      <c r="C218" s="24">
        <f>Parameters!C110</f>
        <v>2</v>
      </c>
      <c r="D218" s="24" t="str">
        <f>Parameters!D110</f>
        <v>BUY</v>
      </c>
      <c r="E218" s="23">
        <f>Parameters!E110</f>
        <v>0</v>
      </c>
      <c r="F218" s="23">
        <f>Parameters!F110</f>
        <v>0.01</v>
      </c>
      <c r="G218" s="25">
        <f>Parameters!G110</f>
        <v>0.08</v>
      </c>
      <c r="H218" s="25">
        <f>Parameters!H110</f>
        <v>0</v>
      </c>
      <c r="I218" s="25">
        <f>Parameters!I110</f>
        <v>0</v>
      </c>
      <c r="J218" s="25">
        <f>Parameters!J110</f>
        <v>1</v>
      </c>
      <c r="K218" s="25">
        <f>Parameters!K110</f>
        <v>1</v>
      </c>
      <c r="L218" s="26">
        <f t="shared" ref="L218" si="321">L219</f>
        <v>1.9999999999999998E-4</v>
      </c>
      <c r="M218" s="25">
        <f>Parameters!L110</f>
        <v>1</v>
      </c>
      <c r="N218" s="25">
        <f>Parameters!M110</f>
        <v>1</v>
      </c>
      <c r="O218" s="26">
        <f t="shared" ref="O218" si="322">O219</f>
        <v>-1.3000000000000001E-2</v>
      </c>
      <c r="P218" s="23">
        <f>Parameters!N110</f>
        <v>1</v>
      </c>
      <c r="Q218" s="23">
        <f>Parameters!O110</f>
        <v>100</v>
      </c>
      <c r="R218" s="23">
        <f>Parameters!P110</f>
        <v>10</v>
      </c>
      <c r="S218" s="23">
        <f>Parameters!Q110</f>
        <v>2</v>
      </c>
      <c r="T218" s="23">
        <f>Parameters!R110</f>
        <v>1</v>
      </c>
      <c r="U218" s="27">
        <f>Parameters!S110</f>
        <v>42741</v>
      </c>
      <c r="V218" s="28">
        <f>Parameters!T110</f>
        <v>0.30208333333333331</v>
      </c>
      <c r="W218" s="27">
        <f>Parameters!U110</f>
        <v>42964</v>
      </c>
      <c r="X218" s="28">
        <f>Parameters!V110</f>
        <v>0.65277777777777779</v>
      </c>
      <c r="Y218" s="25">
        <f>Parameters!W110</f>
        <v>28</v>
      </c>
      <c r="Z218" s="23">
        <f>Parameters!X110</f>
        <v>1</v>
      </c>
      <c r="AA218" s="27">
        <f>Parameters!Y110</f>
        <v>42964</v>
      </c>
      <c r="AB218" s="28">
        <f>Parameters!Z110</f>
        <v>0.65347222222222223</v>
      </c>
      <c r="AC218" s="23">
        <f>Parameters!AA110</f>
        <v>1</v>
      </c>
    </row>
    <row r="219" spans="1:29">
      <c r="A219" s="29" t="str">
        <f>UPPER(A218)</f>
        <v>6SM7</v>
      </c>
      <c r="B219" s="29">
        <f>B218</f>
        <v>1E-4</v>
      </c>
      <c r="C219" s="30">
        <f>C218</f>
        <v>2</v>
      </c>
      <c r="D219" s="30" t="str">
        <f>D218</f>
        <v>BUY</v>
      </c>
      <c r="E219" s="29">
        <f>E218</f>
        <v>0</v>
      </c>
      <c r="F219" s="29">
        <f>F218</f>
        <v>0.01</v>
      </c>
      <c r="G219" s="29">
        <f>IF(C218=1,IF(D218="BUY",E218+(ROUND(F218*G218/B218,0)*B218),E218-(ROUND(F218*G218/B218,0)*B218)),IF(D218="BUY",E218-(ROUND(F218*G218/B218,0)*B218),E218+(ROUND(F218*G218/B218,0)*B218)))</f>
        <v>-8.0000000000000004E-4</v>
      </c>
      <c r="H219" s="29">
        <f>IF(C218=1,IF(D218="BUY",G219-(ROUND(F218*H218/B218,0)*B218),G219+(ROUND(F218*H218/B218,0)*B218)),IF(D218="BUY",G219+(ROUND(F218*H218/B218,0)*B218),G219-(ROUND(F218*H218/B218,0)*B218)))</f>
        <v>-8.0000000000000004E-4</v>
      </c>
      <c r="I219" s="29">
        <f>IF(D218="BUY",G219+(ROUND(F218*I218/(B218*100),0)*B218),G219-(ROUND(F218*I218/(B218*100),0)*B218))</f>
        <v>-8.0000000000000004E-4</v>
      </c>
      <c r="J219" s="29">
        <f>IF(C218=1,IF(D218="BUY",E218+(ROUND(F218*J218/B218,0)*B218),E218-(ROUND(F218*J218/B218,0)*B218)),IF(D218="BUY",E218-(ROUND(F218*J218/B218,0)*B218),E218+(ROUND(F218*J218/B218,0)*B218)))</f>
        <v>-0.01</v>
      </c>
      <c r="K219" s="29">
        <f>IF(C218=1,IF(D218="BUY",E218-(ROUND(F218*K218/B218,0)*B218),E218+(ROUND(F218*K218/B218,0)*B218)),IF(D218="BUY",E218-(ROUND(F218*K218/B218,0)*B218),E218+(ROUND(F218*K218/B218,0)*B218)))</f>
        <v>-0.01</v>
      </c>
      <c r="L219" s="29">
        <f t="shared" ref="L219" si="323">IF(D219="BUY",I219+(R219*B219),I219-(R219*B219))</f>
        <v>1.9999999999999998E-4</v>
      </c>
      <c r="M219" s="29">
        <f>IF(D218="BUY",E218+(ROUND(F218*M218/B218,0)*B218),E218-(ROUND(F218*M218/B218,0)*B218))</f>
        <v>0.01</v>
      </c>
      <c r="N219" s="29">
        <f>IF(D218="BUY",E218-(ROUND(F218*N218/B218,0)*B218),E218+(ROUND(F218*N218/B218,0)*B218))</f>
        <v>-0.01</v>
      </c>
      <c r="O219" s="31">
        <f>IF(D219="BUY",N219-VLOOKUP(A219,Symbols!A$1:D$1000,4,FALSE),N219+VLOOKUP(A219,Symbols!A$1:D$1000,4,FALSE))</f>
        <v>-1.3000000000000001E-2</v>
      </c>
      <c r="P219" s="29">
        <f>P218</f>
        <v>1</v>
      </c>
      <c r="Q219" s="29">
        <f>Q218</f>
        <v>100</v>
      </c>
      <c r="R219" s="29">
        <f>R218</f>
        <v>10</v>
      </c>
      <c r="S219" s="29">
        <f>S218</f>
        <v>2</v>
      </c>
      <c r="T219" s="29">
        <f>T218</f>
        <v>1</v>
      </c>
      <c r="U219" s="29">
        <f>DATEDIF(DATE(1970,1,1),U218,"D")*86400</f>
        <v>1483660800</v>
      </c>
      <c r="V219" s="29">
        <f>HOUR(V218)*3600+MINUTE(V218)*60+SECOND(V218)</f>
        <v>26100</v>
      </c>
      <c r="W219" s="29">
        <f>DATEDIF(DATE(1970,1,1),W218,"D")*86400</f>
        <v>1502928000</v>
      </c>
      <c r="X219" s="29">
        <f>HOUR(X218)*3600+MINUTE(X218)*60+SECOND(X218)</f>
        <v>56400</v>
      </c>
      <c r="Y219" s="31">
        <f>(Y218*B219)</f>
        <v>2.8E-3</v>
      </c>
      <c r="Z219" s="29">
        <f>Z218</f>
        <v>1</v>
      </c>
      <c r="AA219" s="29">
        <f>DATEDIF(DATE(1970,1,1),AA218,"D")*86400</f>
        <v>1502928000</v>
      </c>
      <c r="AB219" s="29">
        <f>HOUR(AB218)*3600+MINUTE(AB218)*60+SECOND(AB218)</f>
        <v>56460</v>
      </c>
      <c r="AC219" s="29">
        <f>AC218</f>
        <v>1</v>
      </c>
    </row>
    <row r="220" spans="1:29">
      <c r="A220" s="23" t="str">
        <f>Parameters!A111</f>
        <v>6SM7</v>
      </c>
      <c r="B220" s="23">
        <f>Parameters!B111</f>
        <v>1E-4</v>
      </c>
      <c r="C220" s="24">
        <f>Parameters!C111</f>
        <v>2</v>
      </c>
      <c r="D220" s="24" t="str">
        <f>Parameters!D111</f>
        <v>BUY</v>
      </c>
      <c r="E220" s="23">
        <f>Parameters!E111</f>
        <v>0</v>
      </c>
      <c r="F220" s="23">
        <f>Parameters!F111</f>
        <v>0.01</v>
      </c>
      <c r="G220" s="25">
        <f>Parameters!G111</f>
        <v>0.09</v>
      </c>
      <c r="H220" s="25">
        <f>Parameters!H111</f>
        <v>0</v>
      </c>
      <c r="I220" s="25">
        <f>Parameters!I111</f>
        <v>0</v>
      </c>
      <c r="J220" s="25">
        <f>Parameters!J111</f>
        <v>1</v>
      </c>
      <c r="K220" s="25">
        <f>Parameters!K111</f>
        <v>1</v>
      </c>
      <c r="L220" s="26">
        <f t="shared" ref="L220" si="324">L221</f>
        <v>9.9999999999999937E-5</v>
      </c>
      <c r="M220" s="25">
        <f>Parameters!L111</f>
        <v>1</v>
      </c>
      <c r="N220" s="25">
        <f>Parameters!M111</f>
        <v>1</v>
      </c>
      <c r="O220" s="26">
        <f t="shared" ref="O220" si="325">O221</f>
        <v>-1.3000000000000001E-2</v>
      </c>
      <c r="P220" s="23">
        <f>Parameters!N111</f>
        <v>1</v>
      </c>
      <c r="Q220" s="23">
        <f>Parameters!O111</f>
        <v>100</v>
      </c>
      <c r="R220" s="23">
        <f>Parameters!P111</f>
        <v>10</v>
      </c>
      <c r="S220" s="23">
        <f>Parameters!Q111</f>
        <v>2</v>
      </c>
      <c r="T220" s="23">
        <f>Parameters!R111</f>
        <v>1</v>
      </c>
      <c r="U220" s="27">
        <f>Parameters!S111</f>
        <v>42741</v>
      </c>
      <c r="V220" s="28">
        <f>Parameters!T111</f>
        <v>0.30208333333333331</v>
      </c>
      <c r="W220" s="27">
        <f>Parameters!U111</f>
        <v>42964</v>
      </c>
      <c r="X220" s="28">
        <f>Parameters!V111</f>
        <v>0.65277777777777779</v>
      </c>
      <c r="Y220" s="25">
        <f>Parameters!W111</f>
        <v>28</v>
      </c>
      <c r="Z220" s="23">
        <f>Parameters!X111</f>
        <v>1</v>
      </c>
      <c r="AA220" s="27">
        <f>Parameters!Y111</f>
        <v>42964</v>
      </c>
      <c r="AB220" s="28">
        <f>Parameters!Z111</f>
        <v>0.65347222222222223</v>
      </c>
      <c r="AC220" s="23">
        <f>Parameters!AA111</f>
        <v>1</v>
      </c>
    </row>
    <row r="221" spans="1:29">
      <c r="A221" s="29" t="str">
        <f>UPPER(A220)</f>
        <v>6SM7</v>
      </c>
      <c r="B221" s="29">
        <f>B220</f>
        <v>1E-4</v>
      </c>
      <c r="C221" s="30">
        <f>C220</f>
        <v>2</v>
      </c>
      <c r="D221" s="30" t="str">
        <f>D220</f>
        <v>BUY</v>
      </c>
      <c r="E221" s="29">
        <f>E220</f>
        <v>0</v>
      </c>
      <c r="F221" s="29">
        <f>F220</f>
        <v>0.01</v>
      </c>
      <c r="G221" s="29">
        <f>IF(C220=1,IF(D220="BUY",E220+(ROUND(F220*G220/B220,0)*B220),E220-(ROUND(F220*G220/B220,0)*B220)),IF(D220="BUY",E220-(ROUND(F220*G220/B220,0)*B220),E220+(ROUND(F220*G220/B220,0)*B220)))</f>
        <v>-9.0000000000000008E-4</v>
      </c>
      <c r="H221" s="29">
        <f>IF(C220=1,IF(D220="BUY",G221-(ROUND(F220*H220/B220,0)*B220),G221+(ROUND(F220*H220/B220,0)*B220)),IF(D220="BUY",G221+(ROUND(F220*H220/B220,0)*B220),G221-(ROUND(F220*H220/B220,0)*B220)))</f>
        <v>-9.0000000000000008E-4</v>
      </c>
      <c r="I221" s="29">
        <f>IF(D220="BUY",G221+(ROUND(F220*I220/(B220*100),0)*B220),G221-(ROUND(F220*I220/(B220*100),0)*B220))</f>
        <v>-9.0000000000000008E-4</v>
      </c>
      <c r="J221" s="29">
        <f>IF(C220=1,IF(D220="BUY",E220+(ROUND(F220*J220/B220,0)*B220),E220-(ROUND(F220*J220/B220,0)*B220)),IF(D220="BUY",E220-(ROUND(F220*J220/B220,0)*B220),E220+(ROUND(F220*J220/B220,0)*B220)))</f>
        <v>-0.01</v>
      </c>
      <c r="K221" s="29">
        <f>IF(C220=1,IF(D220="BUY",E220-(ROUND(F220*K220/B220,0)*B220),E220+(ROUND(F220*K220/B220,0)*B220)),IF(D220="BUY",E220-(ROUND(F220*K220/B220,0)*B220),E220+(ROUND(F220*K220/B220,0)*B220)))</f>
        <v>-0.01</v>
      </c>
      <c r="L221" s="29">
        <f t="shared" ref="L221" si="326">IF(D221="BUY",I221+(R221*B221),I221-(R221*B221))</f>
        <v>9.9999999999999937E-5</v>
      </c>
      <c r="M221" s="29">
        <f>IF(D220="BUY",E220+(ROUND(F220*M220/B220,0)*B220),E220-(ROUND(F220*M220/B220,0)*B220))</f>
        <v>0.01</v>
      </c>
      <c r="N221" s="29">
        <f>IF(D220="BUY",E220-(ROUND(F220*N220/B220,0)*B220),E220+(ROUND(F220*N220/B220,0)*B220))</f>
        <v>-0.01</v>
      </c>
      <c r="O221" s="31">
        <f>IF(D221="BUY",N221-VLOOKUP(A221,Symbols!A$1:D$1000,4,FALSE),N221+VLOOKUP(A221,Symbols!A$1:D$1000,4,FALSE))</f>
        <v>-1.3000000000000001E-2</v>
      </c>
      <c r="P221" s="29">
        <f>P220</f>
        <v>1</v>
      </c>
      <c r="Q221" s="29">
        <f>Q220</f>
        <v>100</v>
      </c>
      <c r="R221" s="29">
        <f>R220</f>
        <v>10</v>
      </c>
      <c r="S221" s="29">
        <f>S220</f>
        <v>2</v>
      </c>
      <c r="T221" s="29">
        <f>T220</f>
        <v>1</v>
      </c>
      <c r="U221" s="29">
        <f>DATEDIF(DATE(1970,1,1),U220,"D")*86400</f>
        <v>1483660800</v>
      </c>
      <c r="V221" s="29">
        <f>HOUR(V220)*3600+MINUTE(V220)*60+SECOND(V220)</f>
        <v>26100</v>
      </c>
      <c r="W221" s="29">
        <f>DATEDIF(DATE(1970,1,1),W220,"D")*86400</f>
        <v>1502928000</v>
      </c>
      <c r="X221" s="29">
        <f>HOUR(X220)*3600+MINUTE(X220)*60+SECOND(X220)</f>
        <v>56400</v>
      </c>
      <c r="Y221" s="31">
        <f>(Y220*B221)</f>
        <v>2.8E-3</v>
      </c>
      <c r="Z221" s="29">
        <f>Z220</f>
        <v>1</v>
      </c>
      <c r="AA221" s="29">
        <f>DATEDIF(DATE(1970,1,1),AA220,"D")*86400</f>
        <v>1502928000</v>
      </c>
      <c r="AB221" s="29">
        <f>HOUR(AB220)*3600+MINUTE(AB220)*60+SECOND(AB220)</f>
        <v>56460</v>
      </c>
      <c r="AC221" s="29">
        <f>AC220</f>
        <v>1</v>
      </c>
    </row>
    <row r="222" spans="1:29">
      <c r="A222" s="23" t="str">
        <f>Parameters!A112</f>
        <v>6SM7</v>
      </c>
      <c r="B222" s="23">
        <f>Parameters!B112</f>
        <v>1E-4</v>
      </c>
      <c r="C222" s="24">
        <f>Parameters!C112</f>
        <v>2</v>
      </c>
      <c r="D222" s="24" t="str">
        <f>Parameters!D112</f>
        <v>SELL</v>
      </c>
      <c r="E222" s="23">
        <f>Parameters!E112</f>
        <v>0</v>
      </c>
      <c r="F222" s="23">
        <f>Parameters!F112</f>
        <v>0.01</v>
      </c>
      <c r="G222" s="25">
        <f>Parameters!G112</f>
        <v>0</v>
      </c>
      <c r="H222" s="25">
        <f>Parameters!H112</f>
        <v>0</v>
      </c>
      <c r="I222" s="25">
        <f>Parameters!I112</f>
        <v>0</v>
      </c>
      <c r="J222" s="25">
        <f>Parameters!J112</f>
        <v>1</v>
      </c>
      <c r="K222" s="25">
        <f>Parameters!K112</f>
        <v>1</v>
      </c>
      <c r="L222" s="26">
        <f t="shared" ref="L222" si="327">L223</f>
        <v>-1E-3</v>
      </c>
      <c r="M222" s="25">
        <f>Parameters!L112</f>
        <v>1</v>
      </c>
      <c r="N222" s="25">
        <f>Parameters!M112</f>
        <v>1</v>
      </c>
      <c r="O222" s="26">
        <f t="shared" ref="O222" si="328">O223</f>
        <v>1.3000000000000001E-2</v>
      </c>
      <c r="P222" s="23">
        <f>Parameters!N112</f>
        <v>1</v>
      </c>
      <c r="Q222" s="23">
        <f>Parameters!O112</f>
        <v>100</v>
      </c>
      <c r="R222" s="23">
        <f>Parameters!P112</f>
        <v>10</v>
      </c>
      <c r="S222" s="23">
        <f>Parameters!Q112</f>
        <v>2</v>
      </c>
      <c r="T222" s="23">
        <f>Parameters!R112</f>
        <v>1</v>
      </c>
      <c r="U222" s="27">
        <f>Parameters!S112</f>
        <v>42741</v>
      </c>
      <c r="V222" s="28">
        <f>Parameters!T112</f>
        <v>0.30208333333333331</v>
      </c>
      <c r="W222" s="27">
        <f>Parameters!U112</f>
        <v>42964</v>
      </c>
      <c r="X222" s="28">
        <f>Parameters!V112</f>
        <v>0.65277777777777779</v>
      </c>
      <c r="Y222" s="25">
        <f>Parameters!W112</f>
        <v>28</v>
      </c>
      <c r="Z222" s="23">
        <f>Parameters!X112</f>
        <v>1</v>
      </c>
      <c r="AA222" s="27">
        <f>Parameters!Y112</f>
        <v>42964</v>
      </c>
      <c r="AB222" s="28">
        <f>Parameters!Z112</f>
        <v>0.65347222222222223</v>
      </c>
      <c r="AC222" s="23">
        <f>Parameters!AA112</f>
        <v>1</v>
      </c>
    </row>
    <row r="223" spans="1:29">
      <c r="A223" s="29" t="str">
        <f>UPPER(A222)</f>
        <v>6SM7</v>
      </c>
      <c r="B223" s="29">
        <f>B222</f>
        <v>1E-4</v>
      </c>
      <c r="C223" s="30">
        <f>C222</f>
        <v>2</v>
      </c>
      <c r="D223" s="30" t="str">
        <f>D222</f>
        <v>SELL</v>
      </c>
      <c r="E223" s="29">
        <f>E222</f>
        <v>0</v>
      </c>
      <c r="F223" s="29">
        <f>F222</f>
        <v>0.01</v>
      </c>
      <c r="G223" s="29">
        <f>IF(C222=1,IF(D222="BUY",E222+(ROUND(F222*G222/B222,0)*B222),E222-(ROUND(F222*G222/B222,0)*B222)),IF(D222="BUY",E222-(ROUND(F222*G222/B222,0)*B222),E222+(ROUND(F222*G222/B222,0)*B222)))</f>
        <v>0</v>
      </c>
      <c r="H223" s="29">
        <f>IF(C222=1,IF(D222="BUY",G223-(ROUND(F222*H222/B222,0)*B222),G223+(ROUND(F222*H222/B222,0)*B222)),IF(D222="BUY",G223+(ROUND(F222*H222/B222,0)*B222),G223-(ROUND(F222*H222/B222,0)*B222)))</f>
        <v>0</v>
      </c>
      <c r="I223" s="29">
        <f>IF(D222="BUY",G223+(ROUND(F222*I222/(B222*100),0)*B222),G223-(ROUND(F222*I222/(B222*100),0)*B222))</f>
        <v>0</v>
      </c>
      <c r="J223" s="29">
        <f>IF(C222=1,IF(D222="BUY",E222+(ROUND(F222*J222/B222,0)*B222),E222-(ROUND(F222*J222/B222,0)*B222)),IF(D222="BUY",E222-(ROUND(F222*J222/B222,0)*B222),E222+(ROUND(F222*J222/B222,0)*B222)))</f>
        <v>0.01</v>
      </c>
      <c r="K223" s="29">
        <f>IF(C222=1,IF(D222="BUY",E222-(ROUND(F222*K222/B222,0)*B222),E222+(ROUND(F222*K222/B222,0)*B222)),IF(D222="BUY",E222-(ROUND(F222*K222/B222,0)*B222),E222+(ROUND(F222*K222/B222,0)*B222)))</f>
        <v>0.01</v>
      </c>
      <c r="L223" s="29">
        <f t="shared" ref="L223" si="329">IF(D223="BUY",I223+(R223*B223),I223-(R223*B223))</f>
        <v>-1E-3</v>
      </c>
      <c r="M223" s="29">
        <f>IF(D222="BUY",E222+(ROUND(F222*M222/B222,0)*B222),E222-(ROUND(F222*M222/B222,0)*B222))</f>
        <v>-0.01</v>
      </c>
      <c r="N223" s="29">
        <f>IF(D222="BUY",E222-(ROUND(F222*N222/B222,0)*B222),E222+(ROUND(F222*N222/B222,0)*B222))</f>
        <v>0.01</v>
      </c>
      <c r="O223" s="31">
        <f>IF(D223="BUY",N223-VLOOKUP(A223,Symbols!A$1:D$1000,4,FALSE),N223+VLOOKUP(A223,Symbols!A$1:D$1000,4,FALSE))</f>
        <v>1.3000000000000001E-2</v>
      </c>
      <c r="P223" s="29">
        <f>P222</f>
        <v>1</v>
      </c>
      <c r="Q223" s="29">
        <f>Q222</f>
        <v>100</v>
      </c>
      <c r="R223" s="29">
        <f>R222</f>
        <v>10</v>
      </c>
      <c r="S223" s="29">
        <f>S222</f>
        <v>2</v>
      </c>
      <c r="T223" s="29">
        <f>T222</f>
        <v>1</v>
      </c>
      <c r="U223" s="29">
        <f>DATEDIF(DATE(1970,1,1),U222,"D")*86400</f>
        <v>1483660800</v>
      </c>
      <c r="V223" s="29">
        <f>HOUR(V222)*3600+MINUTE(V222)*60+SECOND(V222)</f>
        <v>26100</v>
      </c>
      <c r="W223" s="29">
        <f>DATEDIF(DATE(1970,1,1),W222,"D")*86400</f>
        <v>1502928000</v>
      </c>
      <c r="X223" s="29">
        <f>HOUR(X222)*3600+MINUTE(X222)*60+SECOND(X222)</f>
        <v>56400</v>
      </c>
      <c r="Y223" s="31">
        <f>(Y222*B223)</f>
        <v>2.8E-3</v>
      </c>
      <c r="Z223" s="29">
        <f>Z222</f>
        <v>1</v>
      </c>
      <c r="AA223" s="29">
        <f>DATEDIF(DATE(1970,1,1),AA222,"D")*86400</f>
        <v>1502928000</v>
      </c>
      <c r="AB223" s="29">
        <f>HOUR(AB222)*3600+MINUTE(AB222)*60+SECOND(AB222)</f>
        <v>56460</v>
      </c>
      <c r="AC223" s="29">
        <f>AC222</f>
        <v>1</v>
      </c>
    </row>
    <row r="224" spans="1:29">
      <c r="A224" s="23" t="str">
        <f>Parameters!A113</f>
        <v>6SM7</v>
      </c>
      <c r="B224" s="23">
        <f>Parameters!B113</f>
        <v>1E-4</v>
      </c>
      <c r="C224" s="24">
        <f>Parameters!C113</f>
        <v>2</v>
      </c>
      <c r="D224" s="24" t="str">
        <f>Parameters!D113</f>
        <v>SELL</v>
      </c>
      <c r="E224" s="23">
        <f>Parameters!E113</f>
        <v>0</v>
      </c>
      <c r="F224" s="23">
        <f>Parameters!F113</f>
        <v>0.01</v>
      </c>
      <c r="G224" s="25">
        <f>Parameters!G113</f>
        <v>0.01</v>
      </c>
      <c r="H224" s="25">
        <f>Parameters!H113</f>
        <v>0</v>
      </c>
      <c r="I224" s="25">
        <f>Parameters!I113</f>
        <v>0</v>
      </c>
      <c r="J224" s="25">
        <f>Parameters!J113</f>
        <v>1</v>
      </c>
      <c r="K224" s="25">
        <f>Parameters!K113</f>
        <v>1</v>
      </c>
      <c r="L224" s="26">
        <f t="shared" ref="L224" si="330">L225</f>
        <v>-8.9999999999999998E-4</v>
      </c>
      <c r="M224" s="25">
        <f>Parameters!L113</f>
        <v>1</v>
      </c>
      <c r="N224" s="25">
        <f>Parameters!M113</f>
        <v>1</v>
      </c>
      <c r="O224" s="26">
        <f t="shared" ref="O224" si="331">O225</f>
        <v>1.3000000000000001E-2</v>
      </c>
      <c r="P224" s="23">
        <f>Parameters!N113</f>
        <v>1</v>
      </c>
      <c r="Q224" s="23">
        <f>Parameters!O113</f>
        <v>100</v>
      </c>
      <c r="R224" s="23">
        <f>Parameters!P113</f>
        <v>10</v>
      </c>
      <c r="S224" s="23">
        <f>Parameters!Q113</f>
        <v>2</v>
      </c>
      <c r="T224" s="23">
        <f>Parameters!R113</f>
        <v>1</v>
      </c>
      <c r="U224" s="27">
        <f>Parameters!S113</f>
        <v>42741</v>
      </c>
      <c r="V224" s="28">
        <f>Parameters!T113</f>
        <v>0.30208333333333331</v>
      </c>
      <c r="W224" s="27">
        <f>Parameters!U113</f>
        <v>42964</v>
      </c>
      <c r="X224" s="28">
        <f>Parameters!V113</f>
        <v>0.65277777777777779</v>
      </c>
      <c r="Y224" s="25">
        <f>Parameters!W113</f>
        <v>28</v>
      </c>
      <c r="Z224" s="23">
        <f>Parameters!X113</f>
        <v>1</v>
      </c>
      <c r="AA224" s="27">
        <f>Parameters!Y113</f>
        <v>42964</v>
      </c>
      <c r="AB224" s="28">
        <f>Parameters!Z113</f>
        <v>0.65347222222222223</v>
      </c>
      <c r="AC224" s="23">
        <f>Parameters!AA113</f>
        <v>1</v>
      </c>
    </row>
    <row r="225" spans="1:29">
      <c r="A225" s="29" t="str">
        <f>UPPER(A224)</f>
        <v>6SM7</v>
      </c>
      <c r="B225" s="29">
        <f>B224</f>
        <v>1E-4</v>
      </c>
      <c r="C225" s="30">
        <f>C224</f>
        <v>2</v>
      </c>
      <c r="D225" s="30" t="str">
        <f>D224</f>
        <v>SELL</v>
      </c>
      <c r="E225" s="29">
        <f>E224</f>
        <v>0</v>
      </c>
      <c r="F225" s="29">
        <f>F224</f>
        <v>0.01</v>
      </c>
      <c r="G225" s="29">
        <f>IF(C224=1,IF(D224="BUY",E224+(ROUND(F224*G224/B224,0)*B224),E224-(ROUND(F224*G224/B224,0)*B224)),IF(D224="BUY",E224-(ROUND(F224*G224/B224,0)*B224),E224+(ROUND(F224*G224/B224,0)*B224)))</f>
        <v>1E-4</v>
      </c>
      <c r="H225" s="29">
        <f>IF(C224=1,IF(D224="BUY",G225-(ROUND(F224*H224/B224,0)*B224),G225+(ROUND(F224*H224/B224,0)*B224)),IF(D224="BUY",G225+(ROUND(F224*H224/B224,0)*B224),G225-(ROUND(F224*H224/B224,0)*B224)))</f>
        <v>1E-4</v>
      </c>
      <c r="I225" s="29">
        <f>IF(D224="BUY",G225+(ROUND(F224*I224/(B224*100),0)*B224),G225-(ROUND(F224*I224/(B224*100),0)*B224))</f>
        <v>1E-4</v>
      </c>
      <c r="J225" s="29">
        <f>IF(C224=1,IF(D224="BUY",E224+(ROUND(F224*J224/B224,0)*B224),E224-(ROUND(F224*J224/B224,0)*B224)),IF(D224="BUY",E224-(ROUND(F224*J224/B224,0)*B224),E224+(ROUND(F224*J224/B224,0)*B224)))</f>
        <v>0.01</v>
      </c>
      <c r="K225" s="29">
        <f>IF(C224=1,IF(D224="BUY",E224-(ROUND(F224*K224/B224,0)*B224),E224+(ROUND(F224*K224/B224,0)*B224)),IF(D224="BUY",E224-(ROUND(F224*K224/B224,0)*B224),E224+(ROUND(F224*K224/B224,0)*B224)))</f>
        <v>0.01</v>
      </c>
      <c r="L225" s="29">
        <f t="shared" ref="L225" si="332">IF(D225="BUY",I225+(R225*B225),I225-(R225*B225))</f>
        <v>-8.9999999999999998E-4</v>
      </c>
      <c r="M225" s="29">
        <f>IF(D224="BUY",E224+(ROUND(F224*M224/B224,0)*B224),E224-(ROUND(F224*M224/B224,0)*B224))</f>
        <v>-0.01</v>
      </c>
      <c r="N225" s="29">
        <f>IF(D224="BUY",E224-(ROUND(F224*N224/B224,0)*B224),E224+(ROUND(F224*N224/B224,0)*B224))</f>
        <v>0.01</v>
      </c>
      <c r="O225" s="31">
        <f>IF(D225="BUY",N225-VLOOKUP(A225,Symbols!A$1:D$1000,4,FALSE),N225+VLOOKUP(A225,Symbols!A$1:D$1000,4,FALSE))</f>
        <v>1.3000000000000001E-2</v>
      </c>
      <c r="P225" s="29">
        <f>P224</f>
        <v>1</v>
      </c>
      <c r="Q225" s="29">
        <f>Q224</f>
        <v>100</v>
      </c>
      <c r="R225" s="29">
        <f>R224</f>
        <v>10</v>
      </c>
      <c r="S225" s="29">
        <f>S224</f>
        <v>2</v>
      </c>
      <c r="T225" s="29">
        <f>T224</f>
        <v>1</v>
      </c>
      <c r="U225" s="29">
        <f>DATEDIF(DATE(1970,1,1),U224,"D")*86400</f>
        <v>1483660800</v>
      </c>
      <c r="V225" s="29">
        <f>HOUR(V224)*3600+MINUTE(V224)*60+SECOND(V224)</f>
        <v>26100</v>
      </c>
      <c r="W225" s="29">
        <f>DATEDIF(DATE(1970,1,1),W224,"D")*86400</f>
        <v>1502928000</v>
      </c>
      <c r="X225" s="29">
        <f>HOUR(X224)*3600+MINUTE(X224)*60+SECOND(X224)</f>
        <v>56400</v>
      </c>
      <c r="Y225" s="31">
        <f>(Y224*B225)</f>
        <v>2.8E-3</v>
      </c>
      <c r="Z225" s="29">
        <f>Z224</f>
        <v>1</v>
      </c>
      <c r="AA225" s="29">
        <f>DATEDIF(DATE(1970,1,1),AA224,"D")*86400</f>
        <v>1502928000</v>
      </c>
      <c r="AB225" s="29">
        <f>HOUR(AB224)*3600+MINUTE(AB224)*60+SECOND(AB224)</f>
        <v>56460</v>
      </c>
      <c r="AC225" s="29">
        <f>AC224</f>
        <v>1</v>
      </c>
    </row>
    <row r="226" spans="1:29">
      <c r="A226" s="23" t="str">
        <f>Parameters!A114</f>
        <v>6SM7</v>
      </c>
      <c r="B226" s="23">
        <f>Parameters!B114</f>
        <v>1E-4</v>
      </c>
      <c r="C226" s="24">
        <f>Parameters!C114</f>
        <v>2</v>
      </c>
      <c r="D226" s="24" t="str">
        <f>Parameters!D114</f>
        <v>SELL</v>
      </c>
      <c r="E226" s="23">
        <f>Parameters!E114</f>
        <v>0</v>
      </c>
      <c r="F226" s="23">
        <f>Parameters!F114</f>
        <v>0.01</v>
      </c>
      <c r="G226" s="25">
        <f>Parameters!G114</f>
        <v>0.02</v>
      </c>
      <c r="H226" s="25">
        <f>Parameters!H114</f>
        <v>0</v>
      </c>
      <c r="I226" s="25">
        <f>Parameters!I114</f>
        <v>0</v>
      </c>
      <c r="J226" s="25">
        <f>Parameters!J114</f>
        <v>1</v>
      </c>
      <c r="K226" s="25">
        <f>Parameters!K114</f>
        <v>1</v>
      </c>
      <c r="L226" s="26">
        <f t="shared" ref="L226" si="333">L227</f>
        <v>-8.0000000000000004E-4</v>
      </c>
      <c r="M226" s="25">
        <f>Parameters!L114</f>
        <v>1</v>
      </c>
      <c r="N226" s="25">
        <f>Parameters!M114</f>
        <v>1</v>
      </c>
      <c r="O226" s="26">
        <f t="shared" ref="O226" si="334">O227</f>
        <v>1.3000000000000001E-2</v>
      </c>
      <c r="P226" s="23">
        <f>Parameters!N114</f>
        <v>1</v>
      </c>
      <c r="Q226" s="23">
        <f>Parameters!O114</f>
        <v>100</v>
      </c>
      <c r="R226" s="23">
        <f>Parameters!P114</f>
        <v>10</v>
      </c>
      <c r="S226" s="23">
        <f>Parameters!Q114</f>
        <v>2</v>
      </c>
      <c r="T226" s="23">
        <f>Parameters!R114</f>
        <v>1</v>
      </c>
      <c r="U226" s="27">
        <f>Parameters!S114</f>
        <v>42741</v>
      </c>
      <c r="V226" s="28">
        <f>Parameters!T114</f>
        <v>0.30208333333333331</v>
      </c>
      <c r="W226" s="27">
        <f>Parameters!U114</f>
        <v>42964</v>
      </c>
      <c r="X226" s="28">
        <f>Parameters!V114</f>
        <v>0.65277777777777779</v>
      </c>
      <c r="Y226" s="25">
        <f>Parameters!W114</f>
        <v>28</v>
      </c>
      <c r="Z226" s="23">
        <f>Parameters!X114</f>
        <v>1</v>
      </c>
      <c r="AA226" s="27">
        <f>Parameters!Y114</f>
        <v>42964</v>
      </c>
      <c r="AB226" s="28">
        <f>Parameters!Z114</f>
        <v>0.65347222222222223</v>
      </c>
      <c r="AC226" s="23">
        <f>Parameters!AA114</f>
        <v>1</v>
      </c>
    </row>
    <row r="227" spans="1:29">
      <c r="A227" s="29" t="str">
        <f>UPPER(A226)</f>
        <v>6SM7</v>
      </c>
      <c r="B227" s="29">
        <f>B226</f>
        <v>1E-4</v>
      </c>
      <c r="C227" s="30">
        <f>C226</f>
        <v>2</v>
      </c>
      <c r="D227" s="30" t="str">
        <f>D226</f>
        <v>SELL</v>
      </c>
      <c r="E227" s="29">
        <f>E226</f>
        <v>0</v>
      </c>
      <c r="F227" s="29">
        <f>F226</f>
        <v>0.01</v>
      </c>
      <c r="G227" s="29">
        <f>IF(C226=1,IF(D226="BUY",E226+(ROUND(F226*G226/B226,0)*B226),E226-(ROUND(F226*G226/B226,0)*B226)),IF(D226="BUY",E226-(ROUND(F226*G226/B226,0)*B226),E226+(ROUND(F226*G226/B226,0)*B226)))</f>
        <v>2.0000000000000001E-4</v>
      </c>
      <c r="H227" s="29">
        <f>IF(C226=1,IF(D226="BUY",G227-(ROUND(F226*H226/B226,0)*B226),G227+(ROUND(F226*H226/B226,0)*B226)),IF(D226="BUY",G227+(ROUND(F226*H226/B226,0)*B226),G227-(ROUND(F226*H226/B226,0)*B226)))</f>
        <v>2.0000000000000001E-4</v>
      </c>
      <c r="I227" s="29">
        <f>IF(D226="BUY",G227+(ROUND(F226*I226/(B226*100),0)*B226),G227-(ROUND(F226*I226/(B226*100),0)*B226))</f>
        <v>2.0000000000000001E-4</v>
      </c>
      <c r="J227" s="29">
        <f>IF(C226=1,IF(D226="BUY",E226+(ROUND(F226*J226/B226,0)*B226),E226-(ROUND(F226*J226/B226,0)*B226)),IF(D226="BUY",E226-(ROUND(F226*J226/B226,0)*B226),E226+(ROUND(F226*J226/B226,0)*B226)))</f>
        <v>0.01</v>
      </c>
      <c r="K227" s="29">
        <f>IF(C226=1,IF(D226="BUY",E226-(ROUND(F226*K226/B226,0)*B226),E226+(ROUND(F226*K226/B226,0)*B226)),IF(D226="BUY",E226-(ROUND(F226*K226/B226,0)*B226),E226+(ROUND(F226*K226/B226,0)*B226)))</f>
        <v>0.01</v>
      </c>
      <c r="L227" s="29">
        <f t="shared" ref="L227" si="335">IF(D227="BUY",I227+(R227*B227),I227-(R227*B227))</f>
        <v>-8.0000000000000004E-4</v>
      </c>
      <c r="M227" s="29">
        <f>IF(D226="BUY",E226+(ROUND(F226*M226/B226,0)*B226),E226-(ROUND(F226*M226/B226,0)*B226))</f>
        <v>-0.01</v>
      </c>
      <c r="N227" s="29">
        <f>IF(D226="BUY",E226-(ROUND(F226*N226/B226,0)*B226),E226+(ROUND(F226*N226/B226,0)*B226))</f>
        <v>0.01</v>
      </c>
      <c r="O227" s="31">
        <f>IF(D227="BUY",N227-VLOOKUP(A227,Symbols!A$1:D$1000,4,FALSE),N227+VLOOKUP(A227,Symbols!A$1:D$1000,4,FALSE))</f>
        <v>1.3000000000000001E-2</v>
      </c>
      <c r="P227" s="29">
        <f>P226</f>
        <v>1</v>
      </c>
      <c r="Q227" s="29">
        <f>Q226</f>
        <v>100</v>
      </c>
      <c r="R227" s="29">
        <f>R226</f>
        <v>10</v>
      </c>
      <c r="S227" s="29">
        <f>S226</f>
        <v>2</v>
      </c>
      <c r="T227" s="29">
        <f>T226</f>
        <v>1</v>
      </c>
      <c r="U227" s="29">
        <f>DATEDIF(DATE(1970,1,1),U226,"D")*86400</f>
        <v>1483660800</v>
      </c>
      <c r="V227" s="29">
        <f>HOUR(V226)*3600+MINUTE(V226)*60+SECOND(V226)</f>
        <v>26100</v>
      </c>
      <c r="W227" s="29">
        <f>DATEDIF(DATE(1970,1,1),W226,"D")*86400</f>
        <v>1502928000</v>
      </c>
      <c r="X227" s="29">
        <f>HOUR(X226)*3600+MINUTE(X226)*60+SECOND(X226)</f>
        <v>56400</v>
      </c>
      <c r="Y227" s="31">
        <f>(Y226*B227)</f>
        <v>2.8E-3</v>
      </c>
      <c r="Z227" s="29">
        <f>Z226</f>
        <v>1</v>
      </c>
      <c r="AA227" s="29">
        <f>DATEDIF(DATE(1970,1,1),AA226,"D")*86400</f>
        <v>1502928000</v>
      </c>
      <c r="AB227" s="29">
        <f>HOUR(AB226)*3600+MINUTE(AB226)*60+SECOND(AB226)</f>
        <v>56460</v>
      </c>
      <c r="AC227" s="29">
        <f>AC226</f>
        <v>1</v>
      </c>
    </row>
    <row r="228" spans="1:29">
      <c r="A228" s="23" t="str">
        <f>Parameters!A115</f>
        <v>6SM7</v>
      </c>
      <c r="B228" s="23">
        <f>Parameters!B115</f>
        <v>1E-4</v>
      </c>
      <c r="C228" s="24">
        <f>Parameters!C115</f>
        <v>2</v>
      </c>
      <c r="D228" s="24" t="str">
        <f>Parameters!D115</f>
        <v>SELL</v>
      </c>
      <c r="E228" s="23">
        <f>Parameters!E115</f>
        <v>0</v>
      </c>
      <c r="F228" s="23">
        <f>Parameters!F115</f>
        <v>0.01</v>
      </c>
      <c r="G228" s="25">
        <f>Parameters!G115</f>
        <v>0.03</v>
      </c>
      <c r="H228" s="25">
        <f>Parameters!H115</f>
        <v>0</v>
      </c>
      <c r="I228" s="25">
        <f>Parameters!I115</f>
        <v>0</v>
      </c>
      <c r="J228" s="25">
        <f>Parameters!J115</f>
        <v>1</v>
      </c>
      <c r="K228" s="25">
        <f>Parameters!K115</f>
        <v>1</v>
      </c>
      <c r="L228" s="26">
        <f t="shared" ref="L228" si="336">L229</f>
        <v>-6.9999999999999999E-4</v>
      </c>
      <c r="M228" s="25">
        <f>Parameters!L115</f>
        <v>1</v>
      </c>
      <c r="N228" s="25">
        <f>Parameters!M115</f>
        <v>1</v>
      </c>
      <c r="O228" s="26">
        <f t="shared" ref="O228" si="337">O229</f>
        <v>1.3000000000000001E-2</v>
      </c>
      <c r="P228" s="23">
        <f>Parameters!N115</f>
        <v>1</v>
      </c>
      <c r="Q228" s="23">
        <f>Parameters!O115</f>
        <v>100</v>
      </c>
      <c r="R228" s="23">
        <f>Parameters!P115</f>
        <v>10</v>
      </c>
      <c r="S228" s="23">
        <f>Parameters!Q115</f>
        <v>2</v>
      </c>
      <c r="T228" s="23">
        <f>Parameters!R115</f>
        <v>1</v>
      </c>
      <c r="U228" s="27">
        <f>Parameters!S115</f>
        <v>42741</v>
      </c>
      <c r="V228" s="28">
        <f>Parameters!T115</f>
        <v>0.30208333333333331</v>
      </c>
      <c r="W228" s="27">
        <f>Parameters!U115</f>
        <v>42964</v>
      </c>
      <c r="X228" s="28">
        <f>Parameters!V115</f>
        <v>0.65277777777777779</v>
      </c>
      <c r="Y228" s="25">
        <f>Parameters!W115</f>
        <v>28</v>
      </c>
      <c r="Z228" s="23">
        <f>Parameters!X115</f>
        <v>1</v>
      </c>
      <c r="AA228" s="27">
        <f>Parameters!Y115</f>
        <v>42964</v>
      </c>
      <c r="AB228" s="28">
        <f>Parameters!Z115</f>
        <v>0.65347222222222223</v>
      </c>
      <c r="AC228" s="23">
        <f>Parameters!AA115</f>
        <v>1</v>
      </c>
    </row>
    <row r="229" spans="1:29">
      <c r="A229" s="29" t="str">
        <f>UPPER(A228)</f>
        <v>6SM7</v>
      </c>
      <c r="B229" s="29">
        <f>B228</f>
        <v>1E-4</v>
      </c>
      <c r="C229" s="30">
        <f>C228</f>
        <v>2</v>
      </c>
      <c r="D229" s="30" t="str">
        <f>D228</f>
        <v>SELL</v>
      </c>
      <c r="E229" s="29">
        <f>E228</f>
        <v>0</v>
      </c>
      <c r="F229" s="29">
        <f>F228</f>
        <v>0.01</v>
      </c>
      <c r="G229" s="29">
        <f>IF(C228=1,IF(D228="BUY",E228+(ROUND(F228*G228/B228,0)*B228),E228-(ROUND(F228*G228/B228,0)*B228)),IF(D228="BUY",E228-(ROUND(F228*G228/B228,0)*B228),E228+(ROUND(F228*G228/B228,0)*B228)))</f>
        <v>3.0000000000000003E-4</v>
      </c>
      <c r="H229" s="29">
        <f>IF(C228=1,IF(D228="BUY",G229-(ROUND(F228*H228/B228,0)*B228),G229+(ROUND(F228*H228/B228,0)*B228)),IF(D228="BUY",G229+(ROUND(F228*H228/B228,0)*B228),G229-(ROUND(F228*H228/B228,0)*B228)))</f>
        <v>3.0000000000000003E-4</v>
      </c>
      <c r="I229" s="29">
        <f>IF(D228="BUY",G229+(ROUND(F228*I228/(B228*100),0)*B228),G229-(ROUND(F228*I228/(B228*100),0)*B228))</f>
        <v>3.0000000000000003E-4</v>
      </c>
      <c r="J229" s="29">
        <f>IF(C228=1,IF(D228="BUY",E228+(ROUND(F228*J228/B228,0)*B228),E228-(ROUND(F228*J228/B228,0)*B228)),IF(D228="BUY",E228-(ROUND(F228*J228/B228,0)*B228),E228+(ROUND(F228*J228/B228,0)*B228)))</f>
        <v>0.01</v>
      </c>
      <c r="K229" s="29">
        <f>IF(C228=1,IF(D228="BUY",E228-(ROUND(F228*K228/B228,0)*B228),E228+(ROUND(F228*K228/B228,0)*B228)),IF(D228="BUY",E228-(ROUND(F228*K228/B228,0)*B228),E228+(ROUND(F228*K228/B228,0)*B228)))</f>
        <v>0.01</v>
      </c>
      <c r="L229" s="29">
        <f t="shared" ref="L229" si="338">IF(D229="BUY",I229+(R229*B229),I229-(R229*B229))</f>
        <v>-6.9999999999999999E-4</v>
      </c>
      <c r="M229" s="29">
        <f>IF(D228="BUY",E228+(ROUND(F228*M228/B228,0)*B228),E228-(ROUND(F228*M228/B228,0)*B228))</f>
        <v>-0.01</v>
      </c>
      <c r="N229" s="29">
        <f>IF(D228="BUY",E228-(ROUND(F228*N228/B228,0)*B228),E228+(ROUND(F228*N228/B228,0)*B228))</f>
        <v>0.01</v>
      </c>
      <c r="O229" s="31">
        <f>IF(D229="BUY",N229-VLOOKUP(A229,Symbols!A$1:D$1000,4,FALSE),N229+VLOOKUP(A229,Symbols!A$1:D$1000,4,FALSE))</f>
        <v>1.3000000000000001E-2</v>
      </c>
      <c r="P229" s="29">
        <f>P228</f>
        <v>1</v>
      </c>
      <c r="Q229" s="29">
        <f>Q228</f>
        <v>100</v>
      </c>
      <c r="R229" s="29">
        <f>R228</f>
        <v>10</v>
      </c>
      <c r="S229" s="29">
        <f>S228</f>
        <v>2</v>
      </c>
      <c r="T229" s="29">
        <f>T228</f>
        <v>1</v>
      </c>
      <c r="U229" s="29">
        <f>DATEDIF(DATE(1970,1,1),U228,"D")*86400</f>
        <v>1483660800</v>
      </c>
      <c r="V229" s="29">
        <f>HOUR(V228)*3600+MINUTE(V228)*60+SECOND(V228)</f>
        <v>26100</v>
      </c>
      <c r="W229" s="29">
        <f>DATEDIF(DATE(1970,1,1),W228,"D")*86400</f>
        <v>1502928000</v>
      </c>
      <c r="X229" s="29">
        <f>HOUR(X228)*3600+MINUTE(X228)*60+SECOND(X228)</f>
        <v>56400</v>
      </c>
      <c r="Y229" s="31">
        <f>(Y228*B229)</f>
        <v>2.8E-3</v>
      </c>
      <c r="Z229" s="29">
        <f>Z228</f>
        <v>1</v>
      </c>
      <c r="AA229" s="29">
        <f>DATEDIF(DATE(1970,1,1),AA228,"D")*86400</f>
        <v>1502928000</v>
      </c>
      <c r="AB229" s="29">
        <f>HOUR(AB228)*3600+MINUTE(AB228)*60+SECOND(AB228)</f>
        <v>56460</v>
      </c>
      <c r="AC229" s="29">
        <f>AC228</f>
        <v>1</v>
      </c>
    </row>
    <row r="230" spans="1:29">
      <c r="A230" s="23" t="str">
        <f>Parameters!A116</f>
        <v>6SM7</v>
      </c>
      <c r="B230" s="23">
        <f>Parameters!B116</f>
        <v>1E-4</v>
      </c>
      <c r="C230" s="24">
        <f>Parameters!C116</f>
        <v>2</v>
      </c>
      <c r="D230" s="24" t="str">
        <f>Parameters!D116</f>
        <v>SELL</v>
      </c>
      <c r="E230" s="23">
        <f>Parameters!E116</f>
        <v>0</v>
      </c>
      <c r="F230" s="23">
        <f>Parameters!F116</f>
        <v>0.01</v>
      </c>
      <c r="G230" s="25">
        <f>Parameters!G116</f>
        <v>0.04</v>
      </c>
      <c r="H230" s="25">
        <f>Parameters!H116</f>
        <v>0</v>
      </c>
      <c r="I230" s="25">
        <f>Parameters!I116</f>
        <v>0</v>
      </c>
      <c r="J230" s="25">
        <f>Parameters!J116</f>
        <v>1</v>
      </c>
      <c r="K230" s="25">
        <f>Parameters!K116</f>
        <v>1</v>
      </c>
      <c r="L230" s="26">
        <f t="shared" ref="L230" si="339">L231</f>
        <v>-6.0000000000000006E-4</v>
      </c>
      <c r="M230" s="25">
        <f>Parameters!L116</f>
        <v>1</v>
      </c>
      <c r="N230" s="25">
        <f>Parameters!M116</f>
        <v>1</v>
      </c>
      <c r="O230" s="26">
        <f t="shared" ref="O230" si="340">O231</f>
        <v>1.3000000000000001E-2</v>
      </c>
      <c r="P230" s="23">
        <f>Parameters!N116</f>
        <v>1</v>
      </c>
      <c r="Q230" s="23">
        <f>Parameters!O116</f>
        <v>100</v>
      </c>
      <c r="R230" s="23">
        <f>Parameters!P116</f>
        <v>10</v>
      </c>
      <c r="S230" s="23">
        <f>Parameters!Q116</f>
        <v>2</v>
      </c>
      <c r="T230" s="23">
        <f>Parameters!R116</f>
        <v>1</v>
      </c>
      <c r="U230" s="27">
        <f>Parameters!S116</f>
        <v>42741</v>
      </c>
      <c r="V230" s="28">
        <f>Parameters!T116</f>
        <v>0.30208333333333331</v>
      </c>
      <c r="W230" s="27">
        <f>Parameters!U116</f>
        <v>42964</v>
      </c>
      <c r="X230" s="28">
        <f>Parameters!V116</f>
        <v>0.65277777777777779</v>
      </c>
      <c r="Y230" s="25">
        <f>Parameters!W116</f>
        <v>28</v>
      </c>
      <c r="Z230" s="23">
        <f>Parameters!X116</f>
        <v>1</v>
      </c>
      <c r="AA230" s="27">
        <f>Parameters!Y116</f>
        <v>42964</v>
      </c>
      <c r="AB230" s="28">
        <f>Parameters!Z116</f>
        <v>0.65347222222222223</v>
      </c>
      <c r="AC230" s="23">
        <f>Parameters!AA116</f>
        <v>1</v>
      </c>
    </row>
    <row r="231" spans="1:29">
      <c r="A231" s="29" t="str">
        <f>UPPER(A230)</f>
        <v>6SM7</v>
      </c>
      <c r="B231" s="29">
        <f>B230</f>
        <v>1E-4</v>
      </c>
      <c r="C231" s="30">
        <f>C230</f>
        <v>2</v>
      </c>
      <c r="D231" s="30" t="str">
        <f>D230</f>
        <v>SELL</v>
      </c>
      <c r="E231" s="29">
        <f>E230</f>
        <v>0</v>
      </c>
      <c r="F231" s="29">
        <f>F230</f>
        <v>0.01</v>
      </c>
      <c r="G231" s="29">
        <f>IF(C230=1,IF(D230="BUY",E230+(ROUND(F230*G230/B230,0)*B230),E230-(ROUND(F230*G230/B230,0)*B230)),IF(D230="BUY",E230-(ROUND(F230*G230/B230,0)*B230),E230+(ROUND(F230*G230/B230,0)*B230)))</f>
        <v>4.0000000000000002E-4</v>
      </c>
      <c r="H231" s="29">
        <f>IF(C230=1,IF(D230="BUY",G231-(ROUND(F230*H230/B230,0)*B230),G231+(ROUND(F230*H230/B230,0)*B230)),IF(D230="BUY",G231+(ROUND(F230*H230/B230,0)*B230),G231-(ROUND(F230*H230/B230,0)*B230)))</f>
        <v>4.0000000000000002E-4</v>
      </c>
      <c r="I231" s="29">
        <f>IF(D230="BUY",G231+(ROUND(F230*I230/(B230*100),0)*B230),G231-(ROUND(F230*I230/(B230*100),0)*B230))</f>
        <v>4.0000000000000002E-4</v>
      </c>
      <c r="J231" s="29">
        <f>IF(C230=1,IF(D230="BUY",E230+(ROUND(F230*J230/B230,0)*B230),E230-(ROUND(F230*J230/B230,0)*B230)),IF(D230="BUY",E230-(ROUND(F230*J230/B230,0)*B230),E230+(ROUND(F230*J230/B230,0)*B230)))</f>
        <v>0.01</v>
      </c>
      <c r="K231" s="29">
        <f>IF(C230=1,IF(D230="BUY",E230-(ROUND(F230*K230/B230,0)*B230),E230+(ROUND(F230*K230/B230,0)*B230)),IF(D230="BUY",E230-(ROUND(F230*K230/B230,0)*B230),E230+(ROUND(F230*K230/B230,0)*B230)))</f>
        <v>0.01</v>
      </c>
      <c r="L231" s="29">
        <f t="shared" ref="L231" si="341">IF(D231="BUY",I231+(R231*B231),I231-(R231*B231))</f>
        <v>-6.0000000000000006E-4</v>
      </c>
      <c r="M231" s="29">
        <f>IF(D230="BUY",E230+(ROUND(F230*M230/B230,0)*B230),E230-(ROUND(F230*M230/B230,0)*B230))</f>
        <v>-0.01</v>
      </c>
      <c r="N231" s="29">
        <f>IF(D230="BUY",E230-(ROUND(F230*N230/B230,0)*B230),E230+(ROUND(F230*N230/B230,0)*B230))</f>
        <v>0.01</v>
      </c>
      <c r="O231" s="31">
        <f>IF(D231="BUY",N231-VLOOKUP(A231,Symbols!A$1:D$1000,4,FALSE),N231+VLOOKUP(A231,Symbols!A$1:D$1000,4,FALSE))</f>
        <v>1.3000000000000001E-2</v>
      </c>
      <c r="P231" s="29">
        <f>P230</f>
        <v>1</v>
      </c>
      <c r="Q231" s="29">
        <f>Q230</f>
        <v>100</v>
      </c>
      <c r="R231" s="29">
        <f>R230</f>
        <v>10</v>
      </c>
      <c r="S231" s="29">
        <f>S230</f>
        <v>2</v>
      </c>
      <c r="T231" s="29">
        <f>T230</f>
        <v>1</v>
      </c>
      <c r="U231" s="29">
        <f>DATEDIF(DATE(1970,1,1),U230,"D")*86400</f>
        <v>1483660800</v>
      </c>
      <c r="V231" s="29">
        <f>HOUR(V230)*3600+MINUTE(V230)*60+SECOND(V230)</f>
        <v>26100</v>
      </c>
      <c r="W231" s="29">
        <f>DATEDIF(DATE(1970,1,1),W230,"D")*86400</f>
        <v>1502928000</v>
      </c>
      <c r="X231" s="29">
        <f>HOUR(X230)*3600+MINUTE(X230)*60+SECOND(X230)</f>
        <v>56400</v>
      </c>
      <c r="Y231" s="31">
        <f>(Y230*B231)</f>
        <v>2.8E-3</v>
      </c>
      <c r="Z231" s="29">
        <f>Z230</f>
        <v>1</v>
      </c>
      <c r="AA231" s="29">
        <f>DATEDIF(DATE(1970,1,1),AA230,"D")*86400</f>
        <v>1502928000</v>
      </c>
      <c r="AB231" s="29">
        <f>HOUR(AB230)*3600+MINUTE(AB230)*60+SECOND(AB230)</f>
        <v>56460</v>
      </c>
      <c r="AC231" s="29">
        <f>AC230</f>
        <v>1</v>
      </c>
    </row>
    <row r="232" spans="1:29">
      <c r="A232" s="23" t="str">
        <f>Parameters!A117</f>
        <v>6SM7</v>
      </c>
      <c r="B232" s="23">
        <f>Parameters!B117</f>
        <v>1E-4</v>
      </c>
      <c r="C232" s="24">
        <f>Parameters!C117</f>
        <v>2</v>
      </c>
      <c r="D232" s="24" t="str">
        <f>Parameters!D117</f>
        <v>SELL</v>
      </c>
      <c r="E232" s="23">
        <f>Parameters!E117</f>
        <v>0</v>
      </c>
      <c r="F232" s="23">
        <f>Parameters!F117</f>
        <v>0.01</v>
      </c>
      <c r="G232" s="25">
        <f>Parameters!G117</f>
        <v>0.05</v>
      </c>
      <c r="H232" s="25">
        <f>Parameters!H117</f>
        <v>0</v>
      </c>
      <c r="I232" s="25">
        <f>Parameters!I117</f>
        <v>0</v>
      </c>
      <c r="J232" s="25">
        <f>Parameters!J117</f>
        <v>1</v>
      </c>
      <c r="K232" s="25">
        <f>Parameters!K117</f>
        <v>1</v>
      </c>
      <c r="L232" s="26">
        <f t="shared" ref="L232" si="342">L233</f>
        <v>-5.0000000000000001E-4</v>
      </c>
      <c r="M232" s="25">
        <f>Parameters!L117</f>
        <v>1</v>
      </c>
      <c r="N232" s="25">
        <f>Parameters!M117</f>
        <v>1</v>
      </c>
      <c r="O232" s="26">
        <f t="shared" ref="O232" si="343">O233</f>
        <v>1.3000000000000001E-2</v>
      </c>
      <c r="P232" s="23">
        <f>Parameters!N117</f>
        <v>1</v>
      </c>
      <c r="Q232" s="23">
        <f>Parameters!O117</f>
        <v>100</v>
      </c>
      <c r="R232" s="23">
        <f>Parameters!P117</f>
        <v>10</v>
      </c>
      <c r="S232" s="23">
        <f>Parameters!Q117</f>
        <v>2</v>
      </c>
      <c r="T232" s="23">
        <f>Parameters!R117</f>
        <v>1</v>
      </c>
      <c r="U232" s="27">
        <f>Parameters!S117</f>
        <v>42741</v>
      </c>
      <c r="V232" s="28">
        <f>Parameters!T117</f>
        <v>0.30208333333333331</v>
      </c>
      <c r="W232" s="27">
        <f>Parameters!U117</f>
        <v>42964</v>
      </c>
      <c r="X232" s="28">
        <f>Parameters!V117</f>
        <v>0.65277777777777779</v>
      </c>
      <c r="Y232" s="25">
        <f>Parameters!W117</f>
        <v>28</v>
      </c>
      <c r="Z232" s="23">
        <f>Parameters!X117</f>
        <v>1</v>
      </c>
      <c r="AA232" s="27">
        <f>Parameters!Y117</f>
        <v>42964</v>
      </c>
      <c r="AB232" s="28">
        <f>Parameters!Z117</f>
        <v>0.65347222222222223</v>
      </c>
      <c r="AC232" s="23">
        <f>Parameters!AA117</f>
        <v>1</v>
      </c>
    </row>
    <row r="233" spans="1:29">
      <c r="A233" s="29" t="str">
        <f>UPPER(A232)</f>
        <v>6SM7</v>
      </c>
      <c r="B233" s="29">
        <f>B232</f>
        <v>1E-4</v>
      </c>
      <c r="C233" s="30">
        <f>C232</f>
        <v>2</v>
      </c>
      <c r="D233" s="30" t="str">
        <f>D232</f>
        <v>SELL</v>
      </c>
      <c r="E233" s="29">
        <f>E232</f>
        <v>0</v>
      </c>
      <c r="F233" s="29">
        <f>F232</f>
        <v>0.01</v>
      </c>
      <c r="G233" s="29">
        <f>IF(C232=1,IF(D232="BUY",E232+(ROUND(F232*G232/B232,0)*B232),E232-(ROUND(F232*G232/B232,0)*B232)),IF(D232="BUY",E232-(ROUND(F232*G232/B232,0)*B232),E232+(ROUND(F232*G232/B232,0)*B232)))</f>
        <v>5.0000000000000001E-4</v>
      </c>
      <c r="H233" s="29">
        <f>IF(C232=1,IF(D232="BUY",G233-(ROUND(F232*H232/B232,0)*B232),G233+(ROUND(F232*H232/B232,0)*B232)),IF(D232="BUY",G233+(ROUND(F232*H232/B232,0)*B232),G233-(ROUND(F232*H232/B232,0)*B232)))</f>
        <v>5.0000000000000001E-4</v>
      </c>
      <c r="I233" s="29">
        <f>IF(D232="BUY",G233+(ROUND(F232*I232/(B232*100),0)*B232),G233-(ROUND(F232*I232/(B232*100),0)*B232))</f>
        <v>5.0000000000000001E-4</v>
      </c>
      <c r="J233" s="29">
        <f>IF(C232=1,IF(D232="BUY",E232+(ROUND(F232*J232/B232,0)*B232),E232-(ROUND(F232*J232/B232,0)*B232)),IF(D232="BUY",E232-(ROUND(F232*J232/B232,0)*B232),E232+(ROUND(F232*J232/B232,0)*B232)))</f>
        <v>0.01</v>
      </c>
      <c r="K233" s="29">
        <f>IF(C232=1,IF(D232="BUY",E232-(ROUND(F232*K232/B232,0)*B232),E232+(ROUND(F232*K232/B232,0)*B232)),IF(D232="BUY",E232-(ROUND(F232*K232/B232,0)*B232),E232+(ROUND(F232*K232/B232,0)*B232)))</f>
        <v>0.01</v>
      </c>
      <c r="L233" s="29">
        <f t="shared" ref="L233" si="344">IF(D233="BUY",I233+(R233*B233),I233-(R233*B233))</f>
        <v>-5.0000000000000001E-4</v>
      </c>
      <c r="M233" s="29">
        <f>IF(D232="BUY",E232+(ROUND(F232*M232/B232,0)*B232),E232-(ROUND(F232*M232/B232,0)*B232))</f>
        <v>-0.01</v>
      </c>
      <c r="N233" s="29">
        <f>IF(D232="BUY",E232-(ROUND(F232*N232/B232,0)*B232),E232+(ROUND(F232*N232/B232,0)*B232))</f>
        <v>0.01</v>
      </c>
      <c r="O233" s="31">
        <f>IF(D233="BUY",N233-VLOOKUP(A233,Symbols!A$1:D$1000,4,FALSE),N233+VLOOKUP(A233,Symbols!A$1:D$1000,4,FALSE))</f>
        <v>1.3000000000000001E-2</v>
      </c>
      <c r="P233" s="29">
        <f>P232</f>
        <v>1</v>
      </c>
      <c r="Q233" s="29">
        <f>Q232</f>
        <v>100</v>
      </c>
      <c r="R233" s="29">
        <f>R232</f>
        <v>10</v>
      </c>
      <c r="S233" s="29">
        <f>S232</f>
        <v>2</v>
      </c>
      <c r="T233" s="29">
        <f>T232</f>
        <v>1</v>
      </c>
      <c r="U233" s="29">
        <f>DATEDIF(DATE(1970,1,1),U232,"D")*86400</f>
        <v>1483660800</v>
      </c>
      <c r="V233" s="29">
        <f>HOUR(V232)*3600+MINUTE(V232)*60+SECOND(V232)</f>
        <v>26100</v>
      </c>
      <c r="W233" s="29">
        <f>DATEDIF(DATE(1970,1,1),W232,"D")*86400</f>
        <v>1502928000</v>
      </c>
      <c r="X233" s="29">
        <f>HOUR(X232)*3600+MINUTE(X232)*60+SECOND(X232)</f>
        <v>56400</v>
      </c>
      <c r="Y233" s="31">
        <f>(Y232*B233)</f>
        <v>2.8E-3</v>
      </c>
      <c r="Z233" s="29">
        <f>Z232</f>
        <v>1</v>
      </c>
      <c r="AA233" s="29">
        <f>DATEDIF(DATE(1970,1,1),AA232,"D")*86400</f>
        <v>1502928000</v>
      </c>
      <c r="AB233" s="29">
        <f>HOUR(AB232)*3600+MINUTE(AB232)*60+SECOND(AB232)</f>
        <v>56460</v>
      </c>
      <c r="AC233" s="29">
        <f>AC232</f>
        <v>1</v>
      </c>
    </row>
    <row r="234" spans="1:29">
      <c r="A234" s="23" t="str">
        <f>Parameters!A118</f>
        <v>6SM7</v>
      </c>
      <c r="B234" s="23">
        <f>Parameters!B118</f>
        <v>1E-4</v>
      </c>
      <c r="C234" s="24">
        <f>Parameters!C118</f>
        <v>2</v>
      </c>
      <c r="D234" s="24" t="str">
        <f>Parameters!D118</f>
        <v>SELL</v>
      </c>
      <c r="E234" s="23">
        <f>Parameters!E118</f>
        <v>0</v>
      </c>
      <c r="F234" s="23">
        <f>Parameters!F118</f>
        <v>0.01</v>
      </c>
      <c r="G234" s="25">
        <f>Parameters!G118</f>
        <v>0.06</v>
      </c>
      <c r="H234" s="25">
        <f>Parameters!H118</f>
        <v>0</v>
      </c>
      <c r="I234" s="25">
        <f>Parameters!I118</f>
        <v>0</v>
      </c>
      <c r="J234" s="25">
        <f>Parameters!J118</f>
        <v>1</v>
      </c>
      <c r="K234" s="25">
        <f>Parameters!K118</f>
        <v>1</v>
      </c>
      <c r="L234" s="26">
        <f t="shared" ref="L234" si="345">L235</f>
        <v>-3.9999999999999996E-4</v>
      </c>
      <c r="M234" s="25">
        <f>Parameters!L118</f>
        <v>1</v>
      </c>
      <c r="N234" s="25">
        <f>Parameters!M118</f>
        <v>1</v>
      </c>
      <c r="O234" s="26">
        <f t="shared" ref="O234" si="346">O235</f>
        <v>1.3000000000000001E-2</v>
      </c>
      <c r="P234" s="23">
        <f>Parameters!N118</f>
        <v>1</v>
      </c>
      <c r="Q234" s="23">
        <f>Parameters!O118</f>
        <v>100</v>
      </c>
      <c r="R234" s="23">
        <f>Parameters!P118</f>
        <v>10</v>
      </c>
      <c r="S234" s="23">
        <f>Parameters!Q118</f>
        <v>2</v>
      </c>
      <c r="T234" s="23">
        <f>Parameters!R118</f>
        <v>1</v>
      </c>
      <c r="U234" s="27">
        <f>Parameters!S118</f>
        <v>42741</v>
      </c>
      <c r="V234" s="28">
        <f>Parameters!T118</f>
        <v>0.30208333333333331</v>
      </c>
      <c r="W234" s="27">
        <f>Parameters!U118</f>
        <v>42964</v>
      </c>
      <c r="X234" s="28">
        <f>Parameters!V118</f>
        <v>0.65277777777777779</v>
      </c>
      <c r="Y234" s="25">
        <f>Parameters!W118</f>
        <v>28</v>
      </c>
      <c r="Z234" s="23">
        <f>Parameters!X118</f>
        <v>1</v>
      </c>
      <c r="AA234" s="27">
        <f>Parameters!Y118</f>
        <v>42964</v>
      </c>
      <c r="AB234" s="28">
        <f>Parameters!Z118</f>
        <v>0.65347222222222223</v>
      </c>
      <c r="AC234" s="23">
        <f>Parameters!AA118</f>
        <v>1</v>
      </c>
    </row>
    <row r="235" spans="1:29">
      <c r="A235" s="29" t="str">
        <f>UPPER(A234)</f>
        <v>6SM7</v>
      </c>
      <c r="B235" s="29">
        <f>B234</f>
        <v>1E-4</v>
      </c>
      <c r="C235" s="30">
        <f>C234</f>
        <v>2</v>
      </c>
      <c r="D235" s="30" t="str">
        <f>D234</f>
        <v>SELL</v>
      </c>
      <c r="E235" s="29">
        <f>E234</f>
        <v>0</v>
      </c>
      <c r="F235" s="29">
        <f>F234</f>
        <v>0.01</v>
      </c>
      <c r="G235" s="29">
        <f>IF(C234=1,IF(D234="BUY",E234+(ROUND(F234*G234/B234,0)*B234),E234-(ROUND(F234*G234/B234,0)*B234)),IF(D234="BUY",E234-(ROUND(F234*G234/B234,0)*B234),E234+(ROUND(F234*G234/B234,0)*B234)))</f>
        <v>6.0000000000000006E-4</v>
      </c>
      <c r="H235" s="29">
        <f>IF(C234=1,IF(D234="BUY",G235-(ROUND(F234*H234/B234,0)*B234),G235+(ROUND(F234*H234/B234,0)*B234)),IF(D234="BUY",G235+(ROUND(F234*H234/B234,0)*B234),G235-(ROUND(F234*H234/B234,0)*B234)))</f>
        <v>6.0000000000000006E-4</v>
      </c>
      <c r="I235" s="29">
        <f>IF(D234="BUY",G235+(ROUND(F234*I234/(B234*100),0)*B234),G235-(ROUND(F234*I234/(B234*100),0)*B234))</f>
        <v>6.0000000000000006E-4</v>
      </c>
      <c r="J235" s="29">
        <f>IF(C234=1,IF(D234="BUY",E234+(ROUND(F234*J234/B234,0)*B234),E234-(ROUND(F234*J234/B234,0)*B234)),IF(D234="BUY",E234-(ROUND(F234*J234/B234,0)*B234),E234+(ROUND(F234*J234/B234,0)*B234)))</f>
        <v>0.01</v>
      </c>
      <c r="K235" s="29">
        <f>IF(C234=1,IF(D234="BUY",E234-(ROUND(F234*K234/B234,0)*B234),E234+(ROUND(F234*K234/B234,0)*B234)),IF(D234="BUY",E234-(ROUND(F234*K234/B234,0)*B234),E234+(ROUND(F234*K234/B234,0)*B234)))</f>
        <v>0.01</v>
      </c>
      <c r="L235" s="29">
        <f t="shared" ref="L235" si="347">IF(D235="BUY",I235+(R235*B235),I235-(R235*B235))</f>
        <v>-3.9999999999999996E-4</v>
      </c>
      <c r="M235" s="29">
        <f>IF(D234="BUY",E234+(ROUND(F234*M234/B234,0)*B234),E234-(ROUND(F234*M234/B234,0)*B234))</f>
        <v>-0.01</v>
      </c>
      <c r="N235" s="29">
        <f>IF(D234="BUY",E234-(ROUND(F234*N234/B234,0)*B234),E234+(ROUND(F234*N234/B234,0)*B234))</f>
        <v>0.01</v>
      </c>
      <c r="O235" s="31">
        <f>IF(D235="BUY",N235-VLOOKUP(A235,Symbols!A$1:D$1000,4,FALSE),N235+VLOOKUP(A235,Symbols!A$1:D$1000,4,FALSE))</f>
        <v>1.3000000000000001E-2</v>
      </c>
      <c r="P235" s="29">
        <f>P234</f>
        <v>1</v>
      </c>
      <c r="Q235" s="29">
        <f>Q234</f>
        <v>100</v>
      </c>
      <c r="R235" s="29">
        <f>R234</f>
        <v>10</v>
      </c>
      <c r="S235" s="29">
        <f>S234</f>
        <v>2</v>
      </c>
      <c r="T235" s="29">
        <f>T234</f>
        <v>1</v>
      </c>
      <c r="U235" s="29">
        <f>DATEDIF(DATE(1970,1,1),U234,"D")*86400</f>
        <v>1483660800</v>
      </c>
      <c r="V235" s="29">
        <f>HOUR(V234)*3600+MINUTE(V234)*60+SECOND(V234)</f>
        <v>26100</v>
      </c>
      <c r="W235" s="29">
        <f>DATEDIF(DATE(1970,1,1),W234,"D")*86400</f>
        <v>1502928000</v>
      </c>
      <c r="X235" s="29">
        <f>HOUR(X234)*3600+MINUTE(X234)*60+SECOND(X234)</f>
        <v>56400</v>
      </c>
      <c r="Y235" s="31">
        <f>(Y234*B235)</f>
        <v>2.8E-3</v>
      </c>
      <c r="Z235" s="29">
        <f>Z234</f>
        <v>1</v>
      </c>
      <c r="AA235" s="29">
        <f>DATEDIF(DATE(1970,1,1),AA234,"D")*86400</f>
        <v>1502928000</v>
      </c>
      <c r="AB235" s="29">
        <f>HOUR(AB234)*3600+MINUTE(AB234)*60+SECOND(AB234)</f>
        <v>56460</v>
      </c>
      <c r="AC235" s="29">
        <f>AC234</f>
        <v>1</v>
      </c>
    </row>
    <row r="236" spans="1:29">
      <c r="A236" s="23" t="str">
        <f>Parameters!A119</f>
        <v>6SM7</v>
      </c>
      <c r="B236" s="23">
        <f>Parameters!B119</f>
        <v>1E-4</v>
      </c>
      <c r="C236" s="24">
        <f>Parameters!C119</f>
        <v>2</v>
      </c>
      <c r="D236" s="24" t="str">
        <f>Parameters!D119</f>
        <v>SELL</v>
      </c>
      <c r="E236" s="23">
        <f>Parameters!E119</f>
        <v>0</v>
      </c>
      <c r="F236" s="23">
        <f>Parameters!F119</f>
        <v>0.01</v>
      </c>
      <c r="G236" s="25">
        <f>Parameters!G119</f>
        <v>7.0000000000000007E-2</v>
      </c>
      <c r="H236" s="25">
        <f>Parameters!H119</f>
        <v>0</v>
      </c>
      <c r="I236" s="25">
        <f>Parameters!I119</f>
        <v>0</v>
      </c>
      <c r="J236" s="25">
        <f>Parameters!J119</f>
        <v>1</v>
      </c>
      <c r="K236" s="25">
        <f>Parameters!K119</f>
        <v>1</v>
      </c>
      <c r="L236" s="26">
        <f t="shared" ref="L236" si="348">L237</f>
        <v>-3.0000000000000003E-4</v>
      </c>
      <c r="M236" s="25">
        <f>Parameters!L119</f>
        <v>1</v>
      </c>
      <c r="N236" s="25">
        <f>Parameters!M119</f>
        <v>1</v>
      </c>
      <c r="O236" s="26">
        <f t="shared" ref="O236" si="349">O237</f>
        <v>1.3000000000000001E-2</v>
      </c>
      <c r="P236" s="23">
        <f>Parameters!N119</f>
        <v>1</v>
      </c>
      <c r="Q236" s="23">
        <f>Parameters!O119</f>
        <v>100</v>
      </c>
      <c r="R236" s="23">
        <f>Parameters!P119</f>
        <v>10</v>
      </c>
      <c r="S236" s="23">
        <f>Parameters!Q119</f>
        <v>2</v>
      </c>
      <c r="T236" s="23">
        <f>Parameters!R119</f>
        <v>1</v>
      </c>
      <c r="U236" s="27">
        <f>Parameters!S119</f>
        <v>42741</v>
      </c>
      <c r="V236" s="28">
        <f>Parameters!T119</f>
        <v>0.30208333333333331</v>
      </c>
      <c r="W236" s="27">
        <f>Parameters!U119</f>
        <v>42964</v>
      </c>
      <c r="X236" s="28">
        <f>Parameters!V119</f>
        <v>0.65277777777777779</v>
      </c>
      <c r="Y236" s="25">
        <f>Parameters!W119</f>
        <v>28</v>
      </c>
      <c r="Z236" s="23">
        <f>Parameters!X119</f>
        <v>1</v>
      </c>
      <c r="AA236" s="27">
        <f>Parameters!Y119</f>
        <v>42964</v>
      </c>
      <c r="AB236" s="28">
        <f>Parameters!Z119</f>
        <v>0.65347222222222223</v>
      </c>
      <c r="AC236" s="23">
        <f>Parameters!AA119</f>
        <v>1</v>
      </c>
    </row>
    <row r="237" spans="1:29">
      <c r="A237" s="29" t="str">
        <f>UPPER(A236)</f>
        <v>6SM7</v>
      </c>
      <c r="B237" s="29">
        <f>B236</f>
        <v>1E-4</v>
      </c>
      <c r="C237" s="30">
        <f>C236</f>
        <v>2</v>
      </c>
      <c r="D237" s="30" t="str">
        <f>D236</f>
        <v>SELL</v>
      </c>
      <c r="E237" s="29">
        <f>E236</f>
        <v>0</v>
      </c>
      <c r="F237" s="29">
        <f>F236</f>
        <v>0.01</v>
      </c>
      <c r="G237" s="29">
        <f>IF(C236=1,IF(D236="BUY",E236+(ROUND(F236*G236/B236,0)*B236),E236-(ROUND(F236*G236/B236,0)*B236)),IF(D236="BUY",E236-(ROUND(F236*G236/B236,0)*B236),E236+(ROUND(F236*G236/B236,0)*B236)))</f>
        <v>6.9999999999999999E-4</v>
      </c>
      <c r="H237" s="29">
        <f>IF(C236=1,IF(D236="BUY",G237-(ROUND(F236*H236/B236,0)*B236),G237+(ROUND(F236*H236/B236,0)*B236)),IF(D236="BUY",G237+(ROUND(F236*H236/B236,0)*B236),G237-(ROUND(F236*H236/B236,0)*B236)))</f>
        <v>6.9999999999999999E-4</v>
      </c>
      <c r="I237" s="29">
        <f>IF(D236="BUY",G237+(ROUND(F236*I236/(B236*100),0)*B236),G237-(ROUND(F236*I236/(B236*100),0)*B236))</f>
        <v>6.9999999999999999E-4</v>
      </c>
      <c r="J237" s="29">
        <f>IF(C236=1,IF(D236="BUY",E236+(ROUND(F236*J236/B236,0)*B236),E236-(ROUND(F236*J236/B236,0)*B236)),IF(D236="BUY",E236-(ROUND(F236*J236/B236,0)*B236),E236+(ROUND(F236*J236/B236,0)*B236)))</f>
        <v>0.01</v>
      </c>
      <c r="K237" s="29">
        <f>IF(C236=1,IF(D236="BUY",E236-(ROUND(F236*K236/B236,0)*B236),E236+(ROUND(F236*K236/B236,0)*B236)),IF(D236="BUY",E236-(ROUND(F236*K236/B236,0)*B236),E236+(ROUND(F236*K236/B236,0)*B236)))</f>
        <v>0.01</v>
      </c>
      <c r="L237" s="29">
        <f t="shared" ref="L237" si="350">IF(D237="BUY",I237+(R237*B237),I237-(R237*B237))</f>
        <v>-3.0000000000000003E-4</v>
      </c>
      <c r="M237" s="29">
        <f>IF(D236="BUY",E236+(ROUND(F236*M236/B236,0)*B236),E236-(ROUND(F236*M236/B236,0)*B236))</f>
        <v>-0.01</v>
      </c>
      <c r="N237" s="29">
        <f>IF(D236="BUY",E236-(ROUND(F236*N236/B236,0)*B236),E236+(ROUND(F236*N236/B236,0)*B236))</f>
        <v>0.01</v>
      </c>
      <c r="O237" s="31">
        <f>IF(D237="BUY",N237-VLOOKUP(A237,Symbols!A$1:D$1000,4,FALSE),N237+VLOOKUP(A237,Symbols!A$1:D$1000,4,FALSE))</f>
        <v>1.3000000000000001E-2</v>
      </c>
      <c r="P237" s="29">
        <f>P236</f>
        <v>1</v>
      </c>
      <c r="Q237" s="29">
        <f>Q236</f>
        <v>100</v>
      </c>
      <c r="R237" s="29">
        <f>R236</f>
        <v>10</v>
      </c>
      <c r="S237" s="29">
        <f>S236</f>
        <v>2</v>
      </c>
      <c r="T237" s="29">
        <f>T236</f>
        <v>1</v>
      </c>
      <c r="U237" s="29">
        <f>DATEDIF(DATE(1970,1,1),U236,"D")*86400</f>
        <v>1483660800</v>
      </c>
      <c r="V237" s="29">
        <f>HOUR(V236)*3600+MINUTE(V236)*60+SECOND(V236)</f>
        <v>26100</v>
      </c>
      <c r="W237" s="29">
        <f>DATEDIF(DATE(1970,1,1),W236,"D")*86400</f>
        <v>1502928000</v>
      </c>
      <c r="X237" s="29">
        <f>HOUR(X236)*3600+MINUTE(X236)*60+SECOND(X236)</f>
        <v>56400</v>
      </c>
      <c r="Y237" s="31">
        <f>(Y236*B237)</f>
        <v>2.8E-3</v>
      </c>
      <c r="Z237" s="29">
        <f>Z236</f>
        <v>1</v>
      </c>
      <c r="AA237" s="29">
        <f>DATEDIF(DATE(1970,1,1),AA236,"D")*86400</f>
        <v>1502928000</v>
      </c>
      <c r="AB237" s="29">
        <f>HOUR(AB236)*3600+MINUTE(AB236)*60+SECOND(AB236)</f>
        <v>56460</v>
      </c>
      <c r="AC237" s="29">
        <f>AC236</f>
        <v>1</v>
      </c>
    </row>
    <row r="238" spans="1:29">
      <c r="A238" s="23" t="str">
        <f>Parameters!A120</f>
        <v>6SM7</v>
      </c>
      <c r="B238" s="23">
        <f>Parameters!B120</f>
        <v>1E-4</v>
      </c>
      <c r="C238" s="24">
        <f>Parameters!C120</f>
        <v>2</v>
      </c>
      <c r="D238" s="24" t="str">
        <f>Parameters!D120</f>
        <v>SELL</v>
      </c>
      <c r="E238" s="23">
        <f>Parameters!E120</f>
        <v>0</v>
      </c>
      <c r="F238" s="23">
        <f>Parameters!F120</f>
        <v>0.01</v>
      </c>
      <c r="G238" s="25">
        <f>Parameters!G120</f>
        <v>0.08</v>
      </c>
      <c r="H238" s="25">
        <f>Parameters!H120</f>
        <v>0</v>
      </c>
      <c r="I238" s="25">
        <f>Parameters!I120</f>
        <v>0</v>
      </c>
      <c r="J238" s="25">
        <f>Parameters!J120</f>
        <v>1</v>
      </c>
      <c r="K238" s="25">
        <f>Parameters!K120</f>
        <v>1</v>
      </c>
      <c r="L238" s="26">
        <f t="shared" ref="L238" si="351">L239</f>
        <v>-1.9999999999999998E-4</v>
      </c>
      <c r="M238" s="25">
        <f>Parameters!L120</f>
        <v>1</v>
      </c>
      <c r="N238" s="25">
        <f>Parameters!M120</f>
        <v>1</v>
      </c>
      <c r="O238" s="26">
        <f t="shared" ref="O238" si="352">O239</f>
        <v>1.3000000000000001E-2</v>
      </c>
      <c r="P238" s="23">
        <f>Parameters!N120</f>
        <v>1</v>
      </c>
      <c r="Q238" s="23">
        <f>Parameters!O120</f>
        <v>100</v>
      </c>
      <c r="R238" s="23">
        <f>Parameters!P120</f>
        <v>10</v>
      </c>
      <c r="S238" s="23">
        <f>Parameters!Q120</f>
        <v>2</v>
      </c>
      <c r="T238" s="23">
        <f>Parameters!R120</f>
        <v>1</v>
      </c>
      <c r="U238" s="27">
        <f>Parameters!S120</f>
        <v>42741</v>
      </c>
      <c r="V238" s="28">
        <f>Parameters!T120</f>
        <v>0.30208333333333331</v>
      </c>
      <c r="W238" s="27">
        <f>Parameters!U120</f>
        <v>42964</v>
      </c>
      <c r="X238" s="28">
        <f>Parameters!V120</f>
        <v>0.65277777777777779</v>
      </c>
      <c r="Y238" s="25">
        <f>Parameters!W120</f>
        <v>28</v>
      </c>
      <c r="Z238" s="23">
        <f>Parameters!X120</f>
        <v>1</v>
      </c>
      <c r="AA238" s="27">
        <f>Parameters!Y120</f>
        <v>42964</v>
      </c>
      <c r="AB238" s="28">
        <f>Parameters!Z120</f>
        <v>0.65347222222222223</v>
      </c>
      <c r="AC238" s="23">
        <f>Parameters!AA120</f>
        <v>1</v>
      </c>
    </row>
    <row r="239" spans="1:29">
      <c r="A239" s="29" t="str">
        <f>UPPER(A238)</f>
        <v>6SM7</v>
      </c>
      <c r="B239" s="29">
        <f>B238</f>
        <v>1E-4</v>
      </c>
      <c r="C239" s="30">
        <f>C238</f>
        <v>2</v>
      </c>
      <c r="D239" s="30" t="str">
        <f>D238</f>
        <v>SELL</v>
      </c>
      <c r="E239" s="29">
        <f>E238</f>
        <v>0</v>
      </c>
      <c r="F239" s="29">
        <f>F238</f>
        <v>0.01</v>
      </c>
      <c r="G239" s="29">
        <f>IF(C238=1,IF(D238="BUY",E238+(ROUND(F238*G238/B238,0)*B238),E238-(ROUND(F238*G238/B238,0)*B238)),IF(D238="BUY",E238-(ROUND(F238*G238/B238,0)*B238),E238+(ROUND(F238*G238/B238,0)*B238)))</f>
        <v>8.0000000000000004E-4</v>
      </c>
      <c r="H239" s="29">
        <f>IF(C238=1,IF(D238="BUY",G239-(ROUND(F238*H238/B238,0)*B238),G239+(ROUND(F238*H238/B238,0)*B238)),IF(D238="BUY",G239+(ROUND(F238*H238/B238,0)*B238),G239-(ROUND(F238*H238/B238,0)*B238)))</f>
        <v>8.0000000000000004E-4</v>
      </c>
      <c r="I239" s="29">
        <f>IF(D238="BUY",G239+(ROUND(F238*I238/(B238*100),0)*B238),G239-(ROUND(F238*I238/(B238*100),0)*B238))</f>
        <v>8.0000000000000004E-4</v>
      </c>
      <c r="J239" s="29">
        <f>IF(C238=1,IF(D238="BUY",E238+(ROUND(F238*J238/B238,0)*B238),E238-(ROUND(F238*J238/B238,0)*B238)),IF(D238="BUY",E238-(ROUND(F238*J238/B238,0)*B238),E238+(ROUND(F238*J238/B238,0)*B238)))</f>
        <v>0.01</v>
      </c>
      <c r="K239" s="29">
        <f>IF(C238=1,IF(D238="BUY",E238-(ROUND(F238*K238/B238,0)*B238),E238+(ROUND(F238*K238/B238,0)*B238)),IF(D238="BUY",E238-(ROUND(F238*K238/B238,0)*B238),E238+(ROUND(F238*K238/B238,0)*B238)))</f>
        <v>0.01</v>
      </c>
      <c r="L239" s="29">
        <f t="shared" ref="L239" si="353">IF(D239="BUY",I239+(R239*B239),I239-(R239*B239))</f>
        <v>-1.9999999999999998E-4</v>
      </c>
      <c r="M239" s="29">
        <f>IF(D238="BUY",E238+(ROUND(F238*M238/B238,0)*B238),E238-(ROUND(F238*M238/B238,0)*B238))</f>
        <v>-0.01</v>
      </c>
      <c r="N239" s="29">
        <f>IF(D238="BUY",E238-(ROUND(F238*N238/B238,0)*B238),E238+(ROUND(F238*N238/B238,0)*B238))</f>
        <v>0.01</v>
      </c>
      <c r="O239" s="31">
        <f>IF(D239="BUY",N239-VLOOKUP(A239,Symbols!A$1:D$1000,4,FALSE),N239+VLOOKUP(A239,Symbols!A$1:D$1000,4,FALSE))</f>
        <v>1.3000000000000001E-2</v>
      </c>
      <c r="P239" s="29">
        <f>P238</f>
        <v>1</v>
      </c>
      <c r="Q239" s="29">
        <f>Q238</f>
        <v>100</v>
      </c>
      <c r="R239" s="29">
        <f>R238</f>
        <v>10</v>
      </c>
      <c r="S239" s="29">
        <f>S238</f>
        <v>2</v>
      </c>
      <c r="T239" s="29">
        <f>T238</f>
        <v>1</v>
      </c>
      <c r="U239" s="29">
        <f>DATEDIF(DATE(1970,1,1),U238,"D")*86400</f>
        <v>1483660800</v>
      </c>
      <c r="V239" s="29">
        <f>HOUR(V238)*3600+MINUTE(V238)*60+SECOND(V238)</f>
        <v>26100</v>
      </c>
      <c r="W239" s="29">
        <f>DATEDIF(DATE(1970,1,1),W238,"D")*86400</f>
        <v>1502928000</v>
      </c>
      <c r="X239" s="29">
        <f>HOUR(X238)*3600+MINUTE(X238)*60+SECOND(X238)</f>
        <v>56400</v>
      </c>
      <c r="Y239" s="31">
        <f>(Y238*B239)</f>
        <v>2.8E-3</v>
      </c>
      <c r="Z239" s="29">
        <f>Z238</f>
        <v>1</v>
      </c>
      <c r="AA239" s="29">
        <f>DATEDIF(DATE(1970,1,1),AA238,"D")*86400</f>
        <v>1502928000</v>
      </c>
      <c r="AB239" s="29">
        <f>HOUR(AB238)*3600+MINUTE(AB238)*60+SECOND(AB238)</f>
        <v>56460</v>
      </c>
      <c r="AC239" s="29">
        <f>AC238</f>
        <v>1</v>
      </c>
    </row>
    <row r="240" spans="1:29">
      <c r="A240" s="23" t="str">
        <f>Parameters!A121</f>
        <v>6SM7</v>
      </c>
      <c r="B240" s="23">
        <f>Parameters!B121</f>
        <v>1E-4</v>
      </c>
      <c r="C240" s="24">
        <f>Parameters!C121</f>
        <v>2</v>
      </c>
      <c r="D240" s="24" t="str">
        <f>Parameters!D121</f>
        <v>SELL</v>
      </c>
      <c r="E240" s="23">
        <f>Parameters!E121</f>
        <v>0</v>
      </c>
      <c r="F240" s="23">
        <f>Parameters!F121</f>
        <v>0.01</v>
      </c>
      <c r="G240" s="25">
        <f>Parameters!G121</f>
        <v>0.09</v>
      </c>
      <c r="H240" s="25">
        <f>Parameters!H121</f>
        <v>0</v>
      </c>
      <c r="I240" s="25">
        <f>Parameters!I121</f>
        <v>0</v>
      </c>
      <c r="J240" s="25">
        <f>Parameters!J121</f>
        <v>1</v>
      </c>
      <c r="K240" s="25">
        <f>Parameters!K121</f>
        <v>1</v>
      </c>
      <c r="L240" s="26">
        <f t="shared" ref="L240" si="354">L241</f>
        <v>-9.9999999999999937E-5</v>
      </c>
      <c r="M240" s="25">
        <f>Parameters!L121</f>
        <v>1</v>
      </c>
      <c r="N240" s="25">
        <f>Parameters!M121</f>
        <v>1</v>
      </c>
      <c r="O240" s="26">
        <f t="shared" ref="O240" si="355">O241</f>
        <v>1.3000000000000001E-2</v>
      </c>
      <c r="P240" s="23">
        <f>Parameters!N121</f>
        <v>1</v>
      </c>
      <c r="Q240" s="23">
        <f>Parameters!O121</f>
        <v>100</v>
      </c>
      <c r="R240" s="23">
        <f>Parameters!P121</f>
        <v>10</v>
      </c>
      <c r="S240" s="23">
        <f>Parameters!Q121</f>
        <v>2</v>
      </c>
      <c r="T240" s="23">
        <f>Parameters!R121</f>
        <v>1</v>
      </c>
      <c r="U240" s="27">
        <f>Parameters!S121</f>
        <v>42741</v>
      </c>
      <c r="V240" s="28">
        <f>Parameters!T121</f>
        <v>0.30208333333333331</v>
      </c>
      <c r="W240" s="27">
        <f>Parameters!U121</f>
        <v>42964</v>
      </c>
      <c r="X240" s="28">
        <f>Parameters!V121</f>
        <v>0.65277777777777779</v>
      </c>
      <c r="Y240" s="25">
        <f>Parameters!W121</f>
        <v>28</v>
      </c>
      <c r="Z240" s="23">
        <f>Parameters!X121</f>
        <v>1</v>
      </c>
      <c r="AA240" s="27">
        <f>Parameters!Y121</f>
        <v>42964</v>
      </c>
      <c r="AB240" s="28">
        <f>Parameters!Z121</f>
        <v>0.65347222222222223</v>
      </c>
      <c r="AC240" s="23">
        <f>Parameters!AA121</f>
        <v>1</v>
      </c>
    </row>
    <row r="241" spans="1:29">
      <c r="A241" s="29" t="str">
        <f>UPPER(A240)</f>
        <v>6SM7</v>
      </c>
      <c r="B241" s="29">
        <f>B240</f>
        <v>1E-4</v>
      </c>
      <c r="C241" s="30">
        <f>C240</f>
        <v>2</v>
      </c>
      <c r="D241" s="30" t="str">
        <f>D240</f>
        <v>SELL</v>
      </c>
      <c r="E241" s="29">
        <f>E240</f>
        <v>0</v>
      </c>
      <c r="F241" s="29">
        <f>F240</f>
        <v>0.01</v>
      </c>
      <c r="G241" s="29">
        <f>IF(C240=1,IF(D240="BUY",E240+(ROUND(F240*G240/B240,0)*B240),E240-(ROUND(F240*G240/B240,0)*B240)),IF(D240="BUY",E240-(ROUND(F240*G240/B240,0)*B240),E240+(ROUND(F240*G240/B240,0)*B240)))</f>
        <v>9.0000000000000008E-4</v>
      </c>
      <c r="H241" s="29">
        <f>IF(C240=1,IF(D240="BUY",G241-(ROUND(F240*H240/B240,0)*B240),G241+(ROUND(F240*H240/B240,0)*B240)),IF(D240="BUY",G241+(ROUND(F240*H240/B240,0)*B240),G241-(ROUND(F240*H240/B240,0)*B240)))</f>
        <v>9.0000000000000008E-4</v>
      </c>
      <c r="I241" s="29">
        <f>IF(D240="BUY",G241+(ROUND(F240*I240/(B240*100),0)*B240),G241-(ROUND(F240*I240/(B240*100),0)*B240))</f>
        <v>9.0000000000000008E-4</v>
      </c>
      <c r="J241" s="29">
        <f>IF(C240=1,IF(D240="BUY",E240+(ROUND(F240*J240/B240,0)*B240),E240-(ROUND(F240*J240/B240,0)*B240)),IF(D240="BUY",E240-(ROUND(F240*J240/B240,0)*B240),E240+(ROUND(F240*J240/B240,0)*B240)))</f>
        <v>0.01</v>
      </c>
      <c r="K241" s="29">
        <f>IF(C240=1,IF(D240="BUY",E240-(ROUND(F240*K240/B240,0)*B240),E240+(ROUND(F240*K240/B240,0)*B240)),IF(D240="BUY",E240-(ROUND(F240*K240/B240,0)*B240),E240+(ROUND(F240*K240/B240,0)*B240)))</f>
        <v>0.01</v>
      </c>
      <c r="L241" s="29">
        <f t="shared" ref="L241" si="356">IF(D241="BUY",I241+(R241*B241),I241-(R241*B241))</f>
        <v>-9.9999999999999937E-5</v>
      </c>
      <c r="M241" s="29">
        <f>IF(D240="BUY",E240+(ROUND(F240*M240/B240,0)*B240),E240-(ROUND(F240*M240/B240,0)*B240))</f>
        <v>-0.01</v>
      </c>
      <c r="N241" s="29">
        <f>IF(D240="BUY",E240-(ROUND(F240*N240/B240,0)*B240),E240+(ROUND(F240*N240/B240,0)*B240))</f>
        <v>0.01</v>
      </c>
      <c r="O241" s="31">
        <f>IF(D241="BUY",N241-VLOOKUP(A241,Symbols!A$1:D$1000,4,FALSE),N241+VLOOKUP(A241,Symbols!A$1:D$1000,4,FALSE))</f>
        <v>1.3000000000000001E-2</v>
      </c>
      <c r="P241" s="29">
        <f>P240</f>
        <v>1</v>
      </c>
      <c r="Q241" s="29">
        <f>Q240</f>
        <v>100</v>
      </c>
      <c r="R241" s="29">
        <f>R240</f>
        <v>10</v>
      </c>
      <c r="S241" s="29">
        <f>S240</f>
        <v>2</v>
      </c>
      <c r="T241" s="29">
        <f>T240</f>
        <v>1</v>
      </c>
      <c r="U241" s="29">
        <f>DATEDIF(DATE(1970,1,1),U240,"D")*86400</f>
        <v>1483660800</v>
      </c>
      <c r="V241" s="29">
        <f>HOUR(V240)*3600+MINUTE(V240)*60+SECOND(V240)</f>
        <v>26100</v>
      </c>
      <c r="W241" s="29">
        <f>DATEDIF(DATE(1970,1,1),W240,"D")*86400</f>
        <v>1502928000</v>
      </c>
      <c r="X241" s="29">
        <f>HOUR(X240)*3600+MINUTE(X240)*60+SECOND(X240)</f>
        <v>56400</v>
      </c>
      <c r="Y241" s="31">
        <f>(Y240*B241)</f>
        <v>2.8E-3</v>
      </c>
      <c r="Z241" s="29">
        <f>Z240</f>
        <v>1</v>
      </c>
      <c r="AA241" s="29">
        <f>DATEDIF(DATE(1970,1,1),AA240,"D")*86400</f>
        <v>1502928000</v>
      </c>
      <c r="AB241" s="29">
        <f>HOUR(AB240)*3600+MINUTE(AB240)*60+SECOND(AB240)</f>
        <v>56460</v>
      </c>
      <c r="AC241" s="29">
        <f>AC240</f>
        <v>1</v>
      </c>
    </row>
    <row r="242" spans="1:29">
      <c r="A242" s="23" t="str">
        <f>Parameters!A122</f>
        <v>6NM7</v>
      </c>
      <c r="B242" s="23">
        <f>Parameters!B122</f>
        <v>1E-4</v>
      </c>
      <c r="C242" s="24">
        <f>Parameters!C122</f>
        <v>2</v>
      </c>
      <c r="D242" s="24" t="str">
        <f>Parameters!D122</f>
        <v>BUY</v>
      </c>
      <c r="E242" s="23">
        <f>Parameters!E122</f>
        <v>0</v>
      </c>
      <c r="F242" s="23">
        <f>Parameters!F122</f>
        <v>0.01</v>
      </c>
      <c r="G242" s="25">
        <f>Parameters!G122</f>
        <v>0</v>
      </c>
      <c r="H242" s="25">
        <f>Parameters!H122</f>
        <v>0</v>
      </c>
      <c r="I242" s="25">
        <f>Parameters!I122</f>
        <v>0</v>
      </c>
      <c r="J242" s="25">
        <f>Parameters!J122</f>
        <v>1</v>
      </c>
      <c r="K242" s="25">
        <f>Parameters!K122</f>
        <v>1</v>
      </c>
      <c r="L242" s="26">
        <f t="shared" ref="L242" si="357">L243</f>
        <v>1E-3</v>
      </c>
      <c r="M242" s="25">
        <f>Parameters!L122</f>
        <v>1</v>
      </c>
      <c r="N242" s="25">
        <f>Parameters!M122</f>
        <v>1</v>
      </c>
      <c r="O242" s="26">
        <f t="shared" ref="O242" si="358">O243</f>
        <v>-1.3000000000000001E-2</v>
      </c>
      <c r="P242" s="23">
        <f>Parameters!N122</f>
        <v>1</v>
      </c>
      <c r="Q242" s="23">
        <f>Parameters!O122</f>
        <v>100</v>
      </c>
      <c r="R242" s="23">
        <f>Parameters!P122</f>
        <v>10</v>
      </c>
      <c r="S242" s="23">
        <f>Parameters!Q122</f>
        <v>2</v>
      </c>
      <c r="T242" s="23">
        <f>Parameters!R122</f>
        <v>1</v>
      </c>
      <c r="U242" s="27">
        <f>Parameters!S122</f>
        <v>42741</v>
      </c>
      <c r="V242" s="28">
        <f>Parameters!T122</f>
        <v>0.30208333333333331</v>
      </c>
      <c r="W242" s="27">
        <f>Parameters!U122</f>
        <v>42964</v>
      </c>
      <c r="X242" s="28">
        <f>Parameters!V122</f>
        <v>0.65277777777777779</v>
      </c>
      <c r="Y242" s="25">
        <f>Parameters!W122</f>
        <v>28</v>
      </c>
      <c r="Z242" s="23">
        <f>Parameters!X122</f>
        <v>1</v>
      </c>
      <c r="AA242" s="27">
        <f>Parameters!Y122</f>
        <v>42964</v>
      </c>
      <c r="AB242" s="28">
        <f>Parameters!Z122</f>
        <v>0.65347222222222223</v>
      </c>
      <c r="AC242" s="23">
        <f>Parameters!AA122</f>
        <v>1</v>
      </c>
    </row>
    <row r="243" spans="1:29">
      <c r="A243" s="29" t="str">
        <f>UPPER(A242)</f>
        <v>6NM7</v>
      </c>
      <c r="B243" s="29">
        <f>B242</f>
        <v>1E-4</v>
      </c>
      <c r="C243" s="30">
        <f>C242</f>
        <v>2</v>
      </c>
      <c r="D243" s="30" t="str">
        <f>D242</f>
        <v>BUY</v>
      </c>
      <c r="E243" s="29">
        <f>E242</f>
        <v>0</v>
      </c>
      <c r="F243" s="29">
        <f>F242</f>
        <v>0.01</v>
      </c>
      <c r="G243" s="29">
        <f>IF(C242=1,IF(D242="BUY",E242+(ROUND(F242*G242/B242,0)*B242),E242-(ROUND(F242*G242/B242,0)*B242)),IF(D242="BUY",E242-(ROUND(F242*G242/B242,0)*B242),E242+(ROUND(F242*G242/B242,0)*B242)))</f>
        <v>0</v>
      </c>
      <c r="H243" s="29">
        <f>IF(C242=1,IF(D242="BUY",G243-(ROUND(F242*H242/B242,0)*B242),G243+(ROUND(F242*H242/B242,0)*B242)),IF(D242="BUY",G243+(ROUND(F242*H242/B242,0)*B242),G243-(ROUND(F242*H242/B242,0)*B242)))</f>
        <v>0</v>
      </c>
      <c r="I243" s="29">
        <f>IF(D242="BUY",G243+(ROUND(F242*I242/(B242*100),0)*B242),G243-(ROUND(F242*I242/(B242*100),0)*B242))</f>
        <v>0</v>
      </c>
      <c r="J243" s="29">
        <f>IF(C242=1,IF(D242="BUY",E242+(ROUND(F242*J242/B242,0)*B242),E242-(ROUND(F242*J242/B242,0)*B242)),IF(D242="BUY",E242-(ROUND(F242*J242/B242,0)*B242),E242+(ROUND(F242*J242/B242,0)*B242)))</f>
        <v>-0.01</v>
      </c>
      <c r="K243" s="29">
        <f>IF(C242=1,IF(D242="BUY",E242-(ROUND(F242*K242/B242,0)*B242),E242+(ROUND(F242*K242/B242,0)*B242)),IF(D242="BUY",E242-(ROUND(F242*K242/B242,0)*B242),E242+(ROUND(F242*K242/B242,0)*B242)))</f>
        <v>-0.01</v>
      </c>
      <c r="L243" s="29">
        <f t="shared" ref="L243" si="359">IF(D243="BUY",I243+(R243*B243),I243-(R243*B243))</f>
        <v>1E-3</v>
      </c>
      <c r="M243" s="29">
        <f>IF(D242="BUY",E242+(ROUND(F242*M242/B242,0)*B242),E242-(ROUND(F242*M242/B242,0)*B242))</f>
        <v>0.01</v>
      </c>
      <c r="N243" s="29">
        <f>IF(D242="BUY",E242-(ROUND(F242*N242/B242,0)*B242),E242+(ROUND(F242*N242/B242,0)*B242))</f>
        <v>-0.01</v>
      </c>
      <c r="O243" s="31">
        <f>IF(D243="BUY",N243-VLOOKUP(A243,Symbols!A$1:D$1000,4,FALSE),N243+VLOOKUP(A243,Symbols!A$1:D$1000,4,FALSE))</f>
        <v>-1.3000000000000001E-2</v>
      </c>
      <c r="P243" s="29">
        <f>P242</f>
        <v>1</v>
      </c>
      <c r="Q243" s="29">
        <f>Q242</f>
        <v>100</v>
      </c>
      <c r="R243" s="29">
        <f>R242</f>
        <v>10</v>
      </c>
      <c r="S243" s="29">
        <f>S242</f>
        <v>2</v>
      </c>
      <c r="T243" s="29">
        <f>T242</f>
        <v>1</v>
      </c>
      <c r="U243" s="29">
        <f>DATEDIF(DATE(1970,1,1),U242,"D")*86400</f>
        <v>1483660800</v>
      </c>
      <c r="V243" s="29">
        <f>HOUR(V242)*3600+MINUTE(V242)*60+SECOND(V242)</f>
        <v>26100</v>
      </c>
      <c r="W243" s="29">
        <f>DATEDIF(DATE(1970,1,1),W242,"D")*86400</f>
        <v>1502928000</v>
      </c>
      <c r="X243" s="29">
        <f>HOUR(X242)*3600+MINUTE(X242)*60+SECOND(X242)</f>
        <v>56400</v>
      </c>
      <c r="Y243" s="31">
        <f>(Y242*B243)</f>
        <v>2.8E-3</v>
      </c>
      <c r="Z243" s="29">
        <f>Z242</f>
        <v>1</v>
      </c>
      <c r="AA243" s="29">
        <f>DATEDIF(DATE(1970,1,1),AA242,"D")*86400</f>
        <v>1502928000</v>
      </c>
      <c r="AB243" s="29">
        <f>HOUR(AB242)*3600+MINUTE(AB242)*60+SECOND(AB242)</f>
        <v>56460</v>
      </c>
      <c r="AC243" s="29">
        <f>AC242</f>
        <v>1</v>
      </c>
    </row>
    <row r="244" spans="1:29">
      <c r="A244" s="23" t="str">
        <f>Parameters!A123</f>
        <v>6NM7</v>
      </c>
      <c r="B244" s="23">
        <f>Parameters!B123</f>
        <v>1E-4</v>
      </c>
      <c r="C244" s="24">
        <f>Parameters!C123</f>
        <v>2</v>
      </c>
      <c r="D244" s="24" t="str">
        <f>Parameters!D123</f>
        <v>BUY</v>
      </c>
      <c r="E244" s="23">
        <f>Parameters!E123</f>
        <v>0</v>
      </c>
      <c r="F244" s="23">
        <f>Parameters!F123</f>
        <v>0.01</v>
      </c>
      <c r="G244" s="25">
        <f>Parameters!G123</f>
        <v>0.01</v>
      </c>
      <c r="H244" s="25">
        <f>Parameters!H123</f>
        <v>0</v>
      </c>
      <c r="I244" s="25">
        <f>Parameters!I123</f>
        <v>0</v>
      </c>
      <c r="J244" s="25">
        <f>Parameters!J123</f>
        <v>1</v>
      </c>
      <c r="K244" s="25">
        <f>Parameters!K123</f>
        <v>1</v>
      </c>
      <c r="L244" s="26">
        <f t="shared" ref="L244" si="360">L245</f>
        <v>8.9999999999999998E-4</v>
      </c>
      <c r="M244" s="25">
        <f>Parameters!L123</f>
        <v>1</v>
      </c>
      <c r="N244" s="25">
        <f>Parameters!M123</f>
        <v>1</v>
      </c>
      <c r="O244" s="26">
        <f t="shared" ref="O244" si="361">O245</f>
        <v>-1.3000000000000001E-2</v>
      </c>
      <c r="P244" s="23">
        <f>Parameters!N123</f>
        <v>1</v>
      </c>
      <c r="Q244" s="23">
        <f>Parameters!O123</f>
        <v>100</v>
      </c>
      <c r="R244" s="23">
        <f>Parameters!P123</f>
        <v>10</v>
      </c>
      <c r="S244" s="23">
        <f>Parameters!Q123</f>
        <v>2</v>
      </c>
      <c r="T244" s="23">
        <f>Parameters!R123</f>
        <v>1</v>
      </c>
      <c r="U244" s="27">
        <f>Parameters!S123</f>
        <v>42741</v>
      </c>
      <c r="V244" s="28">
        <f>Parameters!T123</f>
        <v>0.30208333333333331</v>
      </c>
      <c r="W244" s="27">
        <f>Parameters!U123</f>
        <v>42964</v>
      </c>
      <c r="X244" s="28">
        <f>Parameters!V123</f>
        <v>0.65277777777777779</v>
      </c>
      <c r="Y244" s="25">
        <f>Parameters!W123</f>
        <v>28</v>
      </c>
      <c r="Z244" s="23">
        <f>Parameters!X123</f>
        <v>1</v>
      </c>
      <c r="AA244" s="27">
        <f>Parameters!Y123</f>
        <v>42964</v>
      </c>
      <c r="AB244" s="28">
        <f>Parameters!Z123</f>
        <v>0.65347222222222223</v>
      </c>
      <c r="AC244" s="23">
        <f>Parameters!AA123</f>
        <v>1</v>
      </c>
    </row>
    <row r="245" spans="1:29">
      <c r="A245" s="29" t="str">
        <f>UPPER(A244)</f>
        <v>6NM7</v>
      </c>
      <c r="B245" s="29">
        <f>B244</f>
        <v>1E-4</v>
      </c>
      <c r="C245" s="30">
        <f>C244</f>
        <v>2</v>
      </c>
      <c r="D245" s="30" t="str">
        <f>D244</f>
        <v>BUY</v>
      </c>
      <c r="E245" s="29">
        <f>E244</f>
        <v>0</v>
      </c>
      <c r="F245" s="29">
        <f>F244</f>
        <v>0.01</v>
      </c>
      <c r="G245" s="29">
        <f>IF(C244=1,IF(D244="BUY",E244+(ROUND(F244*G244/B244,0)*B244),E244-(ROUND(F244*G244/B244,0)*B244)),IF(D244="BUY",E244-(ROUND(F244*G244/B244,0)*B244),E244+(ROUND(F244*G244/B244,0)*B244)))</f>
        <v>-1E-4</v>
      </c>
      <c r="H245" s="29">
        <f>IF(C244=1,IF(D244="BUY",G245-(ROUND(F244*H244/B244,0)*B244),G245+(ROUND(F244*H244/B244,0)*B244)),IF(D244="BUY",G245+(ROUND(F244*H244/B244,0)*B244),G245-(ROUND(F244*H244/B244,0)*B244)))</f>
        <v>-1E-4</v>
      </c>
      <c r="I245" s="29">
        <f>IF(D244="BUY",G245+(ROUND(F244*I244/(B244*100),0)*B244),G245-(ROUND(F244*I244/(B244*100),0)*B244))</f>
        <v>-1E-4</v>
      </c>
      <c r="J245" s="29">
        <f>IF(C244=1,IF(D244="BUY",E244+(ROUND(F244*J244/B244,0)*B244),E244-(ROUND(F244*J244/B244,0)*B244)),IF(D244="BUY",E244-(ROUND(F244*J244/B244,0)*B244),E244+(ROUND(F244*J244/B244,0)*B244)))</f>
        <v>-0.01</v>
      </c>
      <c r="K245" s="29">
        <f>IF(C244=1,IF(D244="BUY",E244-(ROUND(F244*K244/B244,0)*B244),E244+(ROUND(F244*K244/B244,0)*B244)),IF(D244="BUY",E244-(ROUND(F244*K244/B244,0)*B244),E244+(ROUND(F244*K244/B244,0)*B244)))</f>
        <v>-0.01</v>
      </c>
      <c r="L245" s="29">
        <f t="shared" ref="L245" si="362">IF(D245="BUY",I245+(R245*B245),I245-(R245*B245))</f>
        <v>8.9999999999999998E-4</v>
      </c>
      <c r="M245" s="29">
        <f>IF(D244="BUY",E244+(ROUND(F244*M244/B244,0)*B244),E244-(ROUND(F244*M244/B244,0)*B244))</f>
        <v>0.01</v>
      </c>
      <c r="N245" s="29">
        <f>IF(D244="BUY",E244-(ROUND(F244*N244/B244,0)*B244),E244+(ROUND(F244*N244/B244,0)*B244))</f>
        <v>-0.01</v>
      </c>
      <c r="O245" s="31">
        <f>IF(D245="BUY",N245-VLOOKUP(A245,Symbols!A$1:D$1000,4,FALSE),N245+VLOOKUP(A245,Symbols!A$1:D$1000,4,FALSE))</f>
        <v>-1.3000000000000001E-2</v>
      </c>
      <c r="P245" s="29">
        <f>P244</f>
        <v>1</v>
      </c>
      <c r="Q245" s="29">
        <f>Q244</f>
        <v>100</v>
      </c>
      <c r="R245" s="29">
        <f>R244</f>
        <v>10</v>
      </c>
      <c r="S245" s="29">
        <f>S244</f>
        <v>2</v>
      </c>
      <c r="T245" s="29">
        <f>T244</f>
        <v>1</v>
      </c>
      <c r="U245" s="29">
        <f>DATEDIF(DATE(1970,1,1),U244,"D")*86400</f>
        <v>1483660800</v>
      </c>
      <c r="V245" s="29">
        <f>HOUR(V244)*3600+MINUTE(V244)*60+SECOND(V244)</f>
        <v>26100</v>
      </c>
      <c r="W245" s="29">
        <f>DATEDIF(DATE(1970,1,1),W244,"D")*86400</f>
        <v>1502928000</v>
      </c>
      <c r="X245" s="29">
        <f>HOUR(X244)*3600+MINUTE(X244)*60+SECOND(X244)</f>
        <v>56400</v>
      </c>
      <c r="Y245" s="31">
        <f>(Y244*B245)</f>
        <v>2.8E-3</v>
      </c>
      <c r="Z245" s="29">
        <f>Z244</f>
        <v>1</v>
      </c>
      <c r="AA245" s="29">
        <f>DATEDIF(DATE(1970,1,1),AA244,"D")*86400</f>
        <v>1502928000</v>
      </c>
      <c r="AB245" s="29">
        <f>HOUR(AB244)*3600+MINUTE(AB244)*60+SECOND(AB244)</f>
        <v>56460</v>
      </c>
      <c r="AC245" s="29">
        <f>AC244</f>
        <v>1</v>
      </c>
    </row>
    <row r="246" spans="1:29">
      <c r="A246" s="23" t="str">
        <f>Parameters!A124</f>
        <v>6NM7</v>
      </c>
      <c r="B246" s="23">
        <f>Parameters!B124</f>
        <v>1E-4</v>
      </c>
      <c r="C246" s="24">
        <f>Parameters!C124</f>
        <v>2</v>
      </c>
      <c r="D246" s="24" t="str">
        <f>Parameters!D124</f>
        <v>BUY</v>
      </c>
      <c r="E246" s="23">
        <f>Parameters!E124</f>
        <v>0</v>
      </c>
      <c r="F246" s="23">
        <f>Parameters!F124</f>
        <v>0.01</v>
      </c>
      <c r="G246" s="25">
        <f>Parameters!G124</f>
        <v>0.02</v>
      </c>
      <c r="H246" s="25">
        <f>Parameters!H124</f>
        <v>0</v>
      </c>
      <c r="I246" s="25">
        <f>Parameters!I124</f>
        <v>0</v>
      </c>
      <c r="J246" s="25">
        <f>Parameters!J124</f>
        <v>1</v>
      </c>
      <c r="K246" s="25">
        <f>Parameters!K124</f>
        <v>1</v>
      </c>
      <c r="L246" s="26">
        <f t="shared" ref="L246" si="363">L247</f>
        <v>8.0000000000000004E-4</v>
      </c>
      <c r="M246" s="25">
        <f>Parameters!L124</f>
        <v>1</v>
      </c>
      <c r="N246" s="25">
        <f>Parameters!M124</f>
        <v>1</v>
      </c>
      <c r="O246" s="26">
        <f t="shared" ref="O246" si="364">O247</f>
        <v>-1.3000000000000001E-2</v>
      </c>
      <c r="P246" s="23">
        <f>Parameters!N124</f>
        <v>1</v>
      </c>
      <c r="Q246" s="23">
        <f>Parameters!O124</f>
        <v>100</v>
      </c>
      <c r="R246" s="23">
        <f>Parameters!P124</f>
        <v>10</v>
      </c>
      <c r="S246" s="23">
        <f>Parameters!Q124</f>
        <v>2</v>
      </c>
      <c r="T246" s="23">
        <f>Parameters!R124</f>
        <v>1</v>
      </c>
      <c r="U246" s="27">
        <f>Parameters!S124</f>
        <v>42741</v>
      </c>
      <c r="V246" s="28">
        <f>Parameters!T124</f>
        <v>0.30208333333333331</v>
      </c>
      <c r="W246" s="27">
        <f>Parameters!U124</f>
        <v>42964</v>
      </c>
      <c r="X246" s="28">
        <f>Parameters!V124</f>
        <v>0.65277777777777779</v>
      </c>
      <c r="Y246" s="25">
        <f>Parameters!W124</f>
        <v>28</v>
      </c>
      <c r="Z246" s="23">
        <f>Parameters!X124</f>
        <v>1</v>
      </c>
      <c r="AA246" s="27">
        <f>Parameters!Y124</f>
        <v>42964</v>
      </c>
      <c r="AB246" s="28">
        <f>Parameters!Z124</f>
        <v>0.65347222222222223</v>
      </c>
      <c r="AC246" s="23">
        <f>Parameters!AA124</f>
        <v>1</v>
      </c>
    </row>
    <row r="247" spans="1:29">
      <c r="A247" s="29" t="str">
        <f>UPPER(A246)</f>
        <v>6NM7</v>
      </c>
      <c r="B247" s="29">
        <f>B246</f>
        <v>1E-4</v>
      </c>
      <c r="C247" s="30">
        <f>C246</f>
        <v>2</v>
      </c>
      <c r="D247" s="30" t="str">
        <f>D246</f>
        <v>BUY</v>
      </c>
      <c r="E247" s="29">
        <f>E246</f>
        <v>0</v>
      </c>
      <c r="F247" s="29">
        <f>F246</f>
        <v>0.01</v>
      </c>
      <c r="G247" s="29">
        <f>IF(C246=1,IF(D246="BUY",E246+(ROUND(F246*G246/B246,0)*B246),E246-(ROUND(F246*G246/B246,0)*B246)),IF(D246="BUY",E246-(ROUND(F246*G246/B246,0)*B246),E246+(ROUND(F246*G246/B246,0)*B246)))</f>
        <v>-2.0000000000000001E-4</v>
      </c>
      <c r="H247" s="29">
        <f>IF(C246=1,IF(D246="BUY",G247-(ROUND(F246*H246/B246,0)*B246),G247+(ROUND(F246*H246/B246,0)*B246)),IF(D246="BUY",G247+(ROUND(F246*H246/B246,0)*B246),G247-(ROUND(F246*H246/B246,0)*B246)))</f>
        <v>-2.0000000000000001E-4</v>
      </c>
      <c r="I247" s="29">
        <f>IF(D246="BUY",G247+(ROUND(F246*I246/(B246*100),0)*B246),G247-(ROUND(F246*I246/(B246*100),0)*B246))</f>
        <v>-2.0000000000000001E-4</v>
      </c>
      <c r="J247" s="29">
        <f>IF(C246=1,IF(D246="BUY",E246+(ROUND(F246*J246/B246,0)*B246),E246-(ROUND(F246*J246/B246,0)*B246)),IF(D246="BUY",E246-(ROUND(F246*J246/B246,0)*B246),E246+(ROUND(F246*J246/B246,0)*B246)))</f>
        <v>-0.01</v>
      </c>
      <c r="K247" s="29">
        <f>IF(C246=1,IF(D246="BUY",E246-(ROUND(F246*K246/B246,0)*B246),E246+(ROUND(F246*K246/B246,0)*B246)),IF(D246="BUY",E246-(ROUND(F246*K246/B246,0)*B246),E246+(ROUND(F246*K246/B246,0)*B246)))</f>
        <v>-0.01</v>
      </c>
      <c r="L247" s="29">
        <f t="shared" ref="L247" si="365">IF(D247="BUY",I247+(R247*B247),I247-(R247*B247))</f>
        <v>8.0000000000000004E-4</v>
      </c>
      <c r="M247" s="29">
        <f>IF(D246="BUY",E246+(ROUND(F246*M246/B246,0)*B246),E246-(ROUND(F246*M246/B246,0)*B246))</f>
        <v>0.01</v>
      </c>
      <c r="N247" s="29">
        <f>IF(D246="BUY",E246-(ROUND(F246*N246/B246,0)*B246),E246+(ROUND(F246*N246/B246,0)*B246))</f>
        <v>-0.01</v>
      </c>
      <c r="O247" s="31">
        <f>IF(D247="BUY",N247-VLOOKUP(A247,Symbols!A$1:D$1000,4,FALSE),N247+VLOOKUP(A247,Symbols!A$1:D$1000,4,FALSE))</f>
        <v>-1.3000000000000001E-2</v>
      </c>
      <c r="P247" s="29">
        <f>P246</f>
        <v>1</v>
      </c>
      <c r="Q247" s="29">
        <f>Q246</f>
        <v>100</v>
      </c>
      <c r="R247" s="29">
        <f>R246</f>
        <v>10</v>
      </c>
      <c r="S247" s="29">
        <f>S246</f>
        <v>2</v>
      </c>
      <c r="T247" s="29">
        <f>T246</f>
        <v>1</v>
      </c>
      <c r="U247" s="29">
        <f>DATEDIF(DATE(1970,1,1),U246,"D")*86400</f>
        <v>1483660800</v>
      </c>
      <c r="V247" s="29">
        <f>HOUR(V246)*3600+MINUTE(V246)*60+SECOND(V246)</f>
        <v>26100</v>
      </c>
      <c r="W247" s="29">
        <f>DATEDIF(DATE(1970,1,1),W246,"D")*86400</f>
        <v>1502928000</v>
      </c>
      <c r="X247" s="29">
        <f>HOUR(X246)*3600+MINUTE(X246)*60+SECOND(X246)</f>
        <v>56400</v>
      </c>
      <c r="Y247" s="31">
        <f>(Y246*B247)</f>
        <v>2.8E-3</v>
      </c>
      <c r="Z247" s="29">
        <f>Z246</f>
        <v>1</v>
      </c>
      <c r="AA247" s="29">
        <f>DATEDIF(DATE(1970,1,1),AA246,"D")*86400</f>
        <v>1502928000</v>
      </c>
      <c r="AB247" s="29">
        <f>HOUR(AB246)*3600+MINUTE(AB246)*60+SECOND(AB246)</f>
        <v>56460</v>
      </c>
      <c r="AC247" s="29">
        <f>AC246</f>
        <v>1</v>
      </c>
    </row>
    <row r="248" spans="1:29">
      <c r="A248" s="23" t="str">
        <f>Parameters!A125</f>
        <v>6NM7</v>
      </c>
      <c r="B248" s="23">
        <f>Parameters!B125</f>
        <v>1E-4</v>
      </c>
      <c r="C248" s="24">
        <f>Parameters!C125</f>
        <v>2</v>
      </c>
      <c r="D248" s="24" t="str">
        <f>Parameters!D125</f>
        <v>BUY</v>
      </c>
      <c r="E248" s="23">
        <f>Parameters!E125</f>
        <v>0</v>
      </c>
      <c r="F248" s="23">
        <f>Parameters!F125</f>
        <v>0.01</v>
      </c>
      <c r="G248" s="25">
        <f>Parameters!G125</f>
        <v>0.03</v>
      </c>
      <c r="H248" s="25">
        <f>Parameters!H125</f>
        <v>0</v>
      </c>
      <c r="I248" s="25">
        <f>Parameters!I125</f>
        <v>0</v>
      </c>
      <c r="J248" s="25">
        <f>Parameters!J125</f>
        <v>1</v>
      </c>
      <c r="K248" s="25">
        <f>Parameters!K125</f>
        <v>1</v>
      </c>
      <c r="L248" s="26">
        <f t="shared" ref="L248" si="366">L249</f>
        <v>6.9999999999999999E-4</v>
      </c>
      <c r="M248" s="25">
        <f>Parameters!L125</f>
        <v>1</v>
      </c>
      <c r="N248" s="25">
        <f>Parameters!M125</f>
        <v>1</v>
      </c>
      <c r="O248" s="26">
        <f t="shared" ref="O248" si="367">O249</f>
        <v>-1.3000000000000001E-2</v>
      </c>
      <c r="P248" s="23">
        <f>Parameters!N125</f>
        <v>1</v>
      </c>
      <c r="Q248" s="23">
        <f>Parameters!O125</f>
        <v>100</v>
      </c>
      <c r="R248" s="23">
        <f>Parameters!P125</f>
        <v>10</v>
      </c>
      <c r="S248" s="23">
        <f>Parameters!Q125</f>
        <v>2</v>
      </c>
      <c r="T248" s="23">
        <f>Parameters!R125</f>
        <v>1</v>
      </c>
      <c r="U248" s="27">
        <f>Parameters!S125</f>
        <v>42741</v>
      </c>
      <c r="V248" s="28">
        <f>Parameters!T125</f>
        <v>0.30208333333333331</v>
      </c>
      <c r="W248" s="27">
        <f>Parameters!U125</f>
        <v>42964</v>
      </c>
      <c r="X248" s="28">
        <f>Parameters!V125</f>
        <v>0.65277777777777779</v>
      </c>
      <c r="Y248" s="25">
        <f>Parameters!W125</f>
        <v>28</v>
      </c>
      <c r="Z248" s="23">
        <f>Parameters!X125</f>
        <v>1</v>
      </c>
      <c r="AA248" s="27">
        <f>Parameters!Y125</f>
        <v>42964</v>
      </c>
      <c r="AB248" s="28">
        <f>Parameters!Z125</f>
        <v>0.65347222222222223</v>
      </c>
      <c r="AC248" s="23">
        <f>Parameters!AA125</f>
        <v>1</v>
      </c>
    </row>
    <row r="249" spans="1:29">
      <c r="A249" s="29" t="str">
        <f>UPPER(A248)</f>
        <v>6NM7</v>
      </c>
      <c r="B249" s="29">
        <f>B248</f>
        <v>1E-4</v>
      </c>
      <c r="C249" s="30">
        <f>C248</f>
        <v>2</v>
      </c>
      <c r="D249" s="30" t="str">
        <f>D248</f>
        <v>BUY</v>
      </c>
      <c r="E249" s="29">
        <f>E248</f>
        <v>0</v>
      </c>
      <c r="F249" s="29">
        <f>F248</f>
        <v>0.01</v>
      </c>
      <c r="G249" s="29">
        <f>IF(C248=1,IF(D248="BUY",E248+(ROUND(F248*G248/B248,0)*B248),E248-(ROUND(F248*G248/B248,0)*B248)),IF(D248="BUY",E248-(ROUND(F248*G248/B248,0)*B248),E248+(ROUND(F248*G248/B248,0)*B248)))</f>
        <v>-3.0000000000000003E-4</v>
      </c>
      <c r="H249" s="29">
        <f>IF(C248=1,IF(D248="BUY",G249-(ROUND(F248*H248/B248,0)*B248),G249+(ROUND(F248*H248/B248,0)*B248)),IF(D248="BUY",G249+(ROUND(F248*H248/B248,0)*B248),G249-(ROUND(F248*H248/B248,0)*B248)))</f>
        <v>-3.0000000000000003E-4</v>
      </c>
      <c r="I249" s="29">
        <f>IF(D248="BUY",G249+(ROUND(F248*I248/(B248*100),0)*B248),G249-(ROUND(F248*I248/(B248*100),0)*B248))</f>
        <v>-3.0000000000000003E-4</v>
      </c>
      <c r="J249" s="29">
        <f>IF(C248=1,IF(D248="BUY",E248+(ROUND(F248*J248/B248,0)*B248),E248-(ROUND(F248*J248/B248,0)*B248)),IF(D248="BUY",E248-(ROUND(F248*J248/B248,0)*B248),E248+(ROUND(F248*J248/B248,0)*B248)))</f>
        <v>-0.01</v>
      </c>
      <c r="K249" s="29">
        <f>IF(C248=1,IF(D248="BUY",E248-(ROUND(F248*K248/B248,0)*B248),E248+(ROUND(F248*K248/B248,0)*B248)),IF(D248="BUY",E248-(ROUND(F248*K248/B248,0)*B248),E248+(ROUND(F248*K248/B248,0)*B248)))</f>
        <v>-0.01</v>
      </c>
      <c r="L249" s="29">
        <f t="shared" ref="L249" si="368">IF(D249="BUY",I249+(R249*B249),I249-(R249*B249))</f>
        <v>6.9999999999999999E-4</v>
      </c>
      <c r="M249" s="29">
        <f>IF(D248="BUY",E248+(ROUND(F248*M248/B248,0)*B248),E248-(ROUND(F248*M248/B248,0)*B248))</f>
        <v>0.01</v>
      </c>
      <c r="N249" s="29">
        <f>IF(D248="BUY",E248-(ROUND(F248*N248/B248,0)*B248),E248+(ROUND(F248*N248/B248,0)*B248))</f>
        <v>-0.01</v>
      </c>
      <c r="O249" s="31">
        <f>IF(D249="BUY",N249-VLOOKUP(A249,Symbols!A$1:D$1000,4,FALSE),N249+VLOOKUP(A249,Symbols!A$1:D$1000,4,FALSE))</f>
        <v>-1.3000000000000001E-2</v>
      </c>
      <c r="P249" s="29">
        <f>P248</f>
        <v>1</v>
      </c>
      <c r="Q249" s="29">
        <f>Q248</f>
        <v>100</v>
      </c>
      <c r="R249" s="29">
        <f>R248</f>
        <v>10</v>
      </c>
      <c r="S249" s="29">
        <f>S248</f>
        <v>2</v>
      </c>
      <c r="T249" s="29">
        <f>T248</f>
        <v>1</v>
      </c>
      <c r="U249" s="29">
        <f>DATEDIF(DATE(1970,1,1),U248,"D")*86400</f>
        <v>1483660800</v>
      </c>
      <c r="V249" s="29">
        <f>HOUR(V248)*3600+MINUTE(V248)*60+SECOND(V248)</f>
        <v>26100</v>
      </c>
      <c r="W249" s="29">
        <f>DATEDIF(DATE(1970,1,1),W248,"D")*86400</f>
        <v>1502928000</v>
      </c>
      <c r="X249" s="29">
        <f>HOUR(X248)*3600+MINUTE(X248)*60+SECOND(X248)</f>
        <v>56400</v>
      </c>
      <c r="Y249" s="31">
        <f>(Y248*B249)</f>
        <v>2.8E-3</v>
      </c>
      <c r="Z249" s="29">
        <f>Z248</f>
        <v>1</v>
      </c>
      <c r="AA249" s="29">
        <f>DATEDIF(DATE(1970,1,1),AA248,"D")*86400</f>
        <v>1502928000</v>
      </c>
      <c r="AB249" s="29">
        <f>HOUR(AB248)*3600+MINUTE(AB248)*60+SECOND(AB248)</f>
        <v>56460</v>
      </c>
      <c r="AC249" s="29">
        <f>AC248</f>
        <v>1</v>
      </c>
    </row>
    <row r="250" spans="1:29">
      <c r="A250" s="23" t="str">
        <f>Parameters!A126</f>
        <v>6NM7</v>
      </c>
      <c r="B250" s="23">
        <f>Parameters!B126</f>
        <v>1E-4</v>
      </c>
      <c r="C250" s="24">
        <f>Parameters!C126</f>
        <v>2</v>
      </c>
      <c r="D250" s="24" t="str">
        <f>Parameters!D126</f>
        <v>BUY</v>
      </c>
      <c r="E250" s="23">
        <f>Parameters!E126</f>
        <v>0</v>
      </c>
      <c r="F250" s="23">
        <f>Parameters!F126</f>
        <v>0.01</v>
      </c>
      <c r="G250" s="25">
        <f>Parameters!G126</f>
        <v>0.04</v>
      </c>
      <c r="H250" s="25">
        <f>Parameters!H126</f>
        <v>0</v>
      </c>
      <c r="I250" s="25">
        <f>Parameters!I126</f>
        <v>0</v>
      </c>
      <c r="J250" s="25">
        <f>Parameters!J126</f>
        <v>1</v>
      </c>
      <c r="K250" s="25">
        <f>Parameters!K126</f>
        <v>1</v>
      </c>
      <c r="L250" s="26">
        <f t="shared" ref="L250" si="369">L251</f>
        <v>6.0000000000000006E-4</v>
      </c>
      <c r="M250" s="25">
        <f>Parameters!L126</f>
        <v>1</v>
      </c>
      <c r="N250" s="25">
        <f>Parameters!M126</f>
        <v>1</v>
      </c>
      <c r="O250" s="26">
        <f t="shared" ref="O250" si="370">O251</f>
        <v>-1.3000000000000001E-2</v>
      </c>
      <c r="P250" s="23">
        <f>Parameters!N126</f>
        <v>1</v>
      </c>
      <c r="Q250" s="23">
        <f>Parameters!O126</f>
        <v>100</v>
      </c>
      <c r="R250" s="23">
        <f>Parameters!P126</f>
        <v>10</v>
      </c>
      <c r="S250" s="23">
        <f>Parameters!Q126</f>
        <v>2</v>
      </c>
      <c r="T250" s="23">
        <f>Parameters!R126</f>
        <v>1</v>
      </c>
      <c r="U250" s="27">
        <f>Parameters!S126</f>
        <v>42741</v>
      </c>
      <c r="V250" s="28">
        <f>Parameters!T126</f>
        <v>0.30208333333333331</v>
      </c>
      <c r="W250" s="27">
        <f>Parameters!U126</f>
        <v>42964</v>
      </c>
      <c r="X250" s="28">
        <f>Parameters!V126</f>
        <v>0.65277777777777779</v>
      </c>
      <c r="Y250" s="25">
        <f>Parameters!W126</f>
        <v>28</v>
      </c>
      <c r="Z250" s="23">
        <f>Parameters!X126</f>
        <v>1</v>
      </c>
      <c r="AA250" s="27">
        <f>Parameters!Y126</f>
        <v>42964</v>
      </c>
      <c r="AB250" s="28">
        <f>Parameters!Z126</f>
        <v>0.65347222222222223</v>
      </c>
      <c r="AC250" s="23">
        <f>Parameters!AA126</f>
        <v>1</v>
      </c>
    </row>
    <row r="251" spans="1:29">
      <c r="A251" s="29" t="str">
        <f>UPPER(A250)</f>
        <v>6NM7</v>
      </c>
      <c r="B251" s="29">
        <f>B250</f>
        <v>1E-4</v>
      </c>
      <c r="C251" s="30">
        <f>C250</f>
        <v>2</v>
      </c>
      <c r="D251" s="30" t="str">
        <f>D250</f>
        <v>BUY</v>
      </c>
      <c r="E251" s="29">
        <f>E250</f>
        <v>0</v>
      </c>
      <c r="F251" s="29">
        <f>F250</f>
        <v>0.01</v>
      </c>
      <c r="G251" s="29">
        <f>IF(C250=1,IF(D250="BUY",E250+(ROUND(F250*G250/B250,0)*B250),E250-(ROUND(F250*G250/B250,0)*B250)),IF(D250="BUY",E250-(ROUND(F250*G250/B250,0)*B250),E250+(ROUND(F250*G250/B250,0)*B250)))</f>
        <v>-4.0000000000000002E-4</v>
      </c>
      <c r="H251" s="29">
        <f>IF(C250=1,IF(D250="BUY",G251-(ROUND(F250*H250/B250,0)*B250),G251+(ROUND(F250*H250/B250,0)*B250)),IF(D250="BUY",G251+(ROUND(F250*H250/B250,0)*B250),G251-(ROUND(F250*H250/B250,0)*B250)))</f>
        <v>-4.0000000000000002E-4</v>
      </c>
      <c r="I251" s="29">
        <f>IF(D250="BUY",G251+(ROUND(F250*I250/(B250*100),0)*B250),G251-(ROUND(F250*I250/(B250*100),0)*B250))</f>
        <v>-4.0000000000000002E-4</v>
      </c>
      <c r="J251" s="29">
        <f>IF(C250=1,IF(D250="BUY",E250+(ROUND(F250*J250/B250,0)*B250),E250-(ROUND(F250*J250/B250,0)*B250)),IF(D250="BUY",E250-(ROUND(F250*J250/B250,0)*B250),E250+(ROUND(F250*J250/B250,0)*B250)))</f>
        <v>-0.01</v>
      </c>
      <c r="K251" s="29">
        <f>IF(C250=1,IF(D250="BUY",E250-(ROUND(F250*K250/B250,0)*B250),E250+(ROUND(F250*K250/B250,0)*B250)),IF(D250="BUY",E250-(ROUND(F250*K250/B250,0)*B250),E250+(ROUND(F250*K250/B250,0)*B250)))</f>
        <v>-0.01</v>
      </c>
      <c r="L251" s="29">
        <f t="shared" ref="L251" si="371">IF(D251="BUY",I251+(R251*B251),I251-(R251*B251))</f>
        <v>6.0000000000000006E-4</v>
      </c>
      <c r="M251" s="29">
        <f>IF(D250="BUY",E250+(ROUND(F250*M250/B250,0)*B250),E250-(ROUND(F250*M250/B250,0)*B250))</f>
        <v>0.01</v>
      </c>
      <c r="N251" s="29">
        <f>IF(D250="BUY",E250-(ROUND(F250*N250/B250,0)*B250),E250+(ROUND(F250*N250/B250,0)*B250))</f>
        <v>-0.01</v>
      </c>
      <c r="O251" s="31">
        <f>IF(D251="BUY",N251-VLOOKUP(A251,Symbols!A$1:D$1000,4,FALSE),N251+VLOOKUP(A251,Symbols!A$1:D$1000,4,FALSE))</f>
        <v>-1.3000000000000001E-2</v>
      </c>
      <c r="P251" s="29">
        <f>P250</f>
        <v>1</v>
      </c>
      <c r="Q251" s="29">
        <f>Q250</f>
        <v>100</v>
      </c>
      <c r="R251" s="29">
        <f>R250</f>
        <v>10</v>
      </c>
      <c r="S251" s="29">
        <f>S250</f>
        <v>2</v>
      </c>
      <c r="T251" s="29">
        <f>T250</f>
        <v>1</v>
      </c>
      <c r="U251" s="29">
        <f>DATEDIF(DATE(1970,1,1),U250,"D")*86400</f>
        <v>1483660800</v>
      </c>
      <c r="V251" s="29">
        <f>HOUR(V250)*3600+MINUTE(V250)*60+SECOND(V250)</f>
        <v>26100</v>
      </c>
      <c r="W251" s="29">
        <f>DATEDIF(DATE(1970,1,1),W250,"D")*86400</f>
        <v>1502928000</v>
      </c>
      <c r="X251" s="29">
        <f>HOUR(X250)*3600+MINUTE(X250)*60+SECOND(X250)</f>
        <v>56400</v>
      </c>
      <c r="Y251" s="31">
        <f>(Y250*B251)</f>
        <v>2.8E-3</v>
      </c>
      <c r="Z251" s="29">
        <f>Z250</f>
        <v>1</v>
      </c>
      <c r="AA251" s="29">
        <f>DATEDIF(DATE(1970,1,1),AA250,"D")*86400</f>
        <v>1502928000</v>
      </c>
      <c r="AB251" s="29">
        <f>HOUR(AB250)*3600+MINUTE(AB250)*60+SECOND(AB250)</f>
        <v>56460</v>
      </c>
      <c r="AC251" s="29">
        <f>AC250</f>
        <v>1</v>
      </c>
    </row>
    <row r="252" spans="1:29">
      <c r="A252" s="23" t="str">
        <f>Parameters!A127</f>
        <v>6NM7</v>
      </c>
      <c r="B252" s="23">
        <f>Parameters!B127</f>
        <v>1E-4</v>
      </c>
      <c r="C252" s="24">
        <f>Parameters!C127</f>
        <v>2</v>
      </c>
      <c r="D252" s="24" t="str">
        <f>Parameters!D127</f>
        <v>BUY</v>
      </c>
      <c r="E252" s="23">
        <f>Parameters!E127</f>
        <v>0</v>
      </c>
      <c r="F252" s="23">
        <f>Parameters!F127</f>
        <v>0.01</v>
      </c>
      <c r="G252" s="25">
        <f>Parameters!G127</f>
        <v>0.05</v>
      </c>
      <c r="H252" s="25">
        <f>Parameters!H127</f>
        <v>0</v>
      </c>
      <c r="I252" s="25">
        <f>Parameters!I127</f>
        <v>0</v>
      </c>
      <c r="J252" s="25">
        <f>Parameters!J127</f>
        <v>1</v>
      </c>
      <c r="K252" s="25">
        <f>Parameters!K127</f>
        <v>1</v>
      </c>
      <c r="L252" s="26">
        <f t="shared" ref="L252" si="372">L253</f>
        <v>5.0000000000000001E-4</v>
      </c>
      <c r="M252" s="25">
        <f>Parameters!L127</f>
        <v>1</v>
      </c>
      <c r="N252" s="25">
        <f>Parameters!M127</f>
        <v>1</v>
      </c>
      <c r="O252" s="26">
        <f t="shared" ref="O252" si="373">O253</f>
        <v>-1.3000000000000001E-2</v>
      </c>
      <c r="P252" s="23">
        <f>Parameters!N127</f>
        <v>1</v>
      </c>
      <c r="Q252" s="23">
        <f>Parameters!O127</f>
        <v>100</v>
      </c>
      <c r="R252" s="23">
        <f>Parameters!P127</f>
        <v>10</v>
      </c>
      <c r="S252" s="23">
        <f>Parameters!Q127</f>
        <v>2</v>
      </c>
      <c r="T252" s="23">
        <f>Parameters!R127</f>
        <v>1</v>
      </c>
      <c r="U252" s="27">
        <f>Parameters!S127</f>
        <v>42741</v>
      </c>
      <c r="V252" s="28">
        <f>Parameters!T127</f>
        <v>0.30208333333333331</v>
      </c>
      <c r="W252" s="27">
        <f>Parameters!U127</f>
        <v>42964</v>
      </c>
      <c r="X252" s="28">
        <f>Parameters!V127</f>
        <v>0.65277777777777779</v>
      </c>
      <c r="Y252" s="25">
        <f>Parameters!W127</f>
        <v>28</v>
      </c>
      <c r="Z252" s="23">
        <f>Parameters!X127</f>
        <v>1</v>
      </c>
      <c r="AA252" s="27">
        <f>Parameters!Y127</f>
        <v>42964</v>
      </c>
      <c r="AB252" s="28">
        <f>Parameters!Z127</f>
        <v>0.65347222222222223</v>
      </c>
      <c r="AC252" s="23">
        <f>Parameters!AA127</f>
        <v>1</v>
      </c>
    </row>
    <row r="253" spans="1:29">
      <c r="A253" s="29" t="str">
        <f>UPPER(A252)</f>
        <v>6NM7</v>
      </c>
      <c r="B253" s="29">
        <f>B252</f>
        <v>1E-4</v>
      </c>
      <c r="C253" s="30">
        <f>C252</f>
        <v>2</v>
      </c>
      <c r="D253" s="30" t="str">
        <f>D252</f>
        <v>BUY</v>
      </c>
      <c r="E253" s="29">
        <f>E252</f>
        <v>0</v>
      </c>
      <c r="F253" s="29">
        <f>F252</f>
        <v>0.01</v>
      </c>
      <c r="G253" s="29">
        <f>IF(C252=1,IF(D252="BUY",E252+(ROUND(F252*G252/B252,0)*B252),E252-(ROUND(F252*G252/B252,0)*B252)),IF(D252="BUY",E252-(ROUND(F252*G252/B252,0)*B252),E252+(ROUND(F252*G252/B252,0)*B252)))</f>
        <v>-5.0000000000000001E-4</v>
      </c>
      <c r="H253" s="29">
        <f>IF(C252=1,IF(D252="BUY",G253-(ROUND(F252*H252/B252,0)*B252),G253+(ROUND(F252*H252/B252,0)*B252)),IF(D252="BUY",G253+(ROUND(F252*H252/B252,0)*B252),G253-(ROUND(F252*H252/B252,0)*B252)))</f>
        <v>-5.0000000000000001E-4</v>
      </c>
      <c r="I253" s="29">
        <f>IF(D252="BUY",G253+(ROUND(F252*I252/(B252*100),0)*B252),G253-(ROUND(F252*I252/(B252*100),0)*B252))</f>
        <v>-5.0000000000000001E-4</v>
      </c>
      <c r="J253" s="29">
        <f>IF(C252=1,IF(D252="BUY",E252+(ROUND(F252*J252/B252,0)*B252),E252-(ROUND(F252*J252/B252,0)*B252)),IF(D252="BUY",E252-(ROUND(F252*J252/B252,0)*B252),E252+(ROUND(F252*J252/B252,0)*B252)))</f>
        <v>-0.01</v>
      </c>
      <c r="K253" s="29">
        <f>IF(C252=1,IF(D252="BUY",E252-(ROUND(F252*K252/B252,0)*B252),E252+(ROUND(F252*K252/B252,0)*B252)),IF(D252="BUY",E252-(ROUND(F252*K252/B252,0)*B252),E252+(ROUND(F252*K252/B252,0)*B252)))</f>
        <v>-0.01</v>
      </c>
      <c r="L253" s="29">
        <f t="shared" ref="L253" si="374">IF(D253="BUY",I253+(R253*B253),I253-(R253*B253))</f>
        <v>5.0000000000000001E-4</v>
      </c>
      <c r="M253" s="29">
        <f>IF(D252="BUY",E252+(ROUND(F252*M252/B252,0)*B252),E252-(ROUND(F252*M252/B252,0)*B252))</f>
        <v>0.01</v>
      </c>
      <c r="N253" s="29">
        <f>IF(D252="BUY",E252-(ROUND(F252*N252/B252,0)*B252),E252+(ROUND(F252*N252/B252,0)*B252))</f>
        <v>-0.01</v>
      </c>
      <c r="O253" s="31">
        <f>IF(D253="BUY",N253-VLOOKUP(A253,Symbols!A$1:D$1000,4,FALSE),N253+VLOOKUP(A253,Symbols!A$1:D$1000,4,FALSE))</f>
        <v>-1.3000000000000001E-2</v>
      </c>
      <c r="P253" s="29">
        <f>P252</f>
        <v>1</v>
      </c>
      <c r="Q253" s="29">
        <f>Q252</f>
        <v>100</v>
      </c>
      <c r="R253" s="29">
        <f>R252</f>
        <v>10</v>
      </c>
      <c r="S253" s="29">
        <f>S252</f>
        <v>2</v>
      </c>
      <c r="T253" s="29">
        <f>T252</f>
        <v>1</v>
      </c>
      <c r="U253" s="29">
        <f>DATEDIF(DATE(1970,1,1),U252,"D")*86400</f>
        <v>1483660800</v>
      </c>
      <c r="V253" s="29">
        <f>HOUR(V252)*3600+MINUTE(V252)*60+SECOND(V252)</f>
        <v>26100</v>
      </c>
      <c r="W253" s="29">
        <f>DATEDIF(DATE(1970,1,1),W252,"D")*86400</f>
        <v>1502928000</v>
      </c>
      <c r="X253" s="29">
        <f>HOUR(X252)*3600+MINUTE(X252)*60+SECOND(X252)</f>
        <v>56400</v>
      </c>
      <c r="Y253" s="31">
        <f>(Y252*B253)</f>
        <v>2.8E-3</v>
      </c>
      <c r="Z253" s="29">
        <f>Z252</f>
        <v>1</v>
      </c>
      <c r="AA253" s="29">
        <f>DATEDIF(DATE(1970,1,1),AA252,"D")*86400</f>
        <v>1502928000</v>
      </c>
      <c r="AB253" s="29">
        <f>HOUR(AB252)*3600+MINUTE(AB252)*60+SECOND(AB252)</f>
        <v>56460</v>
      </c>
      <c r="AC253" s="29">
        <f>AC252</f>
        <v>1</v>
      </c>
    </row>
    <row r="254" spans="1:29">
      <c r="A254" s="23" t="str">
        <f>Parameters!A128</f>
        <v>6NM7</v>
      </c>
      <c r="B254" s="23">
        <f>Parameters!B128</f>
        <v>1E-4</v>
      </c>
      <c r="C254" s="24">
        <f>Parameters!C128</f>
        <v>2</v>
      </c>
      <c r="D254" s="24" t="str">
        <f>Parameters!D128</f>
        <v>BUY</v>
      </c>
      <c r="E254" s="23">
        <f>Parameters!E128</f>
        <v>0</v>
      </c>
      <c r="F254" s="23">
        <f>Parameters!F128</f>
        <v>0.01</v>
      </c>
      <c r="G254" s="25">
        <f>Parameters!G128</f>
        <v>0.06</v>
      </c>
      <c r="H254" s="25">
        <f>Parameters!H128</f>
        <v>0</v>
      </c>
      <c r="I254" s="25">
        <f>Parameters!I128</f>
        <v>0</v>
      </c>
      <c r="J254" s="25">
        <f>Parameters!J128</f>
        <v>1</v>
      </c>
      <c r="K254" s="25">
        <f>Parameters!K128</f>
        <v>1</v>
      </c>
      <c r="L254" s="26">
        <f t="shared" ref="L254" si="375">L255</f>
        <v>3.9999999999999996E-4</v>
      </c>
      <c r="M254" s="25">
        <f>Parameters!L128</f>
        <v>1</v>
      </c>
      <c r="N254" s="25">
        <f>Parameters!M128</f>
        <v>1</v>
      </c>
      <c r="O254" s="26">
        <f t="shared" ref="O254" si="376">O255</f>
        <v>-1.3000000000000001E-2</v>
      </c>
      <c r="P254" s="23">
        <f>Parameters!N128</f>
        <v>1</v>
      </c>
      <c r="Q254" s="23">
        <f>Parameters!O128</f>
        <v>100</v>
      </c>
      <c r="R254" s="23">
        <f>Parameters!P128</f>
        <v>10</v>
      </c>
      <c r="S254" s="23">
        <f>Parameters!Q128</f>
        <v>2</v>
      </c>
      <c r="T254" s="23">
        <f>Parameters!R128</f>
        <v>1</v>
      </c>
      <c r="U254" s="27">
        <f>Parameters!S128</f>
        <v>42741</v>
      </c>
      <c r="V254" s="28">
        <f>Parameters!T128</f>
        <v>0.30208333333333331</v>
      </c>
      <c r="W254" s="27">
        <f>Parameters!U128</f>
        <v>42964</v>
      </c>
      <c r="X254" s="28">
        <f>Parameters!V128</f>
        <v>0.65277777777777779</v>
      </c>
      <c r="Y254" s="25">
        <f>Parameters!W128</f>
        <v>28</v>
      </c>
      <c r="Z254" s="23">
        <f>Parameters!X128</f>
        <v>1</v>
      </c>
      <c r="AA254" s="27">
        <f>Parameters!Y128</f>
        <v>42964</v>
      </c>
      <c r="AB254" s="28">
        <f>Parameters!Z128</f>
        <v>0.65347222222222223</v>
      </c>
      <c r="AC254" s="23">
        <f>Parameters!AA128</f>
        <v>1</v>
      </c>
    </row>
    <row r="255" spans="1:29">
      <c r="A255" s="29" t="str">
        <f>UPPER(A254)</f>
        <v>6NM7</v>
      </c>
      <c r="B255" s="29">
        <f>B254</f>
        <v>1E-4</v>
      </c>
      <c r="C255" s="30">
        <f>C254</f>
        <v>2</v>
      </c>
      <c r="D255" s="30" t="str">
        <f>D254</f>
        <v>BUY</v>
      </c>
      <c r="E255" s="29">
        <f>E254</f>
        <v>0</v>
      </c>
      <c r="F255" s="29">
        <f>F254</f>
        <v>0.01</v>
      </c>
      <c r="G255" s="29">
        <f>IF(C254=1,IF(D254="BUY",E254+(ROUND(F254*G254/B254,0)*B254),E254-(ROUND(F254*G254/B254,0)*B254)),IF(D254="BUY",E254-(ROUND(F254*G254/B254,0)*B254),E254+(ROUND(F254*G254/B254,0)*B254)))</f>
        <v>-6.0000000000000006E-4</v>
      </c>
      <c r="H255" s="29">
        <f>IF(C254=1,IF(D254="BUY",G255-(ROUND(F254*H254/B254,0)*B254),G255+(ROUND(F254*H254/B254,0)*B254)),IF(D254="BUY",G255+(ROUND(F254*H254/B254,0)*B254),G255-(ROUND(F254*H254/B254,0)*B254)))</f>
        <v>-6.0000000000000006E-4</v>
      </c>
      <c r="I255" s="29">
        <f>IF(D254="BUY",G255+(ROUND(F254*I254/(B254*100),0)*B254),G255-(ROUND(F254*I254/(B254*100),0)*B254))</f>
        <v>-6.0000000000000006E-4</v>
      </c>
      <c r="J255" s="29">
        <f>IF(C254=1,IF(D254="BUY",E254+(ROUND(F254*J254/B254,0)*B254),E254-(ROUND(F254*J254/B254,0)*B254)),IF(D254="BUY",E254-(ROUND(F254*J254/B254,0)*B254),E254+(ROUND(F254*J254/B254,0)*B254)))</f>
        <v>-0.01</v>
      </c>
      <c r="K255" s="29">
        <f>IF(C254=1,IF(D254="BUY",E254-(ROUND(F254*K254/B254,0)*B254),E254+(ROUND(F254*K254/B254,0)*B254)),IF(D254="BUY",E254-(ROUND(F254*K254/B254,0)*B254),E254+(ROUND(F254*K254/B254,0)*B254)))</f>
        <v>-0.01</v>
      </c>
      <c r="L255" s="29">
        <f t="shared" ref="L255" si="377">IF(D255="BUY",I255+(R255*B255),I255-(R255*B255))</f>
        <v>3.9999999999999996E-4</v>
      </c>
      <c r="M255" s="29">
        <f>IF(D254="BUY",E254+(ROUND(F254*M254/B254,0)*B254),E254-(ROUND(F254*M254/B254,0)*B254))</f>
        <v>0.01</v>
      </c>
      <c r="N255" s="29">
        <f>IF(D254="BUY",E254-(ROUND(F254*N254/B254,0)*B254),E254+(ROUND(F254*N254/B254,0)*B254))</f>
        <v>-0.01</v>
      </c>
      <c r="O255" s="31">
        <f>IF(D255="BUY",N255-VLOOKUP(A255,Symbols!A$1:D$1000,4,FALSE),N255+VLOOKUP(A255,Symbols!A$1:D$1000,4,FALSE))</f>
        <v>-1.3000000000000001E-2</v>
      </c>
      <c r="P255" s="29">
        <f>P254</f>
        <v>1</v>
      </c>
      <c r="Q255" s="29">
        <f>Q254</f>
        <v>100</v>
      </c>
      <c r="R255" s="29">
        <f>R254</f>
        <v>10</v>
      </c>
      <c r="S255" s="29">
        <f>S254</f>
        <v>2</v>
      </c>
      <c r="T255" s="29">
        <f>T254</f>
        <v>1</v>
      </c>
      <c r="U255" s="29">
        <f>DATEDIF(DATE(1970,1,1),U254,"D")*86400</f>
        <v>1483660800</v>
      </c>
      <c r="V255" s="29">
        <f>HOUR(V254)*3600+MINUTE(V254)*60+SECOND(V254)</f>
        <v>26100</v>
      </c>
      <c r="W255" s="29">
        <f>DATEDIF(DATE(1970,1,1),W254,"D")*86400</f>
        <v>1502928000</v>
      </c>
      <c r="X255" s="29">
        <f>HOUR(X254)*3600+MINUTE(X254)*60+SECOND(X254)</f>
        <v>56400</v>
      </c>
      <c r="Y255" s="31">
        <f>(Y254*B255)</f>
        <v>2.8E-3</v>
      </c>
      <c r="Z255" s="29">
        <f>Z254</f>
        <v>1</v>
      </c>
      <c r="AA255" s="29">
        <f>DATEDIF(DATE(1970,1,1),AA254,"D")*86400</f>
        <v>1502928000</v>
      </c>
      <c r="AB255" s="29">
        <f>HOUR(AB254)*3600+MINUTE(AB254)*60+SECOND(AB254)</f>
        <v>56460</v>
      </c>
      <c r="AC255" s="29">
        <f>AC254</f>
        <v>1</v>
      </c>
    </row>
    <row r="256" spans="1:29">
      <c r="A256" s="23" t="str">
        <f>Parameters!A129</f>
        <v>6NM7</v>
      </c>
      <c r="B256" s="23">
        <f>Parameters!B129</f>
        <v>1E-4</v>
      </c>
      <c r="C256" s="24">
        <f>Parameters!C129</f>
        <v>2</v>
      </c>
      <c r="D256" s="24" t="str">
        <f>Parameters!D129</f>
        <v>BUY</v>
      </c>
      <c r="E256" s="23">
        <f>Parameters!E129</f>
        <v>0</v>
      </c>
      <c r="F256" s="23">
        <f>Parameters!F129</f>
        <v>0.01</v>
      </c>
      <c r="G256" s="25">
        <f>Parameters!G129</f>
        <v>7.0000000000000007E-2</v>
      </c>
      <c r="H256" s="25">
        <f>Parameters!H129</f>
        <v>0</v>
      </c>
      <c r="I256" s="25">
        <f>Parameters!I129</f>
        <v>0</v>
      </c>
      <c r="J256" s="25">
        <f>Parameters!J129</f>
        <v>1</v>
      </c>
      <c r="K256" s="25">
        <f>Parameters!K129</f>
        <v>1</v>
      </c>
      <c r="L256" s="26">
        <f t="shared" ref="L256" si="378">L257</f>
        <v>3.0000000000000003E-4</v>
      </c>
      <c r="M256" s="25">
        <f>Parameters!L129</f>
        <v>1</v>
      </c>
      <c r="N256" s="25">
        <f>Parameters!M129</f>
        <v>1</v>
      </c>
      <c r="O256" s="26">
        <f t="shared" ref="O256" si="379">O257</f>
        <v>-1.3000000000000001E-2</v>
      </c>
      <c r="P256" s="23">
        <f>Parameters!N129</f>
        <v>1</v>
      </c>
      <c r="Q256" s="23">
        <f>Parameters!O129</f>
        <v>100</v>
      </c>
      <c r="R256" s="23">
        <f>Parameters!P129</f>
        <v>10</v>
      </c>
      <c r="S256" s="23">
        <f>Parameters!Q129</f>
        <v>2</v>
      </c>
      <c r="T256" s="23">
        <f>Parameters!R129</f>
        <v>1</v>
      </c>
      <c r="U256" s="27">
        <f>Parameters!S129</f>
        <v>42741</v>
      </c>
      <c r="V256" s="28">
        <f>Parameters!T129</f>
        <v>0.30208333333333331</v>
      </c>
      <c r="W256" s="27">
        <f>Parameters!U129</f>
        <v>42964</v>
      </c>
      <c r="X256" s="28">
        <f>Parameters!V129</f>
        <v>0.65277777777777779</v>
      </c>
      <c r="Y256" s="25">
        <f>Parameters!W129</f>
        <v>28</v>
      </c>
      <c r="Z256" s="23">
        <f>Parameters!X129</f>
        <v>1</v>
      </c>
      <c r="AA256" s="27">
        <f>Parameters!Y129</f>
        <v>42964</v>
      </c>
      <c r="AB256" s="28">
        <f>Parameters!Z129</f>
        <v>0.65347222222222223</v>
      </c>
      <c r="AC256" s="23">
        <f>Parameters!AA129</f>
        <v>1</v>
      </c>
    </row>
    <row r="257" spans="1:29">
      <c r="A257" s="29" t="str">
        <f>UPPER(A256)</f>
        <v>6NM7</v>
      </c>
      <c r="B257" s="29">
        <f>B256</f>
        <v>1E-4</v>
      </c>
      <c r="C257" s="30">
        <f>C256</f>
        <v>2</v>
      </c>
      <c r="D257" s="30" t="str">
        <f>D256</f>
        <v>BUY</v>
      </c>
      <c r="E257" s="29">
        <f>E256</f>
        <v>0</v>
      </c>
      <c r="F257" s="29">
        <f>F256</f>
        <v>0.01</v>
      </c>
      <c r="G257" s="29">
        <f>IF(C256=1,IF(D256="BUY",E256+(ROUND(F256*G256/B256,0)*B256),E256-(ROUND(F256*G256/B256,0)*B256)),IF(D256="BUY",E256-(ROUND(F256*G256/B256,0)*B256),E256+(ROUND(F256*G256/B256,0)*B256)))</f>
        <v>-6.9999999999999999E-4</v>
      </c>
      <c r="H257" s="29">
        <f>IF(C256=1,IF(D256="BUY",G257-(ROUND(F256*H256/B256,0)*B256),G257+(ROUND(F256*H256/B256,0)*B256)),IF(D256="BUY",G257+(ROUND(F256*H256/B256,0)*B256),G257-(ROUND(F256*H256/B256,0)*B256)))</f>
        <v>-6.9999999999999999E-4</v>
      </c>
      <c r="I257" s="29">
        <f>IF(D256="BUY",G257+(ROUND(F256*I256/(B256*100),0)*B256),G257-(ROUND(F256*I256/(B256*100),0)*B256))</f>
        <v>-6.9999999999999999E-4</v>
      </c>
      <c r="J257" s="29">
        <f>IF(C256=1,IF(D256="BUY",E256+(ROUND(F256*J256/B256,0)*B256),E256-(ROUND(F256*J256/B256,0)*B256)),IF(D256="BUY",E256-(ROUND(F256*J256/B256,0)*B256),E256+(ROUND(F256*J256/B256,0)*B256)))</f>
        <v>-0.01</v>
      </c>
      <c r="K257" s="29">
        <f>IF(C256=1,IF(D256="BUY",E256-(ROUND(F256*K256/B256,0)*B256),E256+(ROUND(F256*K256/B256,0)*B256)),IF(D256="BUY",E256-(ROUND(F256*K256/B256,0)*B256),E256+(ROUND(F256*K256/B256,0)*B256)))</f>
        <v>-0.01</v>
      </c>
      <c r="L257" s="29">
        <f t="shared" ref="L257" si="380">IF(D257="BUY",I257+(R257*B257),I257-(R257*B257))</f>
        <v>3.0000000000000003E-4</v>
      </c>
      <c r="M257" s="29">
        <f>IF(D256="BUY",E256+(ROUND(F256*M256/B256,0)*B256),E256-(ROUND(F256*M256/B256,0)*B256))</f>
        <v>0.01</v>
      </c>
      <c r="N257" s="29">
        <f>IF(D256="BUY",E256-(ROUND(F256*N256/B256,0)*B256),E256+(ROUND(F256*N256/B256,0)*B256))</f>
        <v>-0.01</v>
      </c>
      <c r="O257" s="31">
        <f>IF(D257="BUY",N257-VLOOKUP(A257,Symbols!A$1:D$1000,4,FALSE),N257+VLOOKUP(A257,Symbols!A$1:D$1000,4,FALSE))</f>
        <v>-1.3000000000000001E-2</v>
      </c>
      <c r="P257" s="29">
        <f>P256</f>
        <v>1</v>
      </c>
      <c r="Q257" s="29">
        <f>Q256</f>
        <v>100</v>
      </c>
      <c r="R257" s="29">
        <f>R256</f>
        <v>10</v>
      </c>
      <c r="S257" s="29">
        <f>S256</f>
        <v>2</v>
      </c>
      <c r="T257" s="29">
        <f>T256</f>
        <v>1</v>
      </c>
      <c r="U257" s="29">
        <f>DATEDIF(DATE(1970,1,1),U256,"D")*86400</f>
        <v>1483660800</v>
      </c>
      <c r="V257" s="29">
        <f>HOUR(V256)*3600+MINUTE(V256)*60+SECOND(V256)</f>
        <v>26100</v>
      </c>
      <c r="W257" s="29">
        <f>DATEDIF(DATE(1970,1,1),W256,"D")*86400</f>
        <v>1502928000</v>
      </c>
      <c r="X257" s="29">
        <f>HOUR(X256)*3600+MINUTE(X256)*60+SECOND(X256)</f>
        <v>56400</v>
      </c>
      <c r="Y257" s="31">
        <f>(Y256*B257)</f>
        <v>2.8E-3</v>
      </c>
      <c r="Z257" s="29">
        <f>Z256</f>
        <v>1</v>
      </c>
      <c r="AA257" s="29">
        <f>DATEDIF(DATE(1970,1,1),AA256,"D")*86400</f>
        <v>1502928000</v>
      </c>
      <c r="AB257" s="29">
        <f>HOUR(AB256)*3600+MINUTE(AB256)*60+SECOND(AB256)</f>
        <v>56460</v>
      </c>
      <c r="AC257" s="29">
        <f>AC256</f>
        <v>1</v>
      </c>
    </row>
    <row r="258" spans="1:29">
      <c r="A258" s="23" t="str">
        <f>Parameters!A130</f>
        <v>6NM7</v>
      </c>
      <c r="B258" s="23">
        <f>Parameters!B130</f>
        <v>1E-4</v>
      </c>
      <c r="C258" s="24">
        <f>Parameters!C130</f>
        <v>2</v>
      </c>
      <c r="D258" s="24" t="str">
        <f>Parameters!D130</f>
        <v>BUY</v>
      </c>
      <c r="E258" s="23">
        <f>Parameters!E130</f>
        <v>0</v>
      </c>
      <c r="F258" s="23">
        <f>Parameters!F130</f>
        <v>0.01</v>
      </c>
      <c r="G258" s="25">
        <f>Parameters!G130</f>
        <v>0.08</v>
      </c>
      <c r="H258" s="25">
        <f>Parameters!H130</f>
        <v>0</v>
      </c>
      <c r="I258" s="25">
        <f>Parameters!I130</f>
        <v>0</v>
      </c>
      <c r="J258" s="25">
        <f>Parameters!J130</f>
        <v>1</v>
      </c>
      <c r="K258" s="25">
        <f>Parameters!K130</f>
        <v>1</v>
      </c>
      <c r="L258" s="26">
        <f t="shared" ref="L258" si="381">L259</f>
        <v>1.9999999999999998E-4</v>
      </c>
      <c r="M258" s="25">
        <f>Parameters!L130</f>
        <v>1</v>
      </c>
      <c r="N258" s="25">
        <f>Parameters!M130</f>
        <v>1</v>
      </c>
      <c r="O258" s="26">
        <f t="shared" ref="O258" si="382">O259</f>
        <v>-1.3000000000000001E-2</v>
      </c>
      <c r="P258" s="23">
        <f>Parameters!N130</f>
        <v>1</v>
      </c>
      <c r="Q258" s="23">
        <f>Parameters!O130</f>
        <v>100</v>
      </c>
      <c r="R258" s="23">
        <f>Parameters!P130</f>
        <v>10</v>
      </c>
      <c r="S258" s="23">
        <f>Parameters!Q130</f>
        <v>2</v>
      </c>
      <c r="T258" s="23">
        <f>Parameters!R130</f>
        <v>1</v>
      </c>
      <c r="U258" s="27">
        <f>Parameters!S130</f>
        <v>42741</v>
      </c>
      <c r="V258" s="28">
        <f>Parameters!T130</f>
        <v>0.30208333333333331</v>
      </c>
      <c r="W258" s="27">
        <f>Parameters!U130</f>
        <v>42964</v>
      </c>
      <c r="X258" s="28">
        <f>Parameters!V130</f>
        <v>0.65277777777777779</v>
      </c>
      <c r="Y258" s="25">
        <f>Parameters!W130</f>
        <v>28</v>
      </c>
      <c r="Z258" s="23">
        <f>Parameters!X130</f>
        <v>1</v>
      </c>
      <c r="AA258" s="27">
        <f>Parameters!Y130</f>
        <v>42964</v>
      </c>
      <c r="AB258" s="28">
        <f>Parameters!Z130</f>
        <v>0.65347222222222223</v>
      </c>
      <c r="AC258" s="23">
        <f>Parameters!AA130</f>
        <v>1</v>
      </c>
    </row>
    <row r="259" spans="1:29">
      <c r="A259" s="29" t="str">
        <f>UPPER(A258)</f>
        <v>6NM7</v>
      </c>
      <c r="B259" s="29">
        <f>B258</f>
        <v>1E-4</v>
      </c>
      <c r="C259" s="30">
        <f>C258</f>
        <v>2</v>
      </c>
      <c r="D259" s="30" t="str">
        <f>D258</f>
        <v>BUY</v>
      </c>
      <c r="E259" s="29">
        <f>E258</f>
        <v>0</v>
      </c>
      <c r="F259" s="29">
        <f>F258</f>
        <v>0.01</v>
      </c>
      <c r="G259" s="29">
        <f>IF(C258=1,IF(D258="BUY",E258+(ROUND(F258*G258/B258,0)*B258),E258-(ROUND(F258*G258/B258,0)*B258)),IF(D258="BUY",E258-(ROUND(F258*G258/B258,0)*B258),E258+(ROUND(F258*G258/B258,0)*B258)))</f>
        <v>-8.0000000000000004E-4</v>
      </c>
      <c r="H259" s="29">
        <f>IF(C258=1,IF(D258="BUY",G259-(ROUND(F258*H258/B258,0)*B258),G259+(ROUND(F258*H258/B258,0)*B258)),IF(D258="BUY",G259+(ROUND(F258*H258/B258,0)*B258),G259-(ROUND(F258*H258/B258,0)*B258)))</f>
        <v>-8.0000000000000004E-4</v>
      </c>
      <c r="I259" s="29">
        <f>IF(D258="BUY",G259+(ROUND(F258*I258/(B258*100),0)*B258),G259-(ROUND(F258*I258/(B258*100),0)*B258))</f>
        <v>-8.0000000000000004E-4</v>
      </c>
      <c r="J259" s="29">
        <f>IF(C258=1,IF(D258="BUY",E258+(ROUND(F258*J258/B258,0)*B258),E258-(ROUND(F258*J258/B258,0)*B258)),IF(D258="BUY",E258-(ROUND(F258*J258/B258,0)*B258),E258+(ROUND(F258*J258/B258,0)*B258)))</f>
        <v>-0.01</v>
      </c>
      <c r="K259" s="29">
        <f>IF(C258=1,IF(D258="BUY",E258-(ROUND(F258*K258/B258,0)*B258),E258+(ROUND(F258*K258/B258,0)*B258)),IF(D258="BUY",E258-(ROUND(F258*K258/B258,0)*B258),E258+(ROUND(F258*K258/B258,0)*B258)))</f>
        <v>-0.01</v>
      </c>
      <c r="L259" s="29">
        <f t="shared" ref="L259" si="383">IF(D259="BUY",I259+(R259*B259),I259-(R259*B259))</f>
        <v>1.9999999999999998E-4</v>
      </c>
      <c r="M259" s="29">
        <f>IF(D258="BUY",E258+(ROUND(F258*M258/B258,0)*B258),E258-(ROUND(F258*M258/B258,0)*B258))</f>
        <v>0.01</v>
      </c>
      <c r="N259" s="29">
        <f>IF(D258="BUY",E258-(ROUND(F258*N258/B258,0)*B258),E258+(ROUND(F258*N258/B258,0)*B258))</f>
        <v>-0.01</v>
      </c>
      <c r="O259" s="31">
        <f>IF(D259="BUY",N259-VLOOKUP(A259,Symbols!A$1:D$1000,4,FALSE),N259+VLOOKUP(A259,Symbols!A$1:D$1000,4,FALSE))</f>
        <v>-1.3000000000000001E-2</v>
      </c>
      <c r="P259" s="29">
        <f>P258</f>
        <v>1</v>
      </c>
      <c r="Q259" s="29">
        <f>Q258</f>
        <v>100</v>
      </c>
      <c r="R259" s="29">
        <f>R258</f>
        <v>10</v>
      </c>
      <c r="S259" s="29">
        <f>S258</f>
        <v>2</v>
      </c>
      <c r="T259" s="29">
        <f>T258</f>
        <v>1</v>
      </c>
      <c r="U259" s="29">
        <f>DATEDIF(DATE(1970,1,1),U258,"D")*86400</f>
        <v>1483660800</v>
      </c>
      <c r="V259" s="29">
        <f>HOUR(V258)*3600+MINUTE(V258)*60+SECOND(V258)</f>
        <v>26100</v>
      </c>
      <c r="W259" s="29">
        <f>DATEDIF(DATE(1970,1,1),W258,"D")*86400</f>
        <v>1502928000</v>
      </c>
      <c r="X259" s="29">
        <f>HOUR(X258)*3600+MINUTE(X258)*60+SECOND(X258)</f>
        <v>56400</v>
      </c>
      <c r="Y259" s="31">
        <f>(Y258*B259)</f>
        <v>2.8E-3</v>
      </c>
      <c r="Z259" s="29">
        <f>Z258</f>
        <v>1</v>
      </c>
      <c r="AA259" s="29">
        <f>DATEDIF(DATE(1970,1,1),AA258,"D")*86400</f>
        <v>1502928000</v>
      </c>
      <c r="AB259" s="29">
        <f>HOUR(AB258)*3600+MINUTE(AB258)*60+SECOND(AB258)</f>
        <v>56460</v>
      </c>
      <c r="AC259" s="29">
        <f>AC258</f>
        <v>1</v>
      </c>
    </row>
    <row r="260" spans="1:29">
      <c r="A260" s="23" t="str">
        <f>Parameters!A131</f>
        <v>6NM7</v>
      </c>
      <c r="B260" s="23">
        <f>Parameters!B131</f>
        <v>1E-4</v>
      </c>
      <c r="C260" s="24">
        <f>Parameters!C131</f>
        <v>2</v>
      </c>
      <c r="D260" s="24" t="str">
        <f>Parameters!D131</f>
        <v>BUY</v>
      </c>
      <c r="E260" s="23">
        <f>Parameters!E131</f>
        <v>0</v>
      </c>
      <c r="F260" s="23">
        <f>Parameters!F131</f>
        <v>0.01</v>
      </c>
      <c r="G260" s="25">
        <f>Parameters!G131</f>
        <v>0.09</v>
      </c>
      <c r="H260" s="25">
        <f>Parameters!H131</f>
        <v>0</v>
      </c>
      <c r="I260" s="25">
        <f>Parameters!I131</f>
        <v>0</v>
      </c>
      <c r="J260" s="25">
        <f>Parameters!J131</f>
        <v>1</v>
      </c>
      <c r="K260" s="25">
        <f>Parameters!K131</f>
        <v>1</v>
      </c>
      <c r="L260" s="26">
        <f t="shared" ref="L260" si="384">L261</f>
        <v>9.9999999999999937E-5</v>
      </c>
      <c r="M260" s="25">
        <f>Parameters!L131</f>
        <v>1</v>
      </c>
      <c r="N260" s="25">
        <f>Parameters!M131</f>
        <v>1</v>
      </c>
      <c r="O260" s="26">
        <f t="shared" ref="O260" si="385">O261</f>
        <v>-1.3000000000000001E-2</v>
      </c>
      <c r="P260" s="23">
        <f>Parameters!N131</f>
        <v>1</v>
      </c>
      <c r="Q260" s="23">
        <f>Parameters!O131</f>
        <v>100</v>
      </c>
      <c r="R260" s="23">
        <f>Parameters!P131</f>
        <v>10</v>
      </c>
      <c r="S260" s="23">
        <f>Parameters!Q131</f>
        <v>2</v>
      </c>
      <c r="T260" s="23">
        <f>Parameters!R131</f>
        <v>1</v>
      </c>
      <c r="U260" s="27">
        <f>Parameters!S131</f>
        <v>42741</v>
      </c>
      <c r="V260" s="28">
        <f>Parameters!T131</f>
        <v>0.30208333333333331</v>
      </c>
      <c r="W260" s="27">
        <f>Parameters!U131</f>
        <v>42964</v>
      </c>
      <c r="X260" s="28">
        <f>Parameters!V131</f>
        <v>0.65277777777777779</v>
      </c>
      <c r="Y260" s="25">
        <f>Parameters!W131</f>
        <v>28</v>
      </c>
      <c r="Z260" s="23">
        <f>Parameters!X131</f>
        <v>1</v>
      </c>
      <c r="AA260" s="27">
        <f>Parameters!Y131</f>
        <v>42964</v>
      </c>
      <c r="AB260" s="28">
        <f>Parameters!Z131</f>
        <v>0.65347222222222223</v>
      </c>
      <c r="AC260" s="23">
        <f>Parameters!AA131</f>
        <v>1</v>
      </c>
    </row>
    <row r="261" spans="1:29">
      <c r="A261" s="29" t="str">
        <f>UPPER(A260)</f>
        <v>6NM7</v>
      </c>
      <c r="B261" s="29">
        <f>B260</f>
        <v>1E-4</v>
      </c>
      <c r="C261" s="30">
        <f>C260</f>
        <v>2</v>
      </c>
      <c r="D261" s="30" t="str">
        <f>D260</f>
        <v>BUY</v>
      </c>
      <c r="E261" s="29">
        <f>E260</f>
        <v>0</v>
      </c>
      <c r="F261" s="29">
        <f>F260</f>
        <v>0.01</v>
      </c>
      <c r="G261" s="29">
        <f>IF(C260=1,IF(D260="BUY",E260+(ROUND(F260*G260/B260,0)*B260),E260-(ROUND(F260*G260/B260,0)*B260)),IF(D260="BUY",E260-(ROUND(F260*G260/B260,0)*B260),E260+(ROUND(F260*G260/B260,0)*B260)))</f>
        <v>-9.0000000000000008E-4</v>
      </c>
      <c r="H261" s="29">
        <f>IF(C260=1,IF(D260="BUY",G261-(ROUND(F260*H260/B260,0)*B260),G261+(ROUND(F260*H260/B260,0)*B260)),IF(D260="BUY",G261+(ROUND(F260*H260/B260,0)*B260),G261-(ROUND(F260*H260/B260,0)*B260)))</f>
        <v>-9.0000000000000008E-4</v>
      </c>
      <c r="I261" s="29">
        <f>IF(D260="BUY",G261+(ROUND(F260*I260/(B260*100),0)*B260),G261-(ROUND(F260*I260/(B260*100),0)*B260))</f>
        <v>-9.0000000000000008E-4</v>
      </c>
      <c r="J261" s="29">
        <f>IF(C260=1,IF(D260="BUY",E260+(ROUND(F260*J260/B260,0)*B260),E260-(ROUND(F260*J260/B260,0)*B260)),IF(D260="BUY",E260-(ROUND(F260*J260/B260,0)*B260),E260+(ROUND(F260*J260/B260,0)*B260)))</f>
        <v>-0.01</v>
      </c>
      <c r="K261" s="29">
        <f>IF(C260=1,IF(D260="BUY",E260-(ROUND(F260*K260/B260,0)*B260),E260+(ROUND(F260*K260/B260,0)*B260)),IF(D260="BUY",E260-(ROUND(F260*K260/B260,0)*B260),E260+(ROUND(F260*K260/B260,0)*B260)))</f>
        <v>-0.01</v>
      </c>
      <c r="L261" s="29">
        <f t="shared" ref="L261" si="386">IF(D261="BUY",I261+(R261*B261),I261-(R261*B261))</f>
        <v>9.9999999999999937E-5</v>
      </c>
      <c r="M261" s="29">
        <f>IF(D260="BUY",E260+(ROUND(F260*M260/B260,0)*B260),E260-(ROUND(F260*M260/B260,0)*B260))</f>
        <v>0.01</v>
      </c>
      <c r="N261" s="29">
        <f>IF(D260="BUY",E260-(ROUND(F260*N260/B260,0)*B260),E260+(ROUND(F260*N260/B260,0)*B260))</f>
        <v>-0.01</v>
      </c>
      <c r="O261" s="31">
        <f>IF(D261="BUY",N261-VLOOKUP(A261,Symbols!A$1:D$1000,4,FALSE),N261+VLOOKUP(A261,Symbols!A$1:D$1000,4,FALSE))</f>
        <v>-1.3000000000000001E-2</v>
      </c>
      <c r="P261" s="29">
        <f>P260</f>
        <v>1</v>
      </c>
      <c r="Q261" s="29">
        <f>Q260</f>
        <v>100</v>
      </c>
      <c r="R261" s="29">
        <f>R260</f>
        <v>10</v>
      </c>
      <c r="S261" s="29">
        <f>S260</f>
        <v>2</v>
      </c>
      <c r="T261" s="29">
        <f>T260</f>
        <v>1</v>
      </c>
      <c r="U261" s="29">
        <f>DATEDIF(DATE(1970,1,1),U260,"D")*86400</f>
        <v>1483660800</v>
      </c>
      <c r="V261" s="29">
        <f>HOUR(V260)*3600+MINUTE(V260)*60+SECOND(V260)</f>
        <v>26100</v>
      </c>
      <c r="W261" s="29">
        <f>DATEDIF(DATE(1970,1,1),W260,"D")*86400</f>
        <v>1502928000</v>
      </c>
      <c r="X261" s="29">
        <f>HOUR(X260)*3600+MINUTE(X260)*60+SECOND(X260)</f>
        <v>56400</v>
      </c>
      <c r="Y261" s="31">
        <f>(Y260*B261)</f>
        <v>2.8E-3</v>
      </c>
      <c r="Z261" s="29">
        <f>Z260</f>
        <v>1</v>
      </c>
      <c r="AA261" s="29">
        <f>DATEDIF(DATE(1970,1,1),AA260,"D")*86400</f>
        <v>1502928000</v>
      </c>
      <c r="AB261" s="29">
        <f>HOUR(AB260)*3600+MINUTE(AB260)*60+SECOND(AB260)</f>
        <v>56460</v>
      </c>
      <c r="AC261" s="29">
        <f>AC260</f>
        <v>1</v>
      </c>
    </row>
    <row r="262" spans="1:29">
      <c r="A262" s="23" t="str">
        <f>Parameters!A132</f>
        <v>6NM7</v>
      </c>
      <c r="B262" s="23">
        <f>Parameters!B132</f>
        <v>1E-4</v>
      </c>
      <c r="C262" s="24">
        <f>Parameters!C132</f>
        <v>2</v>
      </c>
      <c r="D262" s="24" t="str">
        <f>Parameters!D132</f>
        <v>SELL</v>
      </c>
      <c r="E262" s="23">
        <f>Parameters!E132</f>
        <v>0</v>
      </c>
      <c r="F262" s="23">
        <f>Parameters!F132</f>
        <v>0.01</v>
      </c>
      <c r="G262" s="25">
        <f>Parameters!G132</f>
        <v>0</v>
      </c>
      <c r="H262" s="25">
        <f>Parameters!H132</f>
        <v>0</v>
      </c>
      <c r="I262" s="25">
        <f>Parameters!I132</f>
        <v>0</v>
      </c>
      <c r="J262" s="25">
        <f>Parameters!J132</f>
        <v>1</v>
      </c>
      <c r="K262" s="25">
        <f>Parameters!K132</f>
        <v>1</v>
      </c>
      <c r="L262" s="26">
        <f t="shared" ref="L262" si="387">L263</f>
        <v>-1E-3</v>
      </c>
      <c r="M262" s="25">
        <f>Parameters!L132</f>
        <v>1</v>
      </c>
      <c r="N262" s="25">
        <f>Parameters!M132</f>
        <v>1</v>
      </c>
      <c r="O262" s="26">
        <f t="shared" ref="O262" si="388">O263</f>
        <v>1.3000000000000001E-2</v>
      </c>
      <c r="P262" s="23">
        <f>Parameters!N132</f>
        <v>1</v>
      </c>
      <c r="Q262" s="23">
        <f>Parameters!O132</f>
        <v>100</v>
      </c>
      <c r="R262" s="23">
        <f>Parameters!P132</f>
        <v>10</v>
      </c>
      <c r="S262" s="23">
        <f>Parameters!Q132</f>
        <v>2</v>
      </c>
      <c r="T262" s="23">
        <f>Parameters!R132</f>
        <v>1</v>
      </c>
      <c r="U262" s="27">
        <f>Parameters!S132</f>
        <v>42741</v>
      </c>
      <c r="V262" s="28">
        <f>Parameters!T132</f>
        <v>0.30208333333333331</v>
      </c>
      <c r="W262" s="27">
        <f>Parameters!U132</f>
        <v>42964</v>
      </c>
      <c r="X262" s="28">
        <f>Parameters!V132</f>
        <v>0.65277777777777779</v>
      </c>
      <c r="Y262" s="25">
        <f>Parameters!W132</f>
        <v>28</v>
      </c>
      <c r="Z262" s="23">
        <f>Parameters!X132</f>
        <v>1</v>
      </c>
      <c r="AA262" s="27">
        <f>Parameters!Y132</f>
        <v>42964</v>
      </c>
      <c r="AB262" s="28">
        <f>Parameters!Z132</f>
        <v>0.65347222222222223</v>
      </c>
      <c r="AC262" s="23">
        <f>Parameters!AA132</f>
        <v>1</v>
      </c>
    </row>
    <row r="263" spans="1:29">
      <c r="A263" s="29" t="str">
        <f>UPPER(A262)</f>
        <v>6NM7</v>
      </c>
      <c r="B263" s="29">
        <f>B262</f>
        <v>1E-4</v>
      </c>
      <c r="C263" s="30">
        <f>C262</f>
        <v>2</v>
      </c>
      <c r="D263" s="30" t="str">
        <f>D262</f>
        <v>SELL</v>
      </c>
      <c r="E263" s="29">
        <f>E262</f>
        <v>0</v>
      </c>
      <c r="F263" s="29">
        <f>F262</f>
        <v>0.01</v>
      </c>
      <c r="G263" s="29">
        <f>IF(C262=1,IF(D262="BUY",E262+(ROUND(F262*G262/B262,0)*B262),E262-(ROUND(F262*G262/B262,0)*B262)),IF(D262="BUY",E262-(ROUND(F262*G262/B262,0)*B262),E262+(ROUND(F262*G262/B262,0)*B262)))</f>
        <v>0</v>
      </c>
      <c r="H263" s="29">
        <f>IF(C262=1,IF(D262="BUY",G263-(ROUND(F262*H262/B262,0)*B262),G263+(ROUND(F262*H262/B262,0)*B262)),IF(D262="BUY",G263+(ROUND(F262*H262/B262,0)*B262),G263-(ROUND(F262*H262/B262,0)*B262)))</f>
        <v>0</v>
      </c>
      <c r="I263" s="29">
        <f>IF(D262="BUY",G263+(ROUND(F262*I262/(B262*100),0)*B262),G263-(ROUND(F262*I262/(B262*100),0)*B262))</f>
        <v>0</v>
      </c>
      <c r="J263" s="29">
        <f>IF(C262=1,IF(D262="BUY",E262+(ROUND(F262*J262/B262,0)*B262),E262-(ROUND(F262*J262/B262,0)*B262)),IF(D262="BUY",E262-(ROUND(F262*J262/B262,0)*B262),E262+(ROUND(F262*J262/B262,0)*B262)))</f>
        <v>0.01</v>
      </c>
      <c r="K263" s="29">
        <f>IF(C262=1,IF(D262="BUY",E262-(ROUND(F262*K262/B262,0)*B262),E262+(ROUND(F262*K262/B262,0)*B262)),IF(D262="BUY",E262-(ROUND(F262*K262/B262,0)*B262),E262+(ROUND(F262*K262/B262,0)*B262)))</f>
        <v>0.01</v>
      </c>
      <c r="L263" s="29">
        <f t="shared" ref="L263" si="389">IF(D263="BUY",I263+(R263*B263),I263-(R263*B263))</f>
        <v>-1E-3</v>
      </c>
      <c r="M263" s="29">
        <f>IF(D262="BUY",E262+(ROUND(F262*M262/B262,0)*B262),E262-(ROUND(F262*M262/B262,0)*B262))</f>
        <v>-0.01</v>
      </c>
      <c r="N263" s="29">
        <f>IF(D262="BUY",E262-(ROUND(F262*N262/B262,0)*B262),E262+(ROUND(F262*N262/B262,0)*B262))</f>
        <v>0.01</v>
      </c>
      <c r="O263" s="31">
        <f>IF(D263="BUY",N263-VLOOKUP(A263,Symbols!A$1:D$1000,4,FALSE),N263+VLOOKUP(A263,Symbols!A$1:D$1000,4,FALSE))</f>
        <v>1.3000000000000001E-2</v>
      </c>
      <c r="P263" s="29">
        <f>P262</f>
        <v>1</v>
      </c>
      <c r="Q263" s="29">
        <f>Q262</f>
        <v>100</v>
      </c>
      <c r="R263" s="29">
        <f>R262</f>
        <v>10</v>
      </c>
      <c r="S263" s="29">
        <f>S262</f>
        <v>2</v>
      </c>
      <c r="T263" s="29">
        <f>T262</f>
        <v>1</v>
      </c>
      <c r="U263" s="29">
        <f>DATEDIF(DATE(1970,1,1),U262,"D")*86400</f>
        <v>1483660800</v>
      </c>
      <c r="V263" s="29">
        <f>HOUR(V262)*3600+MINUTE(V262)*60+SECOND(V262)</f>
        <v>26100</v>
      </c>
      <c r="W263" s="29">
        <f>DATEDIF(DATE(1970,1,1),W262,"D")*86400</f>
        <v>1502928000</v>
      </c>
      <c r="X263" s="29">
        <f>HOUR(X262)*3600+MINUTE(X262)*60+SECOND(X262)</f>
        <v>56400</v>
      </c>
      <c r="Y263" s="31">
        <f>(Y262*B263)</f>
        <v>2.8E-3</v>
      </c>
      <c r="Z263" s="29">
        <f>Z262</f>
        <v>1</v>
      </c>
      <c r="AA263" s="29">
        <f>DATEDIF(DATE(1970,1,1),AA262,"D")*86400</f>
        <v>1502928000</v>
      </c>
      <c r="AB263" s="29">
        <f>HOUR(AB262)*3600+MINUTE(AB262)*60+SECOND(AB262)</f>
        <v>56460</v>
      </c>
      <c r="AC263" s="29">
        <f>AC262</f>
        <v>1</v>
      </c>
    </row>
    <row r="264" spans="1:29">
      <c r="A264" s="23" t="str">
        <f>Parameters!A133</f>
        <v>6NM7</v>
      </c>
      <c r="B264" s="23">
        <f>Parameters!B133</f>
        <v>1E-4</v>
      </c>
      <c r="C264" s="24">
        <f>Parameters!C133</f>
        <v>2</v>
      </c>
      <c r="D264" s="24" t="str">
        <f>Parameters!D133</f>
        <v>SELL</v>
      </c>
      <c r="E264" s="23">
        <f>Parameters!E133</f>
        <v>0</v>
      </c>
      <c r="F264" s="23">
        <f>Parameters!F133</f>
        <v>0.01</v>
      </c>
      <c r="G264" s="25">
        <f>Parameters!G133</f>
        <v>0.01</v>
      </c>
      <c r="H264" s="25">
        <f>Parameters!H133</f>
        <v>0</v>
      </c>
      <c r="I264" s="25">
        <f>Parameters!I133</f>
        <v>0</v>
      </c>
      <c r="J264" s="25">
        <f>Parameters!J133</f>
        <v>1</v>
      </c>
      <c r="K264" s="25">
        <f>Parameters!K133</f>
        <v>1</v>
      </c>
      <c r="L264" s="26">
        <f t="shared" ref="L264" si="390">L265</f>
        <v>-8.9999999999999998E-4</v>
      </c>
      <c r="M264" s="25">
        <f>Parameters!L133</f>
        <v>1</v>
      </c>
      <c r="N264" s="25">
        <f>Parameters!M133</f>
        <v>1</v>
      </c>
      <c r="O264" s="26">
        <f t="shared" ref="O264" si="391">O265</f>
        <v>1.3000000000000001E-2</v>
      </c>
      <c r="P264" s="23">
        <f>Parameters!N133</f>
        <v>1</v>
      </c>
      <c r="Q264" s="23">
        <f>Parameters!O133</f>
        <v>100</v>
      </c>
      <c r="R264" s="23">
        <f>Parameters!P133</f>
        <v>10</v>
      </c>
      <c r="S264" s="23">
        <f>Parameters!Q133</f>
        <v>2</v>
      </c>
      <c r="T264" s="23">
        <f>Parameters!R133</f>
        <v>1</v>
      </c>
      <c r="U264" s="27">
        <f>Parameters!S133</f>
        <v>42741</v>
      </c>
      <c r="V264" s="28">
        <f>Parameters!T133</f>
        <v>0.30208333333333331</v>
      </c>
      <c r="W264" s="27">
        <f>Parameters!U133</f>
        <v>42964</v>
      </c>
      <c r="X264" s="28">
        <f>Parameters!V133</f>
        <v>0.65277777777777779</v>
      </c>
      <c r="Y264" s="25">
        <f>Parameters!W133</f>
        <v>28</v>
      </c>
      <c r="Z264" s="23">
        <f>Parameters!X133</f>
        <v>1</v>
      </c>
      <c r="AA264" s="27">
        <f>Parameters!Y133</f>
        <v>42964</v>
      </c>
      <c r="AB264" s="28">
        <f>Parameters!Z133</f>
        <v>0.65347222222222223</v>
      </c>
      <c r="AC264" s="23">
        <f>Parameters!AA133</f>
        <v>1</v>
      </c>
    </row>
    <row r="265" spans="1:29">
      <c r="A265" s="29" t="str">
        <f>UPPER(A264)</f>
        <v>6NM7</v>
      </c>
      <c r="B265" s="29">
        <f>B264</f>
        <v>1E-4</v>
      </c>
      <c r="C265" s="30">
        <f>C264</f>
        <v>2</v>
      </c>
      <c r="D265" s="30" t="str">
        <f>D264</f>
        <v>SELL</v>
      </c>
      <c r="E265" s="29">
        <f>E264</f>
        <v>0</v>
      </c>
      <c r="F265" s="29">
        <f>F264</f>
        <v>0.01</v>
      </c>
      <c r="G265" s="29">
        <f>IF(C264=1,IF(D264="BUY",E264+(ROUND(F264*G264/B264,0)*B264),E264-(ROUND(F264*G264/B264,0)*B264)),IF(D264="BUY",E264-(ROUND(F264*G264/B264,0)*B264),E264+(ROUND(F264*G264/B264,0)*B264)))</f>
        <v>1E-4</v>
      </c>
      <c r="H265" s="29">
        <f>IF(C264=1,IF(D264="BUY",G265-(ROUND(F264*H264/B264,0)*B264),G265+(ROUND(F264*H264/B264,0)*B264)),IF(D264="BUY",G265+(ROUND(F264*H264/B264,0)*B264),G265-(ROUND(F264*H264/B264,0)*B264)))</f>
        <v>1E-4</v>
      </c>
      <c r="I265" s="29">
        <f>IF(D264="BUY",G265+(ROUND(F264*I264/(B264*100),0)*B264),G265-(ROUND(F264*I264/(B264*100),0)*B264))</f>
        <v>1E-4</v>
      </c>
      <c r="J265" s="29">
        <f>IF(C264=1,IF(D264="BUY",E264+(ROUND(F264*J264/B264,0)*B264),E264-(ROUND(F264*J264/B264,0)*B264)),IF(D264="BUY",E264-(ROUND(F264*J264/B264,0)*B264),E264+(ROUND(F264*J264/B264,0)*B264)))</f>
        <v>0.01</v>
      </c>
      <c r="K265" s="29">
        <f>IF(C264=1,IF(D264="BUY",E264-(ROUND(F264*K264/B264,0)*B264),E264+(ROUND(F264*K264/B264,0)*B264)),IF(D264="BUY",E264-(ROUND(F264*K264/B264,0)*B264),E264+(ROUND(F264*K264/B264,0)*B264)))</f>
        <v>0.01</v>
      </c>
      <c r="L265" s="29">
        <f t="shared" ref="L265" si="392">IF(D265="BUY",I265+(R265*B265),I265-(R265*B265))</f>
        <v>-8.9999999999999998E-4</v>
      </c>
      <c r="M265" s="29">
        <f>IF(D264="BUY",E264+(ROUND(F264*M264/B264,0)*B264),E264-(ROUND(F264*M264/B264,0)*B264))</f>
        <v>-0.01</v>
      </c>
      <c r="N265" s="29">
        <f>IF(D264="BUY",E264-(ROUND(F264*N264/B264,0)*B264),E264+(ROUND(F264*N264/B264,0)*B264))</f>
        <v>0.01</v>
      </c>
      <c r="O265" s="31">
        <f>IF(D265="BUY",N265-VLOOKUP(A265,Symbols!A$1:D$1000,4,FALSE),N265+VLOOKUP(A265,Symbols!A$1:D$1000,4,FALSE))</f>
        <v>1.3000000000000001E-2</v>
      </c>
      <c r="P265" s="29">
        <f>P264</f>
        <v>1</v>
      </c>
      <c r="Q265" s="29">
        <f>Q264</f>
        <v>100</v>
      </c>
      <c r="R265" s="29">
        <f>R264</f>
        <v>10</v>
      </c>
      <c r="S265" s="29">
        <f>S264</f>
        <v>2</v>
      </c>
      <c r="T265" s="29">
        <f>T264</f>
        <v>1</v>
      </c>
      <c r="U265" s="29">
        <f>DATEDIF(DATE(1970,1,1),U264,"D")*86400</f>
        <v>1483660800</v>
      </c>
      <c r="V265" s="29">
        <f>HOUR(V264)*3600+MINUTE(V264)*60+SECOND(V264)</f>
        <v>26100</v>
      </c>
      <c r="W265" s="29">
        <f>DATEDIF(DATE(1970,1,1),W264,"D")*86400</f>
        <v>1502928000</v>
      </c>
      <c r="X265" s="29">
        <f>HOUR(X264)*3600+MINUTE(X264)*60+SECOND(X264)</f>
        <v>56400</v>
      </c>
      <c r="Y265" s="31">
        <f>(Y264*B265)</f>
        <v>2.8E-3</v>
      </c>
      <c r="Z265" s="29">
        <f>Z264</f>
        <v>1</v>
      </c>
      <c r="AA265" s="29">
        <f>DATEDIF(DATE(1970,1,1),AA264,"D")*86400</f>
        <v>1502928000</v>
      </c>
      <c r="AB265" s="29">
        <f>HOUR(AB264)*3600+MINUTE(AB264)*60+SECOND(AB264)</f>
        <v>56460</v>
      </c>
      <c r="AC265" s="29">
        <f>AC264</f>
        <v>1</v>
      </c>
    </row>
    <row r="266" spans="1:29">
      <c r="A266" s="23" t="str">
        <f>Parameters!A134</f>
        <v>6NM7</v>
      </c>
      <c r="B266" s="23">
        <f>Parameters!B134</f>
        <v>1E-4</v>
      </c>
      <c r="C266" s="24">
        <f>Parameters!C134</f>
        <v>2</v>
      </c>
      <c r="D266" s="24" t="str">
        <f>Parameters!D134</f>
        <v>SELL</v>
      </c>
      <c r="E266" s="23">
        <f>Parameters!E134</f>
        <v>0</v>
      </c>
      <c r="F266" s="23">
        <f>Parameters!F134</f>
        <v>0.01</v>
      </c>
      <c r="G266" s="25">
        <f>Parameters!G134</f>
        <v>0.02</v>
      </c>
      <c r="H266" s="25">
        <f>Parameters!H134</f>
        <v>0</v>
      </c>
      <c r="I266" s="25">
        <f>Parameters!I134</f>
        <v>0</v>
      </c>
      <c r="J266" s="25">
        <f>Parameters!J134</f>
        <v>1</v>
      </c>
      <c r="K266" s="25">
        <f>Parameters!K134</f>
        <v>1</v>
      </c>
      <c r="L266" s="26">
        <f t="shared" ref="L266" si="393">L267</f>
        <v>-8.0000000000000004E-4</v>
      </c>
      <c r="M266" s="25">
        <f>Parameters!L134</f>
        <v>1</v>
      </c>
      <c r="N266" s="25">
        <f>Parameters!M134</f>
        <v>1</v>
      </c>
      <c r="O266" s="26">
        <f t="shared" ref="O266" si="394">O267</f>
        <v>1.3000000000000001E-2</v>
      </c>
      <c r="P266" s="23">
        <f>Parameters!N134</f>
        <v>1</v>
      </c>
      <c r="Q266" s="23">
        <f>Parameters!O134</f>
        <v>100</v>
      </c>
      <c r="R266" s="23">
        <f>Parameters!P134</f>
        <v>10</v>
      </c>
      <c r="S266" s="23">
        <f>Parameters!Q134</f>
        <v>2</v>
      </c>
      <c r="T266" s="23">
        <f>Parameters!R134</f>
        <v>1</v>
      </c>
      <c r="U266" s="27">
        <f>Parameters!S134</f>
        <v>42741</v>
      </c>
      <c r="V266" s="28">
        <f>Parameters!T134</f>
        <v>0.30208333333333331</v>
      </c>
      <c r="W266" s="27">
        <f>Parameters!U134</f>
        <v>42964</v>
      </c>
      <c r="X266" s="28">
        <f>Parameters!V134</f>
        <v>0.65277777777777779</v>
      </c>
      <c r="Y266" s="25">
        <f>Parameters!W134</f>
        <v>28</v>
      </c>
      <c r="Z266" s="23">
        <f>Parameters!X134</f>
        <v>1</v>
      </c>
      <c r="AA266" s="27">
        <f>Parameters!Y134</f>
        <v>42964</v>
      </c>
      <c r="AB266" s="28">
        <f>Parameters!Z134</f>
        <v>0.65347222222222223</v>
      </c>
      <c r="AC266" s="23">
        <f>Parameters!AA134</f>
        <v>1</v>
      </c>
    </row>
    <row r="267" spans="1:29">
      <c r="A267" s="29" t="str">
        <f>UPPER(A266)</f>
        <v>6NM7</v>
      </c>
      <c r="B267" s="29">
        <f>B266</f>
        <v>1E-4</v>
      </c>
      <c r="C267" s="30">
        <f>C266</f>
        <v>2</v>
      </c>
      <c r="D267" s="30" t="str">
        <f>D266</f>
        <v>SELL</v>
      </c>
      <c r="E267" s="29">
        <f>E266</f>
        <v>0</v>
      </c>
      <c r="F267" s="29">
        <f>F266</f>
        <v>0.01</v>
      </c>
      <c r="G267" s="29">
        <f>IF(C266=1,IF(D266="BUY",E266+(ROUND(F266*G266/B266,0)*B266),E266-(ROUND(F266*G266/B266,0)*B266)),IF(D266="BUY",E266-(ROUND(F266*G266/B266,0)*B266),E266+(ROUND(F266*G266/B266,0)*B266)))</f>
        <v>2.0000000000000001E-4</v>
      </c>
      <c r="H267" s="29">
        <f>IF(C266=1,IF(D266="BUY",G267-(ROUND(F266*H266/B266,0)*B266),G267+(ROUND(F266*H266/B266,0)*B266)),IF(D266="BUY",G267+(ROUND(F266*H266/B266,0)*B266),G267-(ROUND(F266*H266/B266,0)*B266)))</f>
        <v>2.0000000000000001E-4</v>
      </c>
      <c r="I267" s="29">
        <f>IF(D266="BUY",G267+(ROUND(F266*I266/(B266*100),0)*B266),G267-(ROUND(F266*I266/(B266*100),0)*B266))</f>
        <v>2.0000000000000001E-4</v>
      </c>
      <c r="J267" s="29">
        <f>IF(C266=1,IF(D266="BUY",E266+(ROUND(F266*J266/B266,0)*B266),E266-(ROUND(F266*J266/B266,0)*B266)),IF(D266="BUY",E266-(ROUND(F266*J266/B266,0)*B266),E266+(ROUND(F266*J266/B266,0)*B266)))</f>
        <v>0.01</v>
      </c>
      <c r="K267" s="29">
        <f>IF(C266=1,IF(D266="BUY",E266-(ROUND(F266*K266/B266,0)*B266),E266+(ROUND(F266*K266/B266,0)*B266)),IF(D266="BUY",E266-(ROUND(F266*K266/B266,0)*B266),E266+(ROUND(F266*K266/B266,0)*B266)))</f>
        <v>0.01</v>
      </c>
      <c r="L267" s="29">
        <f t="shared" ref="L267" si="395">IF(D267="BUY",I267+(R267*B267),I267-(R267*B267))</f>
        <v>-8.0000000000000004E-4</v>
      </c>
      <c r="M267" s="29">
        <f>IF(D266="BUY",E266+(ROUND(F266*M266/B266,0)*B266),E266-(ROUND(F266*M266/B266,0)*B266))</f>
        <v>-0.01</v>
      </c>
      <c r="N267" s="29">
        <f>IF(D266="BUY",E266-(ROUND(F266*N266/B266,0)*B266),E266+(ROUND(F266*N266/B266,0)*B266))</f>
        <v>0.01</v>
      </c>
      <c r="O267" s="31">
        <f>IF(D267="BUY",N267-VLOOKUP(A267,Symbols!A$1:D$1000,4,FALSE),N267+VLOOKUP(A267,Symbols!A$1:D$1000,4,FALSE))</f>
        <v>1.3000000000000001E-2</v>
      </c>
      <c r="P267" s="29">
        <f>P266</f>
        <v>1</v>
      </c>
      <c r="Q267" s="29">
        <f>Q266</f>
        <v>100</v>
      </c>
      <c r="R267" s="29">
        <f>R266</f>
        <v>10</v>
      </c>
      <c r="S267" s="29">
        <f>S266</f>
        <v>2</v>
      </c>
      <c r="T267" s="29">
        <f>T266</f>
        <v>1</v>
      </c>
      <c r="U267" s="29">
        <f>DATEDIF(DATE(1970,1,1),U266,"D")*86400</f>
        <v>1483660800</v>
      </c>
      <c r="V267" s="29">
        <f>HOUR(V266)*3600+MINUTE(V266)*60+SECOND(V266)</f>
        <v>26100</v>
      </c>
      <c r="W267" s="29">
        <f>DATEDIF(DATE(1970,1,1),W266,"D")*86400</f>
        <v>1502928000</v>
      </c>
      <c r="X267" s="29">
        <f>HOUR(X266)*3600+MINUTE(X266)*60+SECOND(X266)</f>
        <v>56400</v>
      </c>
      <c r="Y267" s="31">
        <f>(Y266*B267)</f>
        <v>2.8E-3</v>
      </c>
      <c r="Z267" s="29">
        <f>Z266</f>
        <v>1</v>
      </c>
      <c r="AA267" s="29">
        <f>DATEDIF(DATE(1970,1,1),AA266,"D")*86400</f>
        <v>1502928000</v>
      </c>
      <c r="AB267" s="29">
        <f>HOUR(AB266)*3600+MINUTE(AB266)*60+SECOND(AB266)</f>
        <v>56460</v>
      </c>
      <c r="AC267" s="29">
        <f>AC266</f>
        <v>1</v>
      </c>
    </row>
    <row r="268" spans="1:29">
      <c r="A268" s="23" t="str">
        <f>Parameters!A135</f>
        <v>6NM7</v>
      </c>
      <c r="B268" s="23">
        <f>Parameters!B135</f>
        <v>1E-4</v>
      </c>
      <c r="C268" s="24">
        <f>Parameters!C135</f>
        <v>2</v>
      </c>
      <c r="D268" s="24" t="str">
        <f>Parameters!D135</f>
        <v>SELL</v>
      </c>
      <c r="E268" s="23">
        <f>Parameters!E135</f>
        <v>0</v>
      </c>
      <c r="F268" s="23">
        <f>Parameters!F135</f>
        <v>0.01</v>
      </c>
      <c r="G268" s="25">
        <f>Parameters!G135</f>
        <v>0.03</v>
      </c>
      <c r="H268" s="25">
        <f>Parameters!H135</f>
        <v>0</v>
      </c>
      <c r="I268" s="25">
        <f>Parameters!I135</f>
        <v>0</v>
      </c>
      <c r="J268" s="25">
        <f>Parameters!J135</f>
        <v>1</v>
      </c>
      <c r="K268" s="25">
        <f>Parameters!K135</f>
        <v>1</v>
      </c>
      <c r="L268" s="26">
        <f t="shared" ref="L268" si="396">L269</f>
        <v>-6.9999999999999999E-4</v>
      </c>
      <c r="M268" s="25">
        <f>Parameters!L135</f>
        <v>1</v>
      </c>
      <c r="N268" s="25">
        <f>Parameters!M135</f>
        <v>1</v>
      </c>
      <c r="O268" s="26">
        <f t="shared" ref="O268" si="397">O269</f>
        <v>1.3000000000000001E-2</v>
      </c>
      <c r="P268" s="23">
        <f>Parameters!N135</f>
        <v>1</v>
      </c>
      <c r="Q268" s="23">
        <f>Parameters!O135</f>
        <v>100</v>
      </c>
      <c r="R268" s="23">
        <f>Parameters!P135</f>
        <v>10</v>
      </c>
      <c r="S268" s="23">
        <f>Parameters!Q135</f>
        <v>2</v>
      </c>
      <c r="T268" s="23">
        <f>Parameters!R135</f>
        <v>1</v>
      </c>
      <c r="U268" s="27">
        <f>Parameters!S135</f>
        <v>42741</v>
      </c>
      <c r="V268" s="28">
        <f>Parameters!T135</f>
        <v>0.30208333333333331</v>
      </c>
      <c r="W268" s="27">
        <f>Parameters!U135</f>
        <v>42964</v>
      </c>
      <c r="X268" s="28">
        <f>Parameters!V135</f>
        <v>0.65277777777777779</v>
      </c>
      <c r="Y268" s="25">
        <f>Parameters!W135</f>
        <v>28</v>
      </c>
      <c r="Z268" s="23">
        <f>Parameters!X135</f>
        <v>1</v>
      </c>
      <c r="AA268" s="27">
        <f>Parameters!Y135</f>
        <v>42964</v>
      </c>
      <c r="AB268" s="28">
        <f>Parameters!Z135</f>
        <v>0.65347222222222223</v>
      </c>
      <c r="AC268" s="23">
        <f>Parameters!AA135</f>
        <v>1</v>
      </c>
    </row>
    <row r="269" spans="1:29">
      <c r="A269" s="29" t="str">
        <f>UPPER(A268)</f>
        <v>6NM7</v>
      </c>
      <c r="B269" s="29">
        <f>B268</f>
        <v>1E-4</v>
      </c>
      <c r="C269" s="30">
        <f>C268</f>
        <v>2</v>
      </c>
      <c r="D269" s="30" t="str">
        <f>D268</f>
        <v>SELL</v>
      </c>
      <c r="E269" s="29">
        <f>E268</f>
        <v>0</v>
      </c>
      <c r="F269" s="29">
        <f>F268</f>
        <v>0.01</v>
      </c>
      <c r="G269" s="29">
        <f>IF(C268=1,IF(D268="BUY",E268+(ROUND(F268*G268/B268,0)*B268),E268-(ROUND(F268*G268/B268,0)*B268)),IF(D268="BUY",E268-(ROUND(F268*G268/B268,0)*B268),E268+(ROUND(F268*G268/B268,0)*B268)))</f>
        <v>3.0000000000000003E-4</v>
      </c>
      <c r="H269" s="29">
        <f>IF(C268=1,IF(D268="BUY",G269-(ROUND(F268*H268/B268,0)*B268),G269+(ROUND(F268*H268/B268,0)*B268)),IF(D268="BUY",G269+(ROUND(F268*H268/B268,0)*B268),G269-(ROUND(F268*H268/B268,0)*B268)))</f>
        <v>3.0000000000000003E-4</v>
      </c>
      <c r="I269" s="29">
        <f>IF(D268="BUY",G269+(ROUND(F268*I268/(B268*100),0)*B268),G269-(ROUND(F268*I268/(B268*100),0)*B268))</f>
        <v>3.0000000000000003E-4</v>
      </c>
      <c r="J269" s="29">
        <f>IF(C268=1,IF(D268="BUY",E268+(ROUND(F268*J268/B268,0)*B268),E268-(ROUND(F268*J268/B268,0)*B268)),IF(D268="BUY",E268-(ROUND(F268*J268/B268,0)*B268),E268+(ROUND(F268*J268/B268,0)*B268)))</f>
        <v>0.01</v>
      </c>
      <c r="K269" s="29">
        <f>IF(C268=1,IF(D268="BUY",E268-(ROUND(F268*K268/B268,0)*B268),E268+(ROUND(F268*K268/B268,0)*B268)),IF(D268="BUY",E268-(ROUND(F268*K268/B268,0)*B268),E268+(ROUND(F268*K268/B268,0)*B268)))</f>
        <v>0.01</v>
      </c>
      <c r="L269" s="29">
        <f t="shared" ref="L269" si="398">IF(D269="BUY",I269+(R269*B269),I269-(R269*B269))</f>
        <v>-6.9999999999999999E-4</v>
      </c>
      <c r="M269" s="29">
        <f>IF(D268="BUY",E268+(ROUND(F268*M268/B268,0)*B268),E268-(ROUND(F268*M268/B268,0)*B268))</f>
        <v>-0.01</v>
      </c>
      <c r="N269" s="29">
        <f>IF(D268="BUY",E268-(ROUND(F268*N268/B268,0)*B268),E268+(ROUND(F268*N268/B268,0)*B268))</f>
        <v>0.01</v>
      </c>
      <c r="O269" s="31">
        <f>IF(D269="BUY",N269-VLOOKUP(A269,Symbols!A$1:D$1000,4,FALSE),N269+VLOOKUP(A269,Symbols!A$1:D$1000,4,FALSE))</f>
        <v>1.3000000000000001E-2</v>
      </c>
      <c r="P269" s="29">
        <f>P268</f>
        <v>1</v>
      </c>
      <c r="Q269" s="29">
        <f>Q268</f>
        <v>100</v>
      </c>
      <c r="R269" s="29">
        <f>R268</f>
        <v>10</v>
      </c>
      <c r="S269" s="29">
        <f>S268</f>
        <v>2</v>
      </c>
      <c r="T269" s="29">
        <f>T268</f>
        <v>1</v>
      </c>
      <c r="U269" s="29">
        <f>DATEDIF(DATE(1970,1,1),U268,"D")*86400</f>
        <v>1483660800</v>
      </c>
      <c r="V269" s="29">
        <f>HOUR(V268)*3600+MINUTE(V268)*60+SECOND(V268)</f>
        <v>26100</v>
      </c>
      <c r="W269" s="29">
        <f>DATEDIF(DATE(1970,1,1),W268,"D")*86400</f>
        <v>1502928000</v>
      </c>
      <c r="X269" s="29">
        <f>HOUR(X268)*3600+MINUTE(X268)*60+SECOND(X268)</f>
        <v>56400</v>
      </c>
      <c r="Y269" s="31">
        <f>(Y268*B269)</f>
        <v>2.8E-3</v>
      </c>
      <c r="Z269" s="29">
        <f>Z268</f>
        <v>1</v>
      </c>
      <c r="AA269" s="29">
        <f>DATEDIF(DATE(1970,1,1),AA268,"D")*86400</f>
        <v>1502928000</v>
      </c>
      <c r="AB269" s="29">
        <f>HOUR(AB268)*3600+MINUTE(AB268)*60+SECOND(AB268)</f>
        <v>56460</v>
      </c>
      <c r="AC269" s="29">
        <f>AC268</f>
        <v>1</v>
      </c>
    </row>
    <row r="270" spans="1:29">
      <c r="A270" s="23" t="str">
        <f>Parameters!A136</f>
        <v>6NM7</v>
      </c>
      <c r="B270" s="23">
        <f>Parameters!B136</f>
        <v>1E-4</v>
      </c>
      <c r="C270" s="24">
        <f>Parameters!C136</f>
        <v>2</v>
      </c>
      <c r="D270" s="24" t="str">
        <f>Parameters!D136</f>
        <v>SELL</v>
      </c>
      <c r="E270" s="23">
        <f>Parameters!E136</f>
        <v>0</v>
      </c>
      <c r="F270" s="23">
        <f>Parameters!F136</f>
        <v>0.01</v>
      </c>
      <c r="G270" s="25">
        <f>Parameters!G136</f>
        <v>0.04</v>
      </c>
      <c r="H270" s="25">
        <f>Parameters!H136</f>
        <v>0</v>
      </c>
      <c r="I270" s="25">
        <f>Parameters!I136</f>
        <v>0</v>
      </c>
      <c r="J270" s="25">
        <f>Parameters!J136</f>
        <v>1</v>
      </c>
      <c r="K270" s="25">
        <f>Parameters!K136</f>
        <v>1</v>
      </c>
      <c r="L270" s="26">
        <f t="shared" ref="L270" si="399">L271</f>
        <v>-6.0000000000000006E-4</v>
      </c>
      <c r="M270" s="25">
        <f>Parameters!L136</f>
        <v>1</v>
      </c>
      <c r="N270" s="25">
        <f>Parameters!M136</f>
        <v>1</v>
      </c>
      <c r="O270" s="26">
        <f t="shared" ref="O270" si="400">O271</f>
        <v>1.3000000000000001E-2</v>
      </c>
      <c r="P270" s="23">
        <f>Parameters!N136</f>
        <v>1</v>
      </c>
      <c r="Q270" s="23">
        <f>Parameters!O136</f>
        <v>100</v>
      </c>
      <c r="R270" s="23">
        <f>Parameters!P136</f>
        <v>10</v>
      </c>
      <c r="S270" s="23">
        <f>Parameters!Q136</f>
        <v>2</v>
      </c>
      <c r="T270" s="23">
        <f>Parameters!R136</f>
        <v>1</v>
      </c>
      <c r="U270" s="27">
        <f>Parameters!S136</f>
        <v>42741</v>
      </c>
      <c r="V270" s="28">
        <f>Parameters!T136</f>
        <v>0.30208333333333331</v>
      </c>
      <c r="W270" s="27">
        <f>Parameters!U136</f>
        <v>42964</v>
      </c>
      <c r="X270" s="28">
        <f>Parameters!V136</f>
        <v>0.65277777777777779</v>
      </c>
      <c r="Y270" s="25">
        <f>Parameters!W136</f>
        <v>28</v>
      </c>
      <c r="Z270" s="23">
        <f>Parameters!X136</f>
        <v>1</v>
      </c>
      <c r="AA270" s="27">
        <f>Parameters!Y136</f>
        <v>42964</v>
      </c>
      <c r="AB270" s="28">
        <f>Parameters!Z136</f>
        <v>0.65347222222222223</v>
      </c>
      <c r="AC270" s="23">
        <f>Parameters!AA136</f>
        <v>1</v>
      </c>
    </row>
    <row r="271" spans="1:29">
      <c r="A271" s="29" t="str">
        <f>UPPER(A270)</f>
        <v>6NM7</v>
      </c>
      <c r="B271" s="29">
        <f>B270</f>
        <v>1E-4</v>
      </c>
      <c r="C271" s="30">
        <f>C270</f>
        <v>2</v>
      </c>
      <c r="D271" s="30" t="str">
        <f>D270</f>
        <v>SELL</v>
      </c>
      <c r="E271" s="29">
        <f>E270</f>
        <v>0</v>
      </c>
      <c r="F271" s="29">
        <f>F270</f>
        <v>0.01</v>
      </c>
      <c r="G271" s="29">
        <f>IF(C270=1,IF(D270="BUY",E270+(ROUND(F270*G270/B270,0)*B270),E270-(ROUND(F270*G270/B270,0)*B270)),IF(D270="BUY",E270-(ROUND(F270*G270/B270,0)*B270),E270+(ROUND(F270*G270/B270,0)*B270)))</f>
        <v>4.0000000000000002E-4</v>
      </c>
      <c r="H271" s="29">
        <f>IF(C270=1,IF(D270="BUY",G271-(ROUND(F270*H270/B270,0)*B270),G271+(ROUND(F270*H270/B270,0)*B270)),IF(D270="BUY",G271+(ROUND(F270*H270/B270,0)*B270),G271-(ROUND(F270*H270/B270,0)*B270)))</f>
        <v>4.0000000000000002E-4</v>
      </c>
      <c r="I271" s="29">
        <f>IF(D270="BUY",G271+(ROUND(F270*I270/(B270*100),0)*B270),G271-(ROUND(F270*I270/(B270*100),0)*B270))</f>
        <v>4.0000000000000002E-4</v>
      </c>
      <c r="J271" s="29">
        <f>IF(C270=1,IF(D270="BUY",E270+(ROUND(F270*J270/B270,0)*B270),E270-(ROUND(F270*J270/B270,0)*B270)),IF(D270="BUY",E270-(ROUND(F270*J270/B270,0)*B270),E270+(ROUND(F270*J270/B270,0)*B270)))</f>
        <v>0.01</v>
      </c>
      <c r="K271" s="29">
        <f>IF(C270=1,IF(D270="BUY",E270-(ROUND(F270*K270/B270,0)*B270),E270+(ROUND(F270*K270/B270,0)*B270)),IF(D270="BUY",E270-(ROUND(F270*K270/B270,0)*B270),E270+(ROUND(F270*K270/B270,0)*B270)))</f>
        <v>0.01</v>
      </c>
      <c r="L271" s="29">
        <f t="shared" ref="L271" si="401">IF(D271="BUY",I271+(R271*B271),I271-(R271*B271))</f>
        <v>-6.0000000000000006E-4</v>
      </c>
      <c r="M271" s="29">
        <f>IF(D270="BUY",E270+(ROUND(F270*M270/B270,0)*B270),E270-(ROUND(F270*M270/B270,0)*B270))</f>
        <v>-0.01</v>
      </c>
      <c r="N271" s="29">
        <f>IF(D270="BUY",E270-(ROUND(F270*N270/B270,0)*B270),E270+(ROUND(F270*N270/B270,0)*B270))</f>
        <v>0.01</v>
      </c>
      <c r="O271" s="31">
        <f>IF(D271="BUY",N271-VLOOKUP(A271,Symbols!A$1:D$1000,4,FALSE),N271+VLOOKUP(A271,Symbols!A$1:D$1000,4,FALSE))</f>
        <v>1.3000000000000001E-2</v>
      </c>
      <c r="P271" s="29">
        <f>P270</f>
        <v>1</v>
      </c>
      <c r="Q271" s="29">
        <f>Q270</f>
        <v>100</v>
      </c>
      <c r="R271" s="29">
        <f>R270</f>
        <v>10</v>
      </c>
      <c r="S271" s="29">
        <f>S270</f>
        <v>2</v>
      </c>
      <c r="T271" s="29">
        <f>T270</f>
        <v>1</v>
      </c>
      <c r="U271" s="29">
        <f>DATEDIF(DATE(1970,1,1),U270,"D")*86400</f>
        <v>1483660800</v>
      </c>
      <c r="V271" s="29">
        <f>HOUR(V270)*3600+MINUTE(V270)*60+SECOND(V270)</f>
        <v>26100</v>
      </c>
      <c r="W271" s="29">
        <f>DATEDIF(DATE(1970,1,1),W270,"D")*86400</f>
        <v>1502928000</v>
      </c>
      <c r="X271" s="29">
        <f>HOUR(X270)*3600+MINUTE(X270)*60+SECOND(X270)</f>
        <v>56400</v>
      </c>
      <c r="Y271" s="31">
        <f>(Y270*B271)</f>
        <v>2.8E-3</v>
      </c>
      <c r="Z271" s="29">
        <f>Z270</f>
        <v>1</v>
      </c>
      <c r="AA271" s="29">
        <f>DATEDIF(DATE(1970,1,1),AA270,"D")*86400</f>
        <v>1502928000</v>
      </c>
      <c r="AB271" s="29">
        <f>HOUR(AB270)*3600+MINUTE(AB270)*60+SECOND(AB270)</f>
        <v>56460</v>
      </c>
      <c r="AC271" s="29">
        <f>AC270</f>
        <v>1</v>
      </c>
    </row>
    <row r="272" spans="1:29">
      <c r="A272" s="23" t="str">
        <f>Parameters!A137</f>
        <v>6NM7</v>
      </c>
      <c r="B272" s="23">
        <f>Parameters!B137</f>
        <v>1E-4</v>
      </c>
      <c r="C272" s="24">
        <f>Parameters!C137</f>
        <v>2</v>
      </c>
      <c r="D272" s="24" t="str">
        <f>Parameters!D137</f>
        <v>SELL</v>
      </c>
      <c r="E272" s="23">
        <f>Parameters!E137</f>
        <v>0</v>
      </c>
      <c r="F272" s="23">
        <f>Parameters!F137</f>
        <v>0.01</v>
      </c>
      <c r="G272" s="25">
        <f>Parameters!G137</f>
        <v>0.05</v>
      </c>
      <c r="H272" s="25">
        <f>Parameters!H137</f>
        <v>0</v>
      </c>
      <c r="I272" s="25">
        <f>Parameters!I137</f>
        <v>0</v>
      </c>
      <c r="J272" s="25">
        <f>Parameters!J137</f>
        <v>1</v>
      </c>
      <c r="K272" s="25">
        <f>Parameters!K137</f>
        <v>1</v>
      </c>
      <c r="L272" s="26">
        <f t="shared" ref="L272" si="402">L273</f>
        <v>-5.0000000000000001E-4</v>
      </c>
      <c r="M272" s="25">
        <f>Parameters!L137</f>
        <v>1</v>
      </c>
      <c r="N272" s="25">
        <f>Parameters!M137</f>
        <v>1</v>
      </c>
      <c r="O272" s="26">
        <f t="shared" ref="O272" si="403">O273</f>
        <v>1.3000000000000001E-2</v>
      </c>
      <c r="P272" s="23">
        <f>Parameters!N137</f>
        <v>1</v>
      </c>
      <c r="Q272" s="23">
        <f>Parameters!O137</f>
        <v>100</v>
      </c>
      <c r="R272" s="23">
        <f>Parameters!P137</f>
        <v>10</v>
      </c>
      <c r="S272" s="23">
        <f>Parameters!Q137</f>
        <v>2</v>
      </c>
      <c r="T272" s="23">
        <f>Parameters!R137</f>
        <v>1</v>
      </c>
      <c r="U272" s="27">
        <f>Parameters!S137</f>
        <v>42741</v>
      </c>
      <c r="V272" s="28">
        <f>Parameters!T137</f>
        <v>0.30208333333333331</v>
      </c>
      <c r="W272" s="27">
        <f>Parameters!U137</f>
        <v>42964</v>
      </c>
      <c r="X272" s="28">
        <f>Parameters!V137</f>
        <v>0.65277777777777779</v>
      </c>
      <c r="Y272" s="25">
        <f>Parameters!W137</f>
        <v>28</v>
      </c>
      <c r="Z272" s="23">
        <f>Parameters!X137</f>
        <v>1</v>
      </c>
      <c r="AA272" s="27">
        <f>Parameters!Y137</f>
        <v>42964</v>
      </c>
      <c r="AB272" s="28">
        <f>Parameters!Z137</f>
        <v>0.65347222222222223</v>
      </c>
      <c r="AC272" s="23">
        <f>Parameters!AA137</f>
        <v>1</v>
      </c>
    </row>
    <row r="273" spans="1:29">
      <c r="A273" s="29" t="str">
        <f>UPPER(A272)</f>
        <v>6NM7</v>
      </c>
      <c r="B273" s="29">
        <f>B272</f>
        <v>1E-4</v>
      </c>
      <c r="C273" s="30">
        <f>C272</f>
        <v>2</v>
      </c>
      <c r="D273" s="30" t="str">
        <f>D272</f>
        <v>SELL</v>
      </c>
      <c r="E273" s="29">
        <f>E272</f>
        <v>0</v>
      </c>
      <c r="F273" s="29">
        <f>F272</f>
        <v>0.01</v>
      </c>
      <c r="G273" s="29">
        <f>IF(C272=1,IF(D272="BUY",E272+(ROUND(F272*G272/B272,0)*B272),E272-(ROUND(F272*G272/B272,0)*B272)),IF(D272="BUY",E272-(ROUND(F272*G272/B272,0)*B272),E272+(ROUND(F272*G272/B272,0)*B272)))</f>
        <v>5.0000000000000001E-4</v>
      </c>
      <c r="H273" s="29">
        <f>IF(C272=1,IF(D272="BUY",G273-(ROUND(F272*H272/B272,0)*B272),G273+(ROUND(F272*H272/B272,0)*B272)),IF(D272="BUY",G273+(ROUND(F272*H272/B272,0)*B272),G273-(ROUND(F272*H272/B272,0)*B272)))</f>
        <v>5.0000000000000001E-4</v>
      </c>
      <c r="I273" s="29">
        <f>IF(D272="BUY",G273+(ROUND(F272*I272/(B272*100),0)*B272),G273-(ROUND(F272*I272/(B272*100),0)*B272))</f>
        <v>5.0000000000000001E-4</v>
      </c>
      <c r="J273" s="29">
        <f>IF(C272=1,IF(D272="BUY",E272+(ROUND(F272*J272/B272,0)*B272),E272-(ROUND(F272*J272/B272,0)*B272)),IF(D272="BUY",E272-(ROUND(F272*J272/B272,0)*B272),E272+(ROUND(F272*J272/B272,0)*B272)))</f>
        <v>0.01</v>
      </c>
      <c r="K273" s="29">
        <f>IF(C272=1,IF(D272="BUY",E272-(ROUND(F272*K272/B272,0)*B272),E272+(ROUND(F272*K272/B272,0)*B272)),IF(D272="BUY",E272-(ROUND(F272*K272/B272,0)*B272),E272+(ROUND(F272*K272/B272,0)*B272)))</f>
        <v>0.01</v>
      </c>
      <c r="L273" s="29">
        <f t="shared" ref="L273" si="404">IF(D273="BUY",I273+(R273*B273),I273-(R273*B273))</f>
        <v>-5.0000000000000001E-4</v>
      </c>
      <c r="M273" s="29">
        <f>IF(D272="BUY",E272+(ROUND(F272*M272/B272,0)*B272),E272-(ROUND(F272*M272/B272,0)*B272))</f>
        <v>-0.01</v>
      </c>
      <c r="N273" s="29">
        <f>IF(D272="BUY",E272-(ROUND(F272*N272/B272,0)*B272),E272+(ROUND(F272*N272/B272,0)*B272))</f>
        <v>0.01</v>
      </c>
      <c r="O273" s="31">
        <f>IF(D273="BUY",N273-VLOOKUP(A273,Symbols!A$1:D$1000,4,FALSE),N273+VLOOKUP(A273,Symbols!A$1:D$1000,4,FALSE))</f>
        <v>1.3000000000000001E-2</v>
      </c>
      <c r="P273" s="29">
        <f>P272</f>
        <v>1</v>
      </c>
      <c r="Q273" s="29">
        <f>Q272</f>
        <v>100</v>
      </c>
      <c r="R273" s="29">
        <f>R272</f>
        <v>10</v>
      </c>
      <c r="S273" s="29">
        <f>S272</f>
        <v>2</v>
      </c>
      <c r="T273" s="29">
        <f>T272</f>
        <v>1</v>
      </c>
      <c r="U273" s="29">
        <f>DATEDIF(DATE(1970,1,1),U272,"D")*86400</f>
        <v>1483660800</v>
      </c>
      <c r="V273" s="29">
        <f>HOUR(V272)*3600+MINUTE(V272)*60+SECOND(V272)</f>
        <v>26100</v>
      </c>
      <c r="W273" s="29">
        <f>DATEDIF(DATE(1970,1,1),W272,"D")*86400</f>
        <v>1502928000</v>
      </c>
      <c r="X273" s="29">
        <f>HOUR(X272)*3600+MINUTE(X272)*60+SECOND(X272)</f>
        <v>56400</v>
      </c>
      <c r="Y273" s="31">
        <f>(Y272*B273)</f>
        <v>2.8E-3</v>
      </c>
      <c r="Z273" s="29">
        <f>Z272</f>
        <v>1</v>
      </c>
      <c r="AA273" s="29">
        <f>DATEDIF(DATE(1970,1,1),AA272,"D")*86400</f>
        <v>1502928000</v>
      </c>
      <c r="AB273" s="29">
        <f>HOUR(AB272)*3600+MINUTE(AB272)*60+SECOND(AB272)</f>
        <v>56460</v>
      </c>
      <c r="AC273" s="29">
        <f>AC272</f>
        <v>1</v>
      </c>
    </row>
    <row r="274" spans="1:29">
      <c r="A274" s="23" t="str">
        <f>Parameters!A138</f>
        <v>6NM7</v>
      </c>
      <c r="B274" s="23">
        <f>Parameters!B138</f>
        <v>1E-4</v>
      </c>
      <c r="C274" s="24">
        <f>Parameters!C138</f>
        <v>2</v>
      </c>
      <c r="D274" s="24" t="str">
        <f>Parameters!D138</f>
        <v>SELL</v>
      </c>
      <c r="E274" s="23">
        <f>Parameters!E138</f>
        <v>0</v>
      </c>
      <c r="F274" s="23">
        <f>Parameters!F138</f>
        <v>0.01</v>
      </c>
      <c r="G274" s="25">
        <f>Parameters!G138</f>
        <v>0.06</v>
      </c>
      <c r="H274" s="25">
        <f>Parameters!H138</f>
        <v>0</v>
      </c>
      <c r="I274" s="25">
        <f>Parameters!I138</f>
        <v>0</v>
      </c>
      <c r="J274" s="25">
        <f>Parameters!J138</f>
        <v>1</v>
      </c>
      <c r="K274" s="25">
        <f>Parameters!K138</f>
        <v>1</v>
      </c>
      <c r="L274" s="26">
        <f t="shared" ref="L274" si="405">L275</f>
        <v>-3.9999999999999996E-4</v>
      </c>
      <c r="M274" s="25">
        <f>Parameters!L138</f>
        <v>1</v>
      </c>
      <c r="N274" s="25">
        <f>Parameters!M138</f>
        <v>1</v>
      </c>
      <c r="O274" s="26">
        <f t="shared" ref="O274" si="406">O275</f>
        <v>1.3000000000000001E-2</v>
      </c>
      <c r="P274" s="23">
        <f>Parameters!N138</f>
        <v>1</v>
      </c>
      <c r="Q274" s="23">
        <f>Parameters!O138</f>
        <v>100</v>
      </c>
      <c r="R274" s="23">
        <f>Parameters!P138</f>
        <v>10</v>
      </c>
      <c r="S274" s="23">
        <f>Parameters!Q138</f>
        <v>2</v>
      </c>
      <c r="T274" s="23">
        <f>Parameters!R138</f>
        <v>1</v>
      </c>
      <c r="U274" s="27">
        <f>Parameters!S138</f>
        <v>42741</v>
      </c>
      <c r="V274" s="28">
        <f>Parameters!T138</f>
        <v>0.30208333333333331</v>
      </c>
      <c r="W274" s="27">
        <f>Parameters!U138</f>
        <v>42964</v>
      </c>
      <c r="X274" s="28">
        <f>Parameters!V138</f>
        <v>0.65277777777777779</v>
      </c>
      <c r="Y274" s="25">
        <f>Parameters!W138</f>
        <v>28</v>
      </c>
      <c r="Z274" s="23">
        <f>Parameters!X138</f>
        <v>1</v>
      </c>
      <c r="AA274" s="27">
        <f>Parameters!Y138</f>
        <v>42964</v>
      </c>
      <c r="AB274" s="28">
        <f>Parameters!Z138</f>
        <v>0.65347222222222223</v>
      </c>
      <c r="AC274" s="23">
        <f>Parameters!AA138</f>
        <v>1</v>
      </c>
    </row>
    <row r="275" spans="1:29">
      <c r="A275" s="29" t="str">
        <f>UPPER(A274)</f>
        <v>6NM7</v>
      </c>
      <c r="B275" s="29">
        <f>B274</f>
        <v>1E-4</v>
      </c>
      <c r="C275" s="30">
        <f>C274</f>
        <v>2</v>
      </c>
      <c r="D275" s="30" t="str">
        <f>D274</f>
        <v>SELL</v>
      </c>
      <c r="E275" s="29">
        <f>E274</f>
        <v>0</v>
      </c>
      <c r="F275" s="29">
        <f>F274</f>
        <v>0.01</v>
      </c>
      <c r="G275" s="29">
        <f>IF(C274=1,IF(D274="BUY",E274+(ROUND(F274*G274/B274,0)*B274),E274-(ROUND(F274*G274/B274,0)*B274)),IF(D274="BUY",E274-(ROUND(F274*G274/B274,0)*B274),E274+(ROUND(F274*G274/B274,0)*B274)))</f>
        <v>6.0000000000000006E-4</v>
      </c>
      <c r="H275" s="29">
        <f>IF(C274=1,IF(D274="BUY",G275-(ROUND(F274*H274/B274,0)*B274),G275+(ROUND(F274*H274/B274,0)*B274)),IF(D274="BUY",G275+(ROUND(F274*H274/B274,0)*B274),G275-(ROUND(F274*H274/B274,0)*B274)))</f>
        <v>6.0000000000000006E-4</v>
      </c>
      <c r="I275" s="29">
        <f>IF(D274="BUY",G275+(ROUND(F274*I274/(B274*100),0)*B274),G275-(ROUND(F274*I274/(B274*100),0)*B274))</f>
        <v>6.0000000000000006E-4</v>
      </c>
      <c r="J275" s="29">
        <f>IF(C274=1,IF(D274="BUY",E274+(ROUND(F274*J274/B274,0)*B274),E274-(ROUND(F274*J274/B274,0)*B274)),IF(D274="BUY",E274-(ROUND(F274*J274/B274,0)*B274),E274+(ROUND(F274*J274/B274,0)*B274)))</f>
        <v>0.01</v>
      </c>
      <c r="K275" s="29">
        <f>IF(C274=1,IF(D274="BUY",E274-(ROUND(F274*K274/B274,0)*B274),E274+(ROUND(F274*K274/B274,0)*B274)),IF(D274="BUY",E274-(ROUND(F274*K274/B274,0)*B274),E274+(ROUND(F274*K274/B274,0)*B274)))</f>
        <v>0.01</v>
      </c>
      <c r="L275" s="29">
        <f t="shared" ref="L275" si="407">IF(D275="BUY",I275+(R275*B275),I275-(R275*B275))</f>
        <v>-3.9999999999999996E-4</v>
      </c>
      <c r="M275" s="29">
        <f>IF(D274="BUY",E274+(ROUND(F274*M274/B274,0)*B274),E274-(ROUND(F274*M274/B274,0)*B274))</f>
        <v>-0.01</v>
      </c>
      <c r="N275" s="29">
        <f>IF(D274="BUY",E274-(ROUND(F274*N274/B274,0)*B274),E274+(ROUND(F274*N274/B274,0)*B274))</f>
        <v>0.01</v>
      </c>
      <c r="O275" s="31">
        <f>IF(D275="BUY",N275-VLOOKUP(A275,Symbols!A$1:D$1000,4,FALSE),N275+VLOOKUP(A275,Symbols!A$1:D$1000,4,FALSE))</f>
        <v>1.3000000000000001E-2</v>
      </c>
      <c r="P275" s="29">
        <f>P274</f>
        <v>1</v>
      </c>
      <c r="Q275" s="29">
        <f>Q274</f>
        <v>100</v>
      </c>
      <c r="R275" s="29">
        <f>R274</f>
        <v>10</v>
      </c>
      <c r="S275" s="29">
        <f>S274</f>
        <v>2</v>
      </c>
      <c r="T275" s="29">
        <f>T274</f>
        <v>1</v>
      </c>
      <c r="U275" s="29">
        <f>DATEDIF(DATE(1970,1,1),U274,"D")*86400</f>
        <v>1483660800</v>
      </c>
      <c r="V275" s="29">
        <f>HOUR(V274)*3600+MINUTE(V274)*60+SECOND(V274)</f>
        <v>26100</v>
      </c>
      <c r="W275" s="29">
        <f>DATEDIF(DATE(1970,1,1),W274,"D")*86400</f>
        <v>1502928000</v>
      </c>
      <c r="X275" s="29">
        <f>HOUR(X274)*3600+MINUTE(X274)*60+SECOND(X274)</f>
        <v>56400</v>
      </c>
      <c r="Y275" s="31">
        <f>(Y274*B275)</f>
        <v>2.8E-3</v>
      </c>
      <c r="Z275" s="29">
        <f>Z274</f>
        <v>1</v>
      </c>
      <c r="AA275" s="29">
        <f>DATEDIF(DATE(1970,1,1),AA274,"D")*86400</f>
        <v>1502928000</v>
      </c>
      <c r="AB275" s="29">
        <f>HOUR(AB274)*3600+MINUTE(AB274)*60+SECOND(AB274)</f>
        <v>56460</v>
      </c>
      <c r="AC275" s="29">
        <f>AC274</f>
        <v>1</v>
      </c>
    </row>
    <row r="276" spans="1:29">
      <c r="A276" s="23" t="str">
        <f>Parameters!A139</f>
        <v>6NM7</v>
      </c>
      <c r="B276" s="23">
        <f>Parameters!B139</f>
        <v>1E-4</v>
      </c>
      <c r="C276" s="24">
        <f>Parameters!C139</f>
        <v>2</v>
      </c>
      <c r="D276" s="24" t="str">
        <f>Parameters!D139</f>
        <v>SELL</v>
      </c>
      <c r="E276" s="23">
        <f>Parameters!E139</f>
        <v>0</v>
      </c>
      <c r="F276" s="23">
        <f>Parameters!F139</f>
        <v>0.01</v>
      </c>
      <c r="G276" s="25">
        <f>Parameters!G139</f>
        <v>7.0000000000000007E-2</v>
      </c>
      <c r="H276" s="25">
        <f>Parameters!H139</f>
        <v>0</v>
      </c>
      <c r="I276" s="25">
        <f>Parameters!I139</f>
        <v>0</v>
      </c>
      <c r="J276" s="25">
        <f>Parameters!J139</f>
        <v>1</v>
      </c>
      <c r="K276" s="25">
        <f>Parameters!K139</f>
        <v>1</v>
      </c>
      <c r="L276" s="26">
        <f t="shared" ref="L276" si="408">L277</f>
        <v>-3.0000000000000003E-4</v>
      </c>
      <c r="M276" s="25">
        <f>Parameters!L139</f>
        <v>1</v>
      </c>
      <c r="N276" s="25">
        <f>Parameters!M139</f>
        <v>1</v>
      </c>
      <c r="O276" s="26">
        <f t="shared" ref="O276" si="409">O277</f>
        <v>1.3000000000000001E-2</v>
      </c>
      <c r="P276" s="23">
        <f>Parameters!N139</f>
        <v>1</v>
      </c>
      <c r="Q276" s="23">
        <f>Parameters!O139</f>
        <v>100</v>
      </c>
      <c r="R276" s="23">
        <f>Parameters!P139</f>
        <v>10</v>
      </c>
      <c r="S276" s="23">
        <f>Parameters!Q139</f>
        <v>2</v>
      </c>
      <c r="T276" s="23">
        <f>Parameters!R139</f>
        <v>1</v>
      </c>
      <c r="U276" s="27">
        <f>Parameters!S139</f>
        <v>42741</v>
      </c>
      <c r="V276" s="28">
        <f>Parameters!T139</f>
        <v>0.30208333333333331</v>
      </c>
      <c r="W276" s="27">
        <f>Parameters!U139</f>
        <v>42964</v>
      </c>
      <c r="X276" s="28">
        <f>Parameters!V139</f>
        <v>0.65277777777777779</v>
      </c>
      <c r="Y276" s="25">
        <f>Parameters!W139</f>
        <v>28</v>
      </c>
      <c r="Z276" s="23">
        <f>Parameters!X139</f>
        <v>1</v>
      </c>
      <c r="AA276" s="27">
        <f>Parameters!Y139</f>
        <v>42964</v>
      </c>
      <c r="AB276" s="28">
        <f>Parameters!Z139</f>
        <v>0.65347222222222223</v>
      </c>
      <c r="AC276" s="23">
        <f>Parameters!AA139</f>
        <v>1</v>
      </c>
    </row>
    <row r="277" spans="1:29">
      <c r="A277" s="29" t="str">
        <f>UPPER(A276)</f>
        <v>6NM7</v>
      </c>
      <c r="B277" s="29">
        <f>B276</f>
        <v>1E-4</v>
      </c>
      <c r="C277" s="30">
        <f>C276</f>
        <v>2</v>
      </c>
      <c r="D277" s="30" t="str">
        <f>D276</f>
        <v>SELL</v>
      </c>
      <c r="E277" s="29">
        <f>E276</f>
        <v>0</v>
      </c>
      <c r="F277" s="29">
        <f>F276</f>
        <v>0.01</v>
      </c>
      <c r="G277" s="29">
        <f>IF(C276=1,IF(D276="BUY",E276+(ROUND(F276*G276/B276,0)*B276),E276-(ROUND(F276*G276/B276,0)*B276)),IF(D276="BUY",E276-(ROUND(F276*G276/B276,0)*B276),E276+(ROUND(F276*G276/B276,0)*B276)))</f>
        <v>6.9999999999999999E-4</v>
      </c>
      <c r="H277" s="29">
        <f>IF(C276=1,IF(D276="BUY",G277-(ROUND(F276*H276/B276,0)*B276),G277+(ROUND(F276*H276/B276,0)*B276)),IF(D276="BUY",G277+(ROUND(F276*H276/B276,0)*B276),G277-(ROUND(F276*H276/B276,0)*B276)))</f>
        <v>6.9999999999999999E-4</v>
      </c>
      <c r="I277" s="29">
        <f>IF(D276="BUY",G277+(ROUND(F276*I276/(B276*100),0)*B276),G277-(ROUND(F276*I276/(B276*100),0)*B276))</f>
        <v>6.9999999999999999E-4</v>
      </c>
      <c r="J277" s="29">
        <f>IF(C276=1,IF(D276="BUY",E276+(ROUND(F276*J276/B276,0)*B276),E276-(ROUND(F276*J276/B276,0)*B276)),IF(D276="BUY",E276-(ROUND(F276*J276/B276,0)*B276),E276+(ROUND(F276*J276/B276,0)*B276)))</f>
        <v>0.01</v>
      </c>
      <c r="K277" s="29">
        <f>IF(C276=1,IF(D276="BUY",E276-(ROUND(F276*K276/B276,0)*B276),E276+(ROUND(F276*K276/B276,0)*B276)),IF(D276="BUY",E276-(ROUND(F276*K276/B276,0)*B276),E276+(ROUND(F276*K276/B276,0)*B276)))</f>
        <v>0.01</v>
      </c>
      <c r="L277" s="29">
        <f t="shared" ref="L277" si="410">IF(D277="BUY",I277+(R277*B277),I277-(R277*B277))</f>
        <v>-3.0000000000000003E-4</v>
      </c>
      <c r="M277" s="29">
        <f>IF(D276="BUY",E276+(ROUND(F276*M276/B276,0)*B276),E276-(ROUND(F276*M276/B276,0)*B276))</f>
        <v>-0.01</v>
      </c>
      <c r="N277" s="29">
        <f>IF(D276="BUY",E276-(ROUND(F276*N276/B276,0)*B276),E276+(ROUND(F276*N276/B276,0)*B276))</f>
        <v>0.01</v>
      </c>
      <c r="O277" s="31">
        <f>IF(D277="BUY",N277-VLOOKUP(A277,Symbols!A$1:D$1000,4,FALSE),N277+VLOOKUP(A277,Symbols!A$1:D$1000,4,FALSE))</f>
        <v>1.3000000000000001E-2</v>
      </c>
      <c r="P277" s="29">
        <f>P276</f>
        <v>1</v>
      </c>
      <c r="Q277" s="29">
        <f>Q276</f>
        <v>100</v>
      </c>
      <c r="R277" s="29">
        <f>R276</f>
        <v>10</v>
      </c>
      <c r="S277" s="29">
        <f>S276</f>
        <v>2</v>
      </c>
      <c r="T277" s="29">
        <f>T276</f>
        <v>1</v>
      </c>
      <c r="U277" s="29">
        <f>DATEDIF(DATE(1970,1,1),U276,"D")*86400</f>
        <v>1483660800</v>
      </c>
      <c r="V277" s="29">
        <f>HOUR(V276)*3600+MINUTE(V276)*60+SECOND(V276)</f>
        <v>26100</v>
      </c>
      <c r="W277" s="29">
        <f>DATEDIF(DATE(1970,1,1),W276,"D")*86400</f>
        <v>1502928000</v>
      </c>
      <c r="X277" s="29">
        <f>HOUR(X276)*3600+MINUTE(X276)*60+SECOND(X276)</f>
        <v>56400</v>
      </c>
      <c r="Y277" s="31">
        <f>(Y276*B277)</f>
        <v>2.8E-3</v>
      </c>
      <c r="Z277" s="29">
        <f>Z276</f>
        <v>1</v>
      </c>
      <c r="AA277" s="29">
        <f>DATEDIF(DATE(1970,1,1),AA276,"D")*86400</f>
        <v>1502928000</v>
      </c>
      <c r="AB277" s="29">
        <f>HOUR(AB276)*3600+MINUTE(AB276)*60+SECOND(AB276)</f>
        <v>56460</v>
      </c>
      <c r="AC277" s="29">
        <f>AC276</f>
        <v>1</v>
      </c>
    </row>
    <row r="278" spans="1:29">
      <c r="A278" s="23" t="str">
        <f>Parameters!A140</f>
        <v>6NM7</v>
      </c>
      <c r="B278" s="23">
        <f>Parameters!B140</f>
        <v>1E-4</v>
      </c>
      <c r="C278" s="24">
        <f>Parameters!C140</f>
        <v>2</v>
      </c>
      <c r="D278" s="24" t="str">
        <f>Parameters!D140</f>
        <v>SELL</v>
      </c>
      <c r="E278" s="23">
        <f>Parameters!E140</f>
        <v>0</v>
      </c>
      <c r="F278" s="23">
        <f>Parameters!F140</f>
        <v>0.01</v>
      </c>
      <c r="G278" s="25">
        <f>Parameters!G140</f>
        <v>0.08</v>
      </c>
      <c r="H278" s="25">
        <f>Parameters!H140</f>
        <v>0</v>
      </c>
      <c r="I278" s="25">
        <f>Parameters!I140</f>
        <v>0</v>
      </c>
      <c r="J278" s="25">
        <f>Parameters!J140</f>
        <v>1</v>
      </c>
      <c r="K278" s="25">
        <f>Parameters!K140</f>
        <v>1</v>
      </c>
      <c r="L278" s="26">
        <f t="shared" ref="L278" si="411">L279</f>
        <v>-1.9999999999999998E-4</v>
      </c>
      <c r="M278" s="25">
        <f>Parameters!L140</f>
        <v>1</v>
      </c>
      <c r="N278" s="25">
        <f>Parameters!M140</f>
        <v>1</v>
      </c>
      <c r="O278" s="26">
        <f t="shared" ref="O278" si="412">O279</f>
        <v>1.3000000000000001E-2</v>
      </c>
      <c r="P278" s="23">
        <f>Parameters!N140</f>
        <v>1</v>
      </c>
      <c r="Q278" s="23">
        <f>Parameters!O140</f>
        <v>100</v>
      </c>
      <c r="R278" s="23">
        <f>Parameters!P140</f>
        <v>10</v>
      </c>
      <c r="S278" s="23">
        <f>Parameters!Q140</f>
        <v>2</v>
      </c>
      <c r="T278" s="23">
        <f>Parameters!R140</f>
        <v>1</v>
      </c>
      <c r="U278" s="27">
        <f>Parameters!S140</f>
        <v>42741</v>
      </c>
      <c r="V278" s="28">
        <f>Parameters!T140</f>
        <v>0.30208333333333331</v>
      </c>
      <c r="W278" s="27">
        <f>Parameters!U140</f>
        <v>42964</v>
      </c>
      <c r="X278" s="28">
        <f>Parameters!V140</f>
        <v>0.65277777777777779</v>
      </c>
      <c r="Y278" s="25">
        <f>Parameters!W140</f>
        <v>28</v>
      </c>
      <c r="Z278" s="23">
        <f>Parameters!X140</f>
        <v>1</v>
      </c>
      <c r="AA278" s="27">
        <f>Parameters!Y140</f>
        <v>42964</v>
      </c>
      <c r="AB278" s="28">
        <f>Parameters!Z140</f>
        <v>0.65347222222222223</v>
      </c>
      <c r="AC278" s="23">
        <f>Parameters!AA140</f>
        <v>1</v>
      </c>
    </row>
    <row r="279" spans="1:29">
      <c r="A279" s="29" t="str">
        <f>UPPER(A278)</f>
        <v>6NM7</v>
      </c>
      <c r="B279" s="29">
        <f>B278</f>
        <v>1E-4</v>
      </c>
      <c r="C279" s="30">
        <f>C278</f>
        <v>2</v>
      </c>
      <c r="D279" s="30" t="str">
        <f>D278</f>
        <v>SELL</v>
      </c>
      <c r="E279" s="29">
        <f>E278</f>
        <v>0</v>
      </c>
      <c r="F279" s="29">
        <f>F278</f>
        <v>0.01</v>
      </c>
      <c r="G279" s="29">
        <f>IF(C278=1,IF(D278="BUY",E278+(ROUND(F278*G278/B278,0)*B278),E278-(ROUND(F278*G278/B278,0)*B278)),IF(D278="BUY",E278-(ROUND(F278*G278/B278,0)*B278),E278+(ROUND(F278*G278/B278,0)*B278)))</f>
        <v>8.0000000000000004E-4</v>
      </c>
      <c r="H279" s="29">
        <f>IF(C278=1,IF(D278="BUY",G279-(ROUND(F278*H278/B278,0)*B278),G279+(ROUND(F278*H278/B278,0)*B278)),IF(D278="BUY",G279+(ROUND(F278*H278/B278,0)*B278),G279-(ROUND(F278*H278/B278,0)*B278)))</f>
        <v>8.0000000000000004E-4</v>
      </c>
      <c r="I279" s="29">
        <f>IF(D278="BUY",G279+(ROUND(F278*I278/(B278*100),0)*B278),G279-(ROUND(F278*I278/(B278*100),0)*B278))</f>
        <v>8.0000000000000004E-4</v>
      </c>
      <c r="J279" s="29">
        <f>IF(C278=1,IF(D278="BUY",E278+(ROUND(F278*J278/B278,0)*B278),E278-(ROUND(F278*J278/B278,0)*B278)),IF(D278="BUY",E278-(ROUND(F278*J278/B278,0)*B278),E278+(ROUND(F278*J278/B278,0)*B278)))</f>
        <v>0.01</v>
      </c>
      <c r="K279" s="29">
        <f>IF(C278=1,IF(D278="BUY",E278-(ROUND(F278*K278/B278,0)*B278),E278+(ROUND(F278*K278/B278,0)*B278)),IF(D278="BUY",E278-(ROUND(F278*K278/B278,0)*B278),E278+(ROUND(F278*K278/B278,0)*B278)))</f>
        <v>0.01</v>
      </c>
      <c r="L279" s="29">
        <f t="shared" ref="L279" si="413">IF(D279="BUY",I279+(R279*B279),I279-(R279*B279))</f>
        <v>-1.9999999999999998E-4</v>
      </c>
      <c r="M279" s="29">
        <f>IF(D278="BUY",E278+(ROUND(F278*M278/B278,0)*B278),E278-(ROUND(F278*M278/B278,0)*B278))</f>
        <v>-0.01</v>
      </c>
      <c r="N279" s="29">
        <f>IF(D278="BUY",E278-(ROUND(F278*N278/B278,0)*B278),E278+(ROUND(F278*N278/B278,0)*B278))</f>
        <v>0.01</v>
      </c>
      <c r="O279" s="31">
        <f>IF(D279="BUY",N279-VLOOKUP(A279,Symbols!A$1:D$1000,4,FALSE),N279+VLOOKUP(A279,Symbols!A$1:D$1000,4,FALSE))</f>
        <v>1.3000000000000001E-2</v>
      </c>
      <c r="P279" s="29">
        <f>P278</f>
        <v>1</v>
      </c>
      <c r="Q279" s="29">
        <f>Q278</f>
        <v>100</v>
      </c>
      <c r="R279" s="29">
        <f>R278</f>
        <v>10</v>
      </c>
      <c r="S279" s="29">
        <f>S278</f>
        <v>2</v>
      </c>
      <c r="T279" s="29">
        <f>T278</f>
        <v>1</v>
      </c>
      <c r="U279" s="29">
        <f>DATEDIF(DATE(1970,1,1),U278,"D")*86400</f>
        <v>1483660800</v>
      </c>
      <c r="V279" s="29">
        <f>HOUR(V278)*3600+MINUTE(V278)*60+SECOND(V278)</f>
        <v>26100</v>
      </c>
      <c r="W279" s="29">
        <f>DATEDIF(DATE(1970,1,1),W278,"D")*86400</f>
        <v>1502928000</v>
      </c>
      <c r="X279" s="29">
        <f>HOUR(X278)*3600+MINUTE(X278)*60+SECOND(X278)</f>
        <v>56400</v>
      </c>
      <c r="Y279" s="31">
        <f>(Y278*B279)</f>
        <v>2.8E-3</v>
      </c>
      <c r="Z279" s="29">
        <f>Z278</f>
        <v>1</v>
      </c>
      <c r="AA279" s="29">
        <f>DATEDIF(DATE(1970,1,1),AA278,"D")*86400</f>
        <v>1502928000</v>
      </c>
      <c r="AB279" s="29">
        <f>HOUR(AB278)*3600+MINUTE(AB278)*60+SECOND(AB278)</f>
        <v>56460</v>
      </c>
      <c r="AC279" s="29">
        <f>AC278</f>
        <v>1</v>
      </c>
    </row>
    <row r="280" spans="1:29">
      <c r="A280" s="23" t="str">
        <f>Parameters!A141</f>
        <v>6NM7</v>
      </c>
      <c r="B280" s="23">
        <f>Parameters!B141</f>
        <v>1E-4</v>
      </c>
      <c r="C280" s="24">
        <f>Parameters!C141</f>
        <v>2</v>
      </c>
      <c r="D280" s="24" t="str">
        <f>Parameters!D141</f>
        <v>SELL</v>
      </c>
      <c r="E280" s="23">
        <f>Parameters!E141</f>
        <v>0</v>
      </c>
      <c r="F280" s="23">
        <f>Parameters!F141</f>
        <v>0.01</v>
      </c>
      <c r="G280" s="25">
        <f>Parameters!G141</f>
        <v>0.09</v>
      </c>
      <c r="H280" s="25">
        <f>Parameters!H141</f>
        <v>0</v>
      </c>
      <c r="I280" s="25">
        <f>Parameters!I141</f>
        <v>0</v>
      </c>
      <c r="J280" s="25">
        <f>Parameters!J141</f>
        <v>1</v>
      </c>
      <c r="K280" s="25">
        <f>Parameters!K141</f>
        <v>1</v>
      </c>
      <c r="L280" s="26">
        <f t="shared" ref="L280" si="414">L281</f>
        <v>-9.9999999999999937E-5</v>
      </c>
      <c r="M280" s="25">
        <f>Parameters!L141</f>
        <v>1</v>
      </c>
      <c r="N280" s="25">
        <f>Parameters!M141</f>
        <v>1</v>
      </c>
      <c r="O280" s="26">
        <f t="shared" ref="O280" si="415">O281</f>
        <v>1.3000000000000001E-2</v>
      </c>
      <c r="P280" s="23">
        <f>Parameters!N141</f>
        <v>1</v>
      </c>
      <c r="Q280" s="23">
        <f>Parameters!O141</f>
        <v>100</v>
      </c>
      <c r="R280" s="23">
        <f>Parameters!P141</f>
        <v>10</v>
      </c>
      <c r="S280" s="23">
        <f>Parameters!Q141</f>
        <v>2</v>
      </c>
      <c r="T280" s="23">
        <f>Parameters!R141</f>
        <v>1</v>
      </c>
      <c r="U280" s="27">
        <f>Parameters!S141</f>
        <v>42741</v>
      </c>
      <c r="V280" s="28">
        <f>Parameters!T141</f>
        <v>0.30208333333333331</v>
      </c>
      <c r="W280" s="27">
        <f>Parameters!U141</f>
        <v>42964</v>
      </c>
      <c r="X280" s="28">
        <f>Parameters!V141</f>
        <v>0.65277777777777779</v>
      </c>
      <c r="Y280" s="25">
        <f>Parameters!W141</f>
        <v>28</v>
      </c>
      <c r="Z280" s="23">
        <f>Parameters!X141</f>
        <v>1</v>
      </c>
      <c r="AA280" s="27">
        <f>Parameters!Y141</f>
        <v>42964</v>
      </c>
      <c r="AB280" s="28">
        <f>Parameters!Z141</f>
        <v>0.65347222222222223</v>
      </c>
      <c r="AC280" s="23">
        <f>Parameters!AA141</f>
        <v>1</v>
      </c>
    </row>
    <row r="281" spans="1:29">
      <c r="A281" s="29" t="str">
        <f>UPPER(A280)</f>
        <v>6NM7</v>
      </c>
      <c r="B281" s="29">
        <f>B280</f>
        <v>1E-4</v>
      </c>
      <c r="C281" s="30">
        <f>C280</f>
        <v>2</v>
      </c>
      <c r="D281" s="30" t="str">
        <f>D280</f>
        <v>SELL</v>
      </c>
      <c r="E281" s="29">
        <f>E280</f>
        <v>0</v>
      </c>
      <c r="F281" s="29">
        <f>F280</f>
        <v>0.01</v>
      </c>
      <c r="G281" s="29">
        <f>IF(C280=1,IF(D280="BUY",E280+(ROUND(F280*G280/B280,0)*B280),E280-(ROUND(F280*G280/B280,0)*B280)),IF(D280="BUY",E280-(ROUND(F280*G280/B280,0)*B280),E280+(ROUND(F280*G280/B280,0)*B280)))</f>
        <v>9.0000000000000008E-4</v>
      </c>
      <c r="H281" s="29">
        <f>IF(C280=1,IF(D280="BUY",G281-(ROUND(F280*H280/B280,0)*B280),G281+(ROUND(F280*H280/B280,0)*B280)),IF(D280="BUY",G281+(ROUND(F280*H280/B280,0)*B280),G281-(ROUND(F280*H280/B280,0)*B280)))</f>
        <v>9.0000000000000008E-4</v>
      </c>
      <c r="I281" s="29">
        <f>IF(D280="BUY",G281+(ROUND(F280*I280/(B280*100),0)*B280),G281-(ROUND(F280*I280/(B280*100),0)*B280))</f>
        <v>9.0000000000000008E-4</v>
      </c>
      <c r="J281" s="29">
        <f>IF(C280=1,IF(D280="BUY",E280+(ROUND(F280*J280/B280,0)*B280),E280-(ROUND(F280*J280/B280,0)*B280)),IF(D280="BUY",E280-(ROUND(F280*J280/B280,0)*B280),E280+(ROUND(F280*J280/B280,0)*B280)))</f>
        <v>0.01</v>
      </c>
      <c r="K281" s="29">
        <f>IF(C280=1,IF(D280="BUY",E280-(ROUND(F280*K280/B280,0)*B280),E280+(ROUND(F280*K280/B280,0)*B280)),IF(D280="BUY",E280-(ROUND(F280*K280/B280,0)*B280),E280+(ROUND(F280*K280/B280,0)*B280)))</f>
        <v>0.01</v>
      </c>
      <c r="L281" s="29">
        <f t="shared" ref="L281" si="416">IF(D281="BUY",I281+(R281*B281),I281-(R281*B281))</f>
        <v>-9.9999999999999937E-5</v>
      </c>
      <c r="M281" s="29">
        <f>IF(D280="BUY",E280+(ROUND(F280*M280/B280,0)*B280),E280-(ROUND(F280*M280/B280,0)*B280))</f>
        <v>-0.01</v>
      </c>
      <c r="N281" s="29">
        <f>IF(D280="BUY",E280-(ROUND(F280*N280/B280,0)*B280),E280+(ROUND(F280*N280/B280,0)*B280))</f>
        <v>0.01</v>
      </c>
      <c r="O281" s="31">
        <f>IF(D281="BUY",N281-VLOOKUP(A281,Symbols!A$1:D$1000,4,FALSE),N281+VLOOKUP(A281,Symbols!A$1:D$1000,4,FALSE))</f>
        <v>1.3000000000000001E-2</v>
      </c>
      <c r="P281" s="29">
        <f>P280</f>
        <v>1</v>
      </c>
      <c r="Q281" s="29">
        <f>Q280</f>
        <v>100</v>
      </c>
      <c r="R281" s="29">
        <f>R280</f>
        <v>10</v>
      </c>
      <c r="S281" s="29">
        <f>S280</f>
        <v>2</v>
      </c>
      <c r="T281" s="29">
        <f>T280</f>
        <v>1</v>
      </c>
      <c r="U281" s="29">
        <f>DATEDIF(DATE(1970,1,1),U280,"D")*86400</f>
        <v>1483660800</v>
      </c>
      <c r="V281" s="29">
        <f>HOUR(V280)*3600+MINUTE(V280)*60+SECOND(V280)</f>
        <v>26100</v>
      </c>
      <c r="W281" s="29">
        <f>DATEDIF(DATE(1970,1,1),W280,"D")*86400</f>
        <v>1502928000</v>
      </c>
      <c r="X281" s="29">
        <f>HOUR(X280)*3600+MINUTE(X280)*60+SECOND(X280)</f>
        <v>56400</v>
      </c>
      <c r="Y281" s="31">
        <f>(Y280*B281)</f>
        <v>2.8E-3</v>
      </c>
      <c r="Z281" s="29">
        <f>Z280</f>
        <v>1</v>
      </c>
      <c r="AA281" s="29">
        <f>DATEDIF(DATE(1970,1,1),AA280,"D")*86400</f>
        <v>1502928000</v>
      </c>
      <c r="AB281" s="29">
        <f>HOUR(AB280)*3600+MINUTE(AB280)*60+SECOND(AB280)</f>
        <v>56460</v>
      </c>
      <c r="AC281" s="29">
        <f>AC280</f>
        <v>1</v>
      </c>
    </row>
    <row r="282" spans="1:29">
      <c r="A282" s="23">
        <f>Parameters!A142</f>
        <v>0</v>
      </c>
      <c r="B282" s="23">
        <f>Parameters!B142</f>
        <v>0</v>
      </c>
      <c r="C282" s="24">
        <f>Parameters!C142</f>
        <v>0</v>
      </c>
      <c r="D282" s="24">
        <f>Parameters!D142</f>
        <v>0</v>
      </c>
      <c r="E282" s="23">
        <f>Parameters!E142</f>
        <v>0</v>
      </c>
      <c r="F282" s="23">
        <f>Parameters!F142</f>
        <v>0</v>
      </c>
      <c r="G282" s="25">
        <f>Parameters!G142</f>
        <v>0</v>
      </c>
      <c r="H282" s="25">
        <f>Parameters!H142</f>
        <v>0</v>
      </c>
      <c r="I282" s="25">
        <f>Parameters!I142</f>
        <v>0</v>
      </c>
      <c r="J282" s="25">
        <f>Parameters!J142</f>
        <v>0</v>
      </c>
      <c r="K282" s="25">
        <f>Parameters!K142</f>
        <v>0</v>
      </c>
      <c r="L282" s="26" t="e">
        <f t="shared" ref="L282" si="417">L283</f>
        <v>#DIV/0!</v>
      </c>
      <c r="M282" s="25">
        <f>Parameters!L142</f>
        <v>0</v>
      </c>
      <c r="N282" s="25">
        <f>Parameters!M142</f>
        <v>0</v>
      </c>
      <c r="O282" s="26" t="e">
        <f t="shared" ref="O282" si="418">O283</f>
        <v>#DIV/0!</v>
      </c>
      <c r="P282" s="23">
        <f>Parameters!N142</f>
        <v>0</v>
      </c>
      <c r="Q282" s="23">
        <f>Parameters!O142</f>
        <v>0</v>
      </c>
      <c r="R282" s="23">
        <f>Parameters!P142</f>
        <v>0</v>
      </c>
      <c r="S282" s="23">
        <f>Parameters!Q142</f>
        <v>0</v>
      </c>
      <c r="T282" s="23">
        <f>Parameters!R142</f>
        <v>0</v>
      </c>
      <c r="U282" s="27">
        <f>Parameters!S142</f>
        <v>0</v>
      </c>
      <c r="V282" s="28">
        <f>Parameters!T142</f>
        <v>0</v>
      </c>
      <c r="W282" s="27">
        <f>Parameters!U142</f>
        <v>0</v>
      </c>
      <c r="X282" s="28">
        <f>Parameters!V142</f>
        <v>0</v>
      </c>
      <c r="Y282" s="25">
        <f>Parameters!W142</f>
        <v>0</v>
      </c>
      <c r="Z282" s="23">
        <f>Parameters!X142</f>
        <v>0</v>
      </c>
      <c r="AA282" s="27">
        <f>Parameters!Y142</f>
        <v>0</v>
      </c>
      <c r="AB282" s="28">
        <f>Parameters!Z142</f>
        <v>0</v>
      </c>
      <c r="AC282" s="23">
        <f>Parameters!AA142</f>
        <v>0</v>
      </c>
    </row>
    <row r="283" spans="1:29">
      <c r="A283" s="29" t="str">
        <f>UPPER(A282)</f>
        <v>0</v>
      </c>
      <c r="B283" s="29">
        <f>B282</f>
        <v>0</v>
      </c>
      <c r="C283" s="30">
        <f>C282</f>
        <v>0</v>
      </c>
      <c r="D283" s="30">
        <f>D282</f>
        <v>0</v>
      </c>
      <c r="E283" s="29">
        <f>E282</f>
        <v>0</v>
      </c>
      <c r="F283" s="29">
        <f>F282</f>
        <v>0</v>
      </c>
      <c r="G283" s="29" t="e">
        <f>IF(C282=1,IF(D282="BUY",E282+(ROUND(F282*G282/B282,0)*B282),E282-(ROUND(F282*G282/B282,0)*B282)),IF(D282="BUY",E282-(ROUND(F282*G282/B282,0)*B282),E282+(ROUND(F282*G282/B282,0)*B282)))</f>
        <v>#DIV/0!</v>
      </c>
      <c r="H283" s="29" t="e">
        <f>IF(C282=1,IF(D282="BUY",G283-(ROUND(F282*H282/B282,0)*B282),G283+(ROUND(F282*H282/B282,0)*B282)),IF(D282="BUY",G283+(ROUND(F282*H282/B282,0)*B282),G283-(ROUND(F282*H282/B282,0)*B282)))</f>
        <v>#DIV/0!</v>
      </c>
      <c r="I283" s="29" t="e">
        <f>IF(D282="BUY",G283+(ROUND(F282*I282/(B282*100),0)*B282),G283-(ROUND(F282*I282/(B282*100),0)*B282))</f>
        <v>#DIV/0!</v>
      </c>
      <c r="J283" s="29" t="e">
        <f>IF(C282=1,IF(D282="BUY",E282+(ROUND(F282*J282/B282,0)*B282),E282-(ROUND(F282*J282/B282,0)*B282)),IF(D282="BUY",E282-(ROUND(F282*J282/B282,0)*B282),E282+(ROUND(F282*J282/B282,0)*B282)))</f>
        <v>#DIV/0!</v>
      </c>
      <c r="K283" s="29" t="e">
        <f>IF(C282=1,IF(D282="BUY",E282-(ROUND(F282*K282/B282,0)*B282),E282+(ROUND(F282*K282/B282,0)*B282)),IF(D282="BUY",E282-(ROUND(F282*K282/B282,0)*B282),E282+(ROUND(F282*K282/B282,0)*B282)))</f>
        <v>#DIV/0!</v>
      </c>
      <c r="L283" s="29" t="e">
        <f t="shared" ref="L283" si="419">IF(D283="BUY",I283+(R283*B283),I283-(R283*B283))</f>
        <v>#DIV/0!</v>
      </c>
      <c r="M283" s="29" t="e">
        <f>IF(D282="BUY",E282+(ROUND(F282*M282/B282,0)*B282),E282-(ROUND(F282*M282/B282,0)*B282))</f>
        <v>#DIV/0!</v>
      </c>
      <c r="N283" s="29" t="e">
        <f>IF(D282="BUY",E282-(ROUND(F282*N282/B282,0)*B282),E282+(ROUND(F282*N282/B282,0)*B282))</f>
        <v>#DIV/0!</v>
      </c>
      <c r="O283" s="31" t="e">
        <f>IF(D283="BUY",N283-VLOOKUP(A283,Symbols!A$1:D$1000,4,FALSE),N283+VLOOKUP(A283,Symbols!A$1:D$1000,4,FALSE))</f>
        <v>#DIV/0!</v>
      </c>
      <c r="P283" s="29">
        <f>P282</f>
        <v>0</v>
      </c>
      <c r="Q283" s="29">
        <f>Q282</f>
        <v>0</v>
      </c>
      <c r="R283" s="29">
        <f>R282</f>
        <v>0</v>
      </c>
      <c r="S283" s="29">
        <f>S282</f>
        <v>0</v>
      </c>
      <c r="T283" s="29">
        <f>T282</f>
        <v>0</v>
      </c>
      <c r="U283" s="29" t="e">
        <f>DATEDIF(DATE(1970,1,1),U282,"D")*86400</f>
        <v>#NUM!</v>
      </c>
      <c r="V283" s="29">
        <f>HOUR(V282)*3600+MINUTE(V282)*60+SECOND(V282)</f>
        <v>0</v>
      </c>
      <c r="W283" s="29" t="e">
        <f>DATEDIF(DATE(1970,1,1),W282,"D")*86400</f>
        <v>#NUM!</v>
      </c>
      <c r="X283" s="29">
        <f>HOUR(X282)*3600+MINUTE(X282)*60+SECOND(X282)</f>
        <v>0</v>
      </c>
      <c r="Y283" s="31">
        <f>(Y282*B283)</f>
        <v>0</v>
      </c>
      <c r="Z283" s="29">
        <f>Z282</f>
        <v>0</v>
      </c>
      <c r="AA283" s="29" t="e">
        <f>DATEDIF(DATE(1970,1,1),AA282,"D")*86400</f>
        <v>#NUM!</v>
      </c>
      <c r="AB283" s="29">
        <f>HOUR(AB282)*3600+MINUTE(AB282)*60+SECOND(AB282)</f>
        <v>0</v>
      </c>
      <c r="AC283" s="29">
        <f>AC282</f>
        <v>0</v>
      </c>
    </row>
    <row r="284" spans="1:29">
      <c r="A284" s="23">
        <f>Parameters!A143</f>
        <v>0</v>
      </c>
      <c r="B284" s="23">
        <f>Parameters!B143</f>
        <v>0</v>
      </c>
      <c r="C284" s="24">
        <f>Parameters!C143</f>
        <v>0</v>
      </c>
      <c r="D284" s="24">
        <f>Parameters!D143</f>
        <v>0</v>
      </c>
      <c r="E284" s="23">
        <f>Parameters!E143</f>
        <v>0</v>
      </c>
      <c r="F284" s="23">
        <f>Parameters!F143</f>
        <v>0</v>
      </c>
      <c r="G284" s="25">
        <f>Parameters!G143</f>
        <v>0</v>
      </c>
      <c r="H284" s="25">
        <f>Parameters!H143</f>
        <v>0</v>
      </c>
      <c r="I284" s="25">
        <f>Parameters!I143</f>
        <v>0</v>
      </c>
      <c r="J284" s="25">
        <f>Parameters!J143</f>
        <v>0</v>
      </c>
      <c r="K284" s="25">
        <f>Parameters!K143</f>
        <v>0</v>
      </c>
      <c r="L284" s="26" t="e">
        <f t="shared" ref="L284" si="420">L285</f>
        <v>#DIV/0!</v>
      </c>
      <c r="M284" s="25">
        <f>Parameters!L143</f>
        <v>0</v>
      </c>
      <c r="N284" s="25">
        <f>Parameters!M143</f>
        <v>0</v>
      </c>
      <c r="O284" s="26" t="e">
        <f t="shared" ref="O284" si="421">O285</f>
        <v>#DIV/0!</v>
      </c>
      <c r="P284" s="23">
        <f>Parameters!N143</f>
        <v>0</v>
      </c>
      <c r="Q284" s="23">
        <f>Parameters!O143</f>
        <v>0</v>
      </c>
      <c r="R284" s="23">
        <f>Parameters!P143</f>
        <v>0</v>
      </c>
      <c r="S284" s="23">
        <f>Parameters!Q143</f>
        <v>0</v>
      </c>
      <c r="T284" s="23">
        <f>Parameters!R143</f>
        <v>0</v>
      </c>
      <c r="U284" s="27">
        <f>Parameters!S143</f>
        <v>0</v>
      </c>
      <c r="V284" s="28">
        <f>Parameters!T143</f>
        <v>0</v>
      </c>
      <c r="W284" s="27">
        <f>Parameters!U143</f>
        <v>0</v>
      </c>
      <c r="X284" s="28">
        <f>Parameters!V143</f>
        <v>0</v>
      </c>
      <c r="Y284" s="25">
        <f>Parameters!W143</f>
        <v>0</v>
      </c>
      <c r="Z284" s="23">
        <f>Parameters!X143</f>
        <v>0</v>
      </c>
      <c r="AA284" s="27">
        <f>Parameters!Y143</f>
        <v>0</v>
      </c>
      <c r="AB284" s="28">
        <f>Parameters!Z143</f>
        <v>0</v>
      </c>
      <c r="AC284" s="23">
        <f>Parameters!AA143</f>
        <v>0</v>
      </c>
    </row>
    <row r="285" spans="1:29">
      <c r="A285" s="29" t="str">
        <f>UPPER(A284)</f>
        <v>0</v>
      </c>
      <c r="B285" s="29">
        <f>B284</f>
        <v>0</v>
      </c>
      <c r="C285" s="30">
        <f>C284</f>
        <v>0</v>
      </c>
      <c r="D285" s="30">
        <f>D284</f>
        <v>0</v>
      </c>
      <c r="E285" s="29">
        <f>E284</f>
        <v>0</v>
      </c>
      <c r="F285" s="29">
        <f>F284</f>
        <v>0</v>
      </c>
      <c r="G285" s="29" t="e">
        <f>IF(C284=1,IF(D284="BUY",E284+(ROUND(F284*G284/B284,0)*B284),E284-(ROUND(F284*G284/B284,0)*B284)),IF(D284="BUY",E284-(ROUND(F284*G284/B284,0)*B284),E284+(ROUND(F284*G284/B284,0)*B284)))</f>
        <v>#DIV/0!</v>
      </c>
      <c r="H285" s="29" t="e">
        <f>IF(C284=1,IF(D284="BUY",G285-(ROUND(F284*H284/B284,0)*B284),G285+(ROUND(F284*H284/B284,0)*B284)),IF(D284="BUY",G285+(ROUND(F284*H284/B284,0)*B284),G285-(ROUND(F284*H284/B284,0)*B284)))</f>
        <v>#DIV/0!</v>
      </c>
      <c r="I285" s="29" t="e">
        <f>IF(D284="BUY",G285+(ROUND(F284*I284/(B284*100),0)*B284),G285-(ROUND(F284*I284/(B284*100),0)*B284))</f>
        <v>#DIV/0!</v>
      </c>
      <c r="J285" s="29" t="e">
        <f>IF(C284=1,IF(D284="BUY",E284+(ROUND(F284*J284/B284,0)*B284),E284-(ROUND(F284*J284/B284,0)*B284)),IF(D284="BUY",E284-(ROUND(F284*J284/B284,0)*B284),E284+(ROUND(F284*J284/B284,0)*B284)))</f>
        <v>#DIV/0!</v>
      </c>
      <c r="K285" s="29" t="e">
        <f>IF(C284=1,IF(D284="BUY",E284-(ROUND(F284*K284/B284,0)*B284),E284+(ROUND(F284*K284/B284,0)*B284)),IF(D284="BUY",E284-(ROUND(F284*K284/B284,0)*B284),E284+(ROUND(F284*K284/B284,0)*B284)))</f>
        <v>#DIV/0!</v>
      </c>
      <c r="L285" s="29" t="e">
        <f t="shared" ref="L285" si="422">IF(D285="BUY",I285+(R285*B285),I285-(R285*B285))</f>
        <v>#DIV/0!</v>
      </c>
      <c r="M285" s="29" t="e">
        <f>IF(D284="BUY",E284+(ROUND(F284*M284/B284,0)*B284),E284-(ROUND(F284*M284/B284,0)*B284))</f>
        <v>#DIV/0!</v>
      </c>
      <c r="N285" s="29" t="e">
        <f>IF(D284="BUY",E284-(ROUND(F284*N284/B284,0)*B284),E284+(ROUND(F284*N284/B284,0)*B284))</f>
        <v>#DIV/0!</v>
      </c>
      <c r="O285" s="31" t="e">
        <f>IF(D285="BUY",N285-VLOOKUP(A285,Symbols!A$1:D$1000,4,FALSE),N285+VLOOKUP(A285,Symbols!A$1:D$1000,4,FALSE))</f>
        <v>#DIV/0!</v>
      </c>
      <c r="P285" s="29">
        <f>P284</f>
        <v>0</v>
      </c>
      <c r="Q285" s="29">
        <f>Q284</f>
        <v>0</v>
      </c>
      <c r="R285" s="29">
        <f>R284</f>
        <v>0</v>
      </c>
      <c r="S285" s="29">
        <f>S284</f>
        <v>0</v>
      </c>
      <c r="T285" s="29">
        <f>T284</f>
        <v>0</v>
      </c>
      <c r="U285" s="29" t="e">
        <f>DATEDIF(DATE(1970,1,1),U284,"D")*86400</f>
        <v>#NUM!</v>
      </c>
      <c r="V285" s="29">
        <f>HOUR(V284)*3600+MINUTE(V284)*60+SECOND(V284)</f>
        <v>0</v>
      </c>
      <c r="W285" s="29" t="e">
        <f>DATEDIF(DATE(1970,1,1),W284,"D")*86400</f>
        <v>#NUM!</v>
      </c>
      <c r="X285" s="29">
        <f>HOUR(X284)*3600+MINUTE(X284)*60+SECOND(X284)</f>
        <v>0</v>
      </c>
      <c r="Y285" s="31">
        <f>(Y284*B285)</f>
        <v>0</v>
      </c>
      <c r="Z285" s="29">
        <f>Z284</f>
        <v>0</v>
      </c>
      <c r="AA285" s="29" t="e">
        <f>DATEDIF(DATE(1970,1,1),AA284,"D")*86400</f>
        <v>#NUM!</v>
      </c>
      <c r="AB285" s="29">
        <f>HOUR(AB284)*3600+MINUTE(AB284)*60+SECOND(AB284)</f>
        <v>0</v>
      </c>
      <c r="AC285" s="29">
        <f>AC284</f>
        <v>0</v>
      </c>
    </row>
    <row r="286" spans="1:29">
      <c r="A286" s="23">
        <f>Parameters!A144</f>
        <v>0</v>
      </c>
      <c r="B286" s="23">
        <f>Parameters!B144</f>
        <v>0</v>
      </c>
      <c r="C286" s="24">
        <f>Parameters!C144</f>
        <v>0</v>
      </c>
      <c r="D286" s="24">
        <f>Parameters!D144</f>
        <v>0</v>
      </c>
      <c r="E286" s="23">
        <f>Parameters!E144</f>
        <v>0</v>
      </c>
      <c r="F286" s="23">
        <f>Parameters!F144</f>
        <v>0</v>
      </c>
      <c r="G286" s="25">
        <f>Parameters!G144</f>
        <v>0</v>
      </c>
      <c r="H286" s="25">
        <f>Parameters!H144</f>
        <v>0</v>
      </c>
      <c r="I286" s="25">
        <f>Parameters!I144</f>
        <v>0</v>
      </c>
      <c r="J286" s="25">
        <f>Parameters!J144</f>
        <v>0</v>
      </c>
      <c r="K286" s="25">
        <f>Parameters!K144</f>
        <v>0</v>
      </c>
      <c r="L286" s="26" t="e">
        <f t="shared" ref="L286" si="423">L287</f>
        <v>#DIV/0!</v>
      </c>
      <c r="M286" s="25">
        <f>Parameters!L144</f>
        <v>0</v>
      </c>
      <c r="N286" s="25">
        <f>Parameters!M144</f>
        <v>0</v>
      </c>
      <c r="O286" s="26" t="e">
        <f t="shared" ref="O286" si="424">O287</f>
        <v>#DIV/0!</v>
      </c>
      <c r="P286" s="23">
        <f>Parameters!N144</f>
        <v>0</v>
      </c>
      <c r="Q286" s="23">
        <f>Parameters!O144</f>
        <v>0</v>
      </c>
      <c r="R286" s="23">
        <f>Parameters!P144</f>
        <v>0</v>
      </c>
      <c r="S286" s="23">
        <f>Parameters!Q144</f>
        <v>0</v>
      </c>
      <c r="T286" s="23">
        <f>Parameters!R144</f>
        <v>0</v>
      </c>
      <c r="U286" s="27">
        <f>Parameters!S144</f>
        <v>0</v>
      </c>
      <c r="V286" s="28">
        <f>Parameters!T144</f>
        <v>0</v>
      </c>
      <c r="W286" s="27">
        <f>Parameters!U144</f>
        <v>0</v>
      </c>
      <c r="X286" s="28">
        <f>Parameters!V144</f>
        <v>0</v>
      </c>
      <c r="Y286" s="25">
        <f>Parameters!W144</f>
        <v>0</v>
      </c>
      <c r="Z286" s="23">
        <f>Parameters!X144</f>
        <v>0</v>
      </c>
      <c r="AA286" s="27">
        <f>Parameters!Y144</f>
        <v>0</v>
      </c>
      <c r="AB286" s="28">
        <f>Parameters!Z144</f>
        <v>0</v>
      </c>
      <c r="AC286" s="23">
        <f>Parameters!AA144</f>
        <v>0</v>
      </c>
    </row>
    <row r="287" spans="1:29">
      <c r="A287" s="29" t="str">
        <f>UPPER(A286)</f>
        <v>0</v>
      </c>
      <c r="B287" s="29">
        <f>B286</f>
        <v>0</v>
      </c>
      <c r="C287" s="30">
        <f>C286</f>
        <v>0</v>
      </c>
      <c r="D287" s="30">
        <f>D286</f>
        <v>0</v>
      </c>
      <c r="E287" s="29">
        <f>E286</f>
        <v>0</v>
      </c>
      <c r="F287" s="29">
        <f>F286</f>
        <v>0</v>
      </c>
      <c r="G287" s="29" t="e">
        <f>IF(C286=1,IF(D286="BUY",E286+(ROUND(F286*G286/B286,0)*B286),E286-(ROUND(F286*G286/B286,0)*B286)),IF(D286="BUY",E286-(ROUND(F286*G286/B286,0)*B286),E286+(ROUND(F286*G286/B286,0)*B286)))</f>
        <v>#DIV/0!</v>
      </c>
      <c r="H287" s="29" t="e">
        <f>IF(C286=1,IF(D286="BUY",G287-(ROUND(F286*H286/B286,0)*B286),G287+(ROUND(F286*H286/B286,0)*B286)),IF(D286="BUY",G287+(ROUND(F286*H286/B286,0)*B286),G287-(ROUND(F286*H286/B286,0)*B286)))</f>
        <v>#DIV/0!</v>
      </c>
      <c r="I287" s="29" t="e">
        <f>IF(D286="BUY",G287+(ROUND(F286*I286/(B286*100),0)*B286),G287-(ROUND(F286*I286/(B286*100),0)*B286))</f>
        <v>#DIV/0!</v>
      </c>
      <c r="J287" s="29" t="e">
        <f>IF(C286=1,IF(D286="BUY",E286+(ROUND(F286*J286/B286,0)*B286),E286-(ROUND(F286*J286/B286,0)*B286)),IF(D286="BUY",E286-(ROUND(F286*J286/B286,0)*B286),E286+(ROUND(F286*J286/B286,0)*B286)))</f>
        <v>#DIV/0!</v>
      </c>
      <c r="K287" s="29" t="e">
        <f>IF(C286=1,IF(D286="BUY",E286-(ROUND(F286*K286/B286,0)*B286),E286+(ROUND(F286*K286/B286,0)*B286)),IF(D286="BUY",E286-(ROUND(F286*K286/B286,0)*B286),E286+(ROUND(F286*K286/B286,0)*B286)))</f>
        <v>#DIV/0!</v>
      </c>
      <c r="L287" s="29" t="e">
        <f t="shared" ref="L287" si="425">IF(D287="BUY",I287+(R287*B287),I287-(R287*B287))</f>
        <v>#DIV/0!</v>
      </c>
      <c r="M287" s="29" t="e">
        <f>IF(D286="BUY",E286+(ROUND(F286*M286/B286,0)*B286),E286-(ROUND(F286*M286/B286,0)*B286))</f>
        <v>#DIV/0!</v>
      </c>
      <c r="N287" s="29" t="e">
        <f>IF(D286="BUY",E286-(ROUND(F286*N286/B286,0)*B286),E286+(ROUND(F286*N286/B286,0)*B286))</f>
        <v>#DIV/0!</v>
      </c>
      <c r="O287" s="31" t="e">
        <f>IF(D287="BUY",N287-VLOOKUP(A287,Symbols!A$1:D$1000,4,FALSE),N287+VLOOKUP(A287,Symbols!A$1:D$1000,4,FALSE))</f>
        <v>#DIV/0!</v>
      </c>
      <c r="P287" s="29">
        <f>P286</f>
        <v>0</v>
      </c>
      <c r="Q287" s="29">
        <f>Q286</f>
        <v>0</v>
      </c>
      <c r="R287" s="29">
        <f>R286</f>
        <v>0</v>
      </c>
      <c r="S287" s="29">
        <f>S286</f>
        <v>0</v>
      </c>
      <c r="T287" s="29">
        <f>T286</f>
        <v>0</v>
      </c>
      <c r="U287" s="29" t="e">
        <f>DATEDIF(DATE(1970,1,1),U286,"D")*86400</f>
        <v>#NUM!</v>
      </c>
      <c r="V287" s="29">
        <f>HOUR(V286)*3600+MINUTE(V286)*60+SECOND(V286)</f>
        <v>0</v>
      </c>
      <c r="W287" s="29" t="e">
        <f>DATEDIF(DATE(1970,1,1),W286,"D")*86400</f>
        <v>#NUM!</v>
      </c>
      <c r="X287" s="29">
        <f>HOUR(X286)*3600+MINUTE(X286)*60+SECOND(X286)</f>
        <v>0</v>
      </c>
      <c r="Y287" s="31">
        <f>(Y286*B287)</f>
        <v>0</v>
      </c>
      <c r="Z287" s="29">
        <f>Z286</f>
        <v>0</v>
      </c>
      <c r="AA287" s="29" t="e">
        <f>DATEDIF(DATE(1970,1,1),AA286,"D")*86400</f>
        <v>#NUM!</v>
      </c>
      <c r="AB287" s="29">
        <f>HOUR(AB286)*3600+MINUTE(AB286)*60+SECOND(AB286)</f>
        <v>0</v>
      </c>
      <c r="AC287" s="29">
        <f>AC286</f>
        <v>0</v>
      </c>
    </row>
    <row r="288" spans="1:29">
      <c r="A288" s="23">
        <f>Parameters!A145</f>
        <v>0</v>
      </c>
      <c r="B288" s="23">
        <f>Parameters!B145</f>
        <v>0</v>
      </c>
      <c r="C288" s="24">
        <f>Parameters!C145</f>
        <v>0</v>
      </c>
      <c r="D288" s="24">
        <f>Parameters!D145</f>
        <v>0</v>
      </c>
      <c r="E288" s="23">
        <f>Parameters!E145</f>
        <v>0</v>
      </c>
      <c r="F288" s="23">
        <f>Parameters!F145</f>
        <v>0</v>
      </c>
      <c r="G288" s="25">
        <f>Parameters!G145</f>
        <v>0</v>
      </c>
      <c r="H288" s="25">
        <f>Parameters!H145</f>
        <v>0</v>
      </c>
      <c r="I288" s="25">
        <f>Parameters!I145</f>
        <v>0</v>
      </c>
      <c r="J288" s="25">
        <f>Parameters!J145</f>
        <v>0</v>
      </c>
      <c r="K288" s="25">
        <f>Parameters!K145</f>
        <v>0</v>
      </c>
      <c r="L288" s="26" t="e">
        <f t="shared" ref="L288" si="426">L289</f>
        <v>#DIV/0!</v>
      </c>
      <c r="M288" s="25">
        <f>Parameters!L145</f>
        <v>0</v>
      </c>
      <c r="N288" s="25">
        <f>Parameters!M145</f>
        <v>0</v>
      </c>
      <c r="O288" s="26" t="e">
        <f t="shared" ref="O288" si="427">O289</f>
        <v>#DIV/0!</v>
      </c>
      <c r="P288" s="23">
        <f>Parameters!N145</f>
        <v>0</v>
      </c>
      <c r="Q288" s="23">
        <f>Parameters!O145</f>
        <v>0</v>
      </c>
      <c r="R288" s="23">
        <f>Parameters!P145</f>
        <v>0</v>
      </c>
      <c r="S288" s="23">
        <f>Parameters!Q145</f>
        <v>0</v>
      </c>
      <c r="T288" s="23">
        <f>Parameters!R145</f>
        <v>0</v>
      </c>
      <c r="U288" s="27">
        <f>Parameters!S145</f>
        <v>0</v>
      </c>
      <c r="V288" s="28">
        <f>Parameters!T145</f>
        <v>0</v>
      </c>
      <c r="W288" s="27">
        <f>Parameters!U145</f>
        <v>0</v>
      </c>
      <c r="X288" s="28">
        <f>Parameters!V145</f>
        <v>0</v>
      </c>
      <c r="Y288" s="25">
        <f>Parameters!W145</f>
        <v>0</v>
      </c>
      <c r="Z288" s="23">
        <f>Parameters!X145</f>
        <v>0</v>
      </c>
      <c r="AA288" s="27">
        <f>Parameters!Y145</f>
        <v>0</v>
      </c>
      <c r="AB288" s="28">
        <f>Parameters!Z145</f>
        <v>0</v>
      </c>
      <c r="AC288" s="23">
        <f>Parameters!AA145</f>
        <v>0</v>
      </c>
    </row>
    <row r="289" spans="1:29">
      <c r="A289" s="29" t="str">
        <f>UPPER(A288)</f>
        <v>0</v>
      </c>
      <c r="B289" s="29">
        <f>B288</f>
        <v>0</v>
      </c>
      <c r="C289" s="30">
        <f>C288</f>
        <v>0</v>
      </c>
      <c r="D289" s="30">
        <f>D288</f>
        <v>0</v>
      </c>
      <c r="E289" s="29">
        <f>E288</f>
        <v>0</v>
      </c>
      <c r="F289" s="29">
        <f>F288</f>
        <v>0</v>
      </c>
      <c r="G289" s="29" t="e">
        <f>IF(C288=1,IF(D288="BUY",E288+(ROUND(F288*G288/B288,0)*B288),E288-(ROUND(F288*G288/B288,0)*B288)),IF(D288="BUY",E288-(ROUND(F288*G288/B288,0)*B288),E288+(ROUND(F288*G288/B288,0)*B288)))</f>
        <v>#DIV/0!</v>
      </c>
      <c r="H289" s="29" t="e">
        <f>IF(C288=1,IF(D288="BUY",G289-(ROUND(F288*H288/B288,0)*B288),G289+(ROUND(F288*H288/B288,0)*B288)),IF(D288="BUY",G289+(ROUND(F288*H288/B288,0)*B288),G289-(ROUND(F288*H288/B288,0)*B288)))</f>
        <v>#DIV/0!</v>
      </c>
      <c r="I289" s="29" t="e">
        <f>IF(D288="BUY",G289+(ROUND(F288*I288/(B288*100),0)*B288),G289-(ROUND(F288*I288/(B288*100),0)*B288))</f>
        <v>#DIV/0!</v>
      </c>
      <c r="J289" s="29" t="e">
        <f>IF(C288=1,IF(D288="BUY",E288+(ROUND(F288*J288/B288,0)*B288),E288-(ROUND(F288*J288/B288,0)*B288)),IF(D288="BUY",E288-(ROUND(F288*J288/B288,0)*B288),E288+(ROUND(F288*J288/B288,0)*B288)))</f>
        <v>#DIV/0!</v>
      </c>
      <c r="K289" s="29" t="e">
        <f>IF(C288=1,IF(D288="BUY",E288-(ROUND(F288*K288/B288,0)*B288),E288+(ROUND(F288*K288/B288,0)*B288)),IF(D288="BUY",E288-(ROUND(F288*K288/B288,0)*B288),E288+(ROUND(F288*K288/B288,0)*B288)))</f>
        <v>#DIV/0!</v>
      </c>
      <c r="L289" s="29" t="e">
        <f t="shared" ref="L289" si="428">IF(D289="BUY",I289+(R289*B289),I289-(R289*B289))</f>
        <v>#DIV/0!</v>
      </c>
      <c r="M289" s="29" t="e">
        <f>IF(D288="BUY",E288+(ROUND(F288*M288/B288,0)*B288),E288-(ROUND(F288*M288/B288,0)*B288))</f>
        <v>#DIV/0!</v>
      </c>
      <c r="N289" s="29" t="e">
        <f>IF(D288="BUY",E288-(ROUND(F288*N288/B288,0)*B288),E288+(ROUND(F288*N288/B288,0)*B288))</f>
        <v>#DIV/0!</v>
      </c>
      <c r="O289" s="31" t="e">
        <f>IF(D289="BUY",N289-VLOOKUP(A289,Symbols!A$1:D$1000,4,FALSE),N289+VLOOKUP(A289,Symbols!A$1:D$1000,4,FALSE))</f>
        <v>#DIV/0!</v>
      </c>
      <c r="P289" s="29">
        <f>P288</f>
        <v>0</v>
      </c>
      <c r="Q289" s="29">
        <f>Q288</f>
        <v>0</v>
      </c>
      <c r="R289" s="29">
        <f>R288</f>
        <v>0</v>
      </c>
      <c r="S289" s="29">
        <f>S288</f>
        <v>0</v>
      </c>
      <c r="T289" s="29">
        <f>T288</f>
        <v>0</v>
      </c>
      <c r="U289" s="29" t="e">
        <f>DATEDIF(DATE(1970,1,1),U288,"D")*86400</f>
        <v>#NUM!</v>
      </c>
      <c r="V289" s="29">
        <f>HOUR(V288)*3600+MINUTE(V288)*60+SECOND(V288)</f>
        <v>0</v>
      </c>
      <c r="W289" s="29" t="e">
        <f>DATEDIF(DATE(1970,1,1),W288,"D")*86400</f>
        <v>#NUM!</v>
      </c>
      <c r="X289" s="29">
        <f>HOUR(X288)*3600+MINUTE(X288)*60+SECOND(X288)</f>
        <v>0</v>
      </c>
      <c r="Y289" s="31">
        <f>(Y288*B289)</f>
        <v>0</v>
      </c>
      <c r="Z289" s="29">
        <f>Z288</f>
        <v>0</v>
      </c>
      <c r="AA289" s="29" t="e">
        <f>DATEDIF(DATE(1970,1,1),AA288,"D")*86400</f>
        <v>#NUM!</v>
      </c>
      <c r="AB289" s="29">
        <f>HOUR(AB288)*3600+MINUTE(AB288)*60+SECOND(AB288)</f>
        <v>0</v>
      </c>
      <c r="AC289" s="29">
        <f>AC288</f>
        <v>0</v>
      </c>
    </row>
    <row r="290" spans="1:29">
      <c r="A290" s="23">
        <f>Parameters!A146</f>
        <v>0</v>
      </c>
      <c r="B290" s="23">
        <f>Parameters!B146</f>
        <v>0</v>
      </c>
      <c r="C290" s="24">
        <f>Parameters!C146</f>
        <v>0</v>
      </c>
      <c r="D290" s="24">
        <f>Parameters!D146</f>
        <v>0</v>
      </c>
      <c r="E290" s="23">
        <f>Parameters!E146</f>
        <v>0</v>
      </c>
      <c r="F290" s="23">
        <f>Parameters!F146</f>
        <v>0</v>
      </c>
      <c r="G290" s="25">
        <f>Parameters!G146</f>
        <v>0</v>
      </c>
      <c r="H290" s="25">
        <f>Parameters!H146</f>
        <v>0</v>
      </c>
      <c r="I290" s="25">
        <f>Parameters!I146</f>
        <v>0</v>
      </c>
      <c r="J290" s="25">
        <f>Parameters!J146</f>
        <v>0</v>
      </c>
      <c r="K290" s="25">
        <f>Parameters!K146</f>
        <v>0</v>
      </c>
      <c r="L290" s="26" t="e">
        <f t="shared" ref="L290" si="429">L291</f>
        <v>#DIV/0!</v>
      </c>
      <c r="M290" s="25">
        <f>Parameters!L146</f>
        <v>0</v>
      </c>
      <c r="N290" s="25">
        <f>Parameters!M146</f>
        <v>0</v>
      </c>
      <c r="O290" s="26" t="e">
        <f t="shared" ref="O290" si="430">O291</f>
        <v>#DIV/0!</v>
      </c>
      <c r="P290" s="23">
        <f>Parameters!N146</f>
        <v>0</v>
      </c>
      <c r="Q290" s="23">
        <f>Parameters!O146</f>
        <v>0</v>
      </c>
      <c r="R290" s="23">
        <f>Parameters!P146</f>
        <v>0</v>
      </c>
      <c r="S290" s="23">
        <f>Parameters!Q146</f>
        <v>0</v>
      </c>
      <c r="T290" s="23">
        <f>Parameters!R146</f>
        <v>0</v>
      </c>
      <c r="U290" s="27">
        <f>Parameters!S146</f>
        <v>0</v>
      </c>
      <c r="V290" s="28">
        <f>Parameters!T146</f>
        <v>0</v>
      </c>
      <c r="W290" s="27">
        <f>Parameters!U146</f>
        <v>0</v>
      </c>
      <c r="X290" s="28">
        <f>Parameters!V146</f>
        <v>0</v>
      </c>
      <c r="Y290" s="25">
        <f>Parameters!W146</f>
        <v>0</v>
      </c>
      <c r="Z290" s="23">
        <f>Parameters!X146</f>
        <v>0</v>
      </c>
      <c r="AA290" s="27">
        <f>Parameters!Y146</f>
        <v>0</v>
      </c>
      <c r="AB290" s="28">
        <f>Parameters!Z146</f>
        <v>0</v>
      </c>
      <c r="AC290" s="23">
        <f>Parameters!AA146</f>
        <v>0</v>
      </c>
    </row>
    <row r="291" spans="1:29">
      <c r="A291" s="29" t="str">
        <f>UPPER(A290)</f>
        <v>0</v>
      </c>
      <c r="B291" s="29">
        <f>B290</f>
        <v>0</v>
      </c>
      <c r="C291" s="30">
        <f>C290</f>
        <v>0</v>
      </c>
      <c r="D291" s="30">
        <f>D290</f>
        <v>0</v>
      </c>
      <c r="E291" s="29">
        <f>E290</f>
        <v>0</v>
      </c>
      <c r="F291" s="29">
        <f>F290</f>
        <v>0</v>
      </c>
      <c r="G291" s="29" t="e">
        <f>IF(C290=1,IF(D290="BUY",E290+(ROUND(F290*G290/B290,0)*B290),E290-(ROUND(F290*G290/B290,0)*B290)),IF(D290="BUY",E290-(ROUND(F290*G290/B290,0)*B290),E290+(ROUND(F290*G290/B290,0)*B290)))</f>
        <v>#DIV/0!</v>
      </c>
      <c r="H291" s="29" t="e">
        <f>IF(C290=1,IF(D290="BUY",G291-(ROUND(F290*H290/B290,0)*B290),G291+(ROUND(F290*H290/B290,0)*B290)),IF(D290="BUY",G291+(ROUND(F290*H290/B290,0)*B290),G291-(ROUND(F290*H290/B290,0)*B290)))</f>
        <v>#DIV/0!</v>
      </c>
      <c r="I291" s="29" t="e">
        <f>IF(D290="BUY",G291+(ROUND(F290*I290/(B290*100),0)*B290),G291-(ROUND(F290*I290/(B290*100),0)*B290))</f>
        <v>#DIV/0!</v>
      </c>
      <c r="J291" s="29" t="e">
        <f>IF(C290=1,IF(D290="BUY",E290+(ROUND(F290*J290/B290,0)*B290),E290-(ROUND(F290*J290/B290,0)*B290)),IF(D290="BUY",E290-(ROUND(F290*J290/B290,0)*B290),E290+(ROUND(F290*J290/B290,0)*B290)))</f>
        <v>#DIV/0!</v>
      </c>
      <c r="K291" s="29" t="e">
        <f>IF(C290=1,IF(D290="BUY",E290-(ROUND(F290*K290/B290,0)*B290),E290+(ROUND(F290*K290/B290,0)*B290)),IF(D290="BUY",E290-(ROUND(F290*K290/B290,0)*B290),E290+(ROUND(F290*K290/B290,0)*B290)))</f>
        <v>#DIV/0!</v>
      </c>
      <c r="L291" s="29" t="e">
        <f t="shared" ref="L291" si="431">IF(D291="BUY",I291+(R291*B291),I291-(R291*B291))</f>
        <v>#DIV/0!</v>
      </c>
      <c r="M291" s="29" t="e">
        <f>IF(D290="BUY",E290+(ROUND(F290*M290/B290,0)*B290),E290-(ROUND(F290*M290/B290,0)*B290))</f>
        <v>#DIV/0!</v>
      </c>
      <c r="N291" s="29" t="e">
        <f>IF(D290="BUY",E290-(ROUND(F290*N290/B290,0)*B290),E290+(ROUND(F290*N290/B290,0)*B290))</f>
        <v>#DIV/0!</v>
      </c>
      <c r="O291" s="31" t="e">
        <f>IF(D291="BUY",N291-VLOOKUP(A291,Symbols!A$1:D$1000,4,FALSE),N291+VLOOKUP(A291,Symbols!A$1:D$1000,4,FALSE))</f>
        <v>#DIV/0!</v>
      </c>
      <c r="P291" s="29">
        <f>P290</f>
        <v>0</v>
      </c>
      <c r="Q291" s="29">
        <f>Q290</f>
        <v>0</v>
      </c>
      <c r="R291" s="29">
        <f>R290</f>
        <v>0</v>
      </c>
      <c r="S291" s="29">
        <f>S290</f>
        <v>0</v>
      </c>
      <c r="T291" s="29">
        <f>T290</f>
        <v>0</v>
      </c>
      <c r="U291" s="29" t="e">
        <f>DATEDIF(DATE(1970,1,1),U290,"D")*86400</f>
        <v>#NUM!</v>
      </c>
      <c r="V291" s="29">
        <f>HOUR(V290)*3600+MINUTE(V290)*60+SECOND(V290)</f>
        <v>0</v>
      </c>
      <c r="W291" s="29" t="e">
        <f>DATEDIF(DATE(1970,1,1),W290,"D")*86400</f>
        <v>#NUM!</v>
      </c>
      <c r="X291" s="29">
        <f>HOUR(X290)*3600+MINUTE(X290)*60+SECOND(X290)</f>
        <v>0</v>
      </c>
      <c r="Y291" s="31">
        <f>(Y290*B291)</f>
        <v>0</v>
      </c>
      <c r="Z291" s="29">
        <f>Z290</f>
        <v>0</v>
      </c>
      <c r="AA291" s="29" t="e">
        <f>DATEDIF(DATE(1970,1,1),AA290,"D")*86400</f>
        <v>#NUM!</v>
      </c>
      <c r="AB291" s="29">
        <f>HOUR(AB290)*3600+MINUTE(AB290)*60+SECOND(AB290)</f>
        <v>0</v>
      </c>
      <c r="AC291" s="29">
        <f>AC290</f>
        <v>0</v>
      </c>
    </row>
    <row r="292" spans="1:29">
      <c r="A292" s="23">
        <f>Parameters!A147</f>
        <v>0</v>
      </c>
      <c r="B292" s="23">
        <f>Parameters!B147</f>
        <v>0</v>
      </c>
      <c r="C292" s="24">
        <f>Parameters!C147</f>
        <v>0</v>
      </c>
      <c r="D292" s="24">
        <f>Parameters!D147</f>
        <v>0</v>
      </c>
      <c r="E292" s="23">
        <f>Parameters!E147</f>
        <v>0</v>
      </c>
      <c r="F292" s="23">
        <f>Parameters!F147</f>
        <v>0</v>
      </c>
      <c r="G292" s="25">
        <f>Parameters!G147</f>
        <v>0</v>
      </c>
      <c r="H292" s="25">
        <f>Parameters!H147</f>
        <v>0</v>
      </c>
      <c r="I292" s="25">
        <f>Parameters!I147</f>
        <v>0</v>
      </c>
      <c r="J292" s="25">
        <f>Parameters!J147</f>
        <v>0</v>
      </c>
      <c r="K292" s="25">
        <f>Parameters!K147</f>
        <v>0</v>
      </c>
      <c r="L292" s="26" t="e">
        <f t="shared" ref="L292" si="432">L293</f>
        <v>#DIV/0!</v>
      </c>
      <c r="M292" s="25">
        <f>Parameters!L147</f>
        <v>0</v>
      </c>
      <c r="N292" s="25">
        <f>Parameters!M147</f>
        <v>0</v>
      </c>
      <c r="O292" s="26" t="e">
        <f t="shared" ref="O292" si="433">O293</f>
        <v>#DIV/0!</v>
      </c>
      <c r="P292" s="23">
        <f>Parameters!N147</f>
        <v>0</v>
      </c>
      <c r="Q292" s="23">
        <f>Parameters!O147</f>
        <v>0</v>
      </c>
      <c r="R292" s="23">
        <f>Parameters!P147</f>
        <v>0</v>
      </c>
      <c r="S292" s="23">
        <f>Parameters!Q147</f>
        <v>0</v>
      </c>
      <c r="T292" s="23">
        <f>Parameters!R147</f>
        <v>0</v>
      </c>
      <c r="U292" s="27">
        <f>Parameters!S147</f>
        <v>0</v>
      </c>
      <c r="V292" s="28">
        <f>Parameters!T147</f>
        <v>0</v>
      </c>
      <c r="W292" s="27">
        <f>Parameters!U147</f>
        <v>0</v>
      </c>
      <c r="X292" s="28">
        <f>Parameters!V147</f>
        <v>0</v>
      </c>
      <c r="Y292" s="25">
        <f>Parameters!W147</f>
        <v>0</v>
      </c>
      <c r="Z292" s="23">
        <f>Parameters!X147</f>
        <v>0</v>
      </c>
      <c r="AA292" s="27">
        <f>Parameters!Y147</f>
        <v>0</v>
      </c>
      <c r="AB292" s="28">
        <f>Parameters!Z147</f>
        <v>0</v>
      </c>
      <c r="AC292" s="23">
        <f>Parameters!AA147</f>
        <v>0</v>
      </c>
    </row>
    <row r="293" spans="1:29">
      <c r="A293" s="29" t="str">
        <f>UPPER(A292)</f>
        <v>0</v>
      </c>
      <c r="B293" s="29">
        <f>B292</f>
        <v>0</v>
      </c>
      <c r="C293" s="30">
        <f>C292</f>
        <v>0</v>
      </c>
      <c r="D293" s="30">
        <f>D292</f>
        <v>0</v>
      </c>
      <c r="E293" s="29">
        <f>E292</f>
        <v>0</v>
      </c>
      <c r="F293" s="29">
        <f>F292</f>
        <v>0</v>
      </c>
      <c r="G293" s="29" t="e">
        <f>IF(C292=1,IF(D292="BUY",E292+(ROUND(F292*G292/B292,0)*B292),E292-(ROUND(F292*G292/B292,0)*B292)),IF(D292="BUY",E292-(ROUND(F292*G292/B292,0)*B292),E292+(ROUND(F292*G292/B292,0)*B292)))</f>
        <v>#DIV/0!</v>
      </c>
      <c r="H293" s="29" t="e">
        <f>IF(C292=1,IF(D292="BUY",G293-(ROUND(F292*H292/B292,0)*B292),G293+(ROUND(F292*H292/B292,0)*B292)),IF(D292="BUY",G293+(ROUND(F292*H292/B292,0)*B292),G293-(ROUND(F292*H292/B292,0)*B292)))</f>
        <v>#DIV/0!</v>
      </c>
      <c r="I293" s="29" t="e">
        <f>IF(D292="BUY",G293+(ROUND(F292*I292/(B292*100),0)*B292),G293-(ROUND(F292*I292/(B292*100),0)*B292))</f>
        <v>#DIV/0!</v>
      </c>
      <c r="J293" s="29" t="e">
        <f>IF(C292=1,IF(D292="BUY",E292+(ROUND(F292*J292/B292,0)*B292),E292-(ROUND(F292*J292/B292,0)*B292)),IF(D292="BUY",E292-(ROUND(F292*J292/B292,0)*B292),E292+(ROUND(F292*J292/B292,0)*B292)))</f>
        <v>#DIV/0!</v>
      </c>
      <c r="K293" s="29" t="e">
        <f>IF(C292=1,IF(D292="BUY",E292-(ROUND(F292*K292/B292,0)*B292),E292+(ROUND(F292*K292/B292,0)*B292)),IF(D292="BUY",E292-(ROUND(F292*K292/B292,0)*B292),E292+(ROUND(F292*K292/B292,0)*B292)))</f>
        <v>#DIV/0!</v>
      </c>
      <c r="L293" s="29" t="e">
        <f t="shared" ref="L293" si="434">IF(D293="BUY",I293+(R293*B293),I293-(R293*B293))</f>
        <v>#DIV/0!</v>
      </c>
      <c r="M293" s="29" t="e">
        <f>IF(D292="BUY",E292+(ROUND(F292*M292/B292,0)*B292),E292-(ROUND(F292*M292/B292,0)*B292))</f>
        <v>#DIV/0!</v>
      </c>
      <c r="N293" s="29" t="e">
        <f>IF(D292="BUY",E292-(ROUND(F292*N292/B292,0)*B292),E292+(ROUND(F292*N292/B292,0)*B292))</f>
        <v>#DIV/0!</v>
      </c>
      <c r="O293" s="31" t="e">
        <f>IF(D293="BUY",N293-VLOOKUP(A293,Symbols!A$1:D$1000,4,FALSE),N293+VLOOKUP(A293,Symbols!A$1:D$1000,4,FALSE))</f>
        <v>#DIV/0!</v>
      </c>
      <c r="P293" s="29">
        <f>P292</f>
        <v>0</v>
      </c>
      <c r="Q293" s="29">
        <f>Q292</f>
        <v>0</v>
      </c>
      <c r="R293" s="29">
        <f>R292</f>
        <v>0</v>
      </c>
      <c r="S293" s="29">
        <f>S292</f>
        <v>0</v>
      </c>
      <c r="T293" s="29">
        <f>T292</f>
        <v>0</v>
      </c>
      <c r="U293" s="29" t="e">
        <f>DATEDIF(DATE(1970,1,1),U292,"D")*86400</f>
        <v>#NUM!</v>
      </c>
      <c r="V293" s="29">
        <f>HOUR(V292)*3600+MINUTE(V292)*60+SECOND(V292)</f>
        <v>0</v>
      </c>
      <c r="W293" s="29" t="e">
        <f>DATEDIF(DATE(1970,1,1),W292,"D")*86400</f>
        <v>#NUM!</v>
      </c>
      <c r="X293" s="29">
        <f>HOUR(X292)*3600+MINUTE(X292)*60+SECOND(X292)</f>
        <v>0</v>
      </c>
      <c r="Y293" s="31">
        <f>(Y292*B293)</f>
        <v>0</v>
      </c>
      <c r="Z293" s="29">
        <f>Z292</f>
        <v>0</v>
      </c>
      <c r="AA293" s="29" t="e">
        <f>DATEDIF(DATE(1970,1,1),AA292,"D")*86400</f>
        <v>#NUM!</v>
      </c>
      <c r="AB293" s="29">
        <f>HOUR(AB292)*3600+MINUTE(AB292)*60+SECOND(AB292)</f>
        <v>0</v>
      </c>
      <c r="AC293" s="29">
        <f>AC292</f>
        <v>0</v>
      </c>
    </row>
    <row r="294" spans="1:29">
      <c r="A294" s="23">
        <f>Parameters!A148</f>
        <v>0</v>
      </c>
      <c r="B294" s="23">
        <f>Parameters!B148</f>
        <v>0</v>
      </c>
      <c r="C294" s="24">
        <f>Parameters!C148</f>
        <v>0</v>
      </c>
      <c r="D294" s="24">
        <f>Parameters!D148</f>
        <v>0</v>
      </c>
      <c r="E294" s="23">
        <f>Parameters!E148</f>
        <v>0</v>
      </c>
      <c r="F294" s="23">
        <f>Parameters!F148</f>
        <v>0</v>
      </c>
      <c r="G294" s="25">
        <f>Parameters!G148</f>
        <v>0</v>
      </c>
      <c r="H294" s="25">
        <f>Parameters!H148</f>
        <v>0</v>
      </c>
      <c r="I294" s="25">
        <f>Parameters!I148</f>
        <v>0</v>
      </c>
      <c r="J294" s="25">
        <f>Parameters!J148</f>
        <v>0</v>
      </c>
      <c r="K294" s="25">
        <f>Parameters!K148</f>
        <v>0</v>
      </c>
      <c r="L294" s="26" t="e">
        <f t="shared" ref="L294" si="435">L295</f>
        <v>#DIV/0!</v>
      </c>
      <c r="M294" s="25">
        <f>Parameters!L148</f>
        <v>0</v>
      </c>
      <c r="N294" s="25">
        <f>Parameters!M148</f>
        <v>0</v>
      </c>
      <c r="O294" s="26" t="e">
        <f t="shared" ref="O294" si="436">O295</f>
        <v>#DIV/0!</v>
      </c>
      <c r="P294" s="23">
        <f>Parameters!N148</f>
        <v>0</v>
      </c>
      <c r="Q294" s="23">
        <f>Parameters!O148</f>
        <v>0</v>
      </c>
      <c r="R294" s="23">
        <f>Parameters!P148</f>
        <v>0</v>
      </c>
      <c r="S294" s="23">
        <f>Parameters!Q148</f>
        <v>0</v>
      </c>
      <c r="T294" s="23">
        <f>Parameters!R148</f>
        <v>0</v>
      </c>
      <c r="U294" s="27">
        <f>Parameters!S148</f>
        <v>0</v>
      </c>
      <c r="V294" s="28">
        <f>Parameters!T148</f>
        <v>0</v>
      </c>
      <c r="W294" s="27">
        <f>Parameters!U148</f>
        <v>0</v>
      </c>
      <c r="X294" s="28">
        <f>Parameters!V148</f>
        <v>0</v>
      </c>
      <c r="Y294" s="25">
        <f>Parameters!W148</f>
        <v>0</v>
      </c>
      <c r="Z294" s="23">
        <f>Parameters!X148</f>
        <v>0</v>
      </c>
      <c r="AA294" s="27">
        <f>Parameters!Y148</f>
        <v>0</v>
      </c>
      <c r="AB294" s="28">
        <f>Parameters!Z148</f>
        <v>0</v>
      </c>
      <c r="AC294" s="23">
        <f>Parameters!AA148</f>
        <v>0</v>
      </c>
    </row>
    <row r="295" spans="1:29">
      <c r="A295" s="29" t="str">
        <f>UPPER(A294)</f>
        <v>0</v>
      </c>
      <c r="B295" s="29">
        <f>B294</f>
        <v>0</v>
      </c>
      <c r="C295" s="30">
        <f>C294</f>
        <v>0</v>
      </c>
      <c r="D295" s="30">
        <f>D294</f>
        <v>0</v>
      </c>
      <c r="E295" s="29">
        <f>E294</f>
        <v>0</v>
      </c>
      <c r="F295" s="29">
        <f>F294</f>
        <v>0</v>
      </c>
      <c r="G295" s="29" t="e">
        <f>IF(C294=1,IF(D294="BUY",E294+(ROUND(F294*G294/B294,0)*B294),E294-(ROUND(F294*G294/B294,0)*B294)),IF(D294="BUY",E294-(ROUND(F294*G294/B294,0)*B294),E294+(ROUND(F294*G294/B294,0)*B294)))</f>
        <v>#DIV/0!</v>
      </c>
      <c r="H295" s="29" t="e">
        <f>IF(C294=1,IF(D294="BUY",G295-(ROUND(F294*H294/B294,0)*B294),G295+(ROUND(F294*H294/B294,0)*B294)),IF(D294="BUY",G295+(ROUND(F294*H294/B294,0)*B294),G295-(ROUND(F294*H294/B294,0)*B294)))</f>
        <v>#DIV/0!</v>
      </c>
      <c r="I295" s="29" t="e">
        <f>IF(D294="BUY",G295+(ROUND(F294*I294/(B294*100),0)*B294),G295-(ROUND(F294*I294/(B294*100),0)*B294))</f>
        <v>#DIV/0!</v>
      </c>
      <c r="J295" s="29" t="e">
        <f>IF(C294=1,IF(D294="BUY",E294+(ROUND(F294*J294/B294,0)*B294),E294-(ROUND(F294*J294/B294,0)*B294)),IF(D294="BUY",E294-(ROUND(F294*J294/B294,0)*B294),E294+(ROUND(F294*J294/B294,0)*B294)))</f>
        <v>#DIV/0!</v>
      </c>
      <c r="K295" s="29" t="e">
        <f>IF(C294=1,IF(D294="BUY",E294-(ROUND(F294*K294/B294,0)*B294),E294+(ROUND(F294*K294/B294,0)*B294)),IF(D294="BUY",E294-(ROUND(F294*K294/B294,0)*B294),E294+(ROUND(F294*K294/B294,0)*B294)))</f>
        <v>#DIV/0!</v>
      </c>
      <c r="L295" s="29" t="e">
        <f t="shared" ref="L295" si="437">IF(D295="BUY",I295+(R295*B295),I295-(R295*B295))</f>
        <v>#DIV/0!</v>
      </c>
      <c r="M295" s="29" t="e">
        <f>IF(D294="BUY",E294+(ROUND(F294*M294/B294,0)*B294),E294-(ROUND(F294*M294/B294,0)*B294))</f>
        <v>#DIV/0!</v>
      </c>
      <c r="N295" s="29" t="e">
        <f>IF(D294="BUY",E294-(ROUND(F294*N294/B294,0)*B294),E294+(ROUND(F294*N294/B294,0)*B294))</f>
        <v>#DIV/0!</v>
      </c>
      <c r="O295" s="31" t="e">
        <f>IF(D295="BUY",N295-VLOOKUP(A295,Symbols!A$1:D$1000,4,FALSE),N295+VLOOKUP(A295,Symbols!A$1:D$1000,4,FALSE))</f>
        <v>#DIV/0!</v>
      </c>
      <c r="P295" s="29">
        <f>P294</f>
        <v>0</v>
      </c>
      <c r="Q295" s="29">
        <f>Q294</f>
        <v>0</v>
      </c>
      <c r="R295" s="29">
        <f>R294</f>
        <v>0</v>
      </c>
      <c r="S295" s="29">
        <f>S294</f>
        <v>0</v>
      </c>
      <c r="T295" s="29">
        <f>T294</f>
        <v>0</v>
      </c>
      <c r="U295" s="29" t="e">
        <f>DATEDIF(DATE(1970,1,1),U294,"D")*86400</f>
        <v>#NUM!</v>
      </c>
      <c r="V295" s="29">
        <f>HOUR(V294)*3600+MINUTE(V294)*60+SECOND(V294)</f>
        <v>0</v>
      </c>
      <c r="W295" s="29" t="e">
        <f>DATEDIF(DATE(1970,1,1),W294,"D")*86400</f>
        <v>#NUM!</v>
      </c>
      <c r="X295" s="29">
        <f>HOUR(X294)*3600+MINUTE(X294)*60+SECOND(X294)</f>
        <v>0</v>
      </c>
      <c r="Y295" s="31">
        <f>(Y294*B295)</f>
        <v>0</v>
      </c>
      <c r="Z295" s="29">
        <f>Z294</f>
        <v>0</v>
      </c>
      <c r="AA295" s="29" t="e">
        <f>DATEDIF(DATE(1970,1,1),AA294,"D")*86400</f>
        <v>#NUM!</v>
      </c>
      <c r="AB295" s="29">
        <f>HOUR(AB294)*3600+MINUTE(AB294)*60+SECOND(AB294)</f>
        <v>0</v>
      </c>
      <c r="AC295" s="29">
        <f>AC294</f>
        <v>0</v>
      </c>
    </row>
    <row r="296" spans="1:29">
      <c r="A296" s="23">
        <f>Parameters!A149</f>
        <v>0</v>
      </c>
      <c r="B296" s="23">
        <f>Parameters!B149</f>
        <v>0</v>
      </c>
      <c r="C296" s="24">
        <f>Parameters!C149</f>
        <v>0</v>
      </c>
      <c r="D296" s="24">
        <f>Parameters!D149</f>
        <v>0</v>
      </c>
      <c r="E296" s="23">
        <f>Parameters!E149</f>
        <v>0</v>
      </c>
      <c r="F296" s="23">
        <f>Parameters!F149</f>
        <v>0</v>
      </c>
      <c r="G296" s="25">
        <f>Parameters!G149</f>
        <v>0</v>
      </c>
      <c r="H296" s="25">
        <f>Parameters!H149</f>
        <v>0</v>
      </c>
      <c r="I296" s="25">
        <f>Parameters!I149</f>
        <v>0</v>
      </c>
      <c r="J296" s="25">
        <f>Parameters!J149</f>
        <v>0</v>
      </c>
      <c r="K296" s="25">
        <f>Parameters!K149</f>
        <v>0</v>
      </c>
      <c r="L296" s="26" t="e">
        <f t="shared" ref="L296" si="438">L297</f>
        <v>#DIV/0!</v>
      </c>
      <c r="M296" s="25">
        <f>Parameters!L149</f>
        <v>0</v>
      </c>
      <c r="N296" s="25">
        <f>Parameters!M149</f>
        <v>0</v>
      </c>
      <c r="O296" s="26" t="e">
        <f t="shared" ref="O296" si="439">O297</f>
        <v>#DIV/0!</v>
      </c>
      <c r="P296" s="23">
        <f>Parameters!N149</f>
        <v>0</v>
      </c>
      <c r="Q296" s="23">
        <f>Parameters!O149</f>
        <v>0</v>
      </c>
      <c r="R296" s="23">
        <f>Parameters!P149</f>
        <v>0</v>
      </c>
      <c r="S296" s="23">
        <f>Parameters!Q149</f>
        <v>0</v>
      </c>
      <c r="T296" s="23">
        <f>Parameters!R149</f>
        <v>0</v>
      </c>
      <c r="U296" s="27">
        <f>Parameters!S149</f>
        <v>0</v>
      </c>
      <c r="V296" s="28">
        <f>Parameters!T149</f>
        <v>0</v>
      </c>
      <c r="W296" s="27">
        <f>Parameters!U149</f>
        <v>0</v>
      </c>
      <c r="X296" s="28">
        <f>Parameters!V149</f>
        <v>0</v>
      </c>
      <c r="Y296" s="25">
        <f>Parameters!W149</f>
        <v>0</v>
      </c>
      <c r="Z296" s="23">
        <f>Parameters!X149</f>
        <v>0</v>
      </c>
      <c r="AA296" s="27">
        <f>Parameters!Y149</f>
        <v>0</v>
      </c>
      <c r="AB296" s="28">
        <f>Parameters!Z149</f>
        <v>0</v>
      </c>
      <c r="AC296" s="23">
        <f>Parameters!AA149</f>
        <v>0</v>
      </c>
    </row>
    <row r="297" spans="1:29">
      <c r="A297" s="29" t="str">
        <f>UPPER(A296)</f>
        <v>0</v>
      </c>
      <c r="B297" s="29">
        <f>B296</f>
        <v>0</v>
      </c>
      <c r="C297" s="30">
        <f>C296</f>
        <v>0</v>
      </c>
      <c r="D297" s="30">
        <f>D296</f>
        <v>0</v>
      </c>
      <c r="E297" s="29">
        <f>E296</f>
        <v>0</v>
      </c>
      <c r="F297" s="29">
        <f>F296</f>
        <v>0</v>
      </c>
      <c r="G297" s="29" t="e">
        <f>IF(C296=1,IF(D296="BUY",E296+(ROUND(F296*G296/B296,0)*B296),E296-(ROUND(F296*G296/B296,0)*B296)),IF(D296="BUY",E296-(ROUND(F296*G296/B296,0)*B296),E296+(ROUND(F296*G296/B296,0)*B296)))</f>
        <v>#DIV/0!</v>
      </c>
      <c r="H297" s="29" t="e">
        <f>IF(C296=1,IF(D296="BUY",G297-(ROUND(F296*H296/B296,0)*B296),G297+(ROUND(F296*H296/B296,0)*B296)),IF(D296="BUY",G297+(ROUND(F296*H296/B296,0)*B296),G297-(ROUND(F296*H296/B296,0)*B296)))</f>
        <v>#DIV/0!</v>
      </c>
      <c r="I297" s="29" t="e">
        <f>IF(D296="BUY",G297+(ROUND(F296*I296/(B296*100),0)*B296),G297-(ROUND(F296*I296/(B296*100),0)*B296))</f>
        <v>#DIV/0!</v>
      </c>
      <c r="J297" s="29" t="e">
        <f>IF(C296=1,IF(D296="BUY",E296+(ROUND(F296*J296/B296,0)*B296),E296-(ROUND(F296*J296/B296,0)*B296)),IF(D296="BUY",E296-(ROUND(F296*J296/B296,0)*B296),E296+(ROUND(F296*J296/B296,0)*B296)))</f>
        <v>#DIV/0!</v>
      </c>
      <c r="K297" s="29" t="e">
        <f>IF(C296=1,IF(D296="BUY",E296-(ROUND(F296*K296/B296,0)*B296),E296+(ROUND(F296*K296/B296,0)*B296)),IF(D296="BUY",E296-(ROUND(F296*K296/B296,0)*B296),E296+(ROUND(F296*K296/B296,0)*B296)))</f>
        <v>#DIV/0!</v>
      </c>
      <c r="L297" s="29" t="e">
        <f t="shared" ref="L297" si="440">IF(D297="BUY",I297+(R297*B297),I297-(R297*B297))</f>
        <v>#DIV/0!</v>
      </c>
      <c r="M297" s="29" t="e">
        <f>IF(D296="BUY",E296+(ROUND(F296*M296/B296,0)*B296),E296-(ROUND(F296*M296/B296,0)*B296))</f>
        <v>#DIV/0!</v>
      </c>
      <c r="N297" s="29" t="e">
        <f>IF(D296="BUY",E296-(ROUND(F296*N296/B296,0)*B296),E296+(ROUND(F296*N296/B296,0)*B296))</f>
        <v>#DIV/0!</v>
      </c>
      <c r="O297" s="31" t="e">
        <f>IF(D297="BUY",N297-VLOOKUP(A297,Symbols!A$1:D$1000,4,FALSE),N297+VLOOKUP(A297,Symbols!A$1:D$1000,4,FALSE))</f>
        <v>#DIV/0!</v>
      </c>
      <c r="P297" s="29">
        <f>P296</f>
        <v>0</v>
      </c>
      <c r="Q297" s="29">
        <f>Q296</f>
        <v>0</v>
      </c>
      <c r="R297" s="29">
        <f>R296</f>
        <v>0</v>
      </c>
      <c r="S297" s="29">
        <f>S296</f>
        <v>0</v>
      </c>
      <c r="T297" s="29">
        <f>T296</f>
        <v>0</v>
      </c>
      <c r="U297" s="29" t="e">
        <f>DATEDIF(DATE(1970,1,1),U296,"D")*86400</f>
        <v>#NUM!</v>
      </c>
      <c r="V297" s="29">
        <f>HOUR(V296)*3600+MINUTE(V296)*60+SECOND(V296)</f>
        <v>0</v>
      </c>
      <c r="W297" s="29" t="e">
        <f>DATEDIF(DATE(1970,1,1),W296,"D")*86400</f>
        <v>#NUM!</v>
      </c>
      <c r="X297" s="29">
        <f>HOUR(X296)*3600+MINUTE(X296)*60+SECOND(X296)</f>
        <v>0</v>
      </c>
      <c r="Y297" s="31">
        <f>(Y296*B297)</f>
        <v>0</v>
      </c>
      <c r="Z297" s="29">
        <f>Z296</f>
        <v>0</v>
      </c>
      <c r="AA297" s="29" t="e">
        <f>DATEDIF(DATE(1970,1,1),AA296,"D")*86400</f>
        <v>#NUM!</v>
      </c>
      <c r="AB297" s="29">
        <f>HOUR(AB296)*3600+MINUTE(AB296)*60+SECOND(AB296)</f>
        <v>0</v>
      </c>
      <c r="AC297" s="29">
        <f>AC296</f>
        <v>0</v>
      </c>
    </row>
    <row r="298" spans="1:29">
      <c r="A298" s="23">
        <f>Parameters!A150</f>
        <v>0</v>
      </c>
      <c r="B298" s="23">
        <f>Parameters!B150</f>
        <v>0</v>
      </c>
      <c r="C298" s="24">
        <f>Parameters!C150</f>
        <v>0</v>
      </c>
      <c r="D298" s="24">
        <f>Parameters!D150</f>
        <v>0</v>
      </c>
      <c r="E298" s="23">
        <f>Parameters!E150</f>
        <v>0</v>
      </c>
      <c r="F298" s="23">
        <f>Parameters!F150</f>
        <v>0</v>
      </c>
      <c r="G298" s="25">
        <f>Parameters!G150</f>
        <v>0</v>
      </c>
      <c r="H298" s="25">
        <f>Parameters!H150</f>
        <v>0</v>
      </c>
      <c r="I298" s="25">
        <f>Parameters!I150</f>
        <v>0</v>
      </c>
      <c r="J298" s="25">
        <f>Parameters!J150</f>
        <v>0</v>
      </c>
      <c r="K298" s="25">
        <f>Parameters!K150</f>
        <v>0</v>
      </c>
      <c r="L298" s="26" t="e">
        <f t="shared" ref="L298" si="441">L299</f>
        <v>#DIV/0!</v>
      </c>
      <c r="M298" s="25">
        <f>Parameters!L150</f>
        <v>0</v>
      </c>
      <c r="N298" s="25">
        <f>Parameters!M150</f>
        <v>0</v>
      </c>
      <c r="O298" s="26" t="e">
        <f t="shared" ref="O298" si="442">O299</f>
        <v>#DIV/0!</v>
      </c>
      <c r="P298" s="23">
        <f>Parameters!N150</f>
        <v>0</v>
      </c>
      <c r="Q298" s="23">
        <f>Parameters!O150</f>
        <v>0</v>
      </c>
      <c r="R298" s="23">
        <f>Parameters!P150</f>
        <v>0</v>
      </c>
      <c r="S298" s="23">
        <f>Parameters!Q150</f>
        <v>0</v>
      </c>
      <c r="T298" s="23">
        <f>Parameters!R150</f>
        <v>0</v>
      </c>
      <c r="U298" s="27">
        <f>Parameters!S150</f>
        <v>0</v>
      </c>
      <c r="V298" s="28">
        <f>Parameters!T150</f>
        <v>0</v>
      </c>
      <c r="W298" s="27">
        <f>Parameters!U150</f>
        <v>0</v>
      </c>
      <c r="X298" s="28">
        <f>Parameters!V150</f>
        <v>0</v>
      </c>
      <c r="Y298" s="25">
        <f>Parameters!W150</f>
        <v>0</v>
      </c>
      <c r="Z298" s="23">
        <f>Parameters!X150</f>
        <v>0</v>
      </c>
      <c r="AA298" s="27">
        <f>Parameters!Y150</f>
        <v>0</v>
      </c>
      <c r="AB298" s="28">
        <f>Parameters!Z150</f>
        <v>0</v>
      </c>
      <c r="AC298" s="23">
        <f>Parameters!AA150</f>
        <v>0</v>
      </c>
    </row>
    <row r="299" spans="1:29">
      <c r="A299" s="29" t="str">
        <f>UPPER(A298)</f>
        <v>0</v>
      </c>
      <c r="B299" s="29">
        <f>B298</f>
        <v>0</v>
      </c>
      <c r="C299" s="30">
        <f>C298</f>
        <v>0</v>
      </c>
      <c r="D299" s="30">
        <f>D298</f>
        <v>0</v>
      </c>
      <c r="E299" s="29">
        <f>E298</f>
        <v>0</v>
      </c>
      <c r="F299" s="29">
        <f>F298</f>
        <v>0</v>
      </c>
      <c r="G299" s="29" t="e">
        <f>IF(C298=1,IF(D298="BUY",E298+(ROUND(F298*G298/B298,0)*B298),E298-(ROUND(F298*G298/B298,0)*B298)),IF(D298="BUY",E298-(ROUND(F298*G298/B298,0)*B298),E298+(ROUND(F298*G298/B298,0)*B298)))</f>
        <v>#DIV/0!</v>
      </c>
      <c r="H299" s="29" t="e">
        <f>IF(C298=1,IF(D298="BUY",G299-(ROUND(F298*H298/B298,0)*B298),G299+(ROUND(F298*H298/B298,0)*B298)),IF(D298="BUY",G299+(ROUND(F298*H298/B298,0)*B298),G299-(ROUND(F298*H298/B298,0)*B298)))</f>
        <v>#DIV/0!</v>
      </c>
      <c r="I299" s="29" t="e">
        <f>IF(D298="BUY",G299+(ROUND(F298*I298/(B298*100),0)*B298),G299-(ROUND(F298*I298/(B298*100),0)*B298))</f>
        <v>#DIV/0!</v>
      </c>
      <c r="J299" s="29" t="e">
        <f>IF(C298=1,IF(D298="BUY",E298+(ROUND(F298*J298/B298,0)*B298),E298-(ROUND(F298*J298/B298,0)*B298)),IF(D298="BUY",E298-(ROUND(F298*J298/B298,0)*B298),E298+(ROUND(F298*J298/B298,0)*B298)))</f>
        <v>#DIV/0!</v>
      </c>
      <c r="K299" s="29" t="e">
        <f>IF(C298=1,IF(D298="BUY",E298-(ROUND(F298*K298/B298,0)*B298),E298+(ROUND(F298*K298/B298,0)*B298)),IF(D298="BUY",E298-(ROUND(F298*K298/B298,0)*B298),E298+(ROUND(F298*K298/B298,0)*B298)))</f>
        <v>#DIV/0!</v>
      </c>
      <c r="L299" s="29" t="e">
        <f t="shared" ref="L299" si="443">IF(D299="BUY",I299+(R299*B299),I299-(R299*B299))</f>
        <v>#DIV/0!</v>
      </c>
      <c r="M299" s="29" t="e">
        <f>IF(D298="BUY",E298+(ROUND(F298*M298/B298,0)*B298),E298-(ROUND(F298*M298/B298,0)*B298))</f>
        <v>#DIV/0!</v>
      </c>
      <c r="N299" s="29" t="e">
        <f>IF(D298="BUY",E298-(ROUND(F298*N298/B298,0)*B298),E298+(ROUND(F298*N298/B298,0)*B298))</f>
        <v>#DIV/0!</v>
      </c>
      <c r="O299" s="31" t="e">
        <f>IF(D299="BUY",N299-VLOOKUP(A299,Symbols!A$1:D$1000,4,FALSE),N299+VLOOKUP(A299,Symbols!A$1:D$1000,4,FALSE))</f>
        <v>#DIV/0!</v>
      </c>
      <c r="P299" s="29">
        <f>P298</f>
        <v>0</v>
      </c>
      <c r="Q299" s="29">
        <f>Q298</f>
        <v>0</v>
      </c>
      <c r="R299" s="29">
        <f>R298</f>
        <v>0</v>
      </c>
      <c r="S299" s="29">
        <f>S298</f>
        <v>0</v>
      </c>
      <c r="T299" s="29">
        <f>T298</f>
        <v>0</v>
      </c>
      <c r="U299" s="29" t="e">
        <f>DATEDIF(DATE(1970,1,1),U298,"D")*86400</f>
        <v>#NUM!</v>
      </c>
      <c r="V299" s="29">
        <f>HOUR(V298)*3600+MINUTE(V298)*60+SECOND(V298)</f>
        <v>0</v>
      </c>
      <c r="W299" s="29" t="e">
        <f>DATEDIF(DATE(1970,1,1),W298,"D")*86400</f>
        <v>#NUM!</v>
      </c>
      <c r="X299" s="29">
        <f>HOUR(X298)*3600+MINUTE(X298)*60+SECOND(X298)</f>
        <v>0</v>
      </c>
      <c r="Y299" s="31">
        <f>(Y298*B299)</f>
        <v>0</v>
      </c>
      <c r="Z299" s="29">
        <f>Z298</f>
        <v>0</v>
      </c>
      <c r="AA299" s="29" t="e">
        <f>DATEDIF(DATE(1970,1,1),AA298,"D")*86400</f>
        <v>#NUM!</v>
      </c>
      <c r="AB299" s="29">
        <f>HOUR(AB298)*3600+MINUTE(AB298)*60+SECOND(AB298)</f>
        <v>0</v>
      </c>
      <c r="AC299" s="29">
        <f>AC298</f>
        <v>0</v>
      </c>
    </row>
    <row r="300" spans="1:29">
      <c r="A300" s="23">
        <f>Parameters!A151</f>
        <v>0</v>
      </c>
      <c r="B300" s="23">
        <f>Parameters!B151</f>
        <v>0</v>
      </c>
      <c r="C300" s="24">
        <f>Parameters!C151</f>
        <v>0</v>
      </c>
      <c r="D300" s="24">
        <f>Parameters!D151</f>
        <v>0</v>
      </c>
      <c r="E300" s="23">
        <f>Parameters!E151</f>
        <v>0</v>
      </c>
      <c r="F300" s="23">
        <f>Parameters!F151</f>
        <v>0</v>
      </c>
      <c r="G300" s="25">
        <f>Parameters!G151</f>
        <v>0</v>
      </c>
      <c r="H300" s="25">
        <f>Parameters!H151</f>
        <v>0</v>
      </c>
      <c r="I300" s="25">
        <f>Parameters!I151</f>
        <v>0</v>
      </c>
      <c r="J300" s="25">
        <f>Parameters!J151</f>
        <v>0</v>
      </c>
      <c r="K300" s="25">
        <f>Parameters!K151</f>
        <v>0</v>
      </c>
      <c r="L300" s="26" t="e">
        <f t="shared" ref="L300" si="444">L301</f>
        <v>#DIV/0!</v>
      </c>
      <c r="M300" s="25">
        <f>Parameters!L151</f>
        <v>0</v>
      </c>
      <c r="N300" s="25">
        <f>Parameters!M151</f>
        <v>0</v>
      </c>
      <c r="O300" s="26" t="e">
        <f t="shared" ref="O300" si="445">O301</f>
        <v>#DIV/0!</v>
      </c>
      <c r="P300" s="23">
        <f>Parameters!N151</f>
        <v>0</v>
      </c>
      <c r="Q300" s="23">
        <f>Parameters!O151</f>
        <v>0</v>
      </c>
      <c r="R300" s="23">
        <f>Parameters!P151</f>
        <v>0</v>
      </c>
      <c r="S300" s="23">
        <f>Parameters!Q151</f>
        <v>0</v>
      </c>
      <c r="T300" s="23">
        <f>Parameters!R151</f>
        <v>0</v>
      </c>
      <c r="U300" s="27">
        <f>Parameters!S151</f>
        <v>0</v>
      </c>
      <c r="V300" s="28">
        <f>Parameters!T151</f>
        <v>0</v>
      </c>
      <c r="W300" s="27">
        <f>Parameters!U151</f>
        <v>0</v>
      </c>
      <c r="X300" s="28">
        <f>Parameters!V151</f>
        <v>0</v>
      </c>
      <c r="Y300" s="25">
        <f>Parameters!W151</f>
        <v>0</v>
      </c>
      <c r="Z300" s="23">
        <f>Parameters!X151</f>
        <v>0</v>
      </c>
      <c r="AA300" s="27">
        <f>Parameters!Y151</f>
        <v>0</v>
      </c>
      <c r="AB300" s="28">
        <f>Parameters!Z151</f>
        <v>0</v>
      </c>
      <c r="AC300" s="23">
        <f>Parameters!AA151</f>
        <v>0</v>
      </c>
    </row>
    <row r="301" spans="1:29">
      <c r="A301" s="29" t="str">
        <f>UPPER(A300)</f>
        <v>0</v>
      </c>
      <c r="B301" s="29">
        <f>B300</f>
        <v>0</v>
      </c>
      <c r="C301" s="30">
        <f>C300</f>
        <v>0</v>
      </c>
      <c r="D301" s="30">
        <f>D300</f>
        <v>0</v>
      </c>
      <c r="E301" s="29">
        <f>E300</f>
        <v>0</v>
      </c>
      <c r="F301" s="29">
        <f>F300</f>
        <v>0</v>
      </c>
      <c r="G301" s="29" t="e">
        <f>IF(C300=1,IF(D300="BUY",E300+(ROUND(F300*G300/B300,0)*B300),E300-(ROUND(F300*G300/B300,0)*B300)),IF(D300="BUY",E300-(ROUND(F300*G300/B300,0)*B300),E300+(ROUND(F300*G300/B300,0)*B300)))</f>
        <v>#DIV/0!</v>
      </c>
      <c r="H301" s="29" t="e">
        <f>IF(C300=1,IF(D300="BUY",G301-(ROUND(F300*H300/B300,0)*B300),G301+(ROUND(F300*H300/B300,0)*B300)),IF(D300="BUY",G301+(ROUND(F300*H300/B300,0)*B300),G301-(ROUND(F300*H300/B300,0)*B300)))</f>
        <v>#DIV/0!</v>
      </c>
      <c r="I301" s="29" t="e">
        <f>IF(D300="BUY",G301+(ROUND(F300*I300/(B300*100),0)*B300),G301-(ROUND(F300*I300/(B300*100),0)*B300))</f>
        <v>#DIV/0!</v>
      </c>
      <c r="J301" s="29" t="e">
        <f>IF(C300=1,IF(D300="BUY",E300+(ROUND(F300*J300/B300,0)*B300),E300-(ROUND(F300*J300/B300,0)*B300)),IF(D300="BUY",E300-(ROUND(F300*J300/B300,0)*B300),E300+(ROUND(F300*J300/B300,0)*B300)))</f>
        <v>#DIV/0!</v>
      </c>
      <c r="K301" s="29" t="e">
        <f>IF(C300=1,IF(D300="BUY",E300-(ROUND(F300*K300/B300,0)*B300),E300+(ROUND(F300*K300/B300,0)*B300)),IF(D300="BUY",E300-(ROUND(F300*K300/B300,0)*B300),E300+(ROUND(F300*K300/B300,0)*B300)))</f>
        <v>#DIV/0!</v>
      </c>
      <c r="L301" s="29" t="e">
        <f t="shared" ref="L301" si="446">IF(D301="BUY",I301+(R301*B301),I301-(R301*B301))</f>
        <v>#DIV/0!</v>
      </c>
      <c r="M301" s="29" t="e">
        <f>IF(D300="BUY",E300+(ROUND(F300*M300/B300,0)*B300),E300-(ROUND(F300*M300/B300,0)*B300))</f>
        <v>#DIV/0!</v>
      </c>
      <c r="N301" s="29" t="e">
        <f>IF(D300="BUY",E300-(ROUND(F300*N300/B300,0)*B300),E300+(ROUND(F300*N300/B300,0)*B300))</f>
        <v>#DIV/0!</v>
      </c>
      <c r="O301" s="31" t="e">
        <f>IF(D301="BUY",N301-VLOOKUP(A301,Symbols!A$1:D$1000,4,FALSE),N301+VLOOKUP(A301,Symbols!A$1:D$1000,4,FALSE))</f>
        <v>#DIV/0!</v>
      </c>
      <c r="P301" s="29">
        <f>P300</f>
        <v>0</v>
      </c>
      <c r="Q301" s="29">
        <f>Q300</f>
        <v>0</v>
      </c>
      <c r="R301" s="29">
        <f>R300</f>
        <v>0</v>
      </c>
      <c r="S301" s="29">
        <f>S300</f>
        <v>0</v>
      </c>
      <c r="T301" s="29">
        <f>T300</f>
        <v>0</v>
      </c>
      <c r="U301" s="29" t="e">
        <f>DATEDIF(DATE(1970,1,1),U300,"D")*86400</f>
        <v>#NUM!</v>
      </c>
      <c r="V301" s="29">
        <f>HOUR(V300)*3600+MINUTE(V300)*60+SECOND(V300)</f>
        <v>0</v>
      </c>
      <c r="W301" s="29" t="e">
        <f>DATEDIF(DATE(1970,1,1),W300,"D")*86400</f>
        <v>#NUM!</v>
      </c>
      <c r="X301" s="29">
        <f>HOUR(X300)*3600+MINUTE(X300)*60+SECOND(X300)</f>
        <v>0</v>
      </c>
      <c r="Y301" s="31">
        <f>(Y300*B301)</f>
        <v>0</v>
      </c>
      <c r="Z301" s="29">
        <f>Z300</f>
        <v>0</v>
      </c>
      <c r="AA301" s="29" t="e">
        <f>DATEDIF(DATE(1970,1,1),AA300,"D")*86400</f>
        <v>#NUM!</v>
      </c>
      <c r="AB301" s="29">
        <f>HOUR(AB300)*3600+MINUTE(AB300)*60+SECOND(AB300)</f>
        <v>0</v>
      </c>
      <c r="AC301" s="29">
        <f>AC300</f>
        <v>0</v>
      </c>
    </row>
    <row r="302" spans="1:29">
      <c r="A302" s="23">
        <f>Parameters!A152</f>
        <v>0</v>
      </c>
      <c r="B302" s="23">
        <f>Parameters!B152</f>
        <v>0</v>
      </c>
      <c r="C302" s="24">
        <f>Parameters!C152</f>
        <v>0</v>
      </c>
      <c r="D302" s="24">
        <f>Parameters!D152</f>
        <v>0</v>
      </c>
      <c r="E302" s="23">
        <f>Parameters!E152</f>
        <v>0</v>
      </c>
      <c r="F302" s="23">
        <f>Parameters!F152</f>
        <v>0</v>
      </c>
      <c r="G302" s="25">
        <f>Parameters!G152</f>
        <v>0</v>
      </c>
      <c r="H302" s="25">
        <f>Parameters!H152</f>
        <v>0</v>
      </c>
      <c r="I302" s="25">
        <f>Parameters!I152</f>
        <v>0</v>
      </c>
      <c r="J302" s="25">
        <f>Parameters!J152</f>
        <v>0</v>
      </c>
      <c r="K302" s="25">
        <f>Parameters!K152</f>
        <v>0</v>
      </c>
      <c r="L302" s="26" t="e">
        <f t="shared" ref="L302" si="447">L303</f>
        <v>#DIV/0!</v>
      </c>
      <c r="M302" s="25">
        <f>Parameters!L152</f>
        <v>0</v>
      </c>
      <c r="N302" s="25">
        <f>Parameters!M152</f>
        <v>0</v>
      </c>
      <c r="O302" s="26" t="e">
        <f t="shared" ref="O302" si="448">O303</f>
        <v>#DIV/0!</v>
      </c>
      <c r="P302" s="23">
        <f>Parameters!N152</f>
        <v>0</v>
      </c>
      <c r="Q302" s="23">
        <f>Parameters!O152</f>
        <v>0</v>
      </c>
      <c r="R302" s="23">
        <f>Parameters!P152</f>
        <v>0</v>
      </c>
      <c r="S302" s="23">
        <f>Parameters!Q152</f>
        <v>0</v>
      </c>
      <c r="T302" s="23">
        <f>Parameters!R152</f>
        <v>0</v>
      </c>
      <c r="U302" s="27">
        <f>Parameters!S152</f>
        <v>0</v>
      </c>
      <c r="V302" s="28">
        <f>Parameters!T152</f>
        <v>0</v>
      </c>
      <c r="W302" s="27">
        <f>Parameters!U152</f>
        <v>0</v>
      </c>
      <c r="X302" s="28">
        <f>Parameters!V152</f>
        <v>0</v>
      </c>
      <c r="Y302" s="25">
        <f>Parameters!W152</f>
        <v>0</v>
      </c>
      <c r="Z302" s="23">
        <f>Parameters!X152</f>
        <v>0</v>
      </c>
      <c r="AA302" s="27">
        <f>Parameters!Y152</f>
        <v>0</v>
      </c>
      <c r="AB302" s="28">
        <f>Parameters!Z152</f>
        <v>0</v>
      </c>
      <c r="AC302" s="23">
        <f>Parameters!AA152</f>
        <v>0</v>
      </c>
    </row>
    <row r="303" spans="1:29">
      <c r="A303" s="29" t="str">
        <f>UPPER(A302)</f>
        <v>0</v>
      </c>
      <c r="B303" s="29">
        <f>B302</f>
        <v>0</v>
      </c>
      <c r="C303" s="30">
        <f>C302</f>
        <v>0</v>
      </c>
      <c r="D303" s="30">
        <f>D302</f>
        <v>0</v>
      </c>
      <c r="E303" s="29">
        <f>E302</f>
        <v>0</v>
      </c>
      <c r="F303" s="29">
        <f>F302</f>
        <v>0</v>
      </c>
      <c r="G303" s="29" t="e">
        <f>IF(C302=1,IF(D302="BUY",E302+(ROUND(F302*G302/B302,0)*B302),E302-(ROUND(F302*G302/B302,0)*B302)),IF(D302="BUY",E302-(ROUND(F302*G302/B302,0)*B302),E302+(ROUND(F302*G302/B302,0)*B302)))</f>
        <v>#DIV/0!</v>
      </c>
      <c r="H303" s="29" t="e">
        <f>IF(C302=1,IF(D302="BUY",G303-(ROUND(F302*H302/B302,0)*B302),G303+(ROUND(F302*H302/B302,0)*B302)),IF(D302="BUY",G303+(ROUND(F302*H302/B302,0)*B302),G303-(ROUND(F302*H302/B302,0)*B302)))</f>
        <v>#DIV/0!</v>
      </c>
      <c r="I303" s="29" t="e">
        <f>IF(D302="BUY",G303+(ROUND(F302*I302/(B302*100),0)*B302),G303-(ROUND(F302*I302/(B302*100),0)*B302))</f>
        <v>#DIV/0!</v>
      </c>
      <c r="J303" s="29" t="e">
        <f>IF(C302=1,IF(D302="BUY",E302+(ROUND(F302*J302/B302,0)*B302),E302-(ROUND(F302*J302/B302,0)*B302)),IF(D302="BUY",E302-(ROUND(F302*J302/B302,0)*B302),E302+(ROUND(F302*J302/B302,0)*B302)))</f>
        <v>#DIV/0!</v>
      </c>
      <c r="K303" s="29" t="e">
        <f>IF(C302=1,IF(D302="BUY",E302-(ROUND(F302*K302/B302,0)*B302),E302+(ROUND(F302*K302/B302,0)*B302)),IF(D302="BUY",E302-(ROUND(F302*K302/B302,0)*B302),E302+(ROUND(F302*K302/B302,0)*B302)))</f>
        <v>#DIV/0!</v>
      </c>
      <c r="L303" s="29" t="e">
        <f t="shared" ref="L303" si="449">IF(D303="BUY",I303+(R303*B303),I303-(R303*B303))</f>
        <v>#DIV/0!</v>
      </c>
      <c r="M303" s="29" t="e">
        <f>IF(D302="BUY",E302+(ROUND(F302*M302/B302,0)*B302),E302-(ROUND(F302*M302/B302,0)*B302))</f>
        <v>#DIV/0!</v>
      </c>
      <c r="N303" s="29" t="e">
        <f>IF(D302="BUY",E302-(ROUND(F302*N302/B302,0)*B302),E302+(ROUND(F302*N302/B302,0)*B302))</f>
        <v>#DIV/0!</v>
      </c>
      <c r="O303" s="31" t="e">
        <f>IF(D303="BUY",N303-VLOOKUP(A303,Symbols!A$1:D$1000,4,FALSE),N303+VLOOKUP(A303,Symbols!A$1:D$1000,4,FALSE))</f>
        <v>#DIV/0!</v>
      </c>
      <c r="P303" s="29">
        <f>P302</f>
        <v>0</v>
      </c>
      <c r="Q303" s="29">
        <f>Q302</f>
        <v>0</v>
      </c>
      <c r="R303" s="29">
        <f>R302</f>
        <v>0</v>
      </c>
      <c r="S303" s="29">
        <f>S302</f>
        <v>0</v>
      </c>
      <c r="T303" s="29">
        <f>T302</f>
        <v>0</v>
      </c>
      <c r="U303" s="29" t="e">
        <f>DATEDIF(DATE(1970,1,1),U302,"D")*86400</f>
        <v>#NUM!</v>
      </c>
      <c r="V303" s="29">
        <f>HOUR(V302)*3600+MINUTE(V302)*60+SECOND(V302)</f>
        <v>0</v>
      </c>
      <c r="W303" s="29" t="e">
        <f>DATEDIF(DATE(1970,1,1),W302,"D")*86400</f>
        <v>#NUM!</v>
      </c>
      <c r="X303" s="29">
        <f>HOUR(X302)*3600+MINUTE(X302)*60+SECOND(X302)</f>
        <v>0</v>
      </c>
      <c r="Y303" s="31">
        <f>(Y302*B303)</f>
        <v>0</v>
      </c>
      <c r="Z303" s="29">
        <f>Z302</f>
        <v>0</v>
      </c>
      <c r="AA303" s="29" t="e">
        <f>DATEDIF(DATE(1970,1,1),AA302,"D")*86400</f>
        <v>#NUM!</v>
      </c>
      <c r="AB303" s="29">
        <f>HOUR(AB302)*3600+MINUTE(AB302)*60+SECOND(AB302)</f>
        <v>0</v>
      </c>
      <c r="AC303" s="29">
        <f>AC302</f>
        <v>0</v>
      </c>
    </row>
    <row r="304" spans="1:29">
      <c r="A304" s="23">
        <f>Parameters!A153</f>
        <v>0</v>
      </c>
      <c r="B304" s="23">
        <f>Parameters!B153</f>
        <v>0</v>
      </c>
      <c r="C304" s="24">
        <f>Parameters!C153</f>
        <v>0</v>
      </c>
      <c r="D304" s="24">
        <f>Parameters!D153</f>
        <v>0</v>
      </c>
      <c r="E304" s="23">
        <f>Parameters!E153</f>
        <v>0</v>
      </c>
      <c r="F304" s="23">
        <f>Parameters!F153</f>
        <v>0</v>
      </c>
      <c r="G304" s="25">
        <f>Parameters!G153</f>
        <v>0</v>
      </c>
      <c r="H304" s="25">
        <f>Parameters!H153</f>
        <v>0</v>
      </c>
      <c r="I304" s="25">
        <f>Parameters!I153</f>
        <v>0</v>
      </c>
      <c r="J304" s="25">
        <f>Parameters!J153</f>
        <v>0</v>
      </c>
      <c r="K304" s="25">
        <f>Parameters!K153</f>
        <v>0</v>
      </c>
      <c r="L304" s="26" t="e">
        <f t="shared" ref="L304" si="450">L305</f>
        <v>#DIV/0!</v>
      </c>
      <c r="M304" s="25">
        <f>Parameters!L153</f>
        <v>0</v>
      </c>
      <c r="N304" s="25">
        <f>Parameters!M153</f>
        <v>0</v>
      </c>
      <c r="O304" s="26" t="e">
        <f t="shared" ref="O304" si="451">O305</f>
        <v>#DIV/0!</v>
      </c>
      <c r="P304" s="23">
        <f>Parameters!N153</f>
        <v>0</v>
      </c>
      <c r="Q304" s="23">
        <f>Parameters!O153</f>
        <v>0</v>
      </c>
      <c r="R304" s="23">
        <f>Parameters!P153</f>
        <v>0</v>
      </c>
      <c r="S304" s="23">
        <f>Parameters!Q153</f>
        <v>0</v>
      </c>
      <c r="T304" s="23">
        <f>Parameters!R153</f>
        <v>0</v>
      </c>
      <c r="U304" s="27">
        <f>Parameters!S153</f>
        <v>0</v>
      </c>
      <c r="V304" s="28">
        <f>Parameters!T153</f>
        <v>0</v>
      </c>
      <c r="W304" s="27">
        <f>Parameters!U153</f>
        <v>0</v>
      </c>
      <c r="X304" s="28">
        <f>Parameters!V153</f>
        <v>0</v>
      </c>
      <c r="Y304" s="25">
        <f>Parameters!W153</f>
        <v>0</v>
      </c>
      <c r="Z304" s="23">
        <f>Parameters!X153</f>
        <v>0</v>
      </c>
      <c r="AA304" s="27">
        <f>Parameters!Y153</f>
        <v>0</v>
      </c>
      <c r="AB304" s="28">
        <f>Parameters!Z153</f>
        <v>0</v>
      </c>
      <c r="AC304" s="23">
        <f>Parameters!AA153</f>
        <v>0</v>
      </c>
    </row>
    <row r="305" spans="1:29">
      <c r="A305" s="29" t="str">
        <f>UPPER(A304)</f>
        <v>0</v>
      </c>
      <c r="B305" s="29">
        <f>B304</f>
        <v>0</v>
      </c>
      <c r="C305" s="30">
        <f>C304</f>
        <v>0</v>
      </c>
      <c r="D305" s="30">
        <f>D304</f>
        <v>0</v>
      </c>
      <c r="E305" s="29">
        <f>E304</f>
        <v>0</v>
      </c>
      <c r="F305" s="29">
        <f>F304</f>
        <v>0</v>
      </c>
      <c r="G305" s="29" t="e">
        <f>IF(C304=1,IF(D304="BUY",E304+(ROUND(F304*G304/B304,0)*B304),E304-(ROUND(F304*G304/B304,0)*B304)),IF(D304="BUY",E304-(ROUND(F304*G304/B304,0)*B304),E304+(ROUND(F304*G304/B304,0)*B304)))</f>
        <v>#DIV/0!</v>
      </c>
      <c r="H305" s="29" t="e">
        <f>IF(C304=1,IF(D304="BUY",G305-(ROUND(F304*H304/B304,0)*B304),G305+(ROUND(F304*H304/B304,0)*B304)),IF(D304="BUY",G305+(ROUND(F304*H304/B304,0)*B304),G305-(ROUND(F304*H304/B304,0)*B304)))</f>
        <v>#DIV/0!</v>
      </c>
      <c r="I305" s="29" t="e">
        <f>IF(D304="BUY",G305+(ROUND(F304*I304/(B304*100),0)*B304),G305-(ROUND(F304*I304/(B304*100),0)*B304))</f>
        <v>#DIV/0!</v>
      </c>
      <c r="J305" s="29" t="e">
        <f>IF(C304=1,IF(D304="BUY",E304+(ROUND(F304*J304/B304,0)*B304),E304-(ROUND(F304*J304/B304,0)*B304)),IF(D304="BUY",E304-(ROUND(F304*J304/B304,0)*B304),E304+(ROUND(F304*J304/B304,0)*B304)))</f>
        <v>#DIV/0!</v>
      </c>
      <c r="K305" s="29" t="e">
        <f>IF(C304=1,IF(D304="BUY",E304-(ROUND(F304*K304/B304,0)*B304),E304+(ROUND(F304*K304/B304,0)*B304)),IF(D304="BUY",E304-(ROUND(F304*K304/B304,0)*B304),E304+(ROUND(F304*K304/B304,0)*B304)))</f>
        <v>#DIV/0!</v>
      </c>
      <c r="L305" s="29" t="e">
        <f t="shared" ref="L305" si="452">IF(D305="BUY",I305+(R305*B305),I305-(R305*B305))</f>
        <v>#DIV/0!</v>
      </c>
      <c r="M305" s="29" t="e">
        <f>IF(D304="BUY",E304+(ROUND(F304*M304/B304,0)*B304),E304-(ROUND(F304*M304/B304,0)*B304))</f>
        <v>#DIV/0!</v>
      </c>
      <c r="N305" s="29" t="e">
        <f>IF(D304="BUY",E304-(ROUND(F304*N304/B304,0)*B304),E304+(ROUND(F304*N304/B304,0)*B304))</f>
        <v>#DIV/0!</v>
      </c>
      <c r="O305" s="31" t="e">
        <f>IF(D305="BUY",N305-VLOOKUP(A305,Symbols!A$1:D$1000,4,FALSE),N305+VLOOKUP(A305,Symbols!A$1:D$1000,4,FALSE))</f>
        <v>#DIV/0!</v>
      </c>
      <c r="P305" s="29">
        <f>P304</f>
        <v>0</v>
      </c>
      <c r="Q305" s="29">
        <f>Q304</f>
        <v>0</v>
      </c>
      <c r="R305" s="29">
        <f>R304</f>
        <v>0</v>
      </c>
      <c r="S305" s="29">
        <f>S304</f>
        <v>0</v>
      </c>
      <c r="T305" s="29">
        <f>T304</f>
        <v>0</v>
      </c>
      <c r="U305" s="29" t="e">
        <f>DATEDIF(DATE(1970,1,1),U304,"D")*86400</f>
        <v>#NUM!</v>
      </c>
      <c r="V305" s="29">
        <f>HOUR(V304)*3600+MINUTE(V304)*60+SECOND(V304)</f>
        <v>0</v>
      </c>
      <c r="W305" s="29" t="e">
        <f>DATEDIF(DATE(1970,1,1),W304,"D")*86400</f>
        <v>#NUM!</v>
      </c>
      <c r="X305" s="29">
        <f>HOUR(X304)*3600+MINUTE(X304)*60+SECOND(X304)</f>
        <v>0</v>
      </c>
      <c r="Y305" s="31">
        <f>(Y304*B305)</f>
        <v>0</v>
      </c>
      <c r="Z305" s="29">
        <f>Z304</f>
        <v>0</v>
      </c>
      <c r="AA305" s="29" t="e">
        <f>DATEDIF(DATE(1970,1,1),AA304,"D")*86400</f>
        <v>#NUM!</v>
      </c>
      <c r="AB305" s="29">
        <f>HOUR(AB304)*3600+MINUTE(AB304)*60+SECOND(AB304)</f>
        <v>0</v>
      </c>
      <c r="AC305" s="29">
        <f>AC304</f>
        <v>0</v>
      </c>
    </row>
    <row r="306" spans="1:29">
      <c r="A306" s="23">
        <f>Parameters!A154</f>
        <v>0</v>
      </c>
      <c r="B306" s="23">
        <f>Parameters!B154</f>
        <v>0</v>
      </c>
      <c r="C306" s="24">
        <f>Parameters!C154</f>
        <v>0</v>
      </c>
      <c r="D306" s="24">
        <f>Parameters!D154</f>
        <v>0</v>
      </c>
      <c r="E306" s="23">
        <f>Parameters!E154</f>
        <v>0</v>
      </c>
      <c r="F306" s="23">
        <f>Parameters!F154</f>
        <v>0</v>
      </c>
      <c r="G306" s="25">
        <f>Parameters!G154</f>
        <v>0</v>
      </c>
      <c r="H306" s="25">
        <f>Parameters!H154</f>
        <v>0</v>
      </c>
      <c r="I306" s="25">
        <f>Parameters!I154</f>
        <v>0</v>
      </c>
      <c r="J306" s="25">
        <f>Parameters!J154</f>
        <v>0</v>
      </c>
      <c r="K306" s="25">
        <f>Parameters!K154</f>
        <v>0</v>
      </c>
      <c r="L306" s="26" t="e">
        <f t="shared" ref="L306" si="453">L307</f>
        <v>#DIV/0!</v>
      </c>
      <c r="M306" s="25">
        <f>Parameters!L154</f>
        <v>0</v>
      </c>
      <c r="N306" s="25">
        <f>Parameters!M154</f>
        <v>0</v>
      </c>
      <c r="O306" s="26" t="e">
        <f t="shared" ref="O306" si="454">O307</f>
        <v>#DIV/0!</v>
      </c>
      <c r="P306" s="23">
        <f>Parameters!N154</f>
        <v>0</v>
      </c>
      <c r="Q306" s="23">
        <f>Parameters!O154</f>
        <v>0</v>
      </c>
      <c r="R306" s="23">
        <f>Parameters!P154</f>
        <v>0</v>
      </c>
      <c r="S306" s="23">
        <f>Parameters!Q154</f>
        <v>0</v>
      </c>
      <c r="T306" s="23">
        <f>Parameters!R154</f>
        <v>0</v>
      </c>
      <c r="U306" s="27">
        <f>Parameters!S154</f>
        <v>0</v>
      </c>
      <c r="V306" s="28">
        <f>Parameters!T154</f>
        <v>0</v>
      </c>
      <c r="W306" s="27">
        <f>Parameters!U154</f>
        <v>0</v>
      </c>
      <c r="X306" s="28">
        <f>Parameters!V154</f>
        <v>0</v>
      </c>
      <c r="Y306" s="25">
        <f>Parameters!W154</f>
        <v>0</v>
      </c>
      <c r="Z306" s="23">
        <f>Parameters!X154</f>
        <v>0</v>
      </c>
      <c r="AA306" s="27">
        <f>Parameters!Y154</f>
        <v>0</v>
      </c>
      <c r="AB306" s="28">
        <f>Parameters!Z154</f>
        <v>0</v>
      </c>
      <c r="AC306" s="23">
        <f>Parameters!AA154</f>
        <v>0</v>
      </c>
    </row>
    <row r="307" spans="1:29">
      <c r="A307" s="29" t="str">
        <f>UPPER(A306)</f>
        <v>0</v>
      </c>
      <c r="B307" s="29">
        <f>B306</f>
        <v>0</v>
      </c>
      <c r="C307" s="30">
        <f>C306</f>
        <v>0</v>
      </c>
      <c r="D307" s="30">
        <f>D306</f>
        <v>0</v>
      </c>
      <c r="E307" s="29">
        <f>E306</f>
        <v>0</v>
      </c>
      <c r="F307" s="29">
        <f>F306</f>
        <v>0</v>
      </c>
      <c r="G307" s="29" t="e">
        <f>IF(C306=1,IF(D306="BUY",E306+(ROUND(F306*G306/B306,0)*B306),E306-(ROUND(F306*G306/B306,0)*B306)),IF(D306="BUY",E306-(ROUND(F306*G306/B306,0)*B306),E306+(ROUND(F306*G306/B306,0)*B306)))</f>
        <v>#DIV/0!</v>
      </c>
      <c r="H307" s="29" t="e">
        <f>IF(C306=1,IF(D306="BUY",G307-(ROUND(F306*H306/B306,0)*B306),G307+(ROUND(F306*H306/B306,0)*B306)),IF(D306="BUY",G307+(ROUND(F306*H306/B306,0)*B306),G307-(ROUND(F306*H306/B306,0)*B306)))</f>
        <v>#DIV/0!</v>
      </c>
      <c r="I307" s="29" t="e">
        <f>IF(D306="BUY",G307+(ROUND(F306*I306/(B306*100),0)*B306),G307-(ROUND(F306*I306/(B306*100),0)*B306))</f>
        <v>#DIV/0!</v>
      </c>
      <c r="J307" s="29" t="e">
        <f>IF(C306=1,IF(D306="BUY",E306+(ROUND(F306*J306/B306,0)*B306),E306-(ROUND(F306*J306/B306,0)*B306)),IF(D306="BUY",E306-(ROUND(F306*J306/B306,0)*B306),E306+(ROUND(F306*J306/B306,0)*B306)))</f>
        <v>#DIV/0!</v>
      </c>
      <c r="K307" s="29" t="e">
        <f>IF(C306=1,IF(D306="BUY",E306-(ROUND(F306*K306/B306,0)*B306),E306+(ROUND(F306*K306/B306,0)*B306)),IF(D306="BUY",E306-(ROUND(F306*K306/B306,0)*B306),E306+(ROUND(F306*K306/B306,0)*B306)))</f>
        <v>#DIV/0!</v>
      </c>
      <c r="L307" s="29" t="e">
        <f t="shared" ref="L307" si="455">IF(D307="BUY",I307+(R307*B307),I307-(R307*B307))</f>
        <v>#DIV/0!</v>
      </c>
      <c r="M307" s="29" t="e">
        <f>IF(D306="BUY",E306+(ROUND(F306*M306/B306,0)*B306),E306-(ROUND(F306*M306/B306,0)*B306))</f>
        <v>#DIV/0!</v>
      </c>
      <c r="N307" s="29" t="e">
        <f>IF(D306="BUY",E306-(ROUND(F306*N306/B306,0)*B306),E306+(ROUND(F306*N306/B306,0)*B306))</f>
        <v>#DIV/0!</v>
      </c>
      <c r="O307" s="31" t="e">
        <f>IF(D307="BUY",N307-VLOOKUP(A307,Symbols!A$1:D$1000,4,FALSE),N307+VLOOKUP(A307,Symbols!A$1:D$1000,4,FALSE))</f>
        <v>#DIV/0!</v>
      </c>
      <c r="P307" s="29">
        <f>P306</f>
        <v>0</v>
      </c>
      <c r="Q307" s="29">
        <f>Q306</f>
        <v>0</v>
      </c>
      <c r="R307" s="29">
        <f>R306</f>
        <v>0</v>
      </c>
      <c r="S307" s="29">
        <f>S306</f>
        <v>0</v>
      </c>
      <c r="T307" s="29">
        <f>T306</f>
        <v>0</v>
      </c>
      <c r="U307" s="29" t="e">
        <f>DATEDIF(DATE(1970,1,1),U306,"D")*86400</f>
        <v>#NUM!</v>
      </c>
      <c r="V307" s="29">
        <f>HOUR(V306)*3600+MINUTE(V306)*60+SECOND(V306)</f>
        <v>0</v>
      </c>
      <c r="W307" s="29" t="e">
        <f>DATEDIF(DATE(1970,1,1),W306,"D")*86400</f>
        <v>#NUM!</v>
      </c>
      <c r="X307" s="29">
        <f>HOUR(X306)*3600+MINUTE(X306)*60+SECOND(X306)</f>
        <v>0</v>
      </c>
      <c r="Y307" s="31">
        <f>(Y306*B307)</f>
        <v>0</v>
      </c>
      <c r="Z307" s="29">
        <f>Z306</f>
        <v>0</v>
      </c>
      <c r="AA307" s="29" t="e">
        <f>DATEDIF(DATE(1970,1,1),AA306,"D")*86400</f>
        <v>#NUM!</v>
      </c>
      <c r="AB307" s="29">
        <f>HOUR(AB306)*3600+MINUTE(AB306)*60+SECOND(AB306)</f>
        <v>0</v>
      </c>
      <c r="AC307" s="29">
        <f>AC306</f>
        <v>0</v>
      </c>
    </row>
    <row r="308" spans="1:29">
      <c r="A308" s="23">
        <f>Parameters!A155</f>
        <v>0</v>
      </c>
      <c r="B308" s="23">
        <f>Parameters!B155</f>
        <v>0</v>
      </c>
      <c r="C308" s="24">
        <f>Parameters!C155</f>
        <v>0</v>
      </c>
      <c r="D308" s="24">
        <f>Parameters!D155</f>
        <v>0</v>
      </c>
      <c r="E308" s="23">
        <f>Parameters!E155</f>
        <v>0</v>
      </c>
      <c r="F308" s="23">
        <f>Parameters!F155</f>
        <v>0</v>
      </c>
      <c r="G308" s="25">
        <f>Parameters!G155</f>
        <v>0</v>
      </c>
      <c r="H308" s="25">
        <f>Parameters!H155</f>
        <v>0</v>
      </c>
      <c r="I308" s="25">
        <f>Parameters!I155</f>
        <v>0</v>
      </c>
      <c r="J308" s="25">
        <f>Parameters!J155</f>
        <v>0</v>
      </c>
      <c r="K308" s="25">
        <f>Parameters!K155</f>
        <v>0</v>
      </c>
      <c r="L308" s="26" t="e">
        <f t="shared" ref="L308" si="456">L309</f>
        <v>#DIV/0!</v>
      </c>
      <c r="M308" s="25">
        <f>Parameters!L155</f>
        <v>0</v>
      </c>
      <c r="N308" s="25">
        <f>Parameters!M155</f>
        <v>0</v>
      </c>
      <c r="O308" s="26" t="e">
        <f t="shared" ref="O308" si="457">O309</f>
        <v>#DIV/0!</v>
      </c>
      <c r="P308" s="23">
        <f>Parameters!N155</f>
        <v>0</v>
      </c>
      <c r="Q308" s="23">
        <f>Parameters!O155</f>
        <v>0</v>
      </c>
      <c r="R308" s="23">
        <f>Parameters!P155</f>
        <v>0</v>
      </c>
      <c r="S308" s="23">
        <f>Parameters!Q155</f>
        <v>0</v>
      </c>
      <c r="T308" s="23">
        <f>Parameters!R155</f>
        <v>0</v>
      </c>
      <c r="U308" s="27">
        <f>Parameters!S155</f>
        <v>0</v>
      </c>
      <c r="V308" s="28">
        <f>Parameters!T155</f>
        <v>0</v>
      </c>
      <c r="W308" s="27">
        <f>Parameters!U155</f>
        <v>0</v>
      </c>
      <c r="X308" s="28">
        <f>Parameters!V155</f>
        <v>0</v>
      </c>
      <c r="Y308" s="25">
        <f>Parameters!W155</f>
        <v>0</v>
      </c>
      <c r="Z308" s="23">
        <f>Parameters!X155</f>
        <v>0</v>
      </c>
      <c r="AA308" s="27">
        <f>Parameters!Y155</f>
        <v>0</v>
      </c>
      <c r="AB308" s="28">
        <f>Parameters!Z155</f>
        <v>0</v>
      </c>
      <c r="AC308" s="23">
        <f>Parameters!AA155</f>
        <v>0</v>
      </c>
    </row>
    <row r="309" spans="1:29">
      <c r="A309" s="29" t="str">
        <f>UPPER(A308)</f>
        <v>0</v>
      </c>
      <c r="B309" s="29">
        <f>B308</f>
        <v>0</v>
      </c>
      <c r="C309" s="30">
        <f>C308</f>
        <v>0</v>
      </c>
      <c r="D309" s="30">
        <f>D308</f>
        <v>0</v>
      </c>
      <c r="E309" s="29">
        <f>E308</f>
        <v>0</v>
      </c>
      <c r="F309" s="29">
        <f>F308</f>
        <v>0</v>
      </c>
      <c r="G309" s="29" t="e">
        <f>IF(C308=1,IF(D308="BUY",E308+(ROUND(F308*G308/B308,0)*B308),E308-(ROUND(F308*G308/B308,0)*B308)),IF(D308="BUY",E308-(ROUND(F308*G308/B308,0)*B308),E308+(ROUND(F308*G308/B308,0)*B308)))</f>
        <v>#DIV/0!</v>
      </c>
      <c r="H309" s="29" t="e">
        <f>IF(C308=1,IF(D308="BUY",G309-(ROUND(F308*H308/B308,0)*B308),G309+(ROUND(F308*H308/B308,0)*B308)),IF(D308="BUY",G309+(ROUND(F308*H308/B308,0)*B308),G309-(ROUND(F308*H308/B308,0)*B308)))</f>
        <v>#DIV/0!</v>
      </c>
      <c r="I309" s="29" t="e">
        <f>IF(D308="BUY",G309+(ROUND(F308*I308/(B308*100),0)*B308),G309-(ROUND(F308*I308/(B308*100),0)*B308))</f>
        <v>#DIV/0!</v>
      </c>
      <c r="J309" s="29" t="e">
        <f>IF(C308=1,IF(D308="BUY",E308+(ROUND(F308*J308/B308,0)*B308),E308-(ROUND(F308*J308/B308,0)*B308)),IF(D308="BUY",E308-(ROUND(F308*J308/B308,0)*B308),E308+(ROUND(F308*J308/B308,0)*B308)))</f>
        <v>#DIV/0!</v>
      </c>
      <c r="K309" s="29" t="e">
        <f>IF(C308=1,IF(D308="BUY",E308-(ROUND(F308*K308/B308,0)*B308),E308+(ROUND(F308*K308/B308,0)*B308)),IF(D308="BUY",E308-(ROUND(F308*K308/B308,0)*B308),E308+(ROUND(F308*K308/B308,0)*B308)))</f>
        <v>#DIV/0!</v>
      </c>
      <c r="L309" s="29" t="e">
        <f t="shared" ref="L309" si="458">IF(D309="BUY",I309+(R309*B309),I309-(R309*B309))</f>
        <v>#DIV/0!</v>
      </c>
      <c r="M309" s="29" t="e">
        <f>IF(D308="BUY",E308+(ROUND(F308*M308/B308,0)*B308),E308-(ROUND(F308*M308/B308,0)*B308))</f>
        <v>#DIV/0!</v>
      </c>
      <c r="N309" s="29" t="e">
        <f>IF(D308="BUY",E308-(ROUND(F308*N308/B308,0)*B308),E308+(ROUND(F308*N308/B308,0)*B308))</f>
        <v>#DIV/0!</v>
      </c>
      <c r="O309" s="31" t="e">
        <f>IF(D309="BUY",N309-VLOOKUP(A309,Symbols!A$1:D$1000,4,FALSE),N309+VLOOKUP(A309,Symbols!A$1:D$1000,4,FALSE))</f>
        <v>#DIV/0!</v>
      </c>
      <c r="P309" s="29">
        <f>P308</f>
        <v>0</v>
      </c>
      <c r="Q309" s="29">
        <f>Q308</f>
        <v>0</v>
      </c>
      <c r="R309" s="29">
        <f>R308</f>
        <v>0</v>
      </c>
      <c r="S309" s="29">
        <f>S308</f>
        <v>0</v>
      </c>
      <c r="T309" s="29">
        <f>T308</f>
        <v>0</v>
      </c>
      <c r="U309" s="29" t="e">
        <f>DATEDIF(DATE(1970,1,1),U308,"D")*86400</f>
        <v>#NUM!</v>
      </c>
      <c r="V309" s="29">
        <f>HOUR(V308)*3600+MINUTE(V308)*60+SECOND(V308)</f>
        <v>0</v>
      </c>
      <c r="W309" s="29" t="e">
        <f>DATEDIF(DATE(1970,1,1),W308,"D")*86400</f>
        <v>#NUM!</v>
      </c>
      <c r="X309" s="29">
        <f>HOUR(X308)*3600+MINUTE(X308)*60+SECOND(X308)</f>
        <v>0</v>
      </c>
      <c r="Y309" s="31">
        <f>(Y308*B309)</f>
        <v>0</v>
      </c>
      <c r="Z309" s="29">
        <f>Z308</f>
        <v>0</v>
      </c>
      <c r="AA309" s="29" t="e">
        <f>DATEDIF(DATE(1970,1,1),AA308,"D")*86400</f>
        <v>#NUM!</v>
      </c>
      <c r="AB309" s="29">
        <f>HOUR(AB308)*3600+MINUTE(AB308)*60+SECOND(AB308)</f>
        <v>0</v>
      </c>
      <c r="AC309" s="29">
        <f>AC308</f>
        <v>0</v>
      </c>
    </row>
    <row r="310" spans="1:29">
      <c r="A310" s="23">
        <f>Parameters!A156</f>
        <v>0</v>
      </c>
      <c r="B310" s="23">
        <f>Parameters!B156</f>
        <v>0</v>
      </c>
      <c r="C310" s="24">
        <f>Parameters!C156</f>
        <v>0</v>
      </c>
      <c r="D310" s="24">
        <f>Parameters!D156</f>
        <v>0</v>
      </c>
      <c r="E310" s="23">
        <f>Parameters!E156</f>
        <v>0</v>
      </c>
      <c r="F310" s="23">
        <f>Parameters!F156</f>
        <v>0</v>
      </c>
      <c r="G310" s="25">
        <f>Parameters!G156</f>
        <v>0</v>
      </c>
      <c r="H310" s="25">
        <f>Parameters!H156</f>
        <v>0</v>
      </c>
      <c r="I310" s="25">
        <f>Parameters!I156</f>
        <v>0</v>
      </c>
      <c r="J310" s="25">
        <f>Parameters!J156</f>
        <v>0</v>
      </c>
      <c r="K310" s="25">
        <f>Parameters!K156</f>
        <v>0</v>
      </c>
      <c r="L310" s="26" t="e">
        <f t="shared" ref="L310" si="459">L311</f>
        <v>#DIV/0!</v>
      </c>
      <c r="M310" s="25">
        <f>Parameters!L156</f>
        <v>0</v>
      </c>
      <c r="N310" s="25">
        <f>Parameters!M156</f>
        <v>0</v>
      </c>
      <c r="O310" s="26" t="e">
        <f t="shared" ref="O310" si="460">O311</f>
        <v>#DIV/0!</v>
      </c>
      <c r="P310" s="23">
        <f>Parameters!N156</f>
        <v>0</v>
      </c>
      <c r="Q310" s="23">
        <f>Parameters!O156</f>
        <v>0</v>
      </c>
      <c r="R310" s="23">
        <f>Parameters!P156</f>
        <v>0</v>
      </c>
      <c r="S310" s="23">
        <f>Parameters!Q156</f>
        <v>0</v>
      </c>
      <c r="T310" s="23">
        <f>Parameters!R156</f>
        <v>0</v>
      </c>
      <c r="U310" s="27">
        <f>Parameters!S156</f>
        <v>0</v>
      </c>
      <c r="V310" s="28">
        <f>Parameters!T156</f>
        <v>0</v>
      </c>
      <c r="W310" s="27">
        <f>Parameters!U156</f>
        <v>0</v>
      </c>
      <c r="X310" s="28">
        <f>Parameters!V156</f>
        <v>0</v>
      </c>
      <c r="Y310" s="25">
        <f>Parameters!W156</f>
        <v>0</v>
      </c>
      <c r="Z310" s="23">
        <f>Parameters!X156</f>
        <v>0</v>
      </c>
      <c r="AA310" s="27">
        <f>Parameters!Y156</f>
        <v>0</v>
      </c>
      <c r="AB310" s="28">
        <f>Parameters!Z156</f>
        <v>0</v>
      </c>
      <c r="AC310" s="23">
        <f>Parameters!AA156</f>
        <v>0</v>
      </c>
    </row>
    <row r="311" spans="1:29">
      <c r="A311" s="29" t="str">
        <f>UPPER(A310)</f>
        <v>0</v>
      </c>
      <c r="B311" s="29">
        <f>B310</f>
        <v>0</v>
      </c>
      <c r="C311" s="30">
        <f>C310</f>
        <v>0</v>
      </c>
      <c r="D311" s="30">
        <f>D310</f>
        <v>0</v>
      </c>
      <c r="E311" s="29">
        <f>E310</f>
        <v>0</v>
      </c>
      <c r="F311" s="29">
        <f>F310</f>
        <v>0</v>
      </c>
      <c r="G311" s="29" t="e">
        <f>IF(C310=1,IF(D310="BUY",E310+(ROUND(F310*G310/B310,0)*B310),E310-(ROUND(F310*G310/B310,0)*B310)),IF(D310="BUY",E310-(ROUND(F310*G310/B310,0)*B310),E310+(ROUND(F310*G310/B310,0)*B310)))</f>
        <v>#DIV/0!</v>
      </c>
      <c r="H311" s="29" t="e">
        <f>IF(C310=1,IF(D310="BUY",G311-(ROUND(F310*H310/B310,0)*B310),G311+(ROUND(F310*H310/B310,0)*B310)),IF(D310="BUY",G311+(ROUND(F310*H310/B310,0)*B310),G311-(ROUND(F310*H310/B310,0)*B310)))</f>
        <v>#DIV/0!</v>
      </c>
      <c r="I311" s="29" t="e">
        <f>IF(D310="BUY",G311+(ROUND(F310*I310/(B310*100),0)*B310),G311-(ROUND(F310*I310/(B310*100),0)*B310))</f>
        <v>#DIV/0!</v>
      </c>
      <c r="J311" s="29" t="e">
        <f>IF(C310=1,IF(D310="BUY",E310+(ROUND(F310*J310/B310,0)*B310),E310-(ROUND(F310*J310/B310,0)*B310)),IF(D310="BUY",E310-(ROUND(F310*J310/B310,0)*B310),E310+(ROUND(F310*J310/B310,0)*B310)))</f>
        <v>#DIV/0!</v>
      </c>
      <c r="K311" s="29" t="e">
        <f>IF(C310=1,IF(D310="BUY",E310-(ROUND(F310*K310/B310,0)*B310),E310+(ROUND(F310*K310/B310,0)*B310)),IF(D310="BUY",E310-(ROUND(F310*K310/B310,0)*B310),E310+(ROUND(F310*K310/B310,0)*B310)))</f>
        <v>#DIV/0!</v>
      </c>
      <c r="L311" s="29" t="e">
        <f t="shared" ref="L311" si="461">IF(D311="BUY",I311+(R311*B311),I311-(R311*B311))</f>
        <v>#DIV/0!</v>
      </c>
      <c r="M311" s="29" t="e">
        <f>IF(D310="BUY",E310+(ROUND(F310*M310/B310,0)*B310),E310-(ROUND(F310*M310/B310,0)*B310))</f>
        <v>#DIV/0!</v>
      </c>
      <c r="N311" s="29" t="e">
        <f>IF(D310="BUY",E310-(ROUND(F310*N310/B310,0)*B310),E310+(ROUND(F310*N310/B310,0)*B310))</f>
        <v>#DIV/0!</v>
      </c>
      <c r="O311" s="31" t="e">
        <f>IF(D311="BUY",N311-VLOOKUP(A311,Symbols!A$1:D$1000,4,FALSE),N311+VLOOKUP(A311,Symbols!A$1:D$1000,4,FALSE))</f>
        <v>#DIV/0!</v>
      </c>
      <c r="P311" s="29">
        <f>P310</f>
        <v>0</v>
      </c>
      <c r="Q311" s="29">
        <f>Q310</f>
        <v>0</v>
      </c>
      <c r="R311" s="29">
        <f>R310</f>
        <v>0</v>
      </c>
      <c r="S311" s="29">
        <f>S310</f>
        <v>0</v>
      </c>
      <c r="T311" s="29">
        <f>T310</f>
        <v>0</v>
      </c>
      <c r="U311" s="29" t="e">
        <f>DATEDIF(DATE(1970,1,1),U310,"D")*86400</f>
        <v>#NUM!</v>
      </c>
      <c r="V311" s="29">
        <f>HOUR(V310)*3600+MINUTE(V310)*60+SECOND(V310)</f>
        <v>0</v>
      </c>
      <c r="W311" s="29" t="e">
        <f>DATEDIF(DATE(1970,1,1),W310,"D")*86400</f>
        <v>#NUM!</v>
      </c>
      <c r="X311" s="29">
        <f>HOUR(X310)*3600+MINUTE(X310)*60+SECOND(X310)</f>
        <v>0</v>
      </c>
      <c r="Y311" s="31">
        <f>(Y310*B311)</f>
        <v>0</v>
      </c>
      <c r="Z311" s="29">
        <f>Z310</f>
        <v>0</v>
      </c>
      <c r="AA311" s="29" t="e">
        <f>DATEDIF(DATE(1970,1,1),AA310,"D")*86400</f>
        <v>#NUM!</v>
      </c>
      <c r="AB311" s="29">
        <f>HOUR(AB310)*3600+MINUTE(AB310)*60+SECOND(AB310)</f>
        <v>0</v>
      </c>
      <c r="AC311" s="29">
        <f>AC310</f>
        <v>0</v>
      </c>
    </row>
    <row r="312" spans="1:29">
      <c r="A312" s="23">
        <f>Parameters!A157</f>
        <v>0</v>
      </c>
      <c r="B312" s="23">
        <f>Parameters!B157</f>
        <v>0</v>
      </c>
      <c r="C312" s="24">
        <f>Parameters!C157</f>
        <v>0</v>
      </c>
      <c r="D312" s="24">
        <f>Parameters!D157</f>
        <v>0</v>
      </c>
      <c r="E312" s="23">
        <f>Parameters!E157</f>
        <v>0</v>
      </c>
      <c r="F312" s="23">
        <f>Parameters!F157</f>
        <v>0</v>
      </c>
      <c r="G312" s="25">
        <f>Parameters!G157</f>
        <v>0</v>
      </c>
      <c r="H312" s="25">
        <f>Parameters!H157</f>
        <v>0</v>
      </c>
      <c r="I312" s="25">
        <f>Parameters!I157</f>
        <v>0</v>
      </c>
      <c r="J312" s="25">
        <f>Parameters!J157</f>
        <v>0</v>
      </c>
      <c r="K312" s="25">
        <f>Parameters!K157</f>
        <v>0</v>
      </c>
      <c r="L312" s="26" t="e">
        <f t="shared" ref="L312" si="462">L313</f>
        <v>#DIV/0!</v>
      </c>
      <c r="M312" s="25">
        <f>Parameters!L157</f>
        <v>0</v>
      </c>
      <c r="N312" s="25">
        <f>Parameters!M157</f>
        <v>0</v>
      </c>
      <c r="O312" s="26" t="e">
        <f t="shared" ref="O312" si="463">O313</f>
        <v>#DIV/0!</v>
      </c>
      <c r="P312" s="23">
        <f>Parameters!N157</f>
        <v>0</v>
      </c>
      <c r="Q312" s="23">
        <f>Parameters!O157</f>
        <v>0</v>
      </c>
      <c r="R312" s="23">
        <f>Parameters!P157</f>
        <v>0</v>
      </c>
      <c r="S312" s="23">
        <f>Parameters!Q157</f>
        <v>0</v>
      </c>
      <c r="T312" s="23">
        <f>Parameters!R157</f>
        <v>0</v>
      </c>
      <c r="U312" s="27">
        <f>Parameters!S157</f>
        <v>0</v>
      </c>
      <c r="V312" s="28">
        <f>Parameters!T157</f>
        <v>0</v>
      </c>
      <c r="W312" s="27">
        <f>Parameters!U157</f>
        <v>0</v>
      </c>
      <c r="X312" s="28">
        <f>Parameters!V157</f>
        <v>0</v>
      </c>
      <c r="Y312" s="25">
        <f>Parameters!W157</f>
        <v>0</v>
      </c>
      <c r="Z312" s="23">
        <f>Parameters!X157</f>
        <v>0</v>
      </c>
      <c r="AA312" s="27">
        <f>Parameters!Y157</f>
        <v>0</v>
      </c>
      <c r="AB312" s="28">
        <f>Parameters!Z157</f>
        <v>0</v>
      </c>
      <c r="AC312" s="23">
        <f>Parameters!AA157</f>
        <v>0</v>
      </c>
    </row>
    <row r="313" spans="1:29">
      <c r="A313" s="29" t="str">
        <f>UPPER(A312)</f>
        <v>0</v>
      </c>
      <c r="B313" s="29">
        <f>B312</f>
        <v>0</v>
      </c>
      <c r="C313" s="30">
        <f>C312</f>
        <v>0</v>
      </c>
      <c r="D313" s="30">
        <f>D312</f>
        <v>0</v>
      </c>
      <c r="E313" s="29">
        <f>E312</f>
        <v>0</v>
      </c>
      <c r="F313" s="29">
        <f>F312</f>
        <v>0</v>
      </c>
      <c r="G313" s="29" t="e">
        <f>IF(C312=1,IF(D312="BUY",E312+(ROUND(F312*G312/B312,0)*B312),E312-(ROUND(F312*G312/B312,0)*B312)),IF(D312="BUY",E312-(ROUND(F312*G312/B312,0)*B312),E312+(ROUND(F312*G312/B312,0)*B312)))</f>
        <v>#DIV/0!</v>
      </c>
      <c r="H313" s="29" t="e">
        <f>IF(C312=1,IF(D312="BUY",G313-(ROUND(F312*H312/B312,0)*B312),G313+(ROUND(F312*H312/B312,0)*B312)),IF(D312="BUY",G313+(ROUND(F312*H312/B312,0)*B312),G313-(ROUND(F312*H312/B312,0)*B312)))</f>
        <v>#DIV/0!</v>
      </c>
      <c r="I313" s="29" t="e">
        <f>IF(D312="BUY",G313+(ROUND(F312*I312/(B312*100),0)*B312),G313-(ROUND(F312*I312/(B312*100),0)*B312))</f>
        <v>#DIV/0!</v>
      </c>
      <c r="J313" s="29" t="e">
        <f>IF(C312=1,IF(D312="BUY",E312+(ROUND(F312*J312/B312,0)*B312),E312-(ROUND(F312*J312/B312,0)*B312)),IF(D312="BUY",E312-(ROUND(F312*J312/B312,0)*B312),E312+(ROUND(F312*J312/B312,0)*B312)))</f>
        <v>#DIV/0!</v>
      </c>
      <c r="K313" s="29" t="e">
        <f>IF(C312=1,IF(D312="BUY",E312-(ROUND(F312*K312/B312,0)*B312),E312+(ROUND(F312*K312/B312,0)*B312)),IF(D312="BUY",E312-(ROUND(F312*K312/B312,0)*B312),E312+(ROUND(F312*K312/B312,0)*B312)))</f>
        <v>#DIV/0!</v>
      </c>
      <c r="L313" s="29" t="e">
        <f t="shared" ref="L313" si="464">IF(D313="BUY",I313+(R313*B313),I313-(R313*B313))</f>
        <v>#DIV/0!</v>
      </c>
      <c r="M313" s="29" t="e">
        <f>IF(D312="BUY",E312+(ROUND(F312*M312/B312,0)*B312),E312-(ROUND(F312*M312/B312,0)*B312))</f>
        <v>#DIV/0!</v>
      </c>
      <c r="N313" s="29" t="e">
        <f>IF(D312="BUY",E312-(ROUND(F312*N312/B312,0)*B312),E312+(ROUND(F312*N312/B312,0)*B312))</f>
        <v>#DIV/0!</v>
      </c>
      <c r="O313" s="31" t="e">
        <f>IF(D313="BUY",N313-VLOOKUP(A313,Symbols!A$1:D$1000,4,FALSE),N313+VLOOKUP(A313,Symbols!A$1:D$1000,4,FALSE))</f>
        <v>#DIV/0!</v>
      </c>
      <c r="P313" s="29">
        <f>P312</f>
        <v>0</v>
      </c>
      <c r="Q313" s="29">
        <f>Q312</f>
        <v>0</v>
      </c>
      <c r="R313" s="29">
        <f>R312</f>
        <v>0</v>
      </c>
      <c r="S313" s="29">
        <f>S312</f>
        <v>0</v>
      </c>
      <c r="T313" s="29">
        <f>T312</f>
        <v>0</v>
      </c>
      <c r="U313" s="29" t="e">
        <f>DATEDIF(DATE(1970,1,1),U312,"D")*86400</f>
        <v>#NUM!</v>
      </c>
      <c r="V313" s="29">
        <f>HOUR(V312)*3600+MINUTE(V312)*60+SECOND(V312)</f>
        <v>0</v>
      </c>
      <c r="W313" s="29" t="e">
        <f>DATEDIF(DATE(1970,1,1),W312,"D")*86400</f>
        <v>#NUM!</v>
      </c>
      <c r="X313" s="29">
        <f>HOUR(X312)*3600+MINUTE(X312)*60+SECOND(X312)</f>
        <v>0</v>
      </c>
      <c r="Y313" s="31">
        <f>(Y312*B313)</f>
        <v>0</v>
      </c>
      <c r="Z313" s="29">
        <f>Z312</f>
        <v>0</v>
      </c>
      <c r="AA313" s="29" t="e">
        <f>DATEDIF(DATE(1970,1,1),AA312,"D")*86400</f>
        <v>#NUM!</v>
      </c>
      <c r="AB313" s="29">
        <f>HOUR(AB312)*3600+MINUTE(AB312)*60+SECOND(AB312)</f>
        <v>0</v>
      </c>
      <c r="AC313" s="29">
        <f>AC312</f>
        <v>0</v>
      </c>
    </row>
    <row r="314" spans="1:29">
      <c r="A314" s="23">
        <f>Parameters!A158</f>
        <v>0</v>
      </c>
      <c r="B314" s="23">
        <f>Parameters!B158</f>
        <v>0</v>
      </c>
      <c r="C314" s="24">
        <f>Parameters!C158</f>
        <v>0</v>
      </c>
      <c r="D314" s="24">
        <f>Parameters!D158</f>
        <v>0</v>
      </c>
      <c r="E314" s="23">
        <f>Parameters!E158</f>
        <v>0</v>
      </c>
      <c r="F314" s="23">
        <f>Parameters!F158</f>
        <v>0</v>
      </c>
      <c r="G314" s="25">
        <f>Parameters!G158</f>
        <v>0</v>
      </c>
      <c r="H314" s="25">
        <f>Parameters!H158</f>
        <v>0</v>
      </c>
      <c r="I314" s="25">
        <f>Parameters!I158</f>
        <v>0</v>
      </c>
      <c r="J314" s="25">
        <f>Parameters!J158</f>
        <v>0</v>
      </c>
      <c r="K314" s="25">
        <f>Parameters!K158</f>
        <v>0</v>
      </c>
      <c r="L314" s="26" t="e">
        <f t="shared" ref="L314" si="465">L315</f>
        <v>#DIV/0!</v>
      </c>
      <c r="M314" s="25">
        <f>Parameters!L158</f>
        <v>0</v>
      </c>
      <c r="N314" s="25">
        <f>Parameters!M158</f>
        <v>0</v>
      </c>
      <c r="O314" s="26" t="e">
        <f t="shared" ref="O314" si="466">O315</f>
        <v>#DIV/0!</v>
      </c>
      <c r="P314" s="23">
        <f>Parameters!N158</f>
        <v>0</v>
      </c>
      <c r="Q314" s="23">
        <f>Parameters!O158</f>
        <v>0</v>
      </c>
      <c r="R314" s="23">
        <f>Parameters!P158</f>
        <v>0</v>
      </c>
      <c r="S314" s="23">
        <f>Parameters!Q158</f>
        <v>0</v>
      </c>
      <c r="T314" s="23">
        <f>Parameters!R158</f>
        <v>0</v>
      </c>
      <c r="U314" s="27">
        <f>Parameters!S158</f>
        <v>0</v>
      </c>
      <c r="V314" s="28">
        <f>Parameters!T158</f>
        <v>0</v>
      </c>
      <c r="W314" s="27">
        <f>Parameters!U158</f>
        <v>0</v>
      </c>
      <c r="X314" s="28">
        <f>Parameters!V158</f>
        <v>0</v>
      </c>
      <c r="Y314" s="25">
        <f>Parameters!W158</f>
        <v>0</v>
      </c>
      <c r="Z314" s="23">
        <f>Parameters!X158</f>
        <v>0</v>
      </c>
      <c r="AA314" s="27">
        <f>Parameters!Y158</f>
        <v>0</v>
      </c>
      <c r="AB314" s="28">
        <f>Parameters!Z158</f>
        <v>0</v>
      </c>
      <c r="AC314" s="23">
        <f>Parameters!AA158</f>
        <v>0</v>
      </c>
    </row>
    <row r="315" spans="1:29">
      <c r="A315" s="29" t="str">
        <f>UPPER(A314)</f>
        <v>0</v>
      </c>
      <c r="B315" s="29">
        <f>B314</f>
        <v>0</v>
      </c>
      <c r="C315" s="30">
        <f>C314</f>
        <v>0</v>
      </c>
      <c r="D315" s="30">
        <f>D314</f>
        <v>0</v>
      </c>
      <c r="E315" s="29">
        <f>E314</f>
        <v>0</v>
      </c>
      <c r="F315" s="29">
        <f>F314</f>
        <v>0</v>
      </c>
      <c r="G315" s="29" t="e">
        <f>IF(C314=1,IF(D314="BUY",E314+(ROUND(F314*G314/B314,0)*B314),E314-(ROUND(F314*G314/B314,0)*B314)),IF(D314="BUY",E314-(ROUND(F314*G314/B314,0)*B314),E314+(ROUND(F314*G314/B314,0)*B314)))</f>
        <v>#DIV/0!</v>
      </c>
      <c r="H315" s="29" t="e">
        <f>IF(C314=1,IF(D314="BUY",G315-(ROUND(F314*H314/B314,0)*B314),G315+(ROUND(F314*H314/B314,0)*B314)),IF(D314="BUY",G315+(ROUND(F314*H314/B314,0)*B314),G315-(ROUND(F314*H314/B314,0)*B314)))</f>
        <v>#DIV/0!</v>
      </c>
      <c r="I315" s="29" t="e">
        <f>IF(D314="BUY",G315+(ROUND(F314*I314/(B314*100),0)*B314),G315-(ROUND(F314*I314/(B314*100),0)*B314))</f>
        <v>#DIV/0!</v>
      </c>
      <c r="J315" s="29" t="e">
        <f>IF(C314=1,IF(D314="BUY",E314+(ROUND(F314*J314/B314,0)*B314),E314-(ROUND(F314*J314/B314,0)*B314)),IF(D314="BUY",E314-(ROUND(F314*J314/B314,0)*B314),E314+(ROUND(F314*J314/B314,0)*B314)))</f>
        <v>#DIV/0!</v>
      </c>
      <c r="K315" s="29" t="e">
        <f>IF(C314=1,IF(D314="BUY",E314-(ROUND(F314*K314/B314,0)*B314),E314+(ROUND(F314*K314/B314,0)*B314)),IF(D314="BUY",E314-(ROUND(F314*K314/B314,0)*B314),E314+(ROUND(F314*K314/B314,0)*B314)))</f>
        <v>#DIV/0!</v>
      </c>
      <c r="L315" s="29" t="e">
        <f t="shared" ref="L315" si="467">IF(D315="BUY",I315+(R315*B315),I315-(R315*B315))</f>
        <v>#DIV/0!</v>
      </c>
      <c r="M315" s="29" t="e">
        <f>IF(D314="BUY",E314+(ROUND(F314*M314/B314,0)*B314),E314-(ROUND(F314*M314/B314,0)*B314))</f>
        <v>#DIV/0!</v>
      </c>
      <c r="N315" s="29" t="e">
        <f>IF(D314="BUY",E314-(ROUND(F314*N314/B314,0)*B314),E314+(ROUND(F314*N314/B314,0)*B314))</f>
        <v>#DIV/0!</v>
      </c>
      <c r="O315" s="31" t="e">
        <f>IF(D315="BUY",N315-VLOOKUP(A315,Symbols!A$1:D$1000,4,FALSE),N315+VLOOKUP(A315,Symbols!A$1:D$1000,4,FALSE))</f>
        <v>#DIV/0!</v>
      </c>
      <c r="P315" s="29">
        <f>P314</f>
        <v>0</v>
      </c>
      <c r="Q315" s="29">
        <f>Q314</f>
        <v>0</v>
      </c>
      <c r="R315" s="29">
        <f>R314</f>
        <v>0</v>
      </c>
      <c r="S315" s="29">
        <f>S314</f>
        <v>0</v>
      </c>
      <c r="T315" s="29">
        <f>T314</f>
        <v>0</v>
      </c>
      <c r="U315" s="29" t="e">
        <f>DATEDIF(DATE(1970,1,1),U314,"D")*86400</f>
        <v>#NUM!</v>
      </c>
      <c r="V315" s="29">
        <f>HOUR(V314)*3600+MINUTE(V314)*60+SECOND(V314)</f>
        <v>0</v>
      </c>
      <c r="W315" s="29" t="e">
        <f>DATEDIF(DATE(1970,1,1),W314,"D")*86400</f>
        <v>#NUM!</v>
      </c>
      <c r="X315" s="29">
        <f>HOUR(X314)*3600+MINUTE(X314)*60+SECOND(X314)</f>
        <v>0</v>
      </c>
      <c r="Y315" s="31">
        <f>(Y314*B315)</f>
        <v>0</v>
      </c>
      <c r="Z315" s="29">
        <f>Z314</f>
        <v>0</v>
      </c>
      <c r="AA315" s="29" t="e">
        <f>DATEDIF(DATE(1970,1,1),AA314,"D")*86400</f>
        <v>#NUM!</v>
      </c>
      <c r="AB315" s="29">
        <f>HOUR(AB314)*3600+MINUTE(AB314)*60+SECOND(AB314)</f>
        <v>0</v>
      </c>
      <c r="AC315" s="29">
        <f>AC314</f>
        <v>0</v>
      </c>
    </row>
    <row r="316" spans="1:29">
      <c r="A316" s="23">
        <f>Parameters!A159</f>
        <v>0</v>
      </c>
      <c r="B316" s="23">
        <f>Parameters!B159</f>
        <v>0</v>
      </c>
      <c r="C316" s="24">
        <f>Parameters!C159</f>
        <v>0</v>
      </c>
      <c r="D316" s="24">
        <f>Parameters!D159</f>
        <v>0</v>
      </c>
      <c r="E316" s="23">
        <f>Parameters!E159</f>
        <v>0</v>
      </c>
      <c r="F316" s="23">
        <f>Parameters!F159</f>
        <v>0</v>
      </c>
      <c r="G316" s="25">
        <f>Parameters!G159</f>
        <v>0</v>
      </c>
      <c r="H316" s="25">
        <f>Parameters!H159</f>
        <v>0</v>
      </c>
      <c r="I316" s="25">
        <f>Parameters!I159</f>
        <v>0</v>
      </c>
      <c r="J316" s="25">
        <f>Parameters!J159</f>
        <v>0</v>
      </c>
      <c r="K316" s="25">
        <f>Parameters!K159</f>
        <v>0</v>
      </c>
      <c r="L316" s="26" t="e">
        <f t="shared" ref="L316" si="468">L317</f>
        <v>#DIV/0!</v>
      </c>
      <c r="M316" s="25">
        <f>Parameters!L159</f>
        <v>0</v>
      </c>
      <c r="N316" s="25">
        <f>Parameters!M159</f>
        <v>0</v>
      </c>
      <c r="O316" s="26" t="e">
        <f t="shared" ref="O316" si="469">O317</f>
        <v>#DIV/0!</v>
      </c>
      <c r="P316" s="23">
        <f>Parameters!N159</f>
        <v>0</v>
      </c>
      <c r="Q316" s="23">
        <f>Parameters!O159</f>
        <v>0</v>
      </c>
      <c r="R316" s="23">
        <f>Parameters!P159</f>
        <v>0</v>
      </c>
      <c r="S316" s="23">
        <f>Parameters!Q159</f>
        <v>0</v>
      </c>
      <c r="T316" s="23">
        <f>Parameters!R159</f>
        <v>0</v>
      </c>
      <c r="U316" s="27">
        <f>Parameters!S159</f>
        <v>0</v>
      </c>
      <c r="V316" s="28">
        <f>Parameters!T159</f>
        <v>0</v>
      </c>
      <c r="W316" s="27">
        <f>Parameters!U159</f>
        <v>0</v>
      </c>
      <c r="X316" s="28">
        <f>Parameters!V159</f>
        <v>0</v>
      </c>
      <c r="Y316" s="25">
        <f>Parameters!W159</f>
        <v>0</v>
      </c>
      <c r="Z316" s="23">
        <f>Parameters!X159</f>
        <v>0</v>
      </c>
      <c r="AA316" s="27">
        <f>Parameters!Y159</f>
        <v>0</v>
      </c>
      <c r="AB316" s="28">
        <f>Parameters!Z159</f>
        <v>0</v>
      </c>
      <c r="AC316" s="23">
        <f>Parameters!AA159</f>
        <v>0</v>
      </c>
    </row>
    <row r="317" spans="1:29">
      <c r="A317" s="29" t="str">
        <f>UPPER(A316)</f>
        <v>0</v>
      </c>
      <c r="B317" s="29">
        <f>B316</f>
        <v>0</v>
      </c>
      <c r="C317" s="30">
        <f>C316</f>
        <v>0</v>
      </c>
      <c r="D317" s="30">
        <f>D316</f>
        <v>0</v>
      </c>
      <c r="E317" s="29">
        <f>E316</f>
        <v>0</v>
      </c>
      <c r="F317" s="29">
        <f>F316</f>
        <v>0</v>
      </c>
      <c r="G317" s="29" t="e">
        <f>IF(C316=1,IF(D316="BUY",E316+(ROUND(F316*G316/B316,0)*B316),E316-(ROUND(F316*G316/B316,0)*B316)),IF(D316="BUY",E316-(ROUND(F316*G316/B316,0)*B316),E316+(ROUND(F316*G316/B316,0)*B316)))</f>
        <v>#DIV/0!</v>
      </c>
      <c r="H317" s="29" t="e">
        <f>IF(C316=1,IF(D316="BUY",G317-(ROUND(F316*H316/B316,0)*B316),G317+(ROUND(F316*H316/B316,0)*B316)),IF(D316="BUY",G317+(ROUND(F316*H316/B316,0)*B316),G317-(ROUND(F316*H316/B316,0)*B316)))</f>
        <v>#DIV/0!</v>
      </c>
      <c r="I317" s="29" t="e">
        <f>IF(D316="BUY",G317+(ROUND(F316*I316/(B316*100),0)*B316),G317-(ROUND(F316*I316/(B316*100),0)*B316))</f>
        <v>#DIV/0!</v>
      </c>
      <c r="J317" s="29" t="e">
        <f>IF(C316=1,IF(D316="BUY",E316+(ROUND(F316*J316/B316,0)*B316),E316-(ROUND(F316*J316/B316,0)*B316)),IF(D316="BUY",E316-(ROUND(F316*J316/B316,0)*B316),E316+(ROUND(F316*J316/B316,0)*B316)))</f>
        <v>#DIV/0!</v>
      </c>
      <c r="K317" s="29" t="e">
        <f>IF(C316=1,IF(D316="BUY",E316-(ROUND(F316*K316/B316,0)*B316),E316+(ROUND(F316*K316/B316,0)*B316)),IF(D316="BUY",E316-(ROUND(F316*K316/B316,0)*B316),E316+(ROUND(F316*K316/B316,0)*B316)))</f>
        <v>#DIV/0!</v>
      </c>
      <c r="L317" s="29" t="e">
        <f t="shared" ref="L317" si="470">IF(D317="BUY",I317+(R317*B317),I317-(R317*B317))</f>
        <v>#DIV/0!</v>
      </c>
      <c r="M317" s="29" t="e">
        <f>IF(D316="BUY",E316+(ROUND(F316*M316/B316,0)*B316),E316-(ROUND(F316*M316/B316,0)*B316))</f>
        <v>#DIV/0!</v>
      </c>
      <c r="N317" s="29" t="e">
        <f>IF(D316="BUY",E316-(ROUND(F316*N316/B316,0)*B316),E316+(ROUND(F316*N316/B316,0)*B316))</f>
        <v>#DIV/0!</v>
      </c>
      <c r="O317" s="31" t="e">
        <f>IF(D317="BUY",N317-VLOOKUP(A317,Symbols!A$1:D$1000,4,FALSE),N317+VLOOKUP(A317,Symbols!A$1:D$1000,4,FALSE))</f>
        <v>#DIV/0!</v>
      </c>
      <c r="P317" s="29">
        <f>P316</f>
        <v>0</v>
      </c>
      <c r="Q317" s="29">
        <f>Q316</f>
        <v>0</v>
      </c>
      <c r="R317" s="29">
        <f>R316</f>
        <v>0</v>
      </c>
      <c r="S317" s="29">
        <f>S316</f>
        <v>0</v>
      </c>
      <c r="T317" s="29">
        <f>T316</f>
        <v>0</v>
      </c>
      <c r="U317" s="29" t="e">
        <f>DATEDIF(DATE(1970,1,1),U316,"D")*86400</f>
        <v>#NUM!</v>
      </c>
      <c r="V317" s="29">
        <f>HOUR(V316)*3600+MINUTE(V316)*60+SECOND(V316)</f>
        <v>0</v>
      </c>
      <c r="W317" s="29" t="e">
        <f>DATEDIF(DATE(1970,1,1),W316,"D")*86400</f>
        <v>#NUM!</v>
      </c>
      <c r="X317" s="29">
        <f>HOUR(X316)*3600+MINUTE(X316)*60+SECOND(X316)</f>
        <v>0</v>
      </c>
      <c r="Y317" s="31">
        <f>(Y316*B317)</f>
        <v>0</v>
      </c>
      <c r="Z317" s="29">
        <f>Z316</f>
        <v>0</v>
      </c>
      <c r="AA317" s="29" t="e">
        <f>DATEDIF(DATE(1970,1,1),AA316,"D")*86400</f>
        <v>#NUM!</v>
      </c>
      <c r="AB317" s="29">
        <f>HOUR(AB316)*3600+MINUTE(AB316)*60+SECOND(AB316)</f>
        <v>0</v>
      </c>
      <c r="AC317" s="29">
        <f>AC316</f>
        <v>0</v>
      </c>
    </row>
    <row r="318" spans="1:29">
      <c r="A318" s="23">
        <f>Parameters!A160</f>
        <v>0</v>
      </c>
      <c r="B318" s="23">
        <f>Parameters!B160</f>
        <v>0</v>
      </c>
      <c r="C318" s="24">
        <f>Parameters!C160</f>
        <v>0</v>
      </c>
      <c r="D318" s="24">
        <f>Parameters!D160</f>
        <v>0</v>
      </c>
      <c r="E318" s="23">
        <f>Parameters!E160</f>
        <v>0</v>
      </c>
      <c r="F318" s="23">
        <f>Parameters!F160</f>
        <v>0</v>
      </c>
      <c r="G318" s="25">
        <f>Parameters!G160</f>
        <v>0</v>
      </c>
      <c r="H318" s="25">
        <f>Parameters!H160</f>
        <v>0</v>
      </c>
      <c r="I318" s="25">
        <f>Parameters!I160</f>
        <v>0</v>
      </c>
      <c r="J318" s="25">
        <f>Parameters!J160</f>
        <v>0</v>
      </c>
      <c r="K318" s="25">
        <f>Parameters!K160</f>
        <v>0</v>
      </c>
      <c r="L318" s="26" t="e">
        <f t="shared" ref="L318" si="471">L319</f>
        <v>#DIV/0!</v>
      </c>
      <c r="M318" s="25">
        <f>Parameters!L160</f>
        <v>0</v>
      </c>
      <c r="N318" s="25">
        <f>Parameters!M160</f>
        <v>0</v>
      </c>
      <c r="O318" s="26" t="e">
        <f t="shared" ref="O318" si="472">O319</f>
        <v>#DIV/0!</v>
      </c>
      <c r="P318" s="23">
        <f>Parameters!N160</f>
        <v>0</v>
      </c>
      <c r="Q318" s="23">
        <f>Parameters!O160</f>
        <v>0</v>
      </c>
      <c r="R318" s="23">
        <f>Parameters!P160</f>
        <v>0</v>
      </c>
      <c r="S318" s="23">
        <f>Parameters!Q160</f>
        <v>0</v>
      </c>
      <c r="T318" s="23">
        <f>Parameters!R160</f>
        <v>0</v>
      </c>
      <c r="U318" s="27">
        <f>Parameters!S160</f>
        <v>0</v>
      </c>
      <c r="V318" s="28">
        <f>Parameters!T160</f>
        <v>0</v>
      </c>
      <c r="W318" s="27">
        <f>Parameters!U160</f>
        <v>0</v>
      </c>
      <c r="X318" s="28">
        <f>Parameters!V160</f>
        <v>0</v>
      </c>
      <c r="Y318" s="25">
        <f>Parameters!W160</f>
        <v>0</v>
      </c>
      <c r="Z318" s="23">
        <f>Parameters!X160</f>
        <v>0</v>
      </c>
      <c r="AA318" s="27">
        <f>Parameters!Y160</f>
        <v>0</v>
      </c>
      <c r="AB318" s="28">
        <f>Parameters!Z160</f>
        <v>0</v>
      </c>
      <c r="AC318" s="23">
        <f>Parameters!AA160</f>
        <v>0</v>
      </c>
    </row>
    <row r="319" spans="1:29">
      <c r="A319" s="29" t="str">
        <f>UPPER(A318)</f>
        <v>0</v>
      </c>
      <c r="B319" s="29">
        <f>B318</f>
        <v>0</v>
      </c>
      <c r="C319" s="30">
        <f>C318</f>
        <v>0</v>
      </c>
      <c r="D319" s="30">
        <f>D318</f>
        <v>0</v>
      </c>
      <c r="E319" s="29">
        <f>E318</f>
        <v>0</v>
      </c>
      <c r="F319" s="29">
        <f>F318</f>
        <v>0</v>
      </c>
      <c r="G319" s="29" t="e">
        <f>IF(C318=1,IF(D318="BUY",E318+(ROUND(F318*G318/B318,0)*B318),E318-(ROUND(F318*G318/B318,0)*B318)),IF(D318="BUY",E318-(ROUND(F318*G318/B318,0)*B318),E318+(ROUND(F318*G318/B318,0)*B318)))</f>
        <v>#DIV/0!</v>
      </c>
      <c r="H319" s="29" t="e">
        <f>IF(C318=1,IF(D318="BUY",G319-(ROUND(F318*H318/B318,0)*B318),G319+(ROUND(F318*H318/B318,0)*B318)),IF(D318="BUY",G319+(ROUND(F318*H318/B318,0)*B318),G319-(ROUND(F318*H318/B318,0)*B318)))</f>
        <v>#DIV/0!</v>
      </c>
      <c r="I319" s="29" t="e">
        <f>IF(D318="BUY",G319+(ROUND(F318*I318/(B318*100),0)*B318),G319-(ROUND(F318*I318/(B318*100),0)*B318))</f>
        <v>#DIV/0!</v>
      </c>
      <c r="J319" s="29" t="e">
        <f>IF(C318=1,IF(D318="BUY",E318+(ROUND(F318*J318/B318,0)*B318),E318-(ROUND(F318*J318/B318,0)*B318)),IF(D318="BUY",E318-(ROUND(F318*J318/B318,0)*B318),E318+(ROUND(F318*J318/B318,0)*B318)))</f>
        <v>#DIV/0!</v>
      </c>
      <c r="K319" s="29" t="e">
        <f>IF(C318=1,IF(D318="BUY",E318-(ROUND(F318*K318/B318,0)*B318),E318+(ROUND(F318*K318/B318,0)*B318)),IF(D318="BUY",E318-(ROUND(F318*K318/B318,0)*B318),E318+(ROUND(F318*K318/B318,0)*B318)))</f>
        <v>#DIV/0!</v>
      </c>
      <c r="L319" s="29" t="e">
        <f t="shared" ref="L319" si="473">IF(D319="BUY",I319+(R319*B319),I319-(R319*B319))</f>
        <v>#DIV/0!</v>
      </c>
      <c r="M319" s="29" t="e">
        <f>IF(D318="BUY",E318+(ROUND(F318*M318/B318,0)*B318),E318-(ROUND(F318*M318/B318,0)*B318))</f>
        <v>#DIV/0!</v>
      </c>
      <c r="N319" s="29" t="e">
        <f>IF(D318="BUY",E318-(ROUND(F318*N318/B318,0)*B318),E318+(ROUND(F318*N318/B318,0)*B318))</f>
        <v>#DIV/0!</v>
      </c>
      <c r="O319" s="31" t="e">
        <f>IF(D319="BUY",N319-VLOOKUP(A319,Symbols!A$1:D$1000,4,FALSE),N319+VLOOKUP(A319,Symbols!A$1:D$1000,4,FALSE))</f>
        <v>#DIV/0!</v>
      </c>
      <c r="P319" s="29">
        <f>P318</f>
        <v>0</v>
      </c>
      <c r="Q319" s="29">
        <f>Q318</f>
        <v>0</v>
      </c>
      <c r="R319" s="29">
        <f>R318</f>
        <v>0</v>
      </c>
      <c r="S319" s="29">
        <f>S318</f>
        <v>0</v>
      </c>
      <c r="T319" s="29">
        <f>T318</f>
        <v>0</v>
      </c>
      <c r="U319" s="29" t="e">
        <f>DATEDIF(DATE(1970,1,1),U318,"D")*86400</f>
        <v>#NUM!</v>
      </c>
      <c r="V319" s="29">
        <f>HOUR(V318)*3600+MINUTE(V318)*60+SECOND(V318)</f>
        <v>0</v>
      </c>
      <c r="W319" s="29" t="e">
        <f>DATEDIF(DATE(1970,1,1),W318,"D")*86400</f>
        <v>#NUM!</v>
      </c>
      <c r="X319" s="29">
        <f>HOUR(X318)*3600+MINUTE(X318)*60+SECOND(X318)</f>
        <v>0</v>
      </c>
      <c r="Y319" s="31">
        <f>(Y318*B319)</f>
        <v>0</v>
      </c>
      <c r="Z319" s="29">
        <f>Z318</f>
        <v>0</v>
      </c>
      <c r="AA319" s="29" t="e">
        <f>DATEDIF(DATE(1970,1,1),AA318,"D")*86400</f>
        <v>#NUM!</v>
      </c>
      <c r="AB319" s="29">
        <f>HOUR(AB318)*3600+MINUTE(AB318)*60+SECOND(AB318)</f>
        <v>0</v>
      </c>
      <c r="AC319" s="29">
        <f>AC318</f>
        <v>0</v>
      </c>
    </row>
    <row r="320" spans="1:29">
      <c r="A320" s="23">
        <f>Parameters!A161</f>
        <v>0</v>
      </c>
      <c r="B320" s="23">
        <f>Parameters!B161</f>
        <v>0</v>
      </c>
      <c r="C320" s="24">
        <f>Parameters!C161</f>
        <v>0</v>
      </c>
      <c r="D320" s="24">
        <f>Parameters!D161</f>
        <v>0</v>
      </c>
      <c r="E320" s="23">
        <f>Parameters!E161</f>
        <v>0</v>
      </c>
      <c r="F320" s="23">
        <f>Parameters!F161</f>
        <v>0</v>
      </c>
      <c r="G320" s="25">
        <f>Parameters!G161</f>
        <v>0</v>
      </c>
      <c r="H320" s="25">
        <f>Parameters!H161</f>
        <v>0</v>
      </c>
      <c r="I320" s="25">
        <f>Parameters!I161</f>
        <v>0</v>
      </c>
      <c r="J320" s="25">
        <f>Parameters!J161</f>
        <v>0</v>
      </c>
      <c r="K320" s="25">
        <f>Parameters!K161</f>
        <v>0</v>
      </c>
      <c r="L320" s="26" t="e">
        <f t="shared" ref="L320" si="474">L321</f>
        <v>#DIV/0!</v>
      </c>
      <c r="M320" s="25">
        <f>Parameters!L161</f>
        <v>0</v>
      </c>
      <c r="N320" s="25">
        <f>Parameters!M161</f>
        <v>0</v>
      </c>
      <c r="O320" s="26" t="e">
        <f t="shared" ref="O320" si="475">O321</f>
        <v>#DIV/0!</v>
      </c>
      <c r="P320" s="23">
        <f>Parameters!N161</f>
        <v>0</v>
      </c>
      <c r="Q320" s="23">
        <f>Parameters!O161</f>
        <v>0</v>
      </c>
      <c r="R320" s="23">
        <f>Parameters!P161</f>
        <v>0</v>
      </c>
      <c r="S320" s="23">
        <f>Parameters!Q161</f>
        <v>0</v>
      </c>
      <c r="T320" s="23">
        <f>Parameters!R161</f>
        <v>0</v>
      </c>
      <c r="U320" s="27">
        <f>Parameters!S161</f>
        <v>0</v>
      </c>
      <c r="V320" s="28">
        <f>Parameters!T161</f>
        <v>0</v>
      </c>
      <c r="W320" s="27">
        <f>Parameters!U161</f>
        <v>0</v>
      </c>
      <c r="X320" s="28">
        <f>Parameters!V161</f>
        <v>0</v>
      </c>
      <c r="Y320" s="25">
        <f>Parameters!W161</f>
        <v>0</v>
      </c>
      <c r="Z320" s="23">
        <f>Parameters!X161</f>
        <v>0</v>
      </c>
      <c r="AA320" s="27">
        <f>Parameters!Y161</f>
        <v>0</v>
      </c>
      <c r="AB320" s="28">
        <f>Parameters!Z161</f>
        <v>0</v>
      </c>
      <c r="AC320" s="23">
        <f>Parameters!AA161</f>
        <v>0</v>
      </c>
    </row>
    <row r="321" spans="1:29">
      <c r="A321" s="29" t="str">
        <f>UPPER(A320)</f>
        <v>0</v>
      </c>
      <c r="B321" s="29">
        <f>B320</f>
        <v>0</v>
      </c>
      <c r="C321" s="30">
        <f>C320</f>
        <v>0</v>
      </c>
      <c r="D321" s="30">
        <f>D320</f>
        <v>0</v>
      </c>
      <c r="E321" s="29">
        <f>E320</f>
        <v>0</v>
      </c>
      <c r="F321" s="29">
        <f>F320</f>
        <v>0</v>
      </c>
      <c r="G321" s="29" t="e">
        <f>IF(C320=1,IF(D320="BUY",E320+(ROUND(F320*G320/B320,0)*B320),E320-(ROUND(F320*G320/B320,0)*B320)),IF(D320="BUY",E320-(ROUND(F320*G320/B320,0)*B320),E320+(ROUND(F320*G320/B320,0)*B320)))</f>
        <v>#DIV/0!</v>
      </c>
      <c r="H321" s="29" t="e">
        <f>IF(C320=1,IF(D320="BUY",G321-(ROUND(F320*H320/B320,0)*B320),G321+(ROUND(F320*H320/B320,0)*B320)),IF(D320="BUY",G321+(ROUND(F320*H320/B320,0)*B320),G321-(ROUND(F320*H320/B320,0)*B320)))</f>
        <v>#DIV/0!</v>
      </c>
      <c r="I321" s="29" t="e">
        <f>IF(D320="BUY",G321+(ROUND(F320*I320/(B320*100),0)*B320),G321-(ROUND(F320*I320/(B320*100),0)*B320))</f>
        <v>#DIV/0!</v>
      </c>
      <c r="J321" s="29" t="e">
        <f>IF(C320=1,IF(D320="BUY",E320+(ROUND(F320*J320/B320,0)*B320),E320-(ROUND(F320*J320/B320,0)*B320)),IF(D320="BUY",E320-(ROUND(F320*J320/B320,0)*B320),E320+(ROUND(F320*J320/B320,0)*B320)))</f>
        <v>#DIV/0!</v>
      </c>
      <c r="K321" s="29" t="e">
        <f>IF(C320=1,IF(D320="BUY",E320-(ROUND(F320*K320/B320,0)*B320),E320+(ROUND(F320*K320/B320,0)*B320)),IF(D320="BUY",E320-(ROUND(F320*K320/B320,0)*B320),E320+(ROUND(F320*K320/B320,0)*B320)))</f>
        <v>#DIV/0!</v>
      </c>
      <c r="L321" s="29" t="e">
        <f t="shared" ref="L321" si="476">IF(D321="BUY",I321+(R321*B321),I321-(R321*B321))</f>
        <v>#DIV/0!</v>
      </c>
      <c r="M321" s="29" t="e">
        <f>IF(D320="BUY",E320+(ROUND(F320*M320/B320,0)*B320),E320-(ROUND(F320*M320/B320,0)*B320))</f>
        <v>#DIV/0!</v>
      </c>
      <c r="N321" s="29" t="e">
        <f>IF(D320="BUY",E320-(ROUND(F320*N320/B320,0)*B320),E320+(ROUND(F320*N320/B320,0)*B320))</f>
        <v>#DIV/0!</v>
      </c>
      <c r="O321" s="31" t="e">
        <f>IF(D321="BUY",N321-VLOOKUP(A321,Symbols!A$1:D$1000,4,FALSE),N321+VLOOKUP(A321,Symbols!A$1:D$1000,4,FALSE))</f>
        <v>#DIV/0!</v>
      </c>
      <c r="P321" s="29">
        <f>P320</f>
        <v>0</v>
      </c>
      <c r="Q321" s="29">
        <f>Q320</f>
        <v>0</v>
      </c>
      <c r="R321" s="29">
        <f>R320</f>
        <v>0</v>
      </c>
      <c r="S321" s="29">
        <f>S320</f>
        <v>0</v>
      </c>
      <c r="T321" s="29">
        <f>T320</f>
        <v>0</v>
      </c>
      <c r="U321" s="29" t="e">
        <f>DATEDIF(DATE(1970,1,1),U320,"D")*86400</f>
        <v>#NUM!</v>
      </c>
      <c r="V321" s="29">
        <f>HOUR(V320)*3600+MINUTE(V320)*60+SECOND(V320)</f>
        <v>0</v>
      </c>
      <c r="W321" s="29" t="e">
        <f>DATEDIF(DATE(1970,1,1),W320,"D")*86400</f>
        <v>#NUM!</v>
      </c>
      <c r="X321" s="29">
        <f>HOUR(X320)*3600+MINUTE(X320)*60+SECOND(X320)</f>
        <v>0</v>
      </c>
      <c r="Y321" s="31">
        <f>(Y320*B321)</f>
        <v>0</v>
      </c>
      <c r="Z321" s="29">
        <f>Z320</f>
        <v>0</v>
      </c>
      <c r="AA321" s="29" t="e">
        <f>DATEDIF(DATE(1970,1,1),AA320,"D")*86400</f>
        <v>#NUM!</v>
      </c>
      <c r="AB321" s="29">
        <f>HOUR(AB320)*3600+MINUTE(AB320)*60+SECOND(AB320)</f>
        <v>0</v>
      </c>
      <c r="AC321" s="29">
        <f>AC320</f>
        <v>0</v>
      </c>
    </row>
    <row r="322" spans="1:29">
      <c r="A322" s="23">
        <f>Parameters!A162</f>
        <v>0</v>
      </c>
      <c r="B322" s="23">
        <f>Parameters!B162</f>
        <v>0</v>
      </c>
      <c r="C322" s="24">
        <f>Parameters!C162</f>
        <v>0</v>
      </c>
      <c r="D322" s="24">
        <f>Parameters!D162</f>
        <v>0</v>
      </c>
      <c r="E322" s="23">
        <f>Parameters!E162</f>
        <v>0</v>
      </c>
      <c r="F322" s="23">
        <f>Parameters!F162</f>
        <v>0</v>
      </c>
      <c r="G322" s="25">
        <f>Parameters!G162</f>
        <v>0</v>
      </c>
      <c r="H322" s="25">
        <f>Parameters!H162</f>
        <v>0</v>
      </c>
      <c r="I322" s="25">
        <f>Parameters!I162</f>
        <v>0</v>
      </c>
      <c r="J322" s="25">
        <f>Parameters!J162</f>
        <v>0</v>
      </c>
      <c r="K322" s="25">
        <f>Parameters!K162</f>
        <v>0</v>
      </c>
      <c r="L322" s="26" t="e">
        <f t="shared" ref="L322" si="477">L323</f>
        <v>#DIV/0!</v>
      </c>
      <c r="M322" s="25">
        <f>Parameters!L162</f>
        <v>0</v>
      </c>
      <c r="N322" s="25">
        <f>Parameters!M162</f>
        <v>0</v>
      </c>
      <c r="O322" s="26" t="e">
        <f t="shared" ref="O322" si="478">O323</f>
        <v>#DIV/0!</v>
      </c>
      <c r="P322" s="23">
        <f>Parameters!N162</f>
        <v>0</v>
      </c>
      <c r="Q322" s="23">
        <f>Parameters!O162</f>
        <v>0</v>
      </c>
      <c r="R322" s="23">
        <f>Parameters!P162</f>
        <v>0</v>
      </c>
      <c r="S322" s="23">
        <f>Parameters!Q162</f>
        <v>0</v>
      </c>
      <c r="T322" s="23">
        <f>Parameters!R162</f>
        <v>0</v>
      </c>
      <c r="U322" s="27">
        <f>Parameters!S162</f>
        <v>0</v>
      </c>
      <c r="V322" s="28">
        <f>Parameters!T162</f>
        <v>0</v>
      </c>
      <c r="W322" s="27">
        <f>Parameters!U162</f>
        <v>0</v>
      </c>
      <c r="X322" s="28">
        <f>Parameters!V162</f>
        <v>0</v>
      </c>
      <c r="Y322" s="25">
        <f>Parameters!W162</f>
        <v>0</v>
      </c>
      <c r="Z322" s="23">
        <f>Parameters!X162</f>
        <v>0</v>
      </c>
      <c r="AA322" s="27">
        <f>Parameters!Y162</f>
        <v>0</v>
      </c>
      <c r="AB322" s="28">
        <f>Parameters!Z162</f>
        <v>0</v>
      </c>
      <c r="AC322" s="23">
        <f>Parameters!AA162</f>
        <v>0</v>
      </c>
    </row>
    <row r="323" spans="1:29">
      <c r="A323" s="29" t="str">
        <f>UPPER(A322)</f>
        <v>0</v>
      </c>
      <c r="B323" s="29">
        <f>B322</f>
        <v>0</v>
      </c>
      <c r="C323" s="30">
        <f>C322</f>
        <v>0</v>
      </c>
      <c r="D323" s="30">
        <f>D322</f>
        <v>0</v>
      </c>
      <c r="E323" s="29">
        <f>E322</f>
        <v>0</v>
      </c>
      <c r="F323" s="29">
        <f>F322</f>
        <v>0</v>
      </c>
      <c r="G323" s="29" t="e">
        <f>IF(C322=1,IF(D322="BUY",E322+(ROUND(F322*G322/B322,0)*B322),E322-(ROUND(F322*G322/B322,0)*B322)),IF(D322="BUY",E322-(ROUND(F322*G322/B322,0)*B322),E322+(ROUND(F322*G322/B322,0)*B322)))</f>
        <v>#DIV/0!</v>
      </c>
      <c r="H323" s="29" t="e">
        <f>IF(C322=1,IF(D322="BUY",G323-(ROUND(F322*H322/B322,0)*B322),G323+(ROUND(F322*H322/B322,0)*B322)),IF(D322="BUY",G323+(ROUND(F322*H322/B322,0)*B322),G323-(ROUND(F322*H322/B322,0)*B322)))</f>
        <v>#DIV/0!</v>
      </c>
      <c r="I323" s="29" t="e">
        <f>IF(D322="BUY",G323+(ROUND(F322*I322/(B322*100),0)*B322),G323-(ROUND(F322*I322/(B322*100),0)*B322))</f>
        <v>#DIV/0!</v>
      </c>
      <c r="J323" s="29" t="e">
        <f>IF(C322=1,IF(D322="BUY",E322+(ROUND(F322*J322/B322,0)*B322),E322-(ROUND(F322*J322/B322,0)*B322)),IF(D322="BUY",E322-(ROUND(F322*J322/B322,0)*B322),E322+(ROUND(F322*J322/B322,0)*B322)))</f>
        <v>#DIV/0!</v>
      </c>
      <c r="K323" s="29" t="e">
        <f>IF(C322=1,IF(D322="BUY",E322-(ROUND(F322*K322/B322,0)*B322),E322+(ROUND(F322*K322/B322,0)*B322)),IF(D322="BUY",E322-(ROUND(F322*K322/B322,0)*B322),E322+(ROUND(F322*K322/B322,0)*B322)))</f>
        <v>#DIV/0!</v>
      </c>
      <c r="L323" s="29" t="e">
        <f t="shared" ref="L323" si="479">IF(D323="BUY",I323+(R323*B323),I323-(R323*B323))</f>
        <v>#DIV/0!</v>
      </c>
      <c r="M323" s="29" t="e">
        <f>IF(D322="BUY",E322+(ROUND(F322*M322/B322,0)*B322),E322-(ROUND(F322*M322/B322,0)*B322))</f>
        <v>#DIV/0!</v>
      </c>
      <c r="N323" s="29" t="e">
        <f>IF(D322="BUY",E322-(ROUND(F322*N322/B322,0)*B322),E322+(ROUND(F322*N322/B322,0)*B322))</f>
        <v>#DIV/0!</v>
      </c>
      <c r="O323" s="31" t="e">
        <f>IF(D323="BUY",N323-VLOOKUP(A323,Symbols!A$1:D$1000,4,FALSE),N323+VLOOKUP(A323,Symbols!A$1:D$1000,4,FALSE))</f>
        <v>#DIV/0!</v>
      </c>
      <c r="P323" s="29">
        <f>P322</f>
        <v>0</v>
      </c>
      <c r="Q323" s="29">
        <f>Q322</f>
        <v>0</v>
      </c>
      <c r="R323" s="29">
        <f>R322</f>
        <v>0</v>
      </c>
      <c r="S323" s="29">
        <f>S322</f>
        <v>0</v>
      </c>
      <c r="T323" s="29">
        <f>T322</f>
        <v>0</v>
      </c>
      <c r="U323" s="29" t="e">
        <f>DATEDIF(DATE(1970,1,1),U322,"D")*86400</f>
        <v>#NUM!</v>
      </c>
      <c r="V323" s="29">
        <f>HOUR(V322)*3600+MINUTE(V322)*60+SECOND(V322)</f>
        <v>0</v>
      </c>
      <c r="W323" s="29" t="e">
        <f>DATEDIF(DATE(1970,1,1),W322,"D")*86400</f>
        <v>#NUM!</v>
      </c>
      <c r="X323" s="29">
        <f>HOUR(X322)*3600+MINUTE(X322)*60+SECOND(X322)</f>
        <v>0</v>
      </c>
      <c r="Y323" s="31">
        <f>(Y322*B323)</f>
        <v>0</v>
      </c>
      <c r="Z323" s="29">
        <f>Z322</f>
        <v>0</v>
      </c>
      <c r="AA323" s="29" t="e">
        <f>DATEDIF(DATE(1970,1,1),AA322,"D")*86400</f>
        <v>#NUM!</v>
      </c>
      <c r="AB323" s="29">
        <f>HOUR(AB322)*3600+MINUTE(AB322)*60+SECOND(AB322)</f>
        <v>0</v>
      </c>
      <c r="AC323" s="29">
        <f>AC322</f>
        <v>0</v>
      </c>
    </row>
    <row r="324" spans="1:29">
      <c r="A324" s="23">
        <f>Parameters!A163</f>
        <v>0</v>
      </c>
      <c r="B324" s="23">
        <f>Parameters!B163</f>
        <v>0</v>
      </c>
      <c r="C324" s="24">
        <f>Parameters!C163</f>
        <v>0</v>
      </c>
      <c r="D324" s="24">
        <f>Parameters!D163</f>
        <v>0</v>
      </c>
      <c r="E324" s="23">
        <f>Parameters!E163</f>
        <v>0</v>
      </c>
      <c r="F324" s="23">
        <f>Parameters!F163</f>
        <v>0</v>
      </c>
      <c r="G324" s="25">
        <f>Parameters!G163</f>
        <v>0</v>
      </c>
      <c r="H324" s="25">
        <f>Parameters!H163</f>
        <v>0</v>
      </c>
      <c r="I324" s="25">
        <f>Parameters!I163</f>
        <v>0</v>
      </c>
      <c r="J324" s="25">
        <f>Parameters!J163</f>
        <v>0</v>
      </c>
      <c r="K324" s="25">
        <f>Parameters!K163</f>
        <v>0</v>
      </c>
      <c r="L324" s="26" t="e">
        <f t="shared" ref="L324" si="480">L325</f>
        <v>#DIV/0!</v>
      </c>
      <c r="M324" s="25">
        <f>Parameters!L163</f>
        <v>0</v>
      </c>
      <c r="N324" s="25">
        <f>Parameters!M163</f>
        <v>0</v>
      </c>
      <c r="O324" s="26" t="e">
        <f t="shared" ref="O324" si="481">O325</f>
        <v>#DIV/0!</v>
      </c>
      <c r="P324" s="23">
        <f>Parameters!N163</f>
        <v>0</v>
      </c>
      <c r="Q324" s="23">
        <f>Parameters!O163</f>
        <v>0</v>
      </c>
      <c r="R324" s="23">
        <f>Parameters!P163</f>
        <v>0</v>
      </c>
      <c r="S324" s="23">
        <f>Parameters!Q163</f>
        <v>0</v>
      </c>
      <c r="T324" s="23">
        <f>Parameters!R163</f>
        <v>0</v>
      </c>
      <c r="U324" s="27">
        <f>Parameters!S163</f>
        <v>0</v>
      </c>
      <c r="V324" s="28">
        <f>Parameters!T163</f>
        <v>0</v>
      </c>
      <c r="W324" s="27">
        <f>Parameters!U163</f>
        <v>0</v>
      </c>
      <c r="X324" s="28">
        <f>Parameters!V163</f>
        <v>0</v>
      </c>
      <c r="Y324" s="25">
        <f>Parameters!W163</f>
        <v>0</v>
      </c>
      <c r="Z324" s="23">
        <f>Parameters!X163</f>
        <v>0</v>
      </c>
      <c r="AA324" s="27">
        <f>Parameters!Y163</f>
        <v>0</v>
      </c>
      <c r="AB324" s="28">
        <f>Parameters!Z163</f>
        <v>0</v>
      </c>
      <c r="AC324" s="23">
        <f>Parameters!AA163</f>
        <v>0</v>
      </c>
    </row>
    <row r="325" spans="1:29">
      <c r="A325" s="29" t="str">
        <f>UPPER(A324)</f>
        <v>0</v>
      </c>
      <c r="B325" s="29">
        <f>B324</f>
        <v>0</v>
      </c>
      <c r="C325" s="30">
        <f>C324</f>
        <v>0</v>
      </c>
      <c r="D325" s="30">
        <f>D324</f>
        <v>0</v>
      </c>
      <c r="E325" s="29">
        <f>E324</f>
        <v>0</v>
      </c>
      <c r="F325" s="29">
        <f>F324</f>
        <v>0</v>
      </c>
      <c r="G325" s="29" t="e">
        <f>IF(C324=1,IF(D324="BUY",E324+(ROUND(F324*G324/B324,0)*B324),E324-(ROUND(F324*G324/B324,0)*B324)),IF(D324="BUY",E324-(ROUND(F324*G324/B324,0)*B324),E324+(ROUND(F324*G324/B324,0)*B324)))</f>
        <v>#DIV/0!</v>
      </c>
      <c r="H325" s="29" t="e">
        <f>IF(C324=1,IF(D324="BUY",G325-(ROUND(F324*H324/B324,0)*B324),G325+(ROUND(F324*H324/B324,0)*B324)),IF(D324="BUY",G325+(ROUND(F324*H324/B324,0)*B324),G325-(ROUND(F324*H324/B324,0)*B324)))</f>
        <v>#DIV/0!</v>
      </c>
      <c r="I325" s="29" t="e">
        <f>IF(D324="BUY",G325+(ROUND(F324*I324/(B324*100),0)*B324),G325-(ROUND(F324*I324/(B324*100),0)*B324))</f>
        <v>#DIV/0!</v>
      </c>
      <c r="J325" s="29" t="e">
        <f>IF(C324=1,IF(D324="BUY",E324+(ROUND(F324*J324/B324,0)*B324),E324-(ROUND(F324*J324/B324,0)*B324)),IF(D324="BUY",E324-(ROUND(F324*J324/B324,0)*B324),E324+(ROUND(F324*J324/B324,0)*B324)))</f>
        <v>#DIV/0!</v>
      </c>
      <c r="K325" s="29" t="e">
        <f>IF(C324=1,IF(D324="BUY",E324-(ROUND(F324*K324/B324,0)*B324),E324+(ROUND(F324*K324/B324,0)*B324)),IF(D324="BUY",E324-(ROUND(F324*K324/B324,0)*B324),E324+(ROUND(F324*K324/B324,0)*B324)))</f>
        <v>#DIV/0!</v>
      </c>
      <c r="L325" s="29" t="e">
        <f t="shared" ref="L325" si="482">IF(D325="BUY",I325+(R325*B325),I325-(R325*B325))</f>
        <v>#DIV/0!</v>
      </c>
      <c r="M325" s="29" t="e">
        <f>IF(D324="BUY",E324+(ROUND(F324*M324/B324,0)*B324),E324-(ROUND(F324*M324/B324,0)*B324))</f>
        <v>#DIV/0!</v>
      </c>
      <c r="N325" s="29" t="e">
        <f>IF(D324="BUY",E324-(ROUND(F324*N324/B324,0)*B324),E324+(ROUND(F324*N324/B324,0)*B324))</f>
        <v>#DIV/0!</v>
      </c>
      <c r="O325" s="31" t="e">
        <f>IF(D325="BUY",N325-VLOOKUP(A325,Symbols!A$1:D$1000,4,FALSE),N325+VLOOKUP(A325,Symbols!A$1:D$1000,4,FALSE))</f>
        <v>#DIV/0!</v>
      </c>
      <c r="P325" s="29">
        <f>P324</f>
        <v>0</v>
      </c>
      <c r="Q325" s="29">
        <f>Q324</f>
        <v>0</v>
      </c>
      <c r="R325" s="29">
        <f>R324</f>
        <v>0</v>
      </c>
      <c r="S325" s="29">
        <f>S324</f>
        <v>0</v>
      </c>
      <c r="T325" s="29">
        <f>T324</f>
        <v>0</v>
      </c>
      <c r="U325" s="29" t="e">
        <f>DATEDIF(DATE(1970,1,1),U324,"D")*86400</f>
        <v>#NUM!</v>
      </c>
      <c r="V325" s="29">
        <f>HOUR(V324)*3600+MINUTE(V324)*60+SECOND(V324)</f>
        <v>0</v>
      </c>
      <c r="W325" s="29" t="e">
        <f>DATEDIF(DATE(1970,1,1),W324,"D")*86400</f>
        <v>#NUM!</v>
      </c>
      <c r="X325" s="29">
        <f>HOUR(X324)*3600+MINUTE(X324)*60+SECOND(X324)</f>
        <v>0</v>
      </c>
      <c r="Y325" s="31">
        <f>(Y324*B325)</f>
        <v>0</v>
      </c>
      <c r="Z325" s="29">
        <f>Z324</f>
        <v>0</v>
      </c>
      <c r="AA325" s="29" t="e">
        <f>DATEDIF(DATE(1970,1,1),AA324,"D")*86400</f>
        <v>#NUM!</v>
      </c>
      <c r="AB325" s="29">
        <f>HOUR(AB324)*3600+MINUTE(AB324)*60+SECOND(AB324)</f>
        <v>0</v>
      </c>
      <c r="AC325" s="29">
        <f>AC324</f>
        <v>0</v>
      </c>
    </row>
    <row r="326" spans="1:29">
      <c r="A326" s="23">
        <f>Parameters!A164</f>
        <v>0</v>
      </c>
      <c r="B326" s="23">
        <f>Parameters!B164</f>
        <v>0</v>
      </c>
      <c r="C326" s="24">
        <f>Parameters!C164</f>
        <v>0</v>
      </c>
      <c r="D326" s="24">
        <f>Parameters!D164</f>
        <v>0</v>
      </c>
      <c r="E326" s="23">
        <f>Parameters!E164</f>
        <v>0</v>
      </c>
      <c r="F326" s="23">
        <f>Parameters!F164</f>
        <v>0</v>
      </c>
      <c r="G326" s="25">
        <f>Parameters!G164</f>
        <v>0</v>
      </c>
      <c r="H326" s="25">
        <f>Parameters!H164</f>
        <v>0</v>
      </c>
      <c r="I326" s="25">
        <f>Parameters!I164</f>
        <v>0</v>
      </c>
      <c r="J326" s="25">
        <f>Parameters!J164</f>
        <v>0</v>
      </c>
      <c r="K326" s="25">
        <f>Parameters!K164</f>
        <v>0</v>
      </c>
      <c r="L326" s="26" t="e">
        <f t="shared" ref="L326" si="483">L327</f>
        <v>#DIV/0!</v>
      </c>
      <c r="M326" s="25">
        <f>Parameters!L164</f>
        <v>0</v>
      </c>
      <c r="N326" s="25">
        <f>Parameters!M164</f>
        <v>0</v>
      </c>
      <c r="O326" s="26" t="e">
        <f t="shared" ref="O326" si="484">O327</f>
        <v>#DIV/0!</v>
      </c>
      <c r="P326" s="23">
        <f>Parameters!N164</f>
        <v>0</v>
      </c>
      <c r="Q326" s="23">
        <f>Parameters!O164</f>
        <v>0</v>
      </c>
      <c r="R326" s="23">
        <f>Parameters!P164</f>
        <v>0</v>
      </c>
      <c r="S326" s="23">
        <f>Parameters!Q164</f>
        <v>0</v>
      </c>
      <c r="T326" s="23">
        <f>Parameters!R164</f>
        <v>0</v>
      </c>
      <c r="U326" s="27">
        <f>Parameters!S164</f>
        <v>0</v>
      </c>
      <c r="V326" s="28">
        <f>Parameters!T164</f>
        <v>0</v>
      </c>
      <c r="W326" s="27">
        <f>Parameters!U164</f>
        <v>0</v>
      </c>
      <c r="X326" s="28">
        <f>Parameters!V164</f>
        <v>0</v>
      </c>
      <c r="Y326" s="25">
        <f>Parameters!W164</f>
        <v>0</v>
      </c>
      <c r="Z326" s="23">
        <f>Parameters!X164</f>
        <v>0</v>
      </c>
      <c r="AA326" s="27">
        <f>Parameters!Y164</f>
        <v>0</v>
      </c>
      <c r="AB326" s="28">
        <f>Parameters!Z164</f>
        <v>0</v>
      </c>
      <c r="AC326" s="23">
        <f>Parameters!AA164</f>
        <v>0</v>
      </c>
    </row>
    <row r="327" spans="1:29">
      <c r="A327" s="29" t="str">
        <f>UPPER(A326)</f>
        <v>0</v>
      </c>
      <c r="B327" s="29">
        <f>B326</f>
        <v>0</v>
      </c>
      <c r="C327" s="30">
        <f>C326</f>
        <v>0</v>
      </c>
      <c r="D327" s="30">
        <f>D326</f>
        <v>0</v>
      </c>
      <c r="E327" s="29">
        <f>E326</f>
        <v>0</v>
      </c>
      <c r="F327" s="29">
        <f>F326</f>
        <v>0</v>
      </c>
      <c r="G327" s="29" t="e">
        <f>IF(C326=1,IF(D326="BUY",E326+(ROUND(F326*G326/B326,0)*B326),E326-(ROUND(F326*G326/B326,0)*B326)),IF(D326="BUY",E326-(ROUND(F326*G326/B326,0)*B326),E326+(ROUND(F326*G326/B326,0)*B326)))</f>
        <v>#DIV/0!</v>
      </c>
      <c r="H327" s="29" t="e">
        <f>IF(C326=1,IF(D326="BUY",G327-(ROUND(F326*H326/B326,0)*B326),G327+(ROUND(F326*H326/B326,0)*B326)),IF(D326="BUY",G327+(ROUND(F326*H326/B326,0)*B326),G327-(ROUND(F326*H326/B326,0)*B326)))</f>
        <v>#DIV/0!</v>
      </c>
      <c r="I327" s="29" t="e">
        <f>IF(D326="BUY",G327+(ROUND(F326*I326/(B326*100),0)*B326),G327-(ROUND(F326*I326/(B326*100),0)*B326))</f>
        <v>#DIV/0!</v>
      </c>
      <c r="J327" s="29" t="e">
        <f>IF(C326=1,IF(D326="BUY",E326+(ROUND(F326*J326/B326,0)*B326),E326-(ROUND(F326*J326/B326,0)*B326)),IF(D326="BUY",E326-(ROUND(F326*J326/B326,0)*B326),E326+(ROUND(F326*J326/B326,0)*B326)))</f>
        <v>#DIV/0!</v>
      </c>
      <c r="K327" s="29" t="e">
        <f>IF(C326=1,IF(D326="BUY",E326-(ROUND(F326*K326/B326,0)*B326),E326+(ROUND(F326*K326/B326,0)*B326)),IF(D326="BUY",E326-(ROUND(F326*K326/B326,0)*B326),E326+(ROUND(F326*K326/B326,0)*B326)))</f>
        <v>#DIV/0!</v>
      </c>
      <c r="L327" s="29" t="e">
        <f t="shared" ref="L327" si="485">IF(D327="BUY",I327+(R327*B327),I327-(R327*B327))</f>
        <v>#DIV/0!</v>
      </c>
      <c r="M327" s="29" t="e">
        <f>IF(D326="BUY",E326+(ROUND(F326*M326/B326,0)*B326),E326-(ROUND(F326*M326/B326,0)*B326))</f>
        <v>#DIV/0!</v>
      </c>
      <c r="N327" s="29" t="e">
        <f>IF(D326="BUY",E326-(ROUND(F326*N326/B326,0)*B326),E326+(ROUND(F326*N326/B326,0)*B326))</f>
        <v>#DIV/0!</v>
      </c>
      <c r="O327" s="31" t="e">
        <f>IF(D327="BUY",N327-VLOOKUP(A327,Symbols!A$1:D$1000,4,FALSE),N327+VLOOKUP(A327,Symbols!A$1:D$1000,4,FALSE))</f>
        <v>#DIV/0!</v>
      </c>
      <c r="P327" s="29">
        <f>P326</f>
        <v>0</v>
      </c>
      <c r="Q327" s="29">
        <f>Q326</f>
        <v>0</v>
      </c>
      <c r="R327" s="29">
        <f>R326</f>
        <v>0</v>
      </c>
      <c r="S327" s="29">
        <f>S326</f>
        <v>0</v>
      </c>
      <c r="T327" s="29">
        <f>T326</f>
        <v>0</v>
      </c>
      <c r="U327" s="29" t="e">
        <f>DATEDIF(DATE(1970,1,1),U326,"D")*86400</f>
        <v>#NUM!</v>
      </c>
      <c r="V327" s="29">
        <f>HOUR(V326)*3600+MINUTE(V326)*60+SECOND(V326)</f>
        <v>0</v>
      </c>
      <c r="W327" s="29" t="e">
        <f>DATEDIF(DATE(1970,1,1),W326,"D")*86400</f>
        <v>#NUM!</v>
      </c>
      <c r="X327" s="29">
        <f>HOUR(X326)*3600+MINUTE(X326)*60+SECOND(X326)</f>
        <v>0</v>
      </c>
      <c r="Y327" s="31">
        <f>(Y326*B327)</f>
        <v>0</v>
      </c>
      <c r="Z327" s="29">
        <f>Z326</f>
        <v>0</v>
      </c>
      <c r="AA327" s="29" t="e">
        <f>DATEDIF(DATE(1970,1,1),AA326,"D")*86400</f>
        <v>#NUM!</v>
      </c>
      <c r="AB327" s="29">
        <f>HOUR(AB326)*3600+MINUTE(AB326)*60+SECOND(AB326)</f>
        <v>0</v>
      </c>
      <c r="AC327" s="29">
        <f>AC326</f>
        <v>0</v>
      </c>
    </row>
    <row r="328" spans="1:29">
      <c r="A328" s="23">
        <f>Parameters!A165</f>
        <v>0</v>
      </c>
      <c r="B328" s="23">
        <f>Parameters!B165</f>
        <v>0</v>
      </c>
      <c r="C328" s="24">
        <f>Parameters!C165</f>
        <v>0</v>
      </c>
      <c r="D328" s="24">
        <f>Parameters!D165</f>
        <v>0</v>
      </c>
      <c r="E328" s="23">
        <f>Parameters!E165</f>
        <v>0</v>
      </c>
      <c r="F328" s="23">
        <f>Parameters!F165</f>
        <v>0</v>
      </c>
      <c r="G328" s="25">
        <f>Parameters!G165</f>
        <v>0</v>
      </c>
      <c r="H328" s="25">
        <f>Parameters!H165</f>
        <v>0</v>
      </c>
      <c r="I328" s="25">
        <f>Parameters!I165</f>
        <v>0</v>
      </c>
      <c r="J328" s="25">
        <f>Parameters!J165</f>
        <v>0</v>
      </c>
      <c r="K328" s="25">
        <f>Parameters!K165</f>
        <v>0</v>
      </c>
      <c r="L328" s="26" t="e">
        <f t="shared" ref="L328" si="486">L329</f>
        <v>#DIV/0!</v>
      </c>
      <c r="M328" s="25">
        <f>Parameters!L165</f>
        <v>0</v>
      </c>
      <c r="N328" s="25">
        <f>Parameters!M165</f>
        <v>0</v>
      </c>
      <c r="O328" s="26" t="e">
        <f t="shared" ref="O328" si="487">O329</f>
        <v>#DIV/0!</v>
      </c>
      <c r="P328" s="23">
        <f>Parameters!N165</f>
        <v>0</v>
      </c>
      <c r="Q328" s="23">
        <f>Parameters!O165</f>
        <v>0</v>
      </c>
      <c r="R328" s="23">
        <f>Parameters!P165</f>
        <v>0</v>
      </c>
      <c r="S328" s="23">
        <f>Parameters!Q165</f>
        <v>0</v>
      </c>
      <c r="T328" s="23">
        <f>Parameters!R165</f>
        <v>0</v>
      </c>
      <c r="U328" s="27">
        <f>Parameters!S165</f>
        <v>0</v>
      </c>
      <c r="V328" s="28">
        <f>Parameters!T165</f>
        <v>0</v>
      </c>
      <c r="W328" s="27">
        <f>Parameters!U165</f>
        <v>0</v>
      </c>
      <c r="X328" s="28">
        <f>Parameters!V165</f>
        <v>0</v>
      </c>
      <c r="Y328" s="25">
        <f>Parameters!W165</f>
        <v>0</v>
      </c>
      <c r="Z328" s="23">
        <f>Parameters!X165</f>
        <v>0</v>
      </c>
      <c r="AA328" s="27">
        <f>Parameters!Y165</f>
        <v>0</v>
      </c>
      <c r="AB328" s="28">
        <f>Parameters!Z165</f>
        <v>0</v>
      </c>
      <c r="AC328" s="23">
        <f>Parameters!AA165</f>
        <v>0</v>
      </c>
    </row>
    <row r="329" spans="1:29">
      <c r="A329" s="29" t="str">
        <f>UPPER(A328)</f>
        <v>0</v>
      </c>
      <c r="B329" s="29">
        <f>B328</f>
        <v>0</v>
      </c>
      <c r="C329" s="30">
        <f>C328</f>
        <v>0</v>
      </c>
      <c r="D329" s="30">
        <f>D328</f>
        <v>0</v>
      </c>
      <c r="E329" s="29">
        <f>E328</f>
        <v>0</v>
      </c>
      <c r="F329" s="29">
        <f>F328</f>
        <v>0</v>
      </c>
      <c r="G329" s="29" t="e">
        <f>IF(C328=1,IF(D328="BUY",E328+(ROUND(F328*G328/B328,0)*B328),E328-(ROUND(F328*G328/B328,0)*B328)),IF(D328="BUY",E328-(ROUND(F328*G328/B328,0)*B328),E328+(ROUND(F328*G328/B328,0)*B328)))</f>
        <v>#DIV/0!</v>
      </c>
      <c r="H329" s="29" t="e">
        <f>IF(C328=1,IF(D328="BUY",G329-(ROUND(F328*H328/B328,0)*B328),G329+(ROUND(F328*H328/B328,0)*B328)),IF(D328="BUY",G329+(ROUND(F328*H328/B328,0)*B328),G329-(ROUND(F328*H328/B328,0)*B328)))</f>
        <v>#DIV/0!</v>
      </c>
      <c r="I329" s="29" t="e">
        <f>IF(D328="BUY",G329+(ROUND(F328*I328/(B328*100),0)*B328),G329-(ROUND(F328*I328/(B328*100),0)*B328))</f>
        <v>#DIV/0!</v>
      </c>
      <c r="J329" s="29" t="e">
        <f>IF(C328=1,IF(D328="BUY",E328+(ROUND(F328*J328/B328,0)*B328),E328-(ROUND(F328*J328/B328,0)*B328)),IF(D328="BUY",E328-(ROUND(F328*J328/B328,0)*B328),E328+(ROUND(F328*J328/B328,0)*B328)))</f>
        <v>#DIV/0!</v>
      </c>
      <c r="K329" s="29" t="e">
        <f>IF(C328=1,IF(D328="BUY",E328-(ROUND(F328*K328/B328,0)*B328),E328+(ROUND(F328*K328/B328,0)*B328)),IF(D328="BUY",E328-(ROUND(F328*K328/B328,0)*B328),E328+(ROUND(F328*K328/B328,0)*B328)))</f>
        <v>#DIV/0!</v>
      </c>
      <c r="L329" s="29" t="e">
        <f t="shared" ref="L329" si="488">IF(D329="BUY",I329+(R329*B329),I329-(R329*B329))</f>
        <v>#DIV/0!</v>
      </c>
      <c r="M329" s="29" t="e">
        <f>IF(D328="BUY",E328+(ROUND(F328*M328/B328,0)*B328),E328-(ROUND(F328*M328/B328,0)*B328))</f>
        <v>#DIV/0!</v>
      </c>
      <c r="N329" s="29" t="e">
        <f>IF(D328="BUY",E328-(ROUND(F328*N328/B328,0)*B328),E328+(ROUND(F328*N328/B328,0)*B328))</f>
        <v>#DIV/0!</v>
      </c>
      <c r="O329" s="31" t="e">
        <f>IF(D329="BUY",N329-VLOOKUP(A329,Symbols!A$1:D$1000,4,FALSE),N329+VLOOKUP(A329,Symbols!A$1:D$1000,4,FALSE))</f>
        <v>#DIV/0!</v>
      </c>
      <c r="P329" s="29">
        <f>P328</f>
        <v>0</v>
      </c>
      <c r="Q329" s="29">
        <f>Q328</f>
        <v>0</v>
      </c>
      <c r="R329" s="29">
        <f>R328</f>
        <v>0</v>
      </c>
      <c r="S329" s="29">
        <f>S328</f>
        <v>0</v>
      </c>
      <c r="T329" s="29">
        <f>T328</f>
        <v>0</v>
      </c>
      <c r="U329" s="29" t="e">
        <f>DATEDIF(DATE(1970,1,1),U328,"D")*86400</f>
        <v>#NUM!</v>
      </c>
      <c r="V329" s="29">
        <f>HOUR(V328)*3600+MINUTE(V328)*60+SECOND(V328)</f>
        <v>0</v>
      </c>
      <c r="W329" s="29" t="e">
        <f>DATEDIF(DATE(1970,1,1),W328,"D")*86400</f>
        <v>#NUM!</v>
      </c>
      <c r="X329" s="29">
        <f>HOUR(X328)*3600+MINUTE(X328)*60+SECOND(X328)</f>
        <v>0</v>
      </c>
      <c r="Y329" s="31">
        <f>(Y328*B329)</f>
        <v>0</v>
      </c>
      <c r="Z329" s="29">
        <f>Z328</f>
        <v>0</v>
      </c>
      <c r="AA329" s="29" t="e">
        <f>DATEDIF(DATE(1970,1,1),AA328,"D")*86400</f>
        <v>#NUM!</v>
      </c>
      <c r="AB329" s="29">
        <f>HOUR(AB328)*3600+MINUTE(AB328)*60+SECOND(AB328)</f>
        <v>0</v>
      </c>
      <c r="AC329" s="29">
        <f>AC328</f>
        <v>0</v>
      </c>
    </row>
    <row r="330" spans="1:29">
      <c r="A330" s="23">
        <f>Parameters!A166</f>
        <v>0</v>
      </c>
      <c r="B330" s="23">
        <f>Parameters!B166</f>
        <v>0</v>
      </c>
      <c r="C330" s="24">
        <f>Parameters!C166</f>
        <v>0</v>
      </c>
      <c r="D330" s="24">
        <f>Parameters!D166</f>
        <v>0</v>
      </c>
      <c r="E330" s="23">
        <f>Parameters!E166</f>
        <v>0</v>
      </c>
      <c r="F330" s="23">
        <f>Parameters!F166</f>
        <v>0</v>
      </c>
      <c r="G330" s="25">
        <f>Parameters!G166</f>
        <v>0</v>
      </c>
      <c r="H330" s="25">
        <f>Parameters!H166</f>
        <v>0</v>
      </c>
      <c r="I330" s="25">
        <f>Parameters!I166</f>
        <v>0</v>
      </c>
      <c r="J330" s="25">
        <f>Parameters!J166</f>
        <v>0</v>
      </c>
      <c r="K330" s="25">
        <f>Parameters!K166</f>
        <v>0</v>
      </c>
      <c r="L330" s="26" t="e">
        <f t="shared" ref="L330" si="489">L331</f>
        <v>#DIV/0!</v>
      </c>
      <c r="M330" s="25">
        <f>Parameters!L166</f>
        <v>0</v>
      </c>
      <c r="N330" s="25">
        <f>Parameters!M166</f>
        <v>0</v>
      </c>
      <c r="O330" s="26" t="e">
        <f t="shared" ref="O330" si="490">O331</f>
        <v>#DIV/0!</v>
      </c>
      <c r="P330" s="23">
        <f>Parameters!N166</f>
        <v>0</v>
      </c>
      <c r="Q330" s="23">
        <f>Parameters!O166</f>
        <v>0</v>
      </c>
      <c r="R330" s="23">
        <f>Parameters!P166</f>
        <v>0</v>
      </c>
      <c r="S330" s="23">
        <f>Parameters!Q166</f>
        <v>0</v>
      </c>
      <c r="T330" s="23">
        <f>Parameters!R166</f>
        <v>0</v>
      </c>
      <c r="U330" s="27">
        <f>Parameters!S166</f>
        <v>0</v>
      </c>
      <c r="V330" s="28">
        <f>Parameters!T166</f>
        <v>0</v>
      </c>
      <c r="W330" s="27">
        <f>Parameters!U166</f>
        <v>0</v>
      </c>
      <c r="X330" s="28">
        <f>Parameters!V166</f>
        <v>0</v>
      </c>
      <c r="Y330" s="25">
        <f>Parameters!W166</f>
        <v>0</v>
      </c>
      <c r="Z330" s="23">
        <f>Parameters!X166</f>
        <v>0</v>
      </c>
      <c r="AA330" s="27">
        <f>Parameters!Y166</f>
        <v>0</v>
      </c>
      <c r="AB330" s="28">
        <f>Parameters!Z166</f>
        <v>0</v>
      </c>
      <c r="AC330" s="23">
        <f>Parameters!AA166</f>
        <v>0</v>
      </c>
    </row>
    <row r="331" spans="1:29">
      <c r="A331" s="29" t="str">
        <f>UPPER(A330)</f>
        <v>0</v>
      </c>
      <c r="B331" s="29">
        <f>B330</f>
        <v>0</v>
      </c>
      <c r="C331" s="30">
        <f>C330</f>
        <v>0</v>
      </c>
      <c r="D331" s="30">
        <f>D330</f>
        <v>0</v>
      </c>
      <c r="E331" s="29">
        <f>E330</f>
        <v>0</v>
      </c>
      <c r="F331" s="29">
        <f>F330</f>
        <v>0</v>
      </c>
      <c r="G331" s="29" t="e">
        <f>IF(C330=1,IF(D330="BUY",E330+(ROUND(F330*G330/B330,0)*B330),E330-(ROUND(F330*G330/B330,0)*B330)),IF(D330="BUY",E330-(ROUND(F330*G330/B330,0)*B330),E330+(ROUND(F330*G330/B330,0)*B330)))</f>
        <v>#DIV/0!</v>
      </c>
      <c r="H331" s="29" t="e">
        <f>IF(C330=1,IF(D330="BUY",G331-(ROUND(F330*H330/B330,0)*B330),G331+(ROUND(F330*H330/B330,0)*B330)),IF(D330="BUY",G331+(ROUND(F330*H330/B330,0)*B330),G331-(ROUND(F330*H330/B330,0)*B330)))</f>
        <v>#DIV/0!</v>
      </c>
      <c r="I331" s="29" t="e">
        <f>IF(D330="BUY",G331+(ROUND(F330*I330/(B330*100),0)*B330),G331-(ROUND(F330*I330/(B330*100),0)*B330))</f>
        <v>#DIV/0!</v>
      </c>
      <c r="J331" s="29" t="e">
        <f>IF(C330=1,IF(D330="BUY",E330+(ROUND(F330*J330/B330,0)*B330),E330-(ROUND(F330*J330/B330,0)*B330)),IF(D330="BUY",E330-(ROUND(F330*J330/B330,0)*B330),E330+(ROUND(F330*J330/B330,0)*B330)))</f>
        <v>#DIV/0!</v>
      </c>
      <c r="K331" s="29" t="e">
        <f>IF(C330=1,IF(D330="BUY",E330-(ROUND(F330*K330/B330,0)*B330),E330+(ROUND(F330*K330/B330,0)*B330)),IF(D330="BUY",E330-(ROUND(F330*K330/B330,0)*B330),E330+(ROUND(F330*K330/B330,0)*B330)))</f>
        <v>#DIV/0!</v>
      </c>
      <c r="L331" s="29" t="e">
        <f t="shared" ref="L331" si="491">IF(D331="BUY",I331+(R331*B331),I331-(R331*B331))</f>
        <v>#DIV/0!</v>
      </c>
      <c r="M331" s="29" t="e">
        <f>IF(D330="BUY",E330+(ROUND(F330*M330/B330,0)*B330),E330-(ROUND(F330*M330/B330,0)*B330))</f>
        <v>#DIV/0!</v>
      </c>
      <c r="N331" s="29" t="e">
        <f>IF(D330="BUY",E330-(ROUND(F330*N330/B330,0)*B330),E330+(ROUND(F330*N330/B330,0)*B330))</f>
        <v>#DIV/0!</v>
      </c>
      <c r="O331" s="31" t="e">
        <f>IF(D331="BUY",N331-VLOOKUP(A331,Symbols!A$1:D$1000,4,FALSE),N331+VLOOKUP(A331,Symbols!A$1:D$1000,4,FALSE))</f>
        <v>#DIV/0!</v>
      </c>
      <c r="P331" s="29">
        <f>P330</f>
        <v>0</v>
      </c>
      <c r="Q331" s="29">
        <f>Q330</f>
        <v>0</v>
      </c>
      <c r="R331" s="29">
        <f>R330</f>
        <v>0</v>
      </c>
      <c r="S331" s="29">
        <f>S330</f>
        <v>0</v>
      </c>
      <c r="T331" s="29">
        <f>T330</f>
        <v>0</v>
      </c>
      <c r="U331" s="29" t="e">
        <f>DATEDIF(DATE(1970,1,1),U330,"D")*86400</f>
        <v>#NUM!</v>
      </c>
      <c r="V331" s="29">
        <f>HOUR(V330)*3600+MINUTE(V330)*60+SECOND(V330)</f>
        <v>0</v>
      </c>
      <c r="W331" s="29" t="e">
        <f>DATEDIF(DATE(1970,1,1),W330,"D")*86400</f>
        <v>#NUM!</v>
      </c>
      <c r="X331" s="29">
        <f>HOUR(X330)*3600+MINUTE(X330)*60+SECOND(X330)</f>
        <v>0</v>
      </c>
      <c r="Y331" s="31">
        <f>(Y330*B331)</f>
        <v>0</v>
      </c>
      <c r="Z331" s="29">
        <f>Z330</f>
        <v>0</v>
      </c>
      <c r="AA331" s="29" t="e">
        <f>DATEDIF(DATE(1970,1,1),AA330,"D")*86400</f>
        <v>#NUM!</v>
      </c>
      <c r="AB331" s="29">
        <f>HOUR(AB330)*3600+MINUTE(AB330)*60+SECOND(AB330)</f>
        <v>0</v>
      </c>
      <c r="AC331" s="29">
        <f>AC330</f>
        <v>0</v>
      </c>
    </row>
    <row r="332" spans="1:29">
      <c r="A332" s="23">
        <f>Parameters!A167</f>
        <v>0</v>
      </c>
      <c r="B332" s="23">
        <f>Parameters!B167</f>
        <v>0</v>
      </c>
      <c r="C332" s="24">
        <f>Parameters!C167</f>
        <v>0</v>
      </c>
      <c r="D332" s="24">
        <f>Parameters!D167</f>
        <v>0</v>
      </c>
      <c r="E332" s="23">
        <f>Parameters!E167</f>
        <v>0</v>
      </c>
      <c r="F332" s="23">
        <f>Parameters!F167</f>
        <v>0</v>
      </c>
      <c r="G332" s="25">
        <f>Parameters!G167</f>
        <v>0</v>
      </c>
      <c r="H332" s="25">
        <f>Parameters!H167</f>
        <v>0</v>
      </c>
      <c r="I332" s="25">
        <f>Parameters!I167</f>
        <v>0</v>
      </c>
      <c r="J332" s="25">
        <f>Parameters!J167</f>
        <v>0</v>
      </c>
      <c r="K332" s="25">
        <f>Parameters!K167</f>
        <v>0</v>
      </c>
      <c r="L332" s="26" t="e">
        <f t="shared" ref="L332" si="492">L333</f>
        <v>#DIV/0!</v>
      </c>
      <c r="M332" s="25">
        <f>Parameters!L167</f>
        <v>0</v>
      </c>
      <c r="N332" s="25">
        <f>Parameters!M167</f>
        <v>0</v>
      </c>
      <c r="O332" s="26" t="e">
        <f t="shared" ref="O332" si="493">O333</f>
        <v>#DIV/0!</v>
      </c>
      <c r="P332" s="23">
        <f>Parameters!N167</f>
        <v>0</v>
      </c>
      <c r="Q332" s="23">
        <f>Parameters!O167</f>
        <v>0</v>
      </c>
      <c r="R332" s="23">
        <f>Parameters!P167</f>
        <v>0</v>
      </c>
      <c r="S332" s="23">
        <f>Parameters!Q167</f>
        <v>0</v>
      </c>
      <c r="T332" s="23">
        <f>Parameters!R167</f>
        <v>0</v>
      </c>
      <c r="U332" s="27">
        <f>Parameters!S167</f>
        <v>0</v>
      </c>
      <c r="V332" s="28">
        <f>Parameters!T167</f>
        <v>0</v>
      </c>
      <c r="W332" s="27">
        <f>Parameters!U167</f>
        <v>0</v>
      </c>
      <c r="X332" s="28">
        <f>Parameters!V167</f>
        <v>0</v>
      </c>
      <c r="Y332" s="25">
        <f>Parameters!W167</f>
        <v>0</v>
      </c>
      <c r="Z332" s="23">
        <f>Parameters!X167</f>
        <v>0</v>
      </c>
      <c r="AA332" s="27">
        <f>Parameters!Y167</f>
        <v>0</v>
      </c>
      <c r="AB332" s="28">
        <f>Parameters!Z167</f>
        <v>0</v>
      </c>
      <c r="AC332" s="23">
        <f>Parameters!AA167</f>
        <v>0</v>
      </c>
    </row>
    <row r="333" spans="1:29">
      <c r="A333" s="29" t="str">
        <f>UPPER(A332)</f>
        <v>0</v>
      </c>
      <c r="B333" s="29">
        <f>B332</f>
        <v>0</v>
      </c>
      <c r="C333" s="30">
        <f>C332</f>
        <v>0</v>
      </c>
      <c r="D333" s="30">
        <f>D332</f>
        <v>0</v>
      </c>
      <c r="E333" s="29">
        <f>E332</f>
        <v>0</v>
      </c>
      <c r="F333" s="29">
        <f>F332</f>
        <v>0</v>
      </c>
      <c r="G333" s="29" t="e">
        <f>IF(C332=1,IF(D332="BUY",E332+(ROUND(F332*G332/B332,0)*B332),E332-(ROUND(F332*G332/B332,0)*B332)),IF(D332="BUY",E332-(ROUND(F332*G332/B332,0)*B332),E332+(ROUND(F332*G332/B332,0)*B332)))</f>
        <v>#DIV/0!</v>
      </c>
      <c r="H333" s="29" t="e">
        <f>IF(C332=1,IF(D332="BUY",G333-(ROUND(F332*H332/B332,0)*B332),G333+(ROUND(F332*H332/B332,0)*B332)),IF(D332="BUY",G333+(ROUND(F332*H332/B332,0)*B332),G333-(ROUND(F332*H332/B332,0)*B332)))</f>
        <v>#DIV/0!</v>
      </c>
      <c r="I333" s="29" t="e">
        <f>IF(D332="BUY",G333+(ROUND(F332*I332/(B332*100),0)*B332),G333-(ROUND(F332*I332/(B332*100),0)*B332))</f>
        <v>#DIV/0!</v>
      </c>
      <c r="J333" s="29" t="e">
        <f>IF(C332=1,IF(D332="BUY",E332+(ROUND(F332*J332/B332,0)*B332),E332-(ROUND(F332*J332/B332,0)*B332)),IF(D332="BUY",E332-(ROUND(F332*J332/B332,0)*B332),E332+(ROUND(F332*J332/B332,0)*B332)))</f>
        <v>#DIV/0!</v>
      </c>
      <c r="K333" s="29" t="e">
        <f>IF(C332=1,IF(D332="BUY",E332-(ROUND(F332*K332/B332,0)*B332),E332+(ROUND(F332*K332/B332,0)*B332)),IF(D332="BUY",E332-(ROUND(F332*K332/B332,0)*B332),E332+(ROUND(F332*K332/B332,0)*B332)))</f>
        <v>#DIV/0!</v>
      </c>
      <c r="L333" s="29" t="e">
        <f t="shared" ref="L333" si="494">IF(D333="BUY",I333+(R333*B333),I333-(R333*B333))</f>
        <v>#DIV/0!</v>
      </c>
      <c r="M333" s="29" t="e">
        <f>IF(D332="BUY",E332+(ROUND(F332*M332/B332,0)*B332),E332-(ROUND(F332*M332/B332,0)*B332))</f>
        <v>#DIV/0!</v>
      </c>
      <c r="N333" s="29" t="e">
        <f>IF(D332="BUY",E332-(ROUND(F332*N332/B332,0)*B332),E332+(ROUND(F332*N332/B332,0)*B332))</f>
        <v>#DIV/0!</v>
      </c>
      <c r="O333" s="31" t="e">
        <f>IF(D333="BUY",N333-VLOOKUP(A333,Symbols!A$1:D$1000,4,FALSE),N333+VLOOKUP(A333,Symbols!A$1:D$1000,4,FALSE))</f>
        <v>#DIV/0!</v>
      </c>
      <c r="P333" s="29">
        <f>P332</f>
        <v>0</v>
      </c>
      <c r="Q333" s="29">
        <f>Q332</f>
        <v>0</v>
      </c>
      <c r="R333" s="29">
        <f>R332</f>
        <v>0</v>
      </c>
      <c r="S333" s="29">
        <f>S332</f>
        <v>0</v>
      </c>
      <c r="T333" s="29">
        <f>T332</f>
        <v>0</v>
      </c>
      <c r="U333" s="29" t="e">
        <f>DATEDIF(DATE(1970,1,1),U332,"D")*86400</f>
        <v>#NUM!</v>
      </c>
      <c r="V333" s="29">
        <f>HOUR(V332)*3600+MINUTE(V332)*60+SECOND(V332)</f>
        <v>0</v>
      </c>
      <c r="W333" s="29" t="e">
        <f>DATEDIF(DATE(1970,1,1),W332,"D")*86400</f>
        <v>#NUM!</v>
      </c>
      <c r="X333" s="29">
        <f>HOUR(X332)*3600+MINUTE(X332)*60+SECOND(X332)</f>
        <v>0</v>
      </c>
      <c r="Y333" s="31">
        <f>(Y332*B333)</f>
        <v>0</v>
      </c>
      <c r="Z333" s="29">
        <f>Z332</f>
        <v>0</v>
      </c>
      <c r="AA333" s="29" t="e">
        <f>DATEDIF(DATE(1970,1,1),AA332,"D")*86400</f>
        <v>#NUM!</v>
      </c>
      <c r="AB333" s="29">
        <f>HOUR(AB332)*3600+MINUTE(AB332)*60+SECOND(AB332)</f>
        <v>0</v>
      </c>
      <c r="AC333" s="29">
        <f>AC332</f>
        <v>0</v>
      </c>
    </row>
    <row r="334" spans="1:29">
      <c r="A334" s="23">
        <f>Parameters!A168</f>
        <v>0</v>
      </c>
      <c r="B334" s="23">
        <f>Parameters!B168</f>
        <v>0</v>
      </c>
      <c r="C334" s="24">
        <f>Parameters!C168</f>
        <v>0</v>
      </c>
      <c r="D334" s="24">
        <f>Parameters!D168</f>
        <v>0</v>
      </c>
      <c r="E334" s="23">
        <f>Parameters!E168</f>
        <v>0</v>
      </c>
      <c r="F334" s="23">
        <f>Parameters!F168</f>
        <v>0</v>
      </c>
      <c r="G334" s="25">
        <f>Parameters!G168</f>
        <v>0</v>
      </c>
      <c r="H334" s="25">
        <f>Parameters!H168</f>
        <v>0</v>
      </c>
      <c r="I334" s="25">
        <f>Parameters!I168</f>
        <v>0</v>
      </c>
      <c r="J334" s="25">
        <f>Parameters!J168</f>
        <v>0</v>
      </c>
      <c r="K334" s="25">
        <f>Parameters!K168</f>
        <v>0</v>
      </c>
      <c r="L334" s="26" t="e">
        <f t="shared" ref="L334" si="495">L335</f>
        <v>#DIV/0!</v>
      </c>
      <c r="M334" s="25">
        <f>Parameters!L168</f>
        <v>0</v>
      </c>
      <c r="N334" s="25">
        <f>Parameters!M168</f>
        <v>0</v>
      </c>
      <c r="O334" s="26" t="e">
        <f t="shared" ref="O334" si="496">O335</f>
        <v>#DIV/0!</v>
      </c>
      <c r="P334" s="23">
        <f>Parameters!N168</f>
        <v>0</v>
      </c>
      <c r="Q334" s="23">
        <f>Parameters!O168</f>
        <v>0</v>
      </c>
      <c r="R334" s="23">
        <f>Parameters!P168</f>
        <v>0</v>
      </c>
      <c r="S334" s="23">
        <f>Parameters!Q168</f>
        <v>0</v>
      </c>
      <c r="T334" s="23">
        <f>Parameters!R168</f>
        <v>0</v>
      </c>
      <c r="U334" s="27">
        <f>Parameters!S168</f>
        <v>0</v>
      </c>
      <c r="V334" s="28">
        <f>Parameters!T168</f>
        <v>0</v>
      </c>
      <c r="W334" s="27">
        <f>Parameters!U168</f>
        <v>0</v>
      </c>
      <c r="X334" s="28">
        <f>Parameters!V168</f>
        <v>0</v>
      </c>
      <c r="Y334" s="25">
        <f>Parameters!W168</f>
        <v>0</v>
      </c>
      <c r="Z334" s="23">
        <f>Parameters!X168</f>
        <v>0</v>
      </c>
      <c r="AA334" s="27">
        <f>Parameters!Y168</f>
        <v>0</v>
      </c>
      <c r="AB334" s="28">
        <f>Parameters!Z168</f>
        <v>0</v>
      </c>
      <c r="AC334" s="23">
        <f>Parameters!AA168</f>
        <v>0</v>
      </c>
    </row>
    <row r="335" spans="1:29">
      <c r="A335" s="29" t="str">
        <f>UPPER(A334)</f>
        <v>0</v>
      </c>
      <c r="B335" s="29">
        <f>B334</f>
        <v>0</v>
      </c>
      <c r="C335" s="30">
        <f>C334</f>
        <v>0</v>
      </c>
      <c r="D335" s="30">
        <f>D334</f>
        <v>0</v>
      </c>
      <c r="E335" s="29">
        <f>E334</f>
        <v>0</v>
      </c>
      <c r="F335" s="29">
        <f>F334</f>
        <v>0</v>
      </c>
      <c r="G335" s="29" t="e">
        <f>IF(C334=1,IF(D334="BUY",E334+(ROUND(F334*G334/B334,0)*B334),E334-(ROUND(F334*G334/B334,0)*B334)),IF(D334="BUY",E334-(ROUND(F334*G334/B334,0)*B334),E334+(ROUND(F334*G334/B334,0)*B334)))</f>
        <v>#DIV/0!</v>
      </c>
      <c r="H335" s="29" t="e">
        <f>IF(C334=1,IF(D334="BUY",G335-(ROUND(F334*H334/B334,0)*B334),G335+(ROUND(F334*H334/B334,0)*B334)),IF(D334="BUY",G335+(ROUND(F334*H334/B334,0)*B334),G335-(ROUND(F334*H334/B334,0)*B334)))</f>
        <v>#DIV/0!</v>
      </c>
      <c r="I335" s="29" t="e">
        <f>IF(D334="BUY",G335+(ROUND(F334*I334/(B334*100),0)*B334),G335-(ROUND(F334*I334/(B334*100),0)*B334))</f>
        <v>#DIV/0!</v>
      </c>
      <c r="J335" s="29" t="e">
        <f>IF(C334=1,IF(D334="BUY",E334+(ROUND(F334*J334/B334,0)*B334),E334-(ROUND(F334*J334/B334,0)*B334)),IF(D334="BUY",E334-(ROUND(F334*J334/B334,0)*B334),E334+(ROUND(F334*J334/B334,0)*B334)))</f>
        <v>#DIV/0!</v>
      </c>
      <c r="K335" s="29" t="e">
        <f>IF(C334=1,IF(D334="BUY",E334-(ROUND(F334*K334/B334,0)*B334),E334+(ROUND(F334*K334/B334,0)*B334)),IF(D334="BUY",E334-(ROUND(F334*K334/B334,0)*B334),E334+(ROUND(F334*K334/B334,0)*B334)))</f>
        <v>#DIV/0!</v>
      </c>
      <c r="L335" s="29" t="e">
        <f t="shared" ref="L335" si="497">IF(D335="BUY",I335+(R335*B335),I335-(R335*B335))</f>
        <v>#DIV/0!</v>
      </c>
      <c r="M335" s="29" t="e">
        <f>IF(D334="BUY",E334+(ROUND(F334*M334/B334,0)*B334),E334-(ROUND(F334*M334/B334,0)*B334))</f>
        <v>#DIV/0!</v>
      </c>
      <c r="N335" s="29" t="e">
        <f>IF(D334="BUY",E334-(ROUND(F334*N334/B334,0)*B334),E334+(ROUND(F334*N334/B334,0)*B334))</f>
        <v>#DIV/0!</v>
      </c>
      <c r="O335" s="31" t="e">
        <f>IF(D335="BUY",N335-VLOOKUP(A335,Symbols!A$1:D$1000,4,FALSE),N335+VLOOKUP(A335,Symbols!A$1:D$1000,4,FALSE))</f>
        <v>#DIV/0!</v>
      </c>
      <c r="P335" s="29">
        <f>P334</f>
        <v>0</v>
      </c>
      <c r="Q335" s="29">
        <f>Q334</f>
        <v>0</v>
      </c>
      <c r="R335" s="29">
        <f>R334</f>
        <v>0</v>
      </c>
      <c r="S335" s="29">
        <f>S334</f>
        <v>0</v>
      </c>
      <c r="T335" s="29">
        <f>T334</f>
        <v>0</v>
      </c>
      <c r="U335" s="29" t="e">
        <f>DATEDIF(DATE(1970,1,1),U334,"D")*86400</f>
        <v>#NUM!</v>
      </c>
      <c r="V335" s="29">
        <f>HOUR(V334)*3600+MINUTE(V334)*60+SECOND(V334)</f>
        <v>0</v>
      </c>
      <c r="W335" s="29" t="e">
        <f>DATEDIF(DATE(1970,1,1),W334,"D")*86400</f>
        <v>#NUM!</v>
      </c>
      <c r="X335" s="29">
        <f>HOUR(X334)*3600+MINUTE(X334)*60+SECOND(X334)</f>
        <v>0</v>
      </c>
      <c r="Y335" s="31">
        <f>(Y334*B335)</f>
        <v>0</v>
      </c>
      <c r="Z335" s="29">
        <f>Z334</f>
        <v>0</v>
      </c>
      <c r="AA335" s="29" t="e">
        <f>DATEDIF(DATE(1970,1,1),AA334,"D")*86400</f>
        <v>#NUM!</v>
      </c>
      <c r="AB335" s="29">
        <f>HOUR(AB334)*3600+MINUTE(AB334)*60+SECOND(AB334)</f>
        <v>0</v>
      </c>
      <c r="AC335" s="29">
        <f>AC334</f>
        <v>0</v>
      </c>
    </row>
    <row r="336" spans="1:29">
      <c r="A336" s="23">
        <f>Parameters!A169</f>
        <v>0</v>
      </c>
      <c r="B336" s="23">
        <f>Parameters!B169</f>
        <v>0</v>
      </c>
      <c r="C336" s="24">
        <f>Parameters!C169</f>
        <v>0</v>
      </c>
      <c r="D336" s="24">
        <f>Parameters!D169</f>
        <v>0</v>
      </c>
      <c r="E336" s="23">
        <f>Parameters!E169</f>
        <v>0</v>
      </c>
      <c r="F336" s="23">
        <f>Parameters!F169</f>
        <v>0</v>
      </c>
      <c r="G336" s="25">
        <f>Parameters!G169</f>
        <v>0</v>
      </c>
      <c r="H336" s="25">
        <f>Parameters!H169</f>
        <v>0</v>
      </c>
      <c r="I336" s="25">
        <f>Parameters!I169</f>
        <v>0</v>
      </c>
      <c r="J336" s="25">
        <f>Parameters!J169</f>
        <v>0</v>
      </c>
      <c r="K336" s="25">
        <f>Parameters!K169</f>
        <v>0</v>
      </c>
      <c r="L336" s="26" t="e">
        <f t="shared" ref="L336" si="498">L337</f>
        <v>#DIV/0!</v>
      </c>
      <c r="M336" s="25">
        <f>Parameters!L169</f>
        <v>0</v>
      </c>
      <c r="N336" s="25">
        <f>Parameters!M169</f>
        <v>0</v>
      </c>
      <c r="O336" s="26" t="e">
        <f t="shared" ref="O336" si="499">O337</f>
        <v>#DIV/0!</v>
      </c>
      <c r="P336" s="23">
        <f>Parameters!N169</f>
        <v>0</v>
      </c>
      <c r="Q336" s="23">
        <f>Parameters!O169</f>
        <v>0</v>
      </c>
      <c r="R336" s="23">
        <f>Parameters!P169</f>
        <v>0</v>
      </c>
      <c r="S336" s="23">
        <f>Parameters!Q169</f>
        <v>0</v>
      </c>
      <c r="T336" s="23">
        <f>Parameters!R169</f>
        <v>0</v>
      </c>
      <c r="U336" s="27">
        <f>Parameters!S169</f>
        <v>0</v>
      </c>
      <c r="V336" s="28">
        <f>Parameters!T169</f>
        <v>0</v>
      </c>
      <c r="W336" s="27">
        <f>Parameters!U169</f>
        <v>0</v>
      </c>
      <c r="X336" s="28">
        <f>Parameters!V169</f>
        <v>0</v>
      </c>
      <c r="Y336" s="25">
        <f>Parameters!W169</f>
        <v>0</v>
      </c>
      <c r="Z336" s="23">
        <f>Parameters!X169</f>
        <v>0</v>
      </c>
      <c r="AA336" s="27">
        <f>Parameters!Y169</f>
        <v>0</v>
      </c>
      <c r="AB336" s="28">
        <f>Parameters!Z169</f>
        <v>0</v>
      </c>
      <c r="AC336" s="23">
        <f>Parameters!AA169</f>
        <v>0</v>
      </c>
    </row>
    <row r="337" spans="1:29">
      <c r="A337" s="29" t="str">
        <f>UPPER(A336)</f>
        <v>0</v>
      </c>
      <c r="B337" s="29">
        <f>B336</f>
        <v>0</v>
      </c>
      <c r="C337" s="30">
        <f>C336</f>
        <v>0</v>
      </c>
      <c r="D337" s="30">
        <f>D336</f>
        <v>0</v>
      </c>
      <c r="E337" s="29">
        <f>E336</f>
        <v>0</v>
      </c>
      <c r="F337" s="29">
        <f>F336</f>
        <v>0</v>
      </c>
      <c r="G337" s="29" t="e">
        <f>IF(C336=1,IF(D336="BUY",E336+(ROUND(F336*G336/B336,0)*B336),E336-(ROUND(F336*G336/B336,0)*B336)),IF(D336="BUY",E336-(ROUND(F336*G336/B336,0)*B336),E336+(ROUND(F336*G336/B336,0)*B336)))</f>
        <v>#DIV/0!</v>
      </c>
      <c r="H337" s="29" t="e">
        <f>IF(C336=1,IF(D336="BUY",G337-(ROUND(F336*H336/B336,0)*B336),G337+(ROUND(F336*H336/B336,0)*B336)),IF(D336="BUY",G337+(ROUND(F336*H336/B336,0)*B336),G337-(ROUND(F336*H336/B336,0)*B336)))</f>
        <v>#DIV/0!</v>
      </c>
      <c r="I337" s="29" t="e">
        <f>IF(D336="BUY",G337+(ROUND(F336*I336/(B336*100),0)*B336),G337-(ROUND(F336*I336/(B336*100),0)*B336))</f>
        <v>#DIV/0!</v>
      </c>
      <c r="J337" s="29" t="e">
        <f>IF(C336=1,IF(D336="BUY",E336+(ROUND(F336*J336/B336,0)*B336),E336-(ROUND(F336*J336/B336,0)*B336)),IF(D336="BUY",E336-(ROUND(F336*J336/B336,0)*B336),E336+(ROUND(F336*J336/B336,0)*B336)))</f>
        <v>#DIV/0!</v>
      </c>
      <c r="K337" s="29" t="e">
        <f>IF(C336=1,IF(D336="BUY",E336-(ROUND(F336*K336/B336,0)*B336),E336+(ROUND(F336*K336/B336,0)*B336)),IF(D336="BUY",E336-(ROUND(F336*K336/B336,0)*B336),E336+(ROUND(F336*K336/B336,0)*B336)))</f>
        <v>#DIV/0!</v>
      </c>
      <c r="L337" s="29" t="e">
        <f t="shared" ref="L337" si="500">IF(D337="BUY",I337+(R337*B337),I337-(R337*B337))</f>
        <v>#DIV/0!</v>
      </c>
      <c r="M337" s="29" t="e">
        <f>IF(D336="BUY",E336+(ROUND(F336*M336/B336,0)*B336),E336-(ROUND(F336*M336/B336,0)*B336))</f>
        <v>#DIV/0!</v>
      </c>
      <c r="N337" s="29" t="e">
        <f>IF(D336="BUY",E336-(ROUND(F336*N336/B336,0)*B336),E336+(ROUND(F336*N336/B336,0)*B336))</f>
        <v>#DIV/0!</v>
      </c>
      <c r="O337" s="31" t="e">
        <f>IF(D337="BUY",N337-VLOOKUP(A337,Symbols!A$1:D$1000,4,FALSE),N337+VLOOKUP(A337,Symbols!A$1:D$1000,4,FALSE))</f>
        <v>#DIV/0!</v>
      </c>
      <c r="P337" s="29">
        <f>P336</f>
        <v>0</v>
      </c>
      <c r="Q337" s="29">
        <f>Q336</f>
        <v>0</v>
      </c>
      <c r="R337" s="29">
        <f>R336</f>
        <v>0</v>
      </c>
      <c r="S337" s="29">
        <f>S336</f>
        <v>0</v>
      </c>
      <c r="T337" s="29">
        <f>T336</f>
        <v>0</v>
      </c>
      <c r="U337" s="29" t="e">
        <f>DATEDIF(DATE(1970,1,1),U336,"D")*86400</f>
        <v>#NUM!</v>
      </c>
      <c r="V337" s="29">
        <f>HOUR(V336)*3600+MINUTE(V336)*60+SECOND(V336)</f>
        <v>0</v>
      </c>
      <c r="W337" s="29" t="e">
        <f>DATEDIF(DATE(1970,1,1),W336,"D")*86400</f>
        <v>#NUM!</v>
      </c>
      <c r="X337" s="29">
        <f>HOUR(X336)*3600+MINUTE(X336)*60+SECOND(X336)</f>
        <v>0</v>
      </c>
      <c r="Y337" s="31">
        <f>(Y336*B337)</f>
        <v>0</v>
      </c>
      <c r="Z337" s="29">
        <f>Z336</f>
        <v>0</v>
      </c>
      <c r="AA337" s="29" t="e">
        <f>DATEDIF(DATE(1970,1,1),AA336,"D")*86400</f>
        <v>#NUM!</v>
      </c>
      <c r="AB337" s="29">
        <f>HOUR(AB336)*3600+MINUTE(AB336)*60+SECOND(AB336)</f>
        <v>0</v>
      </c>
      <c r="AC337" s="29">
        <f>AC336</f>
        <v>0</v>
      </c>
    </row>
    <row r="338" spans="1:29">
      <c r="A338" s="23">
        <f>Parameters!A170</f>
        <v>0</v>
      </c>
      <c r="B338" s="23">
        <f>Parameters!B170</f>
        <v>0</v>
      </c>
      <c r="C338" s="24">
        <f>Parameters!C170</f>
        <v>0</v>
      </c>
      <c r="D338" s="24">
        <f>Parameters!D170</f>
        <v>0</v>
      </c>
      <c r="E338" s="23">
        <f>Parameters!E170</f>
        <v>0</v>
      </c>
      <c r="F338" s="23">
        <f>Parameters!F170</f>
        <v>0</v>
      </c>
      <c r="G338" s="25">
        <f>Parameters!G170</f>
        <v>0</v>
      </c>
      <c r="H338" s="25">
        <f>Parameters!H170</f>
        <v>0</v>
      </c>
      <c r="I338" s="25">
        <f>Parameters!I170</f>
        <v>0</v>
      </c>
      <c r="J338" s="25">
        <f>Parameters!J170</f>
        <v>0</v>
      </c>
      <c r="K338" s="25">
        <f>Parameters!K170</f>
        <v>0</v>
      </c>
      <c r="L338" s="26" t="e">
        <f t="shared" ref="L338" si="501">L339</f>
        <v>#DIV/0!</v>
      </c>
      <c r="M338" s="25">
        <f>Parameters!L170</f>
        <v>0</v>
      </c>
      <c r="N338" s="25">
        <f>Parameters!M170</f>
        <v>0</v>
      </c>
      <c r="O338" s="26" t="e">
        <f t="shared" ref="O338" si="502">O339</f>
        <v>#DIV/0!</v>
      </c>
      <c r="P338" s="23">
        <f>Parameters!N170</f>
        <v>0</v>
      </c>
      <c r="Q338" s="23">
        <f>Parameters!O170</f>
        <v>0</v>
      </c>
      <c r="R338" s="23">
        <f>Parameters!P170</f>
        <v>0</v>
      </c>
      <c r="S338" s="23">
        <f>Parameters!Q170</f>
        <v>0</v>
      </c>
      <c r="T338" s="23">
        <f>Parameters!R170</f>
        <v>0</v>
      </c>
      <c r="U338" s="27">
        <f>Parameters!S170</f>
        <v>0</v>
      </c>
      <c r="V338" s="28">
        <f>Parameters!T170</f>
        <v>0</v>
      </c>
      <c r="W338" s="27">
        <f>Parameters!U170</f>
        <v>0</v>
      </c>
      <c r="X338" s="28">
        <f>Parameters!V170</f>
        <v>0</v>
      </c>
      <c r="Y338" s="25">
        <f>Parameters!W170</f>
        <v>0</v>
      </c>
      <c r="Z338" s="23">
        <f>Parameters!X170</f>
        <v>0</v>
      </c>
      <c r="AA338" s="27">
        <f>Parameters!Y170</f>
        <v>0</v>
      </c>
      <c r="AB338" s="28">
        <f>Parameters!Z170</f>
        <v>0</v>
      </c>
      <c r="AC338" s="23">
        <f>Parameters!AA170</f>
        <v>0</v>
      </c>
    </row>
    <row r="339" spans="1:29">
      <c r="A339" s="29" t="str">
        <f>UPPER(A338)</f>
        <v>0</v>
      </c>
      <c r="B339" s="29">
        <f>B338</f>
        <v>0</v>
      </c>
      <c r="C339" s="30">
        <f>C338</f>
        <v>0</v>
      </c>
      <c r="D339" s="30">
        <f>D338</f>
        <v>0</v>
      </c>
      <c r="E339" s="29">
        <f>E338</f>
        <v>0</v>
      </c>
      <c r="F339" s="29">
        <f>F338</f>
        <v>0</v>
      </c>
      <c r="G339" s="29" t="e">
        <f>IF(C338=1,IF(D338="BUY",E338+(ROUND(F338*G338/B338,0)*B338),E338-(ROUND(F338*G338/B338,0)*B338)),IF(D338="BUY",E338-(ROUND(F338*G338/B338,0)*B338),E338+(ROUND(F338*G338/B338,0)*B338)))</f>
        <v>#DIV/0!</v>
      </c>
      <c r="H339" s="29" t="e">
        <f>IF(C338=1,IF(D338="BUY",G339-(ROUND(F338*H338/B338,0)*B338),G339+(ROUND(F338*H338/B338,0)*B338)),IF(D338="BUY",G339+(ROUND(F338*H338/B338,0)*B338),G339-(ROUND(F338*H338/B338,0)*B338)))</f>
        <v>#DIV/0!</v>
      </c>
      <c r="I339" s="29" t="e">
        <f>IF(D338="BUY",G339+(ROUND(F338*I338/(B338*100),0)*B338),G339-(ROUND(F338*I338/(B338*100),0)*B338))</f>
        <v>#DIV/0!</v>
      </c>
      <c r="J339" s="29" t="e">
        <f>IF(C338=1,IF(D338="BUY",E338+(ROUND(F338*J338/B338,0)*B338),E338-(ROUND(F338*J338/B338,0)*B338)),IF(D338="BUY",E338-(ROUND(F338*J338/B338,0)*B338),E338+(ROUND(F338*J338/B338,0)*B338)))</f>
        <v>#DIV/0!</v>
      </c>
      <c r="K339" s="29" t="e">
        <f>IF(C338=1,IF(D338="BUY",E338-(ROUND(F338*K338/B338,0)*B338),E338+(ROUND(F338*K338/B338,0)*B338)),IF(D338="BUY",E338-(ROUND(F338*K338/B338,0)*B338),E338+(ROUND(F338*K338/B338,0)*B338)))</f>
        <v>#DIV/0!</v>
      </c>
      <c r="L339" s="29" t="e">
        <f t="shared" ref="L339" si="503">IF(D339="BUY",I339+(R339*B339),I339-(R339*B339))</f>
        <v>#DIV/0!</v>
      </c>
      <c r="M339" s="29" t="e">
        <f>IF(D338="BUY",E338+(ROUND(F338*M338/B338,0)*B338),E338-(ROUND(F338*M338/B338,0)*B338))</f>
        <v>#DIV/0!</v>
      </c>
      <c r="N339" s="29" t="e">
        <f>IF(D338="BUY",E338-(ROUND(F338*N338/B338,0)*B338),E338+(ROUND(F338*N338/B338,0)*B338))</f>
        <v>#DIV/0!</v>
      </c>
      <c r="O339" s="31" t="e">
        <f>IF(D339="BUY",N339-VLOOKUP(A339,Symbols!A$1:D$1000,4,FALSE),N339+VLOOKUP(A339,Symbols!A$1:D$1000,4,FALSE))</f>
        <v>#DIV/0!</v>
      </c>
      <c r="P339" s="29">
        <f>P338</f>
        <v>0</v>
      </c>
      <c r="Q339" s="29">
        <f>Q338</f>
        <v>0</v>
      </c>
      <c r="R339" s="29">
        <f>R338</f>
        <v>0</v>
      </c>
      <c r="S339" s="29">
        <f>S338</f>
        <v>0</v>
      </c>
      <c r="T339" s="29">
        <f>T338</f>
        <v>0</v>
      </c>
      <c r="U339" s="29" t="e">
        <f>DATEDIF(DATE(1970,1,1),U338,"D")*86400</f>
        <v>#NUM!</v>
      </c>
      <c r="V339" s="29">
        <f>HOUR(V338)*3600+MINUTE(V338)*60+SECOND(V338)</f>
        <v>0</v>
      </c>
      <c r="W339" s="29" t="e">
        <f>DATEDIF(DATE(1970,1,1),W338,"D")*86400</f>
        <v>#NUM!</v>
      </c>
      <c r="X339" s="29">
        <f>HOUR(X338)*3600+MINUTE(X338)*60+SECOND(X338)</f>
        <v>0</v>
      </c>
      <c r="Y339" s="31">
        <f>(Y338*B339)</f>
        <v>0</v>
      </c>
      <c r="Z339" s="29">
        <f>Z338</f>
        <v>0</v>
      </c>
      <c r="AA339" s="29" t="e">
        <f>DATEDIF(DATE(1970,1,1),AA338,"D")*86400</f>
        <v>#NUM!</v>
      </c>
      <c r="AB339" s="29">
        <f>HOUR(AB338)*3600+MINUTE(AB338)*60+SECOND(AB338)</f>
        <v>0</v>
      </c>
      <c r="AC339" s="29">
        <f>AC338</f>
        <v>0</v>
      </c>
    </row>
    <row r="340" spans="1:29">
      <c r="A340" s="23">
        <f>Parameters!A171</f>
        <v>0</v>
      </c>
      <c r="B340" s="23">
        <f>Parameters!B171</f>
        <v>0</v>
      </c>
      <c r="C340" s="24">
        <f>Parameters!C171</f>
        <v>0</v>
      </c>
      <c r="D340" s="24">
        <f>Parameters!D171</f>
        <v>0</v>
      </c>
      <c r="E340" s="23">
        <f>Parameters!E171</f>
        <v>0</v>
      </c>
      <c r="F340" s="23">
        <f>Parameters!F171</f>
        <v>0</v>
      </c>
      <c r="G340" s="25">
        <f>Parameters!G171</f>
        <v>0</v>
      </c>
      <c r="H340" s="25">
        <f>Parameters!H171</f>
        <v>0</v>
      </c>
      <c r="I340" s="25">
        <f>Parameters!I171</f>
        <v>0</v>
      </c>
      <c r="J340" s="25">
        <f>Parameters!J171</f>
        <v>0</v>
      </c>
      <c r="K340" s="25">
        <f>Parameters!K171</f>
        <v>0</v>
      </c>
      <c r="L340" s="26" t="e">
        <f t="shared" ref="L340" si="504">L341</f>
        <v>#DIV/0!</v>
      </c>
      <c r="M340" s="25">
        <f>Parameters!L171</f>
        <v>0</v>
      </c>
      <c r="N340" s="25">
        <f>Parameters!M171</f>
        <v>0</v>
      </c>
      <c r="O340" s="26" t="e">
        <f t="shared" ref="O340" si="505">O341</f>
        <v>#DIV/0!</v>
      </c>
      <c r="P340" s="23">
        <f>Parameters!N171</f>
        <v>0</v>
      </c>
      <c r="Q340" s="23">
        <f>Parameters!O171</f>
        <v>0</v>
      </c>
      <c r="R340" s="23">
        <f>Parameters!P171</f>
        <v>0</v>
      </c>
      <c r="S340" s="23">
        <f>Parameters!Q171</f>
        <v>0</v>
      </c>
      <c r="T340" s="23">
        <f>Parameters!R171</f>
        <v>0</v>
      </c>
      <c r="U340" s="27">
        <f>Parameters!S171</f>
        <v>0</v>
      </c>
      <c r="V340" s="28">
        <f>Parameters!T171</f>
        <v>0</v>
      </c>
      <c r="W340" s="27">
        <f>Parameters!U171</f>
        <v>0</v>
      </c>
      <c r="X340" s="28">
        <f>Parameters!V171</f>
        <v>0</v>
      </c>
      <c r="Y340" s="25">
        <f>Parameters!W171</f>
        <v>0</v>
      </c>
      <c r="Z340" s="23">
        <f>Parameters!X171</f>
        <v>0</v>
      </c>
      <c r="AA340" s="27">
        <f>Parameters!Y171</f>
        <v>0</v>
      </c>
      <c r="AB340" s="28">
        <f>Parameters!Z171</f>
        <v>0</v>
      </c>
      <c r="AC340" s="23">
        <f>Parameters!AA171</f>
        <v>0</v>
      </c>
    </row>
    <row r="341" spans="1:29">
      <c r="A341" s="29" t="str">
        <f>UPPER(A340)</f>
        <v>0</v>
      </c>
      <c r="B341" s="29">
        <f>B340</f>
        <v>0</v>
      </c>
      <c r="C341" s="30">
        <f>C340</f>
        <v>0</v>
      </c>
      <c r="D341" s="30">
        <f>D340</f>
        <v>0</v>
      </c>
      <c r="E341" s="29">
        <f>E340</f>
        <v>0</v>
      </c>
      <c r="F341" s="29">
        <f>F340</f>
        <v>0</v>
      </c>
      <c r="G341" s="29" t="e">
        <f>IF(C340=1,IF(D340="BUY",E340+(ROUND(F340*G340/B340,0)*B340),E340-(ROUND(F340*G340/B340,0)*B340)),IF(D340="BUY",E340-(ROUND(F340*G340/B340,0)*B340),E340+(ROUND(F340*G340/B340,0)*B340)))</f>
        <v>#DIV/0!</v>
      </c>
      <c r="H341" s="29" t="e">
        <f>IF(C340=1,IF(D340="BUY",G341-(ROUND(F340*H340/B340,0)*B340),G341+(ROUND(F340*H340/B340,0)*B340)),IF(D340="BUY",G341+(ROUND(F340*H340/B340,0)*B340),G341-(ROUND(F340*H340/B340,0)*B340)))</f>
        <v>#DIV/0!</v>
      </c>
      <c r="I341" s="29" t="e">
        <f>IF(D340="BUY",G341+(ROUND(F340*I340/(B340*100),0)*B340),G341-(ROUND(F340*I340/(B340*100),0)*B340))</f>
        <v>#DIV/0!</v>
      </c>
      <c r="J341" s="29" t="e">
        <f>IF(C340=1,IF(D340="BUY",E340+(ROUND(F340*J340/B340,0)*B340),E340-(ROUND(F340*J340/B340,0)*B340)),IF(D340="BUY",E340-(ROUND(F340*J340/B340,0)*B340),E340+(ROUND(F340*J340/B340,0)*B340)))</f>
        <v>#DIV/0!</v>
      </c>
      <c r="K341" s="29" t="e">
        <f>IF(C340=1,IF(D340="BUY",E340-(ROUND(F340*K340/B340,0)*B340),E340+(ROUND(F340*K340/B340,0)*B340)),IF(D340="BUY",E340-(ROUND(F340*K340/B340,0)*B340),E340+(ROUND(F340*K340/B340,0)*B340)))</f>
        <v>#DIV/0!</v>
      </c>
      <c r="L341" s="29" t="e">
        <f t="shared" ref="L341" si="506">IF(D341="BUY",I341+(R341*B341),I341-(R341*B341))</f>
        <v>#DIV/0!</v>
      </c>
      <c r="M341" s="29" t="e">
        <f>IF(D340="BUY",E340+(ROUND(F340*M340/B340,0)*B340),E340-(ROUND(F340*M340/B340,0)*B340))</f>
        <v>#DIV/0!</v>
      </c>
      <c r="N341" s="29" t="e">
        <f>IF(D340="BUY",E340-(ROUND(F340*N340/B340,0)*B340),E340+(ROUND(F340*N340/B340,0)*B340))</f>
        <v>#DIV/0!</v>
      </c>
      <c r="O341" s="31" t="e">
        <f>IF(D341="BUY",N341-VLOOKUP(A341,Symbols!A$1:D$1000,4,FALSE),N341+VLOOKUP(A341,Symbols!A$1:D$1000,4,FALSE))</f>
        <v>#DIV/0!</v>
      </c>
      <c r="P341" s="29">
        <f>P340</f>
        <v>0</v>
      </c>
      <c r="Q341" s="29">
        <f>Q340</f>
        <v>0</v>
      </c>
      <c r="R341" s="29">
        <f>R340</f>
        <v>0</v>
      </c>
      <c r="S341" s="29">
        <f>S340</f>
        <v>0</v>
      </c>
      <c r="T341" s="29">
        <f>T340</f>
        <v>0</v>
      </c>
      <c r="U341" s="29" t="e">
        <f>DATEDIF(DATE(1970,1,1),U340,"D")*86400</f>
        <v>#NUM!</v>
      </c>
      <c r="V341" s="29">
        <f>HOUR(V340)*3600+MINUTE(V340)*60+SECOND(V340)</f>
        <v>0</v>
      </c>
      <c r="W341" s="29" t="e">
        <f>DATEDIF(DATE(1970,1,1),W340,"D")*86400</f>
        <v>#NUM!</v>
      </c>
      <c r="X341" s="29">
        <f>HOUR(X340)*3600+MINUTE(X340)*60+SECOND(X340)</f>
        <v>0</v>
      </c>
      <c r="Y341" s="31">
        <f>(Y340*B341)</f>
        <v>0</v>
      </c>
      <c r="Z341" s="29">
        <f>Z340</f>
        <v>0</v>
      </c>
      <c r="AA341" s="29" t="e">
        <f>DATEDIF(DATE(1970,1,1),AA340,"D")*86400</f>
        <v>#NUM!</v>
      </c>
      <c r="AB341" s="29">
        <f>HOUR(AB340)*3600+MINUTE(AB340)*60+SECOND(AB340)</f>
        <v>0</v>
      </c>
      <c r="AC341" s="29">
        <f>AC340</f>
        <v>0</v>
      </c>
    </row>
    <row r="342" spans="1:29">
      <c r="A342" s="23">
        <f>Parameters!A172</f>
        <v>0</v>
      </c>
      <c r="B342" s="23">
        <f>Parameters!B172</f>
        <v>0</v>
      </c>
      <c r="C342" s="24">
        <f>Parameters!C172</f>
        <v>0</v>
      </c>
      <c r="D342" s="24">
        <f>Parameters!D172</f>
        <v>0</v>
      </c>
      <c r="E342" s="23">
        <f>Parameters!E172</f>
        <v>0</v>
      </c>
      <c r="F342" s="23">
        <f>Parameters!F172</f>
        <v>0</v>
      </c>
      <c r="G342" s="25">
        <f>Parameters!G172</f>
        <v>0</v>
      </c>
      <c r="H342" s="25">
        <f>Parameters!H172</f>
        <v>0</v>
      </c>
      <c r="I342" s="25">
        <f>Parameters!I172</f>
        <v>0</v>
      </c>
      <c r="J342" s="25">
        <f>Parameters!J172</f>
        <v>0</v>
      </c>
      <c r="K342" s="25">
        <f>Parameters!K172</f>
        <v>0</v>
      </c>
      <c r="L342" s="26" t="e">
        <f t="shared" ref="L342" si="507">L343</f>
        <v>#DIV/0!</v>
      </c>
      <c r="M342" s="25">
        <f>Parameters!L172</f>
        <v>0</v>
      </c>
      <c r="N342" s="25">
        <f>Parameters!M172</f>
        <v>0</v>
      </c>
      <c r="O342" s="26" t="e">
        <f t="shared" ref="O342" si="508">O343</f>
        <v>#DIV/0!</v>
      </c>
      <c r="P342" s="23">
        <f>Parameters!N172</f>
        <v>0</v>
      </c>
      <c r="Q342" s="23">
        <f>Parameters!O172</f>
        <v>0</v>
      </c>
      <c r="R342" s="23">
        <f>Parameters!P172</f>
        <v>0</v>
      </c>
      <c r="S342" s="23">
        <f>Parameters!Q172</f>
        <v>0</v>
      </c>
      <c r="T342" s="23">
        <f>Parameters!R172</f>
        <v>0</v>
      </c>
      <c r="U342" s="27">
        <f>Parameters!S172</f>
        <v>0</v>
      </c>
      <c r="V342" s="28">
        <f>Parameters!T172</f>
        <v>0</v>
      </c>
      <c r="W342" s="27">
        <f>Parameters!U172</f>
        <v>0</v>
      </c>
      <c r="X342" s="28">
        <f>Parameters!V172</f>
        <v>0</v>
      </c>
      <c r="Y342" s="25">
        <f>Parameters!W172</f>
        <v>0</v>
      </c>
      <c r="Z342" s="23">
        <f>Parameters!X172</f>
        <v>0</v>
      </c>
      <c r="AA342" s="27">
        <f>Parameters!Y172</f>
        <v>0</v>
      </c>
      <c r="AB342" s="28">
        <f>Parameters!Z172</f>
        <v>0</v>
      </c>
      <c r="AC342" s="23">
        <f>Parameters!AA172</f>
        <v>0</v>
      </c>
    </row>
    <row r="343" spans="1:29">
      <c r="A343" s="29" t="str">
        <f>UPPER(A342)</f>
        <v>0</v>
      </c>
      <c r="B343" s="29">
        <f>B342</f>
        <v>0</v>
      </c>
      <c r="C343" s="30">
        <f>C342</f>
        <v>0</v>
      </c>
      <c r="D343" s="30">
        <f>D342</f>
        <v>0</v>
      </c>
      <c r="E343" s="29">
        <f>E342</f>
        <v>0</v>
      </c>
      <c r="F343" s="29">
        <f>F342</f>
        <v>0</v>
      </c>
      <c r="G343" s="29" t="e">
        <f>IF(C342=1,IF(D342="BUY",E342+(ROUND(F342*G342/B342,0)*B342),E342-(ROUND(F342*G342/B342,0)*B342)),IF(D342="BUY",E342-(ROUND(F342*G342/B342,0)*B342),E342+(ROUND(F342*G342/B342,0)*B342)))</f>
        <v>#DIV/0!</v>
      </c>
      <c r="H343" s="29" t="e">
        <f>IF(C342=1,IF(D342="BUY",G343-(ROUND(F342*H342/B342,0)*B342),G343+(ROUND(F342*H342/B342,0)*B342)),IF(D342="BUY",G343+(ROUND(F342*H342/B342,0)*B342),G343-(ROUND(F342*H342/B342,0)*B342)))</f>
        <v>#DIV/0!</v>
      </c>
      <c r="I343" s="29" t="e">
        <f>IF(D342="BUY",G343+(ROUND(F342*I342/(B342*100),0)*B342),G343-(ROUND(F342*I342/(B342*100),0)*B342))</f>
        <v>#DIV/0!</v>
      </c>
      <c r="J343" s="29" t="e">
        <f>IF(C342=1,IF(D342="BUY",E342+(ROUND(F342*J342/B342,0)*B342),E342-(ROUND(F342*J342/B342,0)*B342)),IF(D342="BUY",E342-(ROUND(F342*J342/B342,0)*B342),E342+(ROUND(F342*J342/B342,0)*B342)))</f>
        <v>#DIV/0!</v>
      </c>
      <c r="K343" s="29" t="e">
        <f>IF(C342=1,IF(D342="BUY",E342-(ROUND(F342*K342/B342,0)*B342),E342+(ROUND(F342*K342/B342,0)*B342)),IF(D342="BUY",E342-(ROUND(F342*K342/B342,0)*B342),E342+(ROUND(F342*K342/B342,0)*B342)))</f>
        <v>#DIV/0!</v>
      </c>
      <c r="L343" s="29" t="e">
        <f t="shared" ref="L343" si="509">IF(D343="BUY",I343+(R343*B343),I343-(R343*B343))</f>
        <v>#DIV/0!</v>
      </c>
      <c r="M343" s="29" t="e">
        <f>IF(D342="BUY",E342+(ROUND(F342*M342/B342,0)*B342),E342-(ROUND(F342*M342/B342,0)*B342))</f>
        <v>#DIV/0!</v>
      </c>
      <c r="N343" s="29" t="e">
        <f>IF(D342="BUY",E342-(ROUND(F342*N342/B342,0)*B342),E342+(ROUND(F342*N342/B342,0)*B342))</f>
        <v>#DIV/0!</v>
      </c>
      <c r="O343" s="31" t="e">
        <f>IF(D343="BUY",N343-VLOOKUP(A343,Symbols!A$1:D$1000,4,FALSE),N343+VLOOKUP(A343,Symbols!A$1:D$1000,4,FALSE))</f>
        <v>#DIV/0!</v>
      </c>
      <c r="P343" s="29">
        <f>P342</f>
        <v>0</v>
      </c>
      <c r="Q343" s="29">
        <f>Q342</f>
        <v>0</v>
      </c>
      <c r="R343" s="29">
        <f>R342</f>
        <v>0</v>
      </c>
      <c r="S343" s="29">
        <f>S342</f>
        <v>0</v>
      </c>
      <c r="T343" s="29">
        <f>T342</f>
        <v>0</v>
      </c>
      <c r="U343" s="29" t="e">
        <f>DATEDIF(DATE(1970,1,1),U342,"D")*86400</f>
        <v>#NUM!</v>
      </c>
      <c r="V343" s="29">
        <f>HOUR(V342)*3600+MINUTE(V342)*60+SECOND(V342)</f>
        <v>0</v>
      </c>
      <c r="W343" s="29" t="e">
        <f>DATEDIF(DATE(1970,1,1),W342,"D")*86400</f>
        <v>#NUM!</v>
      </c>
      <c r="X343" s="29">
        <f>HOUR(X342)*3600+MINUTE(X342)*60+SECOND(X342)</f>
        <v>0</v>
      </c>
      <c r="Y343" s="31">
        <f>(Y342*B343)</f>
        <v>0</v>
      </c>
      <c r="Z343" s="29">
        <f>Z342</f>
        <v>0</v>
      </c>
      <c r="AA343" s="29" t="e">
        <f>DATEDIF(DATE(1970,1,1),AA342,"D")*86400</f>
        <v>#NUM!</v>
      </c>
      <c r="AB343" s="29">
        <f>HOUR(AB342)*3600+MINUTE(AB342)*60+SECOND(AB342)</f>
        <v>0</v>
      </c>
      <c r="AC343" s="29">
        <f>AC342</f>
        <v>0</v>
      </c>
    </row>
    <row r="344" spans="1:29">
      <c r="A344" s="23">
        <f>Parameters!A173</f>
        <v>0</v>
      </c>
      <c r="B344" s="23">
        <f>Parameters!B173</f>
        <v>0</v>
      </c>
      <c r="C344" s="24">
        <f>Parameters!C173</f>
        <v>0</v>
      </c>
      <c r="D344" s="24">
        <f>Parameters!D173</f>
        <v>0</v>
      </c>
      <c r="E344" s="23">
        <f>Parameters!E173</f>
        <v>0</v>
      </c>
      <c r="F344" s="23">
        <f>Parameters!F173</f>
        <v>0</v>
      </c>
      <c r="G344" s="25">
        <f>Parameters!G173</f>
        <v>0</v>
      </c>
      <c r="H344" s="25">
        <f>Parameters!H173</f>
        <v>0</v>
      </c>
      <c r="I344" s="25">
        <f>Parameters!I173</f>
        <v>0</v>
      </c>
      <c r="J344" s="25">
        <f>Parameters!J173</f>
        <v>0</v>
      </c>
      <c r="K344" s="25">
        <f>Parameters!K173</f>
        <v>0</v>
      </c>
      <c r="L344" s="26" t="e">
        <f t="shared" ref="L344" si="510">L345</f>
        <v>#DIV/0!</v>
      </c>
      <c r="M344" s="25">
        <f>Parameters!L173</f>
        <v>0</v>
      </c>
      <c r="N344" s="25">
        <f>Parameters!M173</f>
        <v>0</v>
      </c>
      <c r="O344" s="26" t="e">
        <f t="shared" ref="O344" si="511">O345</f>
        <v>#DIV/0!</v>
      </c>
      <c r="P344" s="23">
        <f>Parameters!N173</f>
        <v>0</v>
      </c>
      <c r="Q344" s="23">
        <f>Parameters!O173</f>
        <v>0</v>
      </c>
      <c r="R344" s="23">
        <f>Parameters!P173</f>
        <v>0</v>
      </c>
      <c r="S344" s="23">
        <f>Parameters!Q173</f>
        <v>0</v>
      </c>
      <c r="T344" s="23">
        <f>Parameters!R173</f>
        <v>0</v>
      </c>
      <c r="U344" s="27">
        <f>Parameters!S173</f>
        <v>0</v>
      </c>
      <c r="V344" s="28">
        <f>Parameters!T173</f>
        <v>0</v>
      </c>
      <c r="W344" s="27">
        <f>Parameters!U173</f>
        <v>0</v>
      </c>
      <c r="X344" s="28">
        <f>Parameters!V173</f>
        <v>0</v>
      </c>
      <c r="Y344" s="25">
        <f>Parameters!W173</f>
        <v>0</v>
      </c>
      <c r="Z344" s="23">
        <f>Parameters!X173</f>
        <v>0</v>
      </c>
      <c r="AA344" s="27">
        <f>Parameters!Y173</f>
        <v>0</v>
      </c>
      <c r="AB344" s="28">
        <f>Parameters!Z173</f>
        <v>0</v>
      </c>
      <c r="AC344" s="23">
        <f>Parameters!AA173</f>
        <v>0</v>
      </c>
    </row>
    <row r="345" spans="1:29">
      <c r="A345" s="29" t="str">
        <f>UPPER(A344)</f>
        <v>0</v>
      </c>
      <c r="B345" s="29">
        <f>B344</f>
        <v>0</v>
      </c>
      <c r="C345" s="30">
        <f>C344</f>
        <v>0</v>
      </c>
      <c r="D345" s="30">
        <f>D344</f>
        <v>0</v>
      </c>
      <c r="E345" s="29">
        <f>E344</f>
        <v>0</v>
      </c>
      <c r="F345" s="29">
        <f>F344</f>
        <v>0</v>
      </c>
      <c r="G345" s="29" t="e">
        <f>IF(C344=1,IF(D344="BUY",E344+(ROUND(F344*G344/B344,0)*B344),E344-(ROUND(F344*G344/B344,0)*B344)),IF(D344="BUY",E344-(ROUND(F344*G344/B344,0)*B344),E344+(ROUND(F344*G344/B344,0)*B344)))</f>
        <v>#DIV/0!</v>
      </c>
      <c r="H345" s="29" t="e">
        <f>IF(C344=1,IF(D344="BUY",G345-(ROUND(F344*H344/B344,0)*B344),G345+(ROUND(F344*H344/B344,0)*B344)),IF(D344="BUY",G345+(ROUND(F344*H344/B344,0)*B344),G345-(ROUND(F344*H344/B344,0)*B344)))</f>
        <v>#DIV/0!</v>
      </c>
      <c r="I345" s="29" t="e">
        <f>IF(D344="BUY",G345+(ROUND(F344*I344/(B344*100),0)*B344),G345-(ROUND(F344*I344/(B344*100),0)*B344))</f>
        <v>#DIV/0!</v>
      </c>
      <c r="J345" s="29" t="e">
        <f>IF(C344=1,IF(D344="BUY",E344+(ROUND(F344*J344/B344,0)*B344),E344-(ROUND(F344*J344/B344,0)*B344)),IF(D344="BUY",E344-(ROUND(F344*J344/B344,0)*B344),E344+(ROUND(F344*J344/B344,0)*B344)))</f>
        <v>#DIV/0!</v>
      </c>
      <c r="K345" s="29" t="e">
        <f>IF(C344=1,IF(D344="BUY",E344-(ROUND(F344*K344/B344,0)*B344),E344+(ROUND(F344*K344/B344,0)*B344)),IF(D344="BUY",E344-(ROUND(F344*K344/B344,0)*B344),E344+(ROUND(F344*K344/B344,0)*B344)))</f>
        <v>#DIV/0!</v>
      </c>
      <c r="L345" s="29" t="e">
        <f t="shared" ref="L345" si="512">IF(D345="BUY",I345+(R345*B345),I345-(R345*B345))</f>
        <v>#DIV/0!</v>
      </c>
      <c r="M345" s="29" t="e">
        <f>IF(D344="BUY",E344+(ROUND(F344*M344/B344,0)*B344),E344-(ROUND(F344*M344/B344,0)*B344))</f>
        <v>#DIV/0!</v>
      </c>
      <c r="N345" s="29" t="e">
        <f>IF(D344="BUY",E344-(ROUND(F344*N344/B344,0)*B344),E344+(ROUND(F344*N344/B344,0)*B344))</f>
        <v>#DIV/0!</v>
      </c>
      <c r="O345" s="31" t="e">
        <f>IF(D345="BUY",N345-VLOOKUP(A345,Symbols!A$1:D$1000,4,FALSE),N345+VLOOKUP(A345,Symbols!A$1:D$1000,4,FALSE))</f>
        <v>#DIV/0!</v>
      </c>
      <c r="P345" s="29">
        <f>P344</f>
        <v>0</v>
      </c>
      <c r="Q345" s="29">
        <f>Q344</f>
        <v>0</v>
      </c>
      <c r="R345" s="29">
        <f>R344</f>
        <v>0</v>
      </c>
      <c r="S345" s="29">
        <f>S344</f>
        <v>0</v>
      </c>
      <c r="T345" s="29">
        <f>T344</f>
        <v>0</v>
      </c>
      <c r="U345" s="29" t="e">
        <f>DATEDIF(DATE(1970,1,1),U344,"D")*86400</f>
        <v>#NUM!</v>
      </c>
      <c r="V345" s="29">
        <f>HOUR(V344)*3600+MINUTE(V344)*60+SECOND(V344)</f>
        <v>0</v>
      </c>
      <c r="W345" s="29" t="e">
        <f>DATEDIF(DATE(1970,1,1),W344,"D")*86400</f>
        <v>#NUM!</v>
      </c>
      <c r="X345" s="29">
        <f>HOUR(X344)*3600+MINUTE(X344)*60+SECOND(X344)</f>
        <v>0</v>
      </c>
      <c r="Y345" s="31">
        <f>(Y344*B345)</f>
        <v>0</v>
      </c>
      <c r="Z345" s="29">
        <f>Z344</f>
        <v>0</v>
      </c>
      <c r="AA345" s="29" t="e">
        <f>DATEDIF(DATE(1970,1,1),AA344,"D")*86400</f>
        <v>#NUM!</v>
      </c>
      <c r="AB345" s="29">
        <f>HOUR(AB344)*3600+MINUTE(AB344)*60+SECOND(AB344)</f>
        <v>0</v>
      </c>
      <c r="AC345" s="29">
        <f>AC344</f>
        <v>0</v>
      </c>
    </row>
    <row r="346" spans="1:29">
      <c r="A346" s="23">
        <f>Parameters!A174</f>
        <v>0</v>
      </c>
      <c r="B346" s="23">
        <f>Parameters!B174</f>
        <v>0</v>
      </c>
      <c r="C346" s="24">
        <f>Parameters!C174</f>
        <v>0</v>
      </c>
      <c r="D346" s="24">
        <f>Parameters!D174</f>
        <v>0</v>
      </c>
      <c r="E346" s="23">
        <f>Parameters!E174</f>
        <v>0</v>
      </c>
      <c r="F346" s="23">
        <f>Parameters!F174</f>
        <v>0</v>
      </c>
      <c r="G346" s="25">
        <f>Parameters!G174</f>
        <v>0</v>
      </c>
      <c r="H346" s="25">
        <f>Parameters!H174</f>
        <v>0</v>
      </c>
      <c r="I346" s="25">
        <f>Parameters!I174</f>
        <v>0</v>
      </c>
      <c r="J346" s="25">
        <f>Parameters!J174</f>
        <v>0</v>
      </c>
      <c r="K346" s="25">
        <f>Parameters!K174</f>
        <v>0</v>
      </c>
      <c r="L346" s="26" t="e">
        <f t="shared" ref="L346" si="513">L347</f>
        <v>#DIV/0!</v>
      </c>
      <c r="M346" s="25">
        <f>Parameters!L174</f>
        <v>0</v>
      </c>
      <c r="N346" s="25">
        <f>Parameters!M174</f>
        <v>0</v>
      </c>
      <c r="O346" s="26" t="e">
        <f t="shared" ref="O346" si="514">O347</f>
        <v>#DIV/0!</v>
      </c>
      <c r="P346" s="23">
        <f>Parameters!N174</f>
        <v>0</v>
      </c>
      <c r="Q346" s="23">
        <f>Parameters!O174</f>
        <v>0</v>
      </c>
      <c r="R346" s="23">
        <f>Parameters!P174</f>
        <v>0</v>
      </c>
      <c r="S346" s="23">
        <f>Parameters!Q174</f>
        <v>0</v>
      </c>
      <c r="T346" s="23">
        <f>Parameters!R174</f>
        <v>0</v>
      </c>
      <c r="U346" s="27">
        <f>Parameters!S174</f>
        <v>0</v>
      </c>
      <c r="V346" s="28">
        <f>Parameters!T174</f>
        <v>0</v>
      </c>
      <c r="W346" s="27">
        <f>Parameters!U174</f>
        <v>0</v>
      </c>
      <c r="X346" s="28">
        <f>Parameters!V174</f>
        <v>0</v>
      </c>
      <c r="Y346" s="25">
        <f>Parameters!W174</f>
        <v>0</v>
      </c>
      <c r="Z346" s="23">
        <f>Parameters!X174</f>
        <v>0</v>
      </c>
      <c r="AA346" s="27">
        <f>Parameters!Y174</f>
        <v>0</v>
      </c>
      <c r="AB346" s="28">
        <f>Parameters!Z174</f>
        <v>0</v>
      </c>
      <c r="AC346" s="23">
        <f>Parameters!AA174</f>
        <v>0</v>
      </c>
    </row>
    <row r="347" spans="1:29">
      <c r="A347" s="29" t="str">
        <f>UPPER(A346)</f>
        <v>0</v>
      </c>
      <c r="B347" s="29">
        <f>B346</f>
        <v>0</v>
      </c>
      <c r="C347" s="30">
        <f>C346</f>
        <v>0</v>
      </c>
      <c r="D347" s="30">
        <f>D346</f>
        <v>0</v>
      </c>
      <c r="E347" s="29">
        <f>E346</f>
        <v>0</v>
      </c>
      <c r="F347" s="29">
        <f>F346</f>
        <v>0</v>
      </c>
      <c r="G347" s="29" t="e">
        <f>IF(C346=1,IF(D346="BUY",E346+(ROUND(F346*G346/B346,0)*B346),E346-(ROUND(F346*G346/B346,0)*B346)),IF(D346="BUY",E346-(ROUND(F346*G346/B346,0)*B346),E346+(ROUND(F346*G346/B346,0)*B346)))</f>
        <v>#DIV/0!</v>
      </c>
      <c r="H347" s="29" t="e">
        <f>IF(C346=1,IF(D346="BUY",G347-(ROUND(F346*H346/B346,0)*B346),G347+(ROUND(F346*H346/B346,0)*B346)),IF(D346="BUY",G347+(ROUND(F346*H346/B346,0)*B346),G347-(ROUND(F346*H346/B346,0)*B346)))</f>
        <v>#DIV/0!</v>
      </c>
      <c r="I347" s="29" t="e">
        <f>IF(D346="BUY",G347+(ROUND(F346*I346/(B346*100),0)*B346),G347-(ROUND(F346*I346/(B346*100),0)*B346))</f>
        <v>#DIV/0!</v>
      </c>
      <c r="J347" s="29" t="e">
        <f>IF(C346=1,IF(D346="BUY",E346+(ROUND(F346*J346/B346,0)*B346),E346-(ROUND(F346*J346/B346,0)*B346)),IF(D346="BUY",E346-(ROUND(F346*J346/B346,0)*B346),E346+(ROUND(F346*J346/B346,0)*B346)))</f>
        <v>#DIV/0!</v>
      </c>
      <c r="K347" s="29" t="e">
        <f>IF(C346=1,IF(D346="BUY",E346-(ROUND(F346*K346/B346,0)*B346),E346+(ROUND(F346*K346/B346,0)*B346)),IF(D346="BUY",E346-(ROUND(F346*K346/B346,0)*B346),E346+(ROUND(F346*K346/B346,0)*B346)))</f>
        <v>#DIV/0!</v>
      </c>
      <c r="L347" s="29" t="e">
        <f t="shared" ref="L347" si="515">IF(D347="BUY",I347+(R347*B347),I347-(R347*B347))</f>
        <v>#DIV/0!</v>
      </c>
      <c r="M347" s="29" t="e">
        <f>IF(D346="BUY",E346+(ROUND(F346*M346/B346,0)*B346),E346-(ROUND(F346*M346/B346,0)*B346))</f>
        <v>#DIV/0!</v>
      </c>
      <c r="N347" s="29" t="e">
        <f>IF(D346="BUY",E346-(ROUND(F346*N346/B346,0)*B346),E346+(ROUND(F346*N346/B346,0)*B346))</f>
        <v>#DIV/0!</v>
      </c>
      <c r="O347" s="31" t="e">
        <f>IF(D347="BUY",N347-VLOOKUP(A347,Symbols!A$1:D$1000,4,FALSE),N347+VLOOKUP(A347,Symbols!A$1:D$1000,4,FALSE))</f>
        <v>#DIV/0!</v>
      </c>
      <c r="P347" s="29">
        <f>P346</f>
        <v>0</v>
      </c>
      <c r="Q347" s="29">
        <f>Q346</f>
        <v>0</v>
      </c>
      <c r="R347" s="29">
        <f>R346</f>
        <v>0</v>
      </c>
      <c r="S347" s="29">
        <f>S346</f>
        <v>0</v>
      </c>
      <c r="T347" s="29">
        <f>T346</f>
        <v>0</v>
      </c>
      <c r="U347" s="29" t="e">
        <f>DATEDIF(DATE(1970,1,1),U346,"D")*86400</f>
        <v>#NUM!</v>
      </c>
      <c r="V347" s="29">
        <f>HOUR(V346)*3600+MINUTE(V346)*60+SECOND(V346)</f>
        <v>0</v>
      </c>
      <c r="W347" s="29" t="e">
        <f>DATEDIF(DATE(1970,1,1),W346,"D")*86400</f>
        <v>#NUM!</v>
      </c>
      <c r="X347" s="29">
        <f>HOUR(X346)*3600+MINUTE(X346)*60+SECOND(X346)</f>
        <v>0</v>
      </c>
      <c r="Y347" s="31">
        <f>(Y346*B347)</f>
        <v>0</v>
      </c>
      <c r="Z347" s="29">
        <f>Z346</f>
        <v>0</v>
      </c>
      <c r="AA347" s="29" t="e">
        <f>DATEDIF(DATE(1970,1,1),AA346,"D")*86400</f>
        <v>#NUM!</v>
      </c>
      <c r="AB347" s="29">
        <f>HOUR(AB346)*3600+MINUTE(AB346)*60+SECOND(AB346)</f>
        <v>0</v>
      </c>
      <c r="AC347" s="29">
        <f>AC346</f>
        <v>0</v>
      </c>
    </row>
    <row r="348" spans="1:29">
      <c r="A348" s="23">
        <f>Parameters!A175</f>
        <v>0</v>
      </c>
      <c r="B348" s="23">
        <f>Parameters!B175</f>
        <v>0</v>
      </c>
      <c r="C348" s="24">
        <f>Parameters!C175</f>
        <v>0</v>
      </c>
      <c r="D348" s="24">
        <f>Parameters!D175</f>
        <v>0</v>
      </c>
      <c r="E348" s="23">
        <f>Parameters!E175</f>
        <v>0</v>
      </c>
      <c r="F348" s="23">
        <f>Parameters!F175</f>
        <v>0</v>
      </c>
      <c r="G348" s="25">
        <f>Parameters!G175</f>
        <v>0</v>
      </c>
      <c r="H348" s="25">
        <f>Parameters!H175</f>
        <v>0</v>
      </c>
      <c r="I348" s="25">
        <f>Parameters!I175</f>
        <v>0</v>
      </c>
      <c r="J348" s="25">
        <f>Parameters!J175</f>
        <v>0</v>
      </c>
      <c r="K348" s="25">
        <f>Parameters!K175</f>
        <v>0</v>
      </c>
      <c r="L348" s="26" t="e">
        <f t="shared" ref="L348" si="516">L349</f>
        <v>#DIV/0!</v>
      </c>
      <c r="M348" s="25">
        <f>Parameters!L175</f>
        <v>0</v>
      </c>
      <c r="N348" s="25">
        <f>Parameters!M175</f>
        <v>0</v>
      </c>
      <c r="O348" s="26" t="e">
        <f t="shared" ref="O348" si="517">O349</f>
        <v>#DIV/0!</v>
      </c>
      <c r="P348" s="23">
        <f>Parameters!N175</f>
        <v>0</v>
      </c>
      <c r="Q348" s="23">
        <f>Parameters!O175</f>
        <v>0</v>
      </c>
      <c r="R348" s="23">
        <f>Parameters!P175</f>
        <v>0</v>
      </c>
      <c r="S348" s="23">
        <f>Parameters!Q175</f>
        <v>0</v>
      </c>
      <c r="T348" s="23">
        <f>Parameters!R175</f>
        <v>0</v>
      </c>
      <c r="U348" s="27">
        <f>Parameters!S175</f>
        <v>0</v>
      </c>
      <c r="V348" s="28">
        <f>Parameters!T175</f>
        <v>0</v>
      </c>
      <c r="W348" s="27">
        <f>Parameters!U175</f>
        <v>0</v>
      </c>
      <c r="X348" s="28">
        <f>Parameters!V175</f>
        <v>0</v>
      </c>
      <c r="Y348" s="25">
        <f>Parameters!W175</f>
        <v>0</v>
      </c>
      <c r="Z348" s="23">
        <f>Parameters!X175</f>
        <v>0</v>
      </c>
      <c r="AA348" s="27">
        <f>Parameters!Y175</f>
        <v>0</v>
      </c>
      <c r="AB348" s="28">
        <f>Parameters!Z175</f>
        <v>0</v>
      </c>
      <c r="AC348" s="23">
        <f>Parameters!AA175</f>
        <v>0</v>
      </c>
    </row>
    <row r="349" spans="1:29">
      <c r="A349" s="29" t="str">
        <f>UPPER(A348)</f>
        <v>0</v>
      </c>
      <c r="B349" s="29">
        <f>B348</f>
        <v>0</v>
      </c>
      <c r="C349" s="30">
        <f>C348</f>
        <v>0</v>
      </c>
      <c r="D349" s="30">
        <f>D348</f>
        <v>0</v>
      </c>
      <c r="E349" s="29">
        <f>E348</f>
        <v>0</v>
      </c>
      <c r="F349" s="29">
        <f>F348</f>
        <v>0</v>
      </c>
      <c r="G349" s="29" t="e">
        <f>IF(C348=1,IF(D348="BUY",E348+(ROUND(F348*G348/B348,0)*B348),E348-(ROUND(F348*G348/B348,0)*B348)),IF(D348="BUY",E348-(ROUND(F348*G348/B348,0)*B348),E348+(ROUND(F348*G348/B348,0)*B348)))</f>
        <v>#DIV/0!</v>
      </c>
      <c r="H349" s="29" t="e">
        <f>IF(C348=1,IF(D348="BUY",G349-(ROUND(F348*H348/B348,0)*B348),G349+(ROUND(F348*H348/B348,0)*B348)),IF(D348="BUY",G349+(ROUND(F348*H348/B348,0)*B348),G349-(ROUND(F348*H348/B348,0)*B348)))</f>
        <v>#DIV/0!</v>
      </c>
      <c r="I349" s="29" t="e">
        <f>IF(D348="BUY",G349+(ROUND(F348*I348/(B348*100),0)*B348),G349-(ROUND(F348*I348/(B348*100),0)*B348))</f>
        <v>#DIV/0!</v>
      </c>
      <c r="J349" s="29" t="e">
        <f>IF(C348=1,IF(D348="BUY",E348+(ROUND(F348*J348/B348,0)*B348),E348-(ROUND(F348*J348/B348,0)*B348)),IF(D348="BUY",E348-(ROUND(F348*J348/B348,0)*B348),E348+(ROUND(F348*J348/B348,0)*B348)))</f>
        <v>#DIV/0!</v>
      </c>
      <c r="K349" s="29" t="e">
        <f>IF(C348=1,IF(D348="BUY",E348-(ROUND(F348*K348/B348,0)*B348),E348+(ROUND(F348*K348/B348,0)*B348)),IF(D348="BUY",E348-(ROUND(F348*K348/B348,0)*B348),E348+(ROUND(F348*K348/B348,0)*B348)))</f>
        <v>#DIV/0!</v>
      </c>
      <c r="L349" s="29" t="e">
        <f t="shared" ref="L349" si="518">IF(D349="BUY",I349+(R349*B349),I349-(R349*B349))</f>
        <v>#DIV/0!</v>
      </c>
      <c r="M349" s="29" t="e">
        <f>IF(D348="BUY",E348+(ROUND(F348*M348/B348,0)*B348),E348-(ROUND(F348*M348/B348,0)*B348))</f>
        <v>#DIV/0!</v>
      </c>
      <c r="N349" s="29" t="e">
        <f>IF(D348="BUY",E348-(ROUND(F348*N348/B348,0)*B348),E348+(ROUND(F348*N348/B348,0)*B348))</f>
        <v>#DIV/0!</v>
      </c>
      <c r="O349" s="31" t="e">
        <f>IF(D349="BUY",N349-VLOOKUP(A349,Symbols!A$1:D$1000,4,FALSE),N349+VLOOKUP(A349,Symbols!A$1:D$1000,4,FALSE))</f>
        <v>#DIV/0!</v>
      </c>
      <c r="P349" s="29">
        <f>P348</f>
        <v>0</v>
      </c>
      <c r="Q349" s="29">
        <f>Q348</f>
        <v>0</v>
      </c>
      <c r="R349" s="29">
        <f>R348</f>
        <v>0</v>
      </c>
      <c r="S349" s="29">
        <f>S348</f>
        <v>0</v>
      </c>
      <c r="T349" s="29">
        <f>T348</f>
        <v>0</v>
      </c>
      <c r="U349" s="29" t="e">
        <f>DATEDIF(DATE(1970,1,1),U348,"D")*86400</f>
        <v>#NUM!</v>
      </c>
      <c r="V349" s="29">
        <f>HOUR(V348)*3600+MINUTE(V348)*60+SECOND(V348)</f>
        <v>0</v>
      </c>
      <c r="W349" s="29" t="e">
        <f>DATEDIF(DATE(1970,1,1),W348,"D")*86400</f>
        <v>#NUM!</v>
      </c>
      <c r="X349" s="29">
        <f>HOUR(X348)*3600+MINUTE(X348)*60+SECOND(X348)</f>
        <v>0</v>
      </c>
      <c r="Y349" s="31">
        <f>(Y348*B349)</f>
        <v>0</v>
      </c>
      <c r="Z349" s="29">
        <f>Z348</f>
        <v>0</v>
      </c>
      <c r="AA349" s="29" t="e">
        <f>DATEDIF(DATE(1970,1,1),AA348,"D")*86400</f>
        <v>#NUM!</v>
      </c>
      <c r="AB349" s="29">
        <f>HOUR(AB348)*3600+MINUTE(AB348)*60+SECOND(AB348)</f>
        <v>0</v>
      </c>
      <c r="AC349" s="29">
        <f>AC348</f>
        <v>0</v>
      </c>
    </row>
    <row r="350" spans="1:29">
      <c r="A350" s="23">
        <f>Parameters!A176</f>
        <v>0</v>
      </c>
      <c r="B350" s="23">
        <f>Parameters!B176</f>
        <v>0</v>
      </c>
      <c r="C350" s="24">
        <f>Parameters!C176</f>
        <v>0</v>
      </c>
      <c r="D350" s="24">
        <f>Parameters!D176</f>
        <v>0</v>
      </c>
      <c r="E350" s="23">
        <f>Parameters!E176</f>
        <v>0</v>
      </c>
      <c r="F350" s="23">
        <f>Parameters!F176</f>
        <v>0</v>
      </c>
      <c r="G350" s="25">
        <f>Parameters!G176</f>
        <v>0</v>
      </c>
      <c r="H350" s="25">
        <f>Parameters!H176</f>
        <v>0</v>
      </c>
      <c r="I350" s="25">
        <f>Parameters!I176</f>
        <v>0</v>
      </c>
      <c r="J350" s="25">
        <f>Parameters!J176</f>
        <v>0</v>
      </c>
      <c r="K350" s="25">
        <f>Parameters!K176</f>
        <v>0</v>
      </c>
      <c r="L350" s="26" t="e">
        <f t="shared" ref="L350" si="519">L351</f>
        <v>#DIV/0!</v>
      </c>
      <c r="M350" s="25">
        <f>Parameters!L176</f>
        <v>0</v>
      </c>
      <c r="N350" s="25">
        <f>Parameters!M176</f>
        <v>0</v>
      </c>
      <c r="O350" s="26" t="e">
        <f t="shared" ref="O350" si="520">O351</f>
        <v>#DIV/0!</v>
      </c>
      <c r="P350" s="23">
        <f>Parameters!N176</f>
        <v>0</v>
      </c>
      <c r="Q350" s="23">
        <f>Parameters!O176</f>
        <v>0</v>
      </c>
      <c r="R350" s="23">
        <f>Parameters!P176</f>
        <v>0</v>
      </c>
      <c r="S350" s="23">
        <f>Parameters!Q176</f>
        <v>0</v>
      </c>
      <c r="T350" s="23">
        <f>Parameters!R176</f>
        <v>0</v>
      </c>
      <c r="U350" s="27">
        <f>Parameters!S176</f>
        <v>0</v>
      </c>
      <c r="V350" s="28">
        <f>Parameters!T176</f>
        <v>0</v>
      </c>
      <c r="W350" s="27">
        <f>Parameters!U176</f>
        <v>0</v>
      </c>
      <c r="X350" s="28">
        <f>Parameters!V176</f>
        <v>0</v>
      </c>
      <c r="Y350" s="25">
        <f>Parameters!W176</f>
        <v>0</v>
      </c>
      <c r="Z350" s="23">
        <f>Parameters!X176</f>
        <v>0</v>
      </c>
      <c r="AA350" s="27">
        <f>Parameters!Y176</f>
        <v>0</v>
      </c>
      <c r="AB350" s="28">
        <f>Parameters!Z176</f>
        <v>0</v>
      </c>
      <c r="AC350" s="23">
        <f>Parameters!AA176</f>
        <v>0</v>
      </c>
    </row>
    <row r="351" spans="1:29">
      <c r="A351" s="29" t="str">
        <f>UPPER(A350)</f>
        <v>0</v>
      </c>
      <c r="B351" s="29">
        <f>B350</f>
        <v>0</v>
      </c>
      <c r="C351" s="30">
        <f>C350</f>
        <v>0</v>
      </c>
      <c r="D351" s="30">
        <f>D350</f>
        <v>0</v>
      </c>
      <c r="E351" s="29">
        <f>E350</f>
        <v>0</v>
      </c>
      <c r="F351" s="29">
        <f>F350</f>
        <v>0</v>
      </c>
      <c r="G351" s="29" t="e">
        <f>IF(C350=1,IF(D350="BUY",E350+(ROUND(F350*G350/B350,0)*B350),E350-(ROUND(F350*G350/B350,0)*B350)),IF(D350="BUY",E350-(ROUND(F350*G350/B350,0)*B350),E350+(ROUND(F350*G350/B350,0)*B350)))</f>
        <v>#DIV/0!</v>
      </c>
      <c r="H351" s="29" t="e">
        <f>IF(C350=1,IF(D350="BUY",G351-(ROUND(F350*H350/B350,0)*B350),G351+(ROUND(F350*H350/B350,0)*B350)),IF(D350="BUY",G351+(ROUND(F350*H350/B350,0)*B350),G351-(ROUND(F350*H350/B350,0)*B350)))</f>
        <v>#DIV/0!</v>
      </c>
      <c r="I351" s="29" t="e">
        <f>IF(D350="BUY",G351+(ROUND(F350*I350/(B350*100),0)*B350),G351-(ROUND(F350*I350/(B350*100),0)*B350))</f>
        <v>#DIV/0!</v>
      </c>
      <c r="J351" s="29" t="e">
        <f>IF(C350=1,IF(D350="BUY",E350+(ROUND(F350*J350/B350,0)*B350),E350-(ROUND(F350*J350/B350,0)*B350)),IF(D350="BUY",E350-(ROUND(F350*J350/B350,0)*B350),E350+(ROUND(F350*J350/B350,0)*B350)))</f>
        <v>#DIV/0!</v>
      </c>
      <c r="K351" s="29" t="e">
        <f>IF(C350=1,IF(D350="BUY",E350-(ROUND(F350*K350/B350,0)*B350),E350+(ROUND(F350*K350/B350,0)*B350)),IF(D350="BUY",E350-(ROUND(F350*K350/B350,0)*B350),E350+(ROUND(F350*K350/B350,0)*B350)))</f>
        <v>#DIV/0!</v>
      </c>
      <c r="L351" s="29" t="e">
        <f t="shared" ref="L351" si="521">IF(D351="BUY",I351+(R351*B351),I351-(R351*B351))</f>
        <v>#DIV/0!</v>
      </c>
      <c r="M351" s="29" t="e">
        <f>IF(D350="BUY",E350+(ROUND(F350*M350/B350,0)*B350),E350-(ROUND(F350*M350/B350,0)*B350))</f>
        <v>#DIV/0!</v>
      </c>
      <c r="N351" s="29" t="e">
        <f>IF(D350="BUY",E350-(ROUND(F350*N350/B350,0)*B350),E350+(ROUND(F350*N350/B350,0)*B350))</f>
        <v>#DIV/0!</v>
      </c>
      <c r="O351" s="31" t="e">
        <f>IF(D351="BUY",N351-VLOOKUP(A351,Symbols!A$1:D$1000,4,FALSE),N351+VLOOKUP(A351,Symbols!A$1:D$1000,4,FALSE))</f>
        <v>#DIV/0!</v>
      </c>
      <c r="P351" s="29">
        <f>P350</f>
        <v>0</v>
      </c>
      <c r="Q351" s="29">
        <f>Q350</f>
        <v>0</v>
      </c>
      <c r="R351" s="29">
        <f>R350</f>
        <v>0</v>
      </c>
      <c r="S351" s="29">
        <f>S350</f>
        <v>0</v>
      </c>
      <c r="T351" s="29">
        <f>T350</f>
        <v>0</v>
      </c>
      <c r="U351" s="29" t="e">
        <f>DATEDIF(DATE(1970,1,1),U350,"D")*86400</f>
        <v>#NUM!</v>
      </c>
      <c r="V351" s="29">
        <f>HOUR(V350)*3600+MINUTE(V350)*60+SECOND(V350)</f>
        <v>0</v>
      </c>
      <c r="W351" s="29" t="e">
        <f>DATEDIF(DATE(1970,1,1),W350,"D")*86400</f>
        <v>#NUM!</v>
      </c>
      <c r="X351" s="29">
        <f>HOUR(X350)*3600+MINUTE(X350)*60+SECOND(X350)</f>
        <v>0</v>
      </c>
      <c r="Y351" s="31">
        <f>(Y350*B351)</f>
        <v>0</v>
      </c>
      <c r="Z351" s="29">
        <f>Z350</f>
        <v>0</v>
      </c>
      <c r="AA351" s="29" t="e">
        <f>DATEDIF(DATE(1970,1,1),AA350,"D")*86400</f>
        <v>#NUM!</v>
      </c>
      <c r="AB351" s="29">
        <f>HOUR(AB350)*3600+MINUTE(AB350)*60+SECOND(AB350)</f>
        <v>0</v>
      </c>
      <c r="AC351" s="29">
        <f>AC350</f>
        <v>0</v>
      </c>
    </row>
    <row r="352" spans="1:29">
      <c r="A352" s="23">
        <f>Parameters!A177</f>
        <v>0</v>
      </c>
      <c r="B352" s="23">
        <f>Parameters!B177</f>
        <v>0</v>
      </c>
      <c r="C352" s="24">
        <f>Parameters!C177</f>
        <v>0</v>
      </c>
      <c r="D352" s="24">
        <f>Parameters!D177</f>
        <v>0</v>
      </c>
      <c r="E352" s="23">
        <f>Parameters!E177</f>
        <v>0</v>
      </c>
      <c r="F352" s="23">
        <f>Parameters!F177</f>
        <v>0</v>
      </c>
      <c r="G352" s="25">
        <f>Parameters!G177</f>
        <v>0</v>
      </c>
      <c r="H352" s="25">
        <f>Parameters!H177</f>
        <v>0</v>
      </c>
      <c r="I352" s="25">
        <f>Parameters!I177</f>
        <v>0</v>
      </c>
      <c r="J352" s="25">
        <f>Parameters!J177</f>
        <v>0</v>
      </c>
      <c r="K352" s="25">
        <f>Parameters!K177</f>
        <v>0</v>
      </c>
      <c r="L352" s="26" t="e">
        <f t="shared" ref="L352" si="522">L353</f>
        <v>#DIV/0!</v>
      </c>
      <c r="M352" s="25">
        <f>Parameters!L177</f>
        <v>0</v>
      </c>
      <c r="N352" s="25">
        <f>Parameters!M177</f>
        <v>0</v>
      </c>
      <c r="O352" s="26" t="e">
        <f t="shared" ref="O352" si="523">O353</f>
        <v>#DIV/0!</v>
      </c>
      <c r="P352" s="23">
        <f>Parameters!N177</f>
        <v>0</v>
      </c>
      <c r="Q352" s="23">
        <f>Parameters!O177</f>
        <v>0</v>
      </c>
      <c r="R352" s="23">
        <f>Parameters!P177</f>
        <v>0</v>
      </c>
      <c r="S352" s="23">
        <f>Parameters!Q177</f>
        <v>0</v>
      </c>
      <c r="T352" s="23">
        <f>Parameters!R177</f>
        <v>0</v>
      </c>
      <c r="U352" s="27">
        <f>Parameters!S177</f>
        <v>0</v>
      </c>
      <c r="V352" s="28">
        <f>Parameters!T177</f>
        <v>0</v>
      </c>
      <c r="W352" s="27">
        <f>Parameters!U177</f>
        <v>0</v>
      </c>
      <c r="X352" s="28">
        <f>Parameters!V177</f>
        <v>0</v>
      </c>
      <c r="Y352" s="25">
        <f>Parameters!W177</f>
        <v>0</v>
      </c>
      <c r="Z352" s="23">
        <f>Parameters!X177</f>
        <v>0</v>
      </c>
      <c r="AA352" s="27">
        <f>Parameters!Y177</f>
        <v>0</v>
      </c>
      <c r="AB352" s="28">
        <f>Parameters!Z177</f>
        <v>0</v>
      </c>
      <c r="AC352" s="23">
        <f>Parameters!AA177</f>
        <v>0</v>
      </c>
    </row>
    <row r="353" spans="1:29">
      <c r="A353" s="29" t="str">
        <f>UPPER(A352)</f>
        <v>0</v>
      </c>
      <c r="B353" s="29">
        <f>B352</f>
        <v>0</v>
      </c>
      <c r="C353" s="30">
        <f>C352</f>
        <v>0</v>
      </c>
      <c r="D353" s="30">
        <f>D352</f>
        <v>0</v>
      </c>
      <c r="E353" s="29">
        <f>E352</f>
        <v>0</v>
      </c>
      <c r="F353" s="29">
        <f>F352</f>
        <v>0</v>
      </c>
      <c r="G353" s="29" t="e">
        <f>IF(C352=1,IF(D352="BUY",E352+(ROUND(F352*G352/B352,0)*B352),E352-(ROUND(F352*G352/B352,0)*B352)),IF(D352="BUY",E352-(ROUND(F352*G352/B352,0)*B352),E352+(ROUND(F352*G352/B352,0)*B352)))</f>
        <v>#DIV/0!</v>
      </c>
      <c r="H353" s="29" t="e">
        <f>IF(C352=1,IF(D352="BUY",G353-(ROUND(F352*H352/B352,0)*B352),G353+(ROUND(F352*H352/B352,0)*B352)),IF(D352="BUY",G353+(ROUND(F352*H352/B352,0)*B352),G353-(ROUND(F352*H352/B352,0)*B352)))</f>
        <v>#DIV/0!</v>
      </c>
      <c r="I353" s="29" t="e">
        <f>IF(D352="BUY",G353+(ROUND(F352*I352/(B352*100),0)*B352),G353-(ROUND(F352*I352/(B352*100),0)*B352))</f>
        <v>#DIV/0!</v>
      </c>
      <c r="J353" s="29" t="e">
        <f>IF(C352=1,IF(D352="BUY",E352+(ROUND(F352*J352/B352,0)*B352),E352-(ROUND(F352*J352/B352,0)*B352)),IF(D352="BUY",E352-(ROUND(F352*J352/B352,0)*B352),E352+(ROUND(F352*J352/B352,0)*B352)))</f>
        <v>#DIV/0!</v>
      </c>
      <c r="K353" s="29" t="e">
        <f>IF(C352=1,IF(D352="BUY",E352-(ROUND(F352*K352/B352,0)*B352),E352+(ROUND(F352*K352/B352,0)*B352)),IF(D352="BUY",E352-(ROUND(F352*K352/B352,0)*B352),E352+(ROUND(F352*K352/B352,0)*B352)))</f>
        <v>#DIV/0!</v>
      </c>
      <c r="L353" s="29" t="e">
        <f t="shared" ref="L353" si="524">IF(D353="BUY",I353+(R353*B353),I353-(R353*B353))</f>
        <v>#DIV/0!</v>
      </c>
      <c r="M353" s="29" t="e">
        <f>IF(D352="BUY",E352+(ROUND(F352*M352/B352,0)*B352),E352-(ROUND(F352*M352/B352,0)*B352))</f>
        <v>#DIV/0!</v>
      </c>
      <c r="N353" s="29" t="e">
        <f>IF(D352="BUY",E352-(ROUND(F352*N352/B352,0)*B352),E352+(ROUND(F352*N352/B352,0)*B352))</f>
        <v>#DIV/0!</v>
      </c>
      <c r="O353" s="31" t="e">
        <f>IF(D353="BUY",N353-VLOOKUP(A353,Symbols!A$1:D$1000,4,FALSE),N353+VLOOKUP(A353,Symbols!A$1:D$1000,4,FALSE))</f>
        <v>#DIV/0!</v>
      </c>
      <c r="P353" s="29">
        <f>P352</f>
        <v>0</v>
      </c>
      <c r="Q353" s="29">
        <f>Q352</f>
        <v>0</v>
      </c>
      <c r="R353" s="29">
        <f>R352</f>
        <v>0</v>
      </c>
      <c r="S353" s="29">
        <f>S352</f>
        <v>0</v>
      </c>
      <c r="T353" s="29">
        <f>T352</f>
        <v>0</v>
      </c>
      <c r="U353" s="29" t="e">
        <f>DATEDIF(DATE(1970,1,1),U352,"D")*86400</f>
        <v>#NUM!</v>
      </c>
      <c r="V353" s="29">
        <f>HOUR(V352)*3600+MINUTE(V352)*60+SECOND(V352)</f>
        <v>0</v>
      </c>
      <c r="W353" s="29" t="e">
        <f>DATEDIF(DATE(1970,1,1),W352,"D")*86400</f>
        <v>#NUM!</v>
      </c>
      <c r="X353" s="29">
        <f>HOUR(X352)*3600+MINUTE(X352)*60+SECOND(X352)</f>
        <v>0</v>
      </c>
      <c r="Y353" s="31">
        <f>(Y352*B353)</f>
        <v>0</v>
      </c>
      <c r="Z353" s="29">
        <f>Z352</f>
        <v>0</v>
      </c>
      <c r="AA353" s="29" t="e">
        <f>DATEDIF(DATE(1970,1,1),AA352,"D")*86400</f>
        <v>#NUM!</v>
      </c>
      <c r="AB353" s="29">
        <f>HOUR(AB352)*3600+MINUTE(AB352)*60+SECOND(AB352)</f>
        <v>0</v>
      </c>
      <c r="AC353" s="29">
        <f>AC352</f>
        <v>0</v>
      </c>
    </row>
    <row r="354" spans="1:29">
      <c r="A354" s="23">
        <f>Parameters!A178</f>
        <v>0</v>
      </c>
      <c r="B354" s="23">
        <f>Parameters!B178</f>
        <v>0</v>
      </c>
      <c r="C354" s="24">
        <f>Parameters!C178</f>
        <v>0</v>
      </c>
      <c r="D354" s="24">
        <f>Parameters!D178</f>
        <v>0</v>
      </c>
      <c r="E354" s="23">
        <f>Parameters!E178</f>
        <v>0</v>
      </c>
      <c r="F354" s="23">
        <f>Parameters!F178</f>
        <v>0</v>
      </c>
      <c r="G354" s="25">
        <f>Parameters!G178</f>
        <v>0</v>
      </c>
      <c r="H354" s="25">
        <f>Parameters!H178</f>
        <v>0</v>
      </c>
      <c r="I354" s="25">
        <f>Parameters!I178</f>
        <v>0</v>
      </c>
      <c r="J354" s="25">
        <f>Parameters!J178</f>
        <v>0</v>
      </c>
      <c r="K354" s="25">
        <f>Parameters!K178</f>
        <v>0</v>
      </c>
      <c r="L354" s="26" t="e">
        <f t="shared" ref="L354" si="525">L355</f>
        <v>#DIV/0!</v>
      </c>
      <c r="M354" s="25">
        <f>Parameters!L178</f>
        <v>0</v>
      </c>
      <c r="N354" s="25">
        <f>Parameters!M178</f>
        <v>0</v>
      </c>
      <c r="O354" s="26" t="e">
        <f t="shared" ref="O354" si="526">O355</f>
        <v>#DIV/0!</v>
      </c>
      <c r="P354" s="23">
        <f>Parameters!N178</f>
        <v>0</v>
      </c>
      <c r="Q354" s="23">
        <f>Parameters!O178</f>
        <v>0</v>
      </c>
      <c r="R354" s="23">
        <f>Parameters!P178</f>
        <v>0</v>
      </c>
      <c r="S354" s="23">
        <f>Parameters!Q178</f>
        <v>0</v>
      </c>
      <c r="T354" s="23">
        <f>Parameters!R178</f>
        <v>0</v>
      </c>
      <c r="U354" s="27">
        <f>Parameters!S178</f>
        <v>0</v>
      </c>
      <c r="V354" s="28">
        <f>Parameters!T178</f>
        <v>0</v>
      </c>
      <c r="W354" s="27">
        <f>Parameters!U178</f>
        <v>0</v>
      </c>
      <c r="X354" s="28">
        <f>Parameters!V178</f>
        <v>0</v>
      </c>
      <c r="Y354" s="25">
        <f>Parameters!W178</f>
        <v>0</v>
      </c>
      <c r="Z354" s="23">
        <f>Parameters!X178</f>
        <v>0</v>
      </c>
      <c r="AA354" s="27">
        <f>Parameters!Y178</f>
        <v>0</v>
      </c>
      <c r="AB354" s="28">
        <f>Parameters!Z178</f>
        <v>0</v>
      </c>
      <c r="AC354" s="23">
        <f>Parameters!AA178</f>
        <v>0</v>
      </c>
    </row>
    <row r="355" spans="1:29">
      <c r="A355" s="29" t="str">
        <f>UPPER(A354)</f>
        <v>0</v>
      </c>
      <c r="B355" s="29">
        <f>B354</f>
        <v>0</v>
      </c>
      <c r="C355" s="30">
        <f>C354</f>
        <v>0</v>
      </c>
      <c r="D355" s="30">
        <f>D354</f>
        <v>0</v>
      </c>
      <c r="E355" s="29">
        <f>E354</f>
        <v>0</v>
      </c>
      <c r="F355" s="29">
        <f>F354</f>
        <v>0</v>
      </c>
      <c r="G355" s="29" t="e">
        <f>IF(C354=1,IF(D354="BUY",E354+(ROUND(F354*G354/B354,0)*B354),E354-(ROUND(F354*G354/B354,0)*B354)),IF(D354="BUY",E354-(ROUND(F354*G354/B354,0)*B354),E354+(ROUND(F354*G354/B354,0)*B354)))</f>
        <v>#DIV/0!</v>
      </c>
      <c r="H355" s="29" t="e">
        <f>IF(C354=1,IF(D354="BUY",G355-(ROUND(F354*H354/B354,0)*B354),G355+(ROUND(F354*H354/B354,0)*B354)),IF(D354="BUY",G355+(ROUND(F354*H354/B354,0)*B354),G355-(ROUND(F354*H354/B354,0)*B354)))</f>
        <v>#DIV/0!</v>
      </c>
      <c r="I355" s="29" t="e">
        <f>IF(D354="BUY",G355+(ROUND(F354*I354/(B354*100),0)*B354),G355-(ROUND(F354*I354/(B354*100),0)*B354))</f>
        <v>#DIV/0!</v>
      </c>
      <c r="J355" s="29" t="e">
        <f>IF(C354=1,IF(D354="BUY",E354+(ROUND(F354*J354/B354,0)*B354),E354-(ROUND(F354*J354/B354,0)*B354)),IF(D354="BUY",E354-(ROUND(F354*J354/B354,0)*B354),E354+(ROUND(F354*J354/B354,0)*B354)))</f>
        <v>#DIV/0!</v>
      </c>
      <c r="K355" s="29" t="e">
        <f>IF(C354=1,IF(D354="BUY",E354-(ROUND(F354*K354/B354,0)*B354),E354+(ROUND(F354*K354/B354,0)*B354)),IF(D354="BUY",E354-(ROUND(F354*K354/B354,0)*B354),E354+(ROUND(F354*K354/B354,0)*B354)))</f>
        <v>#DIV/0!</v>
      </c>
      <c r="L355" s="29" t="e">
        <f t="shared" ref="L355" si="527">IF(D355="BUY",I355+(R355*B355),I355-(R355*B355))</f>
        <v>#DIV/0!</v>
      </c>
      <c r="M355" s="29" t="e">
        <f>IF(D354="BUY",E354+(ROUND(F354*M354/B354,0)*B354),E354-(ROUND(F354*M354/B354,0)*B354))</f>
        <v>#DIV/0!</v>
      </c>
      <c r="N355" s="29" t="e">
        <f>IF(D354="BUY",E354-(ROUND(F354*N354/B354,0)*B354),E354+(ROUND(F354*N354/B354,0)*B354))</f>
        <v>#DIV/0!</v>
      </c>
      <c r="O355" s="31" t="e">
        <f>IF(D355="BUY",N355-VLOOKUP(A355,Symbols!A$1:D$1000,4,FALSE),N355+VLOOKUP(A355,Symbols!A$1:D$1000,4,FALSE))</f>
        <v>#DIV/0!</v>
      </c>
      <c r="P355" s="29">
        <f>P354</f>
        <v>0</v>
      </c>
      <c r="Q355" s="29">
        <f>Q354</f>
        <v>0</v>
      </c>
      <c r="R355" s="29">
        <f>R354</f>
        <v>0</v>
      </c>
      <c r="S355" s="29">
        <f>S354</f>
        <v>0</v>
      </c>
      <c r="T355" s="29">
        <f>T354</f>
        <v>0</v>
      </c>
      <c r="U355" s="29" t="e">
        <f>DATEDIF(DATE(1970,1,1),U354,"D")*86400</f>
        <v>#NUM!</v>
      </c>
      <c r="V355" s="29">
        <f>HOUR(V354)*3600+MINUTE(V354)*60+SECOND(V354)</f>
        <v>0</v>
      </c>
      <c r="W355" s="29" t="e">
        <f>DATEDIF(DATE(1970,1,1),W354,"D")*86400</f>
        <v>#NUM!</v>
      </c>
      <c r="X355" s="29">
        <f>HOUR(X354)*3600+MINUTE(X354)*60+SECOND(X354)</f>
        <v>0</v>
      </c>
      <c r="Y355" s="31">
        <f>(Y354*B355)</f>
        <v>0</v>
      </c>
      <c r="Z355" s="29">
        <f>Z354</f>
        <v>0</v>
      </c>
      <c r="AA355" s="29" t="e">
        <f>DATEDIF(DATE(1970,1,1),AA354,"D")*86400</f>
        <v>#NUM!</v>
      </c>
      <c r="AB355" s="29">
        <f>HOUR(AB354)*3600+MINUTE(AB354)*60+SECOND(AB354)</f>
        <v>0</v>
      </c>
      <c r="AC355" s="29">
        <f>AC354</f>
        <v>0</v>
      </c>
    </row>
    <row r="356" spans="1:29">
      <c r="A356" s="23">
        <f>Parameters!A179</f>
        <v>0</v>
      </c>
      <c r="B356" s="23">
        <f>Parameters!B179</f>
        <v>0</v>
      </c>
      <c r="C356" s="24">
        <f>Parameters!C179</f>
        <v>0</v>
      </c>
      <c r="D356" s="24">
        <f>Parameters!D179</f>
        <v>0</v>
      </c>
      <c r="E356" s="23">
        <f>Parameters!E179</f>
        <v>0</v>
      </c>
      <c r="F356" s="23">
        <f>Parameters!F179</f>
        <v>0</v>
      </c>
      <c r="G356" s="25">
        <f>Parameters!G179</f>
        <v>0</v>
      </c>
      <c r="H356" s="25">
        <f>Parameters!H179</f>
        <v>0</v>
      </c>
      <c r="I356" s="25">
        <f>Parameters!I179</f>
        <v>0</v>
      </c>
      <c r="J356" s="25">
        <f>Parameters!J179</f>
        <v>0</v>
      </c>
      <c r="K356" s="25">
        <f>Parameters!K179</f>
        <v>0</v>
      </c>
      <c r="L356" s="26" t="e">
        <f t="shared" ref="L356" si="528">L357</f>
        <v>#DIV/0!</v>
      </c>
      <c r="M356" s="25">
        <f>Parameters!L179</f>
        <v>0</v>
      </c>
      <c r="N356" s="25">
        <f>Parameters!M179</f>
        <v>0</v>
      </c>
      <c r="O356" s="26" t="e">
        <f t="shared" ref="O356" si="529">O357</f>
        <v>#DIV/0!</v>
      </c>
      <c r="P356" s="23">
        <f>Parameters!N179</f>
        <v>0</v>
      </c>
      <c r="Q356" s="23">
        <f>Parameters!O179</f>
        <v>0</v>
      </c>
      <c r="R356" s="23">
        <f>Parameters!P179</f>
        <v>0</v>
      </c>
      <c r="S356" s="23">
        <f>Parameters!Q179</f>
        <v>0</v>
      </c>
      <c r="T356" s="23">
        <f>Parameters!R179</f>
        <v>0</v>
      </c>
      <c r="U356" s="27">
        <f>Parameters!S179</f>
        <v>0</v>
      </c>
      <c r="V356" s="28">
        <f>Parameters!T179</f>
        <v>0</v>
      </c>
      <c r="W356" s="27">
        <f>Parameters!U179</f>
        <v>0</v>
      </c>
      <c r="X356" s="28">
        <f>Parameters!V179</f>
        <v>0</v>
      </c>
      <c r="Y356" s="25">
        <f>Parameters!W179</f>
        <v>0</v>
      </c>
      <c r="Z356" s="23">
        <f>Parameters!X179</f>
        <v>0</v>
      </c>
      <c r="AA356" s="27">
        <f>Parameters!Y179</f>
        <v>0</v>
      </c>
      <c r="AB356" s="28">
        <f>Parameters!Z179</f>
        <v>0</v>
      </c>
      <c r="AC356" s="23">
        <f>Parameters!AA179</f>
        <v>0</v>
      </c>
    </row>
    <row r="357" spans="1:29">
      <c r="A357" s="29" t="str">
        <f>UPPER(A356)</f>
        <v>0</v>
      </c>
      <c r="B357" s="29">
        <f>B356</f>
        <v>0</v>
      </c>
      <c r="C357" s="30">
        <f>C356</f>
        <v>0</v>
      </c>
      <c r="D357" s="30">
        <f>D356</f>
        <v>0</v>
      </c>
      <c r="E357" s="29">
        <f>E356</f>
        <v>0</v>
      </c>
      <c r="F357" s="29">
        <f>F356</f>
        <v>0</v>
      </c>
      <c r="G357" s="29" t="e">
        <f>IF(C356=1,IF(D356="BUY",E356+(ROUND(F356*G356/B356,0)*B356),E356-(ROUND(F356*G356/B356,0)*B356)),IF(D356="BUY",E356-(ROUND(F356*G356/B356,0)*B356),E356+(ROUND(F356*G356/B356,0)*B356)))</f>
        <v>#DIV/0!</v>
      </c>
      <c r="H357" s="29" t="e">
        <f>IF(C356=1,IF(D356="BUY",G357-(ROUND(F356*H356/B356,0)*B356),G357+(ROUND(F356*H356/B356,0)*B356)),IF(D356="BUY",G357+(ROUND(F356*H356/B356,0)*B356),G357-(ROUND(F356*H356/B356,0)*B356)))</f>
        <v>#DIV/0!</v>
      </c>
      <c r="I357" s="29" t="e">
        <f>IF(D356="BUY",G357+(ROUND(F356*I356/(B356*100),0)*B356),G357-(ROUND(F356*I356/(B356*100),0)*B356))</f>
        <v>#DIV/0!</v>
      </c>
      <c r="J357" s="29" t="e">
        <f>IF(C356=1,IF(D356="BUY",E356+(ROUND(F356*J356/B356,0)*B356),E356-(ROUND(F356*J356/B356,0)*B356)),IF(D356="BUY",E356-(ROUND(F356*J356/B356,0)*B356),E356+(ROUND(F356*J356/B356,0)*B356)))</f>
        <v>#DIV/0!</v>
      </c>
      <c r="K357" s="29" t="e">
        <f>IF(C356=1,IF(D356="BUY",E356-(ROUND(F356*K356/B356,0)*B356),E356+(ROUND(F356*K356/B356,0)*B356)),IF(D356="BUY",E356-(ROUND(F356*K356/B356,0)*B356),E356+(ROUND(F356*K356/B356,0)*B356)))</f>
        <v>#DIV/0!</v>
      </c>
      <c r="L357" s="29" t="e">
        <f t="shared" ref="L357" si="530">IF(D357="BUY",I357+(R357*B357),I357-(R357*B357))</f>
        <v>#DIV/0!</v>
      </c>
      <c r="M357" s="29" t="e">
        <f>IF(D356="BUY",E356+(ROUND(F356*M356/B356,0)*B356),E356-(ROUND(F356*M356/B356,0)*B356))</f>
        <v>#DIV/0!</v>
      </c>
      <c r="N357" s="29" t="e">
        <f>IF(D356="BUY",E356-(ROUND(F356*N356/B356,0)*B356),E356+(ROUND(F356*N356/B356,0)*B356))</f>
        <v>#DIV/0!</v>
      </c>
      <c r="O357" s="31" t="e">
        <f>IF(D357="BUY",N357-VLOOKUP(A357,Symbols!A$1:D$1000,4,FALSE),N357+VLOOKUP(A357,Symbols!A$1:D$1000,4,FALSE))</f>
        <v>#DIV/0!</v>
      </c>
      <c r="P357" s="29">
        <f>P356</f>
        <v>0</v>
      </c>
      <c r="Q357" s="29">
        <f>Q356</f>
        <v>0</v>
      </c>
      <c r="R357" s="29">
        <f>R356</f>
        <v>0</v>
      </c>
      <c r="S357" s="29">
        <f>S356</f>
        <v>0</v>
      </c>
      <c r="T357" s="29">
        <f>T356</f>
        <v>0</v>
      </c>
      <c r="U357" s="29" t="e">
        <f>DATEDIF(DATE(1970,1,1),U356,"D")*86400</f>
        <v>#NUM!</v>
      </c>
      <c r="V357" s="29">
        <f>HOUR(V356)*3600+MINUTE(V356)*60+SECOND(V356)</f>
        <v>0</v>
      </c>
      <c r="W357" s="29" t="e">
        <f>DATEDIF(DATE(1970,1,1),W356,"D")*86400</f>
        <v>#NUM!</v>
      </c>
      <c r="X357" s="29">
        <f>HOUR(X356)*3600+MINUTE(X356)*60+SECOND(X356)</f>
        <v>0</v>
      </c>
      <c r="Y357" s="31">
        <f>(Y356*B357)</f>
        <v>0</v>
      </c>
      <c r="Z357" s="29">
        <f>Z356</f>
        <v>0</v>
      </c>
      <c r="AA357" s="29" t="e">
        <f>DATEDIF(DATE(1970,1,1),AA356,"D")*86400</f>
        <v>#NUM!</v>
      </c>
      <c r="AB357" s="29">
        <f>HOUR(AB356)*3600+MINUTE(AB356)*60+SECOND(AB356)</f>
        <v>0</v>
      </c>
      <c r="AC357" s="29">
        <f>AC356</f>
        <v>0</v>
      </c>
    </row>
    <row r="358" spans="1:29">
      <c r="A358" s="23">
        <f>Parameters!A180</f>
        <v>0</v>
      </c>
      <c r="B358" s="23">
        <f>Parameters!B180</f>
        <v>0</v>
      </c>
      <c r="C358" s="24">
        <f>Parameters!C180</f>
        <v>0</v>
      </c>
      <c r="D358" s="24">
        <f>Parameters!D180</f>
        <v>0</v>
      </c>
      <c r="E358" s="23">
        <f>Parameters!E180</f>
        <v>0</v>
      </c>
      <c r="F358" s="23">
        <f>Parameters!F180</f>
        <v>0</v>
      </c>
      <c r="G358" s="25">
        <f>Parameters!G180</f>
        <v>0</v>
      </c>
      <c r="H358" s="25">
        <f>Parameters!H180</f>
        <v>0</v>
      </c>
      <c r="I358" s="25">
        <f>Parameters!I180</f>
        <v>0</v>
      </c>
      <c r="J358" s="25">
        <f>Parameters!J180</f>
        <v>0</v>
      </c>
      <c r="K358" s="25">
        <f>Parameters!K180</f>
        <v>0</v>
      </c>
      <c r="L358" s="26" t="e">
        <f t="shared" ref="L358" si="531">L359</f>
        <v>#DIV/0!</v>
      </c>
      <c r="M358" s="25">
        <f>Parameters!L180</f>
        <v>0</v>
      </c>
      <c r="N358" s="25">
        <f>Parameters!M180</f>
        <v>0</v>
      </c>
      <c r="O358" s="26" t="e">
        <f t="shared" ref="O358" si="532">O359</f>
        <v>#DIV/0!</v>
      </c>
      <c r="P358" s="23">
        <f>Parameters!N180</f>
        <v>0</v>
      </c>
      <c r="Q358" s="23">
        <f>Parameters!O180</f>
        <v>0</v>
      </c>
      <c r="R358" s="23">
        <f>Parameters!P180</f>
        <v>0</v>
      </c>
      <c r="S358" s="23">
        <f>Parameters!Q180</f>
        <v>0</v>
      </c>
      <c r="T358" s="23">
        <f>Parameters!R180</f>
        <v>0</v>
      </c>
      <c r="U358" s="27">
        <f>Parameters!S180</f>
        <v>0</v>
      </c>
      <c r="V358" s="28">
        <f>Parameters!T180</f>
        <v>0</v>
      </c>
      <c r="W358" s="27">
        <f>Parameters!U180</f>
        <v>0</v>
      </c>
      <c r="X358" s="28">
        <f>Parameters!V180</f>
        <v>0</v>
      </c>
      <c r="Y358" s="25">
        <f>Parameters!W180</f>
        <v>0</v>
      </c>
      <c r="Z358" s="23">
        <f>Parameters!X180</f>
        <v>0</v>
      </c>
      <c r="AA358" s="27">
        <f>Parameters!Y180</f>
        <v>0</v>
      </c>
      <c r="AB358" s="28">
        <f>Parameters!Z180</f>
        <v>0</v>
      </c>
      <c r="AC358" s="23">
        <f>Parameters!AA180</f>
        <v>0</v>
      </c>
    </row>
    <row r="359" spans="1:29">
      <c r="A359" s="29" t="str">
        <f>UPPER(A358)</f>
        <v>0</v>
      </c>
      <c r="B359" s="29">
        <f>B358</f>
        <v>0</v>
      </c>
      <c r="C359" s="30">
        <f>C358</f>
        <v>0</v>
      </c>
      <c r="D359" s="30">
        <f>D358</f>
        <v>0</v>
      </c>
      <c r="E359" s="29">
        <f>E358</f>
        <v>0</v>
      </c>
      <c r="F359" s="29">
        <f>F358</f>
        <v>0</v>
      </c>
      <c r="G359" s="29" t="e">
        <f>IF(C358=1,IF(D358="BUY",E358+(ROUND(F358*G358/B358,0)*B358),E358-(ROUND(F358*G358/B358,0)*B358)),IF(D358="BUY",E358-(ROUND(F358*G358/B358,0)*B358),E358+(ROUND(F358*G358/B358,0)*B358)))</f>
        <v>#DIV/0!</v>
      </c>
      <c r="H359" s="29" t="e">
        <f>IF(C358=1,IF(D358="BUY",G359-(ROUND(F358*H358/B358,0)*B358),G359+(ROUND(F358*H358/B358,0)*B358)),IF(D358="BUY",G359+(ROUND(F358*H358/B358,0)*B358),G359-(ROUND(F358*H358/B358,0)*B358)))</f>
        <v>#DIV/0!</v>
      </c>
      <c r="I359" s="29" t="e">
        <f>IF(D358="BUY",G359+(ROUND(F358*I358/(B358*100),0)*B358),G359-(ROUND(F358*I358/(B358*100),0)*B358))</f>
        <v>#DIV/0!</v>
      </c>
      <c r="J359" s="29" t="e">
        <f>IF(C358=1,IF(D358="BUY",E358+(ROUND(F358*J358/B358,0)*B358),E358-(ROUND(F358*J358/B358,0)*B358)),IF(D358="BUY",E358-(ROUND(F358*J358/B358,0)*B358),E358+(ROUND(F358*J358/B358,0)*B358)))</f>
        <v>#DIV/0!</v>
      </c>
      <c r="K359" s="29" t="e">
        <f>IF(C358=1,IF(D358="BUY",E358-(ROUND(F358*K358/B358,0)*B358),E358+(ROUND(F358*K358/B358,0)*B358)),IF(D358="BUY",E358-(ROUND(F358*K358/B358,0)*B358),E358+(ROUND(F358*K358/B358,0)*B358)))</f>
        <v>#DIV/0!</v>
      </c>
      <c r="L359" s="29" t="e">
        <f t="shared" ref="L359" si="533">IF(D359="BUY",I359+(R359*B359),I359-(R359*B359))</f>
        <v>#DIV/0!</v>
      </c>
      <c r="M359" s="29" t="e">
        <f>IF(D358="BUY",E358+(ROUND(F358*M358/B358,0)*B358),E358-(ROUND(F358*M358/B358,0)*B358))</f>
        <v>#DIV/0!</v>
      </c>
      <c r="N359" s="29" t="e">
        <f>IF(D358="BUY",E358-(ROUND(F358*N358/B358,0)*B358),E358+(ROUND(F358*N358/B358,0)*B358))</f>
        <v>#DIV/0!</v>
      </c>
      <c r="O359" s="31" t="e">
        <f>IF(D359="BUY",N359-VLOOKUP(A359,Symbols!A$1:D$1000,4,FALSE),N359+VLOOKUP(A359,Symbols!A$1:D$1000,4,FALSE))</f>
        <v>#DIV/0!</v>
      </c>
      <c r="P359" s="29">
        <f>P358</f>
        <v>0</v>
      </c>
      <c r="Q359" s="29">
        <f>Q358</f>
        <v>0</v>
      </c>
      <c r="R359" s="29">
        <f>R358</f>
        <v>0</v>
      </c>
      <c r="S359" s="29">
        <f>S358</f>
        <v>0</v>
      </c>
      <c r="T359" s="29">
        <f>T358</f>
        <v>0</v>
      </c>
      <c r="U359" s="29" t="e">
        <f>DATEDIF(DATE(1970,1,1),U358,"D")*86400</f>
        <v>#NUM!</v>
      </c>
      <c r="V359" s="29">
        <f>HOUR(V358)*3600+MINUTE(V358)*60+SECOND(V358)</f>
        <v>0</v>
      </c>
      <c r="W359" s="29" t="e">
        <f>DATEDIF(DATE(1970,1,1),W358,"D")*86400</f>
        <v>#NUM!</v>
      </c>
      <c r="X359" s="29">
        <f>HOUR(X358)*3600+MINUTE(X358)*60+SECOND(X358)</f>
        <v>0</v>
      </c>
      <c r="Y359" s="31">
        <f>(Y358*B359)</f>
        <v>0</v>
      </c>
      <c r="Z359" s="29">
        <f>Z358</f>
        <v>0</v>
      </c>
      <c r="AA359" s="29" t="e">
        <f>DATEDIF(DATE(1970,1,1),AA358,"D")*86400</f>
        <v>#NUM!</v>
      </c>
      <c r="AB359" s="29">
        <f>HOUR(AB358)*3600+MINUTE(AB358)*60+SECOND(AB358)</f>
        <v>0</v>
      </c>
      <c r="AC359" s="29">
        <f>AC358</f>
        <v>0</v>
      </c>
    </row>
    <row r="360" spans="1:29">
      <c r="A360" s="23">
        <f>Parameters!A181</f>
        <v>0</v>
      </c>
      <c r="B360" s="23">
        <f>Parameters!B181</f>
        <v>0</v>
      </c>
      <c r="C360" s="24">
        <f>Parameters!C181</f>
        <v>0</v>
      </c>
      <c r="D360" s="24">
        <f>Parameters!D181</f>
        <v>0</v>
      </c>
      <c r="E360" s="23">
        <f>Parameters!E181</f>
        <v>0</v>
      </c>
      <c r="F360" s="23">
        <f>Parameters!F181</f>
        <v>0</v>
      </c>
      <c r="G360" s="25">
        <f>Parameters!G181</f>
        <v>0</v>
      </c>
      <c r="H360" s="25">
        <f>Parameters!H181</f>
        <v>0</v>
      </c>
      <c r="I360" s="25">
        <f>Parameters!I181</f>
        <v>0</v>
      </c>
      <c r="J360" s="25">
        <f>Parameters!J181</f>
        <v>0</v>
      </c>
      <c r="K360" s="25">
        <f>Parameters!K181</f>
        <v>0</v>
      </c>
      <c r="L360" s="26" t="e">
        <f t="shared" ref="L360" si="534">L361</f>
        <v>#DIV/0!</v>
      </c>
      <c r="M360" s="25">
        <f>Parameters!L181</f>
        <v>0</v>
      </c>
      <c r="N360" s="25">
        <f>Parameters!M181</f>
        <v>0</v>
      </c>
      <c r="O360" s="26" t="e">
        <f t="shared" ref="O360" si="535">O361</f>
        <v>#DIV/0!</v>
      </c>
      <c r="P360" s="23">
        <f>Parameters!N181</f>
        <v>0</v>
      </c>
      <c r="Q360" s="23">
        <f>Parameters!O181</f>
        <v>0</v>
      </c>
      <c r="R360" s="23">
        <f>Parameters!P181</f>
        <v>0</v>
      </c>
      <c r="S360" s="23">
        <f>Parameters!Q181</f>
        <v>0</v>
      </c>
      <c r="T360" s="23">
        <f>Parameters!R181</f>
        <v>0</v>
      </c>
      <c r="U360" s="27">
        <f>Parameters!S181</f>
        <v>0</v>
      </c>
      <c r="V360" s="28">
        <f>Parameters!T181</f>
        <v>0</v>
      </c>
      <c r="W360" s="27">
        <f>Parameters!U181</f>
        <v>0</v>
      </c>
      <c r="X360" s="28">
        <f>Parameters!V181</f>
        <v>0</v>
      </c>
      <c r="Y360" s="25">
        <f>Parameters!W181</f>
        <v>0</v>
      </c>
      <c r="Z360" s="23">
        <f>Parameters!X181</f>
        <v>0</v>
      </c>
      <c r="AA360" s="27">
        <f>Parameters!Y181</f>
        <v>0</v>
      </c>
      <c r="AB360" s="28">
        <f>Parameters!Z181</f>
        <v>0</v>
      </c>
      <c r="AC360" s="23">
        <f>Parameters!AA181</f>
        <v>0</v>
      </c>
    </row>
    <row r="361" spans="1:29">
      <c r="A361" s="29" t="str">
        <f>UPPER(A360)</f>
        <v>0</v>
      </c>
      <c r="B361" s="29">
        <f>B360</f>
        <v>0</v>
      </c>
      <c r="C361" s="30">
        <f>C360</f>
        <v>0</v>
      </c>
      <c r="D361" s="30">
        <f>D360</f>
        <v>0</v>
      </c>
      <c r="E361" s="29">
        <f>E360</f>
        <v>0</v>
      </c>
      <c r="F361" s="29">
        <f>F360</f>
        <v>0</v>
      </c>
      <c r="G361" s="29" t="e">
        <f>IF(C360=1,IF(D360="BUY",E360+(ROUND(F360*G360/B360,0)*B360),E360-(ROUND(F360*G360/B360,0)*B360)),IF(D360="BUY",E360-(ROUND(F360*G360/B360,0)*B360),E360+(ROUND(F360*G360/B360,0)*B360)))</f>
        <v>#DIV/0!</v>
      </c>
      <c r="H361" s="29" t="e">
        <f>IF(C360=1,IF(D360="BUY",G361-(ROUND(F360*H360/B360,0)*B360),G361+(ROUND(F360*H360/B360,0)*B360)),IF(D360="BUY",G361+(ROUND(F360*H360/B360,0)*B360),G361-(ROUND(F360*H360/B360,0)*B360)))</f>
        <v>#DIV/0!</v>
      </c>
      <c r="I361" s="29" t="e">
        <f>IF(D360="BUY",G361+(ROUND(F360*I360/(B360*100),0)*B360),G361-(ROUND(F360*I360/(B360*100),0)*B360))</f>
        <v>#DIV/0!</v>
      </c>
      <c r="J361" s="29" t="e">
        <f>IF(C360=1,IF(D360="BUY",E360+(ROUND(F360*J360/B360,0)*B360),E360-(ROUND(F360*J360/B360,0)*B360)),IF(D360="BUY",E360-(ROUND(F360*J360/B360,0)*B360),E360+(ROUND(F360*J360/B360,0)*B360)))</f>
        <v>#DIV/0!</v>
      </c>
      <c r="K361" s="29" t="e">
        <f>IF(C360=1,IF(D360="BUY",E360-(ROUND(F360*K360/B360,0)*B360),E360+(ROUND(F360*K360/B360,0)*B360)),IF(D360="BUY",E360-(ROUND(F360*K360/B360,0)*B360),E360+(ROUND(F360*K360/B360,0)*B360)))</f>
        <v>#DIV/0!</v>
      </c>
      <c r="L361" s="29" t="e">
        <f t="shared" ref="L361" si="536">IF(D361="BUY",I361+(R361*B361),I361-(R361*B361))</f>
        <v>#DIV/0!</v>
      </c>
      <c r="M361" s="29" t="e">
        <f>IF(D360="BUY",E360+(ROUND(F360*M360/B360,0)*B360),E360-(ROUND(F360*M360/B360,0)*B360))</f>
        <v>#DIV/0!</v>
      </c>
      <c r="N361" s="29" t="e">
        <f>IF(D360="BUY",E360-(ROUND(F360*N360/B360,0)*B360),E360+(ROUND(F360*N360/B360,0)*B360))</f>
        <v>#DIV/0!</v>
      </c>
      <c r="O361" s="31" t="e">
        <f>IF(D361="BUY",N361-VLOOKUP(A361,Symbols!A$1:D$1000,4,FALSE),N361+VLOOKUP(A361,Symbols!A$1:D$1000,4,FALSE))</f>
        <v>#DIV/0!</v>
      </c>
      <c r="P361" s="29">
        <f>P360</f>
        <v>0</v>
      </c>
      <c r="Q361" s="29">
        <f>Q360</f>
        <v>0</v>
      </c>
      <c r="R361" s="29">
        <f>R360</f>
        <v>0</v>
      </c>
      <c r="S361" s="29">
        <f>S360</f>
        <v>0</v>
      </c>
      <c r="T361" s="29">
        <f>T360</f>
        <v>0</v>
      </c>
      <c r="U361" s="29" t="e">
        <f>DATEDIF(DATE(1970,1,1),U360,"D")*86400</f>
        <v>#NUM!</v>
      </c>
      <c r="V361" s="29">
        <f>HOUR(V360)*3600+MINUTE(V360)*60+SECOND(V360)</f>
        <v>0</v>
      </c>
      <c r="W361" s="29" t="e">
        <f>DATEDIF(DATE(1970,1,1),W360,"D")*86400</f>
        <v>#NUM!</v>
      </c>
      <c r="X361" s="29">
        <f>HOUR(X360)*3600+MINUTE(X360)*60+SECOND(X360)</f>
        <v>0</v>
      </c>
      <c r="Y361" s="31">
        <f>(Y360*B361)</f>
        <v>0</v>
      </c>
      <c r="Z361" s="29">
        <f>Z360</f>
        <v>0</v>
      </c>
      <c r="AA361" s="29" t="e">
        <f>DATEDIF(DATE(1970,1,1),AA360,"D")*86400</f>
        <v>#NUM!</v>
      </c>
      <c r="AB361" s="29">
        <f>HOUR(AB360)*3600+MINUTE(AB360)*60+SECOND(AB360)</f>
        <v>0</v>
      </c>
      <c r="AC361" s="29">
        <f>AC360</f>
        <v>0</v>
      </c>
    </row>
    <row r="362" spans="1:29">
      <c r="A362" s="23">
        <f>Parameters!A182</f>
        <v>0</v>
      </c>
      <c r="B362" s="23">
        <f>Parameters!B182</f>
        <v>0</v>
      </c>
      <c r="C362" s="24">
        <f>Parameters!C182</f>
        <v>0</v>
      </c>
      <c r="D362" s="24">
        <f>Parameters!D182</f>
        <v>0</v>
      </c>
      <c r="E362" s="23">
        <f>Parameters!E182</f>
        <v>0</v>
      </c>
      <c r="F362" s="23">
        <f>Parameters!F182</f>
        <v>0</v>
      </c>
      <c r="G362" s="25">
        <f>Parameters!G182</f>
        <v>0</v>
      </c>
      <c r="H362" s="25">
        <f>Parameters!H182</f>
        <v>0</v>
      </c>
      <c r="I362" s="25">
        <f>Parameters!I182</f>
        <v>0</v>
      </c>
      <c r="J362" s="25">
        <f>Parameters!J182</f>
        <v>0</v>
      </c>
      <c r="K362" s="25">
        <f>Parameters!K182</f>
        <v>0</v>
      </c>
      <c r="L362" s="26" t="e">
        <f t="shared" ref="L362" si="537">L363</f>
        <v>#DIV/0!</v>
      </c>
      <c r="M362" s="25">
        <f>Parameters!L182</f>
        <v>0</v>
      </c>
      <c r="N362" s="25">
        <f>Parameters!M182</f>
        <v>0</v>
      </c>
      <c r="O362" s="26" t="e">
        <f t="shared" ref="O362" si="538">O363</f>
        <v>#DIV/0!</v>
      </c>
      <c r="P362" s="23">
        <f>Parameters!N182</f>
        <v>0</v>
      </c>
      <c r="Q362" s="23">
        <f>Parameters!O182</f>
        <v>0</v>
      </c>
      <c r="R362" s="23">
        <f>Parameters!P182</f>
        <v>0</v>
      </c>
      <c r="S362" s="23">
        <f>Parameters!Q182</f>
        <v>0</v>
      </c>
      <c r="T362" s="23">
        <f>Parameters!R182</f>
        <v>0</v>
      </c>
      <c r="U362" s="27">
        <f>Parameters!S182</f>
        <v>0</v>
      </c>
      <c r="V362" s="28">
        <f>Parameters!T182</f>
        <v>0</v>
      </c>
      <c r="W362" s="27">
        <f>Parameters!U182</f>
        <v>0</v>
      </c>
      <c r="X362" s="28">
        <f>Parameters!V182</f>
        <v>0</v>
      </c>
      <c r="Y362" s="25">
        <f>Parameters!W182</f>
        <v>0</v>
      </c>
      <c r="Z362" s="23">
        <f>Parameters!X182</f>
        <v>0</v>
      </c>
      <c r="AA362" s="27">
        <f>Parameters!Y182</f>
        <v>0</v>
      </c>
      <c r="AB362" s="28">
        <f>Parameters!Z182</f>
        <v>0</v>
      </c>
      <c r="AC362" s="23">
        <f>Parameters!AA182</f>
        <v>0</v>
      </c>
    </row>
    <row r="363" spans="1:29">
      <c r="A363" s="29" t="str">
        <f>UPPER(A362)</f>
        <v>0</v>
      </c>
      <c r="B363" s="29">
        <f>B362</f>
        <v>0</v>
      </c>
      <c r="C363" s="30">
        <f>C362</f>
        <v>0</v>
      </c>
      <c r="D363" s="30">
        <f>D362</f>
        <v>0</v>
      </c>
      <c r="E363" s="29">
        <f>E362</f>
        <v>0</v>
      </c>
      <c r="F363" s="29">
        <f>F362</f>
        <v>0</v>
      </c>
      <c r="G363" s="29" t="e">
        <f>IF(C362=1,IF(D362="BUY",E362+(ROUND(F362*G362/B362,0)*B362),E362-(ROUND(F362*G362/B362,0)*B362)),IF(D362="BUY",E362-(ROUND(F362*G362/B362,0)*B362),E362+(ROUND(F362*G362/B362,0)*B362)))</f>
        <v>#DIV/0!</v>
      </c>
      <c r="H363" s="29" t="e">
        <f>IF(C362=1,IF(D362="BUY",G363-(ROUND(F362*H362/B362,0)*B362),G363+(ROUND(F362*H362/B362,0)*B362)),IF(D362="BUY",G363+(ROUND(F362*H362/B362,0)*B362),G363-(ROUND(F362*H362/B362,0)*B362)))</f>
        <v>#DIV/0!</v>
      </c>
      <c r="I363" s="29" t="e">
        <f>IF(D362="BUY",G363+(ROUND(F362*I362/(B362*100),0)*B362),G363-(ROUND(F362*I362/(B362*100),0)*B362))</f>
        <v>#DIV/0!</v>
      </c>
      <c r="J363" s="29" t="e">
        <f>IF(C362=1,IF(D362="BUY",E362+(ROUND(F362*J362/B362,0)*B362),E362-(ROUND(F362*J362/B362,0)*B362)),IF(D362="BUY",E362-(ROUND(F362*J362/B362,0)*B362),E362+(ROUND(F362*J362/B362,0)*B362)))</f>
        <v>#DIV/0!</v>
      </c>
      <c r="K363" s="29" t="e">
        <f>IF(C362=1,IF(D362="BUY",E362-(ROUND(F362*K362/B362,0)*B362),E362+(ROUND(F362*K362/B362,0)*B362)),IF(D362="BUY",E362-(ROUND(F362*K362/B362,0)*B362),E362+(ROUND(F362*K362/B362,0)*B362)))</f>
        <v>#DIV/0!</v>
      </c>
      <c r="L363" s="29" t="e">
        <f t="shared" ref="L363" si="539">IF(D363="BUY",I363+(R363*B363),I363-(R363*B363))</f>
        <v>#DIV/0!</v>
      </c>
      <c r="M363" s="29" t="e">
        <f>IF(D362="BUY",E362+(ROUND(F362*M362/B362,0)*B362),E362-(ROUND(F362*M362/B362,0)*B362))</f>
        <v>#DIV/0!</v>
      </c>
      <c r="N363" s="29" t="e">
        <f>IF(D362="BUY",E362-(ROUND(F362*N362/B362,0)*B362),E362+(ROUND(F362*N362/B362,0)*B362))</f>
        <v>#DIV/0!</v>
      </c>
      <c r="O363" s="31" t="e">
        <f>IF(D363="BUY",N363-VLOOKUP(A363,Symbols!A$1:D$1000,4,FALSE),N363+VLOOKUP(A363,Symbols!A$1:D$1000,4,FALSE))</f>
        <v>#DIV/0!</v>
      </c>
      <c r="P363" s="29">
        <f>P362</f>
        <v>0</v>
      </c>
      <c r="Q363" s="29">
        <f>Q362</f>
        <v>0</v>
      </c>
      <c r="R363" s="29">
        <f>R362</f>
        <v>0</v>
      </c>
      <c r="S363" s="29">
        <f>S362</f>
        <v>0</v>
      </c>
      <c r="T363" s="29">
        <f>T362</f>
        <v>0</v>
      </c>
      <c r="U363" s="29" t="e">
        <f>DATEDIF(DATE(1970,1,1),U362,"D")*86400</f>
        <v>#NUM!</v>
      </c>
      <c r="V363" s="29">
        <f>HOUR(V362)*3600+MINUTE(V362)*60+SECOND(V362)</f>
        <v>0</v>
      </c>
      <c r="W363" s="29" t="e">
        <f>DATEDIF(DATE(1970,1,1),W362,"D")*86400</f>
        <v>#NUM!</v>
      </c>
      <c r="X363" s="29">
        <f>HOUR(X362)*3600+MINUTE(X362)*60+SECOND(X362)</f>
        <v>0</v>
      </c>
      <c r="Y363" s="31">
        <f>(Y362*B363)</f>
        <v>0</v>
      </c>
      <c r="Z363" s="29">
        <f>Z362</f>
        <v>0</v>
      </c>
      <c r="AA363" s="29" t="e">
        <f>DATEDIF(DATE(1970,1,1),AA362,"D")*86400</f>
        <v>#NUM!</v>
      </c>
      <c r="AB363" s="29">
        <f>HOUR(AB362)*3600+MINUTE(AB362)*60+SECOND(AB362)</f>
        <v>0</v>
      </c>
      <c r="AC363" s="29">
        <f>AC362</f>
        <v>0</v>
      </c>
    </row>
    <row r="364" spans="1:29">
      <c r="A364" s="23">
        <f>Parameters!A183</f>
        <v>0</v>
      </c>
      <c r="B364" s="23">
        <f>Parameters!B183</f>
        <v>0</v>
      </c>
      <c r="C364" s="24">
        <f>Parameters!C183</f>
        <v>0</v>
      </c>
      <c r="D364" s="24">
        <f>Parameters!D183</f>
        <v>0</v>
      </c>
      <c r="E364" s="23">
        <f>Parameters!E183</f>
        <v>0</v>
      </c>
      <c r="F364" s="23">
        <f>Parameters!F183</f>
        <v>0</v>
      </c>
      <c r="G364" s="25">
        <f>Parameters!G183</f>
        <v>0</v>
      </c>
      <c r="H364" s="25">
        <f>Parameters!H183</f>
        <v>0</v>
      </c>
      <c r="I364" s="25">
        <f>Parameters!I183</f>
        <v>0</v>
      </c>
      <c r="J364" s="25">
        <f>Parameters!J183</f>
        <v>0</v>
      </c>
      <c r="K364" s="25">
        <f>Parameters!K183</f>
        <v>0</v>
      </c>
      <c r="L364" s="26" t="e">
        <f t="shared" ref="L364" si="540">L365</f>
        <v>#DIV/0!</v>
      </c>
      <c r="M364" s="25">
        <f>Parameters!L183</f>
        <v>0</v>
      </c>
      <c r="N364" s="25">
        <f>Parameters!M183</f>
        <v>0</v>
      </c>
      <c r="O364" s="26" t="e">
        <f t="shared" ref="O364" si="541">O365</f>
        <v>#DIV/0!</v>
      </c>
      <c r="P364" s="23">
        <f>Parameters!N183</f>
        <v>0</v>
      </c>
      <c r="Q364" s="23">
        <f>Parameters!O183</f>
        <v>0</v>
      </c>
      <c r="R364" s="23">
        <f>Parameters!P183</f>
        <v>0</v>
      </c>
      <c r="S364" s="23">
        <f>Parameters!Q183</f>
        <v>0</v>
      </c>
      <c r="T364" s="23">
        <f>Parameters!R183</f>
        <v>0</v>
      </c>
      <c r="U364" s="27">
        <f>Parameters!S183</f>
        <v>0</v>
      </c>
      <c r="V364" s="28">
        <f>Parameters!T183</f>
        <v>0</v>
      </c>
      <c r="W364" s="27">
        <f>Parameters!U183</f>
        <v>0</v>
      </c>
      <c r="X364" s="28">
        <f>Parameters!V183</f>
        <v>0</v>
      </c>
      <c r="Y364" s="25">
        <f>Parameters!W183</f>
        <v>0</v>
      </c>
      <c r="Z364" s="23">
        <f>Parameters!X183</f>
        <v>0</v>
      </c>
      <c r="AA364" s="27">
        <f>Parameters!Y183</f>
        <v>0</v>
      </c>
      <c r="AB364" s="28">
        <f>Parameters!Z183</f>
        <v>0</v>
      </c>
      <c r="AC364" s="23">
        <f>Parameters!AA183</f>
        <v>0</v>
      </c>
    </row>
    <row r="365" spans="1:29">
      <c r="A365" s="29" t="str">
        <f>UPPER(A364)</f>
        <v>0</v>
      </c>
      <c r="B365" s="29">
        <f>B364</f>
        <v>0</v>
      </c>
      <c r="C365" s="30">
        <f>C364</f>
        <v>0</v>
      </c>
      <c r="D365" s="30">
        <f>D364</f>
        <v>0</v>
      </c>
      <c r="E365" s="29">
        <f>E364</f>
        <v>0</v>
      </c>
      <c r="F365" s="29">
        <f>F364</f>
        <v>0</v>
      </c>
      <c r="G365" s="29" t="e">
        <f>IF(C364=1,IF(D364="BUY",E364+(ROUND(F364*G364/B364,0)*B364),E364-(ROUND(F364*G364/B364,0)*B364)),IF(D364="BUY",E364-(ROUND(F364*G364/B364,0)*B364),E364+(ROUND(F364*G364/B364,0)*B364)))</f>
        <v>#DIV/0!</v>
      </c>
      <c r="H365" s="29" t="e">
        <f>IF(C364=1,IF(D364="BUY",G365-(ROUND(F364*H364/B364,0)*B364),G365+(ROUND(F364*H364/B364,0)*B364)),IF(D364="BUY",G365+(ROUND(F364*H364/B364,0)*B364),G365-(ROUND(F364*H364/B364,0)*B364)))</f>
        <v>#DIV/0!</v>
      </c>
      <c r="I365" s="29" t="e">
        <f>IF(D364="BUY",G365+(ROUND(F364*I364/(B364*100),0)*B364),G365-(ROUND(F364*I364/(B364*100),0)*B364))</f>
        <v>#DIV/0!</v>
      </c>
      <c r="J365" s="29" t="e">
        <f>IF(C364=1,IF(D364="BUY",E364+(ROUND(F364*J364/B364,0)*B364),E364-(ROUND(F364*J364/B364,0)*B364)),IF(D364="BUY",E364-(ROUND(F364*J364/B364,0)*B364),E364+(ROUND(F364*J364/B364,0)*B364)))</f>
        <v>#DIV/0!</v>
      </c>
      <c r="K365" s="29" t="e">
        <f>IF(C364=1,IF(D364="BUY",E364-(ROUND(F364*K364/B364,0)*B364),E364+(ROUND(F364*K364/B364,0)*B364)),IF(D364="BUY",E364-(ROUND(F364*K364/B364,0)*B364),E364+(ROUND(F364*K364/B364,0)*B364)))</f>
        <v>#DIV/0!</v>
      </c>
      <c r="L365" s="29" t="e">
        <f t="shared" ref="L365" si="542">IF(D365="BUY",I365+(R365*B365),I365-(R365*B365))</f>
        <v>#DIV/0!</v>
      </c>
      <c r="M365" s="29" t="e">
        <f>IF(D364="BUY",E364+(ROUND(F364*M364/B364,0)*B364),E364-(ROUND(F364*M364/B364,0)*B364))</f>
        <v>#DIV/0!</v>
      </c>
      <c r="N365" s="29" t="e">
        <f>IF(D364="BUY",E364-(ROUND(F364*N364/B364,0)*B364),E364+(ROUND(F364*N364/B364,0)*B364))</f>
        <v>#DIV/0!</v>
      </c>
      <c r="O365" s="31" t="e">
        <f>IF(D365="BUY",N365-VLOOKUP(A365,Symbols!A$1:D$1000,4,FALSE),N365+VLOOKUP(A365,Symbols!A$1:D$1000,4,FALSE))</f>
        <v>#DIV/0!</v>
      </c>
      <c r="P365" s="29">
        <f>P364</f>
        <v>0</v>
      </c>
      <c r="Q365" s="29">
        <f>Q364</f>
        <v>0</v>
      </c>
      <c r="R365" s="29">
        <f>R364</f>
        <v>0</v>
      </c>
      <c r="S365" s="29">
        <f>S364</f>
        <v>0</v>
      </c>
      <c r="T365" s="29">
        <f>T364</f>
        <v>0</v>
      </c>
      <c r="U365" s="29" t="e">
        <f>DATEDIF(DATE(1970,1,1),U364,"D")*86400</f>
        <v>#NUM!</v>
      </c>
      <c r="V365" s="29">
        <f>HOUR(V364)*3600+MINUTE(V364)*60+SECOND(V364)</f>
        <v>0</v>
      </c>
      <c r="W365" s="29" t="e">
        <f>DATEDIF(DATE(1970,1,1),W364,"D")*86400</f>
        <v>#NUM!</v>
      </c>
      <c r="X365" s="29">
        <f>HOUR(X364)*3600+MINUTE(X364)*60+SECOND(X364)</f>
        <v>0</v>
      </c>
      <c r="Y365" s="31">
        <f>(Y364*B365)</f>
        <v>0</v>
      </c>
      <c r="Z365" s="29">
        <f>Z364</f>
        <v>0</v>
      </c>
      <c r="AA365" s="29" t="e">
        <f>DATEDIF(DATE(1970,1,1),AA364,"D")*86400</f>
        <v>#NUM!</v>
      </c>
      <c r="AB365" s="29">
        <f>HOUR(AB364)*3600+MINUTE(AB364)*60+SECOND(AB364)</f>
        <v>0</v>
      </c>
      <c r="AC365" s="29">
        <f>AC364</f>
        <v>0</v>
      </c>
    </row>
    <row r="366" spans="1:29">
      <c r="A366" s="23">
        <f>Parameters!A184</f>
        <v>0</v>
      </c>
      <c r="B366" s="23">
        <f>Parameters!B184</f>
        <v>0</v>
      </c>
      <c r="C366" s="24">
        <f>Parameters!C184</f>
        <v>0</v>
      </c>
      <c r="D366" s="24">
        <f>Parameters!D184</f>
        <v>0</v>
      </c>
      <c r="E366" s="23">
        <f>Parameters!E184</f>
        <v>0</v>
      </c>
      <c r="F366" s="23">
        <f>Parameters!F184</f>
        <v>0</v>
      </c>
      <c r="G366" s="25">
        <f>Parameters!G184</f>
        <v>0</v>
      </c>
      <c r="H366" s="25">
        <f>Parameters!H184</f>
        <v>0</v>
      </c>
      <c r="I366" s="25">
        <f>Parameters!I184</f>
        <v>0</v>
      </c>
      <c r="J366" s="25">
        <f>Parameters!J184</f>
        <v>0</v>
      </c>
      <c r="K366" s="25">
        <f>Parameters!K184</f>
        <v>0</v>
      </c>
      <c r="L366" s="26" t="e">
        <f t="shared" ref="L366" si="543">L367</f>
        <v>#DIV/0!</v>
      </c>
      <c r="M366" s="25">
        <f>Parameters!L184</f>
        <v>0</v>
      </c>
      <c r="N366" s="25">
        <f>Parameters!M184</f>
        <v>0</v>
      </c>
      <c r="O366" s="26" t="e">
        <f t="shared" ref="O366" si="544">O367</f>
        <v>#DIV/0!</v>
      </c>
      <c r="P366" s="23">
        <f>Parameters!N184</f>
        <v>0</v>
      </c>
      <c r="Q366" s="23">
        <f>Parameters!O184</f>
        <v>0</v>
      </c>
      <c r="R366" s="23">
        <f>Parameters!P184</f>
        <v>0</v>
      </c>
      <c r="S366" s="23">
        <f>Parameters!Q184</f>
        <v>0</v>
      </c>
      <c r="T366" s="23">
        <f>Parameters!R184</f>
        <v>0</v>
      </c>
      <c r="U366" s="27">
        <f>Parameters!S184</f>
        <v>0</v>
      </c>
      <c r="V366" s="28">
        <f>Parameters!T184</f>
        <v>0</v>
      </c>
      <c r="W366" s="27">
        <f>Parameters!U184</f>
        <v>0</v>
      </c>
      <c r="X366" s="28">
        <f>Parameters!V184</f>
        <v>0</v>
      </c>
      <c r="Y366" s="25">
        <f>Parameters!W184</f>
        <v>0</v>
      </c>
      <c r="Z366" s="23">
        <f>Parameters!X184</f>
        <v>0</v>
      </c>
      <c r="AA366" s="27">
        <f>Parameters!Y184</f>
        <v>0</v>
      </c>
      <c r="AB366" s="28">
        <f>Parameters!Z184</f>
        <v>0</v>
      </c>
      <c r="AC366" s="23">
        <f>Parameters!AA184</f>
        <v>0</v>
      </c>
    </row>
    <row r="367" spans="1:29">
      <c r="A367" s="29" t="str">
        <f>UPPER(A366)</f>
        <v>0</v>
      </c>
      <c r="B367" s="29">
        <f>B366</f>
        <v>0</v>
      </c>
      <c r="C367" s="30">
        <f>C366</f>
        <v>0</v>
      </c>
      <c r="D367" s="30">
        <f>D366</f>
        <v>0</v>
      </c>
      <c r="E367" s="29">
        <f>E366</f>
        <v>0</v>
      </c>
      <c r="F367" s="29">
        <f>F366</f>
        <v>0</v>
      </c>
      <c r="G367" s="29" t="e">
        <f>IF(C366=1,IF(D366="BUY",E366+(ROUND(F366*G366/B366,0)*B366),E366-(ROUND(F366*G366/B366,0)*B366)),IF(D366="BUY",E366-(ROUND(F366*G366/B366,0)*B366),E366+(ROUND(F366*G366/B366,0)*B366)))</f>
        <v>#DIV/0!</v>
      </c>
      <c r="H367" s="29" t="e">
        <f>IF(C366=1,IF(D366="BUY",G367-(ROUND(F366*H366/B366,0)*B366),G367+(ROUND(F366*H366/B366,0)*B366)),IF(D366="BUY",G367+(ROUND(F366*H366/B366,0)*B366),G367-(ROUND(F366*H366/B366,0)*B366)))</f>
        <v>#DIV/0!</v>
      </c>
      <c r="I367" s="29" t="e">
        <f>IF(D366="BUY",G367+(ROUND(F366*I366/(B366*100),0)*B366),G367-(ROUND(F366*I366/(B366*100),0)*B366))</f>
        <v>#DIV/0!</v>
      </c>
      <c r="J367" s="29" t="e">
        <f>IF(C366=1,IF(D366="BUY",E366+(ROUND(F366*J366/B366,0)*B366),E366-(ROUND(F366*J366/B366,0)*B366)),IF(D366="BUY",E366-(ROUND(F366*J366/B366,0)*B366),E366+(ROUND(F366*J366/B366,0)*B366)))</f>
        <v>#DIV/0!</v>
      </c>
      <c r="K367" s="29" t="e">
        <f>IF(C366=1,IF(D366="BUY",E366-(ROUND(F366*K366/B366,0)*B366),E366+(ROUND(F366*K366/B366,0)*B366)),IF(D366="BUY",E366-(ROUND(F366*K366/B366,0)*B366),E366+(ROUND(F366*K366/B366,0)*B366)))</f>
        <v>#DIV/0!</v>
      </c>
      <c r="L367" s="29" t="e">
        <f t="shared" ref="L367" si="545">IF(D367="BUY",I367+(R367*B367),I367-(R367*B367))</f>
        <v>#DIV/0!</v>
      </c>
      <c r="M367" s="29" t="e">
        <f>IF(D366="BUY",E366+(ROUND(F366*M366/B366,0)*B366),E366-(ROUND(F366*M366/B366,0)*B366))</f>
        <v>#DIV/0!</v>
      </c>
      <c r="N367" s="29" t="e">
        <f>IF(D366="BUY",E366-(ROUND(F366*N366/B366,0)*B366),E366+(ROUND(F366*N366/B366,0)*B366))</f>
        <v>#DIV/0!</v>
      </c>
      <c r="O367" s="31" t="e">
        <f>IF(D367="BUY",N367-VLOOKUP(A367,Symbols!A$1:D$1000,4,FALSE),N367+VLOOKUP(A367,Symbols!A$1:D$1000,4,FALSE))</f>
        <v>#DIV/0!</v>
      </c>
      <c r="P367" s="29">
        <f>P366</f>
        <v>0</v>
      </c>
      <c r="Q367" s="29">
        <f>Q366</f>
        <v>0</v>
      </c>
      <c r="R367" s="29">
        <f>R366</f>
        <v>0</v>
      </c>
      <c r="S367" s="29">
        <f>S366</f>
        <v>0</v>
      </c>
      <c r="T367" s="29">
        <f>T366</f>
        <v>0</v>
      </c>
      <c r="U367" s="29" t="e">
        <f>DATEDIF(DATE(1970,1,1),U366,"D")*86400</f>
        <v>#NUM!</v>
      </c>
      <c r="V367" s="29">
        <f>HOUR(V366)*3600+MINUTE(V366)*60+SECOND(V366)</f>
        <v>0</v>
      </c>
      <c r="W367" s="29" t="e">
        <f>DATEDIF(DATE(1970,1,1),W366,"D")*86400</f>
        <v>#NUM!</v>
      </c>
      <c r="X367" s="29">
        <f>HOUR(X366)*3600+MINUTE(X366)*60+SECOND(X366)</f>
        <v>0</v>
      </c>
      <c r="Y367" s="31">
        <f>(Y366*B367)</f>
        <v>0</v>
      </c>
      <c r="Z367" s="29">
        <f>Z366</f>
        <v>0</v>
      </c>
      <c r="AA367" s="29" t="e">
        <f>DATEDIF(DATE(1970,1,1),AA366,"D")*86400</f>
        <v>#NUM!</v>
      </c>
      <c r="AB367" s="29">
        <f>HOUR(AB366)*3600+MINUTE(AB366)*60+SECOND(AB366)</f>
        <v>0</v>
      </c>
      <c r="AC367" s="29">
        <f>AC366</f>
        <v>0</v>
      </c>
    </row>
    <row r="368" spans="1:29">
      <c r="A368" s="23">
        <f>Parameters!A185</f>
        <v>0</v>
      </c>
      <c r="B368" s="23">
        <f>Parameters!B185</f>
        <v>0</v>
      </c>
      <c r="C368" s="24">
        <f>Parameters!C185</f>
        <v>0</v>
      </c>
      <c r="D368" s="24">
        <f>Parameters!D185</f>
        <v>0</v>
      </c>
      <c r="E368" s="23">
        <f>Parameters!E185</f>
        <v>0</v>
      </c>
      <c r="F368" s="23">
        <f>Parameters!F185</f>
        <v>0</v>
      </c>
      <c r="G368" s="25">
        <f>Parameters!G185</f>
        <v>0</v>
      </c>
      <c r="H368" s="25">
        <f>Parameters!H185</f>
        <v>0</v>
      </c>
      <c r="I368" s="25">
        <f>Parameters!I185</f>
        <v>0</v>
      </c>
      <c r="J368" s="25">
        <f>Parameters!J185</f>
        <v>0</v>
      </c>
      <c r="K368" s="25">
        <f>Parameters!K185</f>
        <v>0</v>
      </c>
      <c r="L368" s="26" t="e">
        <f t="shared" ref="L368" si="546">L369</f>
        <v>#DIV/0!</v>
      </c>
      <c r="M368" s="25">
        <f>Parameters!L185</f>
        <v>0</v>
      </c>
      <c r="N368" s="25">
        <f>Parameters!M185</f>
        <v>0</v>
      </c>
      <c r="O368" s="26" t="e">
        <f t="shared" ref="O368" si="547">O369</f>
        <v>#DIV/0!</v>
      </c>
      <c r="P368" s="23">
        <f>Parameters!N185</f>
        <v>0</v>
      </c>
      <c r="Q368" s="23">
        <f>Parameters!O185</f>
        <v>0</v>
      </c>
      <c r="R368" s="23">
        <f>Parameters!P185</f>
        <v>0</v>
      </c>
      <c r="S368" s="23">
        <f>Parameters!Q185</f>
        <v>0</v>
      </c>
      <c r="T368" s="23">
        <f>Parameters!R185</f>
        <v>0</v>
      </c>
      <c r="U368" s="27">
        <f>Parameters!S185</f>
        <v>0</v>
      </c>
      <c r="V368" s="28">
        <f>Parameters!T185</f>
        <v>0</v>
      </c>
      <c r="W368" s="27">
        <f>Parameters!U185</f>
        <v>0</v>
      </c>
      <c r="X368" s="28">
        <f>Parameters!V185</f>
        <v>0</v>
      </c>
      <c r="Y368" s="25">
        <f>Parameters!W185</f>
        <v>0</v>
      </c>
      <c r="Z368" s="23">
        <f>Parameters!X185</f>
        <v>0</v>
      </c>
      <c r="AA368" s="27">
        <f>Parameters!Y185</f>
        <v>0</v>
      </c>
      <c r="AB368" s="28">
        <f>Parameters!Z185</f>
        <v>0</v>
      </c>
      <c r="AC368" s="23">
        <f>Parameters!AA185</f>
        <v>0</v>
      </c>
    </row>
    <row r="369" spans="1:29">
      <c r="A369" s="29" t="str">
        <f>UPPER(A368)</f>
        <v>0</v>
      </c>
      <c r="B369" s="29">
        <f>B368</f>
        <v>0</v>
      </c>
      <c r="C369" s="30">
        <f>C368</f>
        <v>0</v>
      </c>
      <c r="D369" s="30">
        <f>D368</f>
        <v>0</v>
      </c>
      <c r="E369" s="29">
        <f>E368</f>
        <v>0</v>
      </c>
      <c r="F369" s="29">
        <f>F368</f>
        <v>0</v>
      </c>
      <c r="G369" s="29" t="e">
        <f>IF(C368=1,IF(D368="BUY",E368+(ROUND(F368*G368/B368,0)*B368),E368-(ROUND(F368*G368/B368,0)*B368)),IF(D368="BUY",E368-(ROUND(F368*G368/B368,0)*B368),E368+(ROUND(F368*G368/B368,0)*B368)))</f>
        <v>#DIV/0!</v>
      </c>
      <c r="H369" s="29" t="e">
        <f>IF(C368=1,IF(D368="BUY",G369-(ROUND(F368*H368/B368,0)*B368),G369+(ROUND(F368*H368/B368,0)*B368)),IF(D368="BUY",G369+(ROUND(F368*H368/B368,0)*B368),G369-(ROUND(F368*H368/B368,0)*B368)))</f>
        <v>#DIV/0!</v>
      </c>
      <c r="I369" s="29" t="e">
        <f>IF(D368="BUY",G369+(ROUND(F368*I368/(B368*100),0)*B368),G369-(ROUND(F368*I368/(B368*100),0)*B368))</f>
        <v>#DIV/0!</v>
      </c>
      <c r="J369" s="29" t="e">
        <f>IF(C368=1,IF(D368="BUY",E368+(ROUND(F368*J368/B368,0)*B368),E368-(ROUND(F368*J368/B368,0)*B368)),IF(D368="BUY",E368-(ROUND(F368*J368/B368,0)*B368),E368+(ROUND(F368*J368/B368,0)*B368)))</f>
        <v>#DIV/0!</v>
      </c>
      <c r="K369" s="29" t="e">
        <f>IF(C368=1,IF(D368="BUY",E368-(ROUND(F368*K368/B368,0)*B368),E368+(ROUND(F368*K368/B368,0)*B368)),IF(D368="BUY",E368-(ROUND(F368*K368/B368,0)*B368),E368+(ROUND(F368*K368/B368,0)*B368)))</f>
        <v>#DIV/0!</v>
      </c>
      <c r="L369" s="29" t="e">
        <f t="shared" ref="L369" si="548">IF(D369="BUY",I369+(R369*B369),I369-(R369*B369))</f>
        <v>#DIV/0!</v>
      </c>
      <c r="M369" s="29" t="e">
        <f>IF(D368="BUY",E368+(ROUND(F368*M368/B368,0)*B368),E368-(ROUND(F368*M368/B368,0)*B368))</f>
        <v>#DIV/0!</v>
      </c>
      <c r="N369" s="29" t="e">
        <f>IF(D368="BUY",E368-(ROUND(F368*N368/B368,0)*B368),E368+(ROUND(F368*N368/B368,0)*B368))</f>
        <v>#DIV/0!</v>
      </c>
      <c r="O369" s="31" t="e">
        <f>IF(D369="BUY",N369-VLOOKUP(A369,Symbols!A$1:D$1000,4,FALSE),N369+VLOOKUP(A369,Symbols!A$1:D$1000,4,FALSE))</f>
        <v>#DIV/0!</v>
      </c>
      <c r="P369" s="29">
        <f>P368</f>
        <v>0</v>
      </c>
      <c r="Q369" s="29">
        <f>Q368</f>
        <v>0</v>
      </c>
      <c r="R369" s="29">
        <f>R368</f>
        <v>0</v>
      </c>
      <c r="S369" s="29">
        <f>S368</f>
        <v>0</v>
      </c>
      <c r="T369" s="29">
        <f>T368</f>
        <v>0</v>
      </c>
      <c r="U369" s="29" t="e">
        <f>DATEDIF(DATE(1970,1,1),U368,"D")*86400</f>
        <v>#NUM!</v>
      </c>
      <c r="V369" s="29">
        <f>HOUR(V368)*3600+MINUTE(V368)*60+SECOND(V368)</f>
        <v>0</v>
      </c>
      <c r="W369" s="29" t="e">
        <f>DATEDIF(DATE(1970,1,1),W368,"D")*86400</f>
        <v>#NUM!</v>
      </c>
      <c r="X369" s="29">
        <f>HOUR(X368)*3600+MINUTE(X368)*60+SECOND(X368)</f>
        <v>0</v>
      </c>
      <c r="Y369" s="31">
        <f>(Y368*B369)</f>
        <v>0</v>
      </c>
      <c r="Z369" s="29">
        <f>Z368</f>
        <v>0</v>
      </c>
      <c r="AA369" s="29" t="e">
        <f>DATEDIF(DATE(1970,1,1),AA368,"D")*86400</f>
        <v>#NUM!</v>
      </c>
      <c r="AB369" s="29">
        <f>HOUR(AB368)*3600+MINUTE(AB368)*60+SECOND(AB368)</f>
        <v>0</v>
      </c>
      <c r="AC369" s="29">
        <f>AC368</f>
        <v>0</v>
      </c>
    </row>
    <row r="370" spans="1:29">
      <c r="A370" s="23">
        <f>Parameters!A186</f>
        <v>0</v>
      </c>
      <c r="B370" s="23">
        <f>Parameters!B186</f>
        <v>0</v>
      </c>
      <c r="C370" s="24">
        <f>Parameters!C186</f>
        <v>0</v>
      </c>
      <c r="D370" s="24">
        <f>Parameters!D186</f>
        <v>0</v>
      </c>
      <c r="E370" s="23">
        <f>Parameters!E186</f>
        <v>0</v>
      </c>
      <c r="F370" s="23">
        <f>Parameters!F186</f>
        <v>0</v>
      </c>
      <c r="G370" s="25">
        <f>Parameters!G186</f>
        <v>0</v>
      </c>
      <c r="H370" s="25">
        <f>Parameters!H186</f>
        <v>0</v>
      </c>
      <c r="I370" s="25">
        <f>Parameters!I186</f>
        <v>0</v>
      </c>
      <c r="J370" s="25">
        <f>Parameters!J186</f>
        <v>0</v>
      </c>
      <c r="K370" s="25">
        <f>Parameters!K186</f>
        <v>0</v>
      </c>
      <c r="L370" s="26" t="e">
        <f t="shared" ref="L370" si="549">L371</f>
        <v>#DIV/0!</v>
      </c>
      <c r="M370" s="25">
        <f>Parameters!L186</f>
        <v>0</v>
      </c>
      <c r="N370" s="25">
        <f>Parameters!M186</f>
        <v>0</v>
      </c>
      <c r="O370" s="26" t="e">
        <f t="shared" ref="O370" si="550">O371</f>
        <v>#DIV/0!</v>
      </c>
      <c r="P370" s="23">
        <f>Parameters!N186</f>
        <v>0</v>
      </c>
      <c r="Q370" s="23">
        <f>Parameters!O186</f>
        <v>0</v>
      </c>
      <c r="R370" s="23">
        <f>Parameters!P186</f>
        <v>0</v>
      </c>
      <c r="S370" s="23">
        <f>Parameters!Q186</f>
        <v>0</v>
      </c>
      <c r="T370" s="23">
        <f>Parameters!R186</f>
        <v>0</v>
      </c>
      <c r="U370" s="27">
        <f>Parameters!S186</f>
        <v>0</v>
      </c>
      <c r="V370" s="28">
        <f>Parameters!T186</f>
        <v>0</v>
      </c>
      <c r="W370" s="27">
        <f>Parameters!U186</f>
        <v>0</v>
      </c>
      <c r="X370" s="28">
        <f>Parameters!V186</f>
        <v>0</v>
      </c>
      <c r="Y370" s="25">
        <f>Parameters!W186</f>
        <v>0</v>
      </c>
      <c r="Z370" s="23">
        <f>Parameters!X186</f>
        <v>0</v>
      </c>
      <c r="AA370" s="27">
        <f>Parameters!Y186</f>
        <v>0</v>
      </c>
      <c r="AB370" s="28">
        <f>Parameters!Z186</f>
        <v>0</v>
      </c>
      <c r="AC370" s="23">
        <f>Parameters!AA186</f>
        <v>0</v>
      </c>
    </row>
    <row r="371" spans="1:29">
      <c r="A371" s="29" t="str">
        <f>UPPER(A370)</f>
        <v>0</v>
      </c>
      <c r="B371" s="29">
        <f>B370</f>
        <v>0</v>
      </c>
      <c r="C371" s="30">
        <f>C370</f>
        <v>0</v>
      </c>
      <c r="D371" s="30">
        <f>D370</f>
        <v>0</v>
      </c>
      <c r="E371" s="29">
        <f>E370</f>
        <v>0</v>
      </c>
      <c r="F371" s="29">
        <f>F370</f>
        <v>0</v>
      </c>
      <c r="G371" s="29" t="e">
        <f>IF(C370=1,IF(D370="BUY",E370+(ROUND(F370*G370/B370,0)*B370),E370-(ROUND(F370*G370/B370,0)*B370)),IF(D370="BUY",E370-(ROUND(F370*G370/B370,0)*B370),E370+(ROUND(F370*G370/B370,0)*B370)))</f>
        <v>#DIV/0!</v>
      </c>
      <c r="H371" s="29" t="e">
        <f>IF(C370=1,IF(D370="BUY",G371-(ROUND(F370*H370/B370,0)*B370),G371+(ROUND(F370*H370/B370,0)*B370)),IF(D370="BUY",G371+(ROUND(F370*H370/B370,0)*B370),G371-(ROUND(F370*H370/B370,0)*B370)))</f>
        <v>#DIV/0!</v>
      </c>
      <c r="I371" s="29" t="e">
        <f>IF(D370="BUY",G371+(ROUND(F370*I370/(B370*100),0)*B370),G371-(ROUND(F370*I370/(B370*100),0)*B370))</f>
        <v>#DIV/0!</v>
      </c>
      <c r="J371" s="29" t="e">
        <f>IF(C370=1,IF(D370="BUY",E370+(ROUND(F370*J370/B370,0)*B370),E370-(ROUND(F370*J370/B370,0)*B370)),IF(D370="BUY",E370-(ROUND(F370*J370/B370,0)*B370),E370+(ROUND(F370*J370/B370,0)*B370)))</f>
        <v>#DIV/0!</v>
      </c>
      <c r="K371" s="29" t="e">
        <f>IF(C370=1,IF(D370="BUY",E370-(ROUND(F370*K370/B370,0)*B370),E370+(ROUND(F370*K370/B370,0)*B370)),IF(D370="BUY",E370-(ROUND(F370*K370/B370,0)*B370),E370+(ROUND(F370*K370/B370,0)*B370)))</f>
        <v>#DIV/0!</v>
      </c>
      <c r="L371" s="29" t="e">
        <f t="shared" ref="L371" si="551">IF(D371="BUY",I371+(R371*B371),I371-(R371*B371))</f>
        <v>#DIV/0!</v>
      </c>
      <c r="M371" s="29" t="e">
        <f>IF(D370="BUY",E370+(ROUND(F370*M370/B370,0)*B370),E370-(ROUND(F370*M370/B370,0)*B370))</f>
        <v>#DIV/0!</v>
      </c>
      <c r="N371" s="29" t="e">
        <f>IF(D370="BUY",E370-(ROUND(F370*N370/B370,0)*B370),E370+(ROUND(F370*N370/B370,0)*B370))</f>
        <v>#DIV/0!</v>
      </c>
      <c r="O371" s="31" t="e">
        <f>IF(D371="BUY",N371-VLOOKUP(A371,Symbols!A$1:D$1000,4,FALSE),N371+VLOOKUP(A371,Symbols!A$1:D$1000,4,FALSE))</f>
        <v>#DIV/0!</v>
      </c>
      <c r="P371" s="29">
        <f>P370</f>
        <v>0</v>
      </c>
      <c r="Q371" s="29">
        <f>Q370</f>
        <v>0</v>
      </c>
      <c r="R371" s="29">
        <f>R370</f>
        <v>0</v>
      </c>
      <c r="S371" s="29">
        <f>S370</f>
        <v>0</v>
      </c>
      <c r="T371" s="29">
        <f>T370</f>
        <v>0</v>
      </c>
      <c r="U371" s="29" t="e">
        <f>DATEDIF(DATE(1970,1,1),U370,"D")*86400</f>
        <v>#NUM!</v>
      </c>
      <c r="V371" s="29">
        <f>HOUR(V370)*3600+MINUTE(V370)*60+SECOND(V370)</f>
        <v>0</v>
      </c>
      <c r="W371" s="29" t="e">
        <f>DATEDIF(DATE(1970,1,1),W370,"D")*86400</f>
        <v>#NUM!</v>
      </c>
      <c r="X371" s="29">
        <f>HOUR(X370)*3600+MINUTE(X370)*60+SECOND(X370)</f>
        <v>0</v>
      </c>
      <c r="Y371" s="31">
        <f>(Y370*B371)</f>
        <v>0</v>
      </c>
      <c r="Z371" s="29">
        <f>Z370</f>
        <v>0</v>
      </c>
      <c r="AA371" s="29" t="e">
        <f>DATEDIF(DATE(1970,1,1),AA370,"D")*86400</f>
        <v>#NUM!</v>
      </c>
      <c r="AB371" s="29">
        <f>HOUR(AB370)*3600+MINUTE(AB370)*60+SECOND(AB370)</f>
        <v>0</v>
      </c>
      <c r="AC371" s="29">
        <f>AC370</f>
        <v>0</v>
      </c>
    </row>
    <row r="372" spans="1:29">
      <c r="A372" s="23">
        <f>Parameters!A187</f>
        <v>0</v>
      </c>
      <c r="B372" s="23">
        <f>Parameters!B187</f>
        <v>0</v>
      </c>
      <c r="C372" s="24">
        <f>Parameters!C187</f>
        <v>0</v>
      </c>
      <c r="D372" s="24">
        <f>Parameters!D187</f>
        <v>0</v>
      </c>
      <c r="E372" s="23">
        <f>Parameters!E187</f>
        <v>0</v>
      </c>
      <c r="F372" s="23">
        <f>Parameters!F187</f>
        <v>0</v>
      </c>
      <c r="G372" s="25">
        <f>Parameters!G187</f>
        <v>0</v>
      </c>
      <c r="H372" s="25">
        <f>Parameters!H187</f>
        <v>0</v>
      </c>
      <c r="I372" s="25">
        <f>Parameters!I187</f>
        <v>0</v>
      </c>
      <c r="J372" s="25">
        <f>Parameters!J187</f>
        <v>0</v>
      </c>
      <c r="K372" s="25">
        <f>Parameters!K187</f>
        <v>0</v>
      </c>
      <c r="L372" s="26" t="e">
        <f t="shared" ref="L372" si="552">L373</f>
        <v>#DIV/0!</v>
      </c>
      <c r="M372" s="25">
        <f>Parameters!L187</f>
        <v>0</v>
      </c>
      <c r="N372" s="25">
        <f>Parameters!M187</f>
        <v>0</v>
      </c>
      <c r="O372" s="26" t="e">
        <f t="shared" ref="O372" si="553">O373</f>
        <v>#DIV/0!</v>
      </c>
      <c r="P372" s="23">
        <f>Parameters!N187</f>
        <v>0</v>
      </c>
      <c r="Q372" s="23">
        <f>Parameters!O187</f>
        <v>0</v>
      </c>
      <c r="R372" s="23">
        <f>Parameters!P187</f>
        <v>0</v>
      </c>
      <c r="S372" s="23">
        <f>Parameters!Q187</f>
        <v>0</v>
      </c>
      <c r="T372" s="23">
        <f>Parameters!R187</f>
        <v>0</v>
      </c>
      <c r="U372" s="27">
        <f>Parameters!S187</f>
        <v>0</v>
      </c>
      <c r="V372" s="28">
        <f>Parameters!T187</f>
        <v>0</v>
      </c>
      <c r="W372" s="27">
        <f>Parameters!U187</f>
        <v>0</v>
      </c>
      <c r="X372" s="28">
        <f>Parameters!V187</f>
        <v>0</v>
      </c>
      <c r="Y372" s="25">
        <f>Parameters!W187</f>
        <v>0</v>
      </c>
      <c r="Z372" s="23">
        <f>Parameters!X187</f>
        <v>0</v>
      </c>
      <c r="AA372" s="27">
        <f>Parameters!Y187</f>
        <v>0</v>
      </c>
      <c r="AB372" s="28">
        <f>Parameters!Z187</f>
        <v>0</v>
      </c>
      <c r="AC372" s="23">
        <f>Parameters!AA187</f>
        <v>0</v>
      </c>
    </row>
    <row r="373" spans="1:29">
      <c r="A373" s="29" t="str">
        <f>UPPER(A372)</f>
        <v>0</v>
      </c>
      <c r="B373" s="29">
        <f>B372</f>
        <v>0</v>
      </c>
      <c r="C373" s="30">
        <f>C372</f>
        <v>0</v>
      </c>
      <c r="D373" s="30">
        <f>D372</f>
        <v>0</v>
      </c>
      <c r="E373" s="29">
        <f>E372</f>
        <v>0</v>
      </c>
      <c r="F373" s="29">
        <f>F372</f>
        <v>0</v>
      </c>
      <c r="G373" s="29" t="e">
        <f>IF(C372=1,IF(D372="BUY",E372+(ROUND(F372*G372/B372,0)*B372),E372-(ROUND(F372*G372/B372,0)*B372)),IF(D372="BUY",E372-(ROUND(F372*G372/B372,0)*B372),E372+(ROUND(F372*G372/B372,0)*B372)))</f>
        <v>#DIV/0!</v>
      </c>
      <c r="H373" s="29" t="e">
        <f>IF(C372=1,IF(D372="BUY",G373-(ROUND(F372*H372/B372,0)*B372),G373+(ROUND(F372*H372/B372,0)*B372)),IF(D372="BUY",G373+(ROUND(F372*H372/B372,0)*B372),G373-(ROUND(F372*H372/B372,0)*B372)))</f>
        <v>#DIV/0!</v>
      </c>
      <c r="I373" s="29" t="e">
        <f>IF(D372="BUY",G373+(ROUND(F372*I372/(B372*100),0)*B372),G373-(ROUND(F372*I372/(B372*100),0)*B372))</f>
        <v>#DIV/0!</v>
      </c>
      <c r="J373" s="29" t="e">
        <f>IF(C372=1,IF(D372="BUY",E372+(ROUND(F372*J372/B372,0)*B372),E372-(ROUND(F372*J372/B372,0)*B372)),IF(D372="BUY",E372-(ROUND(F372*J372/B372,0)*B372),E372+(ROUND(F372*J372/B372,0)*B372)))</f>
        <v>#DIV/0!</v>
      </c>
      <c r="K373" s="29" t="e">
        <f>IF(C372=1,IF(D372="BUY",E372-(ROUND(F372*K372/B372,0)*B372),E372+(ROUND(F372*K372/B372,0)*B372)),IF(D372="BUY",E372-(ROUND(F372*K372/B372,0)*B372),E372+(ROUND(F372*K372/B372,0)*B372)))</f>
        <v>#DIV/0!</v>
      </c>
      <c r="L373" s="29" t="e">
        <f t="shared" ref="L373" si="554">IF(D373="BUY",I373+(R373*B373),I373-(R373*B373))</f>
        <v>#DIV/0!</v>
      </c>
      <c r="M373" s="29" t="e">
        <f>IF(D372="BUY",E372+(ROUND(F372*M372/B372,0)*B372),E372-(ROUND(F372*M372/B372,0)*B372))</f>
        <v>#DIV/0!</v>
      </c>
      <c r="N373" s="29" t="e">
        <f>IF(D372="BUY",E372-(ROUND(F372*N372/B372,0)*B372),E372+(ROUND(F372*N372/B372,0)*B372))</f>
        <v>#DIV/0!</v>
      </c>
      <c r="O373" s="31" t="e">
        <f>IF(D373="BUY",N373-VLOOKUP(A373,Symbols!A$1:D$1000,4,FALSE),N373+VLOOKUP(A373,Symbols!A$1:D$1000,4,FALSE))</f>
        <v>#DIV/0!</v>
      </c>
      <c r="P373" s="29">
        <f>P372</f>
        <v>0</v>
      </c>
      <c r="Q373" s="29">
        <f>Q372</f>
        <v>0</v>
      </c>
      <c r="R373" s="29">
        <f>R372</f>
        <v>0</v>
      </c>
      <c r="S373" s="29">
        <f>S372</f>
        <v>0</v>
      </c>
      <c r="T373" s="29">
        <f>T372</f>
        <v>0</v>
      </c>
      <c r="U373" s="29" t="e">
        <f>DATEDIF(DATE(1970,1,1),U372,"D")*86400</f>
        <v>#NUM!</v>
      </c>
      <c r="V373" s="29">
        <f>HOUR(V372)*3600+MINUTE(V372)*60+SECOND(V372)</f>
        <v>0</v>
      </c>
      <c r="W373" s="29" t="e">
        <f>DATEDIF(DATE(1970,1,1),W372,"D")*86400</f>
        <v>#NUM!</v>
      </c>
      <c r="X373" s="29">
        <f>HOUR(X372)*3600+MINUTE(X372)*60+SECOND(X372)</f>
        <v>0</v>
      </c>
      <c r="Y373" s="31">
        <f>(Y372*B373)</f>
        <v>0</v>
      </c>
      <c r="Z373" s="29">
        <f>Z372</f>
        <v>0</v>
      </c>
      <c r="AA373" s="29" t="e">
        <f>DATEDIF(DATE(1970,1,1),AA372,"D")*86400</f>
        <v>#NUM!</v>
      </c>
      <c r="AB373" s="29">
        <f>HOUR(AB372)*3600+MINUTE(AB372)*60+SECOND(AB372)</f>
        <v>0</v>
      </c>
      <c r="AC373" s="29">
        <f>AC372</f>
        <v>0</v>
      </c>
    </row>
    <row r="374" spans="1:29">
      <c r="A374" s="23">
        <f>Parameters!A188</f>
        <v>0</v>
      </c>
      <c r="B374" s="23">
        <f>Parameters!B188</f>
        <v>0</v>
      </c>
      <c r="C374" s="24">
        <f>Parameters!C188</f>
        <v>0</v>
      </c>
      <c r="D374" s="24">
        <f>Parameters!D188</f>
        <v>0</v>
      </c>
      <c r="E374" s="23">
        <f>Parameters!E188</f>
        <v>0</v>
      </c>
      <c r="F374" s="23">
        <f>Parameters!F188</f>
        <v>0</v>
      </c>
      <c r="G374" s="25">
        <f>Parameters!G188</f>
        <v>0</v>
      </c>
      <c r="H374" s="25">
        <f>Parameters!H188</f>
        <v>0</v>
      </c>
      <c r="I374" s="25">
        <f>Parameters!I188</f>
        <v>0</v>
      </c>
      <c r="J374" s="25">
        <f>Parameters!J188</f>
        <v>0</v>
      </c>
      <c r="K374" s="25">
        <f>Parameters!K188</f>
        <v>0</v>
      </c>
      <c r="L374" s="26" t="e">
        <f t="shared" ref="L374" si="555">L375</f>
        <v>#DIV/0!</v>
      </c>
      <c r="M374" s="25">
        <f>Parameters!L188</f>
        <v>0</v>
      </c>
      <c r="N374" s="25">
        <f>Parameters!M188</f>
        <v>0</v>
      </c>
      <c r="O374" s="26" t="e">
        <f t="shared" ref="O374" si="556">O375</f>
        <v>#DIV/0!</v>
      </c>
      <c r="P374" s="23">
        <f>Parameters!N188</f>
        <v>0</v>
      </c>
      <c r="Q374" s="23">
        <f>Parameters!O188</f>
        <v>0</v>
      </c>
      <c r="R374" s="23">
        <f>Parameters!P188</f>
        <v>0</v>
      </c>
      <c r="S374" s="23">
        <f>Parameters!Q188</f>
        <v>0</v>
      </c>
      <c r="T374" s="23">
        <f>Parameters!R188</f>
        <v>0</v>
      </c>
      <c r="U374" s="27">
        <f>Parameters!S188</f>
        <v>0</v>
      </c>
      <c r="V374" s="28">
        <f>Parameters!T188</f>
        <v>0</v>
      </c>
      <c r="W374" s="27">
        <f>Parameters!U188</f>
        <v>0</v>
      </c>
      <c r="X374" s="28">
        <f>Parameters!V188</f>
        <v>0</v>
      </c>
      <c r="Y374" s="25">
        <f>Parameters!W188</f>
        <v>0</v>
      </c>
      <c r="Z374" s="23">
        <f>Parameters!X188</f>
        <v>0</v>
      </c>
      <c r="AA374" s="27">
        <f>Parameters!Y188</f>
        <v>0</v>
      </c>
      <c r="AB374" s="28">
        <f>Parameters!Z188</f>
        <v>0</v>
      </c>
      <c r="AC374" s="23">
        <f>Parameters!AA188</f>
        <v>0</v>
      </c>
    </row>
    <row r="375" spans="1:29">
      <c r="A375" s="29" t="str">
        <f>UPPER(A374)</f>
        <v>0</v>
      </c>
      <c r="B375" s="29">
        <f>B374</f>
        <v>0</v>
      </c>
      <c r="C375" s="30">
        <f>C374</f>
        <v>0</v>
      </c>
      <c r="D375" s="30">
        <f>D374</f>
        <v>0</v>
      </c>
      <c r="E375" s="29">
        <f>E374</f>
        <v>0</v>
      </c>
      <c r="F375" s="29">
        <f>F374</f>
        <v>0</v>
      </c>
      <c r="G375" s="29" t="e">
        <f>IF(C374=1,IF(D374="BUY",E374+(ROUND(F374*G374/B374,0)*B374),E374-(ROUND(F374*G374/B374,0)*B374)),IF(D374="BUY",E374-(ROUND(F374*G374/B374,0)*B374),E374+(ROUND(F374*G374/B374,0)*B374)))</f>
        <v>#DIV/0!</v>
      </c>
      <c r="H375" s="29" t="e">
        <f>IF(C374=1,IF(D374="BUY",G375-(ROUND(F374*H374/B374,0)*B374),G375+(ROUND(F374*H374/B374,0)*B374)),IF(D374="BUY",G375+(ROUND(F374*H374/B374,0)*B374),G375-(ROUND(F374*H374/B374,0)*B374)))</f>
        <v>#DIV/0!</v>
      </c>
      <c r="I375" s="29" t="e">
        <f>IF(D374="BUY",G375+(ROUND(F374*I374/(B374*100),0)*B374),G375-(ROUND(F374*I374/(B374*100),0)*B374))</f>
        <v>#DIV/0!</v>
      </c>
      <c r="J375" s="29" t="e">
        <f>IF(C374=1,IF(D374="BUY",E374+(ROUND(F374*J374/B374,0)*B374),E374-(ROUND(F374*J374/B374,0)*B374)),IF(D374="BUY",E374-(ROUND(F374*J374/B374,0)*B374),E374+(ROUND(F374*J374/B374,0)*B374)))</f>
        <v>#DIV/0!</v>
      </c>
      <c r="K375" s="29" t="e">
        <f>IF(C374=1,IF(D374="BUY",E374-(ROUND(F374*K374/B374,0)*B374),E374+(ROUND(F374*K374/B374,0)*B374)),IF(D374="BUY",E374-(ROUND(F374*K374/B374,0)*B374),E374+(ROUND(F374*K374/B374,0)*B374)))</f>
        <v>#DIV/0!</v>
      </c>
      <c r="L375" s="29" t="e">
        <f t="shared" ref="L375" si="557">IF(D375="BUY",I375+(R375*B375),I375-(R375*B375))</f>
        <v>#DIV/0!</v>
      </c>
      <c r="M375" s="29" t="e">
        <f>IF(D374="BUY",E374+(ROUND(F374*M374/B374,0)*B374),E374-(ROUND(F374*M374/B374,0)*B374))</f>
        <v>#DIV/0!</v>
      </c>
      <c r="N375" s="29" t="e">
        <f>IF(D374="BUY",E374-(ROUND(F374*N374/B374,0)*B374),E374+(ROUND(F374*N374/B374,0)*B374))</f>
        <v>#DIV/0!</v>
      </c>
      <c r="O375" s="31" t="e">
        <f>IF(D375="BUY",N375-VLOOKUP(A375,Symbols!A$1:D$1000,4,FALSE),N375+VLOOKUP(A375,Symbols!A$1:D$1000,4,FALSE))</f>
        <v>#DIV/0!</v>
      </c>
      <c r="P375" s="29">
        <f>P374</f>
        <v>0</v>
      </c>
      <c r="Q375" s="29">
        <f>Q374</f>
        <v>0</v>
      </c>
      <c r="R375" s="29">
        <f>R374</f>
        <v>0</v>
      </c>
      <c r="S375" s="29">
        <f>S374</f>
        <v>0</v>
      </c>
      <c r="T375" s="29">
        <f>T374</f>
        <v>0</v>
      </c>
      <c r="U375" s="29" t="e">
        <f>DATEDIF(DATE(1970,1,1),U374,"D")*86400</f>
        <v>#NUM!</v>
      </c>
      <c r="V375" s="29">
        <f>HOUR(V374)*3600+MINUTE(V374)*60+SECOND(V374)</f>
        <v>0</v>
      </c>
      <c r="W375" s="29" t="e">
        <f>DATEDIF(DATE(1970,1,1),W374,"D")*86400</f>
        <v>#NUM!</v>
      </c>
      <c r="X375" s="29">
        <f>HOUR(X374)*3600+MINUTE(X374)*60+SECOND(X374)</f>
        <v>0</v>
      </c>
      <c r="Y375" s="31">
        <f>(Y374*B375)</f>
        <v>0</v>
      </c>
      <c r="Z375" s="29">
        <f>Z374</f>
        <v>0</v>
      </c>
      <c r="AA375" s="29" t="e">
        <f>DATEDIF(DATE(1970,1,1),AA374,"D")*86400</f>
        <v>#NUM!</v>
      </c>
      <c r="AB375" s="29">
        <f>HOUR(AB374)*3600+MINUTE(AB374)*60+SECOND(AB374)</f>
        <v>0</v>
      </c>
      <c r="AC375" s="29">
        <f>AC374</f>
        <v>0</v>
      </c>
    </row>
    <row r="376" spans="1:29">
      <c r="A376" s="23">
        <f>Parameters!A189</f>
        <v>0</v>
      </c>
      <c r="B376" s="23">
        <f>Parameters!B189</f>
        <v>0</v>
      </c>
      <c r="C376" s="24">
        <f>Parameters!C189</f>
        <v>0</v>
      </c>
      <c r="D376" s="24">
        <f>Parameters!D189</f>
        <v>0</v>
      </c>
      <c r="E376" s="23">
        <f>Parameters!E189</f>
        <v>0</v>
      </c>
      <c r="F376" s="23">
        <f>Parameters!F189</f>
        <v>0</v>
      </c>
      <c r="G376" s="25">
        <f>Parameters!G189</f>
        <v>0</v>
      </c>
      <c r="H376" s="25">
        <f>Parameters!H189</f>
        <v>0</v>
      </c>
      <c r="I376" s="25">
        <f>Parameters!I189</f>
        <v>0</v>
      </c>
      <c r="J376" s="25">
        <f>Parameters!J189</f>
        <v>0</v>
      </c>
      <c r="K376" s="25">
        <f>Parameters!K189</f>
        <v>0</v>
      </c>
      <c r="L376" s="26" t="e">
        <f t="shared" ref="L376" si="558">L377</f>
        <v>#DIV/0!</v>
      </c>
      <c r="M376" s="25">
        <f>Parameters!L189</f>
        <v>0</v>
      </c>
      <c r="N376" s="25">
        <f>Parameters!M189</f>
        <v>0</v>
      </c>
      <c r="O376" s="26" t="e">
        <f t="shared" ref="O376" si="559">O377</f>
        <v>#DIV/0!</v>
      </c>
      <c r="P376" s="23">
        <f>Parameters!N189</f>
        <v>0</v>
      </c>
      <c r="Q376" s="23">
        <f>Parameters!O189</f>
        <v>0</v>
      </c>
      <c r="R376" s="23">
        <f>Parameters!P189</f>
        <v>0</v>
      </c>
      <c r="S376" s="23">
        <f>Parameters!Q189</f>
        <v>0</v>
      </c>
      <c r="T376" s="23">
        <f>Parameters!R189</f>
        <v>0</v>
      </c>
      <c r="U376" s="27">
        <f>Parameters!S189</f>
        <v>0</v>
      </c>
      <c r="V376" s="28">
        <f>Parameters!T189</f>
        <v>0</v>
      </c>
      <c r="W376" s="27">
        <f>Parameters!U189</f>
        <v>0</v>
      </c>
      <c r="X376" s="28">
        <f>Parameters!V189</f>
        <v>0</v>
      </c>
      <c r="Y376" s="25">
        <f>Parameters!W189</f>
        <v>0</v>
      </c>
      <c r="Z376" s="23">
        <f>Parameters!X189</f>
        <v>0</v>
      </c>
      <c r="AA376" s="27">
        <f>Parameters!Y189</f>
        <v>0</v>
      </c>
      <c r="AB376" s="28">
        <f>Parameters!Z189</f>
        <v>0</v>
      </c>
      <c r="AC376" s="23">
        <f>Parameters!AA189</f>
        <v>0</v>
      </c>
    </row>
    <row r="377" spans="1:29">
      <c r="A377" s="29" t="str">
        <f>UPPER(A376)</f>
        <v>0</v>
      </c>
      <c r="B377" s="29">
        <f>B376</f>
        <v>0</v>
      </c>
      <c r="C377" s="30">
        <f>C376</f>
        <v>0</v>
      </c>
      <c r="D377" s="30">
        <f>D376</f>
        <v>0</v>
      </c>
      <c r="E377" s="29">
        <f>E376</f>
        <v>0</v>
      </c>
      <c r="F377" s="29">
        <f>F376</f>
        <v>0</v>
      </c>
      <c r="G377" s="29" t="e">
        <f>IF(C376=1,IF(D376="BUY",E376+(ROUND(F376*G376/B376,0)*B376),E376-(ROUND(F376*G376/B376,0)*B376)),IF(D376="BUY",E376-(ROUND(F376*G376/B376,0)*B376),E376+(ROUND(F376*G376/B376,0)*B376)))</f>
        <v>#DIV/0!</v>
      </c>
      <c r="H377" s="29" t="e">
        <f>IF(C376=1,IF(D376="BUY",G377-(ROUND(F376*H376/B376,0)*B376),G377+(ROUND(F376*H376/B376,0)*B376)),IF(D376="BUY",G377+(ROUND(F376*H376/B376,0)*B376),G377-(ROUND(F376*H376/B376,0)*B376)))</f>
        <v>#DIV/0!</v>
      </c>
      <c r="I377" s="29" t="e">
        <f>IF(D376="BUY",G377+(ROUND(F376*I376/(B376*100),0)*B376),G377-(ROUND(F376*I376/(B376*100),0)*B376))</f>
        <v>#DIV/0!</v>
      </c>
      <c r="J377" s="29" t="e">
        <f>IF(C376=1,IF(D376="BUY",E376+(ROUND(F376*J376/B376,0)*B376),E376-(ROUND(F376*J376/B376,0)*B376)),IF(D376="BUY",E376-(ROUND(F376*J376/B376,0)*B376),E376+(ROUND(F376*J376/B376,0)*B376)))</f>
        <v>#DIV/0!</v>
      </c>
      <c r="K377" s="29" t="e">
        <f>IF(C376=1,IF(D376="BUY",E376-(ROUND(F376*K376/B376,0)*B376),E376+(ROUND(F376*K376/B376,0)*B376)),IF(D376="BUY",E376-(ROUND(F376*K376/B376,0)*B376),E376+(ROUND(F376*K376/B376,0)*B376)))</f>
        <v>#DIV/0!</v>
      </c>
      <c r="L377" s="29" t="e">
        <f t="shared" ref="L377" si="560">IF(D377="BUY",I377+(R377*B377),I377-(R377*B377))</f>
        <v>#DIV/0!</v>
      </c>
      <c r="M377" s="29" t="e">
        <f>IF(D376="BUY",E376+(ROUND(F376*M376/B376,0)*B376),E376-(ROUND(F376*M376/B376,0)*B376))</f>
        <v>#DIV/0!</v>
      </c>
      <c r="N377" s="29" t="e">
        <f>IF(D376="BUY",E376-(ROUND(F376*N376/B376,0)*B376),E376+(ROUND(F376*N376/B376,0)*B376))</f>
        <v>#DIV/0!</v>
      </c>
      <c r="O377" s="31" t="e">
        <f>IF(D377="BUY",N377-VLOOKUP(A377,Symbols!A$1:D$1000,4,FALSE),N377+VLOOKUP(A377,Symbols!A$1:D$1000,4,FALSE))</f>
        <v>#DIV/0!</v>
      </c>
      <c r="P377" s="29">
        <f>P376</f>
        <v>0</v>
      </c>
      <c r="Q377" s="29">
        <f>Q376</f>
        <v>0</v>
      </c>
      <c r="R377" s="29">
        <f>R376</f>
        <v>0</v>
      </c>
      <c r="S377" s="29">
        <f>S376</f>
        <v>0</v>
      </c>
      <c r="T377" s="29">
        <f>T376</f>
        <v>0</v>
      </c>
      <c r="U377" s="29" t="e">
        <f>DATEDIF(DATE(1970,1,1),U376,"D")*86400</f>
        <v>#NUM!</v>
      </c>
      <c r="V377" s="29">
        <f>HOUR(V376)*3600+MINUTE(V376)*60+SECOND(V376)</f>
        <v>0</v>
      </c>
      <c r="W377" s="29" t="e">
        <f>DATEDIF(DATE(1970,1,1),W376,"D")*86400</f>
        <v>#NUM!</v>
      </c>
      <c r="X377" s="29">
        <f>HOUR(X376)*3600+MINUTE(X376)*60+SECOND(X376)</f>
        <v>0</v>
      </c>
      <c r="Y377" s="31">
        <f>(Y376*B377)</f>
        <v>0</v>
      </c>
      <c r="Z377" s="29">
        <f>Z376</f>
        <v>0</v>
      </c>
      <c r="AA377" s="29" t="e">
        <f>DATEDIF(DATE(1970,1,1),AA376,"D")*86400</f>
        <v>#NUM!</v>
      </c>
      <c r="AB377" s="29">
        <f>HOUR(AB376)*3600+MINUTE(AB376)*60+SECOND(AB376)</f>
        <v>0</v>
      </c>
      <c r="AC377" s="29">
        <f>AC376</f>
        <v>0</v>
      </c>
    </row>
    <row r="378" spans="1:29">
      <c r="A378" s="23">
        <f>Parameters!A190</f>
        <v>0</v>
      </c>
      <c r="B378" s="23">
        <f>Parameters!B190</f>
        <v>0</v>
      </c>
      <c r="C378" s="24">
        <f>Parameters!C190</f>
        <v>0</v>
      </c>
      <c r="D378" s="24">
        <f>Parameters!D190</f>
        <v>0</v>
      </c>
      <c r="E378" s="23">
        <f>Parameters!E190</f>
        <v>0</v>
      </c>
      <c r="F378" s="23">
        <f>Parameters!F190</f>
        <v>0</v>
      </c>
      <c r="G378" s="25">
        <f>Parameters!G190</f>
        <v>0</v>
      </c>
      <c r="H378" s="25">
        <f>Parameters!H190</f>
        <v>0</v>
      </c>
      <c r="I378" s="25">
        <f>Parameters!I190</f>
        <v>0</v>
      </c>
      <c r="J378" s="25">
        <f>Parameters!J190</f>
        <v>0</v>
      </c>
      <c r="K378" s="25">
        <f>Parameters!K190</f>
        <v>0</v>
      </c>
      <c r="L378" s="26" t="e">
        <f t="shared" ref="L378" si="561">L379</f>
        <v>#DIV/0!</v>
      </c>
      <c r="M378" s="25">
        <f>Parameters!L190</f>
        <v>0</v>
      </c>
      <c r="N378" s="25">
        <f>Parameters!M190</f>
        <v>0</v>
      </c>
      <c r="O378" s="26" t="e">
        <f t="shared" ref="O378" si="562">O379</f>
        <v>#DIV/0!</v>
      </c>
      <c r="P378" s="23">
        <f>Parameters!N190</f>
        <v>0</v>
      </c>
      <c r="Q378" s="23">
        <f>Parameters!O190</f>
        <v>0</v>
      </c>
      <c r="R378" s="23">
        <f>Parameters!P190</f>
        <v>0</v>
      </c>
      <c r="S378" s="23">
        <f>Parameters!Q190</f>
        <v>0</v>
      </c>
      <c r="T378" s="23">
        <f>Parameters!R190</f>
        <v>0</v>
      </c>
      <c r="U378" s="27">
        <f>Parameters!S190</f>
        <v>0</v>
      </c>
      <c r="V378" s="28">
        <f>Parameters!T190</f>
        <v>0</v>
      </c>
      <c r="W378" s="27">
        <f>Parameters!U190</f>
        <v>0</v>
      </c>
      <c r="X378" s="28">
        <f>Parameters!V190</f>
        <v>0</v>
      </c>
      <c r="Y378" s="25">
        <f>Parameters!W190</f>
        <v>0</v>
      </c>
      <c r="Z378" s="23">
        <f>Parameters!X190</f>
        <v>0</v>
      </c>
      <c r="AA378" s="27">
        <f>Parameters!Y190</f>
        <v>0</v>
      </c>
      <c r="AB378" s="28">
        <f>Parameters!Z190</f>
        <v>0</v>
      </c>
      <c r="AC378" s="23">
        <f>Parameters!AA190</f>
        <v>0</v>
      </c>
    </row>
    <row r="379" spans="1:29">
      <c r="A379" s="29" t="str">
        <f>UPPER(A378)</f>
        <v>0</v>
      </c>
      <c r="B379" s="29">
        <f>B378</f>
        <v>0</v>
      </c>
      <c r="C379" s="30">
        <f>C378</f>
        <v>0</v>
      </c>
      <c r="D379" s="30">
        <f>D378</f>
        <v>0</v>
      </c>
      <c r="E379" s="29">
        <f>E378</f>
        <v>0</v>
      </c>
      <c r="F379" s="29">
        <f>F378</f>
        <v>0</v>
      </c>
      <c r="G379" s="29" t="e">
        <f>IF(C378=1,IF(D378="BUY",E378+(ROUND(F378*G378/B378,0)*B378),E378-(ROUND(F378*G378/B378,0)*B378)),IF(D378="BUY",E378-(ROUND(F378*G378/B378,0)*B378),E378+(ROUND(F378*G378/B378,0)*B378)))</f>
        <v>#DIV/0!</v>
      </c>
      <c r="H379" s="29" t="e">
        <f>IF(C378=1,IF(D378="BUY",G379-(ROUND(F378*H378/B378,0)*B378),G379+(ROUND(F378*H378/B378,0)*B378)),IF(D378="BUY",G379+(ROUND(F378*H378/B378,0)*B378),G379-(ROUND(F378*H378/B378,0)*B378)))</f>
        <v>#DIV/0!</v>
      </c>
      <c r="I379" s="29" t="e">
        <f>IF(D378="BUY",G379+(ROUND(F378*I378/(B378*100),0)*B378),G379-(ROUND(F378*I378/(B378*100),0)*B378))</f>
        <v>#DIV/0!</v>
      </c>
      <c r="J379" s="29" t="e">
        <f>IF(C378=1,IF(D378="BUY",E378+(ROUND(F378*J378/B378,0)*B378),E378-(ROUND(F378*J378/B378,0)*B378)),IF(D378="BUY",E378-(ROUND(F378*J378/B378,0)*B378),E378+(ROUND(F378*J378/B378,0)*B378)))</f>
        <v>#DIV/0!</v>
      </c>
      <c r="K379" s="29" t="e">
        <f>IF(C378=1,IF(D378="BUY",E378-(ROUND(F378*K378/B378,0)*B378),E378+(ROUND(F378*K378/B378,0)*B378)),IF(D378="BUY",E378-(ROUND(F378*K378/B378,0)*B378),E378+(ROUND(F378*K378/B378,0)*B378)))</f>
        <v>#DIV/0!</v>
      </c>
      <c r="L379" s="29" t="e">
        <f t="shared" ref="L379" si="563">IF(D379="BUY",I379+(R379*B379),I379-(R379*B379))</f>
        <v>#DIV/0!</v>
      </c>
      <c r="M379" s="29" t="e">
        <f>IF(D378="BUY",E378+(ROUND(F378*M378/B378,0)*B378),E378-(ROUND(F378*M378/B378,0)*B378))</f>
        <v>#DIV/0!</v>
      </c>
      <c r="N379" s="29" t="e">
        <f>IF(D378="BUY",E378-(ROUND(F378*N378/B378,0)*B378),E378+(ROUND(F378*N378/B378,0)*B378))</f>
        <v>#DIV/0!</v>
      </c>
      <c r="O379" s="31" t="e">
        <f>IF(D379="BUY",N379-VLOOKUP(A379,Symbols!A$1:D$1000,4,FALSE),N379+VLOOKUP(A379,Symbols!A$1:D$1000,4,FALSE))</f>
        <v>#DIV/0!</v>
      </c>
      <c r="P379" s="29">
        <f>P378</f>
        <v>0</v>
      </c>
      <c r="Q379" s="29">
        <f>Q378</f>
        <v>0</v>
      </c>
      <c r="R379" s="29">
        <f>R378</f>
        <v>0</v>
      </c>
      <c r="S379" s="29">
        <f>S378</f>
        <v>0</v>
      </c>
      <c r="T379" s="29">
        <f>T378</f>
        <v>0</v>
      </c>
      <c r="U379" s="29" t="e">
        <f>DATEDIF(DATE(1970,1,1),U378,"D")*86400</f>
        <v>#NUM!</v>
      </c>
      <c r="V379" s="29">
        <f>HOUR(V378)*3600+MINUTE(V378)*60+SECOND(V378)</f>
        <v>0</v>
      </c>
      <c r="W379" s="29" t="e">
        <f>DATEDIF(DATE(1970,1,1),W378,"D")*86400</f>
        <v>#NUM!</v>
      </c>
      <c r="X379" s="29">
        <f>HOUR(X378)*3600+MINUTE(X378)*60+SECOND(X378)</f>
        <v>0</v>
      </c>
      <c r="Y379" s="31">
        <f>(Y378*B379)</f>
        <v>0</v>
      </c>
      <c r="Z379" s="29">
        <f>Z378</f>
        <v>0</v>
      </c>
      <c r="AA379" s="29" t="e">
        <f>DATEDIF(DATE(1970,1,1),AA378,"D")*86400</f>
        <v>#NUM!</v>
      </c>
      <c r="AB379" s="29">
        <f>HOUR(AB378)*3600+MINUTE(AB378)*60+SECOND(AB378)</f>
        <v>0</v>
      </c>
      <c r="AC379" s="29">
        <f>AC378</f>
        <v>0</v>
      </c>
    </row>
    <row r="380" spans="1:29">
      <c r="A380" s="23">
        <f>Parameters!A191</f>
        <v>0</v>
      </c>
      <c r="B380" s="23">
        <f>Parameters!B191</f>
        <v>0</v>
      </c>
      <c r="C380" s="24">
        <f>Parameters!C191</f>
        <v>0</v>
      </c>
      <c r="D380" s="24">
        <f>Parameters!D191</f>
        <v>0</v>
      </c>
      <c r="E380" s="23">
        <f>Parameters!E191</f>
        <v>0</v>
      </c>
      <c r="F380" s="23">
        <f>Parameters!F191</f>
        <v>0</v>
      </c>
      <c r="G380" s="25">
        <f>Parameters!G191</f>
        <v>0</v>
      </c>
      <c r="H380" s="25">
        <f>Parameters!H191</f>
        <v>0</v>
      </c>
      <c r="I380" s="25">
        <f>Parameters!I191</f>
        <v>0</v>
      </c>
      <c r="J380" s="25">
        <f>Parameters!J191</f>
        <v>0</v>
      </c>
      <c r="K380" s="25">
        <f>Parameters!K191</f>
        <v>0</v>
      </c>
      <c r="L380" s="26" t="e">
        <f t="shared" ref="L380" si="564">L381</f>
        <v>#DIV/0!</v>
      </c>
      <c r="M380" s="25">
        <f>Parameters!L191</f>
        <v>0</v>
      </c>
      <c r="N380" s="25">
        <f>Parameters!M191</f>
        <v>0</v>
      </c>
      <c r="O380" s="26" t="e">
        <f t="shared" ref="O380" si="565">O381</f>
        <v>#DIV/0!</v>
      </c>
      <c r="P380" s="23">
        <f>Parameters!N191</f>
        <v>0</v>
      </c>
      <c r="Q380" s="23">
        <f>Parameters!O191</f>
        <v>0</v>
      </c>
      <c r="R380" s="23">
        <f>Parameters!P191</f>
        <v>0</v>
      </c>
      <c r="S380" s="23">
        <f>Parameters!Q191</f>
        <v>0</v>
      </c>
      <c r="T380" s="23">
        <f>Parameters!R191</f>
        <v>0</v>
      </c>
      <c r="U380" s="27">
        <f>Parameters!S191</f>
        <v>0</v>
      </c>
      <c r="V380" s="28">
        <f>Parameters!T191</f>
        <v>0</v>
      </c>
      <c r="W380" s="27">
        <f>Parameters!U191</f>
        <v>0</v>
      </c>
      <c r="X380" s="28">
        <f>Parameters!V191</f>
        <v>0</v>
      </c>
      <c r="Y380" s="25">
        <f>Parameters!W191</f>
        <v>0</v>
      </c>
      <c r="Z380" s="23">
        <f>Parameters!X191</f>
        <v>0</v>
      </c>
      <c r="AA380" s="27">
        <f>Parameters!Y191</f>
        <v>0</v>
      </c>
      <c r="AB380" s="28">
        <f>Parameters!Z191</f>
        <v>0</v>
      </c>
      <c r="AC380" s="23">
        <f>Parameters!AA191</f>
        <v>0</v>
      </c>
    </row>
    <row r="381" spans="1:29">
      <c r="A381" s="29" t="str">
        <f>UPPER(A380)</f>
        <v>0</v>
      </c>
      <c r="B381" s="29">
        <f>B380</f>
        <v>0</v>
      </c>
      <c r="C381" s="30">
        <f>C380</f>
        <v>0</v>
      </c>
      <c r="D381" s="30">
        <f>D380</f>
        <v>0</v>
      </c>
      <c r="E381" s="29">
        <f>E380</f>
        <v>0</v>
      </c>
      <c r="F381" s="29">
        <f>F380</f>
        <v>0</v>
      </c>
      <c r="G381" s="29" t="e">
        <f>IF(C380=1,IF(D380="BUY",E380+(ROUND(F380*G380/B380,0)*B380),E380-(ROUND(F380*G380/B380,0)*B380)),IF(D380="BUY",E380-(ROUND(F380*G380/B380,0)*B380),E380+(ROUND(F380*G380/B380,0)*B380)))</f>
        <v>#DIV/0!</v>
      </c>
      <c r="H381" s="29" t="e">
        <f>IF(C380=1,IF(D380="BUY",G381-(ROUND(F380*H380/B380,0)*B380),G381+(ROUND(F380*H380/B380,0)*B380)),IF(D380="BUY",G381+(ROUND(F380*H380/B380,0)*B380),G381-(ROUND(F380*H380/B380,0)*B380)))</f>
        <v>#DIV/0!</v>
      </c>
      <c r="I381" s="29" t="e">
        <f>IF(D380="BUY",G381+(ROUND(F380*I380/(B380*100),0)*B380),G381-(ROUND(F380*I380/(B380*100),0)*B380))</f>
        <v>#DIV/0!</v>
      </c>
      <c r="J381" s="29" t="e">
        <f>IF(C380=1,IF(D380="BUY",E380+(ROUND(F380*J380/B380,0)*B380),E380-(ROUND(F380*J380/B380,0)*B380)),IF(D380="BUY",E380-(ROUND(F380*J380/B380,0)*B380),E380+(ROUND(F380*J380/B380,0)*B380)))</f>
        <v>#DIV/0!</v>
      </c>
      <c r="K381" s="29" t="e">
        <f>IF(C380=1,IF(D380="BUY",E380-(ROUND(F380*K380/B380,0)*B380),E380+(ROUND(F380*K380/B380,0)*B380)),IF(D380="BUY",E380-(ROUND(F380*K380/B380,0)*B380),E380+(ROUND(F380*K380/B380,0)*B380)))</f>
        <v>#DIV/0!</v>
      </c>
      <c r="L381" s="29" t="e">
        <f t="shared" ref="L381" si="566">IF(D381="BUY",I381+(R381*B381),I381-(R381*B381))</f>
        <v>#DIV/0!</v>
      </c>
      <c r="M381" s="29" t="e">
        <f>IF(D380="BUY",E380+(ROUND(F380*M380/B380,0)*B380),E380-(ROUND(F380*M380/B380,0)*B380))</f>
        <v>#DIV/0!</v>
      </c>
      <c r="N381" s="29" t="e">
        <f>IF(D380="BUY",E380-(ROUND(F380*N380/B380,0)*B380),E380+(ROUND(F380*N380/B380,0)*B380))</f>
        <v>#DIV/0!</v>
      </c>
      <c r="O381" s="31" t="e">
        <f>IF(D381="BUY",N381-VLOOKUP(A381,Symbols!A$1:D$1000,4,FALSE),N381+VLOOKUP(A381,Symbols!A$1:D$1000,4,FALSE))</f>
        <v>#DIV/0!</v>
      </c>
      <c r="P381" s="29">
        <f>P380</f>
        <v>0</v>
      </c>
      <c r="Q381" s="29">
        <f>Q380</f>
        <v>0</v>
      </c>
      <c r="R381" s="29">
        <f>R380</f>
        <v>0</v>
      </c>
      <c r="S381" s="29">
        <f>S380</f>
        <v>0</v>
      </c>
      <c r="T381" s="29">
        <f>T380</f>
        <v>0</v>
      </c>
      <c r="U381" s="29" t="e">
        <f>DATEDIF(DATE(1970,1,1),U380,"D")*86400</f>
        <v>#NUM!</v>
      </c>
      <c r="V381" s="29">
        <f>HOUR(V380)*3600+MINUTE(V380)*60+SECOND(V380)</f>
        <v>0</v>
      </c>
      <c r="W381" s="29" t="e">
        <f>DATEDIF(DATE(1970,1,1),W380,"D")*86400</f>
        <v>#NUM!</v>
      </c>
      <c r="X381" s="29">
        <f>HOUR(X380)*3600+MINUTE(X380)*60+SECOND(X380)</f>
        <v>0</v>
      </c>
      <c r="Y381" s="31">
        <f>(Y380*B381)</f>
        <v>0</v>
      </c>
      <c r="Z381" s="29">
        <f>Z380</f>
        <v>0</v>
      </c>
      <c r="AA381" s="29" t="e">
        <f>DATEDIF(DATE(1970,1,1),AA380,"D")*86400</f>
        <v>#NUM!</v>
      </c>
      <c r="AB381" s="29">
        <f>HOUR(AB380)*3600+MINUTE(AB380)*60+SECOND(AB380)</f>
        <v>0</v>
      </c>
      <c r="AC381" s="29">
        <f>AC380</f>
        <v>0</v>
      </c>
    </row>
    <row r="382" spans="1:29">
      <c r="A382" s="23">
        <f>Parameters!A192</f>
        <v>0</v>
      </c>
      <c r="B382" s="23">
        <f>Parameters!B192</f>
        <v>0</v>
      </c>
      <c r="C382" s="24">
        <f>Parameters!C192</f>
        <v>0</v>
      </c>
      <c r="D382" s="24">
        <f>Parameters!D192</f>
        <v>0</v>
      </c>
      <c r="E382" s="23">
        <f>Parameters!E192</f>
        <v>0</v>
      </c>
      <c r="F382" s="23">
        <f>Parameters!F192</f>
        <v>0</v>
      </c>
      <c r="G382" s="25">
        <f>Parameters!G192</f>
        <v>0</v>
      </c>
      <c r="H382" s="25">
        <f>Parameters!H192</f>
        <v>0</v>
      </c>
      <c r="I382" s="25">
        <f>Parameters!I192</f>
        <v>0</v>
      </c>
      <c r="J382" s="25">
        <f>Parameters!J192</f>
        <v>0</v>
      </c>
      <c r="K382" s="25">
        <f>Parameters!K192</f>
        <v>0</v>
      </c>
      <c r="L382" s="26" t="e">
        <f t="shared" ref="L382" si="567">L383</f>
        <v>#DIV/0!</v>
      </c>
      <c r="M382" s="25">
        <f>Parameters!L192</f>
        <v>0</v>
      </c>
      <c r="N382" s="25">
        <f>Parameters!M192</f>
        <v>0</v>
      </c>
      <c r="O382" s="26" t="e">
        <f t="shared" ref="O382" si="568">O383</f>
        <v>#DIV/0!</v>
      </c>
      <c r="P382" s="23">
        <f>Parameters!N192</f>
        <v>0</v>
      </c>
      <c r="Q382" s="23">
        <f>Parameters!O192</f>
        <v>0</v>
      </c>
      <c r="R382" s="23">
        <f>Parameters!P192</f>
        <v>0</v>
      </c>
      <c r="S382" s="23">
        <f>Parameters!Q192</f>
        <v>0</v>
      </c>
      <c r="T382" s="23">
        <f>Parameters!R192</f>
        <v>0</v>
      </c>
      <c r="U382" s="27">
        <f>Parameters!S192</f>
        <v>0</v>
      </c>
      <c r="V382" s="28">
        <f>Parameters!T192</f>
        <v>0</v>
      </c>
      <c r="W382" s="27">
        <f>Parameters!U192</f>
        <v>0</v>
      </c>
      <c r="X382" s="28">
        <f>Parameters!V192</f>
        <v>0</v>
      </c>
      <c r="Y382" s="25">
        <f>Parameters!W192</f>
        <v>0</v>
      </c>
      <c r="Z382" s="23">
        <f>Parameters!X192</f>
        <v>0</v>
      </c>
      <c r="AA382" s="27">
        <f>Parameters!Y192</f>
        <v>0</v>
      </c>
      <c r="AB382" s="28">
        <f>Parameters!Z192</f>
        <v>0</v>
      </c>
      <c r="AC382" s="23">
        <f>Parameters!AA192</f>
        <v>0</v>
      </c>
    </row>
    <row r="383" spans="1:29">
      <c r="A383" s="29" t="str">
        <f>UPPER(A382)</f>
        <v>0</v>
      </c>
      <c r="B383" s="29">
        <f>B382</f>
        <v>0</v>
      </c>
      <c r="C383" s="30">
        <f>C382</f>
        <v>0</v>
      </c>
      <c r="D383" s="30">
        <f>D382</f>
        <v>0</v>
      </c>
      <c r="E383" s="29">
        <f>E382</f>
        <v>0</v>
      </c>
      <c r="F383" s="29">
        <f>F382</f>
        <v>0</v>
      </c>
      <c r="G383" s="29" t="e">
        <f>IF(C382=1,IF(D382="BUY",E382+(ROUND(F382*G382/B382,0)*B382),E382-(ROUND(F382*G382/B382,0)*B382)),IF(D382="BUY",E382-(ROUND(F382*G382/B382,0)*B382),E382+(ROUND(F382*G382/B382,0)*B382)))</f>
        <v>#DIV/0!</v>
      </c>
      <c r="H383" s="29" t="e">
        <f>IF(C382=1,IF(D382="BUY",G383-(ROUND(F382*H382/B382,0)*B382),G383+(ROUND(F382*H382/B382,0)*B382)),IF(D382="BUY",G383+(ROUND(F382*H382/B382,0)*B382),G383-(ROUND(F382*H382/B382,0)*B382)))</f>
        <v>#DIV/0!</v>
      </c>
      <c r="I383" s="29" t="e">
        <f>IF(D382="BUY",G383+(ROUND(F382*I382/(B382*100),0)*B382),G383-(ROUND(F382*I382/(B382*100),0)*B382))</f>
        <v>#DIV/0!</v>
      </c>
      <c r="J383" s="29" t="e">
        <f>IF(C382=1,IF(D382="BUY",E382+(ROUND(F382*J382/B382,0)*B382),E382-(ROUND(F382*J382/B382,0)*B382)),IF(D382="BUY",E382-(ROUND(F382*J382/B382,0)*B382),E382+(ROUND(F382*J382/B382,0)*B382)))</f>
        <v>#DIV/0!</v>
      </c>
      <c r="K383" s="29" t="e">
        <f>IF(C382=1,IF(D382="BUY",E382-(ROUND(F382*K382/B382,0)*B382),E382+(ROUND(F382*K382/B382,0)*B382)),IF(D382="BUY",E382-(ROUND(F382*K382/B382,0)*B382),E382+(ROUND(F382*K382/B382,0)*B382)))</f>
        <v>#DIV/0!</v>
      </c>
      <c r="L383" s="29" t="e">
        <f t="shared" ref="L383" si="569">IF(D383="BUY",I383+(R383*B383),I383-(R383*B383))</f>
        <v>#DIV/0!</v>
      </c>
      <c r="M383" s="29" t="e">
        <f>IF(D382="BUY",E382+(ROUND(F382*M382/B382,0)*B382),E382-(ROUND(F382*M382/B382,0)*B382))</f>
        <v>#DIV/0!</v>
      </c>
      <c r="N383" s="29" t="e">
        <f>IF(D382="BUY",E382-(ROUND(F382*N382/B382,0)*B382),E382+(ROUND(F382*N382/B382,0)*B382))</f>
        <v>#DIV/0!</v>
      </c>
      <c r="O383" s="31" t="e">
        <f>IF(D383="BUY",N383-VLOOKUP(A383,Symbols!A$1:D$1000,4,FALSE),N383+VLOOKUP(A383,Symbols!A$1:D$1000,4,FALSE))</f>
        <v>#DIV/0!</v>
      </c>
      <c r="P383" s="29">
        <f>P382</f>
        <v>0</v>
      </c>
      <c r="Q383" s="29">
        <f>Q382</f>
        <v>0</v>
      </c>
      <c r="R383" s="29">
        <f>R382</f>
        <v>0</v>
      </c>
      <c r="S383" s="29">
        <f>S382</f>
        <v>0</v>
      </c>
      <c r="T383" s="29">
        <f>T382</f>
        <v>0</v>
      </c>
      <c r="U383" s="29" t="e">
        <f>DATEDIF(DATE(1970,1,1),U382,"D")*86400</f>
        <v>#NUM!</v>
      </c>
      <c r="V383" s="29">
        <f>HOUR(V382)*3600+MINUTE(V382)*60+SECOND(V382)</f>
        <v>0</v>
      </c>
      <c r="W383" s="29" t="e">
        <f>DATEDIF(DATE(1970,1,1),W382,"D")*86400</f>
        <v>#NUM!</v>
      </c>
      <c r="X383" s="29">
        <f>HOUR(X382)*3600+MINUTE(X382)*60+SECOND(X382)</f>
        <v>0</v>
      </c>
      <c r="Y383" s="31">
        <f>(Y382*B383)</f>
        <v>0</v>
      </c>
      <c r="Z383" s="29">
        <f>Z382</f>
        <v>0</v>
      </c>
      <c r="AA383" s="29" t="e">
        <f>DATEDIF(DATE(1970,1,1),AA382,"D")*86400</f>
        <v>#NUM!</v>
      </c>
      <c r="AB383" s="29">
        <f>HOUR(AB382)*3600+MINUTE(AB382)*60+SECOND(AB382)</f>
        <v>0</v>
      </c>
      <c r="AC383" s="29">
        <f>AC382</f>
        <v>0</v>
      </c>
    </row>
    <row r="384" spans="1:29">
      <c r="A384" s="23">
        <f>Parameters!A193</f>
        <v>0</v>
      </c>
      <c r="B384" s="23">
        <f>Parameters!B193</f>
        <v>0</v>
      </c>
      <c r="C384" s="24">
        <f>Parameters!C193</f>
        <v>0</v>
      </c>
      <c r="D384" s="24">
        <f>Parameters!D193</f>
        <v>0</v>
      </c>
      <c r="E384" s="23">
        <f>Parameters!E193</f>
        <v>0</v>
      </c>
      <c r="F384" s="23">
        <f>Parameters!F193</f>
        <v>0</v>
      </c>
      <c r="G384" s="25">
        <f>Parameters!G193</f>
        <v>0</v>
      </c>
      <c r="H384" s="25">
        <f>Parameters!H193</f>
        <v>0</v>
      </c>
      <c r="I384" s="25">
        <f>Parameters!I193</f>
        <v>0</v>
      </c>
      <c r="J384" s="25">
        <f>Parameters!J193</f>
        <v>0</v>
      </c>
      <c r="K384" s="25">
        <f>Parameters!K193</f>
        <v>0</v>
      </c>
      <c r="L384" s="26" t="e">
        <f t="shared" ref="L384" si="570">L385</f>
        <v>#DIV/0!</v>
      </c>
      <c r="M384" s="25">
        <f>Parameters!L193</f>
        <v>0</v>
      </c>
      <c r="N384" s="25">
        <f>Parameters!M193</f>
        <v>0</v>
      </c>
      <c r="O384" s="26" t="e">
        <f t="shared" ref="O384" si="571">O385</f>
        <v>#DIV/0!</v>
      </c>
      <c r="P384" s="23">
        <f>Parameters!N193</f>
        <v>0</v>
      </c>
      <c r="Q384" s="23">
        <f>Parameters!O193</f>
        <v>0</v>
      </c>
      <c r="R384" s="23">
        <f>Parameters!P193</f>
        <v>0</v>
      </c>
      <c r="S384" s="23">
        <f>Parameters!Q193</f>
        <v>0</v>
      </c>
      <c r="T384" s="23">
        <f>Parameters!R193</f>
        <v>0</v>
      </c>
      <c r="U384" s="27">
        <f>Parameters!S193</f>
        <v>0</v>
      </c>
      <c r="V384" s="28">
        <f>Parameters!T193</f>
        <v>0</v>
      </c>
      <c r="W384" s="27">
        <f>Parameters!U193</f>
        <v>0</v>
      </c>
      <c r="X384" s="28">
        <f>Parameters!V193</f>
        <v>0</v>
      </c>
      <c r="Y384" s="25">
        <f>Parameters!W193</f>
        <v>0</v>
      </c>
      <c r="Z384" s="23">
        <f>Parameters!X193</f>
        <v>0</v>
      </c>
      <c r="AA384" s="27">
        <f>Parameters!Y193</f>
        <v>0</v>
      </c>
      <c r="AB384" s="28">
        <f>Parameters!Z193</f>
        <v>0</v>
      </c>
      <c r="AC384" s="23">
        <f>Parameters!AA193</f>
        <v>0</v>
      </c>
    </row>
    <row r="385" spans="1:29">
      <c r="A385" s="29" t="str">
        <f>UPPER(A384)</f>
        <v>0</v>
      </c>
      <c r="B385" s="29">
        <f>B384</f>
        <v>0</v>
      </c>
      <c r="C385" s="30">
        <f>C384</f>
        <v>0</v>
      </c>
      <c r="D385" s="30">
        <f>D384</f>
        <v>0</v>
      </c>
      <c r="E385" s="29">
        <f>E384</f>
        <v>0</v>
      </c>
      <c r="F385" s="29">
        <f>F384</f>
        <v>0</v>
      </c>
      <c r="G385" s="29" t="e">
        <f>IF(C384=1,IF(D384="BUY",E384+(ROUND(F384*G384/B384,0)*B384),E384-(ROUND(F384*G384/B384,0)*B384)),IF(D384="BUY",E384-(ROUND(F384*G384/B384,0)*B384),E384+(ROUND(F384*G384/B384,0)*B384)))</f>
        <v>#DIV/0!</v>
      </c>
      <c r="H385" s="29" t="e">
        <f>IF(C384=1,IF(D384="BUY",G385-(ROUND(F384*H384/B384,0)*B384),G385+(ROUND(F384*H384/B384,0)*B384)),IF(D384="BUY",G385+(ROUND(F384*H384/B384,0)*B384),G385-(ROUND(F384*H384/B384,0)*B384)))</f>
        <v>#DIV/0!</v>
      </c>
      <c r="I385" s="29" t="e">
        <f>IF(D384="BUY",G385+(ROUND(F384*I384/(B384*100),0)*B384),G385-(ROUND(F384*I384/(B384*100),0)*B384))</f>
        <v>#DIV/0!</v>
      </c>
      <c r="J385" s="29" t="e">
        <f>IF(C384=1,IF(D384="BUY",E384+(ROUND(F384*J384/B384,0)*B384),E384-(ROUND(F384*J384/B384,0)*B384)),IF(D384="BUY",E384-(ROUND(F384*J384/B384,0)*B384),E384+(ROUND(F384*J384/B384,0)*B384)))</f>
        <v>#DIV/0!</v>
      </c>
      <c r="K385" s="29" t="e">
        <f>IF(C384=1,IF(D384="BUY",E384-(ROUND(F384*K384/B384,0)*B384),E384+(ROUND(F384*K384/B384,0)*B384)),IF(D384="BUY",E384-(ROUND(F384*K384/B384,0)*B384),E384+(ROUND(F384*K384/B384,0)*B384)))</f>
        <v>#DIV/0!</v>
      </c>
      <c r="L385" s="29" t="e">
        <f t="shared" ref="L385" si="572">IF(D385="BUY",I385+(R385*B385),I385-(R385*B385))</f>
        <v>#DIV/0!</v>
      </c>
      <c r="M385" s="29" t="e">
        <f>IF(D384="BUY",E384+(ROUND(F384*M384/B384,0)*B384),E384-(ROUND(F384*M384/B384,0)*B384))</f>
        <v>#DIV/0!</v>
      </c>
      <c r="N385" s="29" t="e">
        <f>IF(D384="BUY",E384-(ROUND(F384*N384/B384,0)*B384),E384+(ROUND(F384*N384/B384,0)*B384))</f>
        <v>#DIV/0!</v>
      </c>
      <c r="O385" s="31" t="e">
        <f>IF(D385="BUY",N385-VLOOKUP(A385,Symbols!A$1:D$1000,4,FALSE),N385+VLOOKUP(A385,Symbols!A$1:D$1000,4,FALSE))</f>
        <v>#DIV/0!</v>
      </c>
      <c r="P385" s="29">
        <f>P384</f>
        <v>0</v>
      </c>
      <c r="Q385" s="29">
        <f>Q384</f>
        <v>0</v>
      </c>
      <c r="R385" s="29">
        <f>R384</f>
        <v>0</v>
      </c>
      <c r="S385" s="29">
        <f>S384</f>
        <v>0</v>
      </c>
      <c r="T385" s="29">
        <f>T384</f>
        <v>0</v>
      </c>
      <c r="U385" s="29" t="e">
        <f>DATEDIF(DATE(1970,1,1),U384,"D")*86400</f>
        <v>#NUM!</v>
      </c>
      <c r="V385" s="29">
        <f>HOUR(V384)*3600+MINUTE(V384)*60+SECOND(V384)</f>
        <v>0</v>
      </c>
      <c r="W385" s="29" t="e">
        <f>DATEDIF(DATE(1970,1,1),W384,"D")*86400</f>
        <v>#NUM!</v>
      </c>
      <c r="X385" s="29">
        <f>HOUR(X384)*3600+MINUTE(X384)*60+SECOND(X384)</f>
        <v>0</v>
      </c>
      <c r="Y385" s="31">
        <f>(Y384*B385)</f>
        <v>0</v>
      </c>
      <c r="Z385" s="29">
        <f>Z384</f>
        <v>0</v>
      </c>
      <c r="AA385" s="29" t="e">
        <f>DATEDIF(DATE(1970,1,1),AA384,"D")*86400</f>
        <v>#NUM!</v>
      </c>
      <c r="AB385" s="29">
        <f>HOUR(AB384)*3600+MINUTE(AB384)*60+SECOND(AB384)</f>
        <v>0</v>
      </c>
      <c r="AC385" s="29">
        <f>AC384</f>
        <v>0</v>
      </c>
    </row>
    <row r="386" spans="1:29">
      <c r="A386" s="23">
        <f>Parameters!A194</f>
        <v>0</v>
      </c>
      <c r="B386" s="23">
        <f>Parameters!B194</f>
        <v>0</v>
      </c>
      <c r="C386" s="24">
        <f>Parameters!C194</f>
        <v>0</v>
      </c>
      <c r="D386" s="24">
        <f>Parameters!D194</f>
        <v>0</v>
      </c>
      <c r="E386" s="23">
        <f>Parameters!E194</f>
        <v>0</v>
      </c>
      <c r="F386" s="23">
        <f>Parameters!F194</f>
        <v>0</v>
      </c>
      <c r="G386" s="25">
        <f>Parameters!G194</f>
        <v>0</v>
      </c>
      <c r="H386" s="25">
        <f>Parameters!H194</f>
        <v>0</v>
      </c>
      <c r="I386" s="25">
        <f>Parameters!I194</f>
        <v>0</v>
      </c>
      <c r="J386" s="25">
        <f>Parameters!J194</f>
        <v>0</v>
      </c>
      <c r="K386" s="25">
        <f>Parameters!K194</f>
        <v>0</v>
      </c>
      <c r="L386" s="26" t="e">
        <f t="shared" ref="L386" si="573">L387</f>
        <v>#DIV/0!</v>
      </c>
      <c r="M386" s="25">
        <f>Parameters!L194</f>
        <v>0</v>
      </c>
      <c r="N386" s="25">
        <f>Parameters!M194</f>
        <v>0</v>
      </c>
      <c r="O386" s="26" t="e">
        <f t="shared" ref="O386" si="574">O387</f>
        <v>#DIV/0!</v>
      </c>
      <c r="P386" s="23">
        <f>Parameters!N194</f>
        <v>0</v>
      </c>
      <c r="Q386" s="23">
        <f>Parameters!O194</f>
        <v>0</v>
      </c>
      <c r="R386" s="23">
        <f>Parameters!P194</f>
        <v>0</v>
      </c>
      <c r="S386" s="23">
        <f>Parameters!Q194</f>
        <v>0</v>
      </c>
      <c r="T386" s="23">
        <f>Parameters!R194</f>
        <v>0</v>
      </c>
      <c r="U386" s="27">
        <f>Parameters!S194</f>
        <v>0</v>
      </c>
      <c r="V386" s="28">
        <f>Parameters!T194</f>
        <v>0</v>
      </c>
      <c r="W386" s="27">
        <f>Parameters!U194</f>
        <v>0</v>
      </c>
      <c r="X386" s="28">
        <f>Parameters!V194</f>
        <v>0</v>
      </c>
      <c r="Y386" s="25">
        <f>Parameters!W194</f>
        <v>0</v>
      </c>
      <c r="Z386" s="23">
        <f>Parameters!X194</f>
        <v>0</v>
      </c>
      <c r="AA386" s="27">
        <f>Parameters!Y194</f>
        <v>0</v>
      </c>
      <c r="AB386" s="28">
        <f>Parameters!Z194</f>
        <v>0</v>
      </c>
      <c r="AC386" s="23">
        <f>Parameters!AA194</f>
        <v>0</v>
      </c>
    </row>
    <row r="387" spans="1:29">
      <c r="A387" s="29" t="str">
        <f>UPPER(A386)</f>
        <v>0</v>
      </c>
      <c r="B387" s="29">
        <f>B386</f>
        <v>0</v>
      </c>
      <c r="C387" s="30">
        <f>C386</f>
        <v>0</v>
      </c>
      <c r="D387" s="30">
        <f>D386</f>
        <v>0</v>
      </c>
      <c r="E387" s="29">
        <f>E386</f>
        <v>0</v>
      </c>
      <c r="F387" s="29">
        <f>F386</f>
        <v>0</v>
      </c>
      <c r="G387" s="29" t="e">
        <f>IF(C386=1,IF(D386="BUY",E386+(ROUND(F386*G386/B386,0)*B386),E386-(ROUND(F386*G386/B386,0)*B386)),IF(D386="BUY",E386-(ROUND(F386*G386/B386,0)*B386),E386+(ROUND(F386*G386/B386,0)*B386)))</f>
        <v>#DIV/0!</v>
      </c>
      <c r="H387" s="29" t="e">
        <f>IF(C386=1,IF(D386="BUY",G387-(ROUND(F386*H386/B386,0)*B386),G387+(ROUND(F386*H386/B386,0)*B386)),IF(D386="BUY",G387+(ROUND(F386*H386/B386,0)*B386),G387-(ROUND(F386*H386/B386,0)*B386)))</f>
        <v>#DIV/0!</v>
      </c>
      <c r="I387" s="29" t="e">
        <f>IF(D386="BUY",G387+(ROUND(F386*I386/(B386*100),0)*B386),G387-(ROUND(F386*I386/(B386*100),0)*B386))</f>
        <v>#DIV/0!</v>
      </c>
      <c r="J387" s="29" t="e">
        <f>IF(C386=1,IF(D386="BUY",E386+(ROUND(F386*J386/B386,0)*B386),E386-(ROUND(F386*J386/B386,0)*B386)),IF(D386="BUY",E386-(ROUND(F386*J386/B386,0)*B386),E386+(ROUND(F386*J386/B386,0)*B386)))</f>
        <v>#DIV/0!</v>
      </c>
      <c r="K387" s="29" t="e">
        <f>IF(C386=1,IF(D386="BUY",E386-(ROUND(F386*K386/B386,0)*B386),E386+(ROUND(F386*K386/B386,0)*B386)),IF(D386="BUY",E386-(ROUND(F386*K386/B386,0)*B386),E386+(ROUND(F386*K386/B386,0)*B386)))</f>
        <v>#DIV/0!</v>
      </c>
      <c r="L387" s="29" t="e">
        <f t="shared" ref="L387" si="575">IF(D387="BUY",I387+(R387*B387),I387-(R387*B387))</f>
        <v>#DIV/0!</v>
      </c>
      <c r="M387" s="29" t="e">
        <f>IF(D386="BUY",E386+(ROUND(F386*M386/B386,0)*B386),E386-(ROUND(F386*M386/B386,0)*B386))</f>
        <v>#DIV/0!</v>
      </c>
      <c r="N387" s="29" t="e">
        <f>IF(D386="BUY",E386-(ROUND(F386*N386/B386,0)*B386),E386+(ROUND(F386*N386/B386,0)*B386))</f>
        <v>#DIV/0!</v>
      </c>
      <c r="O387" s="31" t="e">
        <f>IF(D387="BUY",N387-VLOOKUP(A387,Symbols!A$1:D$1000,4,FALSE),N387+VLOOKUP(A387,Symbols!A$1:D$1000,4,FALSE))</f>
        <v>#DIV/0!</v>
      </c>
      <c r="P387" s="29">
        <f>P386</f>
        <v>0</v>
      </c>
      <c r="Q387" s="29">
        <f>Q386</f>
        <v>0</v>
      </c>
      <c r="R387" s="29">
        <f>R386</f>
        <v>0</v>
      </c>
      <c r="S387" s="29">
        <f>S386</f>
        <v>0</v>
      </c>
      <c r="T387" s="29">
        <f>T386</f>
        <v>0</v>
      </c>
      <c r="U387" s="29" t="e">
        <f>DATEDIF(DATE(1970,1,1),U386,"D")*86400</f>
        <v>#NUM!</v>
      </c>
      <c r="V387" s="29">
        <f>HOUR(V386)*3600+MINUTE(V386)*60+SECOND(V386)</f>
        <v>0</v>
      </c>
      <c r="W387" s="29" t="e">
        <f>DATEDIF(DATE(1970,1,1),W386,"D")*86400</f>
        <v>#NUM!</v>
      </c>
      <c r="X387" s="29">
        <f>HOUR(X386)*3600+MINUTE(X386)*60+SECOND(X386)</f>
        <v>0</v>
      </c>
      <c r="Y387" s="31">
        <f>(Y386*B387)</f>
        <v>0</v>
      </c>
      <c r="Z387" s="29">
        <f>Z386</f>
        <v>0</v>
      </c>
      <c r="AA387" s="29" t="e">
        <f>DATEDIF(DATE(1970,1,1),AA386,"D")*86400</f>
        <v>#NUM!</v>
      </c>
      <c r="AB387" s="29">
        <f>HOUR(AB386)*3600+MINUTE(AB386)*60+SECOND(AB386)</f>
        <v>0</v>
      </c>
      <c r="AC387" s="29">
        <f>AC386</f>
        <v>0</v>
      </c>
    </row>
    <row r="388" spans="1:29">
      <c r="A388" s="23">
        <f>Parameters!A195</f>
        <v>0</v>
      </c>
      <c r="B388" s="23">
        <f>Parameters!B195</f>
        <v>0</v>
      </c>
      <c r="C388" s="24">
        <f>Parameters!C195</f>
        <v>0</v>
      </c>
      <c r="D388" s="24">
        <f>Parameters!D195</f>
        <v>0</v>
      </c>
      <c r="E388" s="23">
        <f>Parameters!E195</f>
        <v>0</v>
      </c>
      <c r="F388" s="23">
        <f>Parameters!F195</f>
        <v>0</v>
      </c>
      <c r="G388" s="25">
        <f>Parameters!G195</f>
        <v>0</v>
      </c>
      <c r="H388" s="25">
        <f>Parameters!H195</f>
        <v>0</v>
      </c>
      <c r="I388" s="25">
        <f>Parameters!I195</f>
        <v>0</v>
      </c>
      <c r="J388" s="25">
        <f>Parameters!J195</f>
        <v>0</v>
      </c>
      <c r="K388" s="25">
        <f>Parameters!K195</f>
        <v>0</v>
      </c>
      <c r="L388" s="26" t="e">
        <f t="shared" ref="L388" si="576">L389</f>
        <v>#DIV/0!</v>
      </c>
      <c r="M388" s="25">
        <f>Parameters!L195</f>
        <v>0</v>
      </c>
      <c r="N388" s="25">
        <f>Parameters!M195</f>
        <v>0</v>
      </c>
      <c r="O388" s="26" t="e">
        <f t="shared" ref="O388" si="577">O389</f>
        <v>#DIV/0!</v>
      </c>
      <c r="P388" s="23">
        <f>Parameters!N195</f>
        <v>0</v>
      </c>
      <c r="Q388" s="23">
        <f>Parameters!O195</f>
        <v>0</v>
      </c>
      <c r="R388" s="23">
        <f>Parameters!P195</f>
        <v>0</v>
      </c>
      <c r="S388" s="23">
        <f>Parameters!Q195</f>
        <v>0</v>
      </c>
      <c r="T388" s="23">
        <f>Parameters!R195</f>
        <v>0</v>
      </c>
      <c r="U388" s="27">
        <f>Parameters!S195</f>
        <v>0</v>
      </c>
      <c r="V388" s="28">
        <f>Parameters!T195</f>
        <v>0</v>
      </c>
      <c r="W388" s="27">
        <f>Parameters!U195</f>
        <v>0</v>
      </c>
      <c r="X388" s="28">
        <f>Parameters!V195</f>
        <v>0</v>
      </c>
      <c r="Y388" s="25">
        <f>Parameters!W195</f>
        <v>0</v>
      </c>
      <c r="Z388" s="23">
        <f>Parameters!X195</f>
        <v>0</v>
      </c>
      <c r="AA388" s="27">
        <f>Parameters!Y195</f>
        <v>0</v>
      </c>
      <c r="AB388" s="28">
        <f>Parameters!Z195</f>
        <v>0</v>
      </c>
      <c r="AC388" s="23">
        <f>Parameters!AA195</f>
        <v>0</v>
      </c>
    </row>
    <row r="389" spans="1:29">
      <c r="A389" s="29" t="str">
        <f>UPPER(A388)</f>
        <v>0</v>
      </c>
      <c r="B389" s="29">
        <f>B388</f>
        <v>0</v>
      </c>
      <c r="C389" s="30">
        <f>C388</f>
        <v>0</v>
      </c>
      <c r="D389" s="30">
        <f>D388</f>
        <v>0</v>
      </c>
      <c r="E389" s="29">
        <f>E388</f>
        <v>0</v>
      </c>
      <c r="F389" s="29">
        <f>F388</f>
        <v>0</v>
      </c>
      <c r="G389" s="29" t="e">
        <f>IF(C388=1,IF(D388="BUY",E388+(ROUND(F388*G388/B388,0)*B388),E388-(ROUND(F388*G388/B388,0)*B388)),IF(D388="BUY",E388-(ROUND(F388*G388/B388,0)*B388),E388+(ROUND(F388*G388/B388,0)*B388)))</f>
        <v>#DIV/0!</v>
      </c>
      <c r="H389" s="29" t="e">
        <f>IF(C388=1,IF(D388="BUY",G389-(ROUND(F388*H388/B388,0)*B388),G389+(ROUND(F388*H388/B388,0)*B388)),IF(D388="BUY",G389+(ROUND(F388*H388/B388,0)*B388),G389-(ROUND(F388*H388/B388,0)*B388)))</f>
        <v>#DIV/0!</v>
      </c>
      <c r="I389" s="29" t="e">
        <f>IF(D388="BUY",G389+(ROUND(F388*I388/(B388*100),0)*B388),G389-(ROUND(F388*I388/(B388*100),0)*B388))</f>
        <v>#DIV/0!</v>
      </c>
      <c r="J389" s="29" t="e">
        <f>IF(C388=1,IF(D388="BUY",E388+(ROUND(F388*J388/B388,0)*B388),E388-(ROUND(F388*J388/B388,0)*B388)),IF(D388="BUY",E388-(ROUND(F388*J388/B388,0)*B388),E388+(ROUND(F388*J388/B388,0)*B388)))</f>
        <v>#DIV/0!</v>
      </c>
      <c r="K389" s="29" t="e">
        <f>IF(C388=1,IF(D388="BUY",E388-(ROUND(F388*K388/B388,0)*B388),E388+(ROUND(F388*K388/B388,0)*B388)),IF(D388="BUY",E388-(ROUND(F388*K388/B388,0)*B388),E388+(ROUND(F388*K388/B388,0)*B388)))</f>
        <v>#DIV/0!</v>
      </c>
      <c r="L389" s="29" t="e">
        <f t="shared" ref="L389" si="578">IF(D389="BUY",I389+(R389*B389),I389-(R389*B389))</f>
        <v>#DIV/0!</v>
      </c>
      <c r="M389" s="29" t="e">
        <f>IF(D388="BUY",E388+(ROUND(F388*M388/B388,0)*B388),E388-(ROUND(F388*M388/B388,0)*B388))</f>
        <v>#DIV/0!</v>
      </c>
      <c r="N389" s="29" t="e">
        <f>IF(D388="BUY",E388-(ROUND(F388*N388/B388,0)*B388),E388+(ROUND(F388*N388/B388,0)*B388))</f>
        <v>#DIV/0!</v>
      </c>
      <c r="O389" s="31" t="e">
        <f>IF(D389="BUY",N389-VLOOKUP(A389,Symbols!A$1:D$1000,4,FALSE),N389+VLOOKUP(A389,Symbols!A$1:D$1000,4,FALSE))</f>
        <v>#DIV/0!</v>
      </c>
      <c r="P389" s="29">
        <f>P388</f>
        <v>0</v>
      </c>
      <c r="Q389" s="29">
        <f>Q388</f>
        <v>0</v>
      </c>
      <c r="R389" s="29">
        <f>R388</f>
        <v>0</v>
      </c>
      <c r="S389" s="29">
        <f>S388</f>
        <v>0</v>
      </c>
      <c r="T389" s="29">
        <f>T388</f>
        <v>0</v>
      </c>
      <c r="U389" s="29" t="e">
        <f>DATEDIF(DATE(1970,1,1),U388,"D")*86400</f>
        <v>#NUM!</v>
      </c>
      <c r="V389" s="29">
        <f>HOUR(V388)*3600+MINUTE(V388)*60+SECOND(V388)</f>
        <v>0</v>
      </c>
      <c r="W389" s="29" t="e">
        <f>DATEDIF(DATE(1970,1,1),W388,"D")*86400</f>
        <v>#NUM!</v>
      </c>
      <c r="X389" s="29">
        <f>HOUR(X388)*3600+MINUTE(X388)*60+SECOND(X388)</f>
        <v>0</v>
      </c>
      <c r="Y389" s="31">
        <f>(Y388*B389)</f>
        <v>0</v>
      </c>
      <c r="Z389" s="29">
        <f>Z388</f>
        <v>0</v>
      </c>
      <c r="AA389" s="29" t="e">
        <f>DATEDIF(DATE(1970,1,1),AA388,"D")*86400</f>
        <v>#NUM!</v>
      </c>
      <c r="AB389" s="29">
        <f>HOUR(AB388)*3600+MINUTE(AB388)*60+SECOND(AB388)</f>
        <v>0</v>
      </c>
      <c r="AC389" s="29">
        <f>AC388</f>
        <v>0</v>
      </c>
    </row>
    <row r="390" spans="1:29">
      <c r="A390" s="23">
        <f>Parameters!A196</f>
        <v>0</v>
      </c>
      <c r="B390" s="23">
        <f>Parameters!B196</f>
        <v>0</v>
      </c>
      <c r="C390" s="24">
        <f>Parameters!C196</f>
        <v>0</v>
      </c>
      <c r="D390" s="24">
        <f>Parameters!D196</f>
        <v>0</v>
      </c>
      <c r="E390" s="23">
        <f>Parameters!E196</f>
        <v>0</v>
      </c>
      <c r="F390" s="23">
        <f>Parameters!F196</f>
        <v>0</v>
      </c>
      <c r="G390" s="25">
        <f>Parameters!G196</f>
        <v>0</v>
      </c>
      <c r="H390" s="25">
        <f>Parameters!H196</f>
        <v>0</v>
      </c>
      <c r="I390" s="25">
        <f>Parameters!I196</f>
        <v>0</v>
      </c>
      <c r="J390" s="25">
        <f>Parameters!J196</f>
        <v>0</v>
      </c>
      <c r="K390" s="25">
        <f>Parameters!K196</f>
        <v>0</v>
      </c>
      <c r="L390" s="26" t="e">
        <f t="shared" ref="L390" si="579">L391</f>
        <v>#DIV/0!</v>
      </c>
      <c r="M390" s="25">
        <f>Parameters!L196</f>
        <v>0</v>
      </c>
      <c r="N390" s="25">
        <f>Parameters!M196</f>
        <v>0</v>
      </c>
      <c r="O390" s="26" t="e">
        <f t="shared" ref="O390" si="580">O391</f>
        <v>#DIV/0!</v>
      </c>
      <c r="P390" s="23">
        <f>Parameters!N196</f>
        <v>0</v>
      </c>
      <c r="Q390" s="23">
        <f>Parameters!O196</f>
        <v>0</v>
      </c>
      <c r="R390" s="23">
        <f>Parameters!P196</f>
        <v>0</v>
      </c>
      <c r="S390" s="23">
        <f>Parameters!Q196</f>
        <v>0</v>
      </c>
      <c r="T390" s="23">
        <f>Parameters!R196</f>
        <v>0</v>
      </c>
      <c r="U390" s="27">
        <f>Parameters!S196</f>
        <v>0</v>
      </c>
      <c r="V390" s="28">
        <f>Parameters!T196</f>
        <v>0</v>
      </c>
      <c r="W390" s="27">
        <f>Parameters!U196</f>
        <v>0</v>
      </c>
      <c r="X390" s="28">
        <f>Parameters!V196</f>
        <v>0</v>
      </c>
      <c r="Y390" s="25">
        <f>Parameters!W196</f>
        <v>0</v>
      </c>
      <c r="Z390" s="23">
        <f>Parameters!X196</f>
        <v>0</v>
      </c>
      <c r="AA390" s="27">
        <f>Parameters!Y196</f>
        <v>0</v>
      </c>
      <c r="AB390" s="28">
        <f>Parameters!Z196</f>
        <v>0</v>
      </c>
      <c r="AC390" s="23">
        <f>Parameters!AA196</f>
        <v>0</v>
      </c>
    </row>
    <row r="391" spans="1:29">
      <c r="A391" s="29" t="str">
        <f>UPPER(A390)</f>
        <v>0</v>
      </c>
      <c r="B391" s="29">
        <f>B390</f>
        <v>0</v>
      </c>
      <c r="C391" s="30">
        <f>C390</f>
        <v>0</v>
      </c>
      <c r="D391" s="30">
        <f>D390</f>
        <v>0</v>
      </c>
      <c r="E391" s="29">
        <f>E390</f>
        <v>0</v>
      </c>
      <c r="F391" s="29">
        <f>F390</f>
        <v>0</v>
      </c>
      <c r="G391" s="29" t="e">
        <f>IF(C390=1,IF(D390="BUY",E390+(ROUND(F390*G390/B390,0)*B390),E390-(ROUND(F390*G390/B390,0)*B390)),IF(D390="BUY",E390-(ROUND(F390*G390/B390,0)*B390),E390+(ROUND(F390*G390/B390,0)*B390)))</f>
        <v>#DIV/0!</v>
      </c>
      <c r="H391" s="29" t="e">
        <f>IF(C390=1,IF(D390="BUY",G391-(ROUND(F390*H390/B390,0)*B390),G391+(ROUND(F390*H390/B390,0)*B390)),IF(D390="BUY",G391+(ROUND(F390*H390/B390,0)*B390),G391-(ROUND(F390*H390/B390,0)*B390)))</f>
        <v>#DIV/0!</v>
      </c>
      <c r="I391" s="29" t="e">
        <f>IF(D390="BUY",G391+(ROUND(F390*I390/(B390*100),0)*B390),G391-(ROUND(F390*I390/(B390*100),0)*B390))</f>
        <v>#DIV/0!</v>
      </c>
      <c r="J391" s="29" t="e">
        <f>IF(C390=1,IF(D390="BUY",E390+(ROUND(F390*J390/B390,0)*B390),E390-(ROUND(F390*J390/B390,0)*B390)),IF(D390="BUY",E390-(ROUND(F390*J390/B390,0)*B390),E390+(ROUND(F390*J390/B390,0)*B390)))</f>
        <v>#DIV/0!</v>
      </c>
      <c r="K391" s="29" t="e">
        <f>IF(C390=1,IF(D390="BUY",E390-(ROUND(F390*K390/B390,0)*B390),E390+(ROUND(F390*K390/B390,0)*B390)),IF(D390="BUY",E390-(ROUND(F390*K390/B390,0)*B390),E390+(ROUND(F390*K390/B390,0)*B390)))</f>
        <v>#DIV/0!</v>
      </c>
      <c r="L391" s="29" t="e">
        <f t="shared" ref="L391" si="581">IF(D391="BUY",I391+(R391*B391),I391-(R391*B391))</f>
        <v>#DIV/0!</v>
      </c>
      <c r="M391" s="29" t="e">
        <f>IF(D390="BUY",E390+(ROUND(F390*M390/B390,0)*B390),E390-(ROUND(F390*M390/B390,0)*B390))</f>
        <v>#DIV/0!</v>
      </c>
      <c r="N391" s="29" t="e">
        <f>IF(D390="BUY",E390-(ROUND(F390*N390/B390,0)*B390),E390+(ROUND(F390*N390/B390,0)*B390))</f>
        <v>#DIV/0!</v>
      </c>
      <c r="O391" s="31" t="e">
        <f>IF(D391="BUY",N391-VLOOKUP(A391,Symbols!A$1:D$1000,4,FALSE),N391+VLOOKUP(A391,Symbols!A$1:D$1000,4,FALSE))</f>
        <v>#DIV/0!</v>
      </c>
      <c r="P391" s="29">
        <f>P390</f>
        <v>0</v>
      </c>
      <c r="Q391" s="29">
        <f>Q390</f>
        <v>0</v>
      </c>
      <c r="R391" s="29">
        <f>R390</f>
        <v>0</v>
      </c>
      <c r="S391" s="29">
        <f>S390</f>
        <v>0</v>
      </c>
      <c r="T391" s="29">
        <f>T390</f>
        <v>0</v>
      </c>
      <c r="U391" s="29" t="e">
        <f>DATEDIF(DATE(1970,1,1),U390,"D")*86400</f>
        <v>#NUM!</v>
      </c>
      <c r="V391" s="29">
        <f>HOUR(V390)*3600+MINUTE(V390)*60+SECOND(V390)</f>
        <v>0</v>
      </c>
      <c r="W391" s="29" t="e">
        <f>DATEDIF(DATE(1970,1,1),W390,"D")*86400</f>
        <v>#NUM!</v>
      </c>
      <c r="X391" s="29">
        <f>HOUR(X390)*3600+MINUTE(X390)*60+SECOND(X390)</f>
        <v>0</v>
      </c>
      <c r="Y391" s="31">
        <f>(Y390*B391)</f>
        <v>0</v>
      </c>
      <c r="Z391" s="29">
        <f>Z390</f>
        <v>0</v>
      </c>
      <c r="AA391" s="29" t="e">
        <f>DATEDIF(DATE(1970,1,1),AA390,"D")*86400</f>
        <v>#NUM!</v>
      </c>
      <c r="AB391" s="29">
        <f>HOUR(AB390)*3600+MINUTE(AB390)*60+SECOND(AB390)</f>
        <v>0</v>
      </c>
      <c r="AC391" s="29">
        <f>AC390</f>
        <v>0</v>
      </c>
    </row>
    <row r="392" spans="1:29">
      <c r="A392" s="23">
        <f>Parameters!A197</f>
        <v>0</v>
      </c>
      <c r="B392" s="23">
        <f>Parameters!B197</f>
        <v>0</v>
      </c>
      <c r="C392" s="24">
        <f>Parameters!C197</f>
        <v>0</v>
      </c>
      <c r="D392" s="24">
        <f>Parameters!D197</f>
        <v>0</v>
      </c>
      <c r="E392" s="23">
        <f>Parameters!E197</f>
        <v>0</v>
      </c>
      <c r="F392" s="23">
        <f>Parameters!F197</f>
        <v>0</v>
      </c>
      <c r="G392" s="25">
        <f>Parameters!G197</f>
        <v>0</v>
      </c>
      <c r="H392" s="25">
        <f>Parameters!H197</f>
        <v>0</v>
      </c>
      <c r="I392" s="25">
        <f>Parameters!I197</f>
        <v>0</v>
      </c>
      <c r="J392" s="25">
        <f>Parameters!J197</f>
        <v>0</v>
      </c>
      <c r="K392" s="25">
        <f>Parameters!K197</f>
        <v>0</v>
      </c>
      <c r="L392" s="26" t="e">
        <f t="shared" ref="L392" si="582">L393</f>
        <v>#DIV/0!</v>
      </c>
      <c r="M392" s="25">
        <f>Parameters!L197</f>
        <v>0</v>
      </c>
      <c r="N392" s="25">
        <f>Parameters!M197</f>
        <v>0</v>
      </c>
      <c r="O392" s="26" t="e">
        <f t="shared" ref="O392" si="583">O393</f>
        <v>#DIV/0!</v>
      </c>
      <c r="P392" s="23">
        <f>Parameters!N197</f>
        <v>0</v>
      </c>
      <c r="Q392" s="23">
        <f>Parameters!O197</f>
        <v>0</v>
      </c>
      <c r="R392" s="23">
        <f>Parameters!P197</f>
        <v>0</v>
      </c>
      <c r="S392" s="23">
        <f>Parameters!Q197</f>
        <v>0</v>
      </c>
      <c r="T392" s="23">
        <f>Parameters!R197</f>
        <v>0</v>
      </c>
      <c r="U392" s="27">
        <f>Parameters!S197</f>
        <v>0</v>
      </c>
      <c r="V392" s="28">
        <f>Parameters!T197</f>
        <v>0</v>
      </c>
      <c r="W392" s="27">
        <f>Parameters!U197</f>
        <v>0</v>
      </c>
      <c r="X392" s="28">
        <f>Parameters!V197</f>
        <v>0</v>
      </c>
      <c r="Y392" s="25">
        <f>Parameters!W197</f>
        <v>0</v>
      </c>
      <c r="Z392" s="23">
        <f>Parameters!X197</f>
        <v>0</v>
      </c>
      <c r="AA392" s="27">
        <f>Parameters!Y197</f>
        <v>0</v>
      </c>
      <c r="AB392" s="28">
        <f>Parameters!Z197</f>
        <v>0</v>
      </c>
      <c r="AC392" s="23">
        <f>Parameters!AA197</f>
        <v>0</v>
      </c>
    </row>
    <row r="393" spans="1:29">
      <c r="A393" s="29" t="str">
        <f>UPPER(A392)</f>
        <v>0</v>
      </c>
      <c r="B393" s="29">
        <f>B392</f>
        <v>0</v>
      </c>
      <c r="C393" s="30">
        <f>C392</f>
        <v>0</v>
      </c>
      <c r="D393" s="30">
        <f>D392</f>
        <v>0</v>
      </c>
      <c r="E393" s="29">
        <f>E392</f>
        <v>0</v>
      </c>
      <c r="F393" s="29">
        <f>F392</f>
        <v>0</v>
      </c>
      <c r="G393" s="29" t="e">
        <f>IF(C392=1,IF(D392="BUY",E392+(ROUND(F392*G392/B392,0)*B392),E392-(ROUND(F392*G392/B392,0)*B392)),IF(D392="BUY",E392-(ROUND(F392*G392/B392,0)*B392),E392+(ROUND(F392*G392/B392,0)*B392)))</f>
        <v>#DIV/0!</v>
      </c>
      <c r="H393" s="29" t="e">
        <f>IF(C392=1,IF(D392="BUY",G393-(ROUND(F392*H392/B392,0)*B392),G393+(ROUND(F392*H392/B392,0)*B392)),IF(D392="BUY",G393+(ROUND(F392*H392/B392,0)*B392),G393-(ROUND(F392*H392/B392,0)*B392)))</f>
        <v>#DIV/0!</v>
      </c>
      <c r="I393" s="29" t="e">
        <f>IF(D392="BUY",G393+(ROUND(F392*I392/(B392*100),0)*B392),G393-(ROUND(F392*I392/(B392*100),0)*B392))</f>
        <v>#DIV/0!</v>
      </c>
      <c r="J393" s="29" t="e">
        <f>IF(C392=1,IF(D392="BUY",E392+(ROUND(F392*J392/B392,0)*B392),E392-(ROUND(F392*J392/B392,0)*B392)),IF(D392="BUY",E392-(ROUND(F392*J392/B392,0)*B392),E392+(ROUND(F392*J392/B392,0)*B392)))</f>
        <v>#DIV/0!</v>
      </c>
      <c r="K393" s="29" t="e">
        <f>IF(C392=1,IF(D392="BUY",E392-(ROUND(F392*K392/B392,0)*B392),E392+(ROUND(F392*K392/B392,0)*B392)),IF(D392="BUY",E392-(ROUND(F392*K392/B392,0)*B392),E392+(ROUND(F392*K392/B392,0)*B392)))</f>
        <v>#DIV/0!</v>
      </c>
      <c r="L393" s="29" t="e">
        <f t="shared" ref="L393" si="584">IF(D393="BUY",I393+(R393*B393),I393-(R393*B393))</f>
        <v>#DIV/0!</v>
      </c>
      <c r="M393" s="29" t="e">
        <f>IF(D392="BUY",E392+(ROUND(F392*M392/B392,0)*B392),E392-(ROUND(F392*M392/B392,0)*B392))</f>
        <v>#DIV/0!</v>
      </c>
      <c r="N393" s="29" t="e">
        <f>IF(D392="BUY",E392-(ROUND(F392*N392/B392,0)*B392),E392+(ROUND(F392*N392/B392,0)*B392))</f>
        <v>#DIV/0!</v>
      </c>
      <c r="O393" s="31" t="e">
        <f>IF(D393="BUY",N393-VLOOKUP(A393,Symbols!A$1:D$1000,4,FALSE),N393+VLOOKUP(A393,Symbols!A$1:D$1000,4,FALSE))</f>
        <v>#DIV/0!</v>
      </c>
      <c r="P393" s="29">
        <f>P392</f>
        <v>0</v>
      </c>
      <c r="Q393" s="29">
        <f>Q392</f>
        <v>0</v>
      </c>
      <c r="R393" s="29">
        <f>R392</f>
        <v>0</v>
      </c>
      <c r="S393" s="29">
        <f>S392</f>
        <v>0</v>
      </c>
      <c r="T393" s="29">
        <f>T392</f>
        <v>0</v>
      </c>
      <c r="U393" s="29" t="e">
        <f>DATEDIF(DATE(1970,1,1),U392,"D")*86400</f>
        <v>#NUM!</v>
      </c>
      <c r="V393" s="29">
        <f>HOUR(V392)*3600+MINUTE(V392)*60+SECOND(V392)</f>
        <v>0</v>
      </c>
      <c r="W393" s="29" t="e">
        <f>DATEDIF(DATE(1970,1,1),W392,"D")*86400</f>
        <v>#NUM!</v>
      </c>
      <c r="X393" s="29">
        <f>HOUR(X392)*3600+MINUTE(X392)*60+SECOND(X392)</f>
        <v>0</v>
      </c>
      <c r="Y393" s="31">
        <f>(Y392*B393)</f>
        <v>0</v>
      </c>
      <c r="Z393" s="29">
        <f>Z392</f>
        <v>0</v>
      </c>
      <c r="AA393" s="29" t="e">
        <f>DATEDIF(DATE(1970,1,1),AA392,"D")*86400</f>
        <v>#NUM!</v>
      </c>
      <c r="AB393" s="29">
        <f>HOUR(AB392)*3600+MINUTE(AB392)*60+SECOND(AB392)</f>
        <v>0</v>
      </c>
      <c r="AC393" s="29">
        <f>AC392</f>
        <v>0</v>
      </c>
    </row>
    <row r="394" spans="1:29">
      <c r="A394" s="23">
        <f>Parameters!A198</f>
        <v>0</v>
      </c>
      <c r="B394" s="23">
        <f>Parameters!B198</f>
        <v>0</v>
      </c>
      <c r="C394" s="24">
        <f>Parameters!C198</f>
        <v>0</v>
      </c>
      <c r="D394" s="24">
        <f>Parameters!D198</f>
        <v>0</v>
      </c>
      <c r="E394" s="23">
        <f>Parameters!E198</f>
        <v>0</v>
      </c>
      <c r="F394" s="23">
        <f>Parameters!F198</f>
        <v>0</v>
      </c>
      <c r="G394" s="25">
        <f>Parameters!G198</f>
        <v>0</v>
      </c>
      <c r="H394" s="25">
        <f>Parameters!H198</f>
        <v>0</v>
      </c>
      <c r="I394" s="25">
        <f>Parameters!I198</f>
        <v>0</v>
      </c>
      <c r="J394" s="25">
        <f>Parameters!J198</f>
        <v>0</v>
      </c>
      <c r="K394" s="25">
        <f>Parameters!K198</f>
        <v>0</v>
      </c>
      <c r="L394" s="26" t="e">
        <f t="shared" ref="L394" si="585">L395</f>
        <v>#DIV/0!</v>
      </c>
      <c r="M394" s="25">
        <f>Parameters!L198</f>
        <v>0</v>
      </c>
      <c r="N394" s="25">
        <f>Parameters!M198</f>
        <v>0</v>
      </c>
      <c r="O394" s="26" t="e">
        <f t="shared" ref="O394" si="586">O395</f>
        <v>#DIV/0!</v>
      </c>
      <c r="P394" s="23">
        <f>Parameters!N198</f>
        <v>0</v>
      </c>
      <c r="Q394" s="23">
        <f>Parameters!O198</f>
        <v>0</v>
      </c>
      <c r="R394" s="23">
        <f>Parameters!P198</f>
        <v>0</v>
      </c>
      <c r="S394" s="23">
        <f>Parameters!Q198</f>
        <v>0</v>
      </c>
      <c r="T394" s="23">
        <f>Parameters!R198</f>
        <v>0</v>
      </c>
      <c r="U394" s="27">
        <f>Parameters!S198</f>
        <v>0</v>
      </c>
      <c r="V394" s="28">
        <f>Parameters!T198</f>
        <v>0</v>
      </c>
      <c r="W394" s="27">
        <f>Parameters!U198</f>
        <v>0</v>
      </c>
      <c r="X394" s="28">
        <f>Parameters!V198</f>
        <v>0</v>
      </c>
      <c r="Y394" s="25">
        <f>Parameters!W198</f>
        <v>0</v>
      </c>
      <c r="Z394" s="23">
        <f>Parameters!X198</f>
        <v>0</v>
      </c>
      <c r="AA394" s="27">
        <f>Parameters!Y198</f>
        <v>0</v>
      </c>
      <c r="AB394" s="28">
        <f>Parameters!Z198</f>
        <v>0</v>
      </c>
      <c r="AC394" s="23">
        <f>Parameters!AA198</f>
        <v>0</v>
      </c>
    </row>
    <row r="395" spans="1:29">
      <c r="A395" s="29" t="str">
        <f>UPPER(A394)</f>
        <v>0</v>
      </c>
      <c r="B395" s="29">
        <f>B394</f>
        <v>0</v>
      </c>
      <c r="C395" s="30">
        <f>C394</f>
        <v>0</v>
      </c>
      <c r="D395" s="30">
        <f>D394</f>
        <v>0</v>
      </c>
      <c r="E395" s="29">
        <f>E394</f>
        <v>0</v>
      </c>
      <c r="F395" s="29">
        <f>F394</f>
        <v>0</v>
      </c>
      <c r="G395" s="29" t="e">
        <f>IF(C394=1,IF(D394="BUY",E394+(ROUND(F394*G394/B394,0)*B394),E394-(ROUND(F394*G394/B394,0)*B394)),IF(D394="BUY",E394-(ROUND(F394*G394/B394,0)*B394),E394+(ROUND(F394*G394/B394,0)*B394)))</f>
        <v>#DIV/0!</v>
      </c>
      <c r="H395" s="29" t="e">
        <f>IF(C394=1,IF(D394="BUY",G395-(ROUND(F394*H394/B394,0)*B394),G395+(ROUND(F394*H394/B394,0)*B394)),IF(D394="BUY",G395+(ROUND(F394*H394/B394,0)*B394),G395-(ROUND(F394*H394/B394,0)*B394)))</f>
        <v>#DIV/0!</v>
      </c>
      <c r="I395" s="29" t="e">
        <f>IF(D394="BUY",G395+(ROUND(F394*I394/(B394*100),0)*B394),G395-(ROUND(F394*I394/(B394*100),0)*B394))</f>
        <v>#DIV/0!</v>
      </c>
      <c r="J395" s="29" t="e">
        <f>IF(C394=1,IF(D394="BUY",E394+(ROUND(F394*J394/B394,0)*B394),E394-(ROUND(F394*J394/B394,0)*B394)),IF(D394="BUY",E394-(ROUND(F394*J394/B394,0)*B394),E394+(ROUND(F394*J394/B394,0)*B394)))</f>
        <v>#DIV/0!</v>
      </c>
      <c r="K395" s="29" t="e">
        <f>IF(C394=1,IF(D394="BUY",E394-(ROUND(F394*K394/B394,0)*B394),E394+(ROUND(F394*K394/B394,0)*B394)),IF(D394="BUY",E394-(ROUND(F394*K394/B394,0)*B394),E394+(ROUND(F394*K394/B394,0)*B394)))</f>
        <v>#DIV/0!</v>
      </c>
      <c r="L395" s="29" t="e">
        <f t="shared" ref="L395" si="587">IF(D395="BUY",I395+(R395*B395),I395-(R395*B395))</f>
        <v>#DIV/0!</v>
      </c>
      <c r="M395" s="29" t="e">
        <f>IF(D394="BUY",E394+(ROUND(F394*M394/B394,0)*B394),E394-(ROUND(F394*M394/B394,0)*B394))</f>
        <v>#DIV/0!</v>
      </c>
      <c r="N395" s="29" t="e">
        <f>IF(D394="BUY",E394-(ROUND(F394*N394/B394,0)*B394),E394+(ROUND(F394*N394/B394,0)*B394))</f>
        <v>#DIV/0!</v>
      </c>
      <c r="O395" s="31" t="e">
        <f>IF(D395="BUY",N395-VLOOKUP(A395,Symbols!A$1:D$1000,4,FALSE),N395+VLOOKUP(A395,Symbols!A$1:D$1000,4,FALSE))</f>
        <v>#DIV/0!</v>
      </c>
      <c r="P395" s="29">
        <f>P394</f>
        <v>0</v>
      </c>
      <c r="Q395" s="29">
        <f>Q394</f>
        <v>0</v>
      </c>
      <c r="R395" s="29">
        <f>R394</f>
        <v>0</v>
      </c>
      <c r="S395" s="29">
        <f>S394</f>
        <v>0</v>
      </c>
      <c r="T395" s="29">
        <f>T394</f>
        <v>0</v>
      </c>
      <c r="U395" s="29" t="e">
        <f>DATEDIF(DATE(1970,1,1),U394,"D")*86400</f>
        <v>#NUM!</v>
      </c>
      <c r="V395" s="29">
        <f>HOUR(V394)*3600+MINUTE(V394)*60+SECOND(V394)</f>
        <v>0</v>
      </c>
      <c r="W395" s="29" t="e">
        <f>DATEDIF(DATE(1970,1,1),W394,"D")*86400</f>
        <v>#NUM!</v>
      </c>
      <c r="X395" s="29">
        <f>HOUR(X394)*3600+MINUTE(X394)*60+SECOND(X394)</f>
        <v>0</v>
      </c>
      <c r="Y395" s="31">
        <f>(Y394*B395)</f>
        <v>0</v>
      </c>
      <c r="Z395" s="29">
        <f>Z394</f>
        <v>0</v>
      </c>
      <c r="AA395" s="29" t="e">
        <f>DATEDIF(DATE(1970,1,1),AA394,"D")*86400</f>
        <v>#NUM!</v>
      </c>
      <c r="AB395" s="29">
        <f>HOUR(AB394)*3600+MINUTE(AB394)*60+SECOND(AB394)</f>
        <v>0</v>
      </c>
      <c r="AC395" s="29">
        <f>AC394</f>
        <v>0</v>
      </c>
    </row>
    <row r="396" spans="1:29">
      <c r="A396" s="23">
        <f>Parameters!A199</f>
        <v>0</v>
      </c>
      <c r="B396" s="23">
        <f>Parameters!B199</f>
        <v>0</v>
      </c>
      <c r="C396" s="24">
        <f>Parameters!C199</f>
        <v>0</v>
      </c>
      <c r="D396" s="24">
        <f>Parameters!D199</f>
        <v>0</v>
      </c>
      <c r="E396" s="23">
        <f>Parameters!E199</f>
        <v>0</v>
      </c>
      <c r="F396" s="23">
        <f>Parameters!F199</f>
        <v>0</v>
      </c>
      <c r="G396" s="25">
        <f>Parameters!G199</f>
        <v>0</v>
      </c>
      <c r="H396" s="25">
        <f>Parameters!H199</f>
        <v>0</v>
      </c>
      <c r="I396" s="25">
        <f>Parameters!I199</f>
        <v>0</v>
      </c>
      <c r="J396" s="25">
        <f>Parameters!J199</f>
        <v>0</v>
      </c>
      <c r="K396" s="25">
        <f>Parameters!K199</f>
        <v>0</v>
      </c>
      <c r="L396" s="26" t="e">
        <f t="shared" ref="L396" si="588">L397</f>
        <v>#DIV/0!</v>
      </c>
      <c r="M396" s="25">
        <f>Parameters!L199</f>
        <v>0</v>
      </c>
      <c r="N396" s="25">
        <f>Parameters!M199</f>
        <v>0</v>
      </c>
      <c r="O396" s="26" t="e">
        <f t="shared" ref="O396" si="589">O397</f>
        <v>#DIV/0!</v>
      </c>
      <c r="P396" s="23">
        <f>Parameters!N199</f>
        <v>0</v>
      </c>
      <c r="Q396" s="23">
        <f>Parameters!O199</f>
        <v>0</v>
      </c>
      <c r="R396" s="23">
        <f>Parameters!P199</f>
        <v>0</v>
      </c>
      <c r="S396" s="23">
        <f>Parameters!Q199</f>
        <v>0</v>
      </c>
      <c r="T396" s="23">
        <f>Parameters!R199</f>
        <v>0</v>
      </c>
      <c r="U396" s="27">
        <f>Parameters!S199</f>
        <v>0</v>
      </c>
      <c r="V396" s="28">
        <f>Parameters!T199</f>
        <v>0</v>
      </c>
      <c r="W396" s="27">
        <f>Parameters!U199</f>
        <v>0</v>
      </c>
      <c r="X396" s="28">
        <f>Parameters!V199</f>
        <v>0</v>
      </c>
      <c r="Y396" s="25">
        <f>Parameters!W199</f>
        <v>0</v>
      </c>
      <c r="Z396" s="23">
        <f>Parameters!X199</f>
        <v>0</v>
      </c>
      <c r="AA396" s="27">
        <f>Parameters!Y199</f>
        <v>0</v>
      </c>
      <c r="AB396" s="28">
        <f>Parameters!Z199</f>
        <v>0</v>
      </c>
      <c r="AC396" s="23">
        <f>Parameters!AA199</f>
        <v>0</v>
      </c>
    </row>
    <row r="397" spans="1:29">
      <c r="A397" s="29" t="str">
        <f>UPPER(A396)</f>
        <v>0</v>
      </c>
      <c r="B397" s="29">
        <f>B396</f>
        <v>0</v>
      </c>
      <c r="C397" s="30">
        <f>C396</f>
        <v>0</v>
      </c>
      <c r="D397" s="30">
        <f>D396</f>
        <v>0</v>
      </c>
      <c r="E397" s="29">
        <f>E396</f>
        <v>0</v>
      </c>
      <c r="F397" s="29">
        <f>F396</f>
        <v>0</v>
      </c>
      <c r="G397" s="29" t="e">
        <f>IF(C396=1,IF(D396="BUY",E396+(ROUND(F396*G396/B396,0)*B396),E396-(ROUND(F396*G396/B396,0)*B396)),IF(D396="BUY",E396-(ROUND(F396*G396/B396,0)*B396),E396+(ROUND(F396*G396/B396,0)*B396)))</f>
        <v>#DIV/0!</v>
      </c>
      <c r="H397" s="29" t="e">
        <f>IF(C396=1,IF(D396="BUY",G397-(ROUND(F396*H396/B396,0)*B396),G397+(ROUND(F396*H396/B396,0)*B396)),IF(D396="BUY",G397+(ROUND(F396*H396/B396,0)*B396),G397-(ROUND(F396*H396/B396,0)*B396)))</f>
        <v>#DIV/0!</v>
      </c>
      <c r="I397" s="29" t="e">
        <f>IF(D396="BUY",G397+(ROUND(F396*I396/(B396*100),0)*B396),G397-(ROUND(F396*I396/(B396*100),0)*B396))</f>
        <v>#DIV/0!</v>
      </c>
      <c r="J397" s="29" t="e">
        <f>IF(C396=1,IF(D396="BUY",E396+(ROUND(F396*J396/B396,0)*B396),E396-(ROUND(F396*J396/B396,0)*B396)),IF(D396="BUY",E396-(ROUND(F396*J396/B396,0)*B396),E396+(ROUND(F396*J396/B396,0)*B396)))</f>
        <v>#DIV/0!</v>
      </c>
      <c r="K397" s="29" t="e">
        <f>IF(C396=1,IF(D396="BUY",E396-(ROUND(F396*K396/B396,0)*B396),E396+(ROUND(F396*K396/B396,0)*B396)),IF(D396="BUY",E396-(ROUND(F396*K396/B396,0)*B396),E396+(ROUND(F396*K396/B396,0)*B396)))</f>
        <v>#DIV/0!</v>
      </c>
      <c r="L397" s="29" t="e">
        <f t="shared" ref="L397" si="590">IF(D397="BUY",I397+(R397*B397),I397-(R397*B397))</f>
        <v>#DIV/0!</v>
      </c>
      <c r="M397" s="29" t="e">
        <f>IF(D396="BUY",E396+(ROUND(F396*M396/B396,0)*B396),E396-(ROUND(F396*M396/B396,0)*B396))</f>
        <v>#DIV/0!</v>
      </c>
      <c r="N397" s="29" t="e">
        <f>IF(D396="BUY",E396-(ROUND(F396*N396/B396,0)*B396),E396+(ROUND(F396*N396/B396,0)*B396))</f>
        <v>#DIV/0!</v>
      </c>
      <c r="O397" s="31" t="e">
        <f>IF(D397="BUY",N397-VLOOKUP(A397,Symbols!A$1:D$1000,4,FALSE),N397+VLOOKUP(A397,Symbols!A$1:D$1000,4,FALSE))</f>
        <v>#DIV/0!</v>
      </c>
      <c r="P397" s="29">
        <f>P396</f>
        <v>0</v>
      </c>
      <c r="Q397" s="29">
        <f>Q396</f>
        <v>0</v>
      </c>
      <c r="R397" s="29">
        <f>R396</f>
        <v>0</v>
      </c>
      <c r="S397" s="29">
        <f>S396</f>
        <v>0</v>
      </c>
      <c r="T397" s="29">
        <f>T396</f>
        <v>0</v>
      </c>
      <c r="U397" s="29" t="e">
        <f>DATEDIF(DATE(1970,1,1),U396,"D")*86400</f>
        <v>#NUM!</v>
      </c>
      <c r="V397" s="29">
        <f>HOUR(V396)*3600+MINUTE(V396)*60+SECOND(V396)</f>
        <v>0</v>
      </c>
      <c r="W397" s="29" t="e">
        <f>DATEDIF(DATE(1970,1,1),W396,"D")*86400</f>
        <v>#NUM!</v>
      </c>
      <c r="X397" s="29">
        <f>HOUR(X396)*3600+MINUTE(X396)*60+SECOND(X396)</f>
        <v>0</v>
      </c>
      <c r="Y397" s="31">
        <f>(Y396*B397)</f>
        <v>0</v>
      </c>
      <c r="Z397" s="29">
        <f>Z396</f>
        <v>0</v>
      </c>
      <c r="AA397" s="29" t="e">
        <f>DATEDIF(DATE(1970,1,1),AA396,"D")*86400</f>
        <v>#NUM!</v>
      </c>
      <c r="AB397" s="29">
        <f>HOUR(AB396)*3600+MINUTE(AB396)*60+SECOND(AB396)</f>
        <v>0</v>
      </c>
      <c r="AC397" s="29">
        <f>AC396</f>
        <v>0</v>
      </c>
    </row>
    <row r="398" spans="1:29">
      <c r="A398" s="23">
        <f>Parameters!A200</f>
        <v>0</v>
      </c>
      <c r="B398" s="23">
        <f>Parameters!B200</f>
        <v>0</v>
      </c>
      <c r="C398" s="24">
        <f>Parameters!C200</f>
        <v>0</v>
      </c>
      <c r="D398" s="24">
        <f>Parameters!D200</f>
        <v>0</v>
      </c>
      <c r="E398" s="23">
        <f>Parameters!E200</f>
        <v>0</v>
      </c>
      <c r="F398" s="23">
        <f>Parameters!F200</f>
        <v>0</v>
      </c>
      <c r="G398" s="25">
        <f>Parameters!G200</f>
        <v>0</v>
      </c>
      <c r="H398" s="25">
        <f>Parameters!H200</f>
        <v>0</v>
      </c>
      <c r="I398" s="25">
        <f>Parameters!I200</f>
        <v>0</v>
      </c>
      <c r="J398" s="25">
        <f>Parameters!J200</f>
        <v>0</v>
      </c>
      <c r="K398" s="25">
        <f>Parameters!K200</f>
        <v>0</v>
      </c>
      <c r="L398" s="26" t="e">
        <f t="shared" ref="L398" si="591">L399</f>
        <v>#DIV/0!</v>
      </c>
      <c r="M398" s="25">
        <f>Parameters!L200</f>
        <v>0</v>
      </c>
      <c r="N398" s="25">
        <f>Parameters!M200</f>
        <v>0</v>
      </c>
      <c r="O398" s="26" t="e">
        <f t="shared" ref="O398" si="592">O399</f>
        <v>#DIV/0!</v>
      </c>
      <c r="P398" s="23">
        <f>Parameters!N200</f>
        <v>0</v>
      </c>
      <c r="Q398" s="23">
        <f>Parameters!O200</f>
        <v>0</v>
      </c>
      <c r="R398" s="23">
        <f>Parameters!P200</f>
        <v>0</v>
      </c>
      <c r="S398" s="23">
        <f>Parameters!Q200</f>
        <v>0</v>
      </c>
      <c r="T398" s="23">
        <f>Parameters!R200</f>
        <v>0</v>
      </c>
      <c r="U398" s="27">
        <f>Parameters!S200</f>
        <v>0</v>
      </c>
      <c r="V398" s="28">
        <f>Parameters!T200</f>
        <v>0</v>
      </c>
      <c r="W398" s="27">
        <f>Parameters!U200</f>
        <v>0</v>
      </c>
      <c r="X398" s="28">
        <f>Parameters!V200</f>
        <v>0</v>
      </c>
      <c r="Y398" s="25">
        <f>Parameters!W200</f>
        <v>0</v>
      </c>
      <c r="Z398" s="23">
        <f>Parameters!X200</f>
        <v>0</v>
      </c>
      <c r="AA398" s="27">
        <f>Parameters!Y200</f>
        <v>0</v>
      </c>
      <c r="AB398" s="28">
        <f>Parameters!Z200</f>
        <v>0</v>
      </c>
      <c r="AC398" s="23">
        <f>Parameters!AA200</f>
        <v>0</v>
      </c>
    </row>
    <row r="399" spans="1:29">
      <c r="A399" s="29" t="str">
        <f>UPPER(A398)</f>
        <v>0</v>
      </c>
      <c r="B399" s="29">
        <f>B398</f>
        <v>0</v>
      </c>
      <c r="C399" s="30">
        <f>C398</f>
        <v>0</v>
      </c>
      <c r="D399" s="30">
        <f>D398</f>
        <v>0</v>
      </c>
      <c r="E399" s="29">
        <f>E398</f>
        <v>0</v>
      </c>
      <c r="F399" s="29">
        <f>F398</f>
        <v>0</v>
      </c>
      <c r="G399" s="29" t="e">
        <f>IF(C398=1,IF(D398="BUY",E398+(ROUND(F398*G398/B398,0)*B398),E398-(ROUND(F398*G398/B398,0)*B398)),IF(D398="BUY",E398-(ROUND(F398*G398/B398,0)*B398),E398+(ROUND(F398*G398/B398,0)*B398)))</f>
        <v>#DIV/0!</v>
      </c>
      <c r="H399" s="29" t="e">
        <f>IF(C398=1,IF(D398="BUY",G399-(ROUND(F398*H398/B398,0)*B398),G399+(ROUND(F398*H398/B398,0)*B398)),IF(D398="BUY",G399+(ROUND(F398*H398/B398,0)*B398),G399-(ROUND(F398*H398/B398,0)*B398)))</f>
        <v>#DIV/0!</v>
      </c>
      <c r="I399" s="29" t="e">
        <f>IF(D398="BUY",G399+(ROUND(F398*I398/(B398*100),0)*B398),G399-(ROUND(F398*I398/(B398*100),0)*B398))</f>
        <v>#DIV/0!</v>
      </c>
      <c r="J399" s="29" t="e">
        <f>IF(C398=1,IF(D398="BUY",E398+(ROUND(F398*J398/B398,0)*B398),E398-(ROUND(F398*J398/B398,0)*B398)),IF(D398="BUY",E398-(ROUND(F398*J398/B398,0)*B398),E398+(ROUND(F398*J398/B398,0)*B398)))</f>
        <v>#DIV/0!</v>
      </c>
      <c r="K399" s="29" t="e">
        <f>IF(C398=1,IF(D398="BUY",E398-(ROUND(F398*K398/B398,0)*B398),E398+(ROUND(F398*K398/B398,0)*B398)),IF(D398="BUY",E398-(ROUND(F398*K398/B398,0)*B398),E398+(ROUND(F398*K398/B398,0)*B398)))</f>
        <v>#DIV/0!</v>
      </c>
      <c r="L399" s="29" t="e">
        <f t="shared" ref="L399" si="593">IF(D399="BUY",I399+(R399*B399),I399-(R399*B399))</f>
        <v>#DIV/0!</v>
      </c>
      <c r="M399" s="29" t="e">
        <f>IF(D398="BUY",E398+(ROUND(F398*M398/B398,0)*B398),E398-(ROUND(F398*M398/B398,0)*B398))</f>
        <v>#DIV/0!</v>
      </c>
      <c r="N399" s="29" t="e">
        <f>IF(D398="BUY",E398-(ROUND(F398*N398/B398,0)*B398),E398+(ROUND(F398*N398/B398,0)*B398))</f>
        <v>#DIV/0!</v>
      </c>
      <c r="O399" s="31" t="e">
        <f>IF(D399="BUY",N399-VLOOKUP(A399,Symbols!A$1:D$1000,4,FALSE),N399+VLOOKUP(A399,Symbols!A$1:D$1000,4,FALSE))</f>
        <v>#DIV/0!</v>
      </c>
      <c r="P399" s="29">
        <f>P398</f>
        <v>0</v>
      </c>
      <c r="Q399" s="29">
        <f>Q398</f>
        <v>0</v>
      </c>
      <c r="R399" s="29">
        <f>R398</f>
        <v>0</v>
      </c>
      <c r="S399" s="29">
        <f>S398</f>
        <v>0</v>
      </c>
      <c r="T399" s="29">
        <f>T398</f>
        <v>0</v>
      </c>
      <c r="U399" s="29" t="e">
        <f>DATEDIF(DATE(1970,1,1),U398,"D")*86400</f>
        <v>#NUM!</v>
      </c>
      <c r="V399" s="29">
        <f>HOUR(V398)*3600+MINUTE(V398)*60+SECOND(V398)</f>
        <v>0</v>
      </c>
      <c r="W399" s="29" t="e">
        <f>DATEDIF(DATE(1970,1,1),W398,"D")*86400</f>
        <v>#NUM!</v>
      </c>
      <c r="X399" s="29">
        <f>HOUR(X398)*3600+MINUTE(X398)*60+SECOND(X398)</f>
        <v>0</v>
      </c>
      <c r="Y399" s="31">
        <f>(Y398*B399)</f>
        <v>0</v>
      </c>
      <c r="Z399" s="29">
        <f>Z398</f>
        <v>0</v>
      </c>
      <c r="AA399" s="29" t="e">
        <f>DATEDIF(DATE(1970,1,1),AA398,"D")*86400</f>
        <v>#NUM!</v>
      </c>
      <c r="AB399" s="29">
        <f>HOUR(AB398)*3600+MINUTE(AB398)*60+SECOND(AB398)</f>
        <v>0</v>
      </c>
      <c r="AC399" s="29">
        <f>AC398</f>
        <v>0</v>
      </c>
    </row>
    <row r="400" spans="1:29">
      <c r="A400" s="23">
        <f>Parameters!A201</f>
        <v>0</v>
      </c>
      <c r="B400" s="23">
        <f>Parameters!B201</f>
        <v>0</v>
      </c>
      <c r="C400" s="24">
        <f>Parameters!C201</f>
        <v>0</v>
      </c>
      <c r="D400" s="24">
        <f>Parameters!D201</f>
        <v>0</v>
      </c>
      <c r="E400" s="23">
        <f>Parameters!E201</f>
        <v>0</v>
      </c>
      <c r="F400" s="23">
        <f>Parameters!F201</f>
        <v>0</v>
      </c>
      <c r="G400" s="25">
        <f>Parameters!G201</f>
        <v>0</v>
      </c>
      <c r="H400" s="25">
        <f>Parameters!H201</f>
        <v>0</v>
      </c>
      <c r="I400" s="25">
        <f>Parameters!I201</f>
        <v>0</v>
      </c>
      <c r="J400" s="25">
        <f>Parameters!J201</f>
        <v>0</v>
      </c>
      <c r="K400" s="25">
        <f>Parameters!K201</f>
        <v>0</v>
      </c>
      <c r="L400" s="26" t="e">
        <f t="shared" ref="L400" si="594">L401</f>
        <v>#DIV/0!</v>
      </c>
      <c r="M400" s="25">
        <f>Parameters!L201</f>
        <v>0</v>
      </c>
      <c r="N400" s="25">
        <f>Parameters!M201</f>
        <v>0</v>
      </c>
      <c r="O400" s="26" t="e">
        <f t="shared" ref="O400" si="595">O401</f>
        <v>#DIV/0!</v>
      </c>
      <c r="P400" s="23">
        <f>Parameters!N201</f>
        <v>0</v>
      </c>
      <c r="Q400" s="23">
        <f>Parameters!O201</f>
        <v>0</v>
      </c>
      <c r="R400" s="23">
        <f>Parameters!P201</f>
        <v>0</v>
      </c>
      <c r="S400" s="23">
        <f>Parameters!Q201</f>
        <v>0</v>
      </c>
      <c r="T400" s="23">
        <f>Parameters!R201</f>
        <v>0</v>
      </c>
      <c r="U400" s="27">
        <f>Parameters!S201</f>
        <v>0</v>
      </c>
      <c r="V400" s="28">
        <f>Parameters!T201</f>
        <v>0</v>
      </c>
      <c r="W400" s="27">
        <f>Parameters!U201</f>
        <v>0</v>
      </c>
      <c r="X400" s="28">
        <f>Parameters!V201</f>
        <v>0</v>
      </c>
      <c r="Y400" s="25">
        <f>Parameters!W201</f>
        <v>0</v>
      </c>
      <c r="Z400" s="23">
        <f>Parameters!X201</f>
        <v>0</v>
      </c>
      <c r="AA400" s="27">
        <f>Parameters!Y201</f>
        <v>0</v>
      </c>
      <c r="AB400" s="28">
        <f>Parameters!Z201</f>
        <v>0</v>
      </c>
      <c r="AC400" s="23">
        <f>Parameters!AA201</f>
        <v>0</v>
      </c>
    </row>
    <row r="401" spans="1:29">
      <c r="A401" s="29" t="str">
        <f>UPPER(A400)</f>
        <v>0</v>
      </c>
      <c r="B401" s="29">
        <f>B400</f>
        <v>0</v>
      </c>
      <c r="C401" s="30">
        <f>C400</f>
        <v>0</v>
      </c>
      <c r="D401" s="30">
        <f>D400</f>
        <v>0</v>
      </c>
      <c r="E401" s="29">
        <f>E400</f>
        <v>0</v>
      </c>
      <c r="F401" s="29">
        <f>F400</f>
        <v>0</v>
      </c>
      <c r="G401" s="29" t="e">
        <f>IF(C400=1,IF(D400="BUY",E400+(ROUND(F400*G400/B400,0)*B400),E400-(ROUND(F400*G400/B400,0)*B400)),IF(D400="BUY",E400-(ROUND(F400*G400/B400,0)*B400),E400+(ROUND(F400*G400/B400,0)*B400)))</f>
        <v>#DIV/0!</v>
      </c>
      <c r="H401" s="29" t="e">
        <f>IF(C400=1,IF(D400="BUY",G401-(ROUND(F400*H400/B400,0)*B400),G401+(ROUND(F400*H400/B400,0)*B400)),IF(D400="BUY",G401+(ROUND(F400*H400/B400,0)*B400),G401-(ROUND(F400*H400/B400,0)*B400)))</f>
        <v>#DIV/0!</v>
      </c>
      <c r="I401" s="29" t="e">
        <f>IF(D400="BUY",G401+(ROUND(F400*I400/(B400*100),0)*B400),G401-(ROUND(F400*I400/(B400*100),0)*B400))</f>
        <v>#DIV/0!</v>
      </c>
      <c r="J401" s="29" t="e">
        <f>IF(C400=1,IF(D400="BUY",E400+(ROUND(F400*J400/B400,0)*B400),E400-(ROUND(F400*J400/B400,0)*B400)),IF(D400="BUY",E400-(ROUND(F400*J400/B400,0)*B400),E400+(ROUND(F400*J400/B400,0)*B400)))</f>
        <v>#DIV/0!</v>
      </c>
      <c r="K401" s="29" t="e">
        <f>IF(C400=1,IF(D400="BUY",E400-(ROUND(F400*K400/B400,0)*B400),E400+(ROUND(F400*K400/B400,0)*B400)),IF(D400="BUY",E400-(ROUND(F400*K400/B400,0)*B400),E400+(ROUND(F400*K400/B400,0)*B400)))</f>
        <v>#DIV/0!</v>
      </c>
      <c r="L401" s="29" t="e">
        <f t="shared" ref="L401" si="596">IF(D401="BUY",I401+(R401*B401),I401-(R401*B401))</f>
        <v>#DIV/0!</v>
      </c>
      <c r="M401" s="29" t="e">
        <f>IF(D400="BUY",E400+(ROUND(F400*M400/B400,0)*B400),E400-(ROUND(F400*M400/B400,0)*B400))</f>
        <v>#DIV/0!</v>
      </c>
      <c r="N401" s="29" t="e">
        <f>IF(D400="BUY",E400-(ROUND(F400*N400/B400,0)*B400),E400+(ROUND(F400*N400/B400,0)*B400))</f>
        <v>#DIV/0!</v>
      </c>
      <c r="O401" s="31" t="e">
        <f>IF(D401="BUY",N401-VLOOKUP(A401,Symbols!A$1:D$1000,4,FALSE),N401+VLOOKUP(A401,Symbols!A$1:D$1000,4,FALSE))</f>
        <v>#DIV/0!</v>
      </c>
      <c r="P401" s="29">
        <f>P400</f>
        <v>0</v>
      </c>
      <c r="Q401" s="29">
        <f>Q400</f>
        <v>0</v>
      </c>
      <c r="R401" s="29">
        <f>R400</f>
        <v>0</v>
      </c>
      <c r="S401" s="29">
        <f>S400</f>
        <v>0</v>
      </c>
      <c r="T401" s="29">
        <f>T400</f>
        <v>0</v>
      </c>
      <c r="U401" s="29" t="e">
        <f>DATEDIF(DATE(1970,1,1),U400,"D")*86400</f>
        <v>#NUM!</v>
      </c>
      <c r="V401" s="29">
        <f>HOUR(V400)*3600+MINUTE(V400)*60+SECOND(V400)</f>
        <v>0</v>
      </c>
      <c r="W401" s="29" t="e">
        <f>DATEDIF(DATE(1970,1,1),W400,"D")*86400</f>
        <v>#NUM!</v>
      </c>
      <c r="X401" s="29">
        <f>HOUR(X400)*3600+MINUTE(X400)*60+SECOND(X400)</f>
        <v>0</v>
      </c>
      <c r="Y401" s="31">
        <f>(Y400*B401)</f>
        <v>0</v>
      </c>
      <c r="Z401" s="29">
        <f>Z400</f>
        <v>0</v>
      </c>
      <c r="AA401" s="29" t="e">
        <f>DATEDIF(DATE(1970,1,1),AA400,"D")*86400</f>
        <v>#NUM!</v>
      </c>
      <c r="AB401" s="29">
        <f>HOUR(AB400)*3600+MINUTE(AB400)*60+SECOND(AB400)</f>
        <v>0</v>
      </c>
      <c r="AC401" s="29">
        <f>AC400</f>
        <v>0</v>
      </c>
    </row>
    <row r="402" spans="1:29">
      <c r="A402" s="23">
        <f>Parameters!A202</f>
        <v>0</v>
      </c>
      <c r="B402" s="23">
        <f>Parameters!B202</f>
        <v>0</v>
      </c>
      <c r="C402" s="24">
        <f>Parameters!C202</f>
        <v>0</v>
      </c>
      <c r="D402" s="24">
        <f>Parameters!D202</f>
        <v>0</v>
      </c>
      <c r="E402" s="23">
        <f>Parameters!E202</f>
        <v>0</v>
      </c>
      <c r="F402" s="23">
        <f>Parameters!F202</f>
        <v>0</v>
      </c>
      <c r="G402" s="25">
        <f>Parameters!G202</f>
        <v>0</v>
      </c>
      <c r="H402" s="25">
        <f>Parameters!H202</f>
        <v>0</v>
      </c>
      <c r="I402" s="25">
        <f>Parameters!I202</f>
        <v>0</v>
      </c>
      <c r="J402" s="25">
        <f>Parameters!J202</f>
        <v>0</v>
      </c>
      <c r="K402" s="25">
        <f>Parameters!K202</f>
        <v>0</v>
      </c>
      <c r="L402" s="26" t="e">
        <f t="shared" ref="L402" si="597">L403</f>
        <v>#DIV/0!</v>
      </c>
      <c r="M402" s="25">
        <f>Parameters!L202</f>
        <v>0</v>
      </c>
      <c r="N402" s="25">
        <f>Parameters!M202</f>
        <v>0</v>
      </c>
      <c r="O402" s="26" t="e">
        <f t="shared" ref="O402" si="598">O403</f>
        <v>#DIV/0!</v>
      </c>
      <c r="P402" s="23">
        <f>Parameters!N202</f>
        <v>0</v>
      </c>
      <c r="Q402" s="23">
        <f>Parameters!O202</f>
        <v>0</v>
      </c>
      <c r="R402" s="23">
        <f>Parameters!P202</f>
        <v>0</v>
      </c>
      <c r="S402" s="23">
        <f>Parameters!Q202</f>
        <v>0</v>
      </c>
      <c r="T402" s="23">
        <f>Parameters!R202</f>
        <v>0</v>
      </c>
      <c r="U402" s="27">
        <f>Parameters!S202</f>
        <v>0</v>
      </c>
      <c r="V402" s="28">
        <f>Parameters!T202</f>
        <v>0</v>
      </c>
      <c r="W402" s="27">
        <f>Parameters!U202</f>
        <v>0</v>
      </c>
      <c r="X402" s="28">
        <f>Parameters!V202</f>
        <v>0</v>
      </c>
      <c r="Y402" s="25">
        <f>Parameters!W202</f>
        <v>0</v>
      </c>
      <c r="Z402" s="23">
        <f>Parameters!X202</f>
        <v>0</v>
      </c>
      <c r="AA402" s="27">
        <f>Parameters!Y202</f>
        <v>0</v>
      </c>
      <c r="AB402" s="28">
        <f>Parameters!Z202</f>
        <v>0</v>
      </c>
      <c r="AC402" s="23">
        <f>Parameters!AA202</f>
        <v>0</v>
      </c>
    </row>
    <row r="403" spans="1:29">
      <c r="A403" s="29" t="str">
        <f>UPPER(A402)</f>
        <v>0</v>
      </c>
      <c r="B403" s="29">
        <f>B402</f>
        <v>0</v>
      </c>
      <c r="C403" s="30">
        <f>C402</f>
        <v>0</v>
      </c>
      <c r="D403" s="30">
        <f>D402</f>
        <v>0</v>
      </c>
      <c r="E403" s="29">
        <f>E402</f>
        <v>0</v>
      </c>
      <c r="F403" s="29">
        <f>F402</f>
        <v>0</v>
      </c>
      <c r="G403" s="29" t="e">
        <f>IF(C402=1,IF(D402="BUY",E402+(ROUND(F402*G402/B402,0)*B402),E402-(ROUND(F402*G402/B402,0)*B402)),IF(D402="BUY",E402-(ROUND(F402*G402/B402,0)*B402),E402+(ROUND(F402*G402/B402,0)*B402)))</f>
        <v>#DIV/0!</v>
      </c>
      <c r="H403" s="29" t="e">
        <f>IF(C402=1,IF(D402="BUY",G403-(ROUND(F402*H402/B402,0)*B402),G403+(ROUND(F402*H402/B402,0)*B402)),IF(D402="BUY",G403+(ROUND(F402*H402/B402,0)*B402),G403-(ROUND(F402*H402/B402,0)*B402)))</f>
        <v>#DIV/0!</v>
      </c>
      <c r="I403" s="29" t="e">
        <f>IF(D402="BUY",G403+(ROUND(F402*I402/(B402*100),0)*B402),G403-(ROUND(F402*I402/(B402*100),0)*B402))</f>
        <v>#DIV/0!</v>
      </c>
      <c r="J403" s="29" t="e">
        <f>IF(C402=1,IF(D402="BUY",E402+(ROUND(F402*J402/B402,0)*B402),E402-(ROUND(F402*J402/B402,0)*B402)),IF(D402="BUY",E402-(ROUND(F402*J402/B402,0)*B402),E402+(ROUND(F402*J402/B402,0)*B402)))</f>
        <v>#DIV/0!</v>
      </c>
      <c r="K403" s="29" t="e">
        <f>IF(C402=1,IF(D402="BUY",E402-(ROUND(F402*K402/B402,0)*B402),E402+(ROUND(F402*K402/B402,0)*B402)),IF(D402="BUY",E402-(ROUND(F402*K402/B402,0)*B402),E402+(ROUND(F402*K402/B402,0)*B402)))</f>
        <v>#DIV/0!</v>
      </c>
      <c r="L403" s="29" t="e">
        <f t="shared" ref="L403" si="599">IF(D403="BUY",I403+(R403*B403),I403-(R403*B403))</f>
        <v>#DIV/0!</v>
      </c>
      <c r="M403" s="29" t="e">
        <f>IF(D402="BUY",E402+(ROUND(F402*M402/B402,0)*B402),E402-(ROUND(F402*M402/B402,0)*B402))</f>
        <v>#DIV/0!</v>
      </c>
      <c r="N403" s="29" t="e">
        <f>IF(D402="BUY",E402-(ROUND(F402*N402/B402,0)*B402),E402+(ROUND(F402*N402/B402,0)*B402))</f>
        <v>#DIV/0!</v>
      </c>
      <c r="O403" s="31" t="e">
        <f>IF(D403="BUY",N403-VLOOKUP(A403,Symbols!A$1:D$1000,4,FALSE),N403+VLOOKUP(A403,Symbols!A$1:D$1000,4,FALSE))</f>
        <v>#DIV/0!</v>
      </c>
      <c r="P403" s="29">
        <f>P402</f>
        <v>0</v>
      </c>
      <c r="Q403" s="29">
        <f>Q402</f>
        <v>0</v>
      </c>
      <c r="R403" s="29">
        <f>R402</f>
        <v>0</v>
      </c>
      <c r="S403" s="29">
        <f>S402</f>
        <v>0</v>
      </c>
      <c r="T403" s="29">
        <f>T402</f>
        <v>0</v>
      </c>
      <c r="U403" s="29" t="e">
        <f>DATEDIF(DATE(1970,1,1),U402,"D")*86400</f>
        <v>#NUM!</v>
      </c>
      <c r="V403" s="29">
        <f>HOUR(V402)*3600+MINUTE(V402)*60+SECOND(V402)</f>
        <v>0</v>
      </c>
      <c r="W403" s="29" t="e">
        <f>DATEDIF(DATE(1970,1,1),W402,"D")*86400</f>
        <v>#NUM!</v>
      </c>
      <c r="X403" s="29">
        <f>HOUR(X402)*3600+MINUTE(X402)*60+SECOND(X402)</f>
        <v>0</v>
      </c>
      <c r="Y403" s="31">
        <f>(Y402*B403)</f>
        <v>0</v>
      </c>
      <c r="Z403" s="29">
        <f>Z402</f>
        <v>0</v>
      </c>
      <c r="AA403" s="29" t="e">
        <f>DATEDIF(DATE(1970,1,1),AA402,"D")*86400</f>
        <v>#NUM!</v>
      </c>
      <c r="AB403" s="29">
        <f>HOUR(AB402)*3600+MINUTE(AB402)*60+SECOND(AB402)</f>
        <v>0</v>
      </c>
      <c r="AC403" s="29">
        <f>AC402</f>
        <v>0</v>
      </c>
    </row>
    <row r="404" spans="1:29">
      <c r="A404" s="23">
        <f>Parameters!A203</f>
        <v>0</v>
      </c>
      <c r="B404" s="23">
        <f>Parameters!B203</f>
        <v>0</v>
      </c>
      <c r="C404" s="24">
        <f>Parameters!C203</f>
        <v>0</v>
      </c>
      <c r="D404" s="24">
        <f>Parameters!D203</f>
        <v>0</v>
      </c>
      <c r="E404" s="23">
        <f>Parameters!E203</f>
        <v>0</v>
      </c>
      <c r="F404" s="23">
        <f>Parameters!F203</f>
        <v>0</v>
      </c>
      <c r="G404" s="25">
        <f>Parameters!G203</f>
        <v>0</v>
      </c>
      <c r="H404" s="25">
        <f>Parameters!H203</f>
        <v>0</v>
      </c>
      <c r="I404" s="25">
        <f>Parameters!I203</f>
        <v>0</v>
      </c>
      <c r="J404" s="25">
        <f>Parameters!J203</f>
        <v>0</v>
      </c>
      <c r="K404" s="25">
        <f>Parameters!K203</f>
        <v>0</v>
      </c>
      <c r="L404" s="26" t="e">
        <f t="shared" ref="L404" si="600">L405</f>
        <v>#DIV/0!</v>
      </c>
      <c r="M404" s="25">
        <f>Parameters!L203</f>
        <v>0</v>
      </c>
      <c r="N404" s="25">
        <f>Parameters!M203</f>
        <v>0</v>
      </c>
      <c r="O404" s="26" t="e">
        <f t="shared" ref="O404" si="601">O405</f>
        <v>#DIV/0!</v>
      </c>
      <c r="P404" s="23">
        <f>Parameters!N203</f>
        <v>0</v>
      </c>
      <c r="Q404" s="23">
        <f>Parameters!O203</f>
        <v>0</v>
      </c>
      <c r="R404" s="23">
        <f>Parameters!P203</f>
        <v>0</v>
      </c>
      <c r="S404" s="23">
        <f>Parameters!Q203</f>
        <v>0</v>
      </c>
      <c r="T404" s="23">
        <f>Parameters!R203</f>
        <v>0</v>
      </c>
      <c r="U404" s="27">
        <f>Parameters!S203</f>
        <v>0</v>
      </c>
      <c r="V404" s="28">
        <f>Parameters!T203</f>
        <v>0</v>
      </c>
      <c r="W404" s="27">
        <f>Parameters!U203</f>
        <v>0</v>
      </c>
      <c r="X404" s="28">
        <f>Parameters!V203</f>
        <v>0</v>
      </c>
      <c r="Y404" s="25">
        <f>Parameters!W203</f>
        <v>0</v>
      </c>
      <c r="Z404" s="23">
        <f>Parameters!X203</f>
        <v>0</v>
      </c>
      <c r="AA404" s="27">
        <f>Parameters!Y203</f>
        <v>0</v>
      </c>
      <c r="AB404" s="28">
        <f>Parameters!Z203</f>
        <v>0</v>
      </c>
      <c r="AC404" s="23">
        <f>Parameters!AA203</f>
        <v>0</v>
      </c>
    </row>
    <row r="405" spans="1:29">
      <c r="A405" s="29" t="str">
        <f>UPPER(A404)</f>
        <v>0</v>
      </c>
      <c r="B405" s="29">
        <f>B404</f>
        <v>0</v>
      </c>
      <c r="C405" s="30">
        <f>C404</f>
        <v>0</v>
      </c>
      <c r="D405" s="30">
        <f>D404</f>
        <v>0</v>
      </c>
      <c r="E405" s="29">
        <f>E404</f>
        <v>0</v>
      </c>
      <c r="F405" s="29">
        <f>F404</f>
        <v>0</v>
      </c>
      <c r="G405" s="29" t="e">
        <f>IF(C404=1,IF(D404="BUY",E404+(ROUND(F404*G404/B404,0)*B404),E404-(ROUND(F404*G404/B404,0)*B404)),IF(D404="BUY",E404-(ROUND(F404*G404/B404,0)*B404),E404+(ROUND(F404*G404/B404,0)*B404)))</f>
        <v>#DIV/0!</v>
      </c>
      <c r="H405" s="29" t="e">
        <f>IF(C404=1,IF(D404="BUY",G405-(ROUND(F404*H404/B404,0)*B404),G405+(ROUND(F404*H404/B404,0)*B404)),IF(D404="BUY",G405+(ROUND(F404*H404/B404,0)*B404),G405-(ROUND(F404*H404/B404,0)*B404)))</f>
        <v>#DIV/0!</v>
      </c>
      <c r="I405" s="29" t="e">
        <f>IF(D404="BUY",G405+(ROUND(F404*I404/(B404*100),0)*B404),G405-(ROUND(F404*I404/(B404*100),0)*B404))</f>
        <v>#DIV/0!</v>
      </c>
      <c r="J405" s="29" t="e">
        <f>IF(C404=1,IF(D404="BUY",E404+(ROUND(F404*J404/B404,0)*B404),E404-(ROUND(F404*J404/B404,0)*B404)),IF(D404="BUY",E404-(ROUND(F404*J404/B404,0)*B404),E404+(ROUND(F404*J404/B404,0)*B404)))</f>
        <v>#DIV/0!</v>
      </c>
      <c r="K405" s="29" t="e">
        <f>IF(C404=1,IF(D404="BUY",E404-(ROUND(F404*K404/B404,0)*B404),E404+(ROUND(F404*K404/B404,0)*B404)),IF(D404="BUY",E404-(ROUND(F404*K404/B404,0)*B404),E404+(ROUND(F404*K404/B404,0)*B404)))</f>
        <v>#DIV/0!</v>
      </c>
      <c r="L405" s="29" t="e">
        <f t="shared" ref="L405" si="602">IF(D405="BUY",I405+(R405*B405),I405-(R405*B405))</f>
        <v>#DIV/0!</v>
      </c>
      <c r="M405" s="29" t="e">
        <f>IF(D404="BUY",E404+(ROUND(F404*M404/B404,0)*B404),E404-(ROUND(F404*M404/B404,0)*B404))</f>
        <v>#DIV/0!</v>
      </c>
      <c r="N405" s="29" t="e">
        <f>IF(D404="BUY",E404-(ROUND(F404*N404/B404,0)*B404),E404+(ROUND(F404*N404/B404,0)*B404))</f>
        <v>#DIV/0!</v>
      </c>
      <c r="O405" s="31" t="e">
        <f>IF(D405="BUY",N405-VLOOKUP(A405,Symbols!A$1:D$1000,4,FALSE),N405+VLOOKUP(A405,Symbols!A$1:D$1000,4,FALSE))</f>
        <v>#DIV/0!</v>
      </c>
      <c r="P405" s="29">
        <f>P404</f>
        <v>0</v>
      </c>
      <c r="Q405" s="29">
        <f>Q404</f>
        <v>0</v>
      </c>
      <c r="R405" s="29">
        <f>R404</f>
        <v>0</v>
      </c>
      <c r="S405" s="29">
        <f>S404</f>
        <v>0</v>
      </c>
      <c r="T405" s="29">
        <f>T404</f>
        <v>0</v>
      </c>
      <c r="U405" s="29" t="e">
        <f>DATEDIF(DATE(1970,1,1),U404,"D")*86400</f>
        <v>#NUM!</v>
      </c>
      <c r="V405" s="29">
        <f>HOUR(V404)*3600+MINUTE(V404)*60+SECOND(V404)</f>
        <v>0</v>
      </c>
      <c r="W405" s="29" t="e">
        <f>DATEDIF(DATE(1970,1,1),W404,"D")*86400</f>
        <v>#NUM!</v>
      </c>
      <c r="X405" s="29">
        <f>HOUR(X404)*3600+MINUTE(X404)*60+SECOND(X404)</f>
        <v>0</v>
      </c>
      <c r="Y405" s="31">
        <f>(Y404*B405)</f>
        <v>0</v>
      </c>
      <c r="Z405" s="29">
        <f>Z404</f>
        <v>0</v>
      </c>
      <c r="AA405" s="29" t="e">
        <f>DATEDIF(DATE(1970,1,1),AA404,"D")*86400</f>
        <v>#NUM!</v>
      </c>
      <c r="AB405" s="29">
        <f>HOUR(AB404)*3600+MINUTE(AB404)*60+SECOND(AB404)</f>
        <v>0</v>
      </c>
      <c r="AC405" s="29">
        <f>AC404</f>
        <v>0</v>
      </c>
    </row>
    <row r="406" spans="1:29">
      <c r="A406" s="23">
        <f>Parameters!A204</f>
        <v>0</v>
      </c>
      <c r="B406" s="23">
        <f>Parameters!B204</f>
        <v>0</v>
      </c>
      <c r="C406" s="24">
        <f>Parameters!C204</f>
        <v>0</v>
      </c>
      <c r="D406" s="24">
        <f>Parameters!D204</f>
        <v>0</v>
      </c>
      <c r="E406" s="23">
        <f>Parameters!E204</f>
        <v>0</v>
      </c>
      <c r="F406" s="23">
        <f>Parameters!F204</f>
        <v>0</v>
      </c>
      <c r="G406" s="25">
        <f>Parameters!G204</f>
        <v>0</v>
      </c>
      <c r="H406" s="25">
        <f>Parameters!H204</f>
        <v>0</v>
      </c>
      <c r="I406" s="25">
        <f>Parameters!I204</f>
        <v>0</v>
      </c>
      <c r="J406" s="25">
        <f>Parameters!J204</f>
        <v>0</v>
      </c>
      <c r="K406" s="25">
        <f>Parameters!K204</f>
        <v>0</v>
      </c>
      <c r="L406" s="26" t="e">
        <f t="shared" ref="L406" si="603">L407</f>
        <v>#DIV/0!</v>
      </c>
      <c r="M406" s="25">
        <f>Parameters!L204</f>
        <v>0</v>
      </c>
      <c r="N406" s="25">
        <f>Parameters!M204</f>
        <v>0</v>
      </c>
      <c r="O406" s="26" t="e">
        <f t="shared" ref="O406" si="604">O407</f>
        <v>#DIV/0!</v>
      </c>
      <c r="P406" s="23">
        <f>Parameters!N204</f>
        <v>0</v>
      </c>
      <c r="Q406" s="23">
        <f>Parameters!O204</f>
        <v>0</v>
      </c>
      <c r="R406" s="23">
        <f>Parameters!P204</f>
        <v>0</v>
      </c>
      <c r="S406" s="23">
        <f>Parameters!Q204</f>
        <v>0</v>
      </c>
      <c r="T406" s="23">
        <f>Parameters!R204</f>
        <v>0</v>
      </c>
      <c r="U406" s="27">
        <f>Parameters!S204</f>
        <v>0</v>
      </c>
      <c r="V406" s="28">
        <f>Parameters!T204</f>
        <v>0</v>
      </c>
      <c r="W406" s="27">
        <f>Parameters!U204</f>
        <v>0</v>
      </c>
      <c r="X406" s="28">
        <f>Parameters!V204</f>
        <v>0</v>
      </c>
      <c r="Y406" s="25">
        <f>Parameters!W204</f>
        <v>0</v>
      </c>
      <c r="Z406" s="23">
        <f>Parameters!X204</f>
        <v>0</v>
      </c>
      <c r="AA406" s="27">
        <f>Parameters!Y204</f>
        <v>0</v>
      </c>
      <c r="AB406" s="28">
        <f>Parameters!Z204</f>
        <v>0</v>
      </c>
      <c r="AC406" s="23">
        <f>Parameters!AA204</f>
        <v>0</v>
      </c>
    </row>
    <row r="407" spans="1:29">
      <c r="A407" s="29" t="str">
        <f>UPPER(A406)</f>
        <v>0</v>
      </c>
      <c r="B407" s="29">
        <f>B406</f>
        <v>0</v>
      </c>
      <c r="C407" s="30">
        <f>C406</f>
        <v>0</v>
      </c>
      <c r="D407" s="30">
        <f>D406</f>
        <v>0</v>
      </c>
      <c r="E407" s="29">
        <f>E406</f>
        <v>0</v>
      </c>
      <c r="F407" s="29">
        <f>F406</f>
        <v>0</v>
      </c>
      <c r="G407" s="29" t="e">
        <f>IF(C406=1,IF(D406="BUY",E406+(ROUND(F406*G406/B406,0)*B406),E406-(ROUND(F406*G406/B406,0)*B406)),IF(D406="BUY",E406-(ROUND(F406*G406/B406,0)*B406),E406+(ROUND(F406*G406/B406,0)*B406)))</f>
        <v>#DIV/0!</v>
      </c>
      <c r="H407" s="29" t="e">
        <f>IF(C406=1,IF(D406="BUY",G407-(ROUND(F406*H406/B406,0)*B406),G407+(ROUND(F406*H406/B406,0)*B406)),IF(D406="BUY",G407+(ROUND(F406*H406/B406,0)*B406),G407-(ROUND(F406*H406/B406,0)*B406)))</f>
        <v>#DIV/0!</v>
      </c>
      <c r="I407" s="29" t="e">
        <f>IF(D406="BUY",G407+(ROUND(F406*I406/(B406*100),0)*B406),G407-(ROUND(F406*I406/(B406*100),0)*B406))</f>
        <v>#DIV/0!</v>
      </c>
      <c r="J407" s="29" t="e">
        <f>IF(C406=1,IF(D406="BUY",E406+(ROUND(F406*J406/B406,0)*B406),E406-(ROUND(F406*J406/B406,0)*B406)),IF(D406="BUY",E406-(ROUND(F406*J406/B406,0)*B406),E406+(ROUND(F406*J406/B406,0)*B406)))</f>
        <v>#DIV/0!</v>
      </c>
      <c r="K407" s="29" t="e">
        <f>IF(C406=1,IF(D406="BUY",E406-(ROUND(F406*K406/B406,0)*B406),E406+(ROUND(F406*K406/B406,0)*B406)),IF(D406="BUY",E406-(ROUND(F406*K406/B406,0)*B406),E406+(ROUND(F406*K406/B406,0)*B406)))</f>
        <v>#DIV/0!</v>
      </c>
      <c r="L407" s="29" t="e">
        <f t="shared" ref="L407" si="605">IF(D407="BUY",I407+(R407*B407),I407-(R407*B407))</f>
        <v>#DIV/0!</v>
      </c>
      <c r="M407" s="29" t="e">
        <f>IF(D406="BUY",E406+(ROUND(F406*M406/B406,0)*B406),E406-(ROUND(F406*M406/B406,0)*B406))</f>
        <v>#DIV/0!</v>
      </c>
      <c r="N407" s="29" t="e">
        <f>IF(D406="BUY",E406-(ROUND(F406*N406/B406,0)*B406),E406+(ROUND(F406*N406/B406,0)*B406))</f>
        <v>#DIV/0!</v>
      </c>
      <c r="O407" s="31" t="e">
        <f>IF(D407="BUY",N407-VLOOKUP(A407,Symbols!A$1:D$1000,4,FALSE),N407+VLOOKUP(A407,Symbols!A$1:D$1000,4,FALSE))</f>
        <v>#DIV/0!</v>
      </c>
      <c r="P407" s="29">
        <f>P406</f>
        <v>0</v>
      </c>
      <c r="Q407" s="29">
        <f>Q406</f>
        <v>0</v>
      </c>
      <c r="R407" s="29">
        <f>R406</f>
        <v>0</v>
      </c>
      <c r="S407" s="29">
        <f>S406</f>
        <v>0</v>
      </c>
      <c r="T407" s="29">
        <f>T406</f>
        <v>0</v>
      </c>
      <c r="U407" s="29" t="e">
        <f>DATEDIF(DATE(1970,1,1),U406,"D")*86400</f>
        <v>#NUM!</v>
      </c>
      <c r="V407" s="29">
        <f>HOUR(V406)*3600+MINUTE(V406)*60+SECOND(V406)</f>
        <v>0</v>
      </c>
      <c r="W407" s="29" t="e">
        <f>DATEDIF(DATE(1970,1,1),W406,"D")*86400</f>
        <v>#NUM!</v>
      </c>
      <c r="X407" s="29">
        <f>HOUR(X406)*3600+MINUTE(X406)*60+SECOND(X406)</f>
        <v>0</v>
      </c>
      <c r="Y407" s="31">
        <f>(Y406*B407)</f>
        <v>0</v>
      </c>
      <c r="Z407" s="29">
        <f>Z406</f>
        <v>0</v>
      </c>
      <c r="AA407" s="29" t="e">
        <f>DATEDIF(DATE(1970,1,1),AA406,"D")*86400</f>
        <v>#NUM!</v>
      </c>
      <c r="AB407" s="29">
        <f>HOUR(AB406)*3600+MINUTE(AB406)*60+SECOND(AB406)</f>
        <v>0</v>
      </c>
      <c r="AC407" s="29">
        <f>AC406</f>
        <v>0</v>
      </c>
    </row>
    <row r="408" spans="1:29">
      <c r="A408" s="23">
        <f>Parameters!A205</f>
        <v>0</v>
      </c>
      <c r="B408" s="23">
        <f>Parameters!B205</f>
        <v>0</v>
      </c>
      <c r="C408" s="24">
        <f>Parameters!C205</f>
        <v>0</v>
      </c>
      <c r="D408" s="24">
        <f>Parameters!D205</f>
        <v>0</v>
      </c>
      <c r="E408" s="23">
        <f>Parameters!E205</f>
        <v>0</v>
      </c>
      <c r="F408" s="23">
        <f>Parameters!F205</f>
        <v>0</v>
      </c>
      <c r="G408" s="25">
        <f>Parameters!G205</f>
        <v>0</v>
      </c>
      <c r="H408" s="25">
        <f>Parameters!H205</f>
        <v>0</v>
      </c>
      <c r="I408" s="25">
        <f>Parameters!I205</f>
        <v>0</v>
      </c>
      <c r="J408" s="25">
        <f>Parameters!J205</f>
        <v>0</v>
      </c>
      <c r="K408" s="25">
        <f>Parameters!K205</f>
        <v>0</v>
      </c>
      <c r="L408" s="26" t="e">
        <f t="shared" ref="L408" si="606">L409</f>
        <v>#DIV/0!</v>
      </c>
      <c r="M408" s="25">
        <f>Parameters!L205</f>
        <v>0</v>
      </c>
      <c r="N408" s="25">
        <f>Parameters!M205</f>
        <v>0</v>
      </c>
      <c r="O408" s="26" t="e">
        <f t="shared" ref="O408" si="607">O409</f>
        <v>#DIV/0!</v>
      </c>
      <c r="P408" s="23">
        <f>Parameters!N205</f>
        <v>0</v>
      </c>
      <c r="Q408" s="23">
        <f>Parameters!O205</f>
        <v>0</v>
      </c>
      <c r="R408" s="23">
        <f>Parameters!P205</f>
        <v>0</v>
      </c>
      <c r="S408" s="23">
        <f>Parameters!Q205</f>
        <v>0</v>
      </c>
      <c r="T408" s="23">
        <f>Parameters!R205</f>
        <v>0</v>
      </c>
      <c r="U408" s="27">
        <f>Parameters!S205</f>
        <v>0</v>
      </c>
      <c r="V408" s="28">
        <f>Parameters!T205</f>
        <v>0</v>
      </c>
      <c r="W408" s="27">
        <f>Parameters!U205</f>
        <v>0</v>
      </c>
      <c r="X408" s="28">
        <f>Parameters!V205</f>
        <v>0</v>
      </c>
      <c r="Y408" s="25">
        <f>Parameters!W205</f>
        <v>0</v>
      </c>
      <c r="Z408" s="23">
        <f>Parameters!X205</f>
        <v>0</v>
      </c>
      <c r="AA408" s="27">
        <f>Parameters!Y205</f>
        <v>0</v>
      </c>
      <c r="AB408" s="28">
        <f>Parameters!Z205</f>
        <v>0</v>
      </c>
      <c r="AC408" s="23">
        <f>Parameters!AA205</f>
        <v>0</v>
      </c>
    </row>
    <row r="409" spans="1:29">
      <c r="A409" s="29" t="str">
        <f>UPPER(A408)</f>
        <v>0</v>
      </c>
      <c r="B409" s="29">
        <f>B408</f>
        <v>0</v>
      </c>
      <c r="C409" s="30">
        <f>C408</f>
        <v>0</v>
      </c>
      <c r="D409" s="30">
        <f>D408</f>
        <v>0</v>
      </c>
      <c r="E409" s="29">
        <f>E408</f>
        <v>0</v>
      </c>
      <c r="F409" s="29">
        <f>F408</f>
        <v>0</v>
      </c>
      <c r="G409" s="29" t="e">
        <f>IF(C408=1,IF(D408="BUY",E408+(ROUND(F408*G408/B408,0)*B408),E408-(ROUND(F408*G408/B408,0)*B408)),IF(D408="BUY",E408-(ROUND(F408*G408/B408,0)*B408),E408+(ROUND(F408*G408/B408,0)*B408)))</f>
        <v>#DIV/0!</v>
      </c>
      <c r="H409" s="29" t="e">
        <f>IF(C408=1,IF(D408="BUY",G409-(ROUND(F408*H408/B408,0)*B408),G409+(ROUND(F408*H408/B408,0)*B408)),IF(D408="BUY",G409+(ROUND(F408*H408/B408,0)*B408),G409-(ROUND(F408*H408/B408,0)*B408)))</f>
        <v>#DIV/0!</v>
      </c>
      <c r="I409" s="29" t="e">
        <f>IF(D408="BUY",G409+(ROUND(F408*I408/(B408*100),0)*B408),G409-(ROUND(F408*I408/(B408*100),0)*B408))</f>
        <v>#DIV/0!</v>
      </c>
      <c r="J409" s="29" t="e">
        <f>IF(C408=1,IF(D408="BUY",E408+(ROUND(F408*J408/B408,0)*B408),E408-(ROUND(F408*J408/B408,0)*B408)),IF(D408="BUY",E408-(ROUND(F408*J408/B408,0)*B408),E408+(ROUND(F408*J408/B408,0)*B408)))</f>
        <v>#DIV/0!</v>
      </c>
      <c r="K409" s="29" t="e">
        <f>IF(C408=1,IF(D408="BUY",E408-(ROUND(F408*K408/B408,0)*B408),E408+(ROUND(F408*K408/B408,0)*B408)),IF(D408="BUY",E408-(ROUND(F408*K408/B408,0)*B408),E408+(ROUND(F408*K408/B408,0)*B408)))</f>
        <v>#DIV/0!</v>
      </c>
      <c r="L409" s="29" t="e">
        <f t="shared" ref="L409" si="608">IF(D409="BUY",I409+(R409*B409),I409-(R409*B409))</f>
        <v>#DIV/0!</v>
      </c>
      <c r="M409" s="29" t="e">
        <f>IF(D408="BUY",E408+(ROUND(F408*M408/B408,0)*B408),E408-(ROUND(F408*M408/B408,0)*B408))</f>
        <v>#DIV/0!</v>
      </c>
      <c r="N409" s="29" t="e">
        <f>IF(D408="BUY",E408-(ROUND(F408*N408/B408,0)*B408),E408+(ROUND(F408*N408/B408,0)*B408))</f>
        <v>#DIV/0!</v>
      </c>
      <c r="O409" s="31" t="e">
        <f>IF(D409="BUY",N409-VLOOKUP(A409,Symbols!A$1:D$1000,4,FALSE),N409+VLOOKUP(A409,Symbols!A$1:D$1000,4,FALSE))</f>
        <v>#DIV/0!</v>
      </c>
      <c r="P409" s="29">
        <f>P408</f>
        <v>0</v>
      </c>
      <c r="Q409" s="29">
        <f>Q408</f>
        <v>0</v>
      </c>
      <c r="R409" s="29">
        <f>R408</f>
        <v>0</v>
      </c>
      <c r="S409" s="29">
        <f>S408</f>
        <v>0</v>
      </c>
      <c r="T409" s="29">
        <f>T408</f>
        <v>0</v>
      </c>
      <c r="U409" s="29" t="e">
        <f>DATEDIF(DATE(1970,1,1),U408,"D")*86400</f>
        <v>#NUM!</v>
      </c>
      <c r="V409" s="29">
        <f>HOUR(V408)*3600+MINUTE(V408)*60+SECOND(V408)</f>
        <v>0</v>
      </c>
      <c r="W409" s="29" t="e">
        <f>DATEDIF(DATE(1970,1,1),W408,"D")*86400</f>
        <v>#NUM!</v>
      </c>
      <c r="X409" s="29">
        <f>HOUR(X408)*3600+MINUTE(X408)*60+SECOND(X408)</f>
        <v>0</v>
      </c>
      <c r="Y409" s="31">
        <f>(Y408*B409)</f>
        <v>0</v>
      </c>
      <c r="Z409" s="29">
        <f>Z408</f>
        <v>0</v>
      </c>
      <c r="AA409" s="29" t="e">
        <f>DATEDIF(DATE(1970,1,1),AA408,"D")*86400</f>
        <v>#NUM!</v>
      </c>
      <c r="AB409" s="29">
        <f>HOUR(AB408)*3600+MINUTE(AB408)*60+SECOND(AB408)</f>
        <v>0</v>
      </c>
      <c r="AC409" s="29">
        <f>AC408</f>
        <v>0</v>
      </c>
    </row>
    <row r="410" spans="1:29">
      <c r="A410" s="23">
        <f>Parameters!A206</f>
        <v>0</v>
      </c>
      <c r="B410" s="23">
        <f>Parameters!B206</f>
        <v>0</v>
      </c>
      <c r="C410" s="24">
        <f>Parameters!C206</f>
        <v>0</v>
      </c>
      <c r="D410" s="24">
        <f>Parameters!D206</f>
        <v>0</v>
      </c>
      <c r="E410" s="23">
        <f>Parameters!E206</f>
        <v>0</v>
      </c>
      <c r="F410" s="23">
        <f>Parameters!F206</f>
        <v>0</v>
      </c>
      <c r="G410" s="25">
        <f>Parameters!G206</f>
        <v>0</v>
      </c>
      <c r="H410" s="25">
        <f>Parameters!H206</f>
        <v>0</v>
      </c>
      <c r="I410" s="25">
        <f>Parameters!I206</f>
        <v>0</v>
      </c>
      <c r="J410" s="25">
        <f>Parameters!J206</f>
        <v>0</v>
      </c>
      <c r="K410" s="25">
        <f>Parameters!K206</f>
        <v>0</v>
      </c>
      <c r="L410" s="26" t="e">
        <f t="shared" ref="L410" si="609">L411</f>
        <v>#DIV/0!</v>
      </c>
      <c r="M410" s="25">
        <f>Parameters!L206</f>
        <v>0</v>
      </c>
      <c r="N410" s="25">
        <f>Parameters!M206</f>
        <v>0</v>
      </c>
      <c r="O410" s="26" t="e">
        <f t="shared" ref="O410" si="610">O411</f>
        <v>#DIV/0!</v>
      </c>
      <c r="P410" s="23">
        <f>Parameters!N206</f>
        <v>0</v>
      </c>
      <c r="Q410" s="23">
        <f>Parameters!O206</f>
        <v>0</v>
      </c>
      <c r="R410" s="23">
        <f>Parameters!P206</f>
        <v>0</v>
      </c>
      <c r="S410" s="23">
        <f>Parameters!Q206</f>
        <v>0</v>
      </c>
      <c r="T410" s="23">
        <f>Parameters!R206</f>
        <v>0</v>
      </c>
      <c r="U410" s="27">
        <f>Parameters!S206</f>
        <v>0</v>
      </c>
      <c r="V410" s="28">
        <f>Parameters!T206</f>
        <v>0</v>
      </c>
      <c r="W410" s="27">
        <f>Parameters!U206</f>
        <v>0</v>
      </c>
      <c r="X410" s="28">
        <f>Parameters!V206</f>
        <v>0</v>
      </c>
      <c r="Y410" s="25">
        <f>Parameters!W206</f>
        <v>0</v>
      </c>
      <c r="Z410" s="23">
        <f>Parameters!X206</f>
        <v>0</v>
      </c>
      <c r="AA410" s="27">
        <f>Parameters!Y206</f>
        <v>0</v>
      </c>
      <c r="AB410" s="28">
        <f>Parameters!Z206</f>
        <v>0</v>
      </c>
      <c r="AC410" s="23">
        <f>Parameters!AA206</f>
        <v>0</v>
      </c>
    </row>
    <row r="411" spans="1:29">
      <c r="A411" s="29" t="str">
        <f>UPPER(A410)</f>
        <v>0</v>
      </c>
      <c r="B411" s="29">
        <f>B410</f>
        <v>0</v>
      </c>
      <c r="C411" s="30">
        <f>C410</f>
        <v>0</v>
      </c>
      <c r="D411" s="30">
        <f>D410</f>
        <v>0</v>
      </c>
      <c r="E411" s="29">
        <f>E410</f>
        <v>0</v>
      </c>
      <c r="F411" s="29">
        <f>F410</f>
        <v>0</v>
      </c>
      <c r="G411" s="29" t="e">
        <f>IF(C410=1,IF(D410="BUY",E410+(ROUND(F410*G410/B410,0)*B410),E410-(ROUND(F410*G410/B410,0)*B410)),IF(D410="BUY",E410-(ROUND(F410*G410/B410,0)*B410),E410+(ROUND(F410*G410/B410,0)*B410)))</f>
        <v>#DIV/0!</v>
      </c>
      <c r="H411" s="29" t="e">
        <f>IF(C410=1,IF(D410="BUY",G411-(ROUND(F410*H410/B410,0)*B410),G411+(ROUND(F410*H410/B410,0)*B410)),IF(D410="BUY",G411+(ROUND(F410*H410/B410,0)*B410),G411-(ROUND(F410*H410/B410,0)*B410)))</f>
        <v>#DIV/0!</v>
      </c>
      <c r="I411" s="29" t="e">
        <f>IF(D410="BUY",G411+(ROUND(F410*I410/(B410*100),0)*B410),G411-(ROUND(F410*I410/(B410*100),0)*B410))</f>
        <v>#DIV/0!</v>
      </c>
      <c r="J411" s="29" t="e">
        <f>IF(C410=1,IF(D410="BUY",E410+(ROUND(F410*J410/B410,0)*B410),E410-(ROUND(F410*J410/B410,0)*B410)),IF(D410="BUY",E410-(ROUND(F410*J410/B410,0)*B410),E410+(ROUND(F410*J410/B410,0)*B410)))</f>
        <v>#DIV/0!</v>
      </c>
      <c r="K411" s="29" t="e">
        <f>IF(C410=1,IF(D410="BUY",E410-(ROUND(F410*K410/B410,0)*B410),E410+(ROUND(F410*K410/B410,0)*B410)),IF(D410="BUY",E410-(ROUND(F410*K410/B410,0)*B410),E410+(ROUND(F410*K410/B410,0)*B410)))</f>
        <v>#DIV/0!</v>
      </c>
      <c r="L411" s="29" t="e">
        <f t="shared" ref="L411" si="611">IF(D411="BUY",I411+(R411*B411),I411-(R411*B411))</f>
        <v>#DIV/0!</v>
      </c>
      <c r="M411" s="29" t="e">
        <f>IF(D410="BUY",E410+(ROUND(F410*M410/B410,0)*B410),E410-(ROUND(F410*M410/B410,0)*B410))</f>
        <v>#DIV/0!</v>
      </c>
      <c r="N411" s="29" t="e">
        <f>IF(D410="BUY",E410-(ROUND(F410*N410/B410,0)*B410),E410+(ROUND(F410*N410/B410,0)*B410))</f>
        <v>#DIV/0!</v>
      </c>
      <c r="O411" s="31" t="e">
        <f>IF(D411="BUY",N411-VLOOKUP(A411,Symbols!A$1:D$1000,4,FALSE),N411+VLOOKUP(A411,Symbols!A$1:D$1000,4,FALSE))</f>
        <v>#DIV/0!</v>
      </c>
      <c r="P411" s="29">
        <f>P410</f>
        <v>0</v>
      </c>
      <c r="Q411" s="29">
        <f>Q410</f>
        <v>0</v>
      </c>
      <c r="R411" s="29">
        <f>R410</f>
        <v>0</v>
      </c>
      <c r="S411" s="29">
        <f>S410</f>
        <v>0</v>
      </c>
      <c r="T411" s="29">
        <f>T410</f>
        <v>0</v>
      </c>
      <c r="U411" s="29" t="e">
        <f>DATEDIF(DATE(1970,1,1),U410,"D")*86400</f>
        <v>#NUM!</v>
      </c>
      <c r="V411" s="29">
        <f>HOUR(V410)*3600+MINUTE(V410)*60+SECOND(V410)</f>
        <v>0</v>
      </c>
      <c r="W411" s="29" t="e">
        <f>DATEDIF(DATE(1970,1,1),W410,"D")*86400</f>
        <v>#NUM!</v>
      </c>
      <c r="X411" s="29">
        <f>HOUR(X410)*3600+MINUTE(X410)*60+SECOND(X410)</f>
        <v>0</v>
      </c>
      <c r="Y411" s="31">
        <f>(Y410*B411)</f>
        <v>0</v>
      </c>
      <c r="Z411" s="29">
        <f>Z410</f>
        <v>0</v>
      </c>
      <c r="AA411" s="29" t="e">
        <f>DATEDIF(DATE(1970,1,1),AA410,"D")*86400</f>
        <v>#NUM!</v>
      </c>
      <c r="AB411" s="29">
        <f>HOUR(AB410)*3600+MINUTE(AB410)*60+SECOND(AB410)</f>
        <v>0</v>
      </c>
      <c r="AC411" s="29">
        <f>AC410</f>
        <v>0</v>
      </c>
    </row>
    <row r="412" spans="1:29">
      <c r="A412" s="23">
        <f>Parameters!A207</f>
        <v>0</v>
      </c>
      <c r="B412" s="23">
        <f>Parameters!B207</f>
        <v>0</v>
      </c>
      <c r="C412" s="24">
        <f>Parameters!C207</f>
        <v>0</v>
      </c>
      <c r="D412" s="24">
        <f>Parameters!D207</f>
        <v>0</v>
      </c>
      <c r="E412" s="23">
        <f>Parameters!E207</f>
        <v>0</v>
      </c>
      <c r="F412" s="23">
        <f>Parameters!F207</f>
        <v>0</v>
      </c>
      <c r="G412" s="25">
        <f>Parameters!G207</f>
        <v>0</v>
      </c>
      <c r="H412" s="25">
        <f>Parameters!H207</f>
        <v>0</v>
      </c>
      <c r="I412" s="25">
        <f>Parameters!I207</f>
        <v>0</v>
      </c>
      <c r="J412" s="25">
        <f>Parameters!J207</f>
        <v>0</v>
      </c>
      <c r="K412" s="25">
        <f>Parameters!K207</f>
        <v>0</v>
      </c>
      <c r="L412" s="26" t="e">
        <f t="shared" ref="L412" si="612">L413</f>
        <v>#DIV/0!</v>
      </c>
      <c r="M412" s="25">
        <f>Parameters!L207</f>
        <v>0</v>
      </c>
      <c r="N412" s="25">
        <f>Parameters!M207</f>
        <v>0</v>
      </c>
      <c r="O412" s="26" t="e">
        <f t="shared" ref="O412" si="613">O413</f>
        <v>#DIV/0!</v>
      </c>
      <c r="P412" s="23">
        <f>Parameters!N207</f>
        <v>0</v>
      </c>
      <c r="Q412" s="23">
        <f>Parameters!O207</f>
        <v>0</v>
      </c>
      <c r="R412" s="23">
        <f>Parameters!P207</f>
        <v>0</v>
      </c>
      <c r="S412" s="23">
        <f>Parameters!Q207</f>
        <v>0</v>
      </c>
      <c r="T412" s="23">
        <f>Parameters!R207</f>
        <v>0</v>
      </c>
      <c r="U412" s="27">
        <f>Parameters!S207</f>
        <v>0</v>
      </c>
      <c r="V412" s="28">
        <f>Parameters!T207</f>
        <v>0</v>
      </c>
      <c r="W412" s="27">
        <f>Parameters!U207</f>
        <v>0</v>
      </c>
      <c r="X412" s="28">
        <f>Parameters!V207</f>
        <v>0</v>
      </c>
      <c r="Y412" s="25">
        <f>Parameters!W207</f>
        <v>0</v>
      </c>
      <c r="Z412" s="23">
        <f>Parameters!X207</f>
        <v>0</v>
      </c>
      <c r="AA412" s="27">
        <f>Parameters!Y207</f>
        <v>0</v>
      </c>
      <c r="AB412" s="28">
        <f>Parameters!Z207</f>
        <v>0</v>
      </c>
      <c r="AC412" s="23">
        <f>Parameters!AA207</f>
        <v>0</v>
      </c>
    </row>
    <row r="413" spans="1:29">
      <c r="A413" s="29" t="str">
        <f>UPPER(A412)</f>
        <v>0</v>
      </c>
      <c r="B413" s="29">
        <f>B412</f>
        <v>0</v>
      </c>
      <c r="C413" s="30">
        <f>C412</f>
        <v>0</v>
      </c>
      <c r="D413" s="30">
        <f>D412</f>
        <v>0</v>
      </c>
      <c r="E413" s="29">
        <f>E412</f>
        <v>0</v>
      </c>
      <c r="F413" s="29">
        <f>F412</f>
        <v>0</v>
      </c>
      <c r="G413" s="29" t="e">
        <f>IF(C412=1,IF(D412="BUY",E412+(ROUND(F412*G412/B412,0)*B412),E412-(ROUND(F412*G412/B412,0)*B412)),IF(D412="BUY",E412-(ROUND(F412*G412/B412,0)*B412),E412+(ROUND(F412*G412/B412,0)*B412)))</f>
        <v>#DIV/0!</v>
      </c>
      <c r="H413" s="29" t="e">
        <f>IF(C412=1,IF(D412="BUY",G413-(ROUND(F412*H412/B412,0)*B412),G413+(ROUND(F412*H412/B412,0)*B412)),IF(D412="BUY",G413+(ROUND(F412*H412/B412,0)*B412),G413-(ROUND(F412*H412/B412,0)*B412)))</f>
        <v>#DIV/0!</v>
      </c>
      <c r="I413" s="29" t="e">
        <f>IF(D412="BUY",G413+(ROUND(F412*I412/(B412*100),0)*B412),G413-(ROUND(F412*I412/(B412*100),0)*B412))</f>
        <v>#DIV/0!</v>
      </c>
      <c r="J413" s="29" t="e">
        <f>IF(C412=1,IF(D412="BUY",E412+(ROUND(F412*J412/B412,0)*B412),E412-(ROUND(F412*J412/B412,0)*B412)),IF(D412="BUY",E412-(ROUND(F412*J412/B412,0)*B412),E412+(ROUND(F412*J412/B412,0)*B412)))</f>
        <v>#DIV/0!</v>
      </c>
      <c r="K413" s="29" t="e">
        <f>IF(C412=1,IF(D412="BUY",E412-(ROUND(F412*K412/B412,0)*B412),E412+(ROUND(F412*K412/B412,0)*B412)),IF(D412="BUY",E412-(ROUND(F412*K412/B412,0)*B412),E412+(ROUND(F412*K412/B412,0)*B412)))</f>
        <v>#DIV/0!</v>
      </c>
      <c r="L413" s="29" t="e">
        <f t="shared" ref="L413" si="614">IF(D413="BUY",I413+(R413*B413),I413-(R413*B413))</f>
        <v>#DIV/0!</v>
      </c>
      <c r="M413" s="29" t="e">
        <f>IF(D412="BUY",E412+(ROUND(F412*M412/B412,0)*B412),E412-(ROUND(F412*M412/B412,0)*B412))</f>
        <v>#DIV/0!</v>
      </c>
      <c r="N413" s="29" t="e">
        <f>IF(D412="BUY",E412-(ROUND(F412*N412/B412,0)*B412),E412+(ROUND(F412*N412/B412,0)*B412))</f>
        <v>#DIV/0!</v>
      </c>
      <c r="O413" s="31" t="e">
        <f>IF(D413="BUY",N413-VLOOKUP(A413,Symbols!A$1:D$1000,4,FALSE),N413+VLOOKUP(A413,Symbols!A$1:D$1000,4,FALSE))</f>
        <v>#DIV/0!</v>
      </c>
      <c r="P413" s="29">
        <f>P412</f>
        <v>0</v>
      </c>
      <c r="Q413" s="29">
        <f>Q412</f>
        <v>0</v>
      </c>
      <c r="R413" s="29">
        <f>R412</f>
        <v>0</v>
      </c>
      <c r="S413" s="29">
        <f>S412</f>
        <v>0</v>
      </c>
      <c r="T413" s="29">
        <f>T412</f>
        <v>0</v>
      </c>
      <c r="U413" s="29" t="e">
        <f>DATEDIF(DATE(1970,1,1),U412,"D")*86400</f>
        <v>#NUM!</v>
      </c>
      <c r="V413" s="29">
        <f>HOUR(V412)*3600+MINUTE(V412)*60+SECOND(V412)</f>
        <v>0</v>
      </c>
      <c r="W413" s="29" t="e">
        <f>DATEDIF(DATE(1970,1,1),W412,"D")*86400</f>
        <v>#NUM!</v>
      </c>
      <c r="X413" s="29">
        <f>HOUR(X412)*3600+MINUTE(X412)*60+SECOND(X412)</f>
        <v>0</v>
      </c>
      <c r="Y413" s="31">
        <f>(Y412*B413)</f>
        <v>0</v>
      </c>
      <c r="Z413" s="29">
        <f>Z412</f>
        <v>0</v>
      </c>
      <c r="AA413" s="29" t="e">
        <f>DATEDIF(DATE(1970,1,1),AA412,"D")*86400</f>
        <v>#NUM!</v>
      </c>
      <c r="AB413" s="29">
        <f>HOUR(AB412)*3600+MINUTE(AB412)*60+SECOND(AB412)</f>
        <v>0</v>
      </c>
      <c r="AC413" s="29">
        <f>AC412</f>
        <v>0</v>
      </c>
    </row>
    <row r="414" spans="1:29">
      <c r="A414" s="23">
        <f>Parameters!A208</f>
        <v>0</v>
      </c>
      <c r="B414" s="23">
        <f>Parameters!B208</f>
        <v>0</v>
      </c>
      <c r="C414" s="24">
        <f>Parameters!C208</f>
        <v>0</v>
      </c>
      <c r="D414" s="24">
        <f>Parameters!D208</f>
        <v>0</v>
      </c>
      <c r="E414" s="23">
        <f>Parameters!E208</f>
        <v>0</v>
      </c>
      <c r="F414" s="23">
        <f>Parameters!F208</f>
        <v>0</v>
      </c>
      <c r="G414" s="25">
        <f>Parameters!G208</f>
        <v>0</v>
      </c>
      <c r="H414" s="25">
        <f>Parameters!H208</f>
        <v>0</v>
      </c>
      <c r="I414" s="25">
        <f>Parameters!I208</f>
        <v>0</v>
      </c>
      <c r="J414" s="25">
        <f>Parameters!J208</f>
        <v>0</v>
      </c>
      <c r="K414" s="25">
        <f>Parameters!K208</f>
        <v>0</v>
      </c>
      <c r="L414" s="26" t="e">
        <f t="shared" ref="L414" si="615">L415</f>
        <v>#DIV/0!</v>
      </c>
      <c r="M414" s="25">
        <f>Parameters!L208</f>
        <v>0</v>
      </c>
      <c r="N414" s="25">
        <f>Parameters!M208</f>
        <v>0</v>
      </c>
      <c r="O414" s="26" t="e">
        <f t="shared" ref="O414" si="616">O415</f>
        <v>#DIV/0!</v>
      </c>
      <c r="P414" s="23">
        <f>Parameters!N208</f>
        <v>0</v>
      </c>
      <c r="Q414" s="23">
        <f>Parameters!O208</f>
        <v>0</v>
      </c>
      <c r="R414" s="23">
        <f>Parameters!P208</f>
        <v>0</v>
      </c>
      <c r="S414" s="23">
        <f>Parameters!Q208</f>
        <v>0</v>
      </c>
      <c r="T414" s="23">
        <f>Parameters!R208</f>
        <v>0</v>
      </c>
      <c r="U414" s="27">
        <f>Parameters!S208</f>
        <v>0</v>
      </c>
      <c r="V414" s="28">
        <f>Parameters!T208</f>
        <v>0</v>
      </c>
      <c r="W414" s="27">
        <f>Parameters!U208</f>
        <v>0</v>
      </c>
      <c r="X414" s="28">
        <f>Parameters!V208</f>
        <v>0</v>
      </c>
      <c r="Y414" s="25">
        <f>Parameters!W208</f>
        <v>0</v>
      </c>
      <c r="Z414" s="23">
        <f>Parameters!X208</f>
        <v>0</v>
      </c>
      <c r="AA414" s="27">
        <f>Parameters!Y208</f>
        <v>0</v>
      </c>
      <c r="AB414" s="28">
        <f>Parameters!Z208</f>
        <v>0</v>
      </c>
      <c r="AC414" s="23">
        <f>Parameters!AA208</f>
        <v>0</v>
      </c>
    </row>
    <row r="415" spans="1:29">
      <c r="A415" s="29" t="str">
        <f>UPPER(A414)</f>
        <v>0</v>
      </c>
      <c r="B415" s="29">
        <f>B414</f>
        <v>0</v>
      </c>
      <c r="C415" s="30">
        <f>C414</f>
        <v>0</v>
      </c>
      <c r="D415" s="30">
        <f>D414</f>
        <v>0</v>
      </c>
      <c r="E415" s="29">
        <f>E414</f>
        <v>0</v>
      </c>
      <c r="F415" s="29">
        <f>F414</f>
        <v>0</v>
      </c>
      <c r="G415" s="29" t="e">
        <f>IF(C414=1,IF(D414="BUY",E414+(ROUND(F414*G414/B414,0)*B414),E414-(ROUND(F414*G414/B414,0)*B414)),IF(D414="BUY",E414-(ROUND(F414*G414/B414,0)*B414),E414+(ROUND(F414*G414/B414,0)*B414)))</f>
        <v>#DIV/0!</v>
      </c>
      <c r="H415" s="29" t="e">
        <f>IF(C414=1,IF(D414="BUY",G415-(ROUND(F414*H414/B414,0)*B414),G415+(ROUND(F414*H414/B414,0)*B414)),IF(D414="BUY",G415+(ROUND(F414*H414/B414,0)*B414),G415-(ROUND(F414*H414/B414,0)*B414)))</f>
        <v>#DIV/0!</v>
      </c>
      <c r="I415" s="29" t="e">
        <f>IF(D414="BUY",G415+(ROUND(F414*I414/(B414*100),0)*B414),G415-(ROUND(F414*I414/(B414*100),0)*B414))</f>
        <v>#DIV/0!</v>
      </c>
      <c r="J415" s="29" t="e">
        <f>IF(C414=1,IF(D414="BUY",E414+(ROUND(F414*J414/B414,0)*B414),E414-(ROUND(F414*J414/B414,0)*B414)),IF(D414="BUY",E414-(ROUND(F414*J414/B414,0)*B414),E414+(ROUND(F414*J414/B414,0)*B414)))</f>
        <v>#DIV/0!</v>
      </c>
      <c r="K415" s="29" t="e">
        <f>IF(C414=1,IF(D414="BUY",E414-(ROUND(F414*K414/B414,0)*B414),E414+(ROUND(F414*K414/B414,0)*B414)),IF(D414="BUY",E414-(ROUND(F414*K414/B414,0)*B414),E414+(ROUND(F414*K414/B414,0)*B414)))</f>
        <v>#DIV/0!</v>
      </c>
      <c r="L415" s="29" t="e">
        <f t="shared" ref="L415" si="617">IF(D415="BUY",I415+(R415*B415),I415-(R415*B415))</f>
        <v>#DIV/0!</v>
      </c>
      <c r="M415" s="29" t="e">
        <f>IF(D414="BUY",E414+(ROUND(F414*M414/B414,0)*B414),E414-(ROUND(F414*M414/B414,0)*B414))</f>
        <v>#DIV/0!</v>
      </c>
      <c r="N415" s="29" t="e">
        <f>IF(D414="BUY",E414-(ROUND(F414*N414/B414,0)*B414),E414+(ROUND(F414*N414/B414,0)*B414))</f>
        <v>#DIV/0!</v>
      </c>
      <c r="O415" s="31" t="e">
        <f>IF(D415="BUY",N415-VLOOKUP(A415,Symbols!A$1:D$1000,4,FALSE),N415+VLOOKUP(A415,Symbols!A$1:D$1000,4,FALSE))</f>
        <v>#DIV/0!</v>
      </c>
      <c r="P415" s="29">
        <f>P414</f>
        <v>0</v>
      </c>
      <c r="Q415" s="29">
        <f>Q414</f>
        <v>0</v>
      </c>
      <c r="R415" s="29">
        <f>R414</f>
        <v>0</v>
      </c>
      <c r="S415" s="29">
        <f>S414</f>
        <v>0</v>
      </c>
      <c r="T415" s="29">
        <f>T414</f>
        <v>0</v>
      </c>
      <c r="U415" s="29" t="e">
        <f>DATEDIF(DATE(1970,1,1),U414,"D")*86400</f>
        <v>#NUM!</v>
      </c>
      <c r="V415" s="29">
        <f>HOUR(V414)*3600+MINUTE(V414)*60+SECOND(V414)</f>
        <v>0</v>
      </c>
      <c r="W415" s="29" t="e">
        <f>DATEDIF(DATE(1970,1,1),W414,"D")*86400</f>
        <v>#NUM!</v>
      </c>
      <c r="X415" s="29">
        <f>HOUR(X414)*3600+MINUTE(X414)*60+SECOND(X414)</f>
        <v>0</v>
      </c>
      <c r="Y415" s="31">
        <f>(Y414*B415)</f>
        <v>0</v>
      </c>
      <c r="Z415" s="29">
        <f>Z414</f>
        <v>0</v>
      </c>
      <c r="AA415" s="29" t="e">
        <f>DATEDIF(DATE(1970,1,1),AA414,"D")*86400</f>
        <v>#NUM!</v>
      </c>
      <c r="AB415" s="29">
        <f>HOUR(AB414)*3600+MINUTE(AB414)*60+SECOND(AB414)</f>
        <v>0</v>
      </c>
      <c r="AC415" s="29">
        <f>AC414</f>
        <v>0</v>
      </c>
    </row>
    <row r="416" spans="1:29">
      <c r="A416" s="23">
        <f>Parameters!A209</f>
        <v>0</v>
      </c>
      <c r="B416" s="23">
        <f>Parameters!B209</f>
        <v>0</v>
      </c>
      <c r="C416" s="24">
        <f>Parameters!C209</f>
        <v>0</v>
      </c>
      <c r="D416" s="24">
        <f>Parameters!D209</f>
        <v>0</v>
      </c>
      <c r="E416" s="23">
        <f>Parameters!E209</f>
        <v>0</v>
      </c>
      <c r="F416" s="23">
        <f>Parameters!F209</f>
        <v>0</v>
      </c>
      <c r="G416" s="25">
        <f>Parameters!G209</f>
        <v>0</v>
      </c>
      <c r="H416" s="25">
        <f>Parameters!H209</f>
        <v>0</v>
      </c>
      <c r="I416" s="25">
        <f>Parameters!I209</f>
        <v>0</v>
      </c>
      <c r="J416" s="25">
        <f>Parameters!J209</f>
        <v>0</v>
      </c>
      <c r="K416" s="25">
        <f>Parameters!K209</f>
        <v>0</v>
      </c>
      <c r="L416" s="26" t="e">
        <f t="shared" ref="L416" si="618">L417</f>
        <v>#DIV/0!</v>
      </c>
      <c r="M416" s="25">
        <f>Parameters!L209</f>
        <v>0</v>
      </c>
      <c r="N416" s="25">
        <f>Parameters!M209</f>
        <v>0</v>
      </c>
      <c r="O416" s="26" t="e">
        <f t="shared" ref="O416" si="619">O417</f>
        <v>#DIV/0!</v>
      </c>
      <c r="P416" s="23">
        <f>Parameters!N209</f>
        <v>0</v>
      </c>
      <c r="Q416" s="23">
        <f>Parameters!O209</f>
        <v>0</v>
      </c>
      <c r="R416" s="23">
        <f>Parameters!P209</f>
        <v>0</v>
      </c>
      <c r="S416" s="23">
        <f>Parameters!Q209</f>
        <v>0</v>
      </c>
      <c r="T416" s="23">
        <f>Parameters!R209</f>
        <v>0</v>
      </c>
      <c r="U416" s="27">
        <f>Parameters!S209</f>
        <v>0</v>
      </c>
      <c r="V416" s="28">
        <f>Parameters!T209</f>
        <v>0</v>
      </c>
      <c r="W416" s="27">
        <f>Parameters!U209</f>
        <v>0</v>
      </c>
      <c r="X416" s="28">
        <f>Parameters!V209</f>
        <v>0</v>
      </c>
      <c r="Y416" s="25">
        <f>Parameters!W209</f>
        <v>0</v>
      </c>
      <c r="Z416" s="23">
        <f>Parameters!X209</f>
        <v>0</v>
      </c>
      <c r="AA416" s="27">
        <f>Parameters!Y209</f>
        <v>0</v>
      </c>
      <c r="AB416" s="28">
        <f>Parameters!Z209</f>
        <v>0</v>
      </c>
      <c r="AC416" s="23">
        <f>Parameters!AA209</f>
        <v>0</v>
      </c>
    </row>
    <row r="417" spans="1:29">
      <c r="A417" s="29" t="str">
        <f>UPPER(A416)</f>
        <v>0</v>
      </c>
      <c r="B417" s="29">
        <f>B416</f>
        <v>0</v>
      </c>
      <c r="C417" s="30">
        <f>C416</f>
        <v>0</v>
      </c>
      <c r="D417" s="30">
        <f>D416</f>
        <v>0</v>
      </c>
      <c r="E417" s="29">
        <f>E416</f>
        <v>0</v>
      </c>
      <c r="F417" s="29">
        <f>F416</f>
        <v>0</v>
      </c>
      <c r="G417" s="29" t="e">
        <f>IF(C416=1,IF(D416="BUY",E416+(ROUND(F416*G416/B416,0)*B416),E416-(ROUND(F416*G416/B416,0)*B416)),IF(D416="BUY",E416-(ROUND(F416*G416/B416,0)*B416),E416+(ROUND(F416*G416/B416,0)*B416)))</f>
        <v>#DIV/0!</v>
      </c>
      <c r="H417" s="29" t="e">
        <f>IF(C416=1,IF(D416="BUY",G417-(ROUND(F416*H416/B416,0)*B416),G417+(ROUND(F416*H416/B416,0)*B416)),IF(D416="BUY",G417+(ROUND(F416*H416/B416,0)*B416),G417-(ROUND(F416*H416/B416,0)*B416)))</f>
        <v>#DIV/0!</v>
      </c>
      <c r="I417" s="29" t="e">
        <f>IF(D416="BUY",G417+(ROUND(F416*I416/(B416*100),0)*B416),G417-(ROUND(F416*I416/(B416*100),0)*B416))</f>
        <v>#DIV/0!</v>
      </c>
      <c r="J417" s="29" t="e">
        <f>IF(C416=1,IF(D416="BUY",E416+(ROUND(F416*J416/B416,0)*B416),E416-(ROUND(F416*J416/B416,0)*B416)),IF(D416="BUY",E416-(ROUND(F416*J416/B416,0)*B416),E416+(ROUND(F416*J416/B416,0)*B416)))</f>
        <v>#DIV/0!</v>
      </c>
      <c r="K417" s="29" t="e">
        <f>IF(C416=1,IF(D416="BUY",E416-(ROUND(F416*K416/B416,0)*B416),E416+(ROUND(F416*K416/B416,0)*B416)),IF(D416="BUY",E416-(ROUND(F416*K416/B416,0)*B416),E416+(ROUND(F416*K416/B416,0)*B416)))</f>
        <v>#DIV/0!</v>
      </c>
      <c r="L417" s="29" t="e">
        <f t="shared" ref="L417" si="620">IF(D417="BUY",I417+(R417*B417),I417-(R417*B417))</f>
        <v>#DIV/0!</v>
      </c>
      <c r="M417" s="29" t="e">
        <f>IF(D416="BUY",E416+(ROUND(F416*M416/B416,0)*B416),E416-(ROUND(F416*M416/B416,0)*B416))</f>
        <v>#DIV/0!</v>
      </c>
      <c r="N417" s="29" t="e">
        <f>IF(D416="BUY",E416-(ROUND(F416*N416/B416,0)*B416),E416+(ROUND(F416*N416/B416,0)*B416))</f>
        <v>#DIV/0!</v>
      </c>
      <c r="O417" s="31" t="e">
        <f>IF(D417="BUY",N417-VLOOKUP(A417,Symbols!A$1:D$1000,4,FALSE),N417+VLOOKUP(A417,Symbols!A$1:D$1000,4,FALSE))</f>
        <v>#DIV/0!</v>
      </c>
      <c r="P417" s="29">
        <f>P416</f>
        <v>0</v>
      </c>
      <c r="Q417" s="29">
        <f>Q416</f>
        <v>0</v>
      </c>
      <c r="R417" s="29">
        <f>R416</f>
        <v>0</v>
      </c>
      <c r="S417" s="29">
        <f>S416</f>
        <v>0</v>
      </c>
      <c r="T417" s="29">
        <f>T416</f>
        <v>0</v>
      </c>
      <c r="U417" s="29" t="e">
        <f>DATEDIF(DATE(1970,1,1),U416,"D")*86400</f>
        <v>#NUM!</v>
      </c>
      <c r="V417" s="29">
        <f>HOUR(V416)*3600+MINUTE(V416)*60+SECOND(V416)</f>
        <v>0</v>
      </c>
      <c r="W417" s="29" t="e">
        <f>DATEDIF(DATE(1970,1,1),W416,"D")*86400</f>
        <v>#NUM!</v>
      </c>
      <c r="X417" s="29">
        <f>HOUR(X416)*3600+MINUTE(X416)*60+SECOND(X416)</f>
        <v>0</v>
      </c>
      <c r="Y417" s="31">
        <f>(Y416*B417)</f>
        <v>0</v>
      </c>
      <c r="Z417" s="29">
        <f>Z416</f>
        <v>0</v>
      </c>
      <c r="AA417" s="29" t="e">
        <f>DATEDIF(DATE(1970,1,1),AA416,"D")*86400</f>
        <v>#NUM!</v>
      </c>
      <c r="AB417" s="29">
        <f>HOUR(AB416)*3600+MINUTE(AB416)*60+SECOND(AB416)</f>
        <v>0</v>
      </c>
      <c r="AC417" s="29">
        <f>AC416</f>
        <v>0</v>
      </c>
    </row>
    <row r="418" spans="1:29">
      <c r="A418" s="23">
        <f>Parameters!A210</f>
        <v>0</v>
      </c>
      <c r="B418" s="23">
        <f>Parameters!B210</f>
        <v>0</v>
      </c>
      <c r="C418" s="24">
        <f>Parameters!C210</f>
        <v>0</v>
      </c>
      <c r="D418" s="24">
        <f>Parameters!D210</f>
        <v>0</v>
      </c>
      <c r="E418" s="23">
        <f>Parameters!E210</f>
        <v>0</v>
      </c>
      <c r="F418" s="23">
        <f>Parameters!F210</f>
        <v>0</v>
      </c>
      <c r="G418" s="25">
        <f>Parameters!G210</f>
        <v>0</v>
      </c>
      <c r="H418" s="25">
        <f>Parameters!H210</f>
        <v>0</v>
      </c>
      <c r="I418" s="25">
        <f>Parameters!I210</f>
        <v>0</v>
      </c>
      <c r="J418" s="25">
        <f>Parameters!J210</f>
        <v>0</v>
      </c>
      <c r="K418" s="25">
        <f>Parameters!K210</f>
        <v>0</v>
      </c>
      <c r="L418" s="26" t="e">
        <f t="shared" ref="L418" si="621">L419</f>
        <v>#DIV/0!</v>
      </c>
      <c r="M418" s="25">
        <f>Parameters!L210</f>
        <v>0</v>
      </c>
      <c r="N418" s="25">
        <f>Parameters!M210</f>
        <v>0</v>
      </c>
      <c r="O418" s="26" t="e">
        <f t="shared" ref="O418" si="622">O419</f>
        <v>#DIV/0!</v>
      </c>
      <c r="P418" s="23">
        <f>Parameters!N210</f>
        <v>0</v>
      </c>
      <c r="Q418" s="23">
        <f>Parameters!O210</f>
        <v>0</v>
      </c>
      <c r="R418" s="23">
        <f>Parameters!P210</f>
        <v>0</v>
      </c>
      <c r="S418" s="23">
        <f>Parameters!Q210</f>
        <v>0</v>
      </c>
      <c r="T418" s="23">
        <f>Parameters!R210</f>
        <v>0</v>
      </c>
      <c r="U418" s="27">
        <f>Parameters!S210</f>
        <v>0</v>
      </c>
      <c r="V418" s="28">
        <f>Parameters!T210</f>
        <v>0</v>
      </c>
      <c r="W418" s="27">
        <f>Parameters!U210</f>
        <v>0</v>
      </c>
      <c r="X418" s="28">
        <f>Parameters!V210</f>
        <v>0</v>
      </c>
      <c r="Y418" s="25">
        <f>Parameters!W210</f>
        <v>0</v>
      </c>
      <c r="Z418" s="23">
        <f>Parameters!X210</f>
        <v>0</v>
      </c>
      <c r="AA418" s="27">
        <f>Parameters!Y210</f>
        <v>0</v>
      </c>
      <c r="AB418" s="28">
        <f>Parameters!Z210</f>
        <v>0</v>
      </c>
      <c r="AC418" s="23">
        <f>Parameters!AA210</f>
        <v>0</v>
      </c>
    </row>
    <row r="419" spans="1:29">
      <c r="A419" s="29" t="str">
        <f>UPPER(A418)</f>
        <v>0</v>
      </c>
      <c r="B419" s="29">
        <f>B418</f>
        <v>0</v>
      </c>
      <c r="C419" s="30">
        <f>C418</f>
        <v>0</v>
      </c>
      <c r="D419" s="30">
        <f>D418</f>
        <v>0</v>
      </c>
      <c r="E419" s="29">
        <f>E418</f>
        <v>0</v>
      </c>
      <c r="F419" s="29">
        <f>F418</f>
        <v>0</v>
      </c>
      <c r="G419" s="29" t="e">
        <f>IF(C418=1,IF(D418="BUY",E418+(ROUND(F418*G418/B418,0)*B418),E418-(ROUND(F418*G418/B418,0)*B418)),IF(D418="BUY",E418-(ROUND(F418*G418/B418,0)*B418),E418+(ROUND(F418*G418/B418,0)*B418)))</f>
        <v>#DIV/0!</v>
      </c>
      <c r="H419" s="29" t="e">
        <f>IF(C418=1,IF(D418="BUY",G419-(ROUND(F418*H418/B418,0)*B418),G419+(ROUND(F418*H418/B418,0)*B418)),IF(D418="BUY",G419+(ROUND(F418*H418/B418,0)*B418),G419-(ROUND(F418*H418/B418,0)*B418)))</f>
        <v>#DIV/0!</v>
      </c>
      <c r="I419" s="29" t="e">
        <f>IF(D418="BUY",G419+(ROUND(F418*I418/(B418*100),0)*B418),G419-(ROUND(F418*I418/(B418*100),0)*B418))</f>
        <v>#DIV/0!</v>
      </c>
      <c r="J419" s="29" t="e">
        <f>IF(C418=1,IF(D418="BUY",E418+(ROUND(F418*J418/B418,0)*B418),E418-(ROUND(F418*J418/B418,0)*B418)),IF(D418="BUY",E418-(ROUND(F418*J418/B418,0)*B418),E418+(ROUND(F418*J418/B418,0)*B418)))</f>
        <v>#DIV/0!</v>
      </c>
      <c r="K419" s="29" t="e">
        <f>IF(C418=1,IF(D418="BUY",E418-(ROUND(F418*K418/B418,0)*B418),E418+(ROUND(F418*K418/B418,0)*B418)),IF(D418="BUY",E418-(ROUND(F418*K418/B418,0)*B418),E418+(ROUND(F418*K418/B418,0)*B418)))</f>
        <v>#DIV/0!</v>
      </c>
      <c r="L419" s="29" t="e">
        <f t="shared" ref="L419" si="623">IF(D419="BUY",I419+(R419*B419),I419-(R419*B419))</f>
        <v>#DIV/0!</v>
      </c>
      <c r="M419" s="29" t="e">
        <f>IF(D418="BUY",E418+(ROUND(F418*M418/B418,0)*B418),E418-(ROUND(F418*M418/B418,0)*B418))</f>
        <v>#DIV/0!</v>
      </c>
      <c r="N419" s="29" t="e">
        <f>IF(D418="BUY",E418-(ROUND(F418*N418/B418,0)*B418),E418+(ROUND(F418*N418/B418,0)*B418))</f>
        <v>#DIV/0!</v>
      </c>
      <c r="O419" s="31" t="e">
        <f>IF(D419="BUY",N419-VLOOKUP(A419,Symbols!A$1:D$1000,4,FALSE),N419+VLOOKUP(A419,Symbols!A$1:D$1000,4,FALSE))</f>
        <v>#DIV/0!</v>
      </c>
      <c r="P419" s="29">
        <f>P418</f>
        <v>0</v>
      </c>
      <c r="Q419" s="29">
        <f>Q418</f>
        <v>0</v>
      </c>
      <c r="R419" s="29">
        <f>R418</f>
        <v>0</v>
      </c>
      <c r="S419" s="29">
        <f>S418</f>
        <v>0</v>
      </c>
      <c r="T419" s="29">
        <f>T418</f>
        <v>0</v>
      </c>
      <c r="U419" s="29" t="e">
        <f>DATEDIF(DATE(1970,1,1),U418,"D")*86400</f>
        <v>#NUM!</v>
      </c>
      <c r="V419" s="29">
        <f>HOUR(V418)*3600+MINUTE(V418)*60+SECOND(V418)</f>
        <v>0</v>
      </c>
      <c r="W419" s="29" t="e">
        <f>DATEDIF(DATE(1970,1,1),W418,"D")*86400</f>
        <v>#NUM!</v>
      </c>
      <c r="X419" s="29">
        <f>HOUR(X418)*3600+MINUTE(X418)*60+SECOND(X418)</f>
        <v>0</v>
      </c>
      <c r="Y419" s="31">
        <f>(Y418*B419)</f>
        <v>0</v>
      </c>
      <c r="Z419" s="29">
        <f>Z418</f>
        <v>0</v>
      </c>
      <c r="AA419" s="29" t="e">
        <f>DATEDIF(DATE(1970,1,1),AA418,"D")*86400</f>
        <v>#NUM!</v>
      </c>
      <c r="AB419" s="29">
        <f>HOUR(AB418)*3600+MINUTE(AB418)*60+SECOND(AB418)</f>
        <v>0</v>
      </c>
      <c r="AC419" s="29">
        <f>AC418</f>
        <v>0</v>
      </c>
    </row>
    <row r="420" spans="1:29">
      <c r="A420" s="23">
        <f>Parameters!A211</f>
        <v>0</v>
      </c>
      <c r="B420" s="23">
        <f>Parameters!B211</f>
        <v>0</v>
      </c>
      <c r="C420" s="24">
        <f>Parameters!C211</f>
        <v>0</v>
      </c>
      <c r="D420" s="24">
        <f>Parameters!D211</f>
        <v>0</v>
      </c>
      <c r="E420" s="23">
        <f>Parameters!E211</f>
        <v>0</v>
      </c>
      <c r="F420" s="23">
        <f>Parameters!F211</f>
        <v>0</v>
      </c>
      <c r="G420" s="25">
        <f>Parameters!G211</f>
        <v>0</v>
      </c>
      <c r="H420" s="25">
        <f>Parameters!H211</f>
        <v>0</v>
      </c>
      <c r="I420" s="25">
        <f>Parameters!I211</f>
        <v>0</v>
      </c>
      <c r="J420" s="25">
        <f>Parameters!J211</f>
        <v>0</v>
      </c>
      <c r="K420" s="25">
        <f>Parameters!K211</f>
        <v>0</v>
      </c>
      <c r="L420" s="26" t="e">
        <f t="shared" ref="L420" si="624">L421</f>
        <v>#DIV/0!</v>
      </c>
      <c r="M420" s="25">
        <f>Parameters!L211</f>
        <v>0</v>
      </c>
      <c r="N420" s="25">
        <f>Parameters!M211</f>
        <v>0</v>
      </c>
      <c r="O420" s="26" t="e">
        <f t="shared" ref="O420" si="625">O421</f>
        <v>#DIV/0!</v>
      </c>
      <c r="P420" s="23">
        <f>Parameters!N211</f>
        <v>0</v>
      </c>
      <c r="Q420" s="23">
        <f>Parameters!O211</f>
        <v>0</v>
      </c>
      <c r="R420" s="23">
        <f>Parameters!P211</f>
        <v>0</v>
      </c>
      <c r="S420" s="23">
        <f>Parameters!Q211</f>
        <v>0</v>
      </c>
      <c r="T420" s="23">
        <f>Parameters!R211</f>
        <v>0</v>
      </c>
      <c r="U420" s="27">
        <f>Parameters!S211</f>
        <v>0</v>
      </c>
      <c r="V420" s="28">
        <f>Parameters!T211</f>
        <v>0</v>
      </c>
      <c r="W420" s="27">
        <f>Parameters!U211</f>
        <v>0</v>
      </c>
      <c r="X420" s="28">
        <f>Parameters!V211</f>
        <v>0</v>
      </c>
      <c r="Y420" s="25">
        <f>Parameters!W211</f>
        <v>0</v>
      </c>
      <c r="Z420" s="23">
        <f>Parameters!X211</f>
        <v>0</v>
      </c>
      <c r="AA420" s="27">
        <f>Parameters!Y211</f>
        <v>0</v>
      </c>
      <c r="AB420" s="28">
        <f>Parameters!Z211</f>
        <v>0</v>
      </c>
      <c r="AC420" s="23">
        <f>Parameters!AA211</f>
        <v>0</v>
      </c>
    </row>
    <row r="421" spans="1:29">
      <c r="A421" s="29" t="str">
        <f>UPPER(A420)</f>
        <v>0</v>
      </c>
      <c r="B421" s="29">
        <f>B420</f>
        <v>0</v>
      </c>
      <c r="C421" s="30">
        <f>C420</f>
        <v>0</v>
      </c>
      <c r="D421" s="30">
        <f>D420</f>
        <v>0</v>
      </c>
      <c r="E421" s="29">
        <f>E420</f>
        <v>0</v>
      </c>
      <c r="F421" s="29">
        <f>F420</f>
        <v>0</v>
      </c>
      <c r="G421" s="29" t="e">
        <f>IF(C420=1,IF(D420="BUY",E420+(ROUND(F420*G420/B420,0)*B420),E420-(ROUND(F420*G420/B420,0)*B420)),IF(D420="BUY",E420-(ROUND(F420*G420/B420,0)*B420),E420+(ROUND(F420*G420/B420,0)*B420)))</f>
        <v>#DIV/0!</v>
      </c>
      <c r="H421" s="29" t="e">
        <f>IF(C420=1,IF(D420="BUY",G421-(ROUND(F420*H420/B420,0)*B420),G421+(ROUND(F420*H420/B420,0)*B420)),IF(D420="BUY",G421+(ROUND(F420*H420/B420,0)*B420),G421-(ROUND(F420*H420/B420,0)*B420)))</f>
        <v>#DIV/0!</v>
      </c>
      <c r="I421" s="29" t="e">
        <f>IF(D420="BUY",G421+(ROUND(F420*I420/(B420*100),0)*B420),G421-(ROUND(F420*I420/(B420*100),0)*B420))</f>
        <v>#DIV/0!</v>
      </c>
      <c r="J421" s="29" t="e">
        <f>IF(C420=1,IF(D420="BUY",E420+(ROUND(F420*J420/B420,0)*B420),E420-(ROUND(F420*J420/B420,0)*B420)),IF(D420="BUY",E420-(ROUND(F420*J420/B420,0)*B420),E420+(ROUND(F420*J420/B420,0)*B420)))</f>
        <v>#DIV/0!</v>
      </c>
      <c r="K421" s="29" t="e">
        <f>IF(C420=1,IF(D420="BUY",E420-(ROUND(F420*K420/B420,0)*B420),E420+(ROUND(F420*K420/B420,0)*B420)),IF(D420="BUY",E420-(ROUND(F420*K420/B420,0)*B420),E420+(ROUND(F420*K420/B420,0)*B420)))</f>
        <v>#DIV/0!</v>
      </c>
      <c r="L421" s="29" t="e">
        <f t="shared" ref="L421" si="626">IF(D421="BUY",I421+(R421*B421),I421-(R421*B421))</f>
        <v>#DIV/0!</v>
      </c>
      <c r="M421" s="29" t="e">
        <f>IF(D420="BUY",E420+(ROUND(F420*M420/B420,0)*B420),E420-(ROUND(F420*M420/B420,0)*B420))</f>
        <v>#DIV/0!</v>
      </c>
      <c r="N421" s="29" t="e">
        <f>IF(D420="BUY",E420-(ROUND(F420*N420/B420,0)*B420),E420+(ROUND(F420*N420/B420,0)*B420))</f>
        <v>#DIV/0!</v>
      </c>
      <c r="O421" s="31" t="e">
        <f>IF(D421="BUY",N421-VLOOKUP(A421,Symbols!A$1:D$1000,4,FALSE),N421+VLOOKUP(A421,Symbols!A$1:D$1000,4,FALSE))</f>
        <v>#DIV/0!</v>
      </c>
      <c r="P421" s="29">
        <f>P420</f>
        <v>0</v>
      </c>
      <c r="Q421" s="29">
        <f>Q420</f>
        <v>0</v>
      </c>
      <c r="R421" s="29">
        <f>R420</f>
        <v>0</v>
      </c>
      <c r="S421" s="29">
        <f>S420</f>
        <v>0</v>
      </c>
      <c r="T421" s="29">
        <f>T420</f>
        <v>0</v>
      </c>
      <c r="U421" s="29" t="e">
        <f>DATEDIF(DATE(1970,1,1),U420,"D")*86400</f>
        <v>#NUM!</v>
      </c>
      <c r="V421" s="29">
        <f>HOUR(V420)*3600+MINUTE(V420)*60+SECOND(V420)</f>
        <v>0</v>
      </c>
      <c r="W421" s="29" t="e">
        <f>DATEDIF(DATE(1970,1,1),W420,"D")*86400</f>
        <v>#NUM!</v>
      </c>
      <c r="X421" s="29">
        <f>HOUR(X420)*3600+MINUTE(X420)*60+SECOND(X420)</f>
        <v>0</v>
      </c>
      <c r="Y421" s="31">
        <f>(Y420*B421)</f>
        <v>0</v>
      </c>
      <c r="Z421" s="29">
        <f>Z420</f>
        <v>0</v>
      </c>
      <c r="AA421" s="29" t="e">
        <f>DATEDIF(DATE(1970,1,1),AA420,"D")*86400</f>
        <v>#NUM!</v>
      </c>
      <c r="AB421" s="29">
        <f>HOUR(AB420)*3600+MINUTE(AB420)*60+SECOND(AB420)</f>
        <v>0</v>
      </c>
      <c r="AC421" s="29">
        <f>AC420</f>
        <v>0</v>
      </c>
    </row>
    <row r="422" spans="1:29">
      <c r="A422" s="23">
        <f>Parameters!A212</f>
        <v>0</v>
      </c>
      <c r="B422" s="23">
        <f>Parameters!B212</f>
        <v>0</v>
      </c>
      <c r="C422" s="24">
        <f>Parameters!C212</f>
        <v>0</v>
      </c>
      <c r="D422" s="24">
        <f>Parameters!D212</f>
        <v>0</v>
      </c>
      <c r="E422" s="23">
        <f>Parameters!E212</f>
        <v>0</v>
      </c>
      <c r="F422" s="23">
        <f>Parameters!F212</f>
        <v>0</v>
      </c>
      <c r="G422" s="25">
        <f>Parameters!G212</f>
        <v>0</v>
      </c>
      <c r="H422" s="25">
        <f>Parameters!H212</f>
        <v>0</v>
      </c>
      <c r="I422" s="25">
        <f>Parameters!I212</f>
        <v>0</v>
      </c>
      <c r="J422" s="25">
        <f>Parameters!J212</f>
        <v>0</v>
      </c>
      <c r="K422" s="25">
        <f>Parameters!K212</f>
        <v>0</v>
      </c>
      <c r="L422" s="26" t="e">
        <f t="shared" ref="L422" si="627">L423</f>
        <v>#DIV/0!</v>
      </c>
      <c r="M422" s="25">
        <f>Parameters!L212</f>
        <v>0</v>
      </c>
      <c r="N422" s="25">
        <f>Parameters!M212</f>
        <v>0</v>
      </c>
      <c r="O422" s="26" t="e">
        <f t="shared" ref="O422" si="628">O423</f>
        <v>#DIV/0!</v>
      </c>
      <c r="P422" s="23">
        <f>Parameters!N212</f>
        <v>0</v>
      </c>
      <c r="Q422" s="23">
        <f>Parameters!O212</f>
        <v>0</v>
      </c>
      <c r="R422" s="23">
        <f>Parameters!P212</f>
        <v>0</v>
      </c>
      <c r="S422" s="23">
        <f>Parameters!Q212</f>
        <v>0</v>
      </c>
      <c r="T422" s="23">
        <f>Parameters!R212</f>
        <v>0</v>
      </c>
      <c r="U422" s="27">
        <f>Parameters!S212</f>
        <v>0</v>
      </c>
      <c r="V422" s="28">
        <f>Parameters!T212</f>
        <v>0</v>
      </c>
      <c r="W422" s="27">
        <f>Parameters!U212</f>
        <v>0</v>
      </c>
      <c r="X422" s="28">
        <f>Parameters!V212</f>
        <v>0</v>
      </c>
      <c r="Y422" s="25">
        <f>Parameters!W212</f>
        <v>0</v>
      </c>
      <c r="Z422" s="23">
        <f>Parameters!X212</f>
        <v>0</v>
      </c>
      <c r="AA422" s="27">
        <f>Parameters!Y212</f>
        <v>0</v>
      </c>
      <c r="AB422" s="28">
        <f>Parameters!Z212</f>
        <v>0</v>
      </c>
      <c r="AC422" s="23">
        <f>Parameters!AA212</f>
        <v>0</v>
      </c>
    </row>
    <row r="423" spans="1:29">
      <c r="A423" s="29" t="str">
        <f>UPPER(A422)</f>
        <v>0</v>
      </c>
      <c r="B423" s="29">
        <f>B422</f>
        <v>0</v>
      </c>
      <c r="C423" s="30">
        <f>C422</f>
        <v>0</v>
      </c>
      <c r="D423" s="30">
        <f>D422</f>
        <v>0</v>
      </c>
      <c r="E423" s="29">
        <f>E422</f>
        <v>0</v>
      </c>
      <c r="F423" s="29">
        <f>F422</f>
        <v>0</v>
      </c>
      <c r="G423" s="29" t="e">
        <f>IF(C422=1,IF(D422="BUY",E422+(ROUND(F422*G422/B422,0)*B422),E422-(ROUND(F422*G422/B422,0)*B422)),IF(D422="BUY",E422-(ROUND(F422*G422/B422,0)*B422),E422+(ROUND(F422*G422/B422,0)*B422)))</f>
        <v>#DIV/0!</v>
      </c>
      <c r="H423" s="29" t="e">
        <f>IF(C422=1,IF(D422="BUY",G423-(ROUND(F422*H422/B422,0)*B422),G423+(ROUND(F422*H422/B422,0)*B422)),IF(D422="BUY",G423+(ROUND(F422*H422/B422,0)*B422),G423-(ROUND(F422*H422/B422,0)*B422)))</f>
        <v>#DIV/0!</v>
      </c>
      <c r="I423" s="29" t="e">
        <f>IF(D422="BUY",G423+(ROUND(F422*I422/(B422*100),0)*B422),G423-(ROUND(F422*I422/(B422*100),0)*B422))</f>
        <v>#DIV/0!</v>
      </c>
      <c r="J423" s="29" t="e">
        <f>IF(C422=1,IF(D422="BUY",E422+(ROUND(F422*J422/B422,0)*B422),E422-(ROUND(F422*J422/B422,0)*B422)),IF(D422="BUY",E422-(ROUND(F422*J422/B422,0)*B422),E422+(ROUND(F422*J422/B422,0)*B422)))</f>
        <v>#DIV/0!</v>
      </c>
      <c r="K423" s="29" t="e">
        <f>IF(C422=1,IF(D422="BUY",E422-(ROUND(F422*K422/B422,0)*B422),E422+(ROUND(F422*K422/B422,0)*B422)),IF(D422="BUY",E422-(ROUND(F422*K422/B422,0)*B422),E422+(ROUND(F422*K422/B422,0)*B422)))</f>
        <v>#DIV/0!</v>
      </c>
      <c r="L423" s="29" t="e">
        <f t="shared" ref="L423" si="629">IF(D423="BUY",I423+(R423*B423),I423-(R423*B423))</f>
        <v>#DIV/0!</v>
      </c>
      <c r="M423" s="29" t="e">
        <f>IF(D422="BUY",E422+(ROUND(F422*M422/B422,0)*B422),E422-(ROUND(F422*M422/B422,0)*B422))</f>
        <v>#DIV/0!</v>
      </c>
      <c r="N423" s="29" t="e">
        <f>IF(D422="BUY",E422-(ROUND(F422*N422/B422,0)*B422),E422+(ROUND(F422*N422/B422,0)*B422))</f>
        <v>#DIV/0!</v>
      </c>
      <c r="O423" s="31" t="e">
        <f>IF(D423="BUY",N423-VLOOKUP(A423,Symbols!A$1:D$1000,4,FALSE),N423+VLOOKUP(A423,Symbols!A$1:D$1000,4,FALSE))</f>
        <v>#DIV/0!</v>
      </c>
      <c r="P423" s="29">
        <f>P422</f>
        <v>0</v>
      </c>
      <c r="Q423" s="29">
        <f>Q422</f>
        <v>0</v>
      </c>
      <c r="R423" s="29">
        <f>R422</f>
        <v>0</v>
      </c>
      <c r="S423" s="29">
        <f>S422</f>
        <v>0</v>
      </c>
      <c r="T423" s="29">
        <f>T422</f>
        <v>0</v>
      </c>
      <c r="U423" s="29" t="e">
        <f>DATEDIF(DATE(1970,1,1),U422,"D")*86400</f>
        <v>#NUM!</v>
      </c>
      <c r="V423" s="29">
        <f>HOUR(V422)*3600+MINUTE(V422)*60+SECOND(V422)</f>
        <v>0</v>
      </c>
      <c r="W423" s="29" t="e">
        <f>DATEDIF(DATE(1970,1,1),W422,"D")*86400</f>
        <v>#NUM!</v>
      </c>
      <c r="X423" s="29">
        <f>HOUR(X422)*3600+MINUTE(X422)*60+SECOND(X422)</f>
        <v>0</v>
      </c>
      <c r="Y423" s="31">
        <f>(Y422*B423)</f>
        <v>0</v>
      </c>
      <c r="Z423" s="29">
        <f>Z422</f>
        <v>0</v>
      </c>
      <c r="AA423" s="29" t="e">
        <f>DATEDIF(DATE(1970,1,1),AA422,"D")*86400</f>
        <v>#NUM!</v>
      </c>
      <c r="AB423" s="29">
        <f>HOUR(AB422)*3600+MINUTE(AB422)*60+SECOND(AB422)</f>
        <v>0</v>
      </c>
      <c r="AC423" s="29">
        <f>AC422</f>
        <v>0</v>
      </c>
    </row>
    <row r="424" spans="1:29">
      <c r="A424" s="23">
        <f>Parameters!A213</f>
        <v>0</v>
      </c>
      <c r="B424" s="23">
        <f>Parameters!B213</f>
        <v>0</v>
      </c>
      <c r="C424" s="24">
        <f>Parameters!C213</f>
        <v>0</v>
      </c>
      <c r="D424" s="24">
        <f>Parameters!D213</f>
        <v>0</v>
      </c>
      <c r="E424" s="23">
        <f>Parameters!E213</f>
        <v>0</v>
      </c>
      <c r="F424" s="23">
        <f>Parameters!F213</f>
        <v>0</v>
      </c>
      <c r="G424" s="25">
        <f>Parameters!G213</f>
        <v>0</v>
      </c>
      <c r="H424" s="25">
        <f>Parameters!H213</f>
        <v>0</v>
      </c>
      <c r="I424" s="25">
        <f>Parameters!I213</f>
        <v>0</v>
      </c>
      <c r="J424" s="25">
        <f>Parameters!J213</f>
        <v>0</v>
      </c>
      <c r="K424" s="25">
        <f>Parameters!K213</f>
        <v>0</v>
      </c>
      <c r="L424" s="26" t="e">
        <f t="shared" ref="L424" si="630">L425</f>
        <v>#DIV/0!</v>
      </c>
      <c r="M424" s="25">
        <f>Parameters!L213</f>
        <v>0</v>
      </c>
      <c r="N424" s="25">
        <f>Parameters!M213</f>
        <v>0</v>
      </c>
      <c r="O424" s="26" t="e">
        <f t="shared" ref="O424" si="631">O425</f>
        <v>#DIV/0!</v>
      </c>
      <c r="P424" s="23">
        <f>Parameters!N213</f>
        <v>0</v>
      </c>
      <c r="Q424" s="23">
        <f>Parameters!O213</f>
        <v>0</v>
      </c>
      <c r="R424" s="23">
        <f>Parameters!P213</f>
        <v>0</v>
      </c>
      <c r="S424" s="23">
        <f>Parameters!Q213</f>
        <v>0</v>
      </c>
      <c r="T424" s="23">
        <f>Parameters!R213</f>
        <v>0</v>
      </c>
      <c r="U424" s="27">
        <f>Parameters!S213</f>
        <v>0</v>
      </c>
      <c r="V424" s="28">
        <f>Parameters!T213</f>
        <v>0</v>
      </c>
      <c r="W424" s="27">
        <f>Parameters!U213</f>
        <v>0</v>
      </c>
      <c r="X424" s="28">
        <f>Parameters!V213</f>
        <v>0</v>
      </c>
      <c r="Y424" s="25">
        <f>Parameters!W213</f>
        <v>0</v>
      </c>
      <c r="Z424" s="23">
        <f>Parameters!X213</f>
        <v>0</v>
      </c>
      <c r="AA424" s="27">
        <f>Parameters!Y213</f>
        <v>0</v>
      </c>
      <c r="AB424" s="28">
        <f>Parameters!Z213</f>
        <v>0</v>
      </c>
      <c r="AC424" s="23">
        <f>Parameters!AA213</f>
        <v>0</v>
      </c>
    </row>
    <row r="425" spans="1:29">
      <c r="A425" s="29" t="str">
        <f>UPPER(A424)</f>
        <v>0</v>
      </c>
      <c r="B425" s="29">
        <f>B424</f>
        <v>0</v>
      </c>
      <c r="C425" s="30">
        <f>C424</f>
        <v>0</v>
      </c>
      <c r="D425" s="30">
        <f>D424</f>
        <v>0</v>
      </c>
      <c r="E425" s="29">
        <f>E424</f>
        <v>0</v>
      </c>
      <c r="F425" s="29">
        <f>F424</f>
        <v>0</v>
      </c>
      <c r="G425" s="29" t="e">
        <f>IF(C424=1,IF(D424="BUY",E424+(ROUND(F424*G424/B424,0)*B424),E424-(ROUND(F424*G424/B424,0)*B424)),IF(D424="BUY",E424-(ROUND(F424*G424/B424,0)*B424),E424+(ROUND(F424*G424/B424,0)*B424)))</f>
        <v>#DIV/0!</v>
      </c>
      <c r="H425" s="29" t="e">
        <f>IF(C424=1,IF(D424="BUY",G425-(ROUND(F424*H424/B424,0)*B424),G425+(ROUND(F424*H424/B424,0)*B424)),IF(D424="BUY",G425+(ROUND(F424*H424/B424,0)*B424),G425-(ROUND(F424*H424/B424,0)*B424)))</f>
        <v>#DIV/0!</v>
      </c>
      <c r="I425" s="29" t="e">
        <f>IF(D424="BUY",G425+(ROUND(F424*I424/(B424*100),0)*B424),G425-(ROUND(F424*I424/(B424*100),0)*B424))</f>
        <v>#DIV/0!</v>
      </c>
      <c r="J425" s="29" t="e">
        <f>IF(C424=1,IF(D424="BUY",E424+(ROUND(F424*J424/B424,0)*B424),E424-(ROUND(F424*J424/B424,0)*B424)),IF(D424="BUY",E424-(ROUND(F424*J424/B424,0)*B424),E424+(ROUND(F424*J424/B424,0)*B424)))</f>
        <v>#DIV/0!</v>
      </c>
      <c r="K425" s="29" t="e">
        <f>IF(C424=1,IF(D424="BUY",E424-(ROUND(F424*K424/B424,0)*B424),E424+(ROUND(F424*K424/B424,0)*B424)),IF(D424="BUY",E424-(ROUND(F424*K424/B424,0)*B424),E424+(ROUND(F424*K424/B424,0)*B424)))</f>
        <v>#DIV/0!</v>
      </c>
      <c r="L425" s="29" t="e">
        <f t="shared" ref="L425" si="632">IF(D425="BUY",I425+(R425*B425),I425-(R425*B425))</f>
        <v>#DIV/0!</v>
      </c>
      <c r="M425" s="29" t="e">
        <f>IF(D424="BUY",E424+(ROUND(F424*M424/B424,0)*B424),E424-(ROUND(F424*M424/B424,0)*B424))</f>
        <v>#DIV/0!</v>
      </c>
      <c r="N425" s="29" t="e">
        <f>IF(D424="BUY",E424-(ROUND(F424*N424/B424,0)*B424),E424+(ROUND(F424*N424/B424,0)*B424))</f>
        <v>#DIV/0!</v>
      </c>
      <c r="O425" s="31" t="e">
        <f>IF(D425="BUY",N425-VLOOKUP(A425,Symbols!A$1:D$1000,4,FALSE),N425+VLOOKUP(A425,Symbols!A$1:D$1000,4,FALSE))</f>
        <v>#DIV/0!</v>
      </c>
      <c r="P425" s="29">
        <f>P424</f>
        <v>0</v>
      </c>
      <c r="Q425" s="29">
        <f>Q424</f>
        <v>0</v>
      </c>
      <c r="R425" s="29">
        <f>R424</f>
        <v>0</v>
      </c>
      <c r="S425" s="29">
        <f>S424</f>
        <v>0</v>
      </c>
      <c r="T425" s="29">
        <f>T424</f>
        <v>0</v>
      </c>
      <c r="U425" s="29" t="e">
        <f>DATEDIF(DATE(1970,1,1),U424,"D")*86400</f>
        <v>#NUM!</v>
      </c>
      <c r="V425" s="29">
        <f>HOUR(V424)*3600+MINUTE(V424)*60+SECOND(V424)</f>
        <v>0</v>
      </c>
      <c r="W425" s="29" t="e">
        <f>DATEDIF(DATE(1970,1,1),W424,"D")*86400</f>
        <v>#NUM!</v>
      </c>
      <c r="X425" s="29">
        <f>HOUR(X424)*3600+MINUTE(X424)*60+SECOND(X424)</f>
        <v>0</v>
      </c>
      <c r="Y425" s="31">
        <f>(Y424*B425)</f>
        <v>0</v>
      </c>
      <c r="Z425" s="29">
        <f>Z424</f>
        <v>0</v>
      </c>
      <c r="AA425" s="29" t="e">
        <f>DATEDIF(DATE(1970,1,1),AA424,"D")*86400</f>
        <v>#NUM!</v>
      </c>
      <c r="AB425" s="29">
        <f>HOUR(AB424)*3600+MINUTE(AB424)*60+SECOND(AB424)</f>
        <v>0</v>
      </c>
      <c r="AC425" s="29">
        <f>AC424</f>
        <v>0</v>
      </c>
    </row>
    <row r="426" spans="1:29">
      <c r="A426" s="23">
        <f>Parameters!A214</f>
        <v>0</v>
      </c>
      <c r="B426" s="23">
        <f>Parameters!B214</f>
        <v>0</v>
      </c>
      <c r="C426" s="24">
        <f>Parameters!C214</f>
        <v>0</v>
      </c>
      <c r="D426" s="24">
        <f>Parameters!D214</f>
        <v>0</v>
      </c>
      <c r="E426" s="23">
        <f>Parameters!E214</f>
        <v>0</v>
      </c>
      <c r="F426" s="23">
        <f>Parameters!F214</f>
        <v>0</v>
      </c>
      <c r="G426" s="25">
        <f>Parameters!G214</f>
        <v>0</v>
      </c>
      <c r="H426" s="25">
        <f>Parameters!H214</f>
        <v>0</v>
      </c>
      <c r="I426" s="25">
        <f>Parameters!I214</f>
        <v>0</v>
      </c>
      <c r="J426" s="25">
        <f>Parameters!J214</f>
        <v>0</v>
      </c>
      <c r="K426" s="25">
        <f>Parameters!K214</f>
        <v>0</v>
      </c>
      <c r="L426" s="26" t="e">
        <f t="shared" ref="L426" si="633">L427</f>
        <v>#DIV/0!</v>
      </c>
      <c r="M426" s="25">
        <f>Parameters!L214</f>
        <v>0</v>
      </c>
      <c r="N426" s="25">
        <f>Parameters!M214</f>
        <v>0</v>
      </c>
      <c r="O426" s="26" t="e">
        <f t="shared" ref="O426" si="634">O427</f>
        <v>#DIV/0!</v>
      </c>
      <c r="P426" s="23">
        <f>Parameters!N214</f>
        <v>0</v>
      </c>
      <c r="Q426" s="23">
        <f>Parameters!O214</f>
        <v>0</v>
      </c>
      <c r="R426" s="23">
        <f>Parameters!P214</f>
        <v>0</v>
      </c>
      <c r="S426" s="23">
        <f>Parameters!Q214</f>
        <v>0</v>
      </c>
      <c r="T426" s="23">
        <f>Parameters!R214</f>
        <v>0</v>
      </c>
      <c r="U426" s="27">
        <f>Parameters!S214</f>
        <v>0</v>
      </c>
      <c r="V426" s="28">
        <f>Parameters!T214</f>
        <v>0</v>
      </c>
      <c r="W426" s="27">
        <f>Parameters!U214</f>
        <v>0</v>
      </c>
      <c r="X426" s="28">
        <f>Parameters!V214</f>
        <v>0</v>
      </c>
      <c r="Y426" s="25">
        <f>Parameters!W214</f>
        <v>0</v>
      </c>
      <c r="Z426" s="23">
        <f>Parameters!X214</f>
        <v>0</v>
      </c>
      <c r="AA426" s="27">
        <f>Parameters!Y214</f>
        <v>0</v>
      </c>
      <c r="AB426" s="28">
        <f>Parameters!Z214</f>
        <v>0</v>
      </c>
      <c r="AC426" s="23">
        <f>Parameters!AA214</f>
        <v>0</v>
      </c>
    </row>
    <row r="427" spans="1:29">
      <c r="A427" s="29" t="str">
        <f>UPPER(A426)</f>
        <v>0</v>
      </c>
      <c r="B427" s="29">
        <f>B426</f>
        <v>0</v>
      </c>
      <c r="C427" s="30">
        <f>C426</f>
        <v>0</v>
      </c>
      <c r="D427" s="30">
        <f>D426</f>
        <v>0</v>
      </c>
      <c r="E427" s="29">
        <f>E426</f>
        <v>0</v>
      </c>
      <c r="F427" s="29">
        <f>F426</f>
        <v>0</v>
      </c>
      <c r="G427" s="29" t="e">
        <f>IF(C426=1,IF(D426="BUY",E426+(ROUND(F426*G426/B426,0)*B426),E426-(ROUND(F426*G426/B426,0)*B426)),IF(D426="BUY",E426-(ROUND(F426*G426/B426,0)*B426),E426+(ROUND(F426*G426/B426,0)*B426)))</f>
        <v>#DIV/0!</v>
      </c>
      <c r="H427" s="29" t="e">
        <f>IF(C426=1,IF(D426="BUY",G427-(ROUND(F426*H426/B426,0)*B426),G427+(ROUND(F426*H426/B426,0)*B426)),IF(D426="BUY",G427+(ROUND(F426*H426/B426,0)*B426),G427-(ROUND(F426*H426/B426,0)*B426)))</f>
        <v>#DIV/0!</v>
      </c>
      <c r="I427" s="29" t="e">
        <f>IF(D426="BUY",G427+(ROUND(F426*I426/(B426*100),0)*B426),G427-(ROUND(F426*I426/(B426*100),0)*B426))</f>
        <v>#DIV/0!</v>
      </c>
      <c r="J427" s="29" t="e">
        <f>IF(C426=1,IF(D426="BUY",E426+(ROUND(F426*J426/B426,0)*B426),E426-(ROUND(F426*J426/B426,0)*B426)),IF(D426="BUY",E426-(ROUND(F426*J426/B426,0)*B426),E426+(ROUND(F426*J426/B426,0)*B426)))</f>
        <v>#DIV/0!</v>
      </c>
      <c r="K427" s="29" t="e">
        <f>IF(C426=1,IF(D426="BUY",E426-(ROUND(F426*K426/B426,0)*B426),E426+(ROUND(F426*K426/B426,0)*B426)),IF(D426="BUY",E426-(ROUND(F426*K426/B426,0)*B426),E426+(ROUND(F426*K426/B426,0)*B426)))</f>
        <v>#DIV/0!</v>
      </c>
      <c r="L427" s="29" t="e">
        <f t="shared" ref="L427" si="635">IF(D427="BUY",I427+(R427*B427),I427-(R427*B427))</f>
        <v>#DIV/0!</v>
      </c>
      <c r="M427" s="29" t="e">
        <f>IF(D426="BUY",E426+(ROUND(F426*M426/B426,0)*B426),E426-(ROUND(F426*M426/B426,0)*B426))</f>
        <v>#DIV/0!</v>
      </c>
      <c r="N427" s="29" t="e">
        <f>IF(D426="BUY",E426-(ROUND(F426*N426/B426,0)*B426),E426+(ROUND(F426*N426/B426,0)*B426))</f>
        <v>#DIV/0!</v>
      </c>
      <c r="O427" s="31" t="e">
        <f>IF(D427="BUY",N427-VLOOKUP(A427,Symbols!A$1:D$1000,4,FALSE),N427+VLOOKUP(A427,Symbols!A$1:D$1000,4,FALSE))</f>
        <v>#DIV/0!</v>
      </c>
      <c r="P427" s="29">
        <f>P426</f>
        <v>0</v>
      </c>
      <c r="Q427" s="29">
        <f>Q426</f>
        <v>0</v>
      </c>
      <c r="R427" s="29">
        <f>R426</f>
        <v>0</v>
      </c>
      <c r="S427" s="29">
        <f>S426</f>
        <v>0</v>
      </c>
      <c r="T427" s="29">
        <f>T426</f>
        <v>0</v>
      </c>
      <c r="U427" s="29" t="e">
        <f>DATEDIF(DATE(1970,1,1),U426,"D")*86400</f>
        <v>#NUM!</v>
      </c>
      <c r="V427" s="29">
        <f>HOUR(V426)*3600+MINUTE(V426)*60+SECOND(V426)</f>
        <v>0</v>
      </c>
      <c r="W427" s="29" t="e">
        <f>DATEDIF(DATE(1970,1,1),W426,"D")*86400</f>
        <v>#NUM!</v>
      </c>
      <c r="X427" s="29">
        <f>HOUR(X426)*3600+MINUTE(X426)*60+SECOND(X426)</f>
        <v>0</v>
      </c>
      <c r="Y427" s="31">
        <f>(Y426*B427)</f>
        <v>0</v>
      </c>
      <c r="Z427" s="29">
        <f>Z426</f>
        <v>0</v>
      </c>
      <c r="AA427" s="29" t="e">
        <f>DATEDIF(DATE(1970,1,1),AA426,"D")*86400</f>
        <v>#NUM!</v>
      </c>
      <c r="AB427" s="29">
        <f>HOUR(AB426)*3600+MINUTE(AB426)*60+SECOND(AB426)</f>
        <v>0</v>
      </c>
      <c r="AC427" s="29">
        <f>AC426</f>
        <v>0</v>
      </c>
    </row>
    <row r="428" spans="1:29">
      <c r="A428" s="23">
        <f>Parameters!A215</f>
        <v>0</v>
      </c>
      <c r="B428" s="23">
        <f>Parameters!B215</f>
        <v>0</v>
      </c>
      <c r="C428" s="24">
        <f>Parameters!C215</f>
        <v>0</v>
      </c>
      <c r="D428" s="24">
        <f>Parameters!D215</f>
        <v>0</v>
      </c>
      <c r="E428" s="23">
        <f>Parameters!E215</f>
        <v>0</v>
      </c>
      <c r="F428" s="23">
        <f>Parameters!F215</f>
        <v>0</v>
      </c>
      <c r="G428" s="25">
        <f>Parameters!G215</f>
        <v>0</v>
      </c>
      <c r="H428" s="25">
        <f>Parameters!H215</f>
        <v>0</v>
      </c>
      <c r="I428" s="25">
        <f>Parameters!I215</f>
        <v>0</v>
      </c>
      <c r="J428" s="25">
        <f>Parameters!J215</f>
        <v>0</v>
      </c>
      <c r="K428" s="25">
        <f>Parameters!K215</f>
        <v>0</v>
      </c>
      <c r="L428" s="26" t="e">
        <f t="shared" ref="L428" si="636">L429</f>
        <v>#DIV/0!</v>
      </c>
      <c r="M428" s="25">
        <f>Parameters!L215</f>
        <v>0</v>
      </c>
      <c r="N428" s="25">
        <f>Parameters!M215</f>
        <v>0</v>
      </c>
      <c r="O428" s="26" t="e">
        <f t="shared" ref="O428" si="637">O429</f>
        <v>#DIV/0!</v>
      </c>
      <c r="P428" s="23">
        <f>Parameters!N215</f>
        <v>0</v>
      </c>
      <c r="Q428" s="23">
        <f>Parameters!O215</f>
        <v>0</v>
      </c>
      <c r="R428" s="23">
        <f>Parameters!P215</f>
        <v>0</v>
      </c>
      <c r="S428" s="23">
        <f>Parameters!Q215</f>
        <v>0</v>
      </c>
      <c r="T428" s="23">
        <f>Parameters!R215</f>
        <v>0</v>
      </c>
      <c r="U428" s="27">
        <f>Parameters!S215</f>
        <v>0</v>
      </c>
      <c r="V428" s="28">
        <f>Parameters!T215</f>
        <v>0</v>
      </c>
      <c r="W428" s="27">
        <f>Parameters!U215</f>
        <v>0</v>
      </c>
      <c r="X428" s="28">
        <f>Parameters!V215</f>
        <v>0</v>
      </c>
      <c r="Y428" s="25">
        <f>Parameters!W215</f>
        <v>0</v>
      </c>
      <c r="Z428" s="23">
        <f>Parameters!X215</f>
        <v>0</v>
      </c>
      <c r="AA428" s="27">
        <f>Parameters!Y215</f>
        <v>0</v>
      </c>
      <c r="AB428" s="28">
        <f>Parameters!Z215</f>
        <v>0</v>
      </c>
      <c r="AC428" s="23">
        <f>Parameters!AA215</f>
        <v>0</v>
      </c>
    </row>
    <row r="429" spans="1:29">
      <c r="A429" s="29" t="str">
        <f>UPPER(A428)</f>
        <v>0</v>
      </c>
      <c r="B429" s="29">
        <f>B428</f>
        <v>0</v>
      </c>
      <c r="C429" s="30">
        <f>C428</f>
        <v>0</v>
      </c>
      <c r="D429" s="30">
        <f>D428</f>
        <v>0</v>
      </c>
      <c r="E429" s="29">
        <f>E428</f>
        <v>0</v>
      </c>
      <c r="F429" s="29">
        <f>F428</f>
        <v>0</v>
      </c>
      <c r="G429" s="29" t="e">
        <f>IF(C428=1,IF(D428="BUY",E428+(ROUND(F428*G428/B428,0)*B428),E428-(ROUND(F428*G428/B428,0)*B428)),IF(D428="BUY",E428-(ROUND(F428*G428/B428,0)*B428),E428+(ROUND(F428*G428/B428,0)*B428)))</f>
        <v>#DIV/0!</v>
      </c>
      <c r="H429" s="29" t="e">
        <f>IF(C428=1,IF(D428="BUY",G429-(ROUND(F428*H428/B428,0)*B428),G429+(ROUND(F428*H428/B428,0)*B428)),IF(D428="BUY",G429+(ROUND(F428*H428/B428,0)*B428),G429-(ROUND(F428*H428/B428,0)*B428)))</f>
        <v>#DIV/0!</v>
      </c>
      <c r="I429" s="29" t="e">
        <f>IF(D428="BUY",G429+(ROUND(F428*I428/(B428*100),0)*B428),G429-(ROUND(F428*I428/(B428*100),0)*B428))</f>
        <v>#DIV/0!</v>
      </c>
      <c r="J429" s="29" t="e">
        <f>IF(C428=1,IF(D428="BUY",E428+(ROUND(F428*J428/B428,0)*B428),E428-(ROUND(F428*J428/B428,0)*B428)),IF(D428="BUY",E428-(ROUND(F428*J428/B428,0)*B428),E428+(ROUND(F428*J428/B428,0)*B428)))</f>
        <v>#DIV/0!</v>
      </c>
      <c r="K429" s="29" t="e">
        <f>IF(C428=1,IF(D428="BUY",E428-(ROUND(F428*K428/B428,0)*B428),E428+(ROUND(F428*K428/B428,0)*B428)),IF(D428="BUY",E428-(ROUND(F428*K428/B428,0)*B428),E428+(ROUND(F428*K428/B428,0)*B428)))</f>
        <v>#DIV/0!</v>
      </c>
      <c r="L429" s="29" t="e">
        <f t="shared" ref="L429" si="638">IF(D429="BUY",I429+(R429*B429),I429-(R429*B429))</f>
        <v>#DIV/0!</v>
      </c>
      <c r="M429" s="29" t="e">
        <f>IF(D428="BUY",E428+(ROUND(F428*M428/B428,0)*B428),E428-(ROUND(F428*M428/B428,0)*B428))</f>
        <v>#DIV/0!</v>
      </c>
      <c r="N429" s="29" t="e">
        <f>IF(D428="BUY",E428-(ROUND(F428*N428/B428,0)*B428),E428+(ROUND(F428*N428/B428,0)*B428))</f>
        <v>#DIV/0!</v>
      </c>
      <c r="O429" s="31" t="e">
        <f>IF(D429="BUY",N429-VLOOKUP(A429,Symbols!A$1:D$1000,4,FALSE),N429+VLOOKUP(A429,Symbols!A$1:D$1000,4,FALSE))</f>
        <v>#DIV/0!</v>
      </c>
      <c r="P429" s="29">
        <f>P428</f>
        <v>0</v>
      </c>
      <c r="Q429" s="29">
        <f>Q428</f>
        <v>0</v>
      </c>
      <c r="R429" s="29">
        <f>R428</f>
        <v>0</v>
      </c>
      <c r="S429" s="29">
        <f>S428</f>
        <v>0</v>
      </c>
      <c r="T429" s="29">
        <f>T428</f>
        <v>0</v>
      </c>
      <c r="U429" s="29" t="e">
        <f>DATEDIF(DATE(1970,1,1),U428,"D")*86400</f>
        <v>#NUM!</v>
      </c>
      <c r="V429" s="29">
        <f>HOUR(V428)*3600+MINUTE(V428)*60+SECOND(V428)</f>
        <v>0</v>
      </c>
      <c r="W429" s="29" t="e">
        <f>DATEDIF(DATE(1970,1,1),W428,"D")*86400</f>
        <v>#NUM!</v>
      </c>
      <c r="X429" s="29">
        <f>HOUR(X428)*3600+MINUTE(X428)*60+SECOND(X428)</f>
        <v>0</v>
      </c>
      <c r="Y429" s="31">
        <f>(Y428*B429)</f>
        <v>0</v>
      </c>
      <c r="Z429" s="29">
        <f>Z428</f>
        <v>0</v>
      </c>
      <c r="AA429" s="29" t="e">
        <f>DATEDIF(DATE(1970,1,1),AA428,"D")*86400</f>
        <v>#NUM!</v>
      </c>
      <c r="AB429" s="29">
        <f>HOUR(AB428)*3600+MINUTE(AB428)*60+SECOND(AB428)</f>
        <v>0</v>
      </c>
      <c r="AC429" s="29">
        <f>AC428</f>
        <v>0</v>
      </c>
    </row>
    <row r="430" spans="1:29">
      <c r="A430" s="23">
        <f>Parameters!A216</f>
        <v>0</v>
      </c>
      <c r="B430" s="23">
        <f>Parameters!B216</f>
        <v>0</v>
      </c>
      <c r="C430" s="24">
        <f>Parameters!C216</f>
        <v>0</v>
      </c>
      <c r="D430" s="24">
        <f>Parameters!D216</f>
        <v>0</v>
      </c>
      <c r="E430" s="23">
        <f>Parameters!E216</f>
        <v>0</v>
      </c>
      <c r="F430" s="23">
        <f>Parameters!F216</f>
        <v>0</v>
      </c>
      <c r="G430" s="25">
        <f>Parameters!G216</f>
        <v>0</v>
      </c>
      <c r="H430" s="25">
        <f>Parameters!H216</f>
        <v>0</v>
      </c>
      <c r="I430" s="25">
        <f>Parameters!I216</f>
        <v>0</v>
      </c>
      <c r="J430" s="25">
        <f>Parameters!J216</f>
        <v>0</v>
      </c>
      <c r="K430" s="25">
        <f>Parameters!K216</f>
        <v>0</v>
      </c>
      <c r="L430" s="26" t="e">
        <f t="shared" ref="L430" si="639">L431</f>
        <v>#DIV/0!</v>
      </c>
      <c r="M430" s="25">
        <f>Parameters!L216</f>
        <v>0</v>
      </c>
      <c r="N430" s="25">
        <f>Parameters!M216</f>
        <v>0</v>
      </c>
      <c r="O430" s="26" t="e">
        <f t="shared" ref="O430" si="640">O431</f>
        <v>#DIV/0!</v>
      </c>
      <c r="P430" s="23">
        <f>Parameters!N216</f>
        <v>0</v>
      </c>
      <c r="Q430" s="23">
        <f>Parameters!O216</f>
        <v>0</v>
      </c>
      <c r="R430" s="23">
        <f>Parameters!P216</f>
        <v>0</v>
      </c>
      <c r="S430" s="23">
        <f>Parameters!Q216</f>
        <v>0</v>
      </c>
      <c r="T430" s="23">
        <f>Parameters!R216</f>
        <v>0</v>
      </c>
      <c r="U430" s="27">
        <f>Parameters!S216</f>
        <v>0</v>
      </c>
      <c r="V430" s="28">
        <f>Parameters!T216</f>
        <v>0</v>
      </c>
      <c r="W430" s="27">
        <f>Parameters!U216</f>
        <v>0</v>
      </c>
      <c r="X430" s="28">
        <f>Parameters!V216</f>
        <v>0</v>
      </c>
      <c r="Y430" s="25">
        <f>Parameters!W216</f>
        <v>0</v>
      </c>
      <c r="Z430" s="23">
        <f>Parameters!X216</f>
        <v>0</v>
      </c>
      <c r="AA430" s="27">
        <f>Parameters!Y216</f>
        <v>0</v>
      </c>
      <c r="AB430" s="28">
        <f>Parameters!Z216</f>
        <v>0</v>
      </c>
      <c r="AC430" s="23">
        <f>Parameters!AA216</f>
        <v>0</v>
      </c>
    </row>
    <row r="431" spans="1:29">
      <c r="A431" s="29" t="str">
        <f>UPPER(A430)</f>
        <v>0</v>
      </c>
      <c r="B431" s="29">
        <f>B430</f>
        <v>0</v>
      </c>
      <c r="C431" s="30">
        <f>C430</f>
        <v>0</v>
      </c>
      <c r="D431" s="30">
        <f>D430</f>
        <v>0</v>
      </c>
      <c r="E431" s="29">
        <f>E430</f>
        <v>0</v>
      </c>
      <c r="F431" s="29">
        <f>F430</f>
        <v>0</v>
      </c>
      <c r="G431" s="29" t="e">
        <f>IF(C430=1,IF(D430="BUY",E430+(ROUND(F430*G430/B430,0)*B430),E430-(ROUND(F430*G430/B430,0)*B430)),IF(D430="BUY",E430-(ROUND(F430*G430/B430,0)*B430),E430+(ROUND(F430*G430/B430,0)*B430)))</f>
        <v>#DIV/0!</v>
      </c>
      <c r="H431" s="29" t="e">
        <f>IF(C430=1,IF(D430="BUY",G431-(ROUND(F430*H430/B430,0)*B430),G431+(ROUND(F430*H430/B430,0)*B430)),IF(D430="BUY",G431+(ROUND(F430*H430/B430,0)*B430),G431-(ROUND(F430*H430/B430,0)*B430)))</f>
        <v>#DIV/0!</v>
      </c>
      <c r="I431" s="29" t="e">
        <f>IF(D430="BUY",G431+(ROUND(F430*I430/(B430*100),0)*B430),G431-(ROUND(F430*I430/(B430*100),0)*B430))</f>
        <v>#DIV/0!</v>
      </c>
      <c r="J431" s="29" t="e">
        <f>IF(C430=1,IF(D430="BUY",E430+(ROUND(F430*J430/B430,0)*B430),E430-(ROUND(F430*J430/B430,0)*B430)),IF(D430="BUY",E430-(ROUND(F430*J430/B430,0)*B430),E430+(ROUND(F430*J430/B430,0)*B430)))</f>
        <v>#DIV/0!</v>
      </c>
      <c r="K431" s="29" t="e">
        <f>IF(C430=1,IF(D430="BUY",E430-(ROUND(F430*K430/B430,0)*B430),E430+(ROUND(F430*K430/B430,0)*B430)),IF(D430="BUY",E430-(ROUND(F430*K430/B430,0)*B430),E430+(ROUND(F430*K430/B430,0)*B430)))</f>
        <v>#DIV/0!</v>
      </c>
      <c r="L431" s="29" t="e">
        <f t="shared" ref="L431" si="641">IF(D431="BUY",I431+(R431*B431),I431-(R431*B431))</f>
        <v>#DIV/0!</v>
      </c>
      <c r="M431" s="29" t="e">
        <f>IF(D430="BUY",E430+(ROUND(F430*M430/B430,0)*B430),E430-(ROUND(F430*M430/B430,0)*B430))</f>
        <v>#DIV/0!</v>
      </c>
      <c r="N431" s="29" t="e">
        <f>IF(D430="BUY",E430-(ROUND(F430*N430/B430,0)*B430),E430+(ROUND(F430*N430/B430,0)*B430))</f>
        <v>#DIV/0!</v>
      </c>
      <c r="O431" s="31" t="e">
        <f>IF(D431="BUY",N431-VLOOKUP(A431,Symbols!A$1:D$1000,4,FALSE),N431+VLOOKUP(A431,Symbols!A$1:D$1000,4,FALSE))</f>
        <v>#DIV/0!</v>
      </c>
      <c r="P431" s="29">
        <f>P430</f>
        <v>0</v>
      </c>
      <c r="Q431" s="29">
        <f>Q430</f>
        <v>0</v>
      </c>
      <c r="R431" s="29">
        <f>R430</f>
        <v>0</v>
      </c>
      <c r="S431" s="29">
        <f>S430</f>
        <v>0</v>
      </c>
      <c r="T431" s="29">
        <f>T430</f>
        <v>0</v>
      </c>
      <c r="U431" s="29" t="e">
        <f>DATEDIF(DATE(1970,1,1),U430,"D")*86400</f>
        <v>#NUM!</v>
      </c>
      <c r="V431" s="29">
        <f>HOUR(V430)*3600+MINUTE(V430)*60+SECOND(V430)</f>
        <v>0</v>
      </c>
      <c r="W431" s="29" t="e">
        <f>DATEDIF(DATE(1970,1,1),W430,"D")*86400</f>
        <v>#NUM!</v>
      </c>
      <c r="X431" s="29">
        <f>HOUR(X430)*3600+MINUTE(X430)*60+SECOND(X430)</f>
        <v>0</v>
      </c>
      <c r="Y431" s="31">
        <f>(Y430*B431)</f>
        <v>0</v>
      </c>
      <c r="Z431" s="29">
        <f>Z430</f>
        <v>0</v>
      </c>
      <c r="AA431" s="29" t="e">
        <f>DATEDIF(DATE(1970,1,1),AA430,"D")*86400</f>
        <v>#NUM!</v>
      </c>
      <c r="AB431" s="29">
        <f>HOUR(AB430)*3600+MINUTE(AB430)*60+SECOND(AB430)</f>
        <v>0</v>
      </c>
      <c r="AC431" s="29">
        <f>AC430</f>
        <v>0</v>
      </c>
    </row>
    <row r="432" spans="1:29">
      <c r="A432" s="23">
        <f>Parameters!A217</f>
        <v>0</v>
      </c>
      <c r="B432" s="23">
        <f>Parameters!B217</f>
        <v>0</v>
      </c>
      <c r="C432" s="24">
        <f>Parameters!C217</f>
        <v>0</v>
      </c>
      <c r="D432" s="24">
        <f>Parameters!D217</f>
        <v>0</v>
      </c>
      <c r="E432" s="23">
        <f>Parameters!E217</f>
        <v>0</v>
      </c>
      <c r="F432" s="23">
        <f>Parameters!F217</f>
        <v>0</v>
      </c>
      <c r="G432" s="25">
        <f>Parameters!G217</f>
        <v>0</v>
      </c>
      <c r="H432" s="25">
        <f>Parameters!H217</f>
        <v>0</v>
      </c>
      <c r="I432" s="25">
        <f>Parameters!I217</f>
        <v>0</v>
      </c>
      <c r="J432" s="25">
        <f>Parameters!J217</f>
        <v>0</v>
      </c>
      <c r="K432" s="25">
        <f>Parameters!K217</f>
        <v>0</v>
      </c>
      <c r="L432" s="26" t="e">
        <f t="shared" ref="L432" si="642">L433</f>
        <v>#DIV/0!</v>
      </c>
      <c r="M432" s="25">
        <f>Parameters!L217</f>
        <v>0</v>
      </c>
      <c r="N432" s="25">
        <f>Parameters!M217</f>
        <v>0</v>
      </c>
      <c r="O432" s="26" t="e">
        <f t="shared" ref="O432" si="643">O433</f>
        <v>#DIV/0!</v>
      </c>
      <c r="P432" s="23">
        <f>Parameters!N217</f>
        <v>0</v>
      </c>
      <c r="Q432" s="23">
        <f>Parameters!O217</f>
        <v>0</v>
      </c>
      <c r="R432" s="23">
        <f>Parameters!P217</f>
        <v>0</v>
      </c>
      <c r="S432" s="23">
        <f>Parameters!Q217</f>
        <v>0</v>
      </c>
      <c r="T432" s="23">
        <f>Parameters!R217</f>
        <v>0</v>
      </c>
      <c r="U432" s="27">
        <f>Parameters!S217</f>
        <v>0</v>
      </c>
      <c r="V432" s="28">
        <f>Parameters!T217</f>
        <v>0</v>
      </c>
      <c r="W432" s="27">
        <f>Parameters!U217</f>
        <v>0</v>
      </c>
      <c r="X432" s="28">
        <f>Parameters!V217</f>
        <v>0</v>
      </c>
      <c r="Y432" s="25">
        <f>Parameters!W217</f>
        <v>0</v>
      </c>
      <c r="Z432" s="23">
        <f>Parameters!X217</f>
        <v>0</v>
      </c>
      <c r="AA432" s="27">
        <f>Parameters!Y217</f>
        <v>0</v>
      </c>
      <c r="AB432" s="28">
        <f>Parameters!Z217</f>
        <v>0</v>
      </c>
      <c r="AC432" s="23">
        <f>Parameters!AA217</f>
        <v>0</v>
      </c>
    </row>
    <row r="433" spans="1:29">
      <c r="A433" s="29" t="str">
        <f>UPPER(A432)</f>
        <v>0</v>
      </c>
      <c r="B433" s="29">
        <f>B432</f>
        <v>0</v>
      </c>
      <c r="C433" s="30">
        <f>C432</f>
        <v>0</v>
      </c>
      <c r="D433" s="30">
        <f>D432</f>
        <v>0</v>
      </c>
      <c r="E433" s="29">
        <f>E432</f>
        <v>0</v>
      </c>
      <c r="F433" s="29">
        <f>F432</f>
        <v>0</v>
      </c>
      <c r="G433" s="29" t="e">
        <f>IF(C432=1,IF(D432="BUY",E432+(ROUND(F432*G432/B432,0)*B432),E432-(ROUND(F432*G432/B432,0)*B432)),IF(D432="BUY",E432-(ROUND(F432*G432/B432,0)*B432),E432+(ROUND(F432*G432/B432,0)*B432)))</f>
        <v>#DIV/0!</v>
      </c>
      <c r="H433" s="29" t="e">
        <f>IF(C432=1,IF(D432="BUY",G433-(ROUND(F432*H432/B432,0)*B432),G433+(ROUND(F432*H432/B432,0)*B432)),IF(D432="BUY",G433+(ROUND(F432*H432/B432,0)*B432),G433-(ROUND(F432*H432/B432,0)*B432)))</f>
        <v>#DIV/0!</v>
      </c>
      <c r="I433" s="29" t="e">
        <f>IF(D432="BUY",G433+(ROUND(F432*I432/(B432*100),0)*B432),G433-(ROUND(F432*I432/(B432*100),0)*B432))</f>
        <v>#DIV/0!</v>
      </c>
      <c r="J433" s="29" t="e">
        <f>IF(C432=1,IF(D432="BUY",E432+(ROUND(F432*J432/B432,0)*B432),E432-(ROUND(F432*J432/B432,0)*B432)),IF(D432="BUY",E432-(ROUND(F432*J432/B432,0)*B432),E432+(ROUND(F432*J432/B432,0)*B432)))</f>
        <v>#DIV/0!</v>
      </c>
      <c r="K433" s="29" t="e">
        <f>IF(C432=1,IF(D432="BUY",E432-(ROUND(F432*K432/B432,0)*B432),E432+(ROUND(F432*K432/B432,0)*B432)),IF(D432="BUY",E432-(ROUND(F432*K432/B432,0)*B432),E432+(ROUND(F432*K432/B432,0)*B432)))</f>
        <v>#DIV/0!</v>
      </c>
      <c r="L433" s="29" t="e">
        <f t="shared" ref="L433" si="644">IF(D433="BUY",I433+(R433*B433),I433-(R433*B433))</f>
        <v>#DIV/0!</v>
      </c>
      <c r="M433" s="29" t="e">
        <f>IF(D432="BUY",E432+(ROUND(F432*M432/B432,0)*B432),E432-(ROUND(F432*M432/B432,0)*B432))</f>
        <v>#DIV/0!</v>
      </c>
      <c r="N433" s="29" t="e">
        <f>IF(D432="BUY",E432-(ROUND(F432*N432/B432,0)*B432),E432+(ROUND(F432*N432/B432,0)*B432))</f>
        <v>#DIV/0!</v>
      </c>
      <c r="O433" s="31" t="e">
        <f>IF(D433="BUY",N433-VLOOKUP(A433,Symbols!A$1:D$1000,4,FALSE),N433+VLOOKUP(A433,Symbols!A$1:D$1000,4,FALSE))</f>
        <v>#DIV/0!</v>
      </c>
      <c r="P433" s="29">
        <f>P432</f>
        <v>0</v>
      </c>
      <c r="Q433" s="29">
        <f>Q432</f>
        <v>0</v>
      </c>
      <c r="R433" s="29">
        <f>R432</f>
        <v>0</v>
      </c>
      <c r="S433" s="29">
        <f>S432</f>
        <v>0</v>
      </c>
      <c r="T433" s="29">
        <f>T432</f>
        <v>0</v>
      </c>
      <c r="U433" s="29" t="e">
        <f>DATEDIF(DATE(1970,1,1),U432,"D")*86400</f>
        <v>#NUM!</v>
      </c>
      <c r="V433" s="29">
        <f>HOUR(V432)*3600+MINUTE(V432)*60+SECOND(V432)</f>
        <v>0</v>
      </c>
      <c r="W433" s="29" t="e">
        <f>DATEDIF(DATE(1970,1,1),W432,"D")*86400</f>
        <v>#NUM!</v>
      </c>
      <c r="X433" s="29">
        <f>HOUR(X432)*3600+MINUTE(X432)*60+SECOND(X432)</f>
        <v>0</v>
      </c>
      <c r="Y433" s="31">
        <f>(Y432*B433)</f>
        <v>0</v>
      </c>
      <c r="Z433" s="29">
        <f>Z432</f>
        <v>0</v>
      </c>
      <c r="AA433" s="29" t="e">
        <f>DATEDIF(DATE(1970,1,1),AA432,"D")*86400</f>
        <v>#NUM!</v>
      </c>
      <c r="AB433" s="29">
        <f>HOUR(AB432)*3600+MINUTE(AB432)*60+SECOND(AB432)</f>
        <v>0</v>
      </c>
      <c r="AC433" s="29">
        <f>AC432</f>
        <v>0</v>
      </c>
    </row>
    <row r="434" spans="1:29">
      <c r="A434" s="23">
        <f>Parameters!A218</f>
        <v>0</v>
      </c>
      <c r="B434" s="23">
        <f>Parameters!B218</f>
        <v>0</v>
      </c>
      <c r="C434" s="24">
        <f>Parameters!C218</f>
        <v>0</v>
      </c>
      <c r="D434" s="24">
        <f>Parameters!D218</f>
        <v>0</v>
      </c>
      <c r="E434" s="23">
        <f>Parameters!E218</f>
        <v>0</v>
      </c>
      <c r="F434" s="23">
        <f>Parameters!F218</f>
        <v>0</v>
      </c>
      <c r="G434" s="25">
        <f>Parameters!G218</f>
        <v>0</v>
      </c>
      <c r="H434" s="25">
        <f>Parameters!H218</f>
        <v>0</v>
      </c>
      <c r="I434" s="25">
        <f>Parameters!I218</f>
        <v>0</v>
      </c>
      <c r="J434" s="25">
        <f>Parameters!J218</f>
        <v>0</v>
      </c>
      <c r="K434" s="25">
        <f>Parameters!K218</f>
        <v>0</v>
      </c>
      <c r="L434" s="26" t="e">
        <f t="shared" ref="L434" si="645">L435</f>
        <v>#DIV/0!</v>
      </c>
      <c r="M434" s="25">
        <f>Parameters!L218</f>
        <v>0</v>
      </c>
      <c r="N434" s="25">
        <f>Parameters!M218</f>
        <v>0</v>
      </c>
      <c r="O434" s="26" t="e">
        <f t="shared" ref="O434" si="646">O435</f>
        <v>#DIV/0!</v>
      </c>
      <c r="P434" s="23">
        <f>Parameters!N218</f>
        <v>0</v>
      </c>
      <c r="Q434" s="23">
        <f>Parameters!O218</f>
        <v>0</v>
      </c>
      <c r="R434" s="23">
        <f>Parameters!P218</f>
        <v>0</v>
      </c>
      <c r="S434" s="23">
        <f>Parameters!Q218</f>
        <v>0</v>
      </c>
      <c r="T434" s="23">
        <f>Parameters!R218</f>
        <v>0</v>
      </c>
      <c r="U434" s="27">
        <f>Parameters!S218</f>
        <v>0</v>
      </c>
      <c r="V434" s="28">
        <f>Parameters!T218</f>
        <v>0</v>
      </c>
      <c r="W434" s="27">
        <f>Parameters!U218</f>
        <v>0</v>
      </c>
      <c r="X434" s="28">
        <f>Parameters!V218</f>
        <v>0</v>
      </c>
      <c r="Y434" s="25">
        <f>Parameters!W218</f>
        <v>0</v>
      </c>
      <c r="Z434" s="23">
        <f>Parameters!X218</f>
        <v>0</v>
      </c>
      <c r="AA434" s="27">
        <f>Parameters!Y218</f>
        <v>0</v>
      </c>
      <c r="AB434" s="28">
        <f>Parameters!Z218</f>
        <v>0</v>
      </c>
      <c r="AC434" s="23">
        <f>Parameters!AA218</f>
        <v>0</v>
      </c>
    </row>
    <row r="435" spans="1:29">
      <c r="A435" s="29" t="str">
        <f>UPPER(A434)</f>
        <v>0</v>
      </c>
      <c r="B435" s="29">
        <f>B434</f>
        <v>0</v>
      </c>
      <c r="C435" s="30">
        <f>C434</f>
        <v>0</v>
      </c>
      <c r="D435" s="30">
        <f>D434</f>
        <v>0</v>
      </c>
      <c r="E435" s="29">
        <f>E434</f>
        <v>0</v>
      </c>
      <c r="F435" s="29">
        <f>F434</f>
        <v>0</v>
      </c>
      <c r="G435" s="29" t="e">
        <f>IF(C434=1,IF(D434="BUY",E434+(ROUND(F434*G434/B434,0)*B434),E434-(ROUND(F434*G434/B434,0)*B434)),IF(D434="BUY",E434-(ROUND(F434*G434/B434,0)*B434),E434+(ROUND(F434*G434/B434,0)*B434)))</f>
        <v>#DIV/0!</v>
      </c>
      <c r="H435" s="29" t="e">
        <f>IF(C434=1,IF(D434="BUY",G435-(ROUND(F434*H434/B434,0)*B434),G435+(ROUND(F434*H434/B434,0)*B434)),IF(D434="BUY",G435+(ROUND(F434*H434/B434,0)*B434),G435-(ROUND(F434*H434/B434,0)*B434)))</f>
        <v>#DIV/0!</v>
      </c>
      <c r="I435" s="29" t="e">
        <f>IF(D434="BUY",G435+(ROUND(F434*I434/(B434*100),0)*B434),G435-(ROUND(F434*I434/(B434*100),0)*B434))</f>
        <v>#DIV/0!</v>
      </c>
      <c r="J435" s="29" t="e">
        <f>IF(C434=1,IF(D434="BUY",E434+(ROUND(F434*J434/B434,0)*B434),E434-(ROUND(F434*J434/B434,0)*B434)),IF(D434="BUY",E434-(ROUND(F434*J434/B434,0)*B434),E434+(ROUND(F434*J434/B434,0)*B434)))</f>
        <v>#DIV/0!</v>
      </c>
      <c r="K435" s="29" t="e">
        <f>IF(C434=1,IF(D434="BUY",E434-(ROUND(F434*K434/B434,0)*B434),E434+(ROUND(F434*K434/B434,0)*B434)),IF(D434="BUY",E434-(ROUND(F434*K434/B434,0)*B434),E434+(ROUND(F434*K434/B434,0)*B434)))</f>
        <v>#DIV/0!</v>
      </c>
      <c r="L435" s="29" t="e">
        <f t="shared" ref="L435" si="647">IF(D435="BUY",I435+(R435*B435),I435-(R435*B435))</f>
        <v>#DIV/0!</v>
      </c>
      <c r="M435" s="29" t="e">
        <f>IF(D434="BUY",E434+(ROUND(F434*M434/B434,0)*B434),E434-(ROUND(F434*M434/B434,0)*B434))</f>
        <v>#DIV/0!</v>
      </c>
      <c r="N435" s="29" t="e">
        <f>IF(D434="BUY",E434-(ROUND(F434*N434/B434,0)*B434),E434+(ROUND(F434*N434/B434,0)*B434))</f>
        <v>#DIV/0!</v>
      </c>
      <c r="O435" s="31" t="e">
        <f>IF(D435="BUY",N435-VLOOKUP(A435,Symbols!A$1:D$1000,4,FALSE),N435+VLOOKUP(A435,Symbols!A$1:D$1000,4,FALSE))</f>
        <v>#DIV/0!</v>
      </c>
      <c r="P435" s="29">
        <f>P434</f>
        <v>0</v>
      </c>
      <c r="Q435" s="29">
        <f>Q434</f>
        <v>0</v>
      </c>
      <c r="R435" s="29">
        <f>R434</f>
        <v>0</v>
      </c>
      <c r="S435" s="29">
        <f>S434</f>
        <v>0</v>
      </c>
      <c r="T435" s="29">
        <f>T434</f>
        <v>0</v>
      </c>
      <c r="U435" s="29" t="e">
        <f>DATEDIF(DATE(1970,1,1),U434,"D")*86400</f>
        <v>#NUM!</v>
      </c>
      <c r="V435" s="29">
        <f>HOUR(V434)*3600+MINUTE(V434)*60+SECOND(V434)</f>
        <v>0</v>
      </c>
      <c r="W435" s="29" t="e">
        <f>DATEDIF(DATE(1970,1,1),W434,"D")*86400</f>
        <v>#NUM!</v>
      </c>
      <c r="X435" s="29">
        <f>HOUR(X434)*3600+MINUTE(X434)*60+SECOND(X434)</f>
        <v>0</v>
      </c>
      <c r="Y435" s="31">
        <f>(Y434*B435)</f>
        <v>0</v>
      </c>
      <c r="Z435" s="29">
        <f>Z434</f>
        <v>0</v>
      </c>
      <c r="AA435" s="29" t="e">
        <f>DATEDIF(DATE(1970,1,1),AA434,"D")*86400</f>
        <v>#NUM!</v>
      </c>
      <c r="AB435" s="29">
        <f>HOUR(AB434)*3600+MINUTE(AB434)*60+SECOND(AB434)</f>
        <v>0</v>
      </c>
      <c r="AC435" s="29">
        <f>AC434</f>
        <v>0</v>
      </c>
    </row>
    <row r="436" spans="1:29">
      <c r="A436" s="23">
        <f>Parameters!A219</f>
        <v>0</v>
      </c>
      <c r="B436" s="23">
        <f>Parameters!B219</f>
        <v>0</v>
      </c>
      <c r="C436" s="24">
        <f>Parameters!C219</f>
        <v>0</v>
      </c>
      <c r="D436" s="24">
        <f>Parameters!D219</f>
        <v>0</v>
      </c>
      <c r="E436" s="23">
        <f>Parameters!E219</f>
        <v>0</v>
      </c>
      <c r="F436" s="23">
        <f>Parameters!F219</f>
        <v>0</v>
      </c>
      <c r="G436" s="25">
        <f>Parameters!G219</f>
        <v>0</v>
      </c>
      <c r="H436" s="25">
        <f>Parameters!H219</f>
        <v>0</v>
      </c>
      <c r="I436" s="25">
        <f>Parameters!I219</f>
        <v>0</v>
      </c>
      <c r="J436" s="25">
        <f>Parameters!J219</f>
        <v>0</v>
      </c>
      <c r="K436" s="25">
        <f>Parameters!K219</f>
        <v>0</v>
      </c>
      <c r="L436" s="26" t="e">
        <f t="shared" ref="L436" si="648">L437</f>
        <v>#DIV/0!</v>
      </c>
      <c r="M436" s="25">
        <f>Parameters!L219</f>
        <v>0</v>
      </c>
      <c r="N436" s="25">
        <f>Parameters!M219</f>
        <v>0</v>
      </c>
      <c r="O436" s="26" t="e">
        <f t="shared" ref="O436" si="649">O437</f>
        <v>#DIV/0!</v>
      </c>
      <c r="P436" s="23">
        <f>Parameters!N219</f>
        <v>0</v>
      </c>
      <c r="Q436" s="23">
        <f>Parameters!O219</f>
        <v>0</v>
      </c>
      <c r="R436" s="23">
        <f>Parameters!P219</f>
        <v>0</v>
      </c>
      <c r="S436" s="23">
        <f>Parameters!Q219</f>
        <v>0</v>
      </c>
      <c r="T436" s="23">
        <f>Parameters!R219</f>
        <v>0</v>
      </c>
      <c r="U436" s="27">
        <f>Parameters!S219</f>
        <v>0</v>
      </c>
      <c r="V436" s="28">
        <f>Parameters!T219</f>
        <v>0</v>
      </c>
      <c r="W436" s="27">
        <f>Parameters!U219</f>
        <v>0</v>
      </c>
      <c r="X436" s="28">
        <f>Parameters!V219</f>
        <v>0</v>
      </c>
      <c r="Y436" s="25">
        <f>Parameters!W219</f>
        <v>0</v>
      </c>
      <c r="Z436" s="23">
        <f>Parameters!X219</f>
        <v>0</v>
      </c>
      <c r="AA436" s="27">
        <f>Parameters!Y219</f>
        <v>0</v>
      </c>
      <c r="AB436" s="28">
        <f>Parameters!Z219</f>
        <v>0</v>
      </c>
      <c r="AC436" s="23">
        <f>Parameters!AA219</f>
        <v>0</v>
      </c>
    </row>
    <row r="437" spans="1:29">
      <c r="A437" s="29" t="str">
        <f>UPPER(A436)</f>
        <v>0</v>
      </c>
      <c r="B437" s="29">
        <f>B436</f>
        <v>0</v>
      </c>
      <c r="C437" s="30">
        <f>C436</f>
        <v>0</v>
      </c>
      <c r="D437" s="30">
        <f>D436</f>
        <v>0</v>
      </c>
      <c r="E437" s="29">
        <f>E436</f>
        <v>0</v>
      </c>
      <c r="F437" s="29">
        <f>F436</f>
        <v>0</v>
      </c>
      <c r="G437" s="29" t="e">
        <f>IF(C436=1,IF(D436="BUY",E436+(ROUND(F436*G436/B436,0)*B436),E436-(ROUND(F436*G436/B436,0)*B436)),IF(D436="BUY",E436-(ROUND(F436*G436/B436,0)*B436),E436+(ROUND(F436*G436/B436,0)*B436)))</f>
        <v>#DIV/0!</v>
      </c>
      <c r="H437" s="29" t="e">
        <f>IF(C436=1,IF(D436="BUY",G437-(ROUND(F436*H436/B436,0)*B436),G437+(ROUND(F436*H436/B436,0)*B436)),IF(D436="BUY",G437+(ROUND(F436*H436/B436,0)*B436),G437-(ROUND(F436*H436/B436,0)*B436)))</f>
        <v>#DIV/0!</v>
      </c>
      <c r="I437" s="29" t="e">
        <f>IF(D436="BUY",G437+(ROUND(F436*I436/(B436*100),0)*B436),G437-(ROUND(F436*I436/(B436*100),0)*B436))</f>
        <v>#DIV/0!</v>
      </c>
      <c r="J437" s="29" t="e">
        <f>IF(C436=1,IF(D436="BUY",E436+(ROUND(F436*J436/B436,0)*B436),E436-(ROUND(F436*J436/B436,0)*B436)),IF(D436="BUY",E436-(ROUND(F436*J436/B436,0)*B436),E436+(ROUND(F436*J436/B436,0)*B436)))</f>
        <v>#DIV/0!</v>
      </c>
      <c r="K437" s="29" t="e">
        <f>IF(C436=1,IF(D436="BUY",E436-(ROUND(F436*K436/B436,0)*B436),E436+(ROUND(F436*K436/B436,0)*B436)),IF(D436="BUY",E436-(ROUND(F436*K436/B436,0)*B436),E436+(ROUND(F436*K436/B436,0)*B436)))</f>
        <v>#DIV/0!</v>
      </c>
      <c r="L437" s="29" t="e">
        <f t="shared" ref="L437" si="650">IF(D437="BUY",I437+(R437*B437),I437-(R437*B437))</f>
        <v>#DIV/0!</v>
      </c>
      <c r="M437" s="29" t="e">
        <f>IF(D436="BUY",E436+(ROUND(F436*M436/B436,0)*B436),E436-(ROUND(F436*M436/B436,0)*B436))</f>
        <v>#DIV/0!</v>
      </c>
      <c r="N437" s="29" t="e">
        <f>IF(D436="BUY",E436-(ROUND(F436*N436/B436,0)*B436),E436+(ROUND(F436*N436/B436,0)*B436))</f>
        <v>#DIV/0!</v>
      </c>
      <c r="O437" s="31" t="e">
        <f>IF(D437="BUY",N437-VLOOKUP(A437,Symbols!A$1:D$1000,4,FALSE),N437+VLOOKUP(A437,Symbols!A$1:D$1000,4,FALSE))</f>
        <v>#DIV/0!</v>
      </c>
      <c r="P437" s="29">
        <f>P436</f>
        <v>0</v>
      </c>
      <c r="Q437" s="29">
        <f>Q436</f>
        <v>0</v>
      </c>
      <c r="R437" s="29">
        <f>R436</f>
        <v>0</v>
      </c>
      <c r="S437" s="29">
        <f>S436</f>
        <v>0</v>
      </c>
      <c r="T437" s="29">
        <f>T436</f>
        <v>0</v>
      </c>
      <c r="U437" s="29" t="e">
        <f>DATEDIF(DATE(1970,1,1),U436,"D")*86400</f>
        <v>#NUM!</v>
      </c>
      <c r="V437" s="29">
        <f>HOUR(V436)*3600+MINUTE(V436)*60+SECOND(V436)</f>
        <v>0</v>
      </c>
      <c r="W437" s="29" t="e">
        <f>DATEDIF(DATE(1970,1,1),W436,"D")*86400</f>
        <v>#NUM!</v>
      </c>
      <c r="X437" s="29">
        <f>HOUR(X436)*3600+MINUTE(X436)*60+SECOND(X436)</f>
        <v>0</v>
      </c>
      <c r="Y437" s="31">
        <f>(Y436*B437)</f>
        <v>0</v>
      </c>
      <c r="Z437" s="29">
        <f>Z436</f>
        <v>0</v>
      </c>
      <c r="AA437" s="29" t="e">
        <f>DATEDIF(DATE(1970,1,1),AA436,"D")*86400</f>
        <v>#NUM!</v>
      </c>
      <c r="AB437" s="29">
        <f>HOUR(AB436)*3600+MINUTE(AB436)*60+SECOND(AB436)</f>
        <v>0</v>
      </c>
      <c r="AC437" s="29">
        <f>AC436</f>
        <v>0</v>
      </c>
    </row>
    <row r="438" spans="1:29">
      <c r="A438" s="23">
        <f>Parameters!A220</f>
        <v>0</v>
      </c>
      <c r="B438" s="23">
        <f>Parameters!B220</f>
        <v>0</v>
      </c>
      <c r="C438" s="24">
        <f>Parameters!C220</f>
        <v>0</v>
      </c>
      <c r="D438" s="24">
        <f>Parameters!D220</f>
        <v>0</v>
      </c>
      <c r="E438" s="23">
        <f>Parameters!E220</f>
        <v>0</v>
      </c>
      <c r="F438" s="23">
        <f>Parameters!F220</f>
        <v>0</v>
      </c>
      <c r="G438" s="25">
        <f>Parameters!G220</f>
        <v>0</v>
      </c>
      <c r="H438" s="25">
        <f>Parameters!H220</f>
        <v>0</v>
      </c>
      <c r="I438" s="25">
        <f>Parameters!I220</f>
        <v>0</v>
      </c>
      <c r="J438" s="25">
        <f>Parameters!J220</f>
        <v>0</v>
      </c>
      <c r="K438" s="25">
        <f>Parameters!K220</f>
        <v>0</v>
      </c>
      <c r="L438" s="26" t="e">
        <f t="shared" ref="L438" si="651">L439</f>
        <v>#DIV/0!</v>
      </c>
      <c r="M438" s="25">
        <f>Parameters!L220</f>
        <v>0</v>
      </c>
      <c r="N438" s="25">
        <f>Parameters!M220</f>
        <v>0</v>
      </c>
      <c r="O438" s="26" t="e">
        <f t="shared" ref="O438" si="652">O439</f>
        <v>#DIV/0!</v>
      </c>
      <c r="P438" s="23">
        <f>Parameters!N220</f>
        <v>0</v>
      </c>
      <c r="Q438" s="23">
        <f>Parameters!O220</f>
        <v>0</v>
      </c>
      <c r="R438" s="23">
        <f>Parameters!P220</f>
        <v>0</v>
      </c>
      <c r="S438" s="23">
        <f>Parameters!Q220</f>
        <v>0</v>
      </c>
      <c r="T438" s="23">
        <f>Parameters!R220</f>
        <v>0</v>
      </c>
      <c r="U438" s="27">
        <f>Parameters!S220</f>
        <v>0</v>
      </c>
      <c r="V438" s="28">
        <f>Parameters!T220</f>
        <v>0</v>
      </c>
      <c r="W438" s="27">
        <f>Parameters!U220</f>
        <v>0</v>
      </c>
      <c r="X438" s="28">
        <f>Parameters!V220</f>
        <v>0</v>
      </c>
      <c r="Y438" s="25">
        <f>Parameters!W220</f>
        <v>0</v>
      </c>
      <c r="Z438" s="23">
        <f>Parameters!X220</f>
        <v>0</v>
      </c>
      <c r="AA438" s="27">
        <f>Parameters!Y220</f>
        <v>0</v>
      </c>
      <c r="AB438" s="28">
        <f>Parameters!Z220</f>
        <v>0</v>
      </c>
      <c r="AC438" s="23">
        <f>Parameters!AA220</f>
        <v>0</v>
      </c>
    </row>
    <row r="439" spans="1:29">
      <c r="A439" s="29" t="str">
        <f>UPPER(A438)</f>
        <v>0</v>
      </c>
      <c r="B439" s="29">
        <f>B438</f>
        <v>0</v>
      </c>
      <c r="C439" s="30">
        <f>C438</f>
        <v>0</v>
      </c>
      <c r="D439" s="30">
        <f>D438</f>
        <v>0</v>
      </c>
      <c r="E439" s="29">
        <f>E438</f>
        <v>0</v>
      </c>
      <c r="F439" s="29">
        <f>F438</f>
        <v>0</v>
      </c>
      <c r="G439" s="29" t="e">
        <f>IF(C438=1,IF(D438="BUY",E438+(ROUND(F438*G438/B438,0)*B438),E438-(ROUND(F438*G438/B438,0)*B438)),IF(D438="BUY",E438-(ROUND(F438*G438/B438,0)*B438),E438+(ROUND(F438*G438/B438,0)*B438)))</f>
        <v>#DIV/0!</v>
      </c>
      <c r="H439" s="29" t="e">
        <f>IF(C438=1,IF(D438="BUY",G439-(ROUND(F438*H438/B438,0)*B438),G439+(ROUND(F438*H438/B438,0)*B438)),IF(D438="BUY",G439+(ROUND(F438*H438/B438,0)*B438),G439-(ROUND(F438*H438/B438,0)*B438)))</f>
        <v>#DIV/0!</v>
      </c>
      <c r="I439" s="29" t="e">
        <f>IF(D438="BUY",G439+(ROUND(F438*I438/(B438*100),0)*B438),G439-(ROUND(F438*I438/(B438*100),0)*B438))</f>
        <v>#DIV/0!</v>
      </c>
      <c r="J439" s="29" t="e">
        <f>IF(C438=1,IF(D438="BUY",E438+(ROUND(F438*J438/B438,0)*B438),E438-(ROUND(F438*J438/B438,0)*B438)),IF(D438="BUY",E438-(ROUND(F438*J438/B438,0)*B438),E438+(ROUND(F438*J438/B438,0)*B438)))</f>
        <v>#DIV/0!</v>
      </c>
      <c r="K439" s="29" t="e">
        <f>IF(C438=1,IF(D438="BUY",E438-(ROUND(F438*K438/B438,0)*B438),E438+(ROUND(F438*K438/B438,0)*B438)),IF(D438="BUY",E438-(ROUND(F438*K438/B438,0)*B438),E438+(ROUND(F438*K438/B438,0)*B438)))</f>
        <v>#DIV/0!</v>
      </c>
      <c r="L439" s="29" t="e">
        <f t="shared" ref="L439" si="653">IF(D439="BUY",I439+(R439*B439),I439-(R439*B439))</f>
        <v>#DIV/0!</v>
      </c>
      <c r="M439" s="29" t="e">
        <f>IF(D438="BUY",E438+(ROUND(F438*M438/B438,0)*B438),E438-(ROUND(F438*M438/B438,0)*B438))</f>
        <v>#DIV/0!</v>
      </c>
      <c r="N439" s="29" t="e">
        <f>IF(D438="BUY",E438-(ROUND(F438*N438/B438,0)*B438),E438+(ROUND(F438*N438/B438,0)*B438))</f>
        <v>#DIV/0!</v>
      </c>
      <c r="O439" s="31" t="e">
        <f>IF(D439="BUY",N439-VLOOKUP(A439,Symbols!A$1:D$1000,4,FALSE),N439+VLOOKUP(A439,Symbols!A$1:D$1000,4,FALSE))</f>
        <v>#DIV/0!</v>
      </c>
      <c r="P439" s="29">
        <f>P438</f>
        <v>0</v>
      </c>
      <c r="Q439" s="29">
        <f>Q438</f>
        <v>0</v>
      </c>
      <c r="R439" s="29">
        <f>R438</f>
        <v>0</v>
      </c>
      <c r="S439" s="29">
        <f>S438</f>
        <v>0</v>
      </c>
      <c r="T439" s="29">
        <f>T438</f>
        <v>0</v>
      </c>
      <c r="U439" s="29" t="e">
        <f>DATEDIF(DATE(1970,1,1),U438,"D")*86400</f>
        <v>#NUM!</v>
      </c>
      <c r="V439" s="29">
        <f>HOUR(V438)*3600+MINUTE(V438)*60+SECOND(V438)</f>
        <v>0</v>
      </c>
      <c r="W439" s="29" t="e">
        <f>DATEDIF(DATE(1970,1,1),W438,"D")*86400</f>
        <v>#NUM!</v>
      </c>
      <c r="X439" s="29">
        <f>HOUR(X438)*3600+MINUTE(X438)*60+SECOND(X438)</f>
        <v>0</v>
      </c>
      <c r="Y439" s="31">
        <f>(Y438*B439)</f>
        <v>0</v>
      </c>
      <c r="Z439" s="29">
        <f>Z438</f>
        <v>0</v>
      </c>
      <c r="AA439" s="29" t="e">
        <f>DATEDIF(DATE(1970,1,1),AA438,"D")*86400</f>
        <v>#NUM!</v>
      </c>
      <c r="AB439" s="29">
        <f>HOUR(AB438)*3600+MINUTE(AB438)*60+SECOND(AB438)</f>
        <v>0</v>
      </c>
      <c r="AC439" s="29">
        <f>AC438</f>
        <v>0</v>
      </c>
    </row>
    <row r="440" spans="1:29">
      <c r="A440" s="23">
        <f>Parameters!A221</f>
        <v>0</v>
      </c>
      <c r="B440" s="23">
        <f>Parameters!B221</f>
        <v>0</v>
      </c>
      <c r="C440" s="24">
        <f>Parameters!C221</f>
        <v>0</v>
      </c>
      <c r="D440" s="24">
        <f>Parameters!D221</f>
        <v>0</v>
      </c>
      <c r="E440" s="23">
        <f>Parameters!E221</f>
        <v>0</v>
      </c>
      <c r="F440" s="23">
        <f>Parameters!F221</f>
        <v>0</v>
      </c>
      <c r="G440" s="25">
        <f>Parameters!G221</f>
        <v>0</v>
      </c>
      <c r="H440" s="25">
        <f>Parameters!H221</f>
        <v>0</v>
      </c>
      <c r="I440" s="25">
        <f>Parameters!I221</f>
        <v>0</v>
      </c>
      <c r="J440" s="25">
        <f>Parameters!J221</f>
        <v>0</v>
      </c>
      <c r="K440" s="25">
        <f>Parameters!K221</f>
        <v>0</v>
      </c>
      <c r="L440" s="26" t="e">
        <f t="shared" ref="L440" si="654">L441</f>
        <v>#DIV/0!</v>
      </c>
      <c r="M440" s="25">
        <f>Parameters!L221</f>
        <v>0</v>
      </c>
      <c r="N440" s="25">
        <f>Parameters!M221</f>
        <v>0</v>
      </c>
      <c r="O440" s="26" t="e">
        <f t="shared" ref="O440" si="655">O441</f>
        <v>#DIV/0!</v>
      </c>
      <c r="P440" s="23">
        <f>Parameters!N221</f>
        <v>0</v>
      </c>
      <c r="Q440" s="23">
        <f>Parameters!O221</f>
        <v>0</v>
      </c>
      <c r="R440" s="23">
        <f>Parameters!P221</f>
        <v>0</v>
      </c>
      <c r="S440" s="23">
        <f>Parameters!Q221</f>
        <v>0</v>
      </c>
      <c r="T440" s="23">
        <f>Parameters!R221</f>
        <v>0</v>
      </c>
      <c r="U440" s="27">
        <f>Parameters!S221</f>
        <v>0</v>
      </c>
      <c r="V440" s="28">
        <f>Parameters!T221</f>
        <v>0</v>
      </c>
      <c r="W440" s="27">
        <f>Parameters!U221</f>
        <v>0</v>
      </c>
      <c r="X440" s="28">
        <f>Parameters!V221</f>
        <v>0</v>
      </c>
      <c r="Y440" s="25">
        <f>Parameters!W221</f>
        <v>0</v>
      </c>
      <c r="Z440" s="23">
        <f>Parameters!X221</f>
        <v>0</v>
      </c>
      <c r="AA440" s="27">
        <f>Parameters!Y221</f>
        <v>0</v>
      </c>
      <c r="AB440" s="28">
        <f>Parameters!Z221</f>
        <v>0</v>
      </c>
      <c r="AC440" s="23">
        <f>Parameters!AA221</f>
        <v>0</v>
      </c>
    </row>
    <row r="441" spans="1:29">
      <c r="A441" s="29" t="str">
        <f>UPPER(A440)</f>
        <v>0</v>
      </c>
      <c r="B441" s="29">
        <f>B440</f>
        <v>0</v>
      </c>
      <c r="C441" s="30">
        <f>C440</f>
        <v>0</v>
      </c>
      <c r="D441" s="30">
        <f>D440</f>
        <v>0</v>
      </c>
      <c r="E441" s="29">
        <f>E440</f>
        <v>0</v>
      </c>
      <c r="F441" s="29">
        <f>F440</f>
        <v>0</v>
      </c>
      <c r="G441" s="29" t="e">
        <f>IF(C440=1,IF(D440="BUY",E440+(ROUND(F440*G440/B440,0)*B440),E440-(ROUND(F440*G440/B440,0)*B440)),IF(D440="BUY",E440-(ROUND(F440*G440/B440,0)*B440),E440+(ROUND(F440*G440/B440,0)*B440)))</f>
        <v>#DIV/0!</v>
      </c>
      <c r="H441" s="29" t="e">
        <f>IF(C440=1,IF(D440="BUY",G441-(ROUND(F440*H440/B440,0)*B440),G441+(ROUND(F440*H440/B440,0)*B440)),IF(D440="BUY",G441+(ROUND(F440*H440/B440,0)*B440),G441-(ROUND(F440*H440/B440,0)*B440)))</f>
        <v>#DIV/0!</v>
      </c>
      <c r="I441" s="29" t="e">
        <f>IF(D440="BUY",G441+(ROUND(F440*I440/(B440*100),0)*B440),G441-(ROUND(F440*I440/(B440*100),0)*B440))</f>
        <v>#DIV/0!</v>
      </c>
      <c r="J441" s="29" t="e">
        <f>IF(C440=1,IF(D440="BUY",E440+(ROUND(F440*J440/B440,0)*B440),E440-(ROUND(F440*J440/B440,0)*B440)),IF(D440="BUY",E440-(ROUND(F440*J440/B440,0)*B440),E440+(ROUND(F440*J440/B440,0)*B440)))</f>
        <v>#DIV/0!</v>
      </c>
      <c r="K441" s="29" t="e">
        <f>IF(C440=1,IF(D440="BUY",E440-(ROUND(F440*K440/B440,0)*B440),E440+(ROUND(F440*K440/B440,0)*B440)),IF(D440="BUY",E440-(ROUND(F440*K440/B440,0)*B440),E440+(ROUND(F440*K440/B440,0)*B440)))</f>
        <v>#DIV/0!</v>
      </c>
      <c r="L441" s="29" t="e">
        <f t="shared" ref="L441" si="656">IF(D441="BUY",I441+(R441*B441),I441-(R441*B441))</f>
        <v>#DIV/0!</v>
      </c>
      <c r="M441" s="29" t="e">
        <f>IF(D440="BUY",E440+(ROUND(F440*M440/B440,0)*B440),E440-(ROUND(F440*M440/B440,0)*B440))</f>
        <v>#DIV/0!</v>
      </c>
      <c r="N441" s="29" t="e">
        <f>IF(D440="BUY",E440-(ROUND(F440*N440/B440,0)*B440),E440+(ROUND(F440*N440/B440,0)*B440))</f>
        <v>#DIV/0!</v>
      </c>
      <c r="O441" s="31" t="e">
        <f>IF(D441="BUY",N441-VLOOKUP(A441,Symbols!A$1:D$1000,4,FALSE),N441+VLOOKUP(A441,Symbols!A$1:D$1000,4,FALSE))</f>
        <v>#DIV/0!</v>
      </c>
      <c r="P441" s="29">
        <f>P440</f>
        <v>0</v>
      </c>
      <c r="Q441" s="29">
        <f>Q440</f>
        <v>0</v>
      </c>
      <c r="R441" s="29">
        <f>R440</f>
        <v>0</v>
      </c>
      <c r="S441" s="29">
        <f>S440</f>
        <v>0</v>
      </c>
      <c r="T441" s="29">
        <f>T440</f>
        <v>0</v>
      </c>
      <c r="U441" s="29" t="e">
        <f>DATEDIF(DATE(1970,1,1),U440,"D")*86400</f>
        <v>#NUM!</v>
      </c>
      <c r="V441" s="29">
        <f>HOUR(V440)*3600+MINUTE(V440)*60+SECOND(V440)</f>
        <v>0</v>
      </c>
      <c r="W441" s="29" t="e">
        <f>DATEDIF(DATE(1970,1,1),W440,"D")*86400</f>
        <v>#NUM!</v>
      </c>
      <c r="X441" s="29">
        <f>HOUR(X440)*3600+MINUTE(X440)*60+SECOND(X440)</f>
        <v>0</v>
      </c>
      <c r="Y441" s="31">
        <f>(Y440*B441)</f>
        <v>0</v>
      </c>
      <c r="Z441" s="29">
        <f>Z440</f>
        <v>0</v>
      </c>
      <c r="AA441" s="29" t="e">
        <f>DATEDIF(DATE(1970,1,1),AA440,"D")*86400</f>
        <v>#NUM!</v>
      </c>
      <c r="AB441" s="29">
        <f>HOUR(AB440)*3600+MINUTE(AB440)*60+SECOND(AB440)</f>
        <v>0</v>
      </c>
      <c r="AC441" s="29">
        <f>AC440</f>
        <v>0</v>
      </c>
    </row>
    <row r="442" spans="1:29">
      <c r="A442" s="23">
        <f>Parameters!A222</f>
        <v>0</v>
      </c>
      <c r="B442" s="23">
        <f>Parameters!B222</f>
        <v>0</v>
      </c>
      <c r="C442" s="24">
        <f>Parameters!C222</f>
        <v>0</v>
      </c>
      <c r="D442" s="24">
        <f>Parameters!D222</f>
        <v>0</v>
      </c>
      <c r="E442" s="23">
        <f>Parameters!E222</f>
        <v>0</v>
      </c>
      <c r="F442" s="23">
        <f>Parameters!F222</f>
        <v>0</v>
      </c>
      <c r="G442" s="25">
        <f>Parameters!G222</f>
        <v>0</v>
      </c>
      <c r="H442" s="25">
        <f>Parameters!H222</f>
        <v>0</v>
      </c>
      <c r="I442" s="25">
        <f>Parameters!I222</f>
        <v>0</v>
      </c>
      <c r="J442" s="25">
        <f>Parameters!J222</f>
        <v>0</v>
      </c>
      <c r="K442" s="25">
        <f>Parameters!K222</f>
        <v>0</v>
      </c>
      <c r="L442" s="26" t="e">
        <f t="shared" ref="L442" si="657">L443</f>
        <v>#DIV/0!</v>
      </c>
      <c r="M442" s="25">
        <f>Parameters!L222</f>
        <v>0</v>
      </c>
      <c r="N442" s="25">
        <f>Parameters!M222</f>
        <v>0</v>
      </c>
      <c r="O442" s="26" t="e">
        <f t="shared" ref="O442" si="658">O443</f>
        <v>#DIV/0!</v>
      </c>
      <c r="P442" s="23">
        <f>Parameters!N222</f>
        <v>0</v>
      </c>
      <c r="Q442" s="23">
        <f>Parameters!O222</f>
        <v>0</v>
      </c>
      <c r="R442" s="23">
        <f>Parameters!P222</f>
        <v>0</v>
      </c>
      <c r="S442" s="23">
        <f>Parameters!Q222</f>
        <v>0</v>
      </c>
      <c r="T442" s="23">
        <f>Parameters!R222</f>
        <v>0</v>
      </c>
      <c r="U442" s="27">
        <f>Parameters!S222</f>
        <v>0</v>
      </c>
      <c r="V442" s="28">
        <f>Parameters!T222</f>
        <v>0</v>
      </c>
      <c r="W442" s="27">
        <f>Parameters!U222</f>
        <v>0</v>
      </c>
      <c r="X442" s="28">
        <f>Parameters!V222</f>
        <v>0</v>
      </c>
      <c r="Y442" s="25">
        <f>Parameters!W222</f>
        <v>0</v>
      </c>
      <c r="Z442" s="23">
        <f>Parameters!X222</f>
        <v>0</v>
      </c>
      <c r="AA442" s="27">
        <f>Parameters!Y222</f>
        <v>0</v>
      </c>
      <c r="AB442" s="28">
        <f>Parameters!Z222</f>
        <v>0</v>
      </c>
      <c r="AC442" s="23">
        <f>Parameters!AA222</f>
        <v>0</v>
      </c>
    </row>
    <row r="443" spans="1:29">
      <c r="A443" s="29" t="str">
        <f>UPPER(A442)</f>
        <v>0</v>
      </c>
      <c r="B443" s="29">
        <f>B442</f>
        <v>0</v>
      </c>
      <c r="C443" s="30">
        <f>C442</f>
        <v>0</v>
      </c>
      <c r="D443" s="30">
        <f>D442</f>
        <v>0</v>
      </c>
      <c r="E443" s="29">
        <f>E442</f>
        <v>0</v>
      </c>
      <c r="F443" s="29">
        <f>F442</f>
        <v>0</v>
      </c>
      <c r="G443" s="29" t="e">
        <f>IF(C442=1,IF(D442="BUY",E442+(ROUND(F442*G442/B442,0)*B442),E442-(ROUND(F442*G442/B442,0)*B442)),IF(D442="BUY",E442-(ROUND(F442*G442/B442,0)*B442),E442+(ROUND(F442*G442/B442,0)*B442)))</f>
        <v>#DIV/0!</v>
      </c>
      <c r="H443" s="29" t="e">
        <f>IF(C442=1,IF(D442="BUY",G443-(ROUND(F442*H442/B442,0)*B442),G443+(ROUND(F442*H442/B442,0)*B442)),IF(D442="BUY",G443+(ROUND(F442*H442/B442,0)*B442),G443-(ROUND(F442*H442/B442,0)*B442)))</f>
        <v>#DIV/0!</v>
      </c>
      <c r="I443" s="29" t="e">
        <f>IF(D442="BUY",G443+(ROUND(F442*I442/(B442*100),0)*B442),G443-(ROUND(F442*I442/(B442*100),0)*B442))</f>
        <v>#DIV/0!</v>
      </c>
      <c r="J443" s="29" t="e">
        <f>IF(C442=1,IF(D442="BUY",E442+(ROUND(F442*J442/B442,0)*B442),E442-(ROUND(F442*J442/B442,0)*B442)),IF(D442="BUY",E442-(ROUND(F442*J442/B442,0)*B442),E442+(ROUND(F442*J442/B442,0)*B442)))</f>
        <v>#DIV/0!</v>
      </c>
      <c r="K443" s="29" t="e">
        <f>IF(C442=1,IF(D442="BUY",E442-(ROUND(F442*K442/B442,0)*B442),E442+(ROUND(F442*K442/B442,0)*B442)),IF(D442="BUY",E442-(ROUND(F442*K442/B442,0)*B442),E442+(ROUND(F442*K442/B442,0)*B442)))</f>
        <v>#DIV/0!</v>
      </c>
      <c r="L443" s="29" t="e">
        <f t="shared" ref="L443" si="659">IF(D443="BUY",I443+(R443*B443),I443-(R443*B443))</f>
        <v>#DIV/0!</v>
      </c>
      <c r="M443" s="29" t="e">
        <f>IF(D442="BUY",E442+(ROUND(F442*M442/B442,0)*B442),E442-(ROUND(F442*M442/B442,0)*B442))</f>
        <v>#DIV/0!</v>
      </c>
      <c r="N443" s="29" t="e">
        <f>IF(D442="BUY",E442-(ROUND(F442*N442/B442,0)*B442),E442+(ROUND(F442*N442/B442,0)*B442))</f>
        <v>#DIV/0!</v>
      </c>
      <c r="O443" s="31" t="e">
        <f>IF(D443="BUY",N443-VLOOKUP(A443,Symbols!A$1:D$1000,4,FALSE),N443+VLOOKUP(A443,Symbols!A$1:D$1000,4,FALSE))</f>
        <v>#DIV/0!</v>
      </c>
      <c r="P443" s="29">
        <f>P442</f>
        <v>0</v>
      </c>
      <c r="Q443" s="29">
        <f>Q442</f>
        <v>0</v>
      </c>
      <c r="R443" s="29">
        <f>R442</f>
        <v>0</v>
      </c>
      <c r="S443" s="29">
        <f>S442</f>
        <v>0</v>
      </c>
      <c r="T443" s="29">
        <f>T442</f>
        <v>0</v>
      </c>
      <c r="U443" s="29" t="e">
        <f>DATEDIF(DATE(1970,1,1),U442,"D")*86400</f>
        <v>#NUM!</v>
      </c>
      <c r="V443" s="29">
        <f>HOUR(V442)*3600+MINUTE(V442)*60+SECOND(V442)</f>
        <v>0</v>
      </c>
      <c r="W443" s="29" t="e">
        <f>DATEDIF(DATE(1970,1,1),W442,"D")*86400</f>
        <v>#NUM!</v>
      </c>
      <c r="X443" s="29">
        <f>HOUR(X442)*3600+MINUTE(X442)*60+SECOND(X442)</f>
        <v>0</v>
      </c>
      <c r="Y443" s="31">
        <f>(Y442*B443)</f>
        <v>0</v>
      </c>
      <c r="Z443" s="29">
        <f>Z442</f>
        <v>0</v>
      </c>
      <c r="AA443" s="29" t="e">
        <f>DATEDIF(DATE(1970,1,1),AA442,"D")*86400</f>
        <v>#NUM!</v>
      </c>
      <c r="AB443" s="29">
        <f>HOUR(AB442)*3600+MINUTE(AB442)*60+SECOND(AB442)</f>
        <v>0</v>
      </c>
      <c r="AC443" s="29">
        <f>AC442</f>
        <v>0</v>
      </c>
    </row>
    <row r="444" spans="1:29">
      <c r="A444" s="23">
        <f>Parameters!A223</f>
        <v>0</v>
      </c>
      <c r="B444" s="23">
        <f>Parameters!B223</f>
        <v>0</v>
      </c>
      <c r="C444" s="24">
        <f>Parameters!C223</f>
        <v>0</v>
      </c>
      <c r="D444" s="24">
        <f>Parameters!D223</f>
        <v>0</v>
      </c>
      <c r="E444" s="23">
        <f>Parameters!E223</f>
        <v>0</v>
      </c>
      <c r="F444" s="23">
        <f>Parameters!F223</f>
        <v>0</v>
      </c>
      <c r="G444" s="25">
        <f>Parameters!G223</f>
        <v>0</v>
      </c>
      <c r="H444" s="25">
        <f>Parameters!H223</f>
        <v>0</v>
      </c>
      <c r="I444" s="25">
        <f>Parameters!I223</f>
        <v>0</v>
      </c>
      <c r="J444" s="25">
        <f>Parameters!J223</f>
        <v>0</v>
      </c>
      <c r="K444" s="25">
        <f>Parameters!K223</f>
        <v>0</v>
      </c>
      <c r="L444" s="26" t="e">
        <f t="shared" ref="L444" si="660">L445</f>
        <v>#DIV/0!</v>
      </c>
      <c r="M444" s="25">
        <f>Parameters!L223</f>
        <v>0</v>
      </c>
      <c r="N444" s="25">
        <f>Parameters!M223</f>
        <v>0</v>
      </c>
      <c r="O444" s="26" t="e">
        <f t="shared" ref="O444" si="661">O445</f>
        <v>#DIV/0!</v>
      </c>
      <c r="P444" s="23">
        <f>Parameters!N223</f>
        <v>0</v>
      </c>
      <c r="Q444" s="23">
        <f>Parameters!O223</f>
        <v>0</v>
      </c>
      <c r="R444" s="23">
        <f>Parameters!P223</f>
        <v>0</v>
      </c>
      <c r="S444" s="23">
        <f>Parameters!Q223</f>
        <v>0</v>
      </c>
      <c r="T444" s="23">
        <f>Parameters!R223</f>
        <v>0</v>
      </c>
      <c r="U444" s="27">
        <f>Parameters!S223</f>
        <v>0</v>
      </c>
      <c r="V444" s="28">
        <f>Parameters!T223</f>
        <v>0</v>
      </c>
      <c r="W444" s="27">
        <f>Parameters!U223</f>
        <v>0</v>
      </c>
      <c r="X444" s="28">
        <f>Parameters!V223</f>
        <v>0</v>
      </c>
      <c r="Y444" s="25">
        <f>Parameters!W223</f>
        <v>0</v>
      </c>
      <c r="Z444" s="23">
        <f>Parameters!X223</f>
        <v>0</v>
      </c>
      <c r="AA444" s="27">
        <f>Parameters!Y223</f>
        <v>0</v>
      </c>
      <c r="AB444" s="28">
        <f>Parameters!Z223</f>
        <v>0</v>
      </c>
      <c r="AC444" s="23">
        <f>Parameters!AA223</f>
        <v>0</v>
      </c>
    </row>
    <row r="445" spans="1:29">
      <c r="A445" s="29" t="str">
        <f>UPPER(A444)</f>
        <v>0</v>
      </c>
      <c r="B445" s="29">
        <f>B444</f>
        <v>0</v>
      </c>
      <c r="C445" s="30">
        <f>C444</f>
        <v>0</v>
      </c>
      <c r="D445" s="30">
        <f>D444</f>
        <v>0</v>
      </c>
      <c r="E445" s="29">
        <f>E444</f>
        <v>0</v>
      </c>
      <c r="F445" s="29">
        <f>F444</f>
        <v>0</v>
      </c>
      <c r="G445" s="29" t="e">
        <f>IF(C444=1,IF(D444="BUY",E444+(ROUND(F444*G444/B444,0)*B444),E444-(ROUND(F444*G444/B444,0)*B444)),IF(D444="BUY",E444-(ROUND(F444*G444/B444,0)*B444),E444+(ROUND(F444*G444/B444,0)*B444)))</f>
        <v>#DIV/0!</v>
      </c>
      <c r="H445" s="29" t="e">
        <f>IF(C444=1,IF(D444="BUY",G445-(ROUND(F444*H444/B444,0)*B444),G445+(ROUND(F444*H444/B444,0)*B444)),IF(D444="BUY",G445+(ROUND(F444*H444/B444,0)*B444),G445-(ROUND(F444*H444/B444,0)*B444)))</f>
        <v>#DIV/0!</v>
      </c>
      <c r="I445" s="29" t="e">
        <f>IF(D444="BUY",G445+(ROUND(F444*I444/(B444*100),0)*B444),G445-(ROUND(F444*I444/(B444*100),0)*B444))</f>
        <v>#DIV/0!</v>
      </c>
      <c r="J445" s="29" t="e">
        <f>IF(C444=1,IF(D444="BUY",E444+(ROUND(F444*J444/B444,0)*B444),E444-(ROUND(F444*J444/B444,0)*B444)),IF(D444="BUY",E444-(ROUND(F444*J444/B444,0)*B444),E444+(ROUND(F444*J444/B444,0)*B444)))</f>
        <v>#DIV/0!</v>
      </c>
      <c r="K445" s="29" t="e">
        <f>IF(C444=1,IF(D444="BUY",E444-(ROUND(F444*K444/B444,0)*B444),E444+(ROUND(F444*K444/B444,0)*B444)),IF(D444="BUY",E444-(ROUND(F444*K444/B444,0)*B444),E444+(ROUND(F444*K444/B444,0)*B444)))</f>
        <v>#DIV/0!</v>
      </c>
      <c r="L445" s="29" t="e">
        <f t="shared" ref="L445" si="662">IF(D445="BUY",I445+(R445*B445),I445-(R445*B445))</f>
        <v>#DIV/0!</v>
      </c>
      <c r="M445" s="29" t="e">
        <f>IF(D444="BUY",E444+(ROUND(F444*M444/B444,0)*B444),E444-(ROUND(F444*M444/B444,0)*B444))</f>
        <v>#DIV/0!</v>
      </c>
      <c r="N445" s="29" t="e">
        <f>IF(D444="BUY",E444-(ROUND(F444*N444/B444,0)*B444),E444+(ROUND(F444*N444/B444,0)*B444))</f>
        <v>#DIV/0!</v>
      </c>
      <c r="O445" s="31" t="e">
        <f>IF(D445="BUY",N445-VLOOKUP(A445,Symbols!A$1:D$1000,4,FALSE),N445+VLOOKUP(A445,Symbols!A$1:D$1000,4,FALSE))</f>
        <v>#DIV/0!</v>
      </c>
      <c r="P445" s="29">
        <f>P444</f>
        <v>0</v>
      </c>
      <c r="Q445" s="29">
        <f>Q444</f>
        <v>0</v>
      </c>
      <c r="R445" s="29">
        <f>R444</f>
        <v>0</v>
      </c>
      <c r="S445" s="29">
        <f>S444</f>
        <v>0</v>
      </c>
      <c r="T445" s="29">
        <f>T444</f>
        <v>0</v>
      </c>
      <c r="U445" s="29" t="e">
        <f>DATEDIF(DATE(1970,1,1),U444,"D")*86400</f>
        <v>#NUM!</v>
      </c>
      <c r="V445" s="29">
        <f>HOUR(V444)*3600+MINUTE(V444)*60+SECOND(V444)</f>
        <v>0</v>
      </c>
      <c r="W445" s="29" t="e">
        <f>DATEDIF(DATE(1970,1,1),W444,"D")*86400</f>
        <v>#NUM!</v>
      </c>
      <c r="X445" s="29">
        <f>HOUR(X444)*3600+MINUTE(X444)*60+SECOND(X444)</f>
        <v>0</v>
      </c>
      <c r="Y445" s="31">
        <f>(Y444*B445)</f>
        <v>0</v>
      </c>
      <c r="Z445" s="29">
        <f>Z444</f>
        <v>0</v>
      </c>
      <c r="AA445" s="29" t="e">
        <f>DATEDIF(DATE(1970,1,1),AA444,"D")*86400</f>
        <v>#NUM!</v>
      </c>
      <c r="AB445" s="29">
        <f>HOUR(AB444)*3600+MINUTE(AB444)*60+SECOND(AB444)</f>
        <v>0</v>
      </c>
      <c r="AC445" s="29">
        <f>AC444</f>
        <v>0</v>
      </c>
    </row>
    <row r="446" spans="1:29">
      <c r="A446" s="23">
        <f>Parameters!A224</f>
        <v>0</v>
      </c>
      <c r="B446" s="23">
        <f>Parameters!B224</f>
        <v>0</v>
      </c>
      <c r="C446" s="24">
        <f>Parameters!C224</f>
        <v>0</v>
      </c>
      <c r="D446" s="24">
        <f>Parameters!D224</f>
        <v>0</v>
      </c>
      <c r="E446" s="23">
        <f>Parameters!E224</f>
        <v>0</v>
      </c>
      <c r="F446" s="23">
        <f>Parameters!F224</f>
        <v>0</v>
      </c>
      <c r="G446" s="25">
        <f>Parameters!G224</f>
        <v>0</v>
      </c>
      <c r="H446" s="25">
        <f>Parameters!H224</f>
        <v>0</v>
      </c>
      <c r="I446" s="25">
        <f>Parameters!I224</f>
        <v>0</v>
      </c>
      <c r="J446" s="25">
        <f>Parameters!J224</f>
        <v>0</v>
      </c>
      <c r="K446" s="25">
        <f>Parameters!K224</f>
        <v>0</v>
      </c>
      <c r="L446" s="26" t="e">
        <f t="shared" ref="L446" si="663">L447</f>
        <v>#DIV/0!</v>
      </c>
      <c r="M446" s="25">
        <f>Parameters!L224</f>
        <v>0</v>
      </c>
      <c r="N446" s="25">
        <f>Parameters!M224</f>
        <v>0</v>
      </c>
      <c r="O446" s="26" t="e">
        <f t="shared" ref="O446" si="664">O447</f>
        <v>#DIV/0!</v>
      </c>
      <c r="P446" s="23">
        <f>Parameters!N224</f>
        <v>0</v>
      </c>
      <c r="Q446" s="23">
        <f>Parameters!O224</f>
        <v>0</v>
      </c>
      <c r="R446" s="23">
        <f>Parameters!P224</f>
        <v>0</v>
      </c>
      <c r="S446" s="23">
        <f>Parameters!Q224</f>
        <v>0</v>
      </c>
      <c r="T446" s="23">
        <f>Parameters!R224</f>
        <v>0</v>
      </c>
      <c r="U446" s="27">
        <f>Parameters!S224</f>
        <v>0</v>
      </c>
      <c r="V446" s="28">
        <f>Parameters!T224</f>
        <v>0</v>
      </c>
      <c r="W446" s="27">
        <f>Parameters!U224</f>
        <v>0</v>
      </c>
      <c r="X446" s="28">
        <f>Parameters!V224</f>
        <v>0</v>
      </c>
      <c r="Y446" s="25">
        <f>Parameters!W224</f>
        <v>0</v>
      </c>
      <c r="Z446" s="23">
        <f>Parameters!X224</f>
        <v>0</v>
      </c>
      <c r="AA446" s="27">
        <f>Parameters!Y224</f>
        <v>0</v>
      </c>
      <c r="AB446" s="28">
        <f>Parameters!Z224</f>
        <v>0</v>
      </c>
      <c r="AC446" s="23">
        <f>Parameters!AA224</f>
        <v>0</v>
      </c>
    </row>
    <row r="447" spans="1:29">
      <c r="A447" s="29" t="str">
        <f>UPPER(A446)</f>
        <v>0</v>
      </c>
      <c r="B447" s="29">
        <f>B446</f>
        <v>0</v>
      </c>
      <c r="C447" s="30">
        <f>C446</f>
        <v>0</v>
      </c>
      <c r="D447" s="30">
        <f>D446</f>
        <v>0</v>
      </c>
      <c r="E447" s="29">
        <f>E446</f>
        <v>0</v>
      </c>
      <c r="F447" s="29">
        <f>F446</f>
        <v>0</v>
      </c>
      <c r="G447" s="29" t="e">
        <f>IF(C446=1,IF(D446="BUY",E446+(ROUND(F446*G446/B446,0)*B446),E446-(ROUND(F446*G446/B446,0)*B446)),IF(D446="BUY",E446-(ROUND(F446*G446/B446,0)*B446),E446+(ROUND(F446*G446/B446,0)*B446)))</f>
        <v>#DIV/0!</v>
      </c>
      <c r="H447" s="29" t="e">
        <f>IF(C446=1,IF(D446="BUY",G447-(ROUND(F446*H446/B446,0)*B446),G447+(ROUND(F446*H446/B446,0)*B446)),IF(D446="BUY",G447+(ROUND(F446*H446/B446,0)*B446),G447-(ROUND(F446*H446/B446,0)*B446)))</f>
        <v>#DIV/0!</v>
      </c>
      <c r="I447" s="29" t="e">
        <f>IF(D446="BUY",G447+(ROUND(F446*I446/(B446*100),0)*B446),G447-(ROUND(F446*I446/(B446*100),0)*B446))</f>
        <v>#DIV/0!</v>
      </c>
      <c r="J447" s="29" t="e">
        <f>IF(C446=1,IF(D446="BUY",E446+(ROUND(F446*J446/B446,0)*B446),E446-(ROUND(F446*J446/B446,0)*B446)),IF(D446="BUY",E446-(ROUND(F446*J446/B446,0)*B446),E446+(ROUND(F446*J446/B446,0)*B446)))</f>
        <v>#DIV/0!</v>
      </c>
      <c r="K447" s="29" t="e">
        <f>IF(C446=1,IF(D446="BUY",E446-(ROUND(F446*K446/B446,0)*B446),E446+(ROUND(F446*K446/B446,0)*B446)),IF(D446="BUY",E446-(ROUND(F446*K446/B446,0)*B446),E446+(ROUND(F446*K446/B446,0)*B446)))</f>
        <v>#DIV/0!</v>
      </c>
      <c r="L447" s="29" t="e">
        <f t="shared" ref="L447" si="665">IF(D447="BUY",I447+(R447*B447),I447-(R447*B447))</f>
        <v>#DIV/0!</v>
      </c>
      <c r="M447" s="29" t="e">
        <f>IF(D446="BUY",E446+(ROUND(F446*M446/B446,0)*B446),E446-(ROUND(F446*M446/B446,0)*B446))</f>
        <v>#DIV/0!</v>
      </c>
      <c r="N447" s="29" t="e">
        <f>IF(D446="BUY",E446-(ROUND(F446*N446/B446,0)*B446),E446+(ROUND(F446*N446/B446,0)*B446))</f>
        <v>#DIV/0!</v>
      </c>
      <c r="O447" s="31" t="e">
        <f>IF(D447="BUY",N447-VLOOKUP(A447,Symbols!A$1:D$1000,4,FALSE),N447+VLOOKUP(A447,Symbols!A$1:D$1000,4,FALSE))</f>
        <v>#DIV/0!</v>
      </c>
      <c r="P447" s="29">
        <f>P446</f>
        <v>0</v>
      </c>
      <c r="Q447" s="29">
        <f>Q446</f>
        <v>0</v>
      </c>
      <c r="R447" s="29">
        <f>R446</f>
        <v>0</v>
      </c>
      <c r="S447" s="29">
        <f>S446</f>
        <v>0</v>
      </c>
      <c r="T447" s="29">
        <f>T446</f>
        <v>0</v>
      </c>
      <c r="U447" s="29" t="e">
        <f>DATEDIF(DATE(1970,1,1),U446,"D")*86400</f>
        <v>#NUM!</v>
      </c>
      <c r="V447" s="29">
        <f>HOUR(V446)*3600+MINUTE(V446)*60+SECOND(V446)</f>
        <v>0</v>
      </c>
      <c r="W447" s="29" t="e">
        <f>DATEDIF(DATE(1970,1,1),W446,"D")*86400</f>
        <v>#NUM!</v>
      </c>
      <c r="X447" s="29">
        <f>HOUR(X446)*3600+MINUTE(X446)*60+SECOND(X446)</f>
        <v>0</v>
      </c>
      <c r="Y447" s="31">
        <f>(Y446*B447)</f>
        <v>0</v>
      </c>
      <c r="Z447" s="29">
        <f>Z446</f>
        <v>0</v>
      </c>
      <c r="AA447" s="29" t="e">
        <f>DATEDIF(DATE(1970,1,1),AA446,"D")*86400</f>
        <v>#NUM!</v>
      </c>
      <c r="AB447" s="29">
        <f>HOUR(AB446)*3600+MINUTE(AB446)*60+SECOND(AB446)</f>
        <v>0</v>
      </c>
      <c r="AC447" s="29">
        <f>AC446</f>
        <v>0</v>
      </c>
    </row>
    <row r="448" spans="1:29">
      <c r="A448" s="23">
        <f>Parameters!A225</f>
        <v>0</v>
      </c>
      <c r="B448" s="23">
        <f>Parameters!B225</f>
        <v>0</v>
      </c>
      <c r="C448" s="24">
        <f>Parameters!C225</f>
        <v>0</v>
      </c>
      <c r="D448" s="24">
        <f>Parameters!D225</f>
        <v>0</v>
      </c>
      <c r="E448" s="23">
        <f>Parameters!E225</f>
        <v>0</v>
      </c>
      <c r="F448" s="23">
        <f>Parameters!F225</f>
        <v>0</v>
      </c>
      <c r="G448" s="25">
        <f>Parameters!G225</f>
        <v>0</v>
      </c>
      <c r="H448" s="25">
        <f>Parameters!H225</f>
        <v>0</v>
      </c>
      <c r="I448" s="25">
        <f>Parameters!I225</f>
        <v>0</v>
      </c>
      <c r="J448" s="25">
        <f>Parameters!J225</f>
        <v>0</v>
      </c>
      <c r="K448" s="25">
        <f>Parameters!K225</f>
        <v>0</v>
      </c>
      <c r="L448" s="26" t="e">
        <f t="shared" ref="L448" si="666">L449</f>
        <v>#DIV/0!</v>
      </c>
      <c r="M448" s="25">
        <f>Parameters!L225</f>
        <v>0</v>
      </c>
      <c r="N448" s="25">
        <f>Parameters!M225</f>
        <v>0</v>
      </c>
      <c r="O448" s="26" t="e">
        <f t="shared" ref="O448" si="667">O449</f>
        <v>#DIV/0!</v>
      </c>
      <c r="P448" s="23">
        <f>Parameters!N225</f>
        <v>0</v>
      </c>
      <c r="Q448" s="23">
        <f>Parameters!O225</f>
        <v>0</v>
      </c>
      <c r="R448" s="23">
        <f>Parameters!P225</f>
        <v>0</v>
      </c>
      <c r="S448" s="23">
        <f>Parameters!Q225</f>
        <v>0</v>
      </c>
      <c r="T448" s="23">
        <f>Parameters!R225</f>
        <v>0</v>
      </c>
      <c r="U448" s="27">
        <f>Parameters!S225</f>
        <v>0</v>
      </c>
      <c r="V448" s="28">
        <f>Parameters!T225</f>
        <v>0</v>
      </c>
      <c r="W448" s="27">
        <f>Parameters!U225</f>
        <v>0</v>
      </c>
      <c r="X448" s="28">
        <f>Parameters!V225</f>
        <v>0</v>
      </c>
      <c r="Y448" s="25">
        <f>Parameters!W225</f>
        <v>0</v>
      </c>
      <c r="Z448" s="23">
        <f>Parameters!X225</f>
        <v>0</v>
      </c>
      <c r="AA448" s="27">
        <f>Parameters!Y225</f>
        <v>0</v>
      </c>
      <c r="AB448" s="28">
        <f>Parameters!Z225</f>
        <v>0</v>
      </c>
      <c r="AC448" s="23">
        <f>Parameters!AA225</f>
        <v>0</v>
      </c>
    </row>
    <row r="449" spans="1:29">
      <c r="A449" s="29" t="str">
        <f>UPPER(A448)</f>
        <v>0</v>
      </c>
      <c r="B449" s="29">
        <f>B448</f>
        <v>0</v>
      </c>
      <c r="C449" s="30">
        <f>C448</f>
        <v>0</v>
      </c>
      <c r="D449" s="30">
        <f>D448</f>
        <v>0</v>
      </c>
      <c r="E449" s="29">
        <f>E448</f>
        <v>0</v>
      </c>
      <c r="F449" s="29">
        <f>F448</f>
        <v>0</v>
      </c>
      <c r="G449" s="29" t="e">
        <f>IF(C448=1,IF(D448="BUY",E448+(ROUND(F448*G448/B448,0)*B448),E448-(ROUND(F448*G448/B448,0)*B448)),IF(D448="BUY",E448-(ROUND(F448*G448/B448,0)*B448),E448+(ROUND(F448*G448/B448,0)*B448)))</f>
        <v>#DIV/0!</v>
      </c>
      <c r="H449" s="29" t="e">
        <f>IF(C448=1,IF(D448="BUY",G449-(ROUND(F448*H448/B448,0)*B448),G449+(ROUND(F448*H448/B448,0)*B448)),IF(D448="BUY",G449+(ROUND(F448*H448/B448,0)*B448),G449-(ROUND(F448*H448/B448,0)*B448)))</f>
        <v>#DIV/0!</v>
      </c>
      <c r="I449" s="29" t="e">
        <f>IF(D448="BUY",G449+(ROUND(F448*I448/(B448*100),0)*B448),G449-(ROUND(F448*I448/(B448*100),0)*B448))</f>
        <v>#DIV/0!</v>
      </c>
      <c r="J449" s="29" t="e">
        <f>IF(C448=1,IF(D448="BUY",E448+(ROUND(F448*J448/B448,0)*B448),E448-(ROUND(F448*J448/B448,0)*B448)),IF(D448="BUY",E448-(ROUND(F448*J448/B448,0)*B448),E448+(ROUND(F448*J448/B448,0)*B448)))</f>
        <v>#DIV/0!</v>
      </c>
      <c r="K449" s="29" t="e">
        <f>IF(C448=1,IF(D448="BUY",E448-(ROUND(F448*K448/B448,0)*B448),E448+(ROUND(F448*K448/B448,0)*B448)),IF(D448="BUY",E448-(ROUND(F448*K448/B448,0)*B448),E448+(ROUND(F448*K448/B448,0)*B448)))</f>
        <v>#DIV/0!</v>
      </c>
      <c r="L449" s="29" t="e">
        <f t="shared" ref="L449" si="668">IF(D449="BUY",I449+(R449*B449),I449-(R449*B449))</f>
        <v>#DIV/0!</v>
      </c>
      <c r="M449" s="29" t="e">
        <f>IF(D448="BUY",E448+(ROUND(F448*M448/B448,0)*B448),E448-(ROUND(F448*M448/B448,0)*B448))</f>
        <v>#DIV/0!</v>
      </c>
      <c r="N449" s="29" t="e">
        <f>IF(D448="BUY",E448-(ROUND(F448*N448/B448,0)*B448),E448+(ROUND(F448*N448/B448,0)*B448))</f>
        <v>#DIV/0!</v>
      </c>
      <c r="O449" s="31" t="e">
        <f>IF(D449="BUY",N449-VLOOKUP(A449,Symbols!A$1:D$1000,4,FALSE),N449+VLOOKUP(A449,Symbols!A$1:D$1000,4,FALSE))</f>
        <v>#DIV/0!</v>
      </c>
      <c r="P449" s="29">
        <f>P448</f>
        <v>0</v>
      </c>
      <c r="Q449" s="29">
        <f>Q448</f>
        <v>0</v>
      </c>
      <c r="R449" s="29">
        <f>R448</f>
        <v>0</v>
      </c>
      <c r="S449" s="29">
        <f>S448</f>
        <v>0</v>
      </c>
      <c r="T449" s="29">
        <f>T448</f>
        <v>0</v>
      </c>
      <c r="U449" s="29" t="e">
        <f>DATEDIF(DATE(1970,1,1),U448,"D")*86400</f>
        <v>#NUM!</v>
      </c>
      <c r="V449" s="29">
        <f>HOUR(V448)*3600+MINUTE(V448)*60+SECOND(V448)</f>
        <v>0</v>
      </c>
      <c r="W449" s="29" t="e">
        <f>DATEDIF(DATE(1970,1,1),W448,"D")*86400</f>
        <v>#NUM!</v>
      </c>
      <c r="X449" s="29">
        <f>HOUR(X448)*3600+MINUTE(X448)*60+SECOND(X448)</f>
        <v>0</v>
      </c>
      <c r="Y449" s="31">
        <f>(Y448*B449)</f>
        <v>0</v>
      </c>
      <c r="Z449" s="29">
        <f>Z448</f>
        <v>0</v>
      </c>
      <c r="AA449" s="29" t="e">
        <f>DATEDIF(DATE(1970,1,1),AA448,"D")*86400</f>
        <v>#NUM!</v>
      </c>
      <c r="AB449" s="29">
        <f>HOUR(AB448)*3600+MINUTE(AB448)*60+SECOND(AB448)</f>
        <v>0</v>
      </c>
      <c r="AC449" s="29">
        <f>AC448</f>
        <v>0</v>
      </c>
    </row>
    <row r="450" spans="1:29">
      <c r="A450" s="23">
        <f>Parameters!A226</f>
        <v>0</v>
      </c>
      <c r="B450" s="23">
        <f>Parameters!B226</f>
        <v>0</v>
      </c>
      <c r="C450" s="24">
        <f>Parameters!C226</f>
        <v>0</v>
      </c>
      <c r="D450" s="24">
        <f>Parameters!D226</f>
        <v>0</v>
      </c>
      <c r="E450" s="23">
        <f>Parameters!E226</f>
        <v>0</v>
      </c>
      <c r="F450" s="23">
        <f>Parameters!F226</f>
        <v>0</v>
      </c>
      <c r="G450" s="25">
        <f>Parameters!G226</f>
        <v>0</v>
      </c>
      <c r="H450" s="25">
        <f>Parameters!H226</f>
        <v>0</v>
      </c>
      <c r="I450" s="25">
        <f>Parameters!I226</f>
        <v>0</v>
      </c>
      <c r="J450" s="25">
        <f>Parameters!J226</f>
        <v>0</v>
      </c>
      <c r="K450" s="25">
        <f>Parameters!K226</f>
        <v>0</v>
      </c>
      <c r="L450" s="26" t="e">
        <f t="shared" ref="L450" si="669">L451</f>
        <v>#DIV/0!</v>
      </c>
      <c r="M450" s="25">
        <f>Parameters!L226</f>
        <v>0</v>
      </c>
      <c r="N450" s="25">
        <f>Parameters!M226</f>
        <v>0</v>
      </c>
      <c r="O450" s="26" t="e">
        <f t="shared" ref="O450" si="670">O451</f>
        <v>#DIV/0!</v>
      </c>
      <c r="P450" s="23">
        <f>Parameters!N226</f>
        <v>0</v>
      </c>
      <c r="Q450" s="23">
        <f>Parameters!O226</f>
        <v>0</v>
      </c>
      <c r="R450" s="23">
        <f>Parameters!P226</f>
        <v>0</v>
      </c>
      <c r="S450" s="23">
        <f>Parameters!Q226</f>
        <v>0</v>
      </c>
      <c r="T450" s="23">
        <f>Parameters!R226</f>
        <v>0</v>
      </c>
      <c r="U450" s="27">
        <f>Parameters!S226</f>
        <v>0</v>
      </c>
      <c r="V450" s="28">
        <f>Parameters!T226</f>
        <v>0</v>
      </c>
      <c r="W450" s="27">
        <f>Parameters!U226</f>
        <v>0</v>
      </c>
      <c r="X450" s="28">
        <f>Parameters!V226</f>
        <v>0</v>
      </c>
      <c r="Y450" s="25">
        <f>Parameters!W226</f>
        <v>0</v>
      </c>
      <c r="Z450" s="23">
        <f>Parameters!X226</f>
        <v>0</v>
      </c>
      <c r="AA450" s="27">
        <f>Parameters!Y226</f>
        <v>0</v>
      </c>
      <c r="AB450" s="28">
        <f>Parameters!Z226</f>
        <v>0</v>
      </c>
      <c r="AC450" s="23">
        <f>Parameters!AA226</f>
        <v>0</v>
      </c>
    </row>
    <row r="451" spans="1:29">
      <c r="A451" s="29" t="str">
        <f>UPPER(A450)</f>
        <v>0</v>
      </c>
      <c r="B451" s="29">
        <f>B450</f>
        <v>0</v>
      </c>
      <c r="C451" s="30">
        <f>C450</f>
        <v>0</v>
      </c>
      <c r="D451" s="30">
        <f>D450</f>
        <v>0</v>
      </c>
      <c r="E451" s="29">
        <f>E450</f>
        <v>0</v>
      </c>
      <c r="F451" s="29">
        <f>F450</f>
        <v>0</v>
      </c>
      <c r="G451" s="29" t="e">
        <f>IF(C450=1,IF(D450="BUY",E450+(ROUND(F450*G450/B450,0)*B450),E450-(ROUND(F450*G450/B450,0)*B450)),IF(D450="BUY",E450-(ROUND(F450*G450/B450,0)*B450),E450+(ROUND(F450*G450/B450,0)*B450)))</f>
        <v>#DIV/0!</v>
      </c>
      <c r="H451" s="29" t="e">
        <f>IF(C450=1,IF(D450="BUY",G451-(ROUND(F450*H450/B450,0)*B450),G451+(ROUND(F450*H450/B450,0)*B450)),IF(D450="BUY",G451+(ROUND(F450*H450/B450,0)*B450),G451-(ROUND(F450*H450/B450,0)*B450)))</f>
        <v>#DIV/0!</v>
      </c>
      <c r="I451" s="29" t="e">
        <f>IF(D450="BUY",G451+(ROUND(F450*I450/(B450*100),0)*B450),G451-(ROUND(F450*I450/(B450*100),0)*B450))</f>
        <v>#DIV/0!</v>
      </c>
      <c r="J451" s="29" t="e">
        <f>IF(C450=1,IF(D450="BUY",E450+(ROUND(F450*J450/B450,0)*B450),E450-(ROUND(F450*J450/B450,0)*B450)),IF(D450="BUY",E450-(ROUND(F450*J450/B450,0)*B450),E450+(ROUND(F450*J450/B450,0)*B450)))</f>
        <v>#DIV/0!</v>
      </c>
      <c r="K451" s="29" t="e">
        <f>IF(C450=1,IF(D450="BUY",E450-(ROUND(F450*K450/B450,0)*B450),E450+(ROUND(F450*K450/B450,0)*B450)),IF(D450="BUY",E450-(ROUND(F450*K450/B450,0)*B450),E450+(ROUND(F450*K450/B450,0)*B450)))</f>
        <v>#DIV/0!</v>
      </c>
      <c r="L451" s="29" t="e">
        <f t="shared" ref="L451" si="671">IF(D451="BUY",I451+(R451*B451),I451-(R451*B451))</f>
        <v>#DIV/0!</v>
      </c>
      <c r="M451" s="29" t="e">
        <f>IF(D450="BUY",E450+(ROUND(F450*M450/B450,0)*B450),E450-(ROUND(F450*M450/B450,0)*B450))</f>
        <v>#DIV/0!</v>
      </c>
      <c r="N451" s="29" t="e">
        <f>IF(D450="BUY",E450-(ROUND(F450*N450/B450,0)*B450),E450+(ROUND(F450*N450/B450,0)*B450))</f>
        <v>#DIV/0!</v>
      </c>
      <c r="O451" s="31" t="e">
        <f>IF(D451="BUY",N451-VLOOKUP(A451,Symbols!A$1:D$1000,4,FALSE),N451+VLOOKUP(A451,Symbols!A$1:D$1000,4,FALSE))</f>
        <v>#DIV/0!</v>
      </c>
      <c r="P451" s="29">
        <f>P450</f>
        <v>0</v>
      </c>
      <c r="Q451" s="29">
        <f>Q450</f>
        <v>0</v>
      </c>
      <c r="R451" s="29">
        <f>R450</f>
        <v>0</v>
      </c>
      <c r="S451" s="29">
        <f>S450</f>
        <v>0</v>
      </c>
      <c r="T451" s="29">
        <f>T450</f>
        <v>0</v>
      </c>
      <c r="U451" s="29" t="e">
        <f>DATEDIF(DATE(1970,1,1),U450,"D")*86400</f>
        <v>#NUM!</v>
      </c>
      <c r="V451" s="29">
        <f>HOUR(V450)*3600+MINUTE(V450)*60+SECOND(V450)</f>
        <v>0</v>
      </c>
      <c r="W451" s="29" t="e">
        <f>DATEDIF(DATE(1970,1,1),W450,"D")*86400</f>
        <v>#NUM!</v>
      </c>
      <c r="X451" s="29">
        <f>HOUR(X450)*3600+MINUTE(X450)*60+SECOND(X450)</f>
        <v>0</v>
      </c>
      <c r="Y451" s="31">
        <f>(Y450*B451)</f>
        <v>0</v>
      </c>
      <c r="Z451" s="29">
        <f>Z450</f>
        <v>0</v>
      </c>
      <c r="AA451" s="29" t="e">
        <f>DATEDIF(DATE(1970,1,1),AA450,"D")*86400</f>
        <v>#NUM!</v>
      </c>
      <c r="AB451" s="29">
        <f>HOUR(AB450)*3600+MINUTE(AB450)*60+SECOND(AB450)</f>
        <v>0</v>
      </c>
      <c r="AC451" s="29">
        <f>AC450</f>
        <v>0</v>
      </c>
    </row>
    <row r="452" spans="1:29">
      <c r="A452" s="23">
        <f>Parameters!A227</f>
        <v>0</v>
      </c>
      <c r="B452" s="23">
        <f>Parameters!B227</f>
        <v>0</v>
      </c>
      <c r="C452" s="24">
        <f>Parameters!C227</f>
        <v>0</v>
      </c>
      <c r="D452" s="24">
        <f>Parameters!D227</f>
        <v>0</v>
      </c>
      <c r="E452" s="23">
        <f>Parameters!E227</f>
        <v>0</v>
      </c>
      <c r="F452" s="23">
        <f>Parameters!F227</f>
        <v>0</v>
      </c>
      <c r="G452" s="25">
        <f>Parameters!G227</f>
        <v>0</v>
      </c>
      <c r="H452" s="25">
        <f>Parameters!H227</f>
        <v>0</v>
      </c>
      <c r="I452" s="25">
        <f>Parameters!I227</f>
        <v>0</v>
      </c>
      <c r="J452" s="25">
        <f>Parameters!J227</f>
        <v>0</v>
      </c>
      <c r="K452" s="25">
        <f>Parameters!K227</f>
        <v>0</v>
      </c>
      <c r="L452" s="26" t="e">
        <f t="shared" ref="L452" si="672">L453</f>
        <v>#DIV/0!</v>
      </c>
      <c r="M452" s="25">
        <f>Parameters!L227</f>
        <v>0</v>
      </c>
      <c r="N452" s="25">
        <f>Parameters!M227</f>
        <v>0</v>
      </c>
      <c r="O452" s="26" t="e">
        <f t="shared" ref="O452" si="673">O453</f>
        <v>#DIV/0!</v>
      </c>
      <c r="P452" s="23">
        <f>Parameters!N227</f>
        <v>0</v>
      </c>
      <c r="Q452" s="23">
        <f>Parameters!O227</f>
        <v>0</v>
      </c>
      <c r="R452" s="23">
        <f>Parameters!P227</f>
        <v>0</v>
      </c>
      <c r="S452" s="23">
        <f>Parameters!Q227</f>
        <v>0</v>
      </c>
      <c r="T452" s="23">
        <f>Parameters!R227</f>
        <v>0</v>
      </c>
      <c r="U452" s="27">
        <f>Parameters!S227</f>
        <v>0</v>
      </c>
      <c r="V452" s="28">
        <f>Parameters!T227</f>
        <v>0</v>
      </c>
      <c r="W452" s="27">
        <f>Parameters!U227</f>
        <v>0</v>
      </c>
      <c r="X452" s="28">
        <f>Parameters!V227</f>
        <v>0</v>
      </c>
      <c r="Y452" s="25">
        <f>Parameters!W227</f>
        <v>0</v>
      </c>
      <c r="Z452" s="23">
        <f>Parameters!X227</f>
        <v>0</v>
      </c>
      <c r="AA452" s="27">
        <f>Parameters!Y227</f>
        <v>0</v>
      </c>
      <c r="AB452" s="28">
        <f>Parameters!Z227</f>
        <v>0</v>
      </c>
      <c r="AC452" s="23">
        <f>Parameters!AA227</f>
        <v>0</v>
      </c>
    </row>
    <row r="453" spans="1:29">
      <c r="A453" s="29" t="str">
        <f>UPPER(A452)</f>
        <v>0</v>
      </c>
      <c r="B453" s="29">
        <f>B452</f>
        <v>0</v>
      </c>
      <c r="C453" s="30">
        <f>C452</f>
        <v>0</v>
      </c>
      <c r="D453" s="30">
        <f>D452</f>
        <v>0</v>
      </c>
      <c r="E453" s="29">
        <f>E452</f>
        <v>0</v>
      </c>
      <c r="F453" s="29">
        <f>F452</f>
        <v>0</v>
      </c>
      <c r="G453" s="29" t="e">
        <f>IF(C452=1,IF(D452="BUY",E452+(ROUND(F452*G452/B452,0)*B452),E452-(ROUND(F452*G452/B452,0)*B452)),IF(D452="BUY",E452-(ROUND(F452*G452/B452,0)*B452),E452+(ROUND(F452*G452/B452,0)*B452)))</f>
        <v>#DIV/0!</v>
      </c>
      <c r="H453" s="29" t="e">
        <f>IF(C452=1,IF(D452="BUY",G453-(ROUND(F452*H452/B452,0)*B452),G453+(ROUND(F452*H452/B452,0)*B452)),IF(D452="BUY",G453+(ROUND(F452*H452/B452,0)*B452),G453-(ROUND(F452*H452/B452,0)*B452)))</f>
        <v>#DIV/0!</v>
      </c>
      <c r="I453" s="29" t="e">
        <f>IF(D452="BUY",G453+(ROUND(F452*I452/(B452*100),0)*B452),G453-(ROUND(F452*I452/(B452*100),0)*B452))</f>
        <v>#DIV/0!</v>
      </c>
      <c r="J453" s="29" t="e">
        <f>IF(C452=1,IF(D452="BUY",E452+(ROUND(F452*J452/B452,0)*B452),E452-(ROUND(F452*J452/B452,0)*B452)),IF(D452="BUY",E452-(ROUND(F452*J452/B452,0)*B452),E452+(ROUND(F452*J452/B452,0)*B452)))</f>
        <v>#DIV/0!</v>
      </c>
      <c r="K453" s="29" t="e">
        <f>IF(C452=1,IF(D452="BUY",E452-(ROUND(F452*K452/B452,0)*B452),E452+(ROUND(F452*K452/B452,0)*B452)),IF(D452="BUY",E452-(ROUND(F452*K452/B452,0)*B452),E452+(ROUND(F452*K452/B452,0)*B452)))</f>
        <v>#DIV/0!</v>
      </c>
      <c r="L453" s="29" t="e">
        <f t="shared" ref="L453" si="674">IF(D453="BUY",I453+(R453*B453),I453-(R453*B453))</f>
        <v>#DIV/0!</v>
      </c>
      <c r="M453" s="29" t="e">
        <f>IF(D452="BUY",E452+(ROUND(F452*M452/B452,0)*B452),E452-(ROUND(F452*M452/B452,0)*B452))</f>
        <v>#DIV/0!</v>
      </c>
      <c r="N453" s="29" t="e">
        <f>IF(D452="BUY",E452-(ROUND(F452*N452/B452,0)*B452),E452+(ROUND(F452*N452/B452,0)*B452))</f>
        <v>#DIV/0!</v>
      </c>
      <c r="O453" s="31" t="e">
        <f>IF(D453="BUY",N453-VLOOKUP(A453,Symbols!A$1:D$1000,4,FALSE),N453+VLOOKUP(A453,Symbols!A$1:D$1000,4,FALSE))</f>
        <v>#DIV/0!</v>
      </c>
      <c r="P453" s="29">
        <f>P452</f>
        <v>0</v>
      </c>
      <c r="Q453" s="29">
        <f>Q452</f>
        <v>0</v>
      </c>
      <c r="R453" s="29">
        <f>R452</f>
        <v>0</v>
      </c>
      <c r="S453" s="29">
        <f>S452</f>
        <v>0</v>
      </c>
      <c r="T453" s="29">
        <f>T452</f>
        <v>0</v>
      </c>
      <c r="U453" s="29" t="e">
        <f>DATEDIF(DATE(1970,1,1),U452,"D")*86400</f>
        <v>#NUM!</v>
      </c>
      <c r="V453" s="29">
        <f>HOUR(V452)*3600+MINUTE(V452)*60+SECOND(V452)</f>
        <v>0</v>
      </c>
      <c r="W453" s="29" t="e">
        <f>DATEDIF(DATE(1970,1,1),W452,"D")*86400</f>
        <v>#NUM!</v>
      </c>
      <c r="X453" s="29">
        <f>HOUR(X452)*3600+MINUTE(X452)*60+SECOND(X452)</f>
        <v>0</v>
      </c>
      <c r="Y453" s="31">
        <f>(Y452*B453)</f>
        <v>0</v>
      </c>
      <c r="Z453" s="29">
        <f>Z452</f>
        <v>0</v>
      </c>
      <c r="AA453" s="29" t="e">
        <f>DATEDIF(DATE(1970,1,1),AA452,"D")*86400</f>
        <v>#NUM!</v>
      </c>
      <c r="AB453" s="29">
        <f>HOUR(AB452)*3600+MINUTE(AB452)*60+SECOND(AB452)</f>
        <v>0</v>
      </c>
      <c r="AC453" s="29">
        <f>AC452</f>
        <v>0</v>
      </c>
    </row>
    <row r="454" spans="1:29">
      <c r="A454" s="23">
        <f>Parameters!A228</f>
        <v>0</v>
      </c>
      <c r="B454" s="23">
        <f>Parameters!B228</f>
        <v>0</v>
      </c>
      <c r="C454" s="24">
        <f>Parameters!C228</f>
        <v>0</v>
      </c>
      <c r="D454" s="24">
        <f>Parameters!D228</f>
        <v>0</v>
      </c>
      <c r="E454" s="23">
        <f>Parameters!E228</f>
        <v>0</v>
      </c>
      <c r="F454" s="23">
        <f>Parameters!F228</f>
        <v>0</v>
      </c>
      <c r="G454" s="25">
        <f>Parameters!G228</f>
        <v>0</v>
      </c>
      <c r="H454" s="25">
        <f>Parameters!H228</f>
        <v>0</v>
      </c>
      <c r="I454" s="25">
        <f>Parameters!I228</f>
        <v>0</v>
      </c>
      <c r="J454" s="25">
        <f>Parameters!J228</f>
        <v>0</v>
      </c>
      <c r="K454" s="25">
        <f>Parameters!K228</f>
        <v>0</v>
      </c>
      <c r="L454" s="26" t="e">
        <f t="shared" ref="L454" si="675">L455</f>
        <v>#DIV/0!</v>
      </c>
      <c r="M454" s="25">
        <f>Parameters!L228</f>
        <v>0</v>
      </c>
      <c r="N454" s="25">
        <f>Parameters!M228</f>
        <v>0</v>
      </c>
      <c r="O454" s="26" t="e">
        <f t="shared" ref="O454" si="676">O455</f>
        <v>#DIV/0!</v>
      </c>
      <c r="P454" s="23">
        <f>Parameters!N228</f>
        <v>0</v>
      </c>
      <c r="Q454" s="23">
        <f>Parameters!O228</f>
        <v>0</v>
      </c>
      <c r="R454" s="23">
        <f>Parameters!P228</f>
        <v>0</v>
      </c>
      <c r="S454" s="23">
        <f>Parameters!Q228</f>
        <v>0</v>
      </c>
      <c r="T454" s="23">
        <f>Parameters!R228</f>
        <v>0</v>
      </c>
      <c r="U454" s="27">
        <f>Parameters!S228</f>
        <v>0</v>
      </c>
      <c r="V454" s="28">
        <f>Parameters!T228</f>
        <v>0</v>
      </c>
      <c r="W454" s="27">
        <f>Parameters!U228</f>
        <v>0</v>
      </c>
      <c r="X454" s="28">
        <f>Parameters!V228</f>
        <v>0</v>
      </c>
      <c r="Y454" s="25">
        <f>Parameters!W228</f>
        <v>0</v>
      </c>
      <c r="Z454" s="23">
        <f>Parameters!X228</f>
        <v>0</v>
      </c>
      <c r="AA454" s="27">
        <f>Parameters!Y228</f>
        <v>0</v>
      </c>
      <c r="AB454" s="28">
        <f>Parameters!Z228</f>
        <v>0</v>
      </c>
      <c r="AC454" s="23">
        <f>Parameters!AA228</f>
        <v>0</v>
      </c>
    </row>
    <row r="455" spans="1:29">
      <c r="A455" s="29" t="str">
        <f>UPPER(A454)</f>
        <v>0</v>
      </c>
      <c r="B455" s="29">
        <f>B454</f>
        <v>0</v>
      </c>
      <c r="C455" s="30">
        <f>C454</f>
        <v>0</v>
      </c>
      <c r="D455" s="30">
        <f>D454</f>
        <v>0</v>
      </c>
      <c r="E455" s="29">
        <f>E454</f>
        <v>0</v>
      </c>
      <c r="F455" s="29">
        <f>F454</f>
        <v>0</v>
      </c>
      <c r="G455" s="29" t="e">
        <f>IF(C454=1,IF(D454="BUY",E454+(ROUND(F454*G454/B454,0)*B454),E454-(ROUND(F454*G454/B454,0)*B454)),IF(D454="BUY",E454-(ROUND(F454*G454/B454,0)*B454),E454+(ROUND(F454*G454/B454,0)*B454)))</f>
        <v>#DIV/0!</v>
      </c>
      <c r="H455" s="29" t="e">
        <f>IF(C454=1,IF(D454="BUY",G455-(ROUND(F454*H454/B454,0)*B454),G455+(ROUND(F454*H454/B454,0)*B454)),IF(D454="BUY",G455+(ROUND(F454*H454/B454,0)*B454),G455-(ROUND(F454*H454/B454,0)*B454)))</f>
        <v>#DIV/0!</v>
      </c>
      <c r="I455" s="29" t="e">
        <f>IF(D454="BUY",G455+(ROUND(F454*I454/(B454*100),0)*B454),G455-(ROUND(F454*I454/(B454*100),0)*B454))</f>
        <v>#DIV/0!</v>
      </c>
      <c r="J455" s="29" t="e">
        <f>IF(C454=1,IF(D454="BUY",E454+(ROUND(F454*J454/B454,0)*B454),E454-(ROUND(F454*J454/B454,0)*B454)),IF(D454="BUY",E454-(ROUND(F454*J454/B454,0)*B454),E454+(ROUND(F454*J454/B454,0)*B454)))</f>
        <v>#DIV/0!</v>
      </c>
      <c r="K455" s="29" t="e">
        <f>IF(C454=1,IF(D454="BUY",E454-(ROUND(F454*K454/B454,0)*B454),E454+(ROUND(F454*K454/B454,0)*B454)),IF(D454="BUY",E454-(ROUND(F454*K454/B454,0)*B454),E454+(ROUND(F454*K454/B454,0)*B454)))</f>
        <v>#DIV/0!</v>
      </c>
      <c r="L455" s="29" t="e">
        <f t="shared" ref="L455" si="677">IF(D455="BUY",I455+(R455*B455),I455-(R455*B455))</f>
        <v>#DIV/0!</v>
      </c>
      <c r="M455" s="29" t="e">
        <f>IF(D454="BUY",E454+(ROUND(F454*M454/B454,0)*B454),E454-(ROUND(F454*M454/B454,0)*B454))</f>
        <v>#DIV/0!</v>
      </c>
      <c r="N455" s="29" t="e">
        <f>IF(D454="BUY",E454-(ROUND(F454*N454/B454,0)*B454),E454+(ROUND(F454*N454/B454,0)*B454))</f>
        <v>#DIV/0!</v>
      </c>
      <c r="O455" s="31" t="e">
        <f>IF(D455="BUY",N455-VLOOKUP(A455,Symbols!A$1:D$1000,4,FALSE),N455+VLOOKUP(A455,Symbols!A$1:D$1000,4,FALSE))</f>
        <v>#DIV/0!</v>
      </c>
      <c r="P455" s="29">
        <f>P454</f>
        <v>0</v>
      </c>
      <c r="Q455" s="29">
        <f>Q454</f>
        <v>0</v>
      </c>
      <c r="R455" s="29">
        <f>R454</f>
        <v>0</v>
      </c>
      <c r="S455" s="29">
        <f>S454</f>
        <v>0</v>
      </c>
      <c r="T455" s="29">
        <f>T454</f>
        <v>0</v>
      </c>
      <c r="U455" s="29" t="e">
        <f>DATEDIF(DATE(1970,1,1),U454,"D")*86400</f>
        <v>#NUM!</v>
      </c>
      <c r="V455" s="29">
        <f>HOUR(V454)*3600+MINUTE(V454)*60+SECOND(V454)</f>
        <v>0</v>
      </c>
      <c r="W455" s="29" t="e">
        <f>DATEDIF(DATE(1970,1,1),W454,"D")*86400</f>
        <v>#NUM!</v>
      </c>
      <c r="X455" s="29">
        <f>HOUR(X454)*3600+MINUTE(X454)*60+SECOND(X454)</f>
        <v>0</v>
      </c>
      <c r="Y455" s="31">
        <f>(Y454*B455)</f>
        <v>0</v>
      </c>
      <c r="Z455" s="29">
        <f>Z454</f>
        <v>0</v>
      </c>
      <c r="AA455" s="29" t="e">
        <f>DATEDIF(DATE(1970,1,1),AA454,"D")*86400</f>
        <v>#NUM!</v>
      </c>
      <c r="AB455" s="29">
        <f>HOUR(AB454)*3600+MINUTE(AB454)*60+SECOND(AB454)</f>
        <v>0</v>
      </c>
      <c r="AC455" s="29">
        <f>AC454</f>
        <v>0</v>
      </c>
    </row>
    <row r="456" spans="1:29">
      <c r="A456" s="23">
        <f>Parameters!A229</f>
        <v>0</v>
      </c>
      <c r="B456" s="23">
        <f>Parameters!B229</f>
        <v>0</v>
      </c>
      <c r="C456" s="24">
        <f>Parameters!C229</f>
        <v>0</v>
      </c>
      <c r="D456" s="24">
        <f>Parameters!D229</f>
        <v>0</v>
      </c>
      <c r="E456" s="23">
        <f>Parameters!E229</f>
        <v>0</v>
      </c>
      <c r="F456" s="23">
        <f>Parameters!F229</f>
        <v>0</v>
      </c>
      <c r="G456" s="25">
        <f>Parameters!G229</f>
        <v>0</v>
      </c>
      <c r="H456" s="25">
        <f>Parameters!H229</f>
        <v>0</v>
      </c>
      <c r="I456" s="25">
        <f>Parameters!I229</f>
        <v>0</v>
      </c>
      <c r="J456" s="25">
        <f>Parameters!J229</f>
        <v>0</v>
      </c>
      <c r="K456" s="25">
        <f>Parameters!K229</f>
        <v>0</v>
      </c>
      <c r="L456" s="26" t="e">
        <f t="shared" ref="L456" si="678">L457</f>
        <v>#DIV/0!</v>
      </c>
      <c r="M456" s="25">
        <f>Parameters!L229</f>
        <v>0</v>
      </c>
      <c r="N456" s="25">
        <f>Parameters!M229</f>
        <v>0</v>
      </c>
      <c r="O456" s="26" t="e">
        <f t="shared" ref="O456" si="679">O457</f>
        <v>#DIV/0!</v>
      </c>
      <c r="P456" s="23">
        <f>Parameters!N229</f>
        <v>0</v>
      </c>
      <c r="Q456" s="23">
        <f>Parameters!O229</f>
        <v>0</v>
      </c>
      <c r="R456" s="23">
        <f>Parameters!P229</f>
        <v>0</v>
      </c>
      <c r="S456" s="23">
        <f>Parameters!Q229</f>
        <v>0</v>
      </c>
      <c r="T456" s="23">
        <f>Parameters!R229</f>
        <v>0</v>
      </c>
      <c r="U456" s="27">
        <f>Parameters!S229</f>
        <v>0</v>
      </c>
      <c r="V456" s="28">
        <f>Parameters!T229</f>
        <v>0</v>
      </c>
      <c r="W456" s="27">
        <f>Parameters!U229</f>
        <v>0</v>
      </c>
      <c r="X456" s="28">
        <f>Parameters!V229</f>
        <v>0</v>
      </c>
      <c r="Y456" s="25">
        <f>Parameters!W229</f>
        <v>0</v>
      </c>
      <c r="Z456" s="23">
        <f>Parameters!X229</f>
        <v>0</v>
      </c>
      <c r="AA456" s="27">
        <f>Parameters!Y229</f>
        <v>0</v>
      </c>
      <c r="AB456" s="28">
        <f>Parameters!Z229</f>
        <v>0</v>
      </c>
      <c r="AC456" s="23">
        <f>Parameters!AA229</f>
        <v>0</v>
      </c>
    </row>
    <row r="457" spans="1:29">
      <c r="A457" s="29" t="str">
        <f>UPPER(A456)</f>
        <v>0</v>
      </c>
      <c r="B457" s="29">
        <f>B456</f>
        <v>0</v>
      </c>
      <c r="C457" s="30">
        <f>C456</f>
        <v>0</v>
      </c>
      <c r="D457" s="30">
        <f>D456</f>
        <v>0</v>
      </c>
      <c r="E457" s="29">
        <f>E456</f>
        <v>0</v>
      </c>
      <c r="F457" s="29">
        <f>F456</f>
        <v>0</v>
      </c>
      <c r="G457" s="29" t="e">
        <f>IF(C456=1,IF(D456="BUY",E456+(ROUND(F456*G456/B456,0)*B456),E456-(ROUND(F456*G456/B456,0)*B456)),IF(D456="BUY",E456-(ROUND(F456*G456/B456,0)*B456),E456+(ROUND(F456*G456/B456,0)*B456)))</f>
        <v>#DIV/0!</v>
      </c>
      <c r="H457" s="29" t="e">
        <f>IF(C456=1,IF(D456="BUY",G457-(ROUND(F456*H456/B456,0)*B456),G457+(ROUND(F456*H456/B456,0)*B456)),IF(D456="BUY",G457+(ROUND(F456*H456/B456,0)*B456),G457-(ROUND(F456*H456/B456,0)*B456)))</f>
        <v>#DIV/0!</v>
      </c>
      <c r="I457" s="29" t="e">
        <f>IF(D456="BUY",G457+(ROUND(F456*I456/(B456*100),0)*B456),G457-(ROUND(F456*I456/(B456*100),0)*B456))</f>
        <v>#DIV/0!</v>
      </c>
      <c r="J457" s="29" t="e">
        <f>IF(C456=1,IF(D456="BUY",E456+(ROUND(F456*J456/B456,0)*B456),E456-(ROUND(F456*J456/B456,0)*B456)),IF(D456="BUY",E456-(ROUND(F456*J456/B456,0)*B456),E456+(ROUND(F456*J456/B456,0)*B456)))</f>
        <v>#DIV/0!</v>
      </c>
      <c r="K457" s="29" t="e">
        <f>IF(C456=1,IF(D456="BUY",E456-(ROUND(F456*K456/B456,0)*B456),E456+(ROUND(F456*K456/B456,0)*B456)),IF(D456="BUY",E456-(ROUND(F456*K456/B456,0)*B456),E456+(ROUND(F456*K456/B456,0)*B456)))</f>
        <v>#DIV/0!</v>
      </c>
      <c r="L457" s="29" t="e">
        <f t="shared" ref="L457" si="680">IF(D457="BUY",I457+(R457*B457),I457-(R457*B457))</f>
        <v>#DIV/0!</v>
      </c>
      <c r="M457" s="29" t="e">
        <f>IF(D456="BUY",E456+(ROUND(F456*M456/B456,0)*B456),E456-(ROUND(F456*M456/B456,0)*B456))</f>
        <v>#DIV/0!</v>
      </c>
      <c r="N457" s="29" t="e">
        <f>IF(D456="BUY",E456-(ROUND(F456*N456/B456,0)*B456),E456+(ROUND(F456*N456/B456,0)*B456))</f>
        <v>#DIV/0!</v>
      </c>
      <c r="O457" s="31" t="e">
        <f>IF(D457="BUY",N457-VLOOKUP(A457,Symbols!A$1:D$1000,4,FALSE),N457+VLOOKUP(A457,Symbols!A$1:D$1000,4,FALSE))</f>
        <v>#DIV/0!</v>
      </c>
      <c r="P457" s="29">
        <f>P456</f>
        <v>0</v>
      </c>
      <c r="Q457" s="29">
        <f>Q456</f>
        <v>0</v>
      </c>
      <c r="R457" s="29">
        <f>R456</f>
        <v>0</v>
      </c>
      <c r="S457" s="29">
        <f>S456</f>
        <v>0</v>
      </c>
      <c r="T457" s="29">
        <f>T456</f>
        <v>0</v>
      </c>
      <c r="U457" s="29" t="e">
        <f>DATEDIF(DATE(1970,1,1),U456,"D")*86400</f>
        <v>#NUM!</v>
      </c>
      <c r="V457" s="29">
        <f>HOUR(V456)*3600+MINUTE(V456)*60+SECOND(V456)</f>
        <v>0</v>
      </c>
      <c r="W457" s="29" t="e">
        <f>DATEDIF(DATE(1970,1,1),W456,"D")*86400</f>
        <v>#NUM!</v>
      </c>
      <c r="X457" s="29">
        <f>HOUR(X456)*3600+MINUTE(X456)*60+SECOND(X456)</f>
        <v>0</v>
      </c>
      <c r="Y457" s="31">
        <f>(Y456*B457)</f>
        <v>0</v>
      </c>
      <c r="Z457" s="29">
        <f>Z456</f>
        <v>0</v>
      </c>
      <c r="AA457" s="29" t="e">
        <f>DATEDIF(DATE(1970,1,1),AA456,"D")*86400</f>
        <v>#NUM!</v>
      </c>
      <c r="AB457" s="29">
        <f>HOUR(AB456)*3600+MINUTE(AB456)*60+SECOND(AB456)</f>
        <v>0</v>
      </c>
      <c r="AC457" s="29">
        <f>AC456</f>
        <v>0</v>
      </c>
    </row>
    <row r="458" spans="1:29">
      <c r="A458" s="23">
        <f>Parameters!A230</f>
        <v>0</v>
      </c>
      <c r="B458" s="23">
        <f>Parameters!B230</f>
        <v>0</v>
      </c>
      <c r="C458" s="24">
        <f>Parameters!C230</f>
        <v>0</v>
      </c>
      <c r="D458" s="24">
        <f>Parameters!D230</f>
        <v>0</v>
      </c>
      <c r="E458" s="23">
        <f>Parameters!E230</f>
        <v>0</v>
      </c>
      <c r="F458" s="23">
        <f>Parameters!F230</f>
        <v>0</v>
      </c>
      <c r="G458" s="25">
        <f>Parameters!G230</f>
        <v>0</v>
      </c>
      <c r="H458" s="25">
        <f>Parameters!H230</f>
        <v>0</v>
      </c>
      <c r="I458" s="25">
        <f>Parameters!I230</f>
        <v>0</v>
      </c>
      <c r="J458" s="25">
        <f>Parameters!J230</f>
        <v>0</v>
      </c>
      <c r="K458" s="25">
        <f>Parameters!K230</f>
        <v>0</v>
      </c>
      <c r="L458" s="26" t="e">
        <f t="shared" ref="L458" si="681">L459</f>
        <v>#DIV/0!</v>
      </c>
      <c r="M458" s="25">
        <f>Parameters!L230</f>
        <v>0</v>
      </c>
      <c r="N458" s="25">
        <f>Parameters!M230</f>
        <v>0</v>
      </c>
      <c r="O458" s="26" t="e">
        <f t="shared" ref="O458" si="682">O459</f>
        <v>#DIV/0!</v>
      </c>
      <c r="P458" s="23">
        <f>Parameters!N230</f>
        <v>0</v>
      </c>
      <c r="Q458" s="23">
        <f>Parameters!O230</f>
        <v>0</v>
      </c>
      <c r="R458" s="23">
        <f>Parameters!P230</f>
        <v>0</v>
      </c>
      <c r="S458" s="23">
        <f>Parameters!Q230</f>
        <v>0</v>
      </c>
      <c r="T458" s="23">
        <f>Parameters!R230</f>
        <v>0</v>
      </c>
      <c r="U458" s="27">
        <f>Parameters!S230</f>
        <v>0</v>
      </c>
      <c r="V458" s="28">
        <f>Parameters!T230</f>
        <v>0</v>
      </c>
      <c r="W458" s="27">
        <f>Parameters!U230</f>
        <v>0</v>
      </c>
      <c r="X458" s="28">
        <f>Parameters!V230</f>
        <v>0</v>
      </c>
      <c r="Y458" s="25">
        <f>Parameters!W230</f>
        <v>0</v>
      </c>
      <c r="Z458" s="23">
        <f>Parameters!X230</f>
        <v>0</v>
      </c>
      <c r="AA458" s="27">
        <f>Parameters!Y230</f>
        <v>0</v>
      </c>
      <c r="AB458" s="28">
        <f>Parameters!Z230</f>
        <v>0</v>
      </c>
      <c r="AC458" s="23">
        <f>Parameters!AA230</f>
        <v>0</v>
      </c>
    </row>
    <row r="459" spans="1:29">
      <c r="A459" s="29" t="str">
        <f>UPPER(A458)</f>
        <v>0</v>
      </c>
      <c r="B459" s="29">
        <f>B458</f>
        <v>0</v>
      </c>
      <c r="C459" s="30">
        <f>C458</f>
        <v>0</v>
      </c>
      <c r="D459" s="30">
        <f>D458</f>
        <v>0</v>
      </c>
      <c r="E459" s="29">
        <f>E458</f>
        <v>0</v>
      </c>
      <c r="F459" s="29">
        <f>F458</f>
        <v>0</v>
      </c>
      <c r="G459" s="29" t="e">
        <f>IF(C458=1,IF(D458="BUY",E458+(ROUND(F458*G458/B458,0)*B458),E458-(ROUND(F458*G458/B458,0)*B458)),IF(D458="BUY",E458-(ROUND(F458*G458/B458,0)*B458),E458+(ROUND(F458*G458/B458,0)*B458)))</f>
        <v>#DIV/0!</v>
      </c>
      <c r="H459" s="29" t="e">
        <f>IF(C458=1,IF(D458="BUY",G459-(ROUND(F458*H458/B458,0)*B458),G459+(ROUND(F458*H458/B458,0)*B458)),IF(D458="BUY",G459+(ROUND(F458*H458/B458,0)*B458),G459-(ROUND(F458*H458/B458,0)*B458)))</f>
        <v>#DIV/0!</v>
      </c>
      <c r="I459" s="29" t="e">
        <f>IF(D458="BUY",G459+(ROUND(F458*I458/(B458*100),0)*B458),G459-(ROUND(F458*I458/(B458*100),0)*B458))</f>
        <v>#DIV/0!</v>
      </c>
      <c r="J459" s="29" t="e">
        <f>IF(C458=1,IF(D458="BUY",E458+(ROUND(F458*J458/B458,0)*B458),E458-(ROUND(F458*J458/B458,0)*B458)),IF(D458="BUY",E458-(ROUND(F458*J458/B458,0)*B458),E458+(ROUND(F458*J458/B458,0)*B458)))</f>
        <v>#DIV/0!</v>
      </c>
      <c r="K459" s="29" t="e">
        <f>IF(C458=1,IF(D458="BUY",E458-(ROUND(F458*K458/B458,0)*B458),E458+(ROUND(F458*K458/B458,0)*B458)),IF(D458="BUY",E458-(ROUND(F458*K458/B458,0)*B458),E458+(ROUND(F458*K458/B458,0)*B458)))</f>
        <v>#DIV/0!</v>
      </c>
      <c r="L459" s="29" t="e">
        <f t="shared" ref="L459" si="683">IF(D459="BUY",I459+(R459*B459),I459-(R459*B459))</f>
        <v>#DIV/0!</v>
      </c>
      <c r="M459" s="29" t="e">
        <f>IF(D458="BUY",E458+(ROUND(F458*M458/B458,0)*B458),E458-(ROUND(F458*M458/B458,0)*B458))</f>
        <v>#DIV/0!</v>
      </c>
      <c r="N459" s="29" t="e">
        <f>IF(D458="BUY",E458-(ROUND(F458*N458/B458,0)*B458),E458+(ROUND(F458*N458/B458,0)*B458))</f>
        <v>#DIV/0!</v>
      </c>
      <c r="O459" s="31" t="e">
        <f>IF(D459="BUY",N459-VLOOKUP(A459,Symbols!A$1:D$1000,4,FALSE),N459+VLOOKUP(A459,Symbols!A$1:D$1000,4,FALSE))</f>
        <v>#DIV/0!</v>
      </c>
      <c r="P459" s="29">
        <f>P458</f>
        <v>0</v>
      </c>
      <c r="Q459" s="29">
        <f>Q458</f>
        <v>0</v>
      </c>
      <c r="R459" s="29">
        <f>R458</f>
        <v>0</v>
      </c>
      <c r="S459" s="29">
        <f>S458</f>
        <v>0</v>
      </c>
      <c r="T459" s="29">
        <f>T458</f>
        <v>0</v>
      </c>
      <c r="U459" s="29" t="e">
        <f>DATEDIF(DATE(1970,1,1),U458,"D")*86400</f>
        <v>#NUM!</v>
      </c>
      <c r="V459" s="29">
        <f>HOUR(V458)*3600+MINUTE(V458)*60+SECOND(V458)</f>
        <v>0</v>
      </c>
      <c r="W459" s="29" t="e">
        <f>DATEDIF(DATE(1970,1,1),W458,"D")*86400</f>
        <v>#NUM!</v>
      </c>
      <c r="X459" s="29">
        <f>HOUR(X458)*3600+MINUTE(X458)*60+SECOND(X458)</f>
        <v>0</v>
      </c>
      <c r="Y459" s="31">
        <f>(Y458*B459)</f>
        <v>0</v>
      </c>
      <c r="Z459" s="29">
        <f>Z458</f>
        <v>0</v>
      </c>
      <c r="AA459" s="29" t="e">
        <f>DATEDIF(DATE(1970,1,1),AA458,"D")*86400</f>
        <v>#NUM!</v>
      </c>
      <c r="AB459" s="29">
        <f>HOUR(AB458)*3600+MINUTE(AB458)*60+SECOND(AB458)</f>
        <v>0</v>
      </c>
      <c r="AC459" s="29">
        <f>AC458</f>
        <v>0</v>
      </c>
    </row>
    <row r="460" spans="1:29">
      <c r="A460" s="23">
        <f>Parameters!A231</f>
        <v>0</v>
      </c>
      <c r="B460" s="23">
        <f>Parameters!B231</f>
        <v>0</v>
      </c>
      <c r="C460" s="24">
        <f>Parameters!C231</f>
        <v>0</v>
      </c>
      <c r="D460" s="24">
        <f>Parameters!D231</f>
        <v>0</v>
      </c>
      <c r="E460" s="23">
        <f>Parameters!E231</f>
        <v>0</v>
      </c>
      <c r="F460" s="23">
        <f>Parameters!F231</f>
        <v>0</v>
      </c>
      <c r="G460" s="25">
        <f>Parameters!G231</f>
        <v>0</v>
      </c>
      <c r="H460" s="25">
        <f>Parameters!H231</f>
        <v>0</v>
      </c>
      <c r="I460" s="25">
        <f>Parameters!I231</f>
        <v>0</v>
      </c>
      <c r="J460" s="25">
        <f>Parameters!J231</f>
        <v>0</v>
      </c>
      <c r="K460" s="25">
        <f>Parameters!K231</f>
        <v>0</v>
      </c>
      <c r="L460" s="26" t="e">
        <f t="shared" ref="L460" si="684">L461</f>
        <v>#DIV/0!</v>
      </c>
      <c r="M460" s="25">
        <f>Parameters!L231</f>
        <v>0</v>
      </c>
      <c r="N460" s="25">
        <f>Parameters!M231</f>
        <v>0</v>
      </c>
      <c r="O460" s="26" t="e">
        <f t="shared" ref="O460" si="685">O461</f>
        <v>#DIV/0!</v>
      </c>
      <c r="P460" s="23">
        <f>Parameters!N231</f>
        <v>0</v>
      </c>
      <c r="Q460" s="23">
        <f>Parameters!O231</f>
        <v>0</v>
      </c>
      <c r="R460" s="23">
        <f>Parameters!P231</f>
        <v>0</v>
      </c>
      <c r="S460" s="23">
        <f>Parameters!Q231</f>
        <v>0</v>
      </c>
      <c r="T460" s="23">
        <f>Parameters!R231</f>
        <v>0</v>
      </c>
      <c r="U460" s="27">
        <f>Parameters!S231</f>
        <v>0</v>
      </c>
      <c r="V460" s="28">
        <f>Parameters!T231</f>
        <v>0</v>
      </c>
      <c r="W460" s="27">
        <f>Parameters!U231</f>
        <v>0</v>
      </c>
      <c r="X460" s="28">
        <f>Parameters!V231</f>
        <v>0</v>
      </c>
      <c r="Y460" s="25">
        <f>Parameters!W231</f>
        <v>0</v>
      </c>
      <c r="Z460" s="23">
        <f>Parameters!X231</f>
        <v>0</v>
      </c>
      <c r="AA460" s="27">
        <f>Parameters!Y231</f>
        <v>0</v>
      </c>
      <c r="AB460" s="28">
        <f>Parameters!Z231</f>
        <v>0</v>
      </c>
      <c r="AC460" s="23">
        <f>Parameters!AA231</f>
        <v>0</v>
      </c>
    </row>
    <row r="461" spans="1:29">
      <c r="A461" s="29" t="str">
        <f>UPPER(A460)</f>
        <v>0</v>
      </c>
      <c r="B461" s="29">
        <f>B460</f>
        <v>0</v>
      </c>
      <c r="C461" s="30">
        <f>C460</f>
        <v>0</v>
      </c>
      <c r="D461" s="30">
        <f>D460</f>
        <v>0</v>
      </c>
      <c r="E461" s="29">
        <f>E460</f>
        <v>0</v>
      </c>
      <c r="F461" s="29">
        <f>F460</f>
        <v>0</v>
      </c>
      <c r="G461" s="29" t="e">
        <f>IF(C460=1,IF(D460="BUY",E460+(ROUND(F460*G460/B460,0)*B460),E460-(ROUND(F460*G460/B460,0)*B460)),IF(D460="BUY",E460-(ROUND(F460*G460/B460,0)*B460),E460+(ROUND(F460*G460/B460,0)*B460)))</f>
        <v>#DIV/0!</v>
      </c>
      <c r="H461" s="29" t="e">
        <f>IF(C460=1,IF(D460="BUY",G461-(ROUND(F460*H460/B460,0)*B460),G461+(ROUND(F460*H460/B460,0)*B460)),IF(D460="BUY",G461+(ROUND(F460*H460/B460,0)*B460),G461-(ROUND(F460*H460/B460,0)*B460)))</f>
        <v>#DIV/0!</v>
      </c>
      <c r="I461" s="29" t="e">
        <f>IF(D460="BUY",G461+(ROUND(F460*I460/(B460*100),0)*B460),G461-(ROUND(F460*I460/(B460*100),0)*B460))</f>
        <v>#DIV/0!</v>
      </c>
      <c r="J461" s="29" t="e">
        <f>IF(C460=1,IF(D460="BUY",E460+(ROUND(F460*J460/B460,0)*B460),E460-(ROUND(F460*J460/B460,0)*B460)),IF(D460="BUY",E460-(ROUND(F460*J460/B460,0)*B460),E460+(ROUND(F460*J460/B460,0)*B460)))</f>
        <v>#DIV/0!</v>
      </c>
      <c r="K461" s="29" t="e">
        <f>IF(C460=1,IF(D460="BUY",E460-(ROUND(F460*K460/B460,0)*B460),E460+(ROUND(F460*K460/B460,0)*B460)),IF(D460="BUY",E460-(ROUND(F460*K460/B460,0)*B460),E460+(ROUND(F460*K460/B460,0)*B460)))</f>
        <v>#DIV/0!</v>
      </c>
      <c r="L461" s="29" t="e">
        <f t="shared" ref="L461" si="686">IF(D461="BUY",I461+(R461*B461),I461-(R461*B461))</f>
        <v>#DIV/0!</v>
      </c>
      <c r="M461" s="29" t="e">
        <f>IF(D460="BUY",E460+(ROUND(F460*M460/B460,0)*B460),E460-(ROUND(F460*M460/B460,0)*B460))</f>
        <v>#DIV/0!</v>
      </c>
      <c r="N461" s="29" t="e">
        <f>IF(D460="BUY",E460-(ROUND(F460*N460/B460,0)*B460),E460+(ROUND(F460*N460/B460,0)*B460))</f>
        <v>#DIV/0!</v>
      </c>
      <c r="O461" s="31" t="e">
        <f>IF(D461="BUY",N461-VLOOKUP(A461,Symbols!A$1:D$1000,4,FALSE),N461+VLOOKUP(A461,Symbols!A$1:D$1000,4,FALSE))</f>
        <v>#DIV/0!</v>
      </c>
      <c r="P461" s="29">
        <f>P460</f>
        <v>0</v>
      </c>
      <c r="Q461" s="29">
        <f>Q460</f>
        <v>0</v>
      </c>
      <c r="R461" s="29">
        <f>R460</f>
        <v>0</v>
      </c>
      <c r="S461" s="29">
        <f>S460</f>
        <v>0</v>
      </c>
      <c r="T461" s="29">
        <f>T460</f>
        <v>0</v>
      </c>
      <c r="U461" s="29" t="e">
        <f>DATEDIF(DATE(1970,1,1),U460,"D")*86400</f>
        <v>#NUM!</v>
      </c>
      <c r="V461" s="29">
        <f>HOUR(V460)*3600+MINUTE(V460)*60+SECOND(V460)</f>
        <v>0</v>
      </c>
      <c r="W461" s="29" t="e">
        <f>DATEDIF(DATE(1970,1,1),W460,"D")*86400</f>
        <v>#NUM!</v>
      </c>
      <c r="X461" s="29">
        <f>HOUR(X460)*3600+MINUTE(X460)*60+SECOND(X460)</f>
        <v>0</v>
      </c>
      <c r="Y461" s="31">
        <f>(Y460*B461)</f>
        <v>0</v>
      </c>
      <c r="Z461" s="29">
        <f>Z460</f>
        <v>0</v>
      </c>
      <c r="AA461" s="29" t="e">
        <f>DATEDIF(DATE(1970,1,1),AA460,"D")*86400</f>
        <v>#NUM!</v>
      </c>
      <c r="AB461" s="29">
        <f>HOUR(AB460)*3600+MINUTE(AB460)*60+SECOND(AB460)</f>
        <v>0</v>
      </c>
      <c r="AC461" s="29">
        <f>AC460</f>
        <v>0</v>
      </c>
    </row>
    <row r="462" spans="1:29">
      <c r="A462" s="23">
        <f>Parameters!A232</f>
        <v>0</v>
      </c>
      <c r="B462" s="23">
        <f>Parameters!B232</f>
        <v>0</v>
      </c>
      <c r="C462" s="24">
        <f>Parameters!C232</f>
        <v>0</v>
      </c>
      <c r="D462" s="24">
        <f>Parameters!D232</f>
        <v>0</v>
      </c>
      <c r="E462" s="23">
        <f>Parameters!E232</f>
        <v>0</v>
      </c>
      <c r="F462" s="23">
        <f>Parameters!F232</f>
        <v>0</v>
      </c>
      <c r="G462" s="25">
        <f>Parameters!G232</f>
        <v>0</v>
      </c>
      <c r="H462" s="25">
        <f>Parameters!H232</f>
        <v>0</v>
      </c>
      <c r="I462" s="25">
        <f>Parameters!I232</f>
        <v>0</v>
      </c>
      <c r="J462" s="25">
        <f>Parameters!J232</f>
        <v>0</v>
      </c>
      <c r="K462" s="25">
        <f>Parameters!K232</f>
        <v>0</v>
      </c>
      <c r="L462" s="26" t="e">
        <f t="shared" ref="L462" si="687">L463</f>
        <v>#DIV/0!</v>
      </c>
      <c r="M462" s="25">
        <f>Parameters!L232</f>
        <v>0</v>
      </c>
      <c r="N462" s="25">
        <f>Parameters!M232</f>
        <v>0</v>
      </c>
      <c r="O462" s="26" t="e">
        <f t="shared" ref="O462" si="688">O463</f>
        <v>#DIV/0!</v>
      </c>
      <c r="P462" s="23">
        <f>Parameters!N232</f>
        <v>0</v>
      </c>
      <c r="Q462" s="23">
        <f>Parameters!O232</f>
        <v>0</v>
      </c>
      <c r="R462" s="23">
        <f>Parameters!P232</f>
        <v>0</v>
      </c>
      <c r="S462" s="23">
        <f>Parameters!Q232</f>
        <v>0</v>
      </c>
      <c r="T462" s="23">
        <f>Parameters!R232</f>
        <v>0</v>
      </c>
      <c r="U462" s="27">
        <f>Parameters!S232</f>
        <v>0</v>
      </c>
      <c r="V462" s="28">
        <f>Parameters!T232</f>
        <v>0</v>
      </c>
      <c r="W462" s="27">
        <f>Parameters!U232</f>
        <v>0</v>
      </c>
      <c r="X462" s="28">
        <f>Parameters!V232</f>
        <v>0</v>
      </c>
      <c r="Y462" s="25">
        <f>Parameters!W232</f>
        <v>0</v>
      </c>
      <c r="Z462" s="23">
        <f>Parameters!X232</f>
        <v>0</v>
      </c>
      <c r="AA462" s="27">
        <f>Parameters!Y232</f>
        <v>0</v>
      </c>
      <c r="AB462" s="28">
        <f>Parameters!Z232</f>
        <v>0</v>
      </c>
      <c r="AC462" s="23">
        <f>Parameters!AA232</f>
        <v>0</v>
      </c>
    </row>
    <row r="463" spans="1:29">
      <c r="A463" s="29" t="str">
        <f>UPPER(A462)</f>
        <v>0</v>
      </c>
      <c r="B463" s="29">
        <f>B462</f>
        <v>0</v>
      </c>
      <c r="C463" s="30">
        <f>C462</f>
        <v>0</v>
      </c>
      <c r="D463" s="30">
        <f>D462</f>
        <v>0</v>
      </c>
      <c r="E463" s="29">
        <f>E462</f>
        <v>0</v>
      </c>
      <c r="F463" s="29">
        <f>F462</f>
        <v>0</v>
      </c>
      <c r="G463" s="29" t="e">
        <f>IF(C462=1,IF(D462="BUY",E462+(ROUND(F462*G462/B462,0)*B462),E462-(ROUND(F462*G462/B462,0)*B462)),IF(D462="BUY",E462-(ROUND(F462*G462/B462,0)*B462),E462+(ROUND(F462*G462/B462,0)*B462)))</f>
        <v>#DIV/0!</v>
      </c>
      <c r="H463" s="29" t="e">
        <f>IF(C462=1,IF(D462="BUY",G463-(ROUND(F462*H462/B462,0)*B462),G463+(ROUND(F462*H462/B462,0)*B462)),IF(D462="BUY",G463+(ROUND(F462*H462/B462,0)*B462),G463-(ROUND(F462*H462/B462,0)*B462)))</f>
        <v>#DIV/0!</v>
      </c>
      <c r="I463" s="29" t="e">
        <f>IF(D462="BUY",G463+(ROUND(F462*I462/(B462*100),0)*B462),G463-(ROUND(F462*I462/(B462*100),0)*B462))</f>
        <v>#DIV/0!</v>
      </c>
      <c r="J463" s="29" t="e">
        <f>IF(C462=1,IF(D462="BUY",E462+(ROUND(F462*J462/B462,0)*B462),E462-(ROUND(F462*J462/B462,0)*B462)),IF(D462="BUY",E462-(ROUND(F462*J462/B462,0)*B462),E462+(ROUND(F462*J462/B462,0)*B462)))</f>
        <v>#DIV/0!</v>
      </c>
      <c r="K463" s="29" t="e">
        <f>IF(C462=1,IF(D462="BUY",E462-(ROUND(F462*K462/B462,0)*B462),E462+(ROUND(F462*K462/B462,0)*B462)),IF(D462="BUY",E462-(ROUND(F462*K462/B462,0)*B462),E462+(ROUND(F462*K462/B462,0)*B462)))</f>
        <v>#DIV/0!</v>
      </c>
      <c r="L463" s="29" t="e">
        <f t="shared" ref="L463" si="689">IF(D463="BUY",I463+(R463*B463),I463-(R463*B463))</f>
        <v>#DIV/0!</v>
      </c>
      <c r="M463" s="29" t="e">
        <f>IF(D462="BUY",E462+(ROUND(F462*M462/B462,0)*B462),E462-(ROUND(F462*M462/B462,0)*B462))</f>
        <v>#DIV/0!</v>
      </c>
      <c r="N463" s="29" t="e">
        <f>IF(D462="BUY",E462-(ROUND(F462*N462/B462,0)*B462),E462+(ROUND(F462*N462/B462,0)*B462))</f>
        <v>#DIV/0!</v>
      </c>
      <c r="O463" s="31" t="e">
        <f>IF(D463="BUY",N463-VLOOKUP(A463,Symbols!A$1:D$1000,4,FALSE),N463+VLOOKUP(A463,Symbols!A$1:D$1000,4,FALSE))</f>
        <v>#DIV/0!</v>
      </c>
      <c r="P463" s="29">
        <f>P462</f>
        <v>0</v>
      </c>
      <c r="Q463" s="29">
        <f>Q462</f>
        <v>0</v>
      </c>
      <c r="R463" s="29">
        <f>R462</f>
        <v>0</v>
      </c>
      <c r="S463" s="29">
        <f>S462</f>
        <v>0</v>
      </c>
      <c r="T463" s="29">
        <f>T462</f>
        <v>0</v>
      </c>
      <c r="U463" s="29" t="e">
        <f>DATEDIF(DATE(1970,1,1),U462,"D")*86400</f>
        <v>#NUM!</v>
      </c>
      <c r="V463" s="29">
        <f>HOUR(V462)*3600+MINUTE(V462)*60+SECOND(V462)</f>
        <v>0</v>
      </c>
      <c r="W463" s="29" t="e">
        <f>DATEDIF(DATE(1970,1,1),W462,"D")*86400</f>
        <v>#NUM!</v>
      </c>
      <c r="X463" s="29">
        <f>HOUR(X462)*3600+MINUTE(X462)*60+SECOND(X462)</f>
        <v>0</v>
      </c>
      <c r="Y463" s="31">
        <f>(Y462*B463)</f>
        <v>0</v>
      </c>
      <c r="Z463" s="29">
        <f>Z462</f>
        <v>0</v>
      </c>
      <c r="AA463" s="29" t="e">
        <f>DATEDIF(DATE(1970,1,1),AA462,"D")*86400</f>
        <v>#NUM!</v>
      </c>
      <c r="AB463" s="29">
        <f>HOUR(AB462)*3600+MINUTE(AB462)*60+SECOND(AB462)</f>
        <v>0</v>
      </c>
      <c r="AC463" s="29">
        <f>AC462</f>
        <v>0</v>
      </c>
    </row>
    <row r="464" spans="1:29">
      <c r="A464" s="23">
        <f>Parameters!A233</f>
        <v>0</v>
      </c>
      <c r="B464" s="23">
        <f>Parameters!B233</f>
        <v>0</v>
      </c>
      <c r="C464" s="24">
        <f>Parameters!C233</f>
        <v>0</v>
      </c>
      <c r="D464" s="24">
        <f>Parameters!D233</f>
        <v>0</v>
      </c>
      <c r="E464" s="23">
        <f>Parameters!E233</f>
        <v>0</v>
      </c>
      <c r="F464" s="23">
        <f>Parameters!F233</f>
        <v>0</v>
      </c>
      <c r="G464" s="25">
        <f>Parameters!G233</f>
        <v>0</v>
      </c>
      <c r="H464" s="25">
        <f>Parameters!H233</f>
        <v>0</v>
      </c>
      <c r="I464" s="25">
        <f>Parameters!I233</f>
        <v>0</v>
      </c>
      <c r="J464" s="25">
        <f>Parameters!J233</f>
        <v>0</v>
      </c>
      <c r="K464" s="25">
        <f>Parameters!K233</f>
        <v>0</v>
      </c>
      <c r="L464" s="26" t="e">
        <f t="shared" ref="L464" si="690">L465</f>
        <v>#DIV/0!</v>
      </c>
      <c r="M464" s="25">
        <f>Parameters!L233</f>
        <v>0</v>
      </c>
      <c r="N464" s="25">
        <f>Parameters!M233</f>
        <v>0</v>
      </c>
      <c r="O464" s="26" t="e">
        <f t="shared" ref="O464" si="691">O465</f>
        <v>#DIV/0!</v>
      </c>
      <c r="P464" s="23">
        <f>Parameters!N233</f>
        <v>0</v>
      </c>
      <c r="Q464" s="23">
        <f>Parameters!O233</f>
        <v>0</v>
      </c>
      <c r="R464" s="23">
        <f>Parameters!P233</f>
        <v>0</v>
      </c>
      <c r="S464" s="23">
        <f>Parameters!Q233</f>
        <v>0</v>
      </c>
      <c r="T464" s="23">
        <f>Parameters!R233</f>
        <v>0</v>
      </c>
      <c r="U464" s="27">
        <f>Parameters!S233</f>
        <v>0</v>
      </c>
      <c r="V464" s="28">
        <f>Parameters!T233</f>
        <v>0</v>
      </c>
      <c r="W464" s="27">
        <f>Parameters!U233</f>
        <v>0</v>
      </c>
      <c r="X464" s="28">
        <f>Parameters!V233</f>
        <v>0</v>
      </c>
      <c r="Y464" s="25">
        <f>Parameters!W233</f>
        <v>0</v>
      </c>
      <c r="Z464" s="23">
        <f>Parameters!X233</f>
        <v>0</v>
      </c>
      <c r="AA464" s="27">
        <f>Parameters!Y233</f>
        <v>0</v>
      </c>
      <c r="AB464" s="28">
        <f>Parameters!Z233</f>
        <v>0</v>
      </c>
      <c r="AC464" s="23">
        <f>Parameters!AA233</f>
        <v>0</v>
      </c>
    </row>
    <row r="465" spans="1:29">
      <c r="A465" s="29" t="str">
        <f>UPPER(A464)</f>
        <v>0</v>
      </c>
      <c r="B465" s="29">
        <f>B464</f>
        <v>0</v>
      </c>
      <c r="C465" s="30">
        <f>C464</f>
        <v>0</v>
      </c>
      <c r="D465" s="30">
        <f>D464</f>
        <v>0</v>
      </c>
      <c r="E465" s="29">
        <f>E464</f>
        <v>0</v>
      </c>
      <c r="F465" s="29">
        <f>F464</f>
        <v>0</v>
      </c>
      <c r="G465" s="29" t="e">
        <f>IF(C464=1,IF(D464="BUY",E464+(ROUND(F464*G464/B464,0)*B464),E464-(ROUND(F464*G464/B464,0)*B464)),IF(D464="BUY",E464-(ROUND(F464*G464/B464,0)*B464),E464+(ROUND(F464*G464/B464,0)*B464)))</f>
        <v>#DIV/0!</v>
      </c>
      <c r="H465" s="29" t="e">
        <f>IF(C464=1,IF(D464="BUY",G465-(ROUND(F464*H464/B464,0)*B464),G465+(ROUND(F464*H464/B464,0)*B464)),IF(D464="BUY",G465+(ROUND(F464*H464/B464,0)*B464),G465-(ROUND(F464*H464/B464,0)*B464)))</f>
        <v>#DIV/0!</v>
      </c>
      <c r="I465" s="29" t="e">
        <f>IF(D464="BUY",G465+(ROUND(F464*I464/(B464*100),0)*B464),G465-(ROUND(F464*I464/(B464*100),0)*B464))</f>
        <v>#DIV/0!</v>
      </c>
      <c r="J465" s="29" t="e">
        <f>IF(C464=1,IF(D464="BUY",E464+(ROUND(F464*J464/B464,0)*B464),E464-(ROUND(F464*J464/B464,0)*B464)),IF(D464="BUY",E464-(ROUND(F464*J464/B464,0)*B464),E464+(ROUND(F464*J464/B464,0)*B464)))</f>
        <v>#DIV/0!</v>
      </c>
      <c r="K465" s="29" t="e">
        <f>IF(C464=1,IF(D464="BUY",E464-(ROUND(F464*K464/B464,0)*B464),E464+(ROUND(F464*K464/B464,0)*B464)),IF(D464="BUY",E464-(ROUND(F464*K464/B464,0)*B464),E464+(ROUND(F464*K464/B464,0)*B464)))</f>
        <v>#DIV/0!</v>
      </c>
      <c r="L465" s="29" t="e">
        <f t="shared" ref="L465" si="692">IF(D465="BUY",I465+(R465*B465),I465-(R465*B465))</f>
        <v>#DIV/0!</v>
      </c>
      <c r="M465" s="29" t="e">
        <f>IF(D464="BUY",E464+(ROUND(F464*M464/B464,0)*B464),E464-(ROUND(F464*M464/B464,0)*B464))</f>
        <v>#DIV/0!</v>
      </c>
      <c r="N465" s="29" t="e">
        <f>IF(D464="BUY",E464-(ROUND(F464*N464/B464,0)*B464),E464+(ROUND(F464*N464/B464,0)*B464))</f>
        <v>#DIV/0!</v>
      </c>
      <c r="O465" s="31" t="e">
        <f>IF(D465="BUY",N465-VLOOKUP(A465,Symbols!A$1:D$1000,4,FALSE),N465+VLOOKUP(A465,Symbols!A$1:D$1000,4,FALSE))</f>
        <v>#DIV/0!</v>
      </c>
      <c r="P465" s="29">
        <f>P464</f>
        <v>0</v>
      </c>
      <c r="Q465" s="29">
        <f>Q464</f>
        <v>0</v>
      </c>
      <c r="R465" s="29">
        <f>R464</f>
        <v>0</v>
      </c>
      <c r="S465" s="29">
        <f>S464</f>
        <v>0</v>
      </c>
      <c r="T465" s="29">
        <f>T464</f>
        <v>0</v>
      </c>
      <c r="U465" s="29" t="e">
        <f>DATEDIF(DATE(1970,1,1),U464,"D")*86400</f>
        <v>#NUM!</v>
      </c>
      <c r="V465" s="29">
        <f>HOUR(V464)*3600+MINUTE(V464)*60+SECOND(V464)</f>
        <v>0</v>
      </c>
      <c r="W465" s="29" t="e">
        <f>DATEDIF(DATE(1970,1,1),W464,"D")*86400</f>
        <v>#NUM!</v>
      </c>
      <c r="X465" s="29">
        <f>HOUR(X464)*3600+MINUTE(X464)*60+SECOND(X464)</f>
        <v>0</v>
      </c>
      <c r="Y465" s="31">
        <f>(Y464*B465)</f>
        <v>0</v>
      </c>
      <c r="Z465" s="29">
        <f>Z464</f>
        <v>0</v>
      </c>
      <c r="AA465" s="29" t="e">
        <f>DATEDIF(DATE(1970,1,1),AA464,"D")*86400</f>
        <v>#NUM!</v>
      </c>
      <c r="AB465" s="29">
        <f>HOUR(AB464)*3600+MINUTE(AB464)*60+SECOND(AB464)</f>
        <v>0</v>
      </c>
      <c r="AC465" s="29">
        <f>AC464</f>
        <v>0</v>
      </c>
    </row>
    <row r="466" spans="1:29">
      <c r="A466" s="23">
        <f>Parameters!A234</f>
        <v>0</v>
      </c>
      <c r="B466" s="23">
        <f>Parameters!B234</f>
        <v>0</v>
      </c>
      <c r="C466" s="24">
        <f>Parameters!C234</f>
        <v>0</v>
      </c>
      <c r="D466" s="24">
        <f>Parameters!D234</f>
        <v>0</v>
      </c>
      <c r="E466" s="23">
        <f>Parameters!E234</f>
        <v>0</v>
      </c>
      <c r="F466" s="23">
        <f>Parameters!F234</f>
        <v>0</v>
      </c>
      <c r="G466" s="25">
        <f>Parameters!G234</f>
        <v>0</v>
      </c>
      <c r="H466" s="25">
        <f>Parameters!H234</f>
        <v>0</v>
      </c>
      <c r="I466" s="25">
        <f>Parameters!I234</f>
        <v>0</v>
      </c>
      <c r="J466" s="25">
        <f>Parameters!J234</f>
        <v>0</v>
      </c>
      <c r="K466" s="25">
        <f>Parameters!K234</f>
        <v>0</v>
      </c>
      <c r="L466" s="26" t="e">
        <f t="shared" ref="L466" si="693">L467</f>
        <v>#DIV/0!</v>
      </c>
      <c r="M466" s="25">
        <f>Parameters!L234</f>
        <v>0</v>
      </c>
      <c r="N466" s="25">
        <f>Parameters!M234</f>
        <v>0</v>
      </c>
      <c r="O466" s="26" t="e">
        <f t="shared" ref="O466" si="694">O467</f>
        <v>#DIV/0!</v>
      </c>
      <c r="P466" s="23">
        <f>Parameters!N234</f>
        <v>0</v>
      </c>
      <c r="Q466" s="23">
        <f>Parameters!O234</f>
        <v>0</v>
      </c>
      <c r="R466" s="23">
        <f>Parameters!P234</f>
        <v>0</v>
      </c>
      <c r="S466" s="23">
        <f>Parameters!Q234</f>
        <v>0</v>
      </c>
      <c r="T466" s="23">
        <f>Parameters!R234</f>
        <v>0</v>
      </c>
      <c r="U466" s="27">
        <f>Parameters!S234</f>
        <v>0</v>
      </c>
      <c r="V466" s="28">
        <f>Parameters!T234</f>
        <v>0</v>
      </c>
      <c r="W466" s="27">
        <f>Parameters!U234</f>
        <v>0</v>
      </c>
      <c r="X466" s="28">
        <f>Parameters!V234</f>
        <v>0</v>
      </c>
      <c r="Y466" s="25">
        <f>Parameters!W234</f>
        <v>0</v>
      </c>
      <c r="Z466" s="23">
        <f>Parameters!X234</f>
        <v>0</v>
      </c>
      <c r="AA466" s="27">
        <f>Parameters!Y234</f>
        <v>0</v>
      </c>
      <c r="AB466" s="28">
        <f>Parameters!Z234</f>
        <v>0</v>
      </c>
      <c r="AC466" s="23">
        <f>Parameters!AA234</f>
        <v>0</v>
      </c>
    </row>
    <row r="467" spans="1:29">
      <c r="A467" s="29" t="str">
        <f>UPPER(A466)</f>
        <v>0</v>
      </c>
      <c r="B467" s="29">
        <f>B466</f>
        <v>0</v>
      </c>
      <c r="C467" s="30">
        <f>C466</f>
        <v>0</v>
      </c>
      <c r="D467" s="30">
        <f>D466</f>
        <v>0</v>
      </c>
      <c r="E467" s="29">
        <f>E466</f>
        <v>0</v>
      </c>
      <c r="F467" s="29">
        <f>F466</f>
        <v>0</v>
      </c>
      <c r="G467" s="29" t="e">
        <f>IF(C466=1,IF(D466="BUY",E466+(ROUND(F466*G466/B466,0)*B466),E466-(ROUND(F466*G466/B466,0)*B466)),IF(D466="BUY",E466-(ROUND(F466*G466/B466,0)*B466),E466+(ROUND(F466*G466/B466,0)*B466)))</f>
        <v>#DIV/0!</v>
      </c>
      <c r="H467" s="29" t="e">
        <f>IF(C466=1,IF(D466="BUY",G467-(ROUND(F466*H466/B466,0)*B466),G467+(ROUND(F466*H466/B466,0)*B466)),IF(D466="BUY",G467+(ROUND(F466*H466/B466,0)*B466),G467-(ROUND(F466*H466/B466,0)*B466)))</f>
        <v>#DIV/0!</v>
      </c>
      <c r="I467" s="29" t="e">
        <f>IF(D466="BUY",G467+(ROUND(F466*I466/(B466*100),0)*B466),G467-(ROUND(F466*I466/(B466*100),0)*B466))</f>
        <v>#DIV/0!</v>
      </c>
      <c r="J467" s="29" t="e">
        <f>IF(C466=1,IF(D466="BUY",E466+(ROUND(F466*J466/B466,0)*B466),E466-(ROUND(F466*J466/B466,0)*B466)),IF(D466="BUY",E466-(ROUND(F466*J466/B466,0)*B466),E466+(ROUND(F466*J466/B466,0)*B466)))</f>
        <v>#DIV/0!</v>
      </c>
      <c r="K467" s="29" t="e">
        <f>IF(C466=1,IF(D466="BUY",E466-(ROUND(F466*K466/B466,0)*B466),E466+(ROUND(F466*K466/B466,0)*B466)),IF(D466="BUY",E466-(ROUND(F466*K466/B466,0)*B466),E466+(ROUND(F466*K466/B466,0)*B466)))</f>
        <v>#DIV/0!</v>
      </c>
      <c r="L467" s="29" t="e">
        <f t="shared" ref="L467" si="695">IF(D467="BUY",I467+(R467*B467),I467-(R467*B467))</f>
        <v>#DIV/0!</v>
      </c>
      <c r="M467" s="29" t="e">
        <f>IF(D466="BUY",E466+(ROUND(F466*M466/B466,0)*B466),E466-(ROUND(F466*M466/B466,0)*B466))</f>
        <v>#DIV/0!</v>
      </c>
      <c r="N467" s="29" t="e">
        <f>IF(D466="BUY",E466-(ROUND(F466*N466/B466,0)*B466),E466+(ROUND(F466*N466/B466,0)*B466))</f>
        <v>#DIV/0!</v>
      </c>
      <c r="O467" s="31" t="e">
        <f>IF(D467="BUY",N467-VLOOKUP(A467,Symbols!A$1:D$1000,4,FALSE),N467+VLOOKUP(A467,Symbols!A$1:D$1000,4,FALSE))</f>
        <v>#DIV/0!</v>
      </c>
      <c r="P467" s="29">
        <f>P466</f>
        <v>0</v>
      </c>
      <c r="Q467" s="29">
        <f>Q466</f>
        <v>0</v>
      </c>
      <c r="R467" s="29">
        <f>R466</f>
        <v>0</v>
      </c>
      <c r="S467" s="29">
        <f>S466</f>
        <v>0</v>
      </c>
      <c r="T467" s="29">
        <f>T466</f>
        <v>0</v>
      </c>
      <c r="U467" s="29" t="e">
        <f>DATEDIF(DATE(1970,1,1),U466,"D")*86400</f>
        <v>#NUM!</v>
      </c>
      <c r="V467" s="29">
        <f>HOUR(V466)*3600+MINUTE(V466)*60+SECOND(V466)</f>
        <v>0</v>
      </c>
      <c r="W467" s="29" t="e">
        <f>DATEDIF(DATE(1970,1,1),W466,"D")*86400</f>
        <v>#NUM!</v>
      </c>
      <c r="X467" s="29">
        <f>HOUR(X466)*3600+MINUTE(X466)*60+SECOND(X466)</f>
        <v>0</v>
      </c>
      <c r="Y467" s="31">
        <f>(Y466*B467)</f>
        <v>0</v>
      </c>
      <c r="Z467" s="29">
        <f>Z466</f>
        <v>0</v>
      </c>
      <c r="AA467" s="29" t="e">
        <f>DATEDIF(DATE(1970,1,1),AA466,"D")*86400</f>
        <v>#NUM!</v>
      </c>
      <c r="AB467" s="29">
        <f>HOUR(AB466)*3600+MINUTE(AB466)*60+SECOND(AB466)</f>
        <v>0</v>
      </c>
      <c r="AC467" s="29">
        <f>AC466</f>
        <v>0</v>
      </c>
    </row>
    <row r="468" spans="1:29">
      <c r="A468" s="23">
        <f>Parameters!A235</f>
        <v>0</v>
      </c>
      <c r="B468" s="23">
        <f>Parameters!B235</f>
        <v>0</v>
      </c>
      <c r="C468" s="24">
        <f>Parameters!C235</f>
        <v>0</v>
      </c>
      <c r="D468" s="24">
        <f>Parameters!D235</f>
        <v>0</v>
      </c>
      <c r="E468" s="23">
        <f>Parameters!E235</f>
        <v>0</v>
      </c>
      <c r="F468" s="23">
        <f>Parameters!F235</f>
        <v>0</v>
      </c>
      <c r="G468" s="25">
        <f>Parameters!G235</f>
        <v>0</v>
      </c>
      <c r="H468" s="25">
        <f>Parameters!H235</f>
        <v>0</v>
      </c>
      <c r="I468" s="25">
        <f>Parameters!I235</f>
        <v>0</v>
      </c>
      <c r="J468" s="25">
        <f>Parameters!J235</f>
        <v>0</v>
      </c>
      <c r="K468" s="25">
        <f>Parameters!K235</f>
        <v>0</v>
      </c>
      <c r="L468" s="26" t="e">
        <f t="shared" ref="L468" si="696">L469</f>
        <v>#DIV/0!</v>
      </c>
      <c r="M468" s="25">
        <f>Parameters!L235</f>
        <v>0</v>
      </c>
      <c r="N468" s="25">
        <f>Parameters!M235</f>
        <v>0</v>
      </c>
      <c r="O468" s="26" t="e">
        <f t="shared" ref="O468" si="697">O469</f>
        <v>#DIV/0!</v>
      </c>
      <c r="P468" s="23">
        <f>Parameters!N235</f>
        <v>0</v>
      </c>
      <c r="Q468" s="23">
        <f>Parameters!O235</f>
        <v>0</v>
      </c>
      <c r="R468" s="23">
        <f>Parameters!P235</f>
        <v>0</v>
      </c>
      <c r="S468" s="23">
        <f>Parameters!Q235</f>
        <v>0</v>
      </c>
      <c r="T468" s="23">
        <f>Parameters!R235</f>
        <v>0</v>
      </c>
      <c r="U468" s="27">
        <f>Parameters!S235</f>
        <v>0</v>
      </c>
      <c r="V468" s="28">
        <f>Parameters!T235</f>
        <v>0</v>
      </c>
      <c r="W468" s="27">
        <f>Parameters!U235</f>
        <v>0</v>
      </c>
      <c r="X468" s="28">
        <f>Parameters!V235</f>
        <v>0</v>
      </c>
      <c r="Y468" s="25">
        <f>Parameters!W235</f>
        <v>0</v>
      </c>
      <c r="Z468" s="23">
        <f>Parameters!X235</f>
        <v>0</v>
      </c>
      <c r="AA468" s="27">
        <f>Parameters!Y235</f>
        <v>0</v>
      </c>
      <c r="AB468" s="28">
        <f>Parameters!Z235</f>
        <v>0</v>
      </c>
      <c r="AC468" s="23">
        <f>Parameters!AA235</f>
        <v>0</v>
      </c>
    </row>
    <row r="469" spans="1:29">
      <c r="A469" s="29" t="str">
        <f>UPPER(A468)</f>
        <v>0</v>
      </c>
      <c r="B469" s="29">
        <f>B468</f>
        <v>0</v>
      </c>
      <c r="C469" s="30">
        <f>C468</f>
        <v>0</v>
      </c>
      <c r="D469" s="30">
        <f>D468</f>
        <v>0</v>
      </c>
      <c r="E469" s="29">
        <f>E468</f>
        <v>0</v>
      </c>
      <c r="F469" s="29">
        <f>F468</f>
        <v>0</v>
      </c>
      <c r="G469" s="29" t="e">
        <f>IF(C468=1,IF(D468="BUY",E468+(ROUND(F468*G468/B468,0)*B468),E468-(ROUND(F468*G468/B468,0)*B468)),IF(D468="BUY",E468-(ROUND(F468*G468/B468,0)*B468),E468+(ROUND(F468*G468/B468,0)*B468)))</f>
        <v>#DIV/0!</v>
      </c>
      <c r="H469" s="29" t="e">
        <f>IF(C468=1,IF(D468="BUY",G469-(ROUND(F468*H468/B468,0)*B468),G469+(ROUND(F468*H468/B468,0)*B468)),IF(D468="BUY",G469+(ROUND(F468*H468/B468,0)*B468),G469-(ROUND(F468*H468/B468,0)*B468)))</f>
        <v>#DIV/0!</v>
      </c>
      <c r="I469" s="29" t="e">
        <f>IF(D468="BUY",G469+(ROUND(F468*I468/(B468*100),0)*B468),G469-(ROUND(F468*I468/(B468*100),0)*B468))</f>
        <v>#DIV/0!</v>
      </c>
      <c r="J469" s="29" t="e">
        <f>IF(C468=1,IF(D468="BUY",E468+(ROUND(F468*J468/B468,0)*B468),E468-(ROUND(F468*J468/B468,0)*B468)),IF(D468="BUY",E468-(ROUND(F468*J468/B468,0)*B468),E468+(ROUND(F468*J468/B468,0)*B468)))</f>
        <v>#DIV/0!</v>
      </c>
      <c r="K469" s="29" t="e">
        <f>IF(C468=1,IF(D468="BUY",E468-(ROUND(F468*K468/B468,0)*B468),E468+(ROUND(F468*K468/B468,0)*B468)),IF(D468="BUY",E468-(ROUND(F468*K468/B468,0)*B468),E468+(ROUND(F468*K468/B468,0)*B468)))</f>
        <v>#DIV/0!</v>
      </c>
      <c r="L469" s="29" t="e">
        <f t="shared" ref="L469" si="698">IF(D469="BUY",I469+(R469*B469),I469-(R469*B469))</f>
        <v>#DIV/0!</v>
      </c>
      <c r="M469" s="29" t="e">
        <f>IF(D468="BUY",E468+(ROUND(F468*M468/B468,0)*B468),E468-(ROUND(F468*M468/B468,0)*B468))</f>
        <v>#DIV/0!</v>
      </c>
      <c r="N469" s="29" t="e">
        <f>IF(D468="BUY",E468-(ROUND(F468*N468/B468,0)*B468),E468+(ROUND(F468*N468/B468,0)*B468))</f>
        <v>#DIV/0!</v>
      </c>
      <c r="O469" s="31" t="e">
        <f>IF(D469="BUY",N469-VLOOKUP(A469,Symbols!A$1:D$1000,4,FALSE),N469+VLOOKUP(A469,Symbols!A$1:D$1000,4,FALSE))</f>
        <v>#DIV/0!</v>
      </c>
      <c r="P469" s="29">
        <f>P468</f>
        <v>0</v>
      </c>
      <c r="Q469" s="29">
        <f>Q468</f>
        <v>0</v>
      </c>
      <c r="R469" s="29">
        <f>R468</f>
        <v>0</v>
      </c>
      <c r="S469" s="29">
        <f>S468</f>
        <v>0</v>
      </c>
      <c r="T469" s="29">
        <f>T468</f>
        <v>0</v>
      </c>
      <c r="U469" s="29" t="e">
        <f>DATEDIF(DATE(1970,1,1),U468,"D")*86400</f>
        <v>#NUM!</v>
      </c>
      <c r="V469" s="29">
        <f>HOUR(V468)*3600+MINUTE(V468)*60+SECOND(V468)</f>
        <v>0</v>
      </c>
      <c r="W469" s="29" t="e">
        <f>DATEDIF(DATE(1970,1,1),W468,"D")*86400</f>
        <v>#NUM!</v>
      </c>
      <c r="X469" s="29">
        <f>HOUR(X468)*3600+MINUTE(X468)*60+SECOND(X468)</f>
        <v>0</v>
      </c>
      <c r="Y469" s="31">
        <f>(Y468*B469)</f>
        <v>0</v>
      </c>
      <c r="Z469" s="29">
        <f>Z468</f>
        <v>0</v>
      </c>
      <c r="AA469" s="29" t="e">
        <f>DATEDIF(DATE(1970,1,1),AA468,"D")*86400</f>
        <v>#NUM!</v>
      </c>
      <c r="AB469" s="29">
        <f>HOUR(AB468)*3600+MINUTE(AB468)*60+SECOND(AB468)</f>
        <v>0</v>
      </c>
      <c r="AC469" s="29">
        <f>AC468</f>
        <v>0</v>
      </c>
    </row>
    <row r="470" spans="1:29">
      <c r="A470" s="23">
        <f>Parameters!A236</f>
        <v>0</v>
      </c>
      <c r="B470" s="23">
        <f>Parameters!B236</f>
        <v>0</v>
      </c>
      <c r="C470" s="24">
        <f>Parameters!C236</f>
        <v>0</v>
      </c>
      <c r="D470" s="24">
        <f>Parameters!D236</f>
        <v>0</v>
      </c>
      <c r="E470" s="23">
        <f>Parameters!E236</f>
        <v>0</v>
      </c>
      <c r="F470" s="23">
        <f>Parameters!F236</f>
        <v>0</v>
      </c>
      <c r="G470" s="25">
        <f>Parameters!G236</f>
        <v>0</v>
      </c>
      <c r="H470" s="25">
        <f>Parameters!H236</f>
        <v>0</v>
      </c>
      <c r="I470" s="25">
        <f>Parameters!I236</f>
        <v>0</v>
      </c>
      <c r="J470" s="25">
        <f>Parameters!J236</f>
        <v>0</v>
      </c>
      <c r="K470" s="25">
        <f>Parameters!K236</f>
        <v>0</v>
      </c>
      <c r="L470" s="26" t="e">
        <f t="shared" ref="L470" si="699">L471</f>
        <v>#DIV/0!</v>
      </c>
      <c r="M470" s="25">
        <f>Parameters!L236</f>
        <v>0</v>
      </c>
      <c r="N470" s="25">
        <f>Parameters!M236</f>
        <v>0</v>
      </c>
      <c r="O470" s="26" t="e">
        <f t="shared" ref="O470" si="700">O471</f>
        <v>#DIV/0!</v>
      </c>
      <c r="P470" s="23">
        <f>Parameters!N236</f>
        <v>0</v>
      </c>
      <c r="Q470" s="23">
        <f>Parameters!O236</f>
        <v>0</v>
      </c>
      <c r="R470" s="23">
        <f>Parameters!P236</f>
        <v>0</v>
      </c>
      <c r="S470" s="23">
        <f>Parameters!Q236</f>
        <v>0</v>
      </c>
      <c r="T470" s="23">
        <f>Parameters!R236</f>
        <v>0</v>
      </c>
      <c r="U470" s="27">
        <f>Parameters!S236</f>
        <v>0</v>
      </c>
      <c r="V470" s="28">
        <f>Parameters!T236</f>
        <v>0</v>
      </c>
      <c r="W470" s="27">
        <f>Parameters!U236</f>
        <v>0</v>
      </c>
      <c r="X470" s="28">
        <f>Parameters!V236</f>
        <v>0</v>
      </c>
      <c r="Y470" s="25">
        <f>Parameters!W236</f>
        <v>0</v>
      </c>
      <c r="Z470" s="23">
        <f>Parameters!X236</f>
        <v>0</v>
      </c>
      <c r="AA470" s="27">
        <f>Parameters!Y236</f>
        <v>0</v>
      </c>
      <c r="AB470" s="28">
        <f>Parameters!Z236</f>
        <v>0</v>
      </c>
      <c r="AC470" s="23">
        <f>Parameters!AA236</f>
        <v>0</v>
      </c>
    </row>
    <row r="471" spans="1:29">
      <c r="A471" s="29" t="str">
        <f>UPPER(A470)</f>
        <v>0</v>
      </c>
      <c r="B471" s="29">
        <f>B470</f>
        <v>0</v>
      </c>
      <c r="C471" s="30">
        <f>C470</f>
        <v>0</v>
      </c>
      <c r="D471" s="30">
        <f>D470</f>
        <v>0</v>
      </c>
      <c r="E471" s="29">
        <f>E470</f>
        <v>0</v>
      </c>
      <c r="F471" s="29">
        <f>F470</f>
        <v>0</v>
      </c>
      <c r="G471" s="29" t="e">
        <f>IF(C470=1,IF(D470="BUY",E470+(ROUND(F470*G470/B470,0)*B470),E470-(ROUND(F470*G470/B470,0)*B470)),IF(D470="BUY",E470-(ROUND(F470*G470/B470,0)*B470),E470+(ROUND(F470*G470/B470,0)*B470)))</f>
        <v>#DIV/0!</v>
      </c>
      <c r="H471" s="29" t="e">
        <f>IF(C470=1,IF(D470="BUY",G471-(ROUND(F470*H470/B470,0)*B470),G471+(ROUND(F470*H470/B470,0)*B470)),IF(D470="BUY",G471+(ROUND(F470*H470/B470,0)*B470),G471-(ROUND(F470*H470/B470,0)*B470)))</f>
        <v>#DIV/0!</v>
      </c>
      <c r="I471" s="29" t="e">
        <f>IF(D470="BUY",G471+(ROUND(F470*I470/(B470*100),0)*B470),G471-(ROUND(F470*I470/(B470*100),0)*B470))</f>
        <v>#DIV/0!</v>
      </c>
      <c r="J471" s="29" t="e">
        <f>IF(C470=1,IF(D470="BUY",E470+(ROUND(F470*J470/B470,0)*B470),E470-(ROUND(F470*J470/B470,0)*B470)),IF(D470="BUY",E470-(ROUND(F470*J470/B470,0)*B470),E470+(ROUND(F470*J470/B470,0)*B470)))</f>
        <v>#DIV/0!</v>
      </c>
      <c r="K471" s="29" t="e">
        <f>IF(C470=1,IF(D470="BUY",E470-(ROUND(F470*K470/B470,0)*B470),E470+(ROUND(F470*K470/B470,0)*B470)),IF(D470="BUY",E470-(ROUND(F470*K470/B470,0)*B470),E470+(ROUND(F470*K470/B470,0)*B470)))</f>
        <v>#DIV/0!</v>
      </c>
      <c r="L471" s="29" t="e">
        <f t="shared" ref="L471" si="701">IF(D471="BUY",I471+(R471*B471),I471-(R471*B471))</f>
        <v>#DIV/0!</v>
      </c>
      <c r="M471" s="29" t="e">
        <f>IF(D470="BUY",E470+(ROUND(F470*M470/B470,0)*B470),E470-(ROUND(F470*M470/B470,0)*B470))</f>
        <v>#DIV/0!</v>
      </c>
      <c r="N471" s="29" t="e">
        <f>IF(D470="BUY",E470-(ROUND(F470*N470/B470,0)*B470),E470+(ROUND(F470*N470/B470,0)*B470))</f>
        <v>#DIV/0!</v>
      </c>
      <c r="O471" s="31" t="e">
        <f>IF(D471="BUY",N471-VLOOKUP(A471,Symbols!A$1:D$1000,4,FALSE),N471+VLOOKUP(A471,Symbols!A$1:D$1000,4,FALSE))</f>
        <v>#DIV/0!</v>
      </c>
      <c r="P471" s="29">
        <f>P470</f>
        <v>0</v>
      </c>
      <c r="Q471" s="29">
        <f>Q470</f>
        <v>0</v>
      </c>
      <c r="R471" s="29">
        <f>R470</f>
        <v>0</v>
      </c>
      <c r="S471" s="29">
        <f>S470</f>
        <v>0</v>
      </c>
      <c r="T471" s="29">
        <f>T470</f>
        <v>0</v>
      </c>
      <c r="U471" s="29" t="e">
        <f>DATEDIF(DATE(1970,1,1),U470,"D")*86400</f>
        <v>#NUM!</v>
      </c>
      <c r="V471" s="29">
        <f>HOUR(V470)*3600+MINUTE(V470)*60+SECOND(V470)</f>
        <v>0</v>
      </c>
      <c r="W471" s="29" t="e">
        <f>DATEDIF(DATE(1970,1,1),W470,"D")*86400</f>
        <v>#NUM!</v>
      </c>
      <c r="X471" s="29">
        <f>HOUR(X470)*3600+MINUTE(X470)*60+SECOND(X470)</f>
        <v>0</v>
      </c>
      <c r="Y471" s="31">
        <f>(Y470*B471)</f>
        <v>0</v>
      </c>
      <c r="Z471" s="29">
        <f>Z470</f>
        <v>0</v>
      </c>
      <c r="AA471" s="29" t="e">
        <f>DATEDIF(DATE(1970,1,1),AA470,"D")*86400</f>
        <v>#NUM!</v>
      </c>
      <c r="AB471" s="29">
        <f>HOUR(AB470)*3600+MINUTE(AB470)*60+SECOND(AB470)</f>
        <v>0</v>
      </c>
      <c r="AC471" s="29">
        <f>AC470</f>
        <v>0</v>
      </c>
    </row>
    <row r="472" spans="1:29">
      <c r="A472" s="23">
        <f>Parameters!A237</f>
        <v>0</v>
      </c>
      <c r="B472" s="23">
        <f>Parameters!B237</f>
        <v>0</v>
      </c>
      <c r="C472" s="24">
        <f>Parameters!C237</f>
        <v>0</v>
      </c>
      <c r="D472" s="24">
        <f>Parameters!D237</f>
        <v>0</v>
      </c>
      <c r="E472" s="23">
        <f>Parameters!E237</f>
        <v>0</v>
      </c>
      <c r="F472" s="23">
        <f>Parameters!F237</f>
        <v>0</v>
      </c>
      <c r="G472" s="25">
        <f>Parameters!G237</f>
        <v>0</v>
      </c>
      <c r="H472" s="25">
        <f>Parameters!H237</f>
        <v>0</v>
      </c>
      <c r="I472" s="25">
        <f>Parameters!I237</f>
        <v>0</v>
      </c>
      <c r="J472" s="25">
        <f>Parameters!J237</f>
        <v>0</v>
      </c>
      <c r="K472" s="25">
        <f>Parameters!K237</f>
        <v>0</v>
      </c>
      <c r="L472" s="26" t="e">
        <f t="shared" ref="L472" si="702">L473</f>
        <v>#DIV/0!</v>
      </c>
      <c r="M472" s="25">
        <f>Parameters!L237</f>
        <v>0</v>
      </c>
      <c r="N472" s="25">
        <f>Parameters!M237</f>
        <v>0</v>
      </c>
      <c r="O472" s="26" t="e">
        <f t="shared" ref="O472" si="703">O473</f>
        <v>#DIV/0!</v>
      </c>
      <c r="P472" s="23">
        <f>Parameters!N237</f>
        <v>0</v>
      </c>
      <c r="Q472" s="23">
        <f>Parameters!O237</f>
        <v>0</v>
      </c>
      <c r="R472" s="23">
        <f>Parameters!P237</f>
        <v>0</v>
      </c>
      <c r="S472" s="23">
        <f>Parameters!Q237</f>
        <v>0</v>
      </c>
      <c r="T472" s="23">
        <f>Parameters!R237</f>
        <v>0</v>
      </c>
      <c r="U472" s="27">
        <f>Parameters!S237</f>
        <v>0</v>
      </c>
      <c r="V472" s="28">
        <f>Parameters!T237</f>
        <v>0</v>
      </c>
      <c r="W472" s="27">
        <f>Parameters!U237</f>
        <v>0</v>
      </c>
      <c r="X472" s="28">
        <f>Parameters!V237</f>
        <v>0</v>
      </c>
      <c r="Y472" s="25">
        <f>Parameters!W237</f>
        <v>0</v>
      </c>
      <c r="Z472" s="23">
        <f>Parameters!X237</f>
        <v>0</v>
      </c>
      <c r="AA472" s="27">
        <f>Parameters!Y237</f>
        <v>0</v>
      </c>
      <c r="AB472" s="28">
        <f>Parameters!Z237</f>
        <v>0</v>
      </c>
      <c r="AC472" s="23">
        <f>Parameters!AA237</f>
        <v>0</v>
      </c>
    </row>
    <row r="473" spans="1:29">
      <c r="A473" s="29" t="str">
        <f>UPPER(A472)</f>
        <v>0</v>
      </c>
      <c r="B473" s="29">
        <f>B472</f>
        <v>0</v>
      </c>
      <c r="C473" s="30">
        <f>C472</f>
        <v>0</v>
      </c>
      <c r="D473" s="30">
        <f>D472</f>
        <v>0</v>
      </c>
      <c r="E473" s="29">
        <f>E472</f>
        <v>0</v>
      </c>
      <c r="F473" s="29">
        <f>F472</f>
        <v>0</v>
      </c>
      <c r="G473" s="29" t="e">
        <f>IF(C472=1,IF(D472="BUY",E472+(ROUND(F472*G472/B472,0)*B472),E472-(ROUND(F472*G472/B472,0)*B472)),IF(D472="BUY",E472-(ROUND(F472*G472/B472,0)*B472),E472+(ROUND(F472*G472/B472,0)*B472)))</f>
        <v>#DIV/0!</v>
      </c>
      <c r="H473" s="29" t="e">
        <f>IF(C472=1,IF(D472="BUY",G473-(ROUND(F472*H472/B472,0)*B472),G473+(ROUND(F472*H472/B472,0)*B472)),IF(D472="BUY",G473+(ROUND(F472*H472/B472,0)*B472),G473-(ROUND(F472*H472/B472,0)*B472)))</f>
        <v>#DIV/0!</v>
      </c>
      <c r="I473" s="29" t="e">
        <f>IF(D472="BUY",G473+(ROUND(F472*I472/(B472*100),0)*B472),G473-(ROUND(F472*I472/(B472*100),0)*B472))</f>
        <v>#DIV/0!</v>
      </c>
      <c r="J473" s="29" t="e">
        <f>IF(C472=1,IF(D472="BUY",E472+(ROUND(F472*J472/B472,0)*B472),E472-(ROUND(F472*J472/B472,0)*B472)),IF(D472="BUY",E472-(ROUND(F472*J472/B472,0)*B472),E472+(ROUND(F472*J472/B472,0)*B472)))</f>
        <v>#DIV/0!</v>
      </c>
      <c r="K473" s="29" t="e">
        <f>IF(C472=1,IF(D472="BUY",E472-(ROUND(F472*K472/B472,0)*B472),E472+(ROUND(F472*K472/B472,0)*B472)),IF(D472="BUY",E472-(ROUND(F472*K472/B472,0)*B472),E472+(ROUND(F472*K472/B472,0)*B472)))</f>
        <v>#DIV/0!</v>
      </c>
      <c r="L473" s="29" t="e">
        <f t="shared" ref="L473" si="704">IF(D473="BUY",I473+(R473*B473),I473-(R473*B473))</f>
        <v>#DIV/0!</v>
      </c>
      <c r="M473" s="29" t="e">
        <f>IF(D472="BUY",E472+(ROUND(F472*M472/B472,0)*B472),E472-(ROUND(F472*M472/B472,0)*B472))</f>
        <v>#DIV/0!</v>
      </c>
      <c r="N473" s="29" t="e">
        <f>IF(D472="BUY",E472-(ROUND(F472*N472/B472,0)*B472),E472+(ROUND(F472*N472/B472,0)*B472))</f>
        <v>#DIV/0!</v>
      </c>
      <c r="O473" s="31" t="e">
        <f>IF(D473="BUY",N473-VLOOKUP(A473,Symbols!A$1:D$1000,4,FALSE),N473+VLOOKUP(A473,Symbols!A$1:D$1000,4,FALSE))</f>
        <v>#DIV/0!</v>
      </c>
      <c r="P473" s="29">
        <f>P472</f>
        <v>0</v>
      </c>
      <c r="Q473" s="29">
        <f>Q472</f>
        <v>0</v>
      </c>
      <c r="R473" s="29">
        <f>R472</f>
        <v>0</v>
      </c>
      <c r="S473" s="29">
        <f>S472</f>
        <v>0</v>
      </c>
      <c r="T473" s="29">
        <f>T472</f>
        <v>0</v>
      </c>
      <c r="U473" s="29" t="e">
        <f>DATEDIF(DATE(1970,1,1),U472,"D")*86400</f>
        <v>#NUM!</v>
      </c>
      <c r="V473" s="29">
        <f>HOUR(V472)*3600+MINUTE(V472)*60+SECOND(V472)</f>
        <v>0</v>
      </c>
      <c r="W473" s="29" t="e">
        <f>DATEDIF(DATE(1970,1,1),W472,"D")*86400</f>
        <v>#NUM!</v>
      </c>
      <c r="X473" s="29">
        <f>HOUR(X472)*3600+MINUTE(X472)*60+SECOND(X472)</f>
        <v>0</v>
      </c>
      <c r="Y473" s="31">
        <f>(Y472*B473)</f>
        <v>0</v>
      </c>
      <c r="Z473" s="29">
        <f>Z472</f>
        <v>0</v>
      </c>
      <c r="AA473" s="29" t="e">
        <f>DATEDIF(DATE(1970,1,1),AA472,"D")*86400</f>
        <v>#NUM!</v>
      </c>
      <c r="AB473" s="29">
        <f>HOUR(AB472)*3600+MINUTE(AB472)*60+SECOND(AB472)</f>
        <v>0</v>
      </c>
      <c r="AC473" s="29">
        <f>AC472</f>
        <v>0</v>
      </c>
    </row>
    <row r="474" spans="1:29">
      <c r="A474" s="23">
        <f>Parameters!A238</f>
        <v>0</v>
      </c>
      <c r="B474" s="23">
        <f>Parameters!B238</f>
        <v>0</v>
      </c>
      <c r="C474" s="24">
        <f>Parameters!C238</f>
        <v>0</v>
      </c>
      <c r="D474" s="24">
        <f>Parameters!D238</f>
        <v>0</v>
      </c>
      <c r="E474" s="23">
        <f>Parameters!E238</f>
        <v>0</v>
      </c>
      <c r="F474" s="23">
        <f>Parameters!F238</f>
        <v>0</v>
      </c>
      <c r="G474" s="25">
        <f>Parameters!G238</f>
        <v>0</v>
      </c>
      <c r="H474" s="25">
        <f>Parameters!H238</f>
        <v>0</v>
      </c>
      <c r="I474" s="25">
        <f>Parameters!I238</f>
        <v>0</v>
      </c>
      <c r="J474" s="25">
        <f>Parameters!J238</f>
        <v>0</v>
      </c>
      <c r="K474" s="25">
        <f>Parameters!K238</f>
        <v>0</v>
      </c>
      <c r="L474" s="26" t="e">
        <f t="shared" ref="L474" si="705">L475</f>
        <v>#DIV/0!</v>
      </c>
      <c r="M474" s="25">
        <f>Parameters!L238</f>
        <v>0</v>
      </c>
      <c r="N474" s="25">
        <f>Parameters!M238</f>
        <v>0</v>
      </c>
      <c r="O474" s="26" t="e">
        <f t="shared" ref="O474" si="706">O475</f>
        <v>#DIV/0!</v>
      </c>
      <c r="P474" s="23">
        <f>Parameters!N238</f>
        <v>0</v>
      </c>
      <c r="Q474" s="23">
        <f>Parameters!O238</f>
        <v>0</v>
      </c>
      <c r="R474" s="23">
        <f>Parameters!P238</f>
        <v>0</v>
      </c>
      <c r="S474" s="23">
        <f>Parameters!Q238</f>
        <v>0</v>
      </c>
      <c r="T474" s="23">
        <f>Parameters!R238</f>
        <v>0</v>
      </c>
      <c r="U474" s="27">
        <f>Parameters!S238</f>
        <v>0</v>
      </c>
      <c r="V474" s="28">
        <f>Parameters!T238</f>
        <v>0</v>
      </c>
      <c r="W474" s="27">
        <f>Parameters!U238</f>
        <v>0</v>
      </c>
      <c r="X474" s="28">
        <f>Parameters!V238</f>
        <v>0</v>
      </c>
      <c r="Y474" s="25">
        <f>Parameters!W238</f>
        <v>0</v>
      </c>
      <c r="Z474" s="23">
        <f>Parameters!X238</f>
        <v>0</v>
      </c>
      <c r="AA474" s="27">
        <f>Parameters!Y238</f>
        <v>0</v>
      </c>
      <c r="AB474" s="28">
        <f>Parameters!Z238</f>
        <v>0</v>
      </c>
      <c r="AC474" s="23">
        <f>Parameters!AA238</f>
        <v>0</v>
      </c>
    </row>
    <row r="475" spans="1:29">
      <c r="A475" s="29" t="str">
        <f>UPPER(A474)</f>
        <v>0</v>
      </c>
      <c r="B475" s="29">
        <f>B474</f>
        <v>0</v>
      </c>
      <c r="C475" s="30">
        <f>C474</f>
        <v>0</v>
      </c>
      <c r="D475" s="30">
        <f>D474</f>
        <v>0</v>
      </c>
      <c r="E475" s="29">
        <f>E474</f>
        <v>0</v>
      </c>
      <c r="F475" s="29">
        <f>F474</f>
        <v>0</v>
      </c>
      <c r="G475" s="29" t="e">
        <f>IF(C474=1,IF(D474="BUY",E474+(ROUND(F474*G474/B474,0)*B474),E474-(ROUND(F474*G474/B474,0)*B474)),IF(D474="BUY",E474-(ROUND(F474*G474/B474,0)*B474),E474+(ROUND(F474*G474/B474,0)*B474)))</f>
        <v>#DIV/0!</v>
      </c>
      <c r="H475" s="29" t="e">
        <f>IF(C474=1,IF(D474="BUY",G475-(ROUND(F474*H474/B474,0)*B474),G475+(ROUND(F474*H474/B474,0)*B474)),IF(D474="BUY",G475+(ROUND(F474*H474/B474,0)*B474),G475-(ROUND(F474*H474/B474,0)*B474)))</f>
        <v>#DIV/0!</v>
      </c>
      <c r="I475" s="29" t="e">
        <f>IF(D474="BUY",G475+(ROUND(F474*I474/(B474*100),0)*B474),G475-(ROUND(F474*I474/(B474*100),0)*B474))</f>
        <v>#DIV/0!</v>
      </c>
      <c r="J475" s="29" t="e">
        <f>IF(C474=1,IF(D474="BUY",E474+(ROUND(F474*J474/B474,0)*B474),E474-(ROUND(F474*J474/B474,0)*B474)),IF(D474="BUY",E474-(ROUND(F474*J474/B474,0)*B474),E474+(ROUND(F474*J474/B474,0)*B474)))</f>
        <v>#DIV/0!</v>
      </c>
      <c r="K475" s="29" t="e">
        <f>IF(C474=1,IF(D474="BUY",E474-(ROUND(F474*K474/B474,0)*B474),E474+(ROUND(F474*K474/B474,0)*B474)),IF(D474="BUY",E474-(ROUND(F474*K474/B474,0)*B474),E474+(ROUND(F474*K474/B474,0)*B474)))</f>
        <v>#DIV/0!</v>
      </c>
      <c r="L475" s="29" t="e">
        <f t="shared" ref="L475" si="707">IF(D475="BUY",I475+(R475*B475),I475-(R475*B475))</f>
        <v>#DIV/0!</v>
      </c>
      <c r="M475" s="29" t="e">
        <f>IF(D474="BUY",E474+(ROUND(F474*M474/B474,0)*B474),E474-(ROUND(F474*M474/B474,0)*B474))</f>
        <v>#DIV/0!</v>
      </c>
      <c r="N475" s="29" t="e">
        <f>IF(D474="BUY",E474-(ROUND(F474*N474/B474,0)*B474),E474+(ROUND(F474*N474/B474,0)*B474))</f>
        <v>#DIV/0!</v>
      </c>
      <c r="O475" s="31" t="e">
        <f>IF(D475="BUY",N475-VLOOKUP(A475,Symbols!A$1:D$1000,4,FALSE),N475+VLOOKUP(A475,Symbols!A$1:D$1000,4,FALSE))</f>
        <v>#DIV/0!</v>
      </c>
      <c r="P475" s="29">
        <f>P474</f>
        <v>0</v>
      </c>
      <c r="Q475" s="29">
        <f>Q474</f>
        <v>0</v>
      </c>
      <c r="R475" s="29">
        <f>R474</f>
        <v>0</v>
      </c>
      <c r="S475" s="29">
        <f>S474</f>
        <v>0</v>
      </c>
      <c r="T475" s="29">
        <f>T474</f>
        <v>0</v>
      </c>
      <c r="U475" s="29" t="e">
        <f>DATEDIF(DATE(1970,1,1),U474,"D")*86400</f>
        <v>#NUM!</v>
      </c>
      <c r="V475" s="29">
        <f>HOUR(V474)*3600+MINUTE(V474)*60+SECOND(V474)</f>
        <v>0</v>
      </c>
      <c r="W475" s="29" t="e">
        <f>DATEDIF(DATE(1970,1,1),W474,"D")*86400</f>
        <v>#NUM!</v>
      </c>
      <c r="X475" s="29">
        <f>HOUR(X474)*3600+MINUTE(X474)*60+SECOND(X474)</f>
        <v>0</v>
      </c>
      <c r="Y475" s="31">
        <f>(Y474*B475)</f>
        <v>0</v>
      </c>
      <c r="Z475" s="29">
        <f>Z474</f>
        <v>0</v>
      </c>
      <c r="AA475" s="29" t="e">
        <f>DATEDIF(DATE(1970,1,1),AA474,"D")*86400</f>
        <v>#NUM!</v>
      </c>
      <c r="AB475" s="29">
        <f>HOUR(AB474)*3600+MINUTE(AB474)*60+SECOND(AB474)</f>
        <v>0</v>
      </c>
      <c r="AC475" s="29">
        <f>AC474</f>
        <v>0</v>
      </c>
    </row>
    <row r="476" spans="1:29">
      <c r="A476" s="23">
        <f>Parameters!A239</f>
        <v>0</v>
      </c>
      <c r="B476" s="23">
        <f>Parameters!B239</f>
        <v>0</v>
      </c>
      <c r="C476" s="24">
        <f>Parameters!C239</f>
        <v>0</v>
      </c>
      <c r="D476" s="24">
        <f>Parameters!D239</f>
        <v>0</v>
      </c>
      <c r="E476" s="23">
        <f>Parameters!E239</f>
        <v>0</v>
      </c>
      <c r="F476" s="23">
        <f>Parameters!F239</f>
        <v>0</v>
      </c>
      <c r="G476" s="25">
        <f>Parameters!G239</f>
        <v>0</v>
      </c>
      <c r="H476" s="25">
        <f>Parameters!H239</f>
        <v>0</v>
      </c>
      <c r="I476" s="25">
        <f>Parameters!I239</f>
        <v>0</v>
      </c>
      <c r="J476" s="25">
        <f>Parameters!J239</f>
        <v>0</v>
      </c>
      <c r="K476" s="25">
        <f>Parameters!K239</f>
        <v>0</v>
      </c>
      <c r="L476" s="26" t="e">
        <f t="shared" ref="L476" si="708">L477</f>
        <v>#DIV/0!</v>
      </c>
      <c r="M476" s="25">
        <f>Parameters!L239</f>
        <v>0</v>
      </c>
      <c r="N476" s="25">
        <f>Parameters!M239</f>
        <v>0</v>
      </c>
      <c r="O476" s="26" t="e">
        <f t="shared" ref="O476" si="709">O477</f>
        <v>#DIV/0!</v>
      </c>
      <c r="P476" s="23">
        <f>Parameters!N239</f>
        <v>0</v>
      </c>
      <c r="Q476" s="23">
        <f>Parameters!O239</f>
        <v>0</v>
      </c>
      <c r="R476" s="23">
        <f>Parameters!P239</f>
        <v>0</v>
      </c>
      <c r="S476" s="23">
        <f>Parameters!Q239</f>
        <v>0</v>
      </c>
      <c r="T476" s="23">
        <f>Parameters!R239</f>
        <v>0</v>
      </c>
      <c r="U476" s="27">
        <f>Parameters!S239</f>
        <v>0</v>
      </c>
      <c r="V476" s="28">
        <f>Parameters!T239</f>
        <v>0</v>
      </c>
      <c r="W476" s="27">
        <f>Parameters!U239</f>
        <v>0</v>
      </c>
      <c r="X476" s="28">
        <f>Parameters!V239</f>
        <v>0</v>
      </c>
      <c r="Y476" s="25">
        <f>Parameters!W239</f>
        <v>0</v>
      </c>
      <c r="Z476" s="23">
        <f>Parameters!X239</f>
        <v>0</v>
      </c>
      <c r="AA476" s="27">
        <f>Parameters!Y239</f>
        <v>0</v>
      </c>
      <c r="AB476" s="28">
        <f>Parameters!Z239</f>
        <v>0</v>
      </c>
      <c r="AC476" s="23">
        <f>Parameters!AA239</f>
        <v>0</v>
      </c>
    </row>
    <row r="477" spans="1:29">
      <c r="A477" s="29" t="str">
        <f>UPPER(A476)</f>
        <v>0</v>
      </c>
      <c r="B477" s="29">
        <f>B476</f>
        <v>0</v>
      </c>
      <c r="C477" s="30">
        <f>C476</f>
        <v>0</v>
      </c>
      <c r="D477" s="30">
        <f>D476</f>
        <v>0</v>
      </c>
      <c r="E477" s="29">
        <f>E476</f>
        <v>0</v>
      </c>
      <c r="F477" s="29">
        <f>F476</f>
        <v>0</v>
      </c>
      <c r="G477" s="29" t="e">
        <f>IF(C476=1,IF(D476="BUY",E476+(ROUND(F476*G476/B476,0)*B476),E476-(ROUND(F476*G476/B476,0)*B476)),IF(D476="BUY",E476-(ROUND(F476*G476/B476,0)*B476),E476+(ROUND(F476*G476/B476,0)*B476)))</f>
        <v>#DIV/0!</v>
      </c>
      <c r="H477" s="29" t="e">
        <f>IF(C476=1,IF(D476="BUY",G477-(ROUND(F476*H476/B476,0)*B476),G477+(ROUND(F476*H476/B476,0)*B476)),IF(D476="BUY",G477+(ROUND(F476*H476/B476,0)*B476),G477-(ROUND(F476*H476/B476,0)*B476)))</f>
        <v>#DIV/0!</v>
      </c>
      <c r="I477" s="29" t="e">
        <f>IF(D476="BUY",G477+(ROUND(F476*I476/(B476*100),0)*B476),G477-(ROUND(F476*I476/(B476*100),0)*B476))</f>
        <v>#DIV/0!</v>
      </c>
      <c r="J477" s="29" t="e">
        <f>IF(C476=1,IF(D476="BUY",E476+(ROUND(F476*J476/B476,0)*B476),E476-(ROUND(F476*J476/B476,0)*B476)),IF(D476="BUY",E476-(ROUND(F476*J476/B476,0)*B476),E476+(ROUND(F476*J476/B476,0)*B476)))</f>
        <v>#DIV/0!</v>
      </c>
      <c r="K477" s="29" t="e">
        <f>IF(C476=1,IF(D476="BUY",E476-(ROUND(F476*K476/B476,0)*B476),E476+(ROUND(F476*K476/B476,0)*B476)),IF(D476="BUY",E476-(ROUND(F476*K476/B476,0)*B476),E476+(ROUND(F476*K476/B476,0)*B476)))</f>
        <v>#DIV/0!</v>
      </c>
      <c r="L477" s="29" t="e">
        <f t="shared" ref="L477" si="710">IF(D477="BUY",I477+(R477*B477),I477-(R477*B477))</f>
        <v>#DIV/0!</v>
      </c>
      <c r="M477" s="29" t="e">
        <f>IF(D476="BUY",E476+(ROUND(F476*M476/B476,0)*B476),E476-(ROUND(F476*M476/B476,0)*B476))</f>
        <v>#DIV/0!</v>
      </c>
      <c r="N477" s="29" t="e">
        <f>IF(D476="BUY",E476-(ROUND(F476*N476/B476,0)*B476),E476+(ROUND(F476*N476/B476,0)*B476))</f>
        <v>#DIV/0!</v>
      </c>
      <c r="O477" s="31" t="e">
        <f>IF(D477="BUY",N477-VLOOKUP(A477,Symbols!A$1:D$1000,4,FALSE),N477+VLOOKUP(A477,Symbols!A$1:D$1000,4,FALSE))</f>
        <v>#DIV/0!</v>
      </c>
      <c r="P477" s="29">
        <f>P476</f>
        <v>0</v>
      </c>
      <c r="Q477" s="29">
        <f>Q476</f>
        <v>0</v>
      </c>
      <c r="R477" s="29">
        <f>R476</f>
        <v>0</v>
      </c>
      <c r="S477" s="29">
        <f>S476</f>
        <v>0</v>
      </c>
      <c r="T477" s="29">
        <f>T476</f>
        <v>0</v>
      </c>
      <c r="U477" s="29" t="e">
        <f>DATEDIF(DATE(1970,1,1),U476,"D")*86400</f>
        <v>#NUM!</v>
      </c>
      <c r="V477" s="29">
        <f>HOUR(V476)*3600+MINUTE(V476)*60+SECOND(V476)</f>
        <v>0</v>
      </c>
      <c r="W477" s="29" t="e">
        <f>DATEDIF(DATE(1970,1,1),W476,"D")*86400</f>
        <v>#NUM!</v>
      </c>
      <c r="X477" s="29">
        <f>HOUR(X476)*3600+MINUTE(X476)*60+SECOND(X476)</f>
        <v>0</v>
      </c>
      <c r="Y477" s="31">
        <f>(Y476*B477)</f>
        <v>0</v>
      </c>
      <c r="Z477" s="29">
        <f>Z476</f>
        <v>0</v>
      </c>
      <c r="AA477" s="29" t="e">
        <f>DATEDIF(DATE(1970,1,1),AA476,"D")*86400</f>
        <v>#NUM!</v>
      </c>
      <c r="AB477" s="29">
        <f>HOUR(AB476)*3600+MINUTE(AB476)*60+SECOND(AB476)</f>
        <v>0</v>
      </c>
      <c r="AC477" s="29">
        <f>AC476</f>
        <v>0</v>
      </c>
    </row>
    <row r="478" spans="1:29">
      <c r="A478" s="23">
        <f>Parameters!A240</f>
        <v>0</v>
      </c>
      <c r="B478" s="23">
        <f>Parameters!B240</f>
        <v>0</v>
      </c>
      <c r="C478" s="24">
        <f>Parameters!C240</f>
        <v>0</v>
      </c>
      <c r="D478" s="24">
        <f>Parameters!D240</f>
        <v>0</v>
      </c>
      <c r="E478" s="23">
        <f>Parameters!E240</f>
        <v>0</v>
      </c>
      <c r="F478" s="23">
        <f>Parameters!F240</f>
        <v>0</v>
      </c>
      <c r="G478" s="25">
        <f>Parameters!G240</f>
        <v>0</v>
      </c>
      <c r="H478" s="25">
        <f>Parameters!H240</f>
        <v>0</v>
      </c>
      <c r="I478" s="25">
        <f>Parameters!I240</f>
        <v>0</v>
      </c>
      <c r="J478" s="25">
        <f>Parameters!J240</f>
        <v>0</v>
      </c>
      <c r="K478" s="25">
        <f>Parameters!K240</f>
        <v>0</v>
      </c>
      <c r="L478" s="26" t="e">
        <f t="shared" ref="L478" si="711">L479</f>
        <v>#DIV/0!</v>
      </c>
      <c r="M478" s="25">
        <f>Parameters!L240</f>
        <v>0</v>
      </c>
      <c r="N478" s="25">
        <f>Parameters!M240</f>
        <v>0</v>
      </c>
      <c r="O478" s="26" t="e">
        <f t="shared" ref="O478" si="712">O479</f>
        <v>#DIV/0!</v>
      </c>
      <c r="P478" s="23">
        <f>Parameters!N240</f>
        <v>0</v>
      </c>
      <c r="Q478" s="23">
        <f>Parameters!O240</f>
        <v>0</v>
      </c>
      <c r="R478" s="23">
        <f>Parameters!P240</f>
        <v>0</v>
      </c>
      <c r="S478" s="23">
        <f>Parameters!Q240</f>
        <v>0</v>
      </c>
      <c r="T478" s="23">
        <f>Parameters!R240</f>
        <v>0</v>
      </c>
      <c r="U478" s="27">
        <f>Parameters!S240</f>
        <v>0</v>
      </c>
      <c r="V478" s="28">
        <f>Parameters!T240</f>
        <v>0</v>
      </c>
      <c r="W478" s="27">
        <f>Parameters!U240</f>
        <v>0</v>
      </c>
      <c r="X478" s="28">
        <f>Parameters!V240</f>
        <v>0</v>
      </c>
      <c r="Y478" s="25">
        <f>Parameters!W240</f>
        <v>0</v>
      </c>
      <c r="Z478" s="23">
        <f>Parameters!X240</f>
        <v>0</v>
      </c>
      <c r="AA478" s="27">
        <f>Parameters!Y240</f>
        <v>0</v>
      </c>
      <c r="AB478" s="28">
        <f>Parameters!Z240</f>
        <v>0</v>
      </c>
      <c r="AC478" s="23">
        <f>Parameters!AA240</f>
        <v>0</v>
      </c>
    </row>
    <row r="479" spans="1:29">
      <c r="A479" s="29" t="str">
        <f>UPPER(A478)</f>
        <v>0</v>
      </c>
      <c r="B479" s="29">
        <f>B478</f>
        <v>0</v>
      </c>
      <c r="C479" s="30">
        <f>C478</f>
        <v>0</v>
      </c>
      <c r="D479" s="30">
        <f>D478</f>
        <v>0</v>
      </c>
      <c r="E479" s="29">
        <f>E478</f>
        <v>0</v>
      </c>
      <c r="F479" s="29">
        <f>F478</f>
        <v>0</v>
      </c>
      <c r="G479" s="29" t="e">
        <f>IF(C478=1,IF(D478="BUY",E478+(ROUND(F478*G478/B478,0)*B478),E478-(ROUND(F478*G478/B478,0)*B478)),IF(D478="BUY",E478-(ROUND(F478*G478/B478,0)*B478),E478+(ROUND(F478*G478/B478,0)*B478)))</f>
        <v>#DIV/0!</v>
      </c>
      <c r="H479" s="29" t="e">
        <f>IF(C478=1,IF(D478="BUY",G479-(ROUND(F478*H478/B478,0)*B478),G479+(ROUND(F478*H478/B478,0)*B478)),IF(D478="BUY",G479+(ROUND(F478*H478/B478,0)*B478),G479-(ROUND(F478*H478/B478,0)*B478)))</f>
        <v>#DIV/0!</v>
      </c>
      <c r="I479" s="29" t="e">
        <f>IF(D478="BUY",G479+(ROUND(F478*I478/(B478*100),0)*B478),G479-(ROUND(F478*I478/(B478*100),0)*B478))</f>
        <v>#DIV/0!</v>
      </c>
      <c r="J479" s="29" t="e">
        <f>IF(C478=1,IF(D478="BUY",E478+(ROUND(F478*J478/B478,0)*B478),E478-(ROUND(F478*J478/B478,0)*B478)),IF(D478="BUY",E478-(ROUND(F478*J478/B478,0)*B478),E478+(ROUND(F478*J478/B478,0)*B478)))</f>
        <v>#DIV/0!</v>
      </c>
      <c r="K479" s="29" t="e">
        <f>IF(C478=1,IF(D478="BUY",E478-(ROUND(F478*K478/B478,0)*B478),E478+(ROUND(F478*K478/B478,0)*B478)),IF(D478="BUY",E478-(ROUND(F478*K478/B478,0)*B478),E478+(ROUND(F478*K478/B478,0)*B478)))</f>
        <v>#DIV/0!</v>
      </c>
      <c r="L479" s="29" t="e">
        <f t="shared" ref="L479" si="713">IF(D479="BUY",I479+(R479*B479),I479-(R479*B479))</f>
        <v>#DIV/0!</v>
      </c>
      <c r="M479" s="29" t="e">
        <f>IF(D478="BUY",E478+(ROUND(F478*M478/B478,0)*B478),E478-(ROUND(F478*M478/B478,0)*B478))</f>
        <v>#DIV/0!</v>
      </c>
      <c r="N479" s="29" t="e">
        <f>IF(D478="BUY",E478-(ROUND(F478*N478/B478,0)*B478),E478+(ROUND(F478*N478/B478,0)*B478))</f>
        <v>#DIV/0!</v>
      </c>
      <c r="O479" s="31" t="e">
        <f>IF(D479="BUY",N479-VLOOKUP(A479,Symbols!A$1:D$1000,4,FALSE),N479+VLOOKUP(A479,Symbols!A$1:D$1000,4,FALSE))</f>
        <v>#DIV/0!</v>
      </c>
      <c r="P479" s="29">
        <f>P478</f>
        <v>0</v>
      </c>
      <c r="Q479" s="29">
        <f>Q478</f>
        <v>0</v>
      </c>
      <c r="R479" s="29">
        <f>R478</f>
        <v>0</v>
      </c>
      <c r="S479" s="29">
        <f>S478</f>
        <v>0</v>
      </c>
      <c r="T479" s="29">
        <f>T478</f>
        <v>0</v>
      </c>
      <c r="U479" s="29" t="e">
        <f>DATEDIF(DATE(1970,1,1),U478,"D")*86400</f>
        <v>#NUM!</v>
      </c>
      <c r="V479" s="29">
        <f>HOUR(V478)*3600+MINUTE(V478)*60+SECOND(V478)</f>
        <v>0</v>
      </c>
      <c r="W479" s="29" t="e">
        <f>DATEDIF(DATE(1970,1,1),W478,"D")*86400</f>
        <v>#NUM!</v>
      </c>
      <c r="X479" s="29">
        <f>HOUR(X478)*3600+MINUTE(X478)*60+SECOND(X478)</f>
        <v>0</v>
      </c>
      <c r="Y479" s="31">
        <f>(Y478*B479)</f>
        <v>0</v>
      </c>
      <c r="Z479" s="29">
        <f>Z478</f>
        <v>0</v>
      </c>
      <c r="AA479" s="29" t="e">
        <f>DATEDIF(DATE(1970,1,1),AA478,"D")*86400</f>
        <v>#NUM!</v>
      </c>
      <c r="AB479" s="29">
        <f>HOUR(AB478)*3600+MINUTE(AB478)*60+SECOND(AB478)</f>
        <v>0</v>
      </c>
      <c r="AC479" s="29">
        <f>AC478</f>
        <v>0</v>
      </c>
    </row>
    <row r="480" spans="1:29">
      <c r="A480" s="23">
        <f>Parameters!A241</f>
        <v>0</v>
      </c>
      <c r="B480" s="23">
        <f>Parameters!B241</f>
        <v>0</v>
      </c>
      <c r="C480" s="24">
        <f>Parameters!C241</f>
        <v>0</v>
      </c>
      <c r="D480" s="24">
        <f>Parameters!D241</f>
        <v>0</v>
      </c>
      <c r="E480" s="23">
        <f>Parameters!E241</f>
        <v>0</v>
      </c>
      <c r="F480" s="23">
        <f>Parameters!F241</f>
        <v>0</v>
      </c>
      <c r="G480" s="25">
        <f>Parameters!G241</f>
        <v>0</v>
      </c>
      <c r="H480" s="25">
        <f>Parameters!H241</f>
        <v>0</v>
      </c>
      <c r="I480" s="25">
        <f>Parameters!I241</f>
        <v>0</v>
      </c>
      <c r="J480" s="25">
        <f>Parameters!J241</f>
        <v>0</v>
      </c>
      <c r="K480" s="25">
        <f>Parameters!K241</f>
        <v>0</v>
      </c>
      <c r="L480" s="26" t="e">
        <f t="shared" ref="L480" si="714">L481</f>
        <v>#DIV/0!</v>
      </c>
      <c r="M480" s="25">
        <f>Parameters!L241</f>
        <v>0</v>
      </c>
      <c r="N480" s="25">
        <f>Parameters!M241</f>
        <v>0</v>
      </c>
      <c r="O480" s="26" t="e">
        <f t="shared" ref="O480" si="715">O481</f>
        <v>#DIV/0!</v>
      </c>
      <c r="P480" s="23">
        <f>Parameters!N241</f>
        <v>0</v>
      </c>
      <c r="Q480" s="23">
        <f>Parameters!O241</f>
        <v>0</v>
      </c>
      <c r="R480" s="23">
        <f>Parameters!P241</f>
        <v>0</v>
      </c>
      <c r="S480" s="23">
        <f>Parameters!Q241</f>
        <v>0</v>
      </c>
      <c r="T480" s="23">
        <f>Parameters!R241</f>
        <v>0</v>
      </c>
      <c r="U480" s="27">
        <f>Parameters!S241</f>
        <v>0</v>
      </c>
      <c r="V480" s="28">
        <f>Parameters!T241</f>
        <v>0</v>
      </c>
      <c r="W480" s="27">
        <f>Parameters!U241</f>
        <v>0</v>
      </c>
      <c r="X480" s="28">
        <f>Parameters!V241</f>
        <v>0</v>
      </c>
      <c r="Y480" s="25">
        <f>Parameters!W241</f>
        <v>0</v>
      </c>
      <c r="Z480" s="23">
        <f>Parameters!X241</f>
        <v>0</v>
      </c>
      <c r="AA480" s="27">
        <f>Parameters!Y241</f>
        <v>0</v>
      </c>
      <c r="AB480" s="28">
        <f>Parameters!Z241</f>
        <v>0</v>
      </c>
      <c r="AC480" s="23">
        <f>Parameters!AA241</f>
        <v>0</v>
      </c>
    </row>
    <row r="481" spans="1:29">
      <c r="A481" s="29" t="str">
        <f>UPPER(A480)</f>
        <v>0</v>
      </c>
      <c r="B481" s="29">
        <f>B480</f>
        <v>0</v>
      </c>
      <c r="C481" s="30">
        <f>C480</f>
        <v>0</v>
      </c>
      <c r="D481" s="30">
        <f>D480</f>
        <v>0</v>
      </c>
      <c r="E481" s="29">
        <f>E480</f>
        <v>0</v>
      </c>
      <c r="F481" s="29">
        <f>F480</f>
        <v>0</v>
      </c>
      <c r="G481" s="29" t="e">
        <f>IF(C480=1,IF(D480="BUY",E480+(ROUND(F480*G480/B480,0)*B480),E480-(ROUND(F480*G480/B480,0)*B480)),IF(D480="BUY",E480-(ROUND(F480*G480/B480,0)*B480),E480+(ROUND(F480*G480/B480,0)*B480)))</f>
        <v>#DIV/0!</v>
      </c>
      <c r="H481" s="29" t="e">
        <f>IF(C480=1,IF(D480="BUY",G481-(ROUND(F480*H480/B480,0)*B480),G481+(ROUND(F480*H480/B480,0)*B480)),IF(D480="BUY",G481+(ROUND(F480*H480/B480,0)*B480),G481-(ROUND(F480*H480/B480,0)*B480)))</f>
        <v>#DIV/0!</v>
      </c>
      <c r="I481" s="29" t="e">
        <f>IF(D480="BUY",G481+(ROUND(F480*I480/(B480*100),0)*B480),G481-(ROUND(F480*I480/(B480*100),0)*B480))</f>
        <v>#DIV/0!</v>
      </c>
      <c r="J481" s="29" t="e">
        <f>IF(C480=1,IF(D480="BUY",E480+(ROUND(F480*J480/B480,0)*B480),E480-(ROUND(F480*J480/B480,0)*B480)),IF(D480="BUY",E480-(ROUND(F480*J480/B480,0)*B480),E480+(ROUND(F480*J480/B480,0)*B480)))</f>
        <v>#DIV/0!</v>
      </c>
      <c r="K481" s="29" t="e">
        <f>IF(C480=1,IF(D480="BUY",E480-(ROUND(F480*K480/B480,0)*B480),E480+(ROUND(F480*K480/B480,0)*B480)),IF(D480="BUY",E480-(ROUND(F480*K480/B480,0)*B480),E480+(ROUND(F480*K480/B480,0)*B480)))</f>
        <v>#DIV/0!</v>
      </c>
      <c r="L481" s="29" t="e">
        <f t="shared" ref="L481" si="716">IF(D481="BUY",I481+(R481*B481),I481-(R481*B481))</f>
        <v>#DIV/0!</v>
      </c>
      <c r="M481" s="29" t="e">
        <f>IF(D480="BUY",E480+(ROUND(F480*M480/B480,0)*B480),E480-(ROUND(F480*M480/B480,0)*B480))</f>
        <v>#DIV/0!</v>
      </c>
      <c r="N481" s="29" t="e">
        <f>IF(D480="BUY",E480-(ROUND(F480*N480/B480,0)*B480),E480+(ROUND(F480*N480/B480,0)*B480))</f>
        <v>#DIV/0!</v>
      </c>
      <c r="O481" s="31" t="e">
        <f>IF(D481="BUY",N481-VLOOKUP(A481,Symbols!A$1:D$1000,4,FALSE),N481+VLOOKUP(A481,Symbols!A$1:D$1000,4,FALSE))</f>
        <v>#DIV/0!</v>
      </c>
      <c r="P481" s="29">
        <f>P480</f>
        <v>0</v>
      </c>
      <c r="Q481" s="29">
        <f>Q480</f>
        <v>0</v>
      </c>
      <c r="R481" s="29">
        <f>R480</f>
        <v>0</v>
      </c>
      <c r="S481" s="29">
        <f>S480</f>
        <v>0</v>
      </c>
      <c r="T481" s="29">
        <f>T480</f>
        <v>0</v>
      </c>
      <c r="U481" s="29" t="e">
        <f>DATEDIF(DATE(1970,1,1),U480,"D")*86400</f>
        <v>#NUM!</v>
      </c>
      <c r="V481" s="29">
        <f>HOUR(V480)*3600+MINUTE(V480)*60+SECOND(V480)</f>
        <v>0</v>
      </c>
      <c r="W481" s="29" t="e">
        <f>DATEDIF(DATE(1970,1,1),W480,"D")*86400</f>
        <v>#NUM!</v>
      </c>
      <c r="X481" s="29">
        <f>HOUR(X480)*3600+MINUTE(X480)*60+SECOND(X480)</f>
        <v>0</v>
      </c>
      <c r="Y481" s="31">
        <f>(Y480*B481)</f>
        <v>0</v>
      </c>
      <c r="Z481" s="29">
        <f>Z480</f>
        <v>0</v>
      </c>
      <c r="AA481" s="29" t="e">
        <f>DATEDIF(DATE(1970,1,1),AA480,"D")*86400</f>
        <v>#NUM!</v>
      </c>
      <c r="AB481" s="29">
        <f>HOUR(AB480)*3600+MINUTE(AB480)*60+SECOND(AB480)</f>
        <v>0</v>
      </c>
      <c r="AC481" s="29">
        <f>AC480</f>
        <v>0</v>
      </c>
    </row>
    <row r="482" spans="1:29">
      <c r="A482" s="23">
        <f>Parameters!A242</f>
        <v>0</v>
      </c>
      <c r="B482" s="23">
        <f>Parameters!B242</f>
        <v>0</v>
      </c>
      <c r="C482" s="24">
        <f>Parameters!C242</f>
        <v>0</v>
      </c>
      <c r="D482" s="24">
        <f>Parameters!D242</f>
        <v>0</v>
      </c>
      <c r="E482" s="23">
        <f>Parameters!E242</f>
        <v>0</v>
      </c>
      <c r="F482" s="23">
        <f>Parameters!F242</f>
        <v>0</v>
      </c>
      <c r="G482" s="25">
        <f>Parameters!G242</f>
        <v>0</v>
      </c>
      <c r="H482" s="25">
        <f>Parameters!H242</f>
        <v>0</v>
      </c>
      <c r="I482" s="25">
        <f>Parameters!I242</f>
        <v>0</v>
      </c>
      <c r="J482" s="25">
        <f>Parameters!J242</f>
        <v>0</v>
      </c>
      <c r="K482" s="25">
        <f>Parameters!K242</f>
        <v>0</v>
      </c>
      <c r="L482" s="26" t="e">
        <f t="shared" ref="L482" si="717">L483</f>
        <v>#DIV/0!</v>
      </c>
      <c r="M482" s="25">
        <f>Parameters!L242</f>
        <v>0</v>
      </c>
      <c r="N482" s="25">
        <f>Parameters!M242</f>
        <v>0</v>
      </c>
      <c r="O482" s="26" t="e">
        <f t="shared" ref="O482" si="718">O483</f>
        <v>#DIV/0!</v>
      </c>
      <c r="P482" s="23">
        <f>Parameters!N242</f>
        <v>0</v>
      </c>
      <c r="Q482" s="23">
        <f>Parameters!O242</f>
        <v>0</v>
      </c>
      <c r="R482" s="23">
        <f>Parameters!P242</f>
        <v>0</v>
      </c>
      <c r="S482" s="23">
        <f>Parameters!Q242</f>
        <v>0</v>
      </c>
      <c r="T482" s="23">
        <f>Parameters!R242</f>
        <v>0</v>
      </c>
      <c r="U482" s="27">
        <f>Parameters!S242</f>
        <v>0</v>
      </c>
      <c r="V482" s="28">
        <f>Parameters!T242</f>
        <v>0</v>
      </c>
      <c r="W482" s="27">
        <f>Parameters!U242</f>
        <v>0</v>
      </c>
      <c r="X482" s="28">
        <f>Parameters!V242</f>
        <v>0</v>
      </c>
      <c r="Y482" s="25">
        <f>Parameters!W242</f>
        <v>0</v>
      </c>
      <c r="Z482" s="23">
        <f>Parameters!X242</f>
        <v>0</v>
      </c>
      <c r="AA482" s="27">
        <f>Parameters!Y242</f>
        <v>0</v>
      </c>
      <c r="AB482" s="28">
        <f>Parameters!Z242</f>
        <v>0</v>
      </c>
      <c r="AC482" s="23">
        <f>Parameters!AA242</f>
        <v>0</v>
      </c>
    </row>
    <row r="483" spans="1:29">
      <c r="A483" s="29" t="str">
        <f>UPPER(A482)</f>
        <v>0</v>
      </c>
      <c r="B483" s="29">
        <f>B482</f>
        <v>0</v>
      </c>
      <c r="C483" s="30">
        <f>C482</f>
        <v>0</v>
      </c>
      <c r="D483" s="30">
        <f>D482</f>
        <v>0</v>
      </c>
      <c r="E483" s="29">
        <f>E482</f>
        <v>0</v>
      </c>
      <c r="F483" s="29">
        <f>F482</f>
        <v>0</v>
      </c>
      <c r="G483" s="29" t="e">
        <f>IF(C482=1,IF(D482="BUY",E482+(ROUND(F482*G482/B482,0)*B482),E482-(ROUND(F482*G482/B482,0)*B482)),IF(D482="BUY",E482-(ROUND(F482*G482/B482,0)*B482),E482+(ROUND(F482*G482/B482,0)*B482)))</f>
        <v>#DIV/0!</v>
      </c>
      <c r="H483" s="29" t="e">
        <f>IF(C482=1,IF(D482="BUY",G483-(ROUND(F482*H482/B482,0)*B482),G483+(ROUND(F482*H482/B482,0)*B482)),IF(D482="BUY",G483+(ROUND(F482*H482/B482,0)*B482),G483-(ROUND(F482*H482/B482,0)*B482)))</f>
        <v>#DIV/0!</v>
      </c>
      <c r="I483" s="29" t="e">
        <f>IF(D482="BUY",G483+(ROUND(F482*I482/(B482*100),0)*B482),G483-(ROUND(F482*I482/(B482*100),0)*B482))</f>
        <v>#DIV/0!</v>
      </c>
      <c r="J483" s="29" t="e">
        <f>IF(C482=1,IF(D482="BUY",E482+(ROUND(F482*J482/B482,0)*B482),E482-(ROUND(F482*J482/B482,0)*B482)),IF(D482="BUY",E482-(ROUND(F482*J482/B482,0)*B482),E482+(ROUND(F482*J482/B482,0)*B482)))</f>
        <v>#DIV/0!</v>
      </c>
      <c r="K483" s="29" t="e">
        <f>IF(C482=1,IF(D482="BUY",E482-(ROUND(F482*K482/B482,0)*B482),E482+(ROUND(F482*K482/B482,0)*B482)),IF(D482="BUY",E482-(ROUND(F482*K482/B482,0)*B482),E482+(ROUND(F482*K482/B482,0)*B482)))</f>
        <v>#DIV/0!</v>
      </c>
      <c r="L483" s="29" t="e">
        <f t="shared" ref="L483" si="719">IF(D483="BUY",I483+(R483*B483),I483-(R483*B483))</f>
        <v>#DIV/0!</v>
      </c>
      <c r="M483" s="29" t="e">
        <f>IF(D482="BUY",E482+(ROUND(F482*M482/B482,0)*B482),E482-(ROUND(F482*M482/B482,0)*B482))</f>
        <v>#DIV/0!</v>
      </c>
      <c r="N483" s="29" t="e">
        <f>IF(D482="BUY",E482-(ROUND(F482*N482/B482,0)*B482),E482+(ROUND(F482*N482/B482,0)*B482))</f>
        <v>#DIV/0!</v>
      </c>
      <c r="O483" s="31" t="e">
        <f>IF(D483="BUY",N483-VLOOKUP(A483,Symbols!A$1:D$1000,4,FALSE),N483+VLOOKUP(A483,Symbols!A$1:D$1000,4,FALSE))</f>
        <v>#DIV/0!</v>
      </c>
      <c r="P483" s="29">
        <f>P482</f>
        <v>0</v>
      </c>
      <c r="Q483" s="29">
        <f>Q482</f>
        <v>0</v>
      </c>
      <c r="R483" s="29">
        <f>R482</f>
        <v>0</v>
      </c>
      <c r="S483" s="29">
        <f>S482</f>
        <v>0</v>
      </c>
      <c r="T483" s="29">
        <f>T482</f>
        <v>0</v>
      </c>
      <c r="U483" s="29" t="e">
        <f>DATEDIF(DATE(1970,1,1),U482,"D")*86400</f>
        <v>#NUM!</v>
      </c>
      <c r="V483" s="29">
        <f>HOUR(V482)*3600+MINUTE(V482)*60+SECOND(V482)</f>
        <v>0</v>
      </c>
      <c r="W483" s="29" t="e">
        <f>DATEDIF(DATE(1970,1,1),W482,"D")*86400</f>
        <v>#NUM!</v>
      </c>
      <c r="X483" s="29">
        <f>HOUR(X482)*3600+MINUTE(X482)*60+SECOND(X482)</f>
        <v>0</v>
      </c>
      <c r="Y483" s="31">
        <f>(Y482*B483)</f>
        <v>0</v>
      </c>
      <c r="Z483" s="29">
        <f>Z482</f>
        <v>0</v>
      </c>
      <c r="AA483" s="29" t="e">
        <f>DATEDIF(DATE(1970,1,1),AA482,"D")*86400</f>
        <v>#NUM!</v>
      </c>
      <c r="AB483" s="29">
        <f>HOUR(AB482)*3600+MINUTE(AB482)*60+SECOND(AB482)</f>
        <v>0</v>
      </c>
      <c r="AC483" s="29">
        <f>AC482</f>
        <v>0</v>
      </c>
    </row>
    <row r="484" spans="1:29">
      <c r="A484" s="23">
        <f>Parameters!A243</f>
        <v>0</v>
      </c>
      <c r="B484" s="23">
        <f>Parameters!B243</f>
        <v>0</v>
      </c>
      <c r="C484" s="24">
        <f>Parameters!C243</f>
        <v>0</v>
      </c>
      <c r="D484" s="24">
        <f>Parameters!D243</f>
        <v>0</v>
      </c>
      <c r="E484" s="23">
        <f>Parameters!E243</f>
        <v>0</v>
      </c>
      <c r="F484" s="23">
        <f>Parameters!F243</f>
        <v>0</v>
      </c>
      <c r="G484" s="25">
        <f>Parameters!G243</f>
        <v>0</v>
      </c>
      <c r="H484" s="25">
        <f>Parameters!H243</f>
        <v>0</v>
      </c>
      <c r="I484" s="25">
        <f>Parameters!I243</f>
        <v>0</v>
      </c>
      <c r="J484" s="25">
        <f>Parameters!J243</f>
        <v>0</v>
      </c>
      <c r="K484" s="25">
        <f>Parameters!K243</f>
        <v>0</v>
      </c>
      <c r="L484" s="26" t="e">
        <f t="shared" ref="L484" si="720">L485</f>
        <v>#DIV/0!</v>
      </c>
      <c r="M484" s="25">
        <f>Parameters!L243</f>
        <v>0</v>
      </c>
      <c r="N484" s="25">
        <f>Parameters!M243</f>
        <v>0</v>
      </c>
      <c r="O484" s="26" t="e">
        <f t="shared" ref="O484" si="721">O485</f>
        <v>#DIV/0!</v>
      </c>
      <c r="P484" s="23">
        <f>Parameters!N243</f>
        <v>0</v>
      </c>
      <c r="Q484" s="23">
        <f>Parameters!O243</f>
        <v>0</v>
      </c>
      <c r="R484" s="23">
        <f>Parameters!P243</f>
        <v>0</v>
      </c>
      <c r="S484" s="23">
        <f>Parameters!Q243</f>
        <v>0</v>
      </c>
      <c r="T484" s="23">
        <f>Parameters!R243</f>
        <v>0</v>
      </c>
      <c r="U484" s="27">
        <f>Parameters!S243</f>
        <v>0</v>
      </c>
      <c r="V484" s="28">
        <f>Parameters!T243</f>
        <v>0</v>
      </c>
      <c r="W484" s="27">
        <f>Parameters!U243</f>
        <v>0</v>
      </c>
      <c r="X484" s="28">
        <f>Parameters!V243</f>
        <v>0</v>
      </c>
      <c r="Y484" s="25">
        <f>Parameters!W243</f>
        <v>0</v>
      </c>
      <c r="Z484" s="23">
        <f>Parameters!X243</f>
        <v>0</v>
      </c>
      <c r="AA484" s="27">
        <f>Parameters!Y243</f>
        <v>0</v>
      </c>
      <c r="AB484" s="28">
        <f>Parameters!Z243</f>
        <v>0</v>
      </c>
      <c r="AC484" s="23">
        <f>Parameters!AA243</f>
        <v>0</v>
      </c>
    </row>
    <row r="485" spans="1:29">
      <c r="A485" s="29" t="str">
        <f>UPPER(A484)</f>
        <v>0</v>
      </c>
      <c r="B485" s="29">
        <f>B484</f>
        <v>0</v>
      </c>
      <c r="C485" s="30">
        <f>C484</f>
        <v>0</v>
      </c>
      <c r="D485" s="30">
        <f>D484</f>
        <v>0</v>
      </c>
      <c r="E485" s="29">
        <f>E484</f>
        <v>0</v>
      </c>
      <c r="F485" s="29">
        <f>F484</f>
        <v>0</v>
      </c>
      <c r="G485" s="29" t="e">
        <f>IF(C484=1,IF(D484="BUY",E484+(ROUND(F484*G484/B484,0)*B484),E484-(ROUND(F484*G484/B484,0)*B484)),IF(D484="BUY",E484-(ROUND(F484*G484/B484,0)*B484),E484+(ROUND(F484*G484/B484,0)*B484)))</f>
        <v>#DIV/0!</v>
      </c>
      <c r="H485" s="29" t="e">
        <f>IF(C484=1,IF(D484="BUY",G485-(ROUND(F484*H484/B484,0)*B484),G485+(ROUND(F484*H484/B484,0)*B484)),IF(D484="BUY",G485+(ROUND(F484*H484/B484,0)*B484),G485-(ROUND(F484*H484/B484,0)*B484)))</f>
        <v>#DIV/0!</v>
      </c>
      <c r="I485" s="29" t="e">
        <f>IF(D484="BUY",G485+(ROUND(F484*I484/(B484*100),0)*B484),G485-(ROUND(F484*I484/(B484*100),0)*B484))</f>
        <v>#DIV/0!</v>
      </c>
      <c r="J485" s="29" t="e">
        <f>IF(C484=1,IF(D484="BUY",E484+(ROUND(F484*J484/B484,0)*B484),E484-(ROUND(F484*J484/B484,0)*B484)),IF(D484="BUY",E484-(ROUND(F484*J484/B484,0)*B484),E484+(ROUND(F484*J484/B484,0)*B484)))</f>
        <v>#DIV/0!</v>
      </c>
      <c r="K485" s="29" t="e">
        <f>IF(C484=1,IF(D484="BUY",E484-(ROUND(F484*K484/B484,0)*B484),E484+(ROUND(F484*K484/B484,0)*B484)),IF(D484="BUY",E484-(ROUND(F484*K484/B484,0)*B484),E484+(ROUND(F484*K484/B484,0)*B484)))</f>
        <v>#DIV/0!</v>
      </c>
      <c r="L485" s="29" t="e">
        <f t="shared" ref="L485" si="722">IF(D485="BUY",I485+(R485*B485),I485-(R485*B485))</f>
        <v>#DIV/0!</v>
      </c>
      <c r="M485" s="29" t="e">
        <f>IF(D484="BUY",E484+(ROUND(F484*M484/B484,0)*B484),E484-(ROUND(F484*M484/B484,0)*B484))</f>
        <v>#DIV/0!</v>
      </c>
      <c r="N485" s="29" t="e">
        <f>IF(D484="BUY",E484-(ROUND(F484*N484/B484,0)*B484),E484+(ROUND(F484*N484/B484,0)*B484))</f>
        <v>#DIV/0!</v>
      </c>
      <c r="O485" s="31" t="e">
        <f>IF(D485="BUY",N485-VLOOKUP(A485,Symbols!A$1:D$1000,4,FALSE),N485+VLOOKUP(A485,Symbols!A$1:D$1000,4,FALSE))</f>
        <v>#DIV/0!</v>
      </c>
      <c r="P485" s="29">
        <f>P484</f>
        <v>0</v>
      </c>
      <c r="Q485" s="29">
        <f>Q484</f>
        <v>0</v>
      </c>
      <c r="R485" s="29">
        <f>R484</f>
        <v>0</v>
      </c>
      <c r="S485" s="29">
        <f>S484</f>
        <v>0</v>
      </c>
      <c r="T485" s="29">
        <f>T484</f>
        <v>0</v>
      </c>
      <c r="U485" s="29" t="e">
        <f>DATEDIF(DATE(1970,1,1),U484,"D")*86400</f>
        <v>#NUM!</v>
      </c>
      <c r="V485" s="29">
        <f>HOUR(V484)*3600+MINUTE(V484)*60+SECOND(V484)</f>
        <v>0</v>
      </c>
      <c r="W485" s="29" t="e">
        <f>DATEDIF(DATE(1970,1,1),W484,"D")*86400</f>
        <v>#NUM!</v>
      </c>
      <c r="X485" s="29">
        <f>HOUR(X484)*3600+MINUTE(X484)*60+SECOND(X484)</f>
        <v>0</v>
      </c>
      <c r="Y485" s="31">
        <f>(Y484*B485)</f>
        <v>0</v>
      </c>
      <c r="Z485" s="29">
        <f>Z484</f>
        <v>0</v>
      </c>
      <c r="AA485" s="29" t="e">
        <f>DATEDIF(DATE(1970,1,1),AA484,"D")*86400</f>
        <v>#NUM!</v>
      </c>
      <c r="AB485" s="29">
        <f>HOUR(AB484)*3600+MINUTE(AB484)*60+SECOND(AB484)</f>
        <v>0</v>
      </c>
      <c r="AC485" s="29">
        <f>AC484</f>
        <v>0</v>
      </c>
    </row>
    <row r="486" spans="1:29">
      <c r="A486" s="23">
        <f>Parameters!A244</f>
        <v>0</v>
      </c>
      <c r="B486" s="23">
        <f>Parameters!B244</f>
        <v>0</v>
      </c>
      <c r="C486" s="24">
        <f>Parameters!C244</f>
        <v>0</v>
      </c>
      <c r="D486" s="24">
        <f>Parameters!D244</f>
        <v>0</v>
      </c>
      <c r="E486" s="23">
        <f>Parameters!E244</f>
        <v>0</v>
      </c>
      <c r="F486" s="23">
        <f>Parameters!F244</f>
        <v>0</v>
      </c>
      <c r="G486" s="25">
        <f>Parameters!G244</f>
        <v>0</v>
      </c>
      <c r="H486" s="25">
        <f>Parameters!H244</f>
        <v>0</v>
      </c>
      <c r="I486" s="25">
        <f>Parameters!I244</f>
        <v>0</v>
      </c>
      <c r="J486" s="25">
        <f>Parameters!J244</f>
        <v>0</v>
      </c>
      <c r="K486" s="25">
        <f>Parameters!K244</f>
        <v>0</v>
      </c>
      <c r="L486" s="26" t="e">
        <f t="shared" ref="L486" si="723">L487</f>
        <v>#DIV/0!</v>
      </c>
      <c r="M486" s="25">
        <f>Parameters!L244</f>
        <v>0</v>
      </c>
      <c r="N486" s="25">
        <f>Parameters!M244</f>
        <v>0</v>
      </c>
      <c r="O486" s="26" t="e">
        <f t="shared" ref="O486" si="724">O487</f>
        <v>#DIV/0!</v>
      </c>
      <c r="P486" s="23">
        <f>Parameters!N244</f>
        <v>0</v>
      </c>
      <c r="Q486" s="23">
        <f>Parameters!O244</f>
        <v>0</v>
      </c>
      <c r="R486" s="23">
        <f>Parameters!P244</f>
        <v>0</v>
      </c>
      <c r="S486" s="23">
        <f>Parameters!Q244</f>
        <v>0</v>
      </c>
      <c r="T486" s="23">
        <f>Parameters!R244</f>
        <v>0</v>
      </c>
      <c r="U486" s="27">
        <f>Parameters!S244</f>
        <v>0</v>
      </c>
      <c r="V486" s="28">
        <f>Parameters!T244</f>
        <v>0</v>
      </c>
      <c r="W486" s="27">
        <f>Parameters!U244</f>
        <v>0</v>
      </c>
      <c r="X486" s="28">
        <f>Parameters!V244</f>
        <v>0</v>
      </c>
      <c r="Y486" s="25">
        <f>Parameters!W244</f>
        <v>0</v>
      </c>
      <c r="Z486" s="23">
        <f>Parameters!X244</f>
        <v>0</v>
      </c>
      <c r="AA486" s="27">
        <f>Parameters!Y244</f>
        <v>0</v>
      </c>
      <c r="AB486" s="28">
        <f>Parameters!Z244</f>
        <v>0</v>
      </c>
      <c r="AC486" s="23">
        <f>Parameters!AA244</f>
        <v>0</v>
      </c>
    </row>
    <row r="487" spans="1:29">
      <c r="A487" s="29" t="str">
        <f>UPPER(A486)</f>
        <v>0</v>
      </c>
      <c r="B487" s="29">
        <f>B486</f>
        <v>0</v>
      </c>
      <c r="C487" s="30">
        <f>C486</f>
        <v>0</v>
      </c>
      <c r="D487" s="30">
        <f>D486</f>
        <v>0</v>
      </c>
      <c r="E487" s="29">
        <f>E486</f>
        <v>0</v>
      </c>
      <c r="F487" s="29">
        <f>F486</f>
        <v>0</v>
      </c>
      <c r="G487" s="29" t="e">
        <f>IF(C486=1,IF(D486="BUY",E486+(ROUND(F486*G486/B486,0)*B486),E486-(ROUND(F486*G486/B486,0)*B486)),IF(D486="BUY",E486-(ROUND(F486*G486/B486,0)*B486),E486+(ROUND(F486*G486/B486,0)*B486)))</f>
        <v>#DIV/0!</v>
      </c>
      <c r="H487" s="29" t="e">
        <f>IF(C486=1,IF(D486="BUY",G487-(ROUND(F486*H486/B486,0)*B486),G487+(ROUND(F486*H486/B486,0)*B486)),IF(D486="BUY",G487+(ROUND(F486*H486/B486,0)*B486),G487-(ROUND(F486*H486/B486,0)*B486)))</f>
        <v>#DIV/0!</v>
      </c>
      <c r="I487" s="29" t="e">
        <f>IF(D486="BUY",G487+(ROUND(F486*I486/(B486*100),0)*B486),G487-(ROUND(F486*I486/(B486*100),0)*B486))</f>
        <v>#DIV/0!</v>
      </c>
      <c r="J487" s="29" t="e">
        <f>IF(C486=1,IF(D486="BUY",E486+(ROUND(F486*J486/B486,0)*B486),E486-(ROUND(F486*J486/B486,0)*B486)),IF(D486="BUY",E486-(ROUND(F486*J486/B486,0)*B486),E486+(ROUND(F486*J486/B486,0)*B486)))</f>
        <v>#DIV/0!</v>
      </c>
      <c r="K487" s="29" t="e">
        <f>IF(C486=1,IF(D486="BUY",E486-(ROUND(F486*K486/B486,0)*B486),E486+(ROUND(F486*K486/B486,0)*B486)),IF(D486="BUY",E486-(ROUND(F486*K486/B486,0)*B486),E486+(ROUND(F486*K486/B486,0)*B486)))</f>
        <v>#DIV/0!</v>
      </c>
      <c r="L487" s="29" t="e">
        <f t="shared" ref="L487" si="725">IF(D487="BUY",I487+(R487*B487),I487-(R487*B487))</f>
        <v>#DIV/0!</v>
      </c>
      <c r="M487" s="29" t="e">
        <f>IF(D486="BUY",E486+(ROUND(F486*M486/B486,0)*B486),E486-(ROUND(F486*M486/B486,0)*B486))</f>
        <v>#DIV/0!</v>
      </c>
      <c r="N487" s="29" t="e">
        <f>IF(D486="BUY",E486-(ROUND(F486*N486/B486,0)*B486),E486+(ROUND(F486*N486/B486,0)*B486))</f>
        <v>#DIV/0!</v>
      </c>
      <c r="O487" s="31" t="e">
        <f>IF(D487="BUY",N487-VLOOKUP(A487,Symbols!A$1:D$1000,4,FALSE),N487+VLOOKUP(A487,Symbols!A$1:D$1000,4,FALSE))</f>
        <v>#DIV/0!</v>
      </c>
      <c r="P487" s="29">
        <f>P486</f>
        <v>0</v>
      </c>
      <c r="Q487" s="29">
        <f>Q486</f>
        <v>0</v>
      </c>
      <c r="R487" s="29">
        <f>R486</f>
        <v>0</v>
      </c>
      <c r="S487" s="29">
        <f>S486</f>
        <v>0</v>
      </c>
      <c r="T487" s="29">
        <f>T486</f>
        <v>0</v>
      </c>
      <c r="U487" s="29" t="e">
        <f>DATEDIF(DATE(1970,1,1),U486,"D")*86400</f>
        <v>#NUM!</v>
      </c>
      <c r="V487" s="29">
        <f>HOUR(V486)*3600+MINUTE(V486)*60+SECOND(V486)</f>
        <v>0</v>
      </c>
      <c r="W487" s="29" t="e">
        <f>DATEDIF(DATE(1970,1,1),W486,"D")*86400</f>
        <v>#NUM!</v>
      </c>
      <c r="X487" s="29">
        <f>HOUR(X486)*3600+MINUTE(X486)*60+SECOND(X486)</f>
        <v>0</v>
      </c>
      <c r="Y487" s="31">
        <f>(Y486*B487)</f>
        <v>0</v>
      </c>
      <c r="Z487" s="29">
        <f>Z486</f>
        <v>0</v>
      </c>
      <c r="AA487" s="29" t="e">
        <f>DATEDIF(DATE(1970,1,1),AA486,"D")*86400</f>
        <v>#NUM!</v>
      </c>
      <c r="AB487" s="29">
        <f>HOUR(AB486)*3600+MINUTE(AB486)*60+SECOND(AB486)</f>
        <v>0</v>
      </c>
      <c r="AC487" s="29">
        <f>AC486</f>
        <v>0</v>
      </c>
    </row>
    <row r="488" spans="1:29">
      <c r="A488" s="23">
        <f>Parameters!A245</f>
        <v>0</v>
      </c>
      <c r="B488" s="23">
        <f>Parameters!B245</f>
        <v>0</v>
      </c>
      <c r="C488" s="24">
        <f>Parameters!C245</f>
        <v>0</v>
      </c>
      <c r="D488" s="24">
        <f>Parameters!D245</f>
        <v>0</v>
      </c>
      <c r="E488" s="23">
        <f>Parameters!E245</f>
        <v>0</v>
      </c>
      <c r="F488" s="23">
        <f>Parameters!F245</f>
        <v>0</v>
      </c>
      <c r="G488" s="25">
        <f>Parameters!G245</f>
        <v>0</v>
      </c>
      <c r="H488" s="25">
        <f>Parameters!H245</f>
        <v>0</v>
      </c>
      <c r="I488" s="25">
        <f>Parameters!I245</f>
        <v>0</v>
      </c>
      <c r="J488" s="25">
        <f>Parameters!J245</f>
        <v>0</v>
      </c>
      <c r="K488" s="25">
        <f>Parameters!K245</f>
        <v>0</v>
      </c>
      <c r="L488" s="26" t="e">
        <f t="shared" ref="L488" si="726">L489</f>
        <v>#DIV/0!</v>
      </c>
      <c r="M488" s="25">
        <f>Parameters!L245</f>
        <v>0</v>
      </c>
      <c r="N488" s="25">
        <f>Parameters!M245</f>
        <v>0</v>
      </c>
      <c r="O488" s="26" t="e">
        <f t="shared" ref="O488" si="727">O489</f>
        <v>#DIV/0!</v>
      </c>
      <c r="P488" s="23">
        <f>Parameters!N245</f>
        <v>0</v>
      </c>
      <c r="Q488" s="23">
        <f>Parameters!O245</f>
        <v>0</v>
      </c>
      <c r="R488" s="23">
        <f>Parameters!P245</f>
        <v>0</v>
      </c>
      <c r="S488" s="23">
        <f>Parameters!Q245</f>
        <v>0</v>
      </c>
      <c r="T488" s="23">
        <f>Parameters!R245</f>
        <v>0</v>
      </c>
      <c r="U488" s="27">
        <f>Parameters!S245</f>
        <v>0</v>
      </c>
      <c r="V488" s="28">
        <f>Parameters!T245</f>
        <v>0</v>
      </c>
      <c r="W488" s="27">
        <f>Parameters!U245</f>
        <v>0</v>
      </c>
      <c r="X488" s="28">
        <f>Parameters!V245</f>
        <v>0</v>
      </c>
      <c r="Y488" s="25">
        <f>Parameters!W245</f>
        <v>0</v>
      </c>
      <c r="Z488" s="23">
        <f>Parameters!X245</f>
        <v>0</v>
      </c>
      <c r="AA488" s="27">
        <f>Parameters!Y245</f>
        <v>0</v>
      </c>
      <c r="AB488" s="28">
        <f>Parameters!Z245</f>
        <v>0</v>
      </c>
      <c r="AC488" s="23">
        <f>Parameters!AA245</f>
        <v>0</v>
      </c>
    </row>
    <row r="489" spans="1:29">
      <c r="A489" s="29" t="str">
        <f>UPPER(A488)</f>
        <v>0</v>
      </c>
      <c r="B489" s="29">
        <f>B488</f>
        <v>0</v>
      </c>
      <c r="C489" s="30">
        <f>C488</f>
        <v>0</v>
      </c>
      <c r="D489" s="30">
        <f>D488</f>
        <v>0</v>
      </c>
      <c r="E489" s="29">
        <f>E488</f>
        <v>0</v>
      </c>
      <c r="F489" s="29">
        <f>F488</f>
        <v>0</v>
      </c>
      <c r="G489" s="29" t="e">
        <f>IF(C488=1,IF(D488="BUY",E488+(ROUND(F488*G488/B488,0)*B488),E488-(ROUND(F488*G488/B488,0)*B488)),IF(D488="BUY",E488-(ROUND(F488*G488/B488,0)*B488),E488+(ROUND(F488*G488/B488,0)*B488)))</f>
        <v>#DIV/0!</v>
      </c>
      <c r="H489" s="29" t="e">
        <f>IF(C488=1,IF(D488="BUY",G489-(ROUND(F488*H488/B488,0)*B488),G489+(ROUND(F488*H488/B488,0)*B488)),IF(D488="BUY",G489+(ROUND(F488*H488/B488,0)*B488),G489-(ROUND(F488*H488/B488,0)*B488)))</f>
        <v>#DIV/0!</v>
      </c>
      <c r="I489" s="29" t="e">
        <f>IF(D488="BUY",G489+(ROUND(F488*I488/(B488*100),0)*B488),G489-(ROUND(F488*I488/(B488*100),0)*B488))</f>
        <v>#DIV/0!</v>
      </c>
      <c r="J489" s="29" t="e">
        <f>IF(C488=1,IF(D488="BUY",E488+(ROUND(F488*J488/B488,0)*B488),E488-(ROUND(F488*J488/B488,0)*B488)),IF(D488="BUY",E488-(ROUND(F488*J488/B488,0)*B488),E488+(ROUND(F488*J488/B488,0)*B488)))</f>
        <v>#DIV/0!</v>
      </c>
      <c r="K489" s="29" t="e">
        <f>IF(C488=1,IF(D488="BUY",E488-(ROUND(F488*K488/B488,0)*B488),E488+(ROUND(F488*K488/B488,0)*B488)),IF(D488="BUY",E488-(ROUND(F488*K488/B488,0)*B488),E488+(ROUND(F488*K488/B488,0)*B488)))</f>
        <v>#DIV/0!</v>
      </c>
      <c r="L489" s="29" t="e">
        <f t="shared" ref="L489" si="728">IF(D489="BUY",I489+(R489*B489),I489-(R489*B489))</f>
        <v>#DIV/0!</v>
      </c>
      <c r="M489" s="29" t="e">
        <f>IF(D488="BUY",E488+(ROUND(F488*M488/B488,0)*B488),E488-(ROUND(F488*M488/B488,0)*B488))</f>
        <v>#DIV/0!</v>
      </c>
      <c r="N489" s="29" t="e">
        <f>IF(D488="BUY",E488-(ROUND(F488*N488/B488,0)*B488),E488+(ROUND(F488*N488/B488,0)*B488))</f>
        <v>#DIV/0!</v>
      </c>
      <c r="O489" s="31" t="e">
        <f>IF(D489="BUY",N489-VLOOKUP(A489,Symbols!A$1:D$1000,4,FALSE),N489+VLOOKUP(A489,Symbols!A$1:D$1000,4,FALSE))</f>
        <v>#DIV/0!</v>
      </c>
      <c r="P489" s="29">
        <f>P488</f>
        <v>0</v>
      </c>
      <c r="Q489" s="29">
        <f>Q488</f>
        <v>0</v>
      </c>
      <c r="R489" s="29">
        <f>R488</f>
        <v>0</v>
      </c>
      <c r="S489" s="29">
        <f>S488</f>
        <v>0</v>
      </c>
      <c r="T489" s="29">
        <f>T488</f>
        <v>0</v>
      </c>
      <c r="U489" s="29" t="e">
        <f>DATEDIF(DATE(1970,1,1),U488,"D")*86400</f>
        <v>#NUM!</v>
      </c>
      <c r="V489" s="29">
        <f>HOUR(V488)*3600+MINUTE(V488)*60+SECOND(V488)</f>
        <v>0</v>
      </c>
      <c r="W489" s="29" t="e">
        <f>DATEDIF(DATE(1970,1,1),W488,"D")*86400</f>
        <v>#NUM!</v>
      </c>
      <c r="X489" s="29">
        <f>HOUR(X488)*3600+MINUTE(X488)*60+SECOND(X488)</f>
        <v>0</v>
      </c>
      <c r="Y489" s="31">
        <f>(Y488*B489)</f>
        <v>0</v>
      </c>
      <c r="Z489" s="29">
        <f>Z488</f>
        <v>0</v>
      </c>
      <c r="AA489" s="29" t="e">
        <f>DATEDIF(DATE(1970,1,1),AA488,"D")*86400</f>
        <v>#NUM!</v>
      </c>
      <c r="AB489" s="29">
        <f>HOUR(AB488)*3600+MINUTE(AB488)*60+SECOND(AB488)</f>
        <v>0</v>
      </c>
      <c r="AC489" s="29">
        <f>AC488</f>
        <v>0</v>
      </c>
    </row>
    <row r="490" spans="1:29">
      <c r="A490" s="23">
        <f>Parameters!A246</f>
        <v>0</v>
      </c>
      <c r="B490" s="23">
        <f>Parameters!B246</f>
        <v>0</v>
      </c>
      <c r="C490" s="24">
        <f>Parameters!C246</f>
        <v>0</v>
      </c>
      <c r="D490" s="24">
        <f>Parameters!D246</f>
        <v>0</v>
      </c>
      <c r="E490" s="23">
        <f>Parameters!E246</f>
        <v>0</v>
      </c>
      <c r="F490" s="23">
        <f>Parameters!F246</f>
        <v>0</v>
      </c>
      <c r="G490" s="25">
        <f>Parameters!G246</f>
        <v>0</v>
      </c>
      <c r="H490" s="25">
        <f>Parameters!H246</f>
        <v>0</v>
      </c>
      <c r="I490" s="25">
        <f>Parameters!I246</f>
        <v>0</v>
      </c>
      <c r="J490" s="25">
        <f>Parameters!J246</f>
        <v>0</v>
      </c>
      <c r="K490" s="25">
        <f>Parameters!K246</f>
        <v>0</v>
      </c>
      <c r="L490" s="26" t="e">
        <f t="shared" ref="L490" si="729">L491</f>
        <v>#DIV/0!</v>
      </c>
      <c r="M490" s="25">
        <f>Parameters!L246</f>
        <v>0</v>
      </c>
      <c r="N490" s="25">
        <f>Parameters!M246</f>
        <v>0</v>
      </c>
      <c r="O490" s="26" t="e">
        <f t="shared" ref="O490" si="730">O491</f>
        <v>#DIV/0!</v>
      </c>
      <c r="P490" s="23">
        <f>Parameters!N246</f>
        <v>0</v>
      </c>
      <c r="Q490" s="23">
        <f>Parameters!O246</f>
        <v>0</v>
      </c>
      <c r="R490" s="23">
        <f>Parameters!P246</f>
        <v>0</v>
      </c>
      <c r="S490" s="23">
        <f>Parameters!Q246</f>
        <v>0</v>
      </c>
      <c r="T490" s="23">
        <f>Parameters!R246</f>
        <v>0</v>
      </c>
      <c r="U490" s="27">
        <f>Parameters!S246</f>
        <v>0</v>
      </c>
      <c r="V490" s="28">
        <f>Parameters!T246</f>
        <v>0</v>
      </c>
      <c r="W490" s="27">
        <f>Parameters!U246</f>
        <v>0</v>
      </c>
      <c r="X490" s="28">
        <f>Parameters!V246</f>
        <v>0</v>
      </c>
      <c r="Y490" s="25">
        <f>Parameters!W246</f>
        <v>0</v>
      </c>
      <c r="Z490" s="23">
        <f>Parameters!X246</f>
        <v>0</v>
      </c>
      <c r="AA490" s="27">
        <f>Parameters!Y246</f>
        <v>0</v>
      </c>
      <c r="AB490" s="28">
        <f>Parameters!Z246</f>
        <v>0</v>
      </c>
      <c r="AC490" s="23">
        <f>Parameters!AA246</f>
        <v>0</v>
      </c>
    </row>
    <row r="491" spans="1:29">
      <c r="A491" s="29" t="str">
        <f>UPPER(A490)</f>
        <v>0</v>
      </c>
      <c r="B491" s="29">
        <f>B490</f>
        <v>0</v>
      </c>
      <c r="C491" s="30">
        <f>C490</f>
        <v>0</v>
      </c>
      <c r="D491" s="30">
        <f>D490</f>
        <v>0</v>
      </c>
      <c r="E491" s="29">
        <f>E490</f>
        <v>0</v>
      </c>
      <c r="F491" s="29">
        <f>F490</f>
        <v>0</v>
      </c>
      <c r="G491" s="29" t="e">
        <f>IF(C490=1,IF(D490="BUY",E490+(ROUND(F490*G490/B490,0)*B490),E490-(ROUND(F490*G490/B490,0)*B490)),IF(D490="BUY",E490-(ROUND(F490*G490/B490,0)*B490),E490+(ROUND(F490*G490/B490,0)*B490)))</f>
        <v>#DIV/0!</v>
      </c>
      <c r="H491" s="29" t="e">
        <f>IF(C490=1,IF(D490="BUY",G491-(ROUND(F490*H490/B490,0)*B490),G491+(ROUND(F490*H490/B490,0)*B490)),IF(D490="BUY",G491+(ROUND(F490*H490/B490,0)*B490),G491-(ROUND(F490*H490/B490,0)*B490)))</f>
        <v>#DIV/0!</v>
      </c>
      <c r="I491" s="29" t="e">
        <f>IF(D490="BUY",G491+(ROUND(F490*I490/(B490*100),0)*B490),G491-(ROUND(F490*I490/(B490*100),0)*B490))</f>
        <v>#DIV/0!</v>
      </c>
      <c r="J491" s="29" t="e">
        <f>IF(C490=1,IF(D490="BUY",E490+(ROUND(F490*J490/B490,0)*B490),E490-(ROUND(F490*J490/B490,0)*B490)),IF(D490="BUY",E490-(ROUND(F490*J490/B490,0)*B490),E490+(ROUND(F490*J490/B490,0)*B490)))</f>
        <v>#DIV/0!</v>
      </c>
      <c r="K491" s="29" t="e">
        <f>IF(C490=1,IF(D490="BUY",E490-(ROUND(F490*K490/B490,0)*B490),E490+(ROUND(F490*K490/B490,0)*B490)),IF(D490="BUY",E490-(ROUND(F490*K490/B490,0)*B490),E490+(ROUND(F490*K490/B490,0)*B490)))</f>
        <v>#DIV/0!</v>
      </c>
      <c r="L491" s="29" t="e">
        <f t="shared" ref="L491" si="731">IF(D491="BUY",I491+(R491*B491),I491-(R491*B491))</f>
        <v>#DIV/0!</v>
      </c>
      <c r="M491" s="29" t="e">
        <f>IF(D490="BUY",E490+(ROUND(F490*M490/B490,0)*B490),E490-(ROUND(F490*M490/B490,0)*B490))</f>
        <v>#DIV/0!</v>
      </c>
      <c r="N491" s="29" t="e">
        <f>IF(D490="BUY",E490-(ROUND(F490*N490/B490,0)*B490),E490+(ROUND(F490*N490/B490,0)*B490))</f>
        <v>#DIV/0!</v>
      </c>
      <c r="O491" s="31" t="e">
        <f>IF(D491="BUY",N491-VLOOKUP(A491,Symbols!A$1:D$1000,4,FALSE),N491+VLOOKUP(A491,Symbols!A$1:D$1000,4,FALSE))</f>
        <v>#DIV/0!</v>
      </c>
      <c r="P491" s="29">
        <f>P490</f>
        <v>0</v>
      </c>
      <c r="Q491" s="29">
        <f>Q490</f>
        <v>0</v>
      </c>
      <c r="R491" s="29">
        <f>R490</f>
        <v>0</v>
      </c>
      <c r="S491" s="29">
        <f>S490</f>
        <v>0</v>
      </c>
      <c r="T491" s="29">
        <f>T490</f>
        <v>0</v>
      </c>
      <c r="U491" s="29" t="e">
        <f>DATEDIF(DATE(1970,1,1),U490,"D")*86400</f>
        <v>#NUM!</v>
      </c>
      <c r="V491" s="29">
        <f>HOUR(V490)*3600+MINUTE(V490)*60+SECOND(V490)</f>
        <v>0</v>
      </c>
      <c r="W491" s="29" t="e">
        <f>DATEDIF(DATE(1970,1,1),W490,"D")*86400</f>
        <v>#NUM!</v>
      </c>
      <c r="X491" s="29">
        <f>HOUR(X490)*3600+MINUTE(X490)*60+SECOND(X490)</f>
        <v>0</v>
      </c>
      <c r="Y491" s="31">
        <f>(Y490*B491)</f>
        <v>0</v>
      </c>
      <c r="Z491" s="29">
        <f>Z490</f>
        <v>0</v>
      </c>
      <c r="AA491" s="29" t="e">
        <f>DATEDIF(DATE(1970,1,1),AA490,"D")*86400</f>
        <v>#NUM!</v>
      </c>
      <c r="AB491" s="29">
        <f>HOUR(AB490)*3600+MINUTE(AB490)*60+SECOND(AB490)</f>
        <v>0</v>
      </c>
      <c r="AC491" s="29">
        <f>AC490</f>
        <v>0</v>
      </c>
    </row>
    <row r="492" spans="1:29">
      <c r="A492" s="23">
        <f>Parameters!A247</f>
        <v>0</v>
      </c>
      <c r="B492" s="23">
        <f>Parameters!B247</f>
        <v>0</v>
      </c>
      <c r="C492" s="24">
        <f>Parameters!C247</f>
        <v>0</v>
      </c>
      <c r="D492" s="24">
        <f>Parameters!D247</f>
        <v>0</v>
      </c>
      <c r="E492" s="23">
        <f>Parameters!E247</f>
        <v>0</v>
      </c>
      <c r="F492" s="23">
        <f>Parameters!F247</f>
        <v>0</v>
      </c>
      <c r="G492" s="25">
        <f>Parameters!G247</f>
        <v>0</v>
      </c>
      <c r="H492" s="25">
        <f>Parameters!H247</f>
        <v>0</v>
      </c>
      <c r="I492" s="25">
        <f>Parameters!I247</f>
        <v>0</v>
      </c>
      <c r="J492" s="25">
        <f>Parameters!J247</f>
        <v>0</v>
      </c>
      <c r="K492" s="25">
        <f>Parameters!K247</f>
        <v>0</v>
      </c>
      <c r="L492" s="26" t="e">
        <f t="shared" ref="L492" si="732">L493</f>
        <v>#DIV/0!</v>
      </c>
      <c r="M492" s="25">
        <f>Parameters!L247</f>
        <v>0</v>
      </c>
      <c r="N492" s="25">
        <f>Parameters!M247</f>
        <v>0</v>
      </c>
      <c r="O492" s="26" t="e">
        <f t="shared" ref="O492" si="733">O493</f>
        <v>#DIV/0!</v>
      </c>
      <c r="P492" s="23">
        <f>Parameters!N247</f>
        <v>0</v>
      </c>
      <c r="Q492" s="23">
        <f>Parameters!O247</f>
        <v>0</v>
      </c>
      <c r="R492" s="23">
        <f>Parameters!P247</f>
        <v>0</v>
      </c>
      <c r="S492" s="23">
        <f>Parameters!Q247</f>
        <v>0</v>
      </c>
      <c r="T492" s="23">
        <f>Parameters!R247</f>
        <v>0</v>
      </c>
      <c r="U492" s="27">
        <f>Parameters!S247</f>
        <v>0</v>
      </c>
      <c r="V492" s="28">
        <f>Parameters!T247</f>
        <v>0</v>
      </c>
      <c r="W492" s="27">
        <f>Parameters!U247</f>
        <v>0</v>
      </c>
      <c r="X492" s="28">
        <f>Parameters!V247</f>
        <v>0</v>
      </c>
      <c r="Y492" s="25">
        <f>Parameters!W247</f>
        <v>0</v>
      </c>
      <c r="Z492" s="23">
        <f>Parameters!X247</f>
        <v>0</v>
      </c>
      <c r="AA492" s="27">
        <f>Parameters!Y247</f>
        <v>0</v>
      </c>
      <c r="AB492" s="28">
        <f>Parameters!Z247</f>
        <v>0</v>
      </c>
      <c r="AC492" s="23">
        <f>Parameters!AA247</f>
        <v>0</v>
      </c>
    </row>
    <row r="493" spans="1:29">
      <c r="A493" s="29" t="str">
        <f>UPPER(A492)</f>
        <v>0</v>
      </c>
      <c r="B493" s="29">
        <f>B492</f>
        <v>0</v>
      </c>
      <c r="C493" s="30">
        <f>C492</f>
        <v>0</v>
      </c>
      <c r="D493" s="30">
        <f>D492</f>
        <v>0</v>
      </c>
      <c r="E493" s="29">
        <f>E492</f>
        <v>0</v>
      </c>
      <c r="F493" s="29">
        <f>F492</f>
        <v>0</v>
      </c>
      <c r="G493" s="29" t="e">
        <f>IF(C492=1,IF(D492="BUY",E492+(ROUND(F492*G492/B492,0)*B492),E492-(ROUND(F492*G492/B492,0)*B492)),IF(D492="BUY",E492-(ROUND(F492*G492/B492,0)*B492),E492+(ROUND(F492*G492/B492,0)*B492)))</f>
        <v>#DIV/0!</v>
      </c>
      <c r="H493" s="29" t="e">
        <f>IF(C492=1,IF(D492="BUY",G493-(ROUND(F492*H492/B492,0)*B492),G493+(ROUND(F492*H492/B492,0)*B492)),IF(D492="BUY",G493+(ROUND(F492*H492/B492,0)*B492),G493-(ROUND(F492*H492/B492,0)*B492)))</f>
        <v>#DIV/0!</v>
      </c>
      <c r="I493" s="29" t="e">
        <f>IF(D492="BUY",G493+(ROUND(F492*I492/(B492*100),0)*B492),G493-(ROUND(F492*I492/(B492*100),0)*B492))</f>
        <v>#DIV/0!</v>
      </c>
      <c r="J493" s="29" t="e">
        <f>IF(C492=1,IF(D492="BUY",E492+(ROUND(F492*J492/B492,0)*B492),E492-(ROUND(F492*J492/B492,0)*B492)),IF(D492="BUY",E492-(ROUND(F492*J492/B492,0)*B492),E492+(ROUND(F492*J492/B492,0)*B492)))</f>
        <v>#DIV/0!</v>
      </c>
      <c r="K493" s="29" t="e">
        <f>IF(C492=1,IF(D492="BUY",E492-(ROUND(F492*K492/B492,0)*B492),E492+(ROUND(F492*K492/B492,0)*B492)),IF(D492="BUY",E492-(ROUND(F492*K492/B492,0)*B492),E492+(ROUND(F492*K492/B492,0)*B492)))</f>
        <v>#DIV/0!</v>
      </c>
      <c r="L493" s="29" t="e">
        <f t="shared" ref="L493" si="734">IF(D493="BUY",I493+(R493*B493),I493-(R493*B493))</f>
        <v>#DIV/0!</v>
      </c>
      <c r="M493" s="29" t="e">
        <f>IF(D492="BUY",E492+(ROUND(F492*M492/B492,0)*B492),E492-(ROUND(F492*M492/B492,0)*B492))</f>
        <v>#DIV/0!</v>
      </c>
      <c r="N493" s="29" t="e">
        <f>IF(D492="BUY",E492-(ROUND(F492*N492/B492,0)*B492),E492+(ROUND(F492*N492/B492,0)*B492))</f>
        <v>#DIV/0!</v>
      </c>
      <c r="O493" s="31" t="e">
        <f>IF(D493="BUY",N493-VLOOKUP(A493,Symbols!A$1:D$1000,4,FALSE),N493+VLOOKUP(A493,Symbols!A$1:D$1000,4,FALSE))</f>
        <v>#DIV/0!</v>
      </c>
      <c r="P493" s="29">
        <f>P492</f>
        <v>0</v>
      </c>
      <c r="Q493" s="29">
        <f>Q492</f>
        <v>0</v>
      </c>
      <c r="R493" s="29">
        <f>R492</f>
        <v>0</v>
      </c>
      <c r="S493" s="29">
        <f>S492</f>
        <v>0</v>
      </c>
      <c r="T493" s="29">
        <f>T492</f>
        <v>0</v>
      </c>
      <c r="U493" s="29" t="e">
        <f>DATEDIF(DATE(1970,1,1),U492,"D")*86400</f>
        <v>#NUM!</v>
      </c>
      <c r="V493" s="29">
        <f>HOUR(V492)*3600+MINUTE(V492)*60+SECOND(V492)</f>
        <v>0</v>
      </c>
      <c r="W493" s="29" t="e">
        <f>DATEDIF(DATE(1970,1,1),W492,"D")*86400</f>
        <v>#NUM!</v>
      </c>
      <c r="X493" s="29">
        <f>HOUR(X492)*3600+MINUTE(X492)*60+SECOND(X492)</f>
        <v>0</v>
      </c>
      <c r="Y493" s="31">
        <f>(Y492*B493)</f>
        <v>0</v>
      </c>
      <c r="Z493" s="29">
        <f>Z492</f>
        <v>0</v>
      </c>
      <c r="AA493" s="29" t="e">
        <f>DATEDIF(DATE(1970,1,1),AA492,"D")*86400</f>
        <v>#NUM!</v>
      </c>
      <c r="AB493" s="29">
        <f>HOUR(AB492)*3600+MINUTE(AB492)*60+SECOND(AB492)</f>
        <v>0</v>
      </c>
      <c r="AC493" s="29">
        <f>AC492</f>
        <v>0</v>
      </c>
    </row>
    <row r="494" spans="1:29">
      <c r="A494" s="23">
        <f>Parameters!A248</f>
        <v>0</v>
      </c>
      <c r="B494" s="23">
        <f>Parameters!B248</f>
        <v>0</v>
      </c>
      <c r="C494" s="24">
        <f>Parameters!C248</f>
        <v>0</v>
      </c>
      <c r="D494" s="24">
        <f>Parameters!D248</f>
        <v>0</v>
      </c>
      <c r="E494" s="23">
        <f>Parameters!E248</f>
        <v>0</v>
      </c>
      <c r="F494" s="23">
        <f>Parameters!F248</f>
        <v>0</v>
      </c>
      <c r="G494" s="25">
        <f>Parameters!G248</f>
        <v>0</v>
      </c>
      <c r="H494" s="25">
        <f>Parameters!H248</f>
        <v>0</v>
      </c>
      <c r="I494" s="25">
        <f>Parameters!I248</f>
        <v>0</v>
      </c>
      <c r="J494" s="25">
        <f>Parameters!J248</f>
        <v>0</v>
      </c>
      <c r="K494" s="25">
        <f>Parameters!K248</f>
        <v>0</v>
      </c>
      <c r="L494" s="26" t="e">
        <f t="shared" ref="L494" si="735">L495</f>
        <v>#DIV/0!</v>
      </c>
      <c r="M494" s="25">
        <f>Parameters!L248</f>
        <v>0</v>
      </c>
      <c r="N494" s="25">
        <f>Parameters!M248</f>
        <v>0</v>
      </c>
      <c r="O494" s="26" t="e">
        <f t="shared" ref="O494" si="736">O495</f>
        <v>#DIV/0!</v>
      </c>
      <c r="P494" s="23">
        <f>Parameters!N248</f>
        <v>0</v>
      </c>
      <c r="Q494" s="23">
        <f>Parameters!O248</f>
        <v>0</v>
      </c>
      <c r="R494" s="23">
        <f>Parameters!P248</f>
        <v>0</v>
      </c>
      <c r="S494" s="23">
        <f>Parameters!Q248</f>
        <v>0</v>
      </c>
      <c r="T494" s="23">
        <f>Parameters!R248</f>
        <v>0</v>
      </c>
      <c r="U494" s="27">
        <f>Parameters!S248</f>
        <v>0</v>
      </c>
      <c r="V494" s="28">
        <f>Parameters!T248</f>
        <v>0</v>
      </c>
      <c r="W494" s="27">
        <f>Parameters!U248</f>
        <v>0</v>
      </c>
      <c r="X494" s="28">
        <f>Parameters!V248</f>
        <v>0</v>
      </c>
      <c r="Y494" s="25">
        <f>Parameters!W248</f>
        <v>0</v>
      </c>
      <c r="Z494" s="23">
        <f>Parameters!X248</f>
        <v>0</v>
      </c>
      <c r="AA494" s="27">
        <f>Parameters!Y248</f>
        <v>0</v>
      </c>
      <c r="AB494" s="28">
        <f>Parameters!Z248</f>
        <v>0</v>
      </c>
      <c r="AC494" s="23">
        <f>Parameters!AA248</f>
        <v>0</v>
      </c>
    </row>
    <row r="495" spans="1:29">
      <c r="A495" s="29" t="str">
        <f>UPPER(A494)</f>
        <v>0</v>
      </c>
      <c r="B495" s="29">
        <f>B494</f>
        <v>0</v>
      </c>
      <c r="C495" s="30">
        <f>C494</f>
        <v>0</v>
      </c>
      <c r="D495" s="30">
        <f>D494</f>
        <v>0</v>
      </c>
      <c r="E495" s="29">
        <f>E494</f>
        <v>0</v>
      </c>
      <c r="F495" s="29">
        <f>F494</f>
        <v>0</v>
      </c>
      <c r="G495" s="29" t="e">
        <f>IF(C494=1,IF(D494="BUY",E494+(ROUND(F494*G494/B494,0)*B494),E494-(ROUND(F494*G494/B494,0)*B494)),IF(D494="BUY",E494-(ROUND(F494*G494/B494,0)*B494),E494+(ROUND(F494*G494/B494,0)*B494)))</f>
        <v>#DIV/0!</v>
      </c>
      <c r="H495" s="29" t="e">
        <f>IF(C494=1,IF(D494="BUY",G495-(ROUND(F494*H494/B494,0)*B494),G495+(ROUND(F494*H494/B494,0)*B494)),IF(D494="BUY",G495+(ROUND(F494*H494/B494,0)*B494),G495-(ROUND(F494*H494/B494,0)*B494)))</f>
        <v>#DIV/0!</v>
      </c>
      <c r="I495" s="29" t="e">
        <f>IF(D494="BUY",G495+(ROUND(F494*I494/(B494*100),0)*B494),G495-(ROUND(F494*I494/(B494*100),0)*B494))</f>
        <v>#DIV/0!</v>
      </c>
      <c r="J495" s="29" t="e">
        <f>IF(C494=1,IF(D494="BUY",E494+(ROUND(F494*J494/B494,0)*B494),E494-(ROUND(F494*J494/B494,0)*B494)),IF(D494="BUY",E494-(ROUND(F494*J494/B494,0)*B494),E494+(ROUND(F494*J494/B494,0)*B494)))</f>
        <v>#DIV/0!</v>
      </c>
      <c r="K495" s="29" t="e">
        <f>IF(C494=1,IF(D494="BUY",E494-(ROUND(F494*K494/B494,0)*B494),E494+(ROUND(F494*K494/B494,0)*B494)),IF(D494="BUY",E494-(ROUND(F494*K494/B494,0)*B494),E494+(ROUND(F494*K494/B494,0)*B494)))</f>
        <v>#DIV/0!</v>
      </c>
      <c r="L495" s="29" t="e">
        <f t="shared" ref="L495" si="737">IF(D495="BUY",I495+(R495*B495),I495-(R495*B495))</f>
        <v>#DIV/0!</v>
      </c>
      <c r="M495" s="29" t="e">
        <f>IF(D494="BUY",E494+(ROUND(F494*M494/B494,0)*B494),E494-(ROUND(F494*M494/B494,0)*B494))</f>
        <v>#DIV/0!</v>
      </c>
      <c r="N495" s="29" t="e">
        <f>IF(D494="BUY",E494-(ROUND(F494*N494/B494,0)*B494),E494+(ROUND(F494*N494/B494,0)*B494))</f>
        <v>#DIV/0!</v>
      </c>
      <c r="O495" s="31" t="e">
        <f>IF(D495="BUY",N495-VLOOKUP(A495,Symbols!A$1:D$1000,4,FALSE),N495+VLOOKUP(A495,Symbols!A$1:D$1000,4,FALSE))</f>
        <v>#DIV/0!</v>
      </c>
      <c r="P495" s="29">
        <f>P494</f>
        <v>0</v>
      </c>
      <c r="Q495" s="29">
        <f>Q494</f>
        <v>0</v>
      </c>
      <c r="R495" s="29">
        <f>R494</f>
        <v>0</v>
      </c>
      <c r="S495" s="29">
        <f>S494</f>
        <v>0</v>
      </c>
      <c r="T495" s="29">
        <f>T494</f>
        <v>0</v>
      </c>
      <c r="U495" s="29" t="e">
        <f>DATEDIF(DATE(1970,1,1),U494,"D")*86400</f>
        <v>#NUM!</v>
      </c>
      <c r="V495" s="29">
        <f>HOUR(V494)*3600+MINUTE(V494)*60+SECOND(V494)</f>
        <v>0</v>
      </c>
      <c r="W495" s="29" t="e">
        <f>DATEDIF(DATE(1970,1,1),W494,"D")*86400</f>
        <v>#NUM!</v>
      </c>
      <c r="X495" s="29">
        <f>HOUR(X494)*3600+MINUTE(X494)*60+SECOND(X494)</f>
        <v>0</v>
      </c>
      <c r="Y495" s="31">
        <f>(Y494*B495)</f>
        <v>0</v>
      </c>
      <c r="Z495" s="29">
        <f>Z494</f>
        <v>0</v>
      </c>
      <c r="AA495" s="29" t="e">
        <f>DATEDIF(DATE(1970,1,1),AA494,"D")*86400</f>
        <v>#NUM!</v>
      </c>
      <c r="AB495" s="29">
        <f>HOUR(AB494)*3600+MINUTE(AB494)*60+SECOND(AB494)</f>
        <v>0</v>
      </c>
      <c r="AC495" s="29">
        <f>AC494</f>
        <v>0</v>
      </c>
    </row>
    <row r="496" spans="1:29">
      <c r="A496" s="23">
        <f>Parameters!A249</f>
        <v>0</v>
      </c>
      <c r="B496" s="23">
        <f>Parameters!B249</f>
        <v>0</v>
      </c>
      <c r="C496" s="24">
        <f>Parameters!C249</f>
        <v>0</v>
      </c>
      <c r="D496" s="24">
        <f>Parameters!D249</f>
        <v>0</v>
      </c>
      <c r="E496" s="23">
        <f>Parameters!E249</f>
        <v>0</v>
      </c>
      <c r="F496" s="23">
        <f>Parameters!F249</f>
        <v>0</v>
      </c>
      <c r="G496" s="25">
        <f>Parameters!G249</f>
        <v>0</v>
      </c>
      <c r="H496" s="25">
        <f>Parameters!H249</f>
        <v>0</v>
      </c>
      <c r="I496" s="25">
        <f>Parameters!I249</f>
        <v>0</v>
      </c>
      <c r="J496" s="25">
        <f>Parameters!J249</f>
        <v>0</v>
      </c>
      <c r="K496" s="25">
        <f>Parameters!K249</f>
        <v>0</v>
      </c>
      <c r="L496" s="26" t="e">
        <f t="shared" ref="L496" si="738">L497</f>
        <v>#DIV/0!</v>
      </c>
      <c r="M496" s="25">
        <f>Parameters!L249</f>
        <v>0</v>
      </c>
      <c r="N496" s="25">
        <f>Parameters!M249</f>
        <v>0</v>
      </c>
      <c r="O496" s="26" t="e">
        <f t="shared" ref="O496" si="739">O497</f>
        <v>#DIV/0!</v>
      </c>
      <c r="P496" s="23">
        <f>Parameters!N249</f>
        <v>0</v>
      </c>
      <c r="Q496" s="23">
        <f>Parameters!O249</f>
        <v>0</v>
      </c>
      <c r="R496" s="23">
        <f>Parameters!P249</f>
        <v>0</v>
      </c>
      <c r="S496" s="23">
        <f>Parameters!Q249</f>
        <v>0</v>
      </c>
      <c r="T496" s="23">
        <f>Parameters!R249</f>
        <v>0</v>
      </c>
      <c r="U496" s="27">
        <f>Parameters!S249</f>
        <v>0</v>
      </c>
      <c r="V496" s="28">
        <f>Parameters!T249</f>
        <v>0</v>
      </c>
      <c r="W496" s="27">
        <f>Parameters!U249</f>
        <v>0</v>
      </c>
      <c r="X496" s="28">
        <f>Parameters!V249</f>
        <v>0</v>
      </c>
      <c r="Y496" s="25">
        <f>Parameters!W249</f>
        <v>0</v>
      </c>
      <c r="Z496" s="23">
        <f>Parameters!X249</f>
        <v>0</v>
      </c>
      <c r="AA496" s="27">
        <f>Parameters!Y249</f>
        <v>0</v>
      </c>
      <c r="AB496" s="28">
        <f>Parameters!Z249</f>
        <v>0</v>
      </c>
      <c r="AC496" s="23">
        <f>Parameters!AA249</f>
        <v>0</v>
      </c>
    </row>
    <row r="497" spans="1:29">
      <c r="A497" s="29" t="str">
        <f>UPPER(A496)</f>
        <v>0</v>
      </c>
      <c r="B497" s="29">
        <f>B496</f>
        <v>0</v>
      </c>
      <c r="C497" s="30">
        <f>C496</f>
        <v>0</v>
      </c>
      <c r="D497" s="30">
        <f>D496</f>
        <v>0</v>
      </c>
      <c r="E497" s="29">
        <f>E496</f>
        <v>0</v>
      </c>
      <c r="F497" s="29">
        <f>F496</f>
        <v>0</v>
      </c>
      <c r="G497" s="29" t="e">
        <f>IF(C496=1,IF(D496="BUY",E496+(ROUND(F496*G496/B496,0)*B496),E496-(ROUND(F496*G496/B496,0)*B496)),IF(D496="BUY",E496-(ROUND(F496*G496/B496,0)*B496),E496+(ROUND(F496*G496/B496,0)*B496)))</f>
        <v>#DIV/0!</v>
      </c>
      <c r="H497" s="29" t="e">
        <f>IF(C496=1,IF(D496="BUY",G497-(ROUND(F496*H496/B496,0)*B496),G497+(ROUND(F496*H496/B496,0)*B496)),IF(D496="BUY",G497+(ROUND(F496*H496/B496,0)*B496),G497-(ROUND(F496*H496/B496,0)*B496)))</f>
        <v>#DIV/0!</v>
      </c>
      <c r="I497" s="29" t="e">
        <f>IF(D496="BUY",G497+(ROUND(F496*I496/(B496*100),0)*B496),G497-(ROUND(F496*I496/(B496*100),0)*B496))</f>
        <v>#DIV/0!</v>
      </c>
      <c r="J497" s="29" t="e">
        <f>IF(C496=1,IF(D496="BUY",E496+(ROUND(F496*J496/B496,0)*B496),E496-(ROUND(F496*J496/B496,0)*B496)),IF(D496="BUY",E496-(ROUND(F496*J496/B496,0)*B496),E496+(ROUND(F496*J496/B496,0)*B496)))</f>
        <v>#DIV/0!</v>
      </c>
      <c r="K497" s="29" t="e">
        <f>IF(C496=1,IF(D496="BUY",E496-(ROUND(F496*K496/B496,0)*B496),E496+(ROUND(F496*K496/B496,0)*B496)),IF(D496="BUY",E496-(ROUND(F496*K496/B496,0)*B496),E496+(ROUND(F496*K496/B496,0)*B496)))</f>
        <v>#DIV/0!</v>
      </c>
      <c r="L497" s="29" t="e">
        <f t="shared" ref="L497" si="740">IF(D497="BUY",I497+(R497*B497),I497-(R497*B497))</f>
        <v>#DIV/0!</v>
      </c>
      <c r="M497" s="29" t="e">
        <f>IF(D496="BUY",E496+(ROUND(F496*M496/B496,0)*B496),E496-(ROUND(F496*M496/B496,0)*B496))</f>
        <v>#DIV/0!</v>
      </c>
      <c r="N497" s="29" t="e">
        <f>IF(D496="BUY",E496-(ROUND(F496*N496/B496,0)*B496),E496+(ROUND(F496*N496/B496,0)*B496))</f>
        <v>#DIV/0!</v>
      </c>
      <c r="O497" s="31" t="e">
        <f>IF(D497="BUY",N497-VLOOKUP(A497,Symbols!A$1:D$1000,4,FALSE),N497+VLOOKUP(A497,Symbols!A$1:D$1000,4,FALSE))</f>
        <v>#DIV/0!</v>
      </c>
      <c r="P497" s="29">
        <f>P496</f>
        <v>0</v>
      </c>
      <c r="Q497" s="29">
        <f>Q496</f>
        <v>0</v>
      </c>
      <c r="R497" s="29">
        <f>R496</f>
        <v>0</v>
      </c>
      <c r="S497" s="29">
        <f>S496</f>
        <v>0</v>
      </c>
      <c r="T497" s="29">
        <f>T496</f>
        <v>0</v>
      </c>
      <c r="U497" s="29" t="e">
        <f>DATEDIF(DATE(1970,1,1),U496,"D")*86400</f>
        <v>#NUM!</v>
      </c>
      <c r="V497" s="29">
        <f>HOUR(V496)*3600+MINUTE(V496)*60+SECOND(V496)</f>
        <v>0</v>
      </c>
      <c r="W497" s="29" t="e">
        <f>DATEDIF(DATE(1970,1,1),W496,"D")*86400</f>
        <v>#NUM!</v>
      </c>
      <c r="X497" s="29">
        <f>HOUR(X496)*3600+MINUTE(X496)*60+SECOND(X496)</f>
        <v>0</v>
      </c>
      <c r="Y497" s="31">
        <f>(Y496*B497)</f>
        <v>0</v>
      </c>
      <c r="Z497" s="29">
        <f>Z496</f>
        <v>0</v>
      </c>
      <c r="AA497" s="29" t="e">
        <f>DATEDIF(DATE(1970,1,1),AA496,"D")*86400</f>
        <v>#NUM!</v>
      </c>
      <c r="AB497" s="29">
        <f>HOUR(AB496)*3600+MINUTE(AB496)*60+SECOND(AB496)</f>
        <v>0</v>
      </c>
      <c r="AC497" s="29">
        <f>AC496</f>
        <v>0</v>
      </c>
    </row>
    <row r="498" spans="1:29">
      <c r="A498" s="23">
        <f>Parameters!A250</f>
        <v>0</v>
      </c>
      <c r="B498" s="23">
        <f>Parameters!B250</f>
        <v>0</v>
      </c>
      <c r="C498" s="24">
        <f>Parameters!C250</f>
        <v>0</v>
      </c>
      <c r="D498" s="24">
        <f>Parameters!D250</f>
        <v>0</v>
      </c>
      <c r="E498" s="23">
        <f>Parameters!E250</f>
        <v>0</v>
      </c>
      <c r="F498" s="23">
        <f>Parameters!F250</f>
        <v>0</v>
      </c>
      <c r="G498" s="25">
        <f>Parameters!G250</f>
        <v>0</v>
      </c>
      <c r="H498" s="25">
        <f>Parameters!H250</f>
        <v>0</v>
      </c>
      <c r="I498" s="25">
        <f>Parameters!I250</f>
        <v>0</v>
      </c>
      <c r="J498" s="25">
        <f>Parameters!J250</f>
        <v>0</v>
      </c>
      <c r="K498" s="25">
        <f>Parameters!K250</f>
        <v>0</v>
      </c>
      <c r="L498" s="26" t="e">
        <f t="shared" ref="L498" si="741">L499</f>
        <v>#DIV/0!</v>
      </c>
      <c r="M498" s="25">
        <f>Parameters!L250</f>
        <v>0</v>
      </c>
      <c r="N498" s="25">
        <f>Parameters!M250</f>
        <v>0</v>
      </c>
      <c r="O498" s="26" t="e">
        <f t="shared" ref="O498" si="742">O499</f>
        <v>#DIV/0!</v>
      </c>
      <c r="P498" s="23">
        <f>Parameters!N250</f>
        <v>0</v>
      </c>
      <c r="Q498" s="23">
        <f>Parameters!O250</f>
        <v>0</v>
      </c>
      <c r="R498" s="23">
        <f>Parameters!P250</f>
        <v>0</v>
      </c>
      <c r="S498" s="23">
        <f>Parameters!Q250</f>
        <v>0</v>
      </c>
      <c r="T498" s="23">
        <f>Parameters!R250</f>
        <v>0</v>
      </c>
      <c r="U498" s="27">
        <f>Parameters!S250</f>
        <v>0</v>
      </c>
      <c r="V498" s="28">
        <f>Parameters!T250</f>
        <v>0</v>
      </c>
      <c r="W498" s="27">
        <f>Parameters!U250</f>
        <v>0</v>
      </c>
      <c r="X498" s="28">
        <f>Parameters!V250</f>
        <v>0</v>
      </c>
      <c r="Y498" s="25">
        <f>Parameters!W250</f>
        <v>0</v>
      </c>
      <c r="Z498" s="23">
        <f>Parameters!X250</f>
        <v>0</v>
      </c>
      <c r="AA498" s="27">
        <f>Parameters!Y250</f>
        <v>0</v>
      </c>
      <c r="AB498" s="28">
        <f>Parameters!Z250</f>
        <v>0</v>
      </c>
      <c r="AC498" s="23">
        <f>Parameters!AA250</f>
        <v>0</v>
      </c>
    </row>
    <row r="499" spans="1:29">
      <c r="A499" s="29" t="str">
        <f>UPPER(A498)</f>
        <v>0</v>
      </c>
      <c r="B499" s="29">
        <f>B498</f>
        <v>0</v>
      </c>
      <c r="C499" s="30">
        <f>C498</f>
        <v>0</v>
      </c>
      <c r="D499" s="30">
        <f>D498</f>
        <v>0</v>
      </c>
      <c r="E499" s="29">
        <f>E498</f>
        <v>0</v>
      </c>
      <c r="F499" s="29">
        <f>F498</f>
        <v>0</v>
      </c>
      <c r="G499" s="29" t="e">
        <f>IF(C498=1,IF(D498="BUY",E498+(ROUND(F498*G498/B498,0)*B498),E498-(ROUND(F498*G498/B498,0)*B498)),IF(D498="BUY",E498-(ROUND(F498*G498/B498,0)*B498),E498+(ROUND(F498*G498/B498,0)*B498)))</f>
        <v>#DIV/0!</v>
      </c>
      <c r="H499" s="29" t="e">
        <f>IF(C498=1,IF(D498="BUY",G499-(ROUND(F498*H498/B498,0)*B498),G499+(ROUND(F498*H498/B498,0)*B498)),IF(D498="BUY",G499+(ROUND(F498*H498/B498,0)*B498),G499-(ROUND(F498*H498/B498,0)*B498)))</f>
        <v>#DIV/0!</v>
      </c>
      <c r="I499" s="29" t="e">
        <f>IF(D498="BUY",G499+(ROUND(F498*I498/(B498*100),0)*B498),G499-(ROUND(F498*I498/(B498*100),0)*B498))</f>
        <v>#DIV/0!</v>
      </c>
      <c r="J499" s="29" t="e">
        <f>IF(C498=1,IF(D498="BUY",E498+(ROUND(F498*J498/B498,0)*B498),E498-(ROUND(F498*J498/B498,0)*B498)),IF(D498="BUY",E498-(ROUND(F498*J498/B498,0)*B498),E498+(ROUND(F498*J498/B498,0)*B498)))</f>
        <v>#DIV/0!</v>
      </c>
      <c r="K499" s="29" t="e">
        <f>IF(C498=1,IF(D498="BUY",E498-(ROUND(F498*K498/B498,0)*B498),E498+(ROUND(F498*K498/B498,0)*B498)),IF(D498="BUY",E498-(ROUND(F498*K498/B498,0)*B498),E498+(ROUND(F498*K498/B498,0)*B498)))</f>
        <v>#DIV/0!</v>
      </c>
      <c r="L499" s="29" t="e">
        <f t="shared" ref="L499" si="743">IF(D499="BUY",I499+(R499*B499),I499-(R499*B499))</f>
        <v>#DIV/0!</v>
      </c>
      <c r="M499" s="29" t="e">
        <f>IF(D498="BUY",E498+(ROUND(F498*M498/B498,0)*B498),E498-(ROUND(F498*M498/B498,0)*B498))</f>
        <v>#DIV/0!</v>
      </c>
      <c r="N499" s="29" t="e">
        <f>IF(D498="BUY",E498-(ROUND(F498*N498/B498,0)*B498),E498+(ROUND(F498*N498/B498,0)*B498))</f>
        <v>#DIV/0!</v>
      </c>
      <c r="O499" s="31" t="e">
        <f>IF(D499="BUY",N499-VLOOKUP(A499,Symbols!A$1:D$1000,4,FALSE),N499+VLOOKUP(A499,Symbols!A$1:D$1000,4,FALSE))</f>
        <v>#DIV/0!</v>
      </c>
      <c r="P499" s="29">
        <f>P498</f>
        <v>0</v>
      </c>
      <c r="Q499" s="29">
        <f>Q498</f>
        <v>0</v>
      </c>
      <c r="R499" s="29">
        <f>R498</f>
        <v>0</v>
      </c>
      <c r="S499" s="29">
        <f>S498</f>
        <v>0</v>
      </c>
      <c r="T499" s="29">
        <f>T498</f>
        <v>0</v>
      </c>
      <c r="U499" s="29" t="e">
        <f>DATEDIF(DATE(1970,1,1),U498,"D")*86400</f>
        <v>#NUM!</v>
      </c>
      <c r="V499" s="29">
        <f>HOUR(V498)*3600+MINUTE(V498)*60+SECOND(V498)</f>
        <v>0</v>
      </c>
      <c r="W499" s="29" t="e">
        <f>DATEDIF(DATE(1970,1,1),W498,"D")*86400</f>
        <v>#NUM!</v>
      </c>
      <c r="X499" s="29">
        <f>HOUR(X498)*3600+MINUTE(X498)*60+SECOND(X498)</f>
        <v>0</v>
      </c>
      <c r="Y499" s="31">
        <f>(Y498*B499)</f>
        <v>0</v>
      </c>
      <c r="Z499" s="29">
        <f>Z498</f>
        <v>0</v>
      </c>
      <c r="AA499" s="29" t="e">
        <f>DATEDIF(DATE(1970,1,1),AA498,"D")*86400</f>
        <v>#NUM!</v>
      </c>
      <c r="AB499" s="29">
        <f>HOUR(AB498)*3600+MINUTE(AB498)*60+SECOND(AB498)</f>
        <v>0</v>
      </c>
      <c r="AC499" s="29">
        <f>AC498</f>
        <v>0</v>
      </c>
    </row>
    <row r="500" spans="1:29">
      <c r="A500" s="23">
        <f>Parameters!A251</f>
        <v>0</v>
      </c>
      <c r="B500" s="23">
        <f>Parameters!B251</f>
        <v>0</v>
      </c>
      <c r="C500" s="24">
        <f>Parameters!C251</f>
        <v>0</v>
      </c>
      <c r="D500" s="24">
        <f>Parameters!D251</f>
        <v>0</v>
      </c>
      <c r="E500" s="23">
        <f>Parameters!E251</f>
        <v>0</v>
      </c>
      <c r="F500" s="23">
        <f>Parameters!F251</f>
        <v>0</v>
      </c>
      <c r="G500" s="25">
        <f>Parameters!G251</f>
        <v>0</v>
      </c>
      <c r="H500" s="25">
        <f>Parameters!H251</f>
        <v>0</v>
      </c>
      <c r="I500" s="25">
        <f>Parameters!I251</f>
        <v>0</v>
      </c>
      <c r="J500" s="25">
        <f>Parameters!J251</f>
        <v>0</v>
      </c>
      <c r="K500" s="25">
        <f>Parameters!K251</f>
        <v>0</v>
      </c>
      <c r="L500" s="26" t="e">
        <f t="shared" ref="L500" si="744">L501</f>
        <v>#DIV/0!</v>
      </c>
      <c r="M500" s="25">
        <f>Parameters!L251</f>
        <v>0</v>
      </c>
      <c r="N500" s="25">
        <f>Parameters!M251</f>
        <v>0</v>
      </c>
      <c r="O500" s="26" t="e">
        <f t="shared" ref="O500" si="745">O501</f>
        <v>#DIV/0!</v>
      </c>
      <c r="P500" s="23">
        <f>Parameters!N251</f>
        <v>0</v>
      </c>
      <c r="Q500" s="23">
        <f>Parameters!O251</f>
        <v>0</v>
      </c>
      <c r="R500" s="23">
        <f>Parameters!P251</f>
        <v>0</v>
      </c>
      <c r="S500" s="23">
        <f>Parameters!Q251</f>
        <v>0</v>
      </c>
      <c r="T500" s="23">
        <f>Parameters!R251</f>
        <v>0</v>
      </c>
      <c r="U500" s="27">
        <f>Parameters!S251</f>
        <v>0</v>
      </c>
      <c r="V500" s="28">
        <f>Parameters!T251</f>
        <v>0</v>
      </c>
      <c r="W500" s="27">
        <f>Parameters!U251</f>
        <v>0</v>
      </c>
      <c r="X500" s="28">
        <f>Parameters!V251</f>
        <v>0</v>
      </c>
      <c r="Y500" s="25">
        <f>Parameters!W251</f>
        <v>0</v>
      </c>
      <c r="Z500" s="23">
        <f>Parameters!X251</f>
        <v>0</v>
      </c>
      <c r="AA500" s="27">
        <f>Parameters!Y251</f>
        <v>0</v>
      </c>
      <c r="AB500" s="28">
        <f>Parameters!Z251</f>
        <v>0</v>
      </c>
      <c r="AC500" s="23">
        <f>Parameters!AA251</f>
        <v>0</v>
      </c>
    </row>
    <row r="501" spans="1:29">
      <c r="A501" s="29" t="str">
        <f>UPPER(A500)</f>
        <v>0</v>
      </c>
      <c r="B501" s="29">
        <f>B500</f>
        <v>0</v>
      </c>
      <c r="C501" s="30">
        <f>C500</f>
        <v>0</v>
      </c>
      <c r="D501" s="30">
        <f>D500</f>
        <v>0</v>
      </c>
      <c r="E501" s="29">
        <f>E500</f>
        <v>0</v>
      </c>
      <c r="F501" s="29">
        <f>F500</f>
        <v>0</v>
      </c>
      <c r="G501" s="29" t="e">
        <f>IF(C500=1,IF(D500="BUY",E500+(ROUND(F500*G500/B500,0)*B500),E500-(ROUND(F500*G500/B500,0)*B500)),IF(D500="BUY",E500-(ROUND(F500*G500/B500,0)*B500),E500+(ROUND(F500*G500/B500,0)*B500)))</f>
        <v>#DIV/0!</v>
      </c>
      <c r="H501" s="29" t="e">
        <f>IF(C500=1,IF(D500="BUY",G501-(ROUND(F500*H500/B500,0)*B500),G501+(ROUND(F500*H500/B500,0)*B500)),IF(D500="BUY",G501+(ROUND(F500*H500/B500,0)*B500),G501-(ROUND(F500*H500/B500,0)*B500)))</f>
        <v>#DIV/0!</v>
      </c>
      <c r="I501" s="29" t="e">
        <f>IF(D500="BUY",G501+(ROUND(F500*I500/(B500*100),0)*B500),G501-(ROUND(F500*I500/(B500*100),0)*B500))</f>
        <v>#DIV/0!</v>
      </c>
      <c r="J501" s="29" t="e">
        <f>IF(C500=1,IF(D500="BUY",E500+(ROUND(F500*J500/B500,0)*B500),E500-(ROUND(F500*J500/B500,0)*B500)),IF(D500="BUY",E500-(ROUND(F500*J500/B500,0)*B500),E500+(ROUND(F500*J500/B500,0)*B500)))</f>
        <v>#DIV/0!</v>
      </c>
      <c r="K501" s="29" t="e">
        <f>IF(C500=1,IF(D500="BUY",E500-(ROUND(F500*K500/B500,0)*B500),E500+(ROUND(F500*K500/B500,0)*B500)),IF(D500="BUY",E500-(ROUND(F500*K500/B500,0)*B500),E500+(ROUND(F500*K500/B500,0)*B500)))</f>
        <v>#DIV/0!</v>
      </c>
      <c r="L501" s="29" t="e">
        <f t="shared" ref="L501" si="746">IF(D501="BUY",I501+(R501*B501),I501-(R501*B501))</f>
        <v>#DIV/0!</v>
      </c>
      <c r="M501" s="29" t="e">
        <f>IF(D500="BUY",E500+(ROUND(F500*M500/B500,0)*B500),E500-(ROUND(F500*M500/B500,0)*B500))</f>
        <v>#DIV/0!</v>
      </c>
      <c r="N501" s="29" t="e">
        <f>IF(D500="BUY",E500-(ROUND(F500*N500/B500,0)*B500),E500+(ROUND(F500*N500/B500,0)*B500))</f>
        <v>#DIV/0!</v>
      </c>
      <c r="O501" s="31" t="e">
        <f>IF(D501="BUY",N501-VLOOKUP(A501,Symbols!A$1:D$1000,4,FALSE),N501+VLOOKUP(A501,Symbols!A$1:D$1000,4,FALSE))</f>
        <v>#DIV/0!</v>
      </c>
      <c r="P501" s="29">
        <f>P500</f>
        <v>0</v>
      </c>
      <c r="Q501" s="29">
        <f>Q500</f>
        <v>0</v>
      </c>
      <c r="R501" s="29">
        <f>R500</f>
        <v>0</v>
      </c>
      <c r="S501" s="29">
        <f>S500</f>
        <v>0</v>
      </c>
      <c r="T501" s="29">
        <f>T500</f>
        <v>0</v>
      </c>
      <c r="U501" s="29" t="e">
        <f>DATEDIF(DATE(1970,1,1),U500,"D")*86400</f>
        <v>#NUM!</v>
      </c>
      <c r="V501" s="29">
        <f>HOUR(V500)*3600+MINUTE(V500)*60+SECOND(V500)</f>
        <v>0</v>
      </c>
      <c r="W501" s="29" t="e">
        <f>DATEDIF(DATE(1970,1,1),W500,"D")*86400</f>
        <v>#NUM!</v>
      </c>
      <c r="X501" s="29">
        <f>HOUR(X500)*3600+MINUTE(X500)*60+SECOND(X500)</f>
        <v>0</v>
      </c>
      <c r="Y501" s="31">
        <f>(Y500*B501)</f>
        <v>0</v>
      </c>
      <c r="Z501" s="29">
        <f>Z500</f>
        <v>0</v>
      </c>
      <c r="AA501" s="29" t="e">
        <f>DATEDIF(DATE(1970,1,1),AA500,"D")*86400</f>
        <v>#NUM!</v>
      </c>
      <c r="AB501" s="29">
        <f>HOUR(AB500)*3600+MINUTE(AB500)*60+SECOND(AB500)</f>
        <v>0</v>
      </c>
      <c r="AC501" s="29">
        <f>AC500</f>
        <v>0</v>
      </c>
    </row>
    <row r="502" spans="1:29">
      <c r="A502" s="23">
        <f>Parameters!A252</f>
        <v>0</v>
      </c>
      <c r="B502" s="23">
        <f>Parameters!B252</f>
        <v>0</v>
      </c>
      <c r="C502" s="24">
        <f>Parameters!C252</f>
        <v>0</v>
      </c>
      <c r="D502" s="24">
        <f>Parameters!D252</f>
        <v>0</v>
      </c>
      <c r="E502" s="23">
        <f>Parameters!E252</f>
        <v>0</v>
      </c>
      <c r="F502" s="23">
        <f>Parameters!F252</f>
        <v>0</v>
      </c>
      <c r="G502" s="25">
        <f>Parameters!G252</f>
        <v>0</v>
      </c>
      <c r="H502" s="25">
        <f>Parameters!H252</f>
        <v>0</v>
      </c>
      <c r="I502" s="25">
        <f>Parameters!I252</f>
        <v>0</v>
      </c>
      <c r="J502" s="25">
        <f>Parameters!J252</f>
        <v>0</v>
      </c>
      <c r="K502" s="25">
        <f>Parameters!K252</f>
        <v>0</v>
      </c>
      <c r="L502" s="26" t="e">
        <f t="shared" ref="L502" si="747">L503</f>
        <v>#DIV/0!</v>
      </c>
      <c r="M502" s="25">
        <f>Parameters!L252</f>
        <v>0</v>
      </c>
      <c r="N502" s="25">
        <f>Parameters!M252</f>
        <v>0</v>
      </c>
      <c r="O502" s="26" t="e">
        <f t="shared" ref="O502" si="748">O503</f>
        <v>#DIV/0!</v>
      </c>
      <c r="P502" s="23">
        <f>Parameters!N252</f>
        <v>0</v>
      </c>
      <c r="Q502" s="23">
        <f>Parameters!O252</f>
        <v>0</v>
      </c>
      <c r="R502" s="23">
        <f>Parameters!P252</f>
        <v>0</v>
      </c>
      <c r="S502" s="23">
        <f>Parameters!Q252</f>
        <v>0</v>
      </c>
      <c r="T502" s="23">
        <f>Parameters!R252</f>
        <v>0</v>
      </c>
      <c r="U502" s="27">
        <f>Parameters!S252</f>
        <v>0</v>
      </c>
      <c r="V502" s="28">
        <f>Parameters!T252</f>
        <v>0</v>
      </c>
      <c r="W502" s="27">
        <f>Parameters!U252</f>
        <v>0</v>
      </c>
      <c r="X502" s="28">
        <f>Parameters!V252</f>
        <v>0</v>
      </c>
      <c r="Y502" s="25">
        <f>Parameters!W252</f>
        <v>0</v>
      </c>
      <c r="Z502" s="23">
        <f>Parameters!X252</f>
        <v>0</v>
      </c>
      <c r="AA502" s="27">
        <f>Parameters!Y252</f>
        <v>0</v>
      </c>
      <c r="AB502" s="28">
        <f>Parameters!Z252</f>
        <v>0</v>
      </c>
      <c r="AC502" s="23">
        <f>Parameters!AA252</f>
        <v>0</v>
      </c>
    </row>
    <row r="503" spans="1:29">
      <c r="A503" s="29" t="str">
        <f>UPPER(A502)</f>
        <v>0</v>
      </c>
      <c r="B503" s="29">
        <f>B502</f>
        <v>0</v>
      </c>
      <c r="C503" s="30">
        <f>C502</f>
        <v>0</v>
      </c>
      <c r="D503" s="30">
        <f>D502</f>
        <v>0</v>
      </c>
      <c r="E503" s="29">
        <f>E502</f>
        <v>0</v>
      </c>
      <c r="F503" s="29">
        <f>F502</f>
        <v>0</v>
      </c>
      <c r="G503" s="29" t="e">
        <f>IF(C502=1,IF(D502="BUY",E502+(ROUND(F502*G502/B502,0)*B502),E502-(ROUND(F502*G502/B502,0)*B502)),IF(D502="BUY",E502-(ROUND(F502*G502/B502,0)*B502),E502+(ROUND(F502*G502/B502,0)*B502)))</f>
        <v>#DIV/0!</v>
      </c>
      <c r="H503" s="29" t="e">
        <f>IF(C502=1,IF(D502="BUY",G503-(ROUND(F502*H502/B502,0)*B502),G503+(ROUND(F502*H502/B502,0)*B502)),IF(D502="BUY",G503+(ROUND(F502*H502/B502,0)*B502),G503-(ROUND(F502*H502/B502,0)*B502)))</f>
        <v>#DIV/0!</v>
      </c>
      <c r="I503" s="29" t="e">
        <f>IF(D502="BUY",G503+(ROUND(F502*I502/(B502*100),0)*B502),G503-(ROUND(F502*I502/(B502*100),0)*B502))</f>
        <v>#DIV/0!</v>
      </c>
      <c r="J503" s="29" t="e">
        <f>IF(C502=1,IF(D502="BUY",E502+(ROUND(F502*J502/B502,0)*B502),E502-(ROUND(F502*J502/B502,0)*B502)),IF(D502="BUY",E502-(ROUND(F502*J502/B502,0)*B502),E502+(ROUND(F502*J502/B502,0)*B502)))</f>
        <v>#DIV/0!</v>
      </c>
      <c r="K503" s="29" t="e">
        <f>IF(C502=1,IF(D502="BUY",E502-(ROUND(F502*K502/B502,0)*B502),E502+(ROUND(F502*K502/B502,0)*B502)),IF(D502="BUY",E502-(ROUND(F502*K502/B502,0)*B502),E502+(ROUND(F502*K502/B502,0)*B502)))</f>
        <v>#DIV/0!</v>
      </c>
      <c r="L503" s="29" t="e">
        <f t="shared" ref="L503" si="749">IF(D503="BUY",I503+(R503*B503),I503-(R503*B503))</f>
        <v>#DIV/0!</v>
      </c>
      <c r="M503" s="29" t="e">
        <f>IF(D502="BUY",E502+(ROUND(F502*M502/B502,0)*B502),E502-(ROUND(F502*M502/B502,0)*B502))</f>
        <v>#DIV/0!</v>
      </c>
      <c r="N503" s="29" t="e">
        <f>IF(D502="BUY",E502-(ROUND(F502*N502/B502,0)*B502),E502+(ROUND(F502*N502/B502,0)*B502))</f>
        <v>#DIV/0!</v>
      </c>
      <c r="O503" s="31" t="e">
        <f>IF(D503="BUY",N503-VLOOKUP(A503,Symbols!A$1:D$1000,4,FALSE),N503+VLOOKUP(A503,Symbols!A$1:D$1000,4,FALSE))</f>
        <v>#DIV/0!</v>
      </c>
      <c r="P503" s="29">
        <f>P502</f>
        <v>0</v>
      </c>
      <c r="Q503" s="29">
        <f>Q502</f>
        <v>0</v>
      </c>
      <c r="R503" s="29">
        <f>R502</f>
        <v>0</v>
      </c>
      <c r="S503" s="29">
        <f>S502</f>
        <v>0</v>
      </c>
      <c r="T503" s="29">
        <f>T502</f>
        <v>0</v>
      </c>
      <c r="U503" s="29" t="e">
        <f>DATEDIF(DATE(1970,1,1),U502,"D")*86400</f>
        <v>#NUM!</v>
      </c>
      <c r="V503" s="29">
        <f>HOUR(V502)*3600+MINUTE(V502)*60+SECOND(V502)</f>
        <v>0</v>
      </c>
      <c r="W503" s="29" t="e">
        <f>DATEDIF(DATE(1970,1,1),W502,"D")*86400</f>
        <v>#NUM!</v>
      </c>
      <c r="X503" s="29">
        <f>HOUR(X502)*3600+MINUTE(X502)*60+SECOND(X502)</f>
        <v>0</v>
      </c>
      <c r="Y503" s="31">
        <f>(Y502*B503)</f>
        <v>0</v>
      </c>
      <c r="Z503" s="29">
        <f>Z502</f>
        <v>0</v>
      </c>
      <c r="AA503" s="29" t="e">
        <f>DATEDIF(DATE(1970,1,1),AA502,"D")*86400</f>
        <v>#NUM!</v>
      </c>
      <c r="AB503" s="29">
        <f>HOUR(AB502)*3600+MINUTE(AB502)*60+SECOND(AB502)</f>
        <v>0</v>
      </c>
      <c r="AC503" s="29">
        <f>AC502</f>
        <v>0</v>
      </c>
    </row>
    <row r="504" spans="1:29">
      <c r="A504" s="23">
        <f>Parameters!A253</f>
        <v>0</v>
      </c>
      <c r="B504" s="23">
        <f>Parameters!B253</f>
        <v>0</v>
      </c>
      <c r="C504" s="24">
        <f>Parameters!C253</f>
        <v>0</v>
      </c>
      <c r="D504" s="24">
        <f>Parameters!D253</f>
        <v>0</v>
      </c>
      <c r="E504" s="23">
        <f>Parameters!E253</f>
        <v>0</v>
      </c>
      <c r="F504" s="23">
        <f>Parameters!F253</f>
        <v>0</v>
      </c>
      <c r="G504" s="25">
        <f>Parameters!G253</f>
        <v>0</v>
      </c>
      <c r="H504" s="25">
        <f>Parameters!H253</f>
        <v>0</v>
      </c>
      <c r="I504" s="25">
        <f>Parameters!I253</f>
        <v>0</v>
      </c>
      <c r="J504" s="25">
        <f>Parameters!J253</f>
        <v>0</v>
      </c>
      <c r="K504" s="25">
        <f>Parameters!K253</f>
        <v>0</v>
      </c>
      <c r="L504" s="26" t="e">
        <f t="shared" ref="L504" si="750">L505</f>
        <v>#DIV/0!</v>
      </c>
      <c r="M504" s="25">
        <f>Parameters!L253</f>
        <v>0</v>
      </c>
      <c r="N504" s="25">
        <f>Parameters!M253</f>
        <v>0</v>
      </c>
      <c r="O504" s="26" t="e">
        <f t="shared" ref="O504" si="751">O505</f>
        <v>#DIV/0!</v>
      </c>
      <c r="P504" s="23">
        <f>Parameters!N253</f>
        <v>0</v>
      </c>
      <c r="Q504" s="23">
        <f>Parameters!O253</f>
        <v>0</v>
      </c>
      <c r="R504" s="23">
        <f>Parameters!P253</f>
        <v>0</v>
      </c>
      <c r="S504" s="23">
        <f>Parameters!Q253</f>
        <v>0</v>
      </c>
      <c r="T504" s="23">
        <f>Parameters!R253</f>
        <v>0</v>
      </c>
      <c r="U504" s="27">
        <f>Parameters!S253</f>
        <v>0</v>
      </c>
      <c r="V504" s="28">
        <f>Parameters!T253</f>
        <v>0</v>
      </c>
      <c r="W504" s="27">
        <f>Parameters!U253</f>
        <v>0</v>
      </c>
      <c r="X504" s="28">
        <f>Parameters!V253</f>
        <v>0</v>
      </c>
      <c r="Y504" s="25">
        <f>Parameters!W253</f>
        <v>0</v>
      </c>
      <c r="Z504" s="23">
        <f>Parameters!X253</f>
        <v>0</v>
      </c>
      <c r="AA504" s="27">
        <f>Parameters!Y253</f>
        <v>0</v>
      </c>
      <c r="AB504" s="28">
        <f>Parameters!Z253</f>
        <v>0</v>
      </c>
      <c r="AC504" s="23">
        <f>Parameters!AA253</f>
        <v>0</v>
      </c>
    </row>
    <row r="505" spans="1:29">
      <c r="A505" s="29" t="str">
        <f>UPPER(A504)</f>
        <v>0</v>
      </c>
      <c r="B505" s="29">
        <f>B504</f>
        <v>0</v>
      </c>
      <c r="C505" s="30">
        <f>C504</f>
        <v>0</v>
      </c>
      <c r="D505" s="30">
        <f>D504</f>
        <v>0</v>
      </c>
      <c r="E505" s="29">
        <f>E504</f>
        <v>0</v>
      </c>
      <c r="F505" s="29">
        <f>F504</f>
        <v>0</v>
      </c>
      <c r="G505" s="29" t="e">
        <f>IF(C504=1,IF(D504="BUY",E504+(ROUND(F504*G504/B504,0)*B504),E504-(ROUND(F504*G504/B504,0)*B504)),IF(D504="BUY",E504-(ROUND(F504*G504/B504,0)*B504),E504+(ROUND(F504*G504/B504,0)*B504)))</f>
        <v>#DIV/0!</v>
      </c>
      <c r="H505" s="29" t="e">
        <f>IF(C504=1,IF(D504="BUY",G505-(ROUND(F504*H504/B504,0)*B504),G505+(ROUND(F504*H504/B504,0)*B504)),IF(D504="BUY",G505+(ROUND(F504*H504/B504,0)*B504),G505-(ROUND(F504*H504/B504,0)*B504)))</f>
        <v>#DIV/0!</v>
      </c>
      <c r="I505" s="29" t="e">
        <f>IF(D504="BUY",G505+(ROUND(F504*I504/(B504*100),0)*B504),G505-(ROUND(F504*I504/(B504*100),0)*B504))</f>
        <v>#DIV/0!</v>
      </c>
      <c r="J505" s="29" t="e">
        <f>IF(C504=1,IF(D504="BUY",E504+(ROUND(F504*J504/B504,0)*B504),E504-(ROUND(F504*J504/B504,0)*B504)),IF(D504="BUY",E504-(ROUND(F504*J504/B504,0)*B504),E504+(ROUND(F504*J504/B504,0)*B504)))</f>
        <v>#DIV/0!</v>
      </c>
      <c r="K505" s="29" t="e">
        <f>IF(C504=1,IF(D504="BUY",E504-(ROUND(F504*K504/B504,0)*B504),E504+(ROUND(F504*K504/B504,0)*B504)),IF(D504="BUY",E504-(ROUND(F504*K504/B504,0)*B504),E504+(ROUND(F504*K504/B504,0)*B504)))</f>
        <v>#DIV/0!</v>
      </c>
      <c r="L505" s="29" t="e">
        <f t="shared" ref="L505" si="752">IF(D505="BUY",I505+(R505*B505),I505-(R505*B505))</f>
        <v>#DIV/0!</v>
      </c>
      <c r="M505" s="29" t="e">
        <f>IF(D504="BUY",E504+(ROUND(F504*M504/B504,0)*B504),E504-(ROUND(F504*M504/B504,0)*B504))</f>
        <v>#DIV/0!</v>
      </c>
      <c r="N505" s="29" t="e">
        <f>IF(D504="BUY",E504-(ROUND(F504*N504/B504,0)*B504),E504+(ROUND(F504*N504/B504,0)*B504))</f>
        <v>#DIV/0!</v>
      </c>
      <c r="O505" s="31" t="e">
        <f>IF(D505="BUY",N505-VLOOKUP(A505,Symbols!A$1:D$1000,4,FALSE),N505+VLOOKUP(A505,Symbols!A$1:D$1000,4,FALSE))</f>
        <v>#DIV/0!</v>
      </c>
      <c r="P505" s="29">
        <f>P504</f>
        <v>0</v>
      </c>
      <c r="Q505" s="29">
        <f>Q504</f>
        <v>0</v>
      </c>
      <c r="R505" s="29">
        <f>R504</f>
        <v>0</v>
      </c>
      <c r="S505" s="29">
        <f>S504</f>
        <v>0</v>
      </c>
      <c r="T505" s="29">
        <f>T504</f>
        <v>0</v>
      </c>
      <c r="U505" s="29" t="e">
        <f>DATEDIF(DATE(1970,1,1),U504,"D")*86400</f>
        <v>#NUM!</v>
      </c>
      <c r="V505" s="29">
        <f>HOUR(V504)*3600+MINUTE(V504)*60+SECOND(V504)</f>
        <v>0</v>
      </c>
      <c r="W505" s="29" t="e">
        <f>DATEDIF(DATE(1970,1,1),W504,"D")*86400</f>
        <v>#NUM!</v>
      </c>
      <c r="X505" s="29">
        <f>HOUR(X504)*3600+MINUTE(X504)*60+SECOND(X504)</f>
        <v>0</v>
      </c>
      <c r="Y505" s="31">
        <f>(Y504*B505)</f>
        <v>0</v>
      </c>
      <c r="Z505" s="29">
        <f>Z504</f>
        <v>0</v>
      </c>
      <c r="AA505" s="29" t="e">
        <f>DATEDIF(DATE(1970,1,1),AA504,"D")*86400</f>
        <v>#NUM!</v>
      </c>
      <c r="AB505" s="29">
        <f>HOUR(AB504)*3600+MINUTE(AB504)*60+SECOND(AB504)</f>
        <v>0</v>
      </c>
      <c r="AC505" s="29">
        <f>AC504</f>
        <v>0</v>
      </c>
    </row>
    <row r="506" spans="1:29">
      <c r="A506" s="23">
        <f>Parameters!A254</f>
        <v>0</v>
      </c>
      <c r="B506" s="23">
        <f>Parameters!B254</f>
        <v>0</v>
      </c>
      <c r="C506" s="24">
        <f>Parameters!C254</f>
        <v>0</v>
      </c>
      <c r="D506" s="24">
        <f>Parameters!D254</f>
        <v>0</v>
      </c>
      <c r="E506" s="23">
        <f>Parameters!E254</f>
        <v>0</v>
      </c>
      <c r="F506" s="23">
        <f>Parameters!F254</f>
        <v>0</v>
      </c>
      <c r="G506" s="25">
        <f>Parameters!G254</f>
        <v>0</v>
      </c>
      <c r="H506" s="25">
        <f>Parameters!H254</f>
        <v>0</v>
      </c>
      <c r="I506" s="25">
        <f>Parameters!I254</f>
        <v>0</v>
      </c>
      <c r="J506" s="25">
        <f>Parameters!J254</f>
        <v>0</v>
      </c>
      <c r="K506" s="25">
        <f>Parameters!K254</f>
        <v>0</v>
      </c>
      <c r="L506" s="26" t="e">
        <f t="shared" ref="L506" si="753">L507</f>
        <v>#DIV/0!</v>
      </c>
      <c r="M506" s="25">
        <f>Parameters!L254</f>
        <v>0</v>
      </c>
      <c r="N506" s="25">
        <f>Parameters!M254</f>
        <v>0</v>
      </c>
      <c r="O506" s="26" t="e">
        <f t="shared" ref="O506" si="754">O507</f>
        <v>#DIV/0!</v>
      </c>
      <c r="P506" s="23">
        <f>Parameters!N254</f>
        <v>0</v>
      </c>
      <c r="Q506" s="23">
        <f>Parameters!O254</f>
        <v>0</v>
      </c>
      <c r="R506" s="23">
        <f>Parameters!P254</f>
        <v>0</v>
      </c>
      <c r="S506" s="23">
        <f>Parameters!Q254</f>
        <v>0</v>
      </c>
      <c r="T506" s="23">
        <f>Parameters!R254</f>
        <v>0</v>
      </c>
      <c r="U506" s="27">
        <f>Parameters!S254</f>
        <v>0</v>
      </c>
      <c r="V506" s="28">
        <f>Parameters!T254</f>
        <v>0</v>
      </c>
      <c r="W506" s="27">
        <f>Parameters!U254</f>
        <v>0</v>
      </c>
      <c r="X506" s="28">
        <f>Parameters!V254</f>
        <v>0</v>
      </c>
      <c r="Y506" s="25">
        <f>Parameters!W254</f>
        <v>0</v>
      </c>
      <c r="Z506" s="23">
        <f>Parameters!X254</f>
        <v>0</v>
      </c>
      <c r="AA506" s="27">
        <f>Parameters!Y254</f>
        <v>0</v>
      </c>
      <c r="AB506" s="28">
        <f>Parameters!Z254</f>
        <v>0</v>
      </c>
      <c r="AC506" s="23">
        <f>Parameters!AA254</f>
        <v>0</v>
      </c>
    </row>
    <row r="507" spans="1:29">
      <c r="A507" s="29" t="str">
        <f>UPPER(A506)</f>
        <v>0</v>
      </c>
      <c r="B507" s="29">
        <f>B506</f>
        <v>0</v>
      </c>
      <c r="C507" s="30">
        <f>C506</f>
        <v>0</v>
      </c>
      <c r="D507" s="30">
        <f>D506</f>
        <v>0</v>
      </c>
      <c r="E507" s="29">
        <f>E506</f>
        <v>0</v>
      </c>
      <c r="F507" s="29">
        <f>F506</f>
        <v>0</v>
      </c>
      <c r="G507" s="29" t="e">
        <f>IF(C506=1,IF(D506="BUY",E506+(ROUND(F506*G506/B506,0)*B506),E506-(ROUND(F506*G506/B506,0)*B506)),IF(D506="BUY",E506-(ROUND(F506*G506/B506,0)*B506),E506+(ROUND(F506*G506/B506,0)*B506)))</f>
        <v>#DIV/0!</v>
      </c>
      <c r="H507" s="29" t="e">
        <f>IF(C506=1,IF(D506="BUY",G507-(ROUND(F506*H506/B506,0)*B506),G507+(ROUND(F506*H506/B506,0)*B506)),IF(D506="BUY",G507+(ROUND(F506*H506/B506,0)*B506),G507-(ROUND(F506*H506/B506,0)*B506)))</f>
        <v>#DIV/0!</v>
      </c>
      <c r="I507" s="29" t="e">
        <f>IF(D506="BUY",G507+(ROUND(F506*I506/(B506*100),0)*B506),G507-(ROUND(F506*I506/(B506*100),0)*B506))</f>
        <v>#DIV/0!</v>
      </c>
      <c r="J507" s="29" t="e">
        <f>IF(C506=1,IF(D506="BUY",E506+(ROUND(F506*J506/B506,0)*B506),E506-(ROUND(F506*J506/B506,0)*B506)),IF(D506="BUY",E506-(ROUND(F506*J506/B506,0)*B506),E506+(ROUND(F506*J506/B506,0)*B506)))</f>
        <v>#DIV/0!</v>
      </c>
      <c r="K507" s="29" t="e">
        <f>IF(C506=1,IF(D506="BUY",E506-(ROUND(F506*K506/B506,0)*B506),E506+(ROUND(F506*K506/B506,0)*B506)),IF(D506="BUY",E506-(ROUND(F506*K506/B506,0)*B506),E506+(ROUND(F506*K506/B506,0)*B506)))</f>
        <v>#DIV/0!</v>
      </c>
      <c r="L507" s="29" t="e">
        <f t="shared" ref="L507" si="755">IF(D507="BUY",I507+(R507*B507),I507-(R507*B507))</f>
        <v>#DIV/0!</v>
      </c>
      <c r="M507" s="29" t="e">
        <f>IF(D506="BUY",E506+(ROUND(F506*M506/B506,0)*B506),E506-(ROUND(F506*M506/B506,0)*B506))</f>
        <v>#DIV/0!</v>
      </c>
      <c r="N507" s="29" t="e">
        <f>IF(D506="BUY",E506-(ROUND(F506*N506/B506,0)*B506),E506+(ROUND(F506*N506/B506,0)*B506))</f>
        <v>#DIV/0!</v>
      </c>
      <c r="O507" s="31" t="e">
        <f>IF(D507="BUY",N507-VLOOKUP(A507,Symbols!A$1:D$1000,4,FALSE),N507+VLOOKUP(A507,Symbols!A$1:D$1000,4,FALSE))</f>
        <v>#DIV/0!</v>
      </c>
      <c r="P507" s="29">
        <f>P506</f>
        <v>0</v>
      </c>
      <c r="Q507" s="29">
        <f>Q506</f>
        <v>0</v>
      </c>
      <c r="R507" s="29">
        <f>R506</f>
        <v>0</v>
      </c>
      <c r="S507" s="29">
        <f>S506</f>
        <v>0</v>
      </c>
      <c r="T507" s="29">
        <f>T506</f>
        <v>0</v>
      </c>
      <c r="U507" s="29" t="e">
        <f>DATEDIF(DATE(1970,1,1),U506,"D")*86400</f>
        <v>#NUM!</v>
      </c>
      <c r="V507" s="29">
        <f>HOUR(V506)*3600+MINUTE(V506)*60+SECOND(V506)</f>
        <v>0</v>
      </c>
      <c r="W507" s="29" t="e">
        <f>DATEDIF(DATE(1970,1,1),W506,"D")*86400</f>
        <v>#NUM!</v>
      </c>
      <c r="X507" s="29">
        <f>HOUR(X506)*3600+MINUTE(X506)*60+SECOND(X506)</f>
        <v>0</v>
      </c>
      <c r="Y507" s="31">
        <f>(Y506*B507)</f>
        <v>0</v>
      </c>
      <c r="Z507" s="29">
        <f>Z506</f>
        <v>0</v>
      </c>
      <c r="AA507" s="29" t="e">
        <f>DATEDIF(DATE(1970,1,1),AA506,"D")*86400</f>
        <v>#NUM!</v>
      </c>
      <c r="AB507" s="29">
        <f>HOUR(AB506)*3600+MINUTE(AB506)*60+SECOND(AB506)</f>
        <v>0</v>
      </c>
      <c r="AC507" s="29">
        <f>AC506</f>
        <v>0</v>
      </c>
    </row>
    <row r="508" spans="1:29">
      <c r="A508" s="23">
        <f>Parameters!A255</f>
        <v>0</v>
      </c>
      <c r="B508" s="23">
        <f>Parameters!B255</f>
        <v>0</v>
      </c>
      <c r="C508" s="24">
        <f>Parameters!C255</f>
        <v>0</v>
      </c>
      <c r="D508" s="24">
        <f>Parameters!D255</f>
        <v>0</v>
      </c>
      <c r="E508" s="23">
        <f>Parameters!E255</f>
        <v>0</v>
      </c>
      <c r="F508" s="23">
        <f>Parameters!F255</f>
        <v>0</v>
      </c>
      <c r="G508" s="25">
        <f>Parameters!G255</f>
        <v>0</v>
      </c>
      <c r="H508" s="25">
        <f>Parameters!H255</f>
        <v>0</v>
      </c>
      <c r="I508" s="25">
        <f>Parameters!I255</f>
        <v>0</v>
      </c>
      <c r="J508" s="25">
        <f>Parameters!J255</f>
        <v>0</v>
      </c>
      <c r="K508" s="25">
        <f>Parameters!K255</f>
        <v>0</v>
      </c>
      <c r="L508" s="26" t="e">
        <f t="shared" ref="L508" si="756">L509</f>
        <v>#DIV/0!</v>
      </c>
      <c r="M508" s="25">
        <f>Parameters!L255</f>
        <v>0</v>
      </c>
      <c r="N508" s="25">
        <f>Parameters!M255</f>
        <v>0</v>
      </c>
      <c r="O508" s="26" t="e">
        <f t="shared" ref="O508" si="757">O509</f>
        <v>#DIV/0!</v>
      </c>
      <c r="P508" s="23">
        <f>Parameters!N255</f>
        <v>0</v>
      </c>
      <c r="Q508" s="23">
        <f>Parameters!O255</f>
        <v>0</v>
      </c>
      <c r="R508" s="23">
        <f>Parameters!P255</f>
        <v>0</v>
      </c>
      <c r="S508" s="23">
        <f>Parameters!Q255</f>
        <v>0</v>
      </c>
      <c r="T508" s="23">
        <f>Parameters!R255</f>
        <v>0</v>
      </c>
      <c r="U508" s="27">
        <f>Parameters!S255</f>
        <v>0</v>
      </c>
      <c r="V508" s="28">
        <f>Parameters!T255</f>
        <v>0</v>
      </c>
      <c r="W508" s="27">
        <f>Parameters!U255</f>
        <v>0</v>
      </c>
      <c r="X508" s="28">
        <f>Parameters!V255</f>
        <v>0</v>
      </c>
      <c r="Y508" s="25">
        <f>Parameters!W255</f>
        <v>0</v>
      </c>
      <c r="Z508" s="23">
        <f>Parameters!X255</f>
        <v>0</v>
      </c>
      <c r="AA508" s="27">
        <f>Parameters!Y255</f>
        <v>0</v>
      </c>
      <c r="AB508" s="28">
        <f>Parameters!Z255</f>
        <v>0</v>
      </c>
      <c r="AC508" s="23">
        <f>Parameters!AA255</f>
        <v>0</v>
      </c>
    </row>
    <row r="509" spans="1:29">
      <c r="A509" s="29" t="str">
        <f>UPPER(A508)</f>
        <v>0</v>
      </c>
      <c r="B509" s="29">
        <f>B508</f>
        <v>0</v>
      </c>
      <c r="C509" s="30">
        <f>C508</f>
        <v>0</v>
      </c>
      <c r="D509" s="30">
        <f>D508</f>
        <v>0</v>
      </c>
      <c r="E509" s="29">
        <f>E508</f>
        <v>0</v>
      </c>
      <c r="F509" s="29">
        <f>F508</f>
        <v>0</v>
      </c>
      <c r="G509" s="29" t="e">
        <f>IF(C508=1,IF(D508="BUY",E508+(ROUND(F508*G508/B508,0)*B508),E508-(ROUND(F508*G508/B508,0)*B508)),IF(D508="BUY",E508-(ROUND(F508*G508/B508,0)*B508),E508+(ROUND(F508*G508/B508,0)*B508)))</f>
        <v>#DIV/0!</v>
      </c>
      <c r="H509" s="29" t="e">
        <f>IF(C508=1,IF(D508="BUY",G509-(ROUND(F508*H508/B508,0)*B508),G509+(ROUND(F508*H508/B508,0)*B508)),IF(D508="BUY",G509+(ROUND(F508*H508/B508,0)*B508),G509-(ROUND(F508*H508/B508,0)*B508)))</f>
        <v>#DIV/0!</v>
      </c>
      <c r="I509" s="29" t="e">
        <f>IF(D508="BUY",G509+(ROUND(F508*I508/(B508*100),0)*B508),G509-(ROUND(F508*I508/(B508*100),0)*B508))</f>
        <v>#DIV/0!</v>
      </c>
      <c r="J509" s="29" t="e">
        <f>IF(C508=1,IF(D508="BUY",E508+(ROUND(F508*J508/B508,0)*B508),E508-(ROUND(F508*J508/B508,0)*B508)),IF(D508="BUY",E508-(ROUND(F508*J508/B508,0)*B508),E508+(ROUND(F508*J508/B508,0)*B508)))</f>
        <v>#DIV/0!</v>
      </c>
      <c r="K509" s="29" t="e">
        <f>IF(C508=1,IF(D508="BUY",E508-(ROUND(F508*K508/B508,0)*B508),E508+(ROUND(F508*K508/B508,0)*B508)),IF(D508="BUY",E508-(ROUND(F508*K508/B508,0)*B508),E508+(ROUND(F508*K508/B508,0)*B508)))</f>
        <v>#DIV/0!</v>
      </c>
      <c r="L509" s="29" t="e">
        <f t="shared" ref="L509" si="758">IF(D509="BUY",I509+(R509*B509),I509-(R509*B509))</f>
        <v>#DIV/0!</v>
      </c>
      <c r="M509" s="29" t="e">
        <f>IF(D508="BUY",E508+(ROUND(F508*M508/B508,0)*B508),E508-(ROUND(F508*M508/B508,0)*B508))</f>
        <v>#DIV/0!</v>
      </c>
      <c r="N509" s="29" t="e">
        <f>IF(D508="BUY",E508-(ROUND(F508*N508/B508,0)*B508),E508+(ROUND(F508*N508/B508,0)*B508))</f>
        <v>#DIV/0!</v>
      </c>
      <c r="O509" s="31" t="e">
        <f>IF(D509="BUY",N509-VLOOKUP(A509,Symbols!A$1:D$1000,4,FALSE),N509+VLOOKUP(A509,Symbols!A$1:D$1000,4,FALSE))</f>
        <v>#DIV/0!</v>
      </c>
      <c r="P509" s="29">
        <f>P508</f>
        <v>0</v>
      </c>
      <c r="Q509" s="29">
        <f>Q508</f>
        <v>0</v>
      </c>
      <c r="R509" s="29">
        <f>R508</f>
        <v>0</v>
      </c>
      <c r="S509" s="29">
        <f>S508</f>
        <v>0</v>
      </c>
      <c r="T509" s="29">
        <f>T508</f>
        <v>0</v>
      </c>
      <c r="U509" s="29" t="e">
        <f>DATEDIF(DATE(1970,1,1),U508,"D")*86400</f>
        <v>#NUM!</v>
      </c>
      <c r="V509" s="29">
        <f>HOUR(V508)*3600+MINUTE(V508)*60+SECOND(V508)</f>
        <v>0</v>
      </c>
      <c r="W509" s="29" t="e">
        <f>DATEDIF(DATE(1970,1,1),W508,"D")*86400</f>
        <v>#NUM!</v>
      </c>
      <c r="X509" s="29">
        <f>HOUR(X508)*3600+MINUTE(X508)*60+SECOND(X508)</f>
        <v>0</v>
      </c>
      <c r="Y509" s="31">
        <f>(Y508*B509)</f>
        <v>0</v>
      </c>
      <c r="Z509" s="29">
        <f>Z508</f>
        <v>0</v>
      </c>
      <c r="AA509" s="29" t="e">
        <f>DATEDIF(DATE(1970,1,1),AA508,"D")*86400</f>
        <v>#NUM!</v>
      </c>
      <c r="AB509" s="29">
        <f>HOUR(AB508)*3600+MINUTE(AB508)*60+SECOND(AB508)</f>
        <v>0</v>
      </c>
      <c r="AC509" s="29">
        <f>AC508</f>
        <v>0</v>
      </c>
    </row>
    <row r="510" spans="1:29">
      <c r="A510" s="23">
        <f>Parameters!A256</f>
        <v>0</v>
      </c>
      <c r="B510" s="23">
        <f>Parameters!B256</f>
        <v>0</v>
      </c>
      <c r="C510" s="24">
        <f>Parameters!C256</f>
        <v>0</v>
      </c>
      <c r="D510" s="24">
        <f>Parameters!D256</f>
        <v>0</v>
      </c>
      <c r="E510" s="23">
        <f>Parameters!E256</f>
        <v>0</v>
      </c>
      <c r="F510" s="23">
        <f>Parameters!F256</f>
        <v>0</v>
      </c>
      <c r="G510" s="25">
        <f>Parameters!G256</f>
        <v>0</v>
      </c>
      <c r="H510" s="25">
        <f>Parameters!H256</f>
        <v>0</v>
      </c>
      <c r="I510" s="25">
        <f>Parameters!I256</f>
        <v>0</v>
      </c>
      <c r="J510" s="25">
        <f>Parameters!J256</f>
        <v>0</v>
      </c>
      <c r="K510" s="25">
        <f>Parameters!K256</f>
        <v>0</v>
      </c>
      <c r="L510" s="26" t="e">
        <f t="shared" ref="L510" si="759">L511</f>
        <v>#DIV/0!</v>
      </c>
      <c r="M510" s="25">
        <f>Parameters!L256</f>
        <v>0</v>
      </c>
      <c r="N510" s="25">
        <f>Parameters!M256</f>
        <v>0</v>
      </c>
      <c r="O510" s="26" t="e">
        <f t="shared" ref="O510" si="760">O511</f>
        <v>#DIV/0!</v>
      </c>
      <c r="P510" s="23">
        <f>Parameters!N256</f>
        <v>0</v>
      </c>
      <c r="Q510" s="23">
        <f>Parameters!O256</f>
        <v>0</v>
      </c>
      <c r="R510" s="23">
        <f>Parameters!P256</f>
        <v>0</v>
      </c>
      <c r="S510" s="23">
        <f>Parameters!Q256</f>
        <v>0</v>
      </c>
      <c r="T510" s="23">
        <f>Parameters!R256</f>
        <v>0</v>
      </c>
      <c r="U510" s="27">
        <f>Parameters!S256</f>
        <v>0</v>
      </c>
      <c r="V510" s="28">
        <f>Parameters!T256</f>
        <v>0</v>
      </c>
      <c r="W510" s="27">
        <f>Parameters!U256</f>
        <v>0</v>
      </c>
      <c r="X510" s="28">
        <f>Parameters!V256</f>
        <v>0</v>
      </c>
      <c r="Y510" s="25">
        <f>Parameters!W256</f>
        <v>0</v>
      </c>
      <c r="Z510" s="23">
        <f>Parameters!X256</f>
        <v>0</v>
      </c>
      <c r="AA510" s="27">
        <f>Parameters!Y256</f>
        <v>0</v>
      </c>
      <c r="AB510" s="28">
        <f>Parameters!Z256</f>
        <v>0</v>
      </c>
      <c r="AC510" s="23">
        <f>Parameters!AA256</f>
        <v>0</v>
      </c>
    </row>
    <row r="511" spans="1:29">
      <c r="A511" s="29" t="str">
        <f>UPPER(A510)</f>
        <v>0</v>
      </c>
      <c r="B511" s="29">
        <f>B510</f>
        <v>0</v>
      </c>
      <c r="C511" s="30">
        <f>C510</f>
        <v>0</v>
      </c>
      <c r="D511" s="30">
        <f>D510</f>
        <v>0</v>
      </c>
      <c r="E511" s="29">
        <f>E510</f>
        <v>0</v>
      </c>
      <c r="F511" s="29">
        <f>F510</f>
        <v>0</v>
      </c>
      <c r="G511" s="29" t="e">
        <f>IF(C510=1,IF(D510="BUY",E510+(ROUND(F510*G510/B510,0)*B510),E510-(ROUND(F510*G510/B510,0)*B510)),IF(D510="BUY",E510-(ROUND(F510*G510/B510,0)*B510),E510+(ROUND(F510*G510/B510,0)*B510)))</f>
        <v>#DIV/0!</v>
      </c>
      <c r="H511" s="29" t="e">
        <f>IF(C510=1,IF(D510="BUY",G511-(ROUND(F510*H510/B510,0)*B510),G511+(ROUND(F510*H510/B510,0)*B510)),IF(D510="BUY",G511+(ROUND(F510*H510/B510,0)*B510),G511-(ROUND(F510*H510/B510,0)*B510)))</f>
        <v>#DIV/0!</v>
      </c>
      <c r="I511" s="29" t="e">
        <f>IF(D510="BUY",G511+(ROUND(F510*I510/(B510*100),0)*B510),G511-(ROUND(F510*I510/(B510*100),0)*B510))</f>
        <v>#DIV/0!</v>
      </c>
      <c r="J511" s="29" t="e">
        <f>IF(C510=1,IF(D510="BUY",E510+(ROUND(F510*J510/B510,0)*B510),E510-(ROUND(F510*J510/B510,0)*B510)),IF(D510="BUY",E510-(ROUND(F510*J510/B510,0)*B510),E510+(ROUND(F510*J510/B510,0)*B510)))</f>
        <v>#DIV/0!</v>
      </c>
      <c r="K511" s="29" t="e">
        <f>IF(C510=1,IF(D510="BUY",E510-(ROUND(F510*K510/B510,0)*B510),E510+(ROUND(F510*K510/B510,0)*B510)),IF(D510="BUY",E510-(ROUND(F510*K510/B510,0)*B510),E510+(ROUND(F510*K510/B510,0)*B510)))</f>
        <v>#DIV/0!</v>
      </c>
      <c r="L511" s="29" t="e">
        <f t="shared" ref="L511" si="761">IF(D511="BUY",I511+(R511*B511),I511-(R511*B511))</f>
        <v>#DIV/0!</v>
      </c>
      <c r="M511" s="29" t="e">
        <f>IF(D510="BUY",E510+(ROUND(F510*M510/B510,0)*B510),E510-(ROUND(F510*M510/B510,0)*B510))</f>
        <v>#DIV/0!</v>
      </c>
      <c r="N511" s="29" t="e">
        <f>IF(D510="BUY",E510-(ROUND(F510*N510/B510,0)*B510),E510+(ROUND(F510*N510/B510,0)*B510))</f>
        <v>#DIV/0!</v>
      </c>
      <c r="O511" s="31" t="e">
        <f>IF(D511="BUY",N511-VLOOKUP(A511,Symbols!A$1:D$1000,4,FALSE),N511+VLOOKUP(A511,Symbols!A$1:D$1000,4,FALSE))</f>
        <v>#DIV/0!</v>
      </c>
      <c r="P511" s="29">
        <f>P510</f>
        <v>0</v>
      </c>
      <c r="Q511" s="29">
        <f>Q510</f>
        <v>0</v>
      </c>
      <c r="R511" s="29">
        <f>R510</f>
        <v>0</v>
      </c>
      <c r="S511" s="29">
        <f>S510</f>
        <v>0</v>
      </c>
      <c r="T511" s="29">
        <f>T510</f>
        <v>0</v>
      </c>
      <c r="U511" s="29" t="e">
        <f>DATEDIF(DATE(1970,1,1),U510,"D")*86400</f>
        <v>#NUM!</v>
      </c>
      <c r="V511" s="29">
        <f>HOUR(V510)*3600+MINUTE(V510)*60+SECOND(V510)</f>
        <v>0</v>
      </c>
      <c r="W511" s="29" t="e">
        <f>DATEDIF(DATE(1970,1,1),W510,"D")*86400</f>
        <v>#NUM!</v>
      </c>
      <c r="X511" s="29">
        <f>HOUR(X510)*3600+MINUTE(X510)*60+SECOND(X510)</f>
        <v>0</v>
      </c>
      <c r="Y511" s="31">
        <f>(Y510*B511)</f>
        <v>0</v>
      </c>
      <c r="Z511" s="29">
        <f>Z510</f>
        <v>0</v>
      </c>
      <c r="AA511" s="29" t="e">
        <f>DATEDIF(DATE(1970,1,1),AA510,"D")*86400</f>
        <v>#NUM!</v>
      </c>
      <c r="AB511" s="29">
        <f>HOUR(AB510)*3600+MINUTE(AB510)*60+SECOND(AB510)</f>
        <v>0</v>
      </c>
      <c r="AC511" s="29">
        <f>AC510</f>
        <v>0</v>
      </c>
    </row>
    <row r="512" spans="1:29">
      <c r="A512" s="23">
        <f>Parameters!A257</f>
        <v>0</v>
      </c>
      <c r="B512" s="23">
        <f>Parameters!B257</f>
        <v>0</v>
      </c>
      <c r="C512" s="24">
        <f>Parameters!C257</f>
        <v>0</v>
      </c>
      <c r="D512" s="24">
        <f>Parameters!D257</f>
        <v>0</v>
      </c>
      <c r="E512" s="23">
        <f>Parameters!E257</f>
        <v>0</v>
      </c>
      <c r="F512" s="23">
        <f>Parameters!F257</f>
        <v>0</v>
      </c>
      <c r="G512" s="25">
        <f>Parameters!G257</f>
        <v>0</v>
      </c>
      <c r="H512" s="25">
        <f>Parameters!H257</f>
        <v>0</v>
      </c>
      <c r="I512" s="25">
        <f>Parameters!I257</f>
        <v>0</v>
      </c>
      <c r="J512" s="25">
        <f>Parameters!J257</f>
        <v>0</v>
      </c>
      <c r="K512" s="25">
        <f>Parameters!K257</f>
        <v>0</v>
      </c>
      <c r="L512" s="26" t="e">
        <f t="shared" ref="L512" si="762">L513</f>
        <v>#DIV/0!</v>
      </c>
      <c r="M512" s="25">
        <f>Parameters!L257</f>
        <v>0</v>
      </c>
      <c r="N512" s="25">
        <f>Parameters!M257</f>
        <v>0</v>
      </c>
      <c r="O512" s="26" t="e">
        <f t="shared" ref="O512" si="763">O513</f>
        <v>#DIV/0!</v>
      </c>
      <c r="P512" s="23">
        <f>Parameters!N257</f>
        <v>0</v>
      </c>
      <c r="Q512" s="23">
        <f>Parameters!O257</f>
        <v>0</v>
      </c>
      <c r="R512" s="23">
        <f>Parameters!P257</f>
        <v>0</v>
      </c>
      <c r="S512" s="23">
        <f>Parameters!Q257</f>
        <v>0</v>
      </c>
      <c r="T512" s="23">
        <f>Parameters!R257</f>
        <v>0</v>
      </c>
      <c r="U512" s="27">
        <f>Parameters!S257</f>
        <v>0</v>
      </c>
      <c r="V512" s="28">
        <f>Parameters!T257</f>
        <v>0</v>
      </c>
      <c r="W512" s="27">
        <f>Parameters!U257</f>
        <v>0</v>
      </c>
      <c r="X512" s="28">
        <f>Parameters!V257</f>
        <v>0</v>
      </c>
      <c r="Y512" s="25">
        <f>Parameters!W257</f>
        <v>0</v>
      </c>
      <c r="Z512" s="23">
        <f>Parameters!X257</f>
        <v>0</v>
      </c>
      <c r="AA512" s="27">
        <f>Parameters!Y257</f>
        <v>0</v>
      </c>
      <c r="AB512" s="28">
        <f>Parameters!Z257</f>
        <v>0</v>
      </c>
      <c r="AC512" s="23">
        <f>Parameters!AA257</f>
        <v>0</v>
      </c>
    </row>
    <row r="513" spans="1:29">
      <c r="A513" s="29" t="str">
        <f>UPPER(A512)</f>
        <v>0</v>
      </c>
      <c r="B513" s="29">
        <f>B512</f>
        <v>0</v>
      </c>
      <c r="C513" s="30">
        <f>C512</f>
        <v>0</v>
      </c>
      <c r="D513" s="30">
        <f>D512</f>
        <v>0</v>
      </c>
      <c r="E513" s="29">
        <f>E512</f>
        <v>0</v>
      </c>
      <c r="F513" s="29">
        <f>F512</f>
        <v>0</v>
      </c>
      <c r="G513" s="29" t="e">
        <f>IF(C512=1,IF(D512="BUY",E512+(ROUND(F512*G512/B512,0)*B512),E512-(ROUND(F512*G512/B512,0)*B512)),IF(D512="BUY",E512-(ROUND(F512*G512/B512,0)*B512),E512+(ROUND(F512*G512/B512,0)*B512)))</f>
        <v>#DIV/0!</v>
      </c>
      <c r="H513" s="29" t="e">
        <f>IF(C512=1,IF(D512="BUY",G513-(ROUND(F512*H512/B512,0)*B512),G513+(ROUND(F512*H512/B512,0)*B512)),IF(D512="BUY",G513+(ROUND(F512*H512/B512,0)*B512),G513-(ROUND(F512*H512/B512,0)*B512)))</f>
        <v>#DIV/0!</v>
      </c>
      <c r="I513" s="29" t="e">
        <f>IF(D512="BUY",G513+(ROUND(F512*I512/(B512*100),0)*B512),G513-(ROUND(F512*I512/(B512*100),0)*B512))</f>
        <v>#DIV/0!</v>
      </c>
      <c r="J513" s="29" t="e">
        <f>IF(C512=1,IF(D512="BUY",E512+(ROUND(F512*J512/B512,0)*B512),E512-(ROUND(F512*J512/B512,0)*B512)),IF(D512="BUY",E512-(ROUND(F512*J512/B512,0)*B512),E512+(ROUND(F512*J512/B512,0)*B512)))</f>
        <v>#DIV/0!</v>
      </c>
      <c r="K513" s="29" t="e">
        <f>IF(C512=1,IF(D512="BUY",E512-(ROUND(F512*K512/B512,0)*B512),E512+(ROUND(F512*K512/B512,0)*B512)),IF(D512="BUY",E512-(ROUND(F512*K512/B512,0)*B512),E512+(ROUND(F512*K512/B512,0)*B512)))</f>
        <v>#DIV/0!</v>
      </c>
      <c r="L513" s="29" t="e">
        <f t="shared" ref="L513" si="764">IF(D513="BUY",I513+(R513*B513),I513-(R513*B513))</f>
        <v>#DIV/0!</v>
      </c>
      <c r="M513" s="29" t="e">
        <f>IF(D512="BUY",E512+(ROUND(F512*M512/B512,0)*B512),E512-(ROUND(F512*M512/B512,0)*B512))</f>
        <v>#DIV/0!</v>
      </c>
      <c r="N513" s="29" t="e">
        <f>IF(D512="BUY",E512-(ROUND(F512*N512/B512,0)*B512),E512+(ROUND(F512*N512/B512,0)*B512))</f>
        <v>#DIV/0!</v>
      </c>
      <c r="O513" s="31" t="e">
        <f>IF(D513="BUY",N513-VLOOKUP(A513,Symbols!A$1:D$1000,4,FALSE),N513+VLOOKUP(A513,Symbols!A$1:D$1000,4,FALSE))</f>
        <v>#DIV/0!</v>
      </c>
      <c r="P513" s="29">
        <f>P512</f>
        <v>0</v>
      </c>
      <c r="Q513" s="29">
        <f>Q512</f>
        <v>0</v>
      </c>
      <c r="R513" s="29">
        <f>R512</f>
        <v>0</v>
      </c>
      <c r="S513" s="29">
        <f>S512</f>
        <v>0</v>
      </c>
      <c r="T513" s="29">
        <f>T512</f>
        <v>0</v>
      </c>
      <c r="U513" s="29" t="e">
        <f>DATEDIF(DATE(1970,1,1),U512,"D")*86400</f>
        <v>#NUM!</v>
      </c>
      <c r="V513" s="29">
        <f>HOUR(V512)*3600+MINUTE(V512)*60+SECOND(V512)</f>
        <v>0</v>
      </c>
      <c r="W513" s="29" t="e">
        <f>DATEDIF(DATE(1970,1,1),W512,"D")*86400</f>
        <v>#NUM!</v>
      </c>
      <c r="X513" s="29">
        <f>HOUR(X512)*3600+MINUTE(X512)*60+SECOND(X512)</f>
        <v>0</v>
      </c>
      <c r="Y513" s="31">
        <f>(Y512*B513)</f>
        <v>0</v>
      </c>
      <c r="Z513" s="29">
        <f>Z512</f>
        <v>0</v>
      </c>
      <c r="AA513" s="29" t="e">
        <f>DATEDIF(DATE(1970,1,1),AA512,"D")*86400</f>
        <v>#NUM!</v>
      </c>
      <c r="AB513" s="29">
        <f>HOUR(AB512)*3600+MINUTE(AB512)*60+SECOND(AB512)</f>
        <v>0</v>
      </c>
      <c r="AC513" s="29">
        <f>AC512</f>
        <v>0</v>
      </c>
    </row>
    <row r="514" spans="1:29">
      <c r="A514" s="23">
        <f>Parameters!A258</f>
        <v>0</v>
      </c>
      <c r="B514" s="23">
        <f>Parameters!B258</f>
        <v>0</v>
      </c>
      <c r="C514" s="24">
        <f>Parameters!C258</f>
        <v>0</v>
      </c>
      <c r="D514" s="24">
        <f>Parameters!D258</f>
        <v>0</v>
      </c>
      <c r="E514" s="23">
        <f>Parameters!E258</f>
        <v>0</v>
      </c>
      <c r="F514" s="23">
        <f>Parameters!F258</f>
        <v>0</v>
      </c>
      <c r="G514" s="25">
        <f>Parameters!G258</f>
        <v>0</v>
      </c>
      <c r="H514" s="25">
        <f>Parameters!H258</f>
        <v>0</v>
      </c>
      <c r="I514" s="25">
        <f>Parameters!I258</f>
        <v>0</v>
      </c>
      <c r="J514" s="25">
        <f>Parameters!J258</f>
        <v>0</v>
      </c>
      <c r="K514" s="25">
        <f>Parameters!K258</f>
        <v>0</v>
      </c>
      <c r="L514" s="26" t="e">
        <f t="shared" ref="L514" si="765">L515</f>
        <v>#DIV/0!</v>
      </c>
      <c r="M514" s="25">
        <f>Parameters!L258</f>
        <v>0</v>
      </c>
      <c r="N514" s="25">
        <f>Parameters!M258</f>
        <v>0</v>
      </c>
      <c r="O514" s="26" t="e">
        <f t="shared" ref="O514" si="766">O515</f>
        <v>#DIV/0!</v>
      </c>
      <c r="P514" s="23">
        <f>Parameters!N258</f>
        <v>0</v>
      </c>
      <c r="Q514" s="23">
        <f>Parameters!O258</f>
        <v>0</v>
      </c>
      <c r="R514" s="23">
        <f>Parameters!P258</f>
        <v>0</v>
      </c>
      <c r="S514" s="23">
        <f>Parameters!Q258</f>
        <v>0</v>
      </c>
      <c r="T514" s="23">
        <f>Parameters!R258</f>
        <v>0</v>
      </c>
      <c r="U514" s="27">
        <f>Parameters!S258</f>
        <v>0</v>
      </c>
      <c r="V514" s="28">
        <f>Parameters!T258</f>
        <v>0</v>
      </c>
      <c r="W514" s="27">
        <f>Parameters!U258</f>
        <v>0</v>
      </c>
      <c r="X514" s="28">
        <f>Parameters!V258</f>
        <v>0</v>
      </c>
      <c r="Y514" s="25">
        <f>Parameters!W258</f>
        <v>0</v>
      </c>
      <c r="Z514" s="23">
        <f>Parameters!X258</f>
        <v>0</v>
      </c>
      <c r="AA514" s="27">
        <f>Parameters!Y258</f>
        <v>0</v>
      </c>
      <c r="AB514" s="28">
        <f>Parameters!Z258</f>
        <v>0</v>
      </c>
      <c r="AC514" s="23">
        <f>Parameters!AA258</f>
        <v>0</v>
      </c>
    </row>
    <row r="515" spans="1:29">
      <c r="A515" s="29" t="str">
        <f>UPPER(A514)</f>
        <v>0</v>
      </c>
      <c r="B515" s="29">
        <f>B514</f>
        <v>0</v>
      </c>
      <c r="C515" s="30">
        <f>C514</f>
        <v>0</v>
      </c>
      <c r="D515" s="30">
        <f>D514</f>
        <v>0</v>
      </c>
      <c r="E515" s="29">
        <f>E514</f>
        <v>0</v>
      </c>
      <c r="F515" s="29">
        <f>F514</f>
        <v>0</v>
      </c>
      <c r="G515" s="29" t="e">
        <f>IF(C514=1,IF(D514="BUY",E514+(ROUND(F514*G514/B514,0)*B514),E514-(ROUND(F514*G514/B514,0)*B514)),IF(D514="BUY",E514-(ROUND(F514*G514/B514,0)*B514),E514+(ROUND(F514*G514/B514,0)*B514)))</f>
        <v>#DIV/0!</v>
      </c>
      <c r="H515" s="29" t="e">
        <f>IF(C514=1,IF(D514="BUY",G515-(ROUND(F514*H514/B514,0)*B514),G515+(ROUND(F514*H514/B514,0)*B514)),IF(D514="BUY",G515+(ROUND(F514*H514/B514,0)*B514),G515-(ROUND(F514*H514/B514,0)*B514)))</f>
        <v>#DIV/0!</v>
      </c>
      <c r="I515" s="29" t="e">
        <f>IF(D514="BUY",G515+(ROUND(F514*I514/(B514*100),0)*B514),G515-(ROUND(F514*I514/(B514*100),0)*B514))</f>
        <v>#DIV/0!</v>
      </c>
      <c r="J515" s="29" t="e">
        <f>IF(C514=1,IF(D514="BUY",E514+(ROUND(F514*J514/B514,0)*B514),E514-(ROUND(F514*J514/B514,0)*B514)),IF(D514="BUY",E514-(ROUND(F514*J514/B514,0)*B514),E514+(ROUND(F514*J514/B514,0)*B514)))</f>
        <v>#DIV/0!</v>
      </c>
      <c r="K515" s="29" t="e">
        <f>IF(C514=1,IF(D514="BUY",E514-(ROUND(F514*K514/B514,0)*B514),E514+(ROUND(F514*K514/B514,0)*B514)),IF(D514="BUY",E514-(ROUND(F514*K514/B514,0)*B514),E514+(ROUND(F514*K514/B514,0)*B514)))</f>
        <v>#DIV/0!</v>
      </c>
      <c r="L515" s="29" t="e">
        <f t="shared" ref="L515" si="767">IF(D515="BUY",I515+(R515*B515),I515-(R515*B515))</f>
        <v>#DIV/0!</v>
      </c>
      <c r="M515" s="29" t="e">
        <f>IF(D514="BUY",E514+(ROUND(F514*M514/B514,0)*B514),E514-(ROUND(F514*M514/B514,0)*B514))</f>
        <v>#DIV/0!</v>
      </c>
      <c r="N515" s="29" t="e">
        <f>IF(D514="BUY",E514-(ROUND(F514*N514/B514,0)*B514),E514+(ROUND(F514*N514/B514,0)*B514))</f>
        <v>#DIV/0!</v>
      </c>
      <c r="O515" s="31" t="e">
        <f>IF(D515="BUY",N515-VLOOKUP(A515,Symbols!A$1:D$1000,4,FALSE),N515+VLOOKUP(A515,Symbols!A$1:D$1000,4,FALSE))</f>
        <v>#DIV/0!</v>
      </c>
      <c r="P515" s="29">
        <f>P514</f>
        <v>0</v>
      </c>
      <c r="Q515" s="29">
        <f>Q514</f>
        <v>0</v>
      </c>
      <c r="R515" s="29">
        <f>R514</f>
        <v>0</v>
      </c>
      <c r="S515" s="29">
        <f>S514</f>
        <v>0</v>
      </c>
      <c r="T515" s="29">
        <f>T514</f>
        <v>0</v>
      </c>
      <c r="U515" s="29" t="e">
        <f>DATEDIF(DATE(1970,1,1),U514,"D")*86400</f>
        <v>#NUM!</v>
      </c>
      <c r="V515" s="29">
        <f>HOUR(V514)*3600+MINUTE(V514)*60+SECOND(V514)</f>
        <v>0</v>
      </c>
      <c r="W515" s="29" t="e">
        <f>DATEDIF(DATE(1970,1,1),W514,"D")*86400</f>
        <v>#NUM!</v>
      </c>
      <c r="X515" s="29">
        <f>HOUR(X514)*3600+MINUTE(X514)*60+SECOND(X514)</f>
        <v>0</v>
      </c>
      <c r="Y515" s="31">
        <f>(Y514*B515)</f>
        <v>0</v>
      </c>
      <c r="Z515" s="29">
        <f>Z514</f>
        <v>0</v>
      </c>
      <c r="AA515" s="29" t="e">
        <f>DATEDIF(DATE(1970,1,1),AA514,"D")*86400</f>
        <v>#NUM!</v>
      </c>
      <c r="AB515" s="29">
        <f>HOUR(AB514)*3600+MINUTE(AB514)*60+SECOND(AB514)</f>
        <v>0</v>
      </c>
      <c r="AC515" s="29">
        <f>AC514</f>
        <v>0</v>
      </c>
    </row>
    <row r="516" spans="1:29">
      <c r="A516" s="23">
        <f>Parameters!A259</f>
        <v>0</v>
      </c>
      <c r="B516" s="23">
        <f>Parameters!B259</f>
        <v>0</v>
      </c>
      <c r="C516" s="24">
        <f>Parameters!C259</f>
        <v>0</v>
      </c>
      <c r="D516" s="24">
        <f>Parameters!D259</f>
        <v>0</v>
      </c>
      <c r="E516" s="23">
        <f>Parameters!E259</f>
        <v>0</v>
      </c>
      <c r="F516" s="23">
        <f>Parameters!F259</f>
        <v>0</v>
      </c>
      <c r="G516" s="25">
        <f>Parameters!G259</f>
        <v>0</v>
      </c>
      <c r="H516" s="25">
        <f>Parameters!H259</f>
        <v>0</v>
      </c>
      <c r="I516" s="25">
        <f>Parameters!I259</f>
        <v>0</v>
      </c>
      <c r="J516" s="25">
        <f>Parameters!J259</f>
        <v>0</v>
      </c>
      <c r="K516" s="25">
        <f>Parameters!K259</f>
        <v>0</v>
      </c>
      <c r="L516" s="26" t="e">
        <f t="shared" ref="L516" si="768">L517</f>
        <v>#DIV/0!</v>
      </c>
      <c r="M516" s="25">
        <f>Parameters!L259</f>
        <v>0</v>
      </c>
      <c r="N516" s="25">
        <f>Parameters!M259</f>
        <v>0</v>
      </c>
      <c r="O516" s="26" t="e">
        <f t="shared" ref="O516" si="769">O517</f>
        <v>#DIV/0!</v>
      </c>
      <c r="P516" s="23">
        <f>Parameters!N259</f>
        <v>0</v>
      </c>
      <c r="Q516" s="23">
        <f>Parameters!O259</f>
        <v>0</v>
      </c>
      <c r="R516" s="23">
        <f>Parameters!P259</f>
        <v>0</v>
      </c>
      <c r="S516" s="23">
        <f>Parameters!Q259</f>
        <v>0</v>
      </c>
      <c r="T516" s="23">
        <f>Parameters!R259</f>
        <v>0</v>
      </c>
      <c r="U516" s="27">
        <f>Parameters!S259</f>
        <v>0</v>
      </c>
      <c r="V516" s="28">
        <f>Parameters!T259</f>
        <v>0</v>
      </c>
      <c r="W516" s="27">
        <f>Parameters!U259</f>
        <v>0</v>
      </c>
      <c r="X516" s="28">
        <f>Parameters!V259</f>
        <v>0</v>
      </c>
      <c r="Y516" s="25">
        <f>Parameters!W259</f>
        <v>0</v>
      </c>
      <c r="Z516" s="23">
        <f>Parameters!X259</f>
        <v>0</v>
      </c>
      <c r="AA516" s="27">
        <f>Parameters!Y259</f>
        <v>0</v>
      </c>
      <c r="AB516" s="28">
        <f>Parameters!Z259</f>
        <v>0</v>
      </c>
      <c r="AC516" s="23">
        <f>Parameters!AA259</f>
        <v>0</v>
      </c>
    </row>
    <row r="517" spans="1:29">
      <c r="A517" s="29" t="str">
        <f>UPPER(A516)</f>
        <v>0</v>
      </c>
      <c r="B517" s="29">
        <f>B516</f>
        <v>0</v>
      </c>
      <c r="C517" s="30">
        <f>C516</f>
        <v>0</v>
      </c>
      <c r="D517" s="30">
        <f>D516</f>
        <v>0</v>
      </c>
      <c r="E517" s="29">
        <f>E516</f>
        <v>0</v>
      </c>
      <c r="F517" s="29">
        <f>F516</f>
        <v>0</v>
      </c>
      <c r="G517" s="29" t="e">
        <f>IF(C516=1,IF(D516="BUY",E516+(ROUND(F516*G516/B516,0)*B516),E516-(ROUND(F516*G516/B516,0)*B516)),IF(D516="BUY",E516-(ROUND(F516*G516/B516,0)*B516),E516+(ROUND(F516*G516/B516,0)*B516)))</f>
        <v>#DIV/0!</v>
      </c>
      <c r="H517" s="29" t="e">
        <f>IF(C516=1,IF(D516="BUY",G517-(ROUND(F516*H516/B516,0)*B516),G517+(ROUND(F516*H516/B516,0)*B516)),IF(D516="BUY",G517+(ROUND(F516*H516/B516,0)*B516),G517-(ROUND(F516*H516/B516,0)*B516)))</f>
        <v>#DIV/0!</v>
      </c>
      <c r="I517" s="29" t="e">
        <f>IF(D516="BUY",G517+(ROUND(F516*I516/(B516*100),0)*B516),G517-(ROUND(F516*I516/(B516*100),0)*B516))</f>
        <v>#DIV/0!</v>
      </c>
      <c r="J517" s="29" t="e">
        <f>IF(C516=1,IF(D516="BUY",E516+(ROUND(F516*J516/B516,0)*B516),E516-(ROUND(F516*J516/B516,0)*B516)),IF(D516="BUY",E516-(ROUND(F516*J516/B516,0)*B516),E516+(ROUND(F516*J516/B516,0)*B516)))</f>
        <v>#DIV/0!</v>
      </c>
      <c r="K517" s="29" t="e">
        <f>IF(C516=1,IF(D516="BUY",E516-(ROUND(F516*K516/B516,0)*B516),E516+(ROUND(F516*K516/B516,0)*B516)),IF(D516="BUY",E516-(ROUND(F516*K516/B516,0)*B516),E516+(ROUND(F516*K516/B516,0)*B516)))</f>
        <v>#DIV/0!</v>
      </c>
      <c r="L517" s="29" t="e">
        <f t="shared" ref="L517" si="770">IF(D517="BUY",I517+(R517*B517),I517-(R517*B517))</f>
        <v>#DIV/0!</v>
      </c>
      <c r="M517" s="29" t="e">
        <f>IF(D516="BUY",E516+(ROUND(F516*M516/B516,0)*B516),E516-(ROUND(F516*M516/B516,0)*B516))</f>
        <v>#DIV/0!</v>
      </c>
      <c r="N517" s="29" t="e">
        <f>IF(D516="BUY",E516-(ROUND(F516*N516/B516,0)*B516),E516+(ROUND(F516*N516/B516,0)*B516))</f>
        <v>#DIV/0!</v>
      </c>
      <c r="O517" s="31" t="e">
        <f>IF(D517="BUY",N517-VLOOKUP(A517,Symbols!A$1:D$1000,4,FALSE),N517+VLOOKUP(A517,Symbols!A$1:D$1000,4,FALSE))</f>
        <v>#DIV/0!</v>
      </c>
      <c r="P517" s="29">
        <f>P516</f>
        <v>0</v>
      </c>
      <c r="Q517" s="29">
        <f>Q516</f>
        <v>0</v>
      </c>
      <c r="R517" s="29">
        <f>R516</f>
        <v>0</v>
      </c>
      <c r="S517" s="29">
        <f>S516</f>
        <v>0</v>
      </c>
      <c r="T517" s="29">
        <f>T516</f>
        <v>0</v>
      </c>
      <c r="U517" s="29" t="e">
        <f>DATEDIF(DATE(1970,1,1),U516,"D")*86400</f>
        <v>#NUM!</v>
      </c>
      <c r="V517" s="29">
        <f>HOUR(V516)*3600+MINUTE(V516)*60+SECOND(V516)</f>
        <v>0</v>
      </c>
      <c r="W517" s="29" t="e">
        <f>DATEDIF(DATE(1970,1,1),W516,"D")*86400</f>
        <v>#NUM!</v>
      </c>
      <c r="X517" s="29">
        <f>HOUR(X516)*3600+MINUTE(X516)*60+SECOND(X516)</f>
        <v>0</v>
      </c>
      <c r="Y517" s="31">
        <f>(Y516*B517)</f>
        <v>0</v>
      </c>
      <c r="Z517" s="29">
        <f>Z516</f>
        <v>0</v>
      </c>
      <c r="AA517" s="29" t="e">
        <f>DATEDIF(DATE(1970,1,1),AA516,"D")*86400</f>
        <v>#NUM!</v>
      </c>
      <c r="AB517" s="29">
        <f>HOUR(AB516)*3600+MINUTE(AB516)*60+SECOND(AB516)</f>
        <v>0</v>
      </c>
      <c r="AC517" s="29">
        <f>AC516</f>
        <v>0</v>
      </c>
    </row>
    <row r="518" spans="1:29">
      <c r="A518" s="23">
        <f>Parameters!A260</f>
        <v>0</v>
      </c>
      <c r="B518" s="23">
        <f>Parameters!B260</f>
        <v>0</v>
      </c>
      <c r="C518" s="24">
        <f>Parameters!C260</f>
        <v>0</v>
      </c>
      <c r="D518" s="24">
        <f>Parameters!D260</f>
        <v>0</v>
      </c>
      <c r="E518" s="23">
        <f>Parameters!E260</f>
        <v>0</v>
      </c>
      <c r="F518" s="23">
        <f>Parameters!F260</f>
        <v>0</v>
      </c>
      <c r="G518" s="25">
        <f>Parameters!G260</f>
        <v>0</v>
      </c>
      <c r="H518" s="25">
        <f>Parameters!H260</f>
        <v>0</v>
      </c>
      <c r="I518" s="25">
        <f>Parameters!I260</f>
        <v>0</v>
      </c>
      <c r="J518" s="25">
        <f>Parameters!J260</f>
        <v>0</v>
      </c>
      <c r="K518" s="25">
        <f>Parameters!K260</f>
        <v>0</v>
      </c>
      <c r="L518" s="26" t="e">
        <f t="shared" ref="L518" si="771">L519</f>
        <v>#DIV/0!</v>
      </c>
      <c r="M518" s="25">
        <f>Parameters!L260</f>
        <v>0</v>
      </c>
      <c r="N518" s="25">
        <f>Parameters!M260</f>
        <v>0</v>
      </c>
      <c r="O518" s="26" t="e">
        <f t="shared" ref="O518" si="772">O519</f>
        <v>#DIV/0!</v>
      </c>
      <c r="P518" s="23">
        <f>Parameters!N260</f>
        <v>0</v>
      </c>
      <c r="Q518" s="23">
        <f>Parameters!O260</f>
        <v>0</v>
      </c>
      <c r="R518" s="23">
        <f>Parameters!P260</f>
        <v>0</v>
      </c>
      <c r="S518" s="23">
        <f>Parameters!Q260</f>
        <v>0</v>
      </c>
      <c r="T518" s="23">
        <f>Parameters!R260</f>
        <v>0</v>
      </c>
      <c r="U518" s="27">
        <f>Parameters!S260</f>
        <v>0</v>
      </c>
      <c r="V518" s="28">
        <f>Parameters!T260</f>
        <v>0</v>
      </c>
      <c r="W518" s="27">
        <f>Parameters!U260</f>
        <v>0</v>
      </c>
      <c r="X518" s="28">
        <f>Parameters!V260</f>
        <v>0</v>
      </c>
      <c r="Y518" s="25">
        <f>Parameters!W260</f>
        <v>0</v>
      </c>
      <c r="Z518" s="23">
        <f>Parameters!X260</f>
        <v>0</v>
      </c>
      <c r="AA518" s="27">
        <f>Parameters!Y260</f>
        <v>0</v>
      </c>
      <c r="AB518" s="28">
        <f>Parameters!Z260</f>
        <v>0</v>
      </c>
      <c r="AC518" s="23">
        <f>Parameters!AA260</f>
        <v>0</v>
      </c>
    </row>
    <row r="519" spans="1:29">
      <c r="A519" s="29" t="str">
        <f>UPPER(A518)</f>
        <v>0</v>
      </c>
      <c r="B519" s="29">
        <f>B518</f>
        <v>0</v>
      </c>
      <c r="C519" s="30">
        <f>C518</f>
        <v>0</v>
      </c>
      <c r="D519" s="30">
        <f>D518</f>
        <v>0</v>
      </c>
      <c r="E519" s="29">
        <f>E518</f>
        <v>0</v>
      </c>
      <c r="F519" s="29">
        <f>F518</f>
        <v>0</v>
      </c>
      <c r="G519" s="29" t="e">
        <f>IF(C518=1,IF(D518="BUY",E518+(ROUND(F518*G518/B518,0)*B518),E518-(ROUND(F518*G518/B518,0)*B518)),IF(D518="BUY",E518-(ROUND(F518*G518/B518,0)*B518),E518+(ROUND(F518*G518/B518,0)*B518)))</f>
        <v>#DIV/0!</v>
      </c>
      <c r="H519" s="29" t="e">
        <f>IF(C518=1,IF(D518="BUY",G519-(ROUND(F518*H518/B518,0)*B518),G519+(ROUND(F518*H518/B518,0)*B518)),IF(D518="BUY",G519+(ROUND(F518*H518/B518,0)*B518),G519-(ROUND(F518*H518/B518,0)*B518)))</f>
        <v>#DIV/0!</v>
      </c>
      <c r="I519" s="29" t="e">
        <f>IF(D518="BUY",G519+(ROUND(F518*I518/(B518*100),0)*B518),G519-(ROUND(F518*I518/(B518*100),0)*B518))</f>
        <v>#DIV/0!</v>
      </c>
      <c r="J519" s="29" t="e">
        <f>IF(C518=1,IF(D518="BUY",E518+(ROUND(F518*J518/B518,0)*B518),E518-(ROUND(F518*J518/B518,0)*B518)),IF(D518="BUY",E518-(ROUND(F518*J518/B518,0)*B518),E518+(ROUND(F518*J518/B518,0)*B518)))</f>
        <v>#DIV/0!</v>
      </c>
      <c r="K519" s="29" t="e">
        <f>IF(C518=1,IF(D518="BUY",E518-(ROUND(F518*K518/B518,0)*B518),E518+(ROUND(F518*K518/B518,0)*B518)),IF(D518="BUY",E518-(ROUND(F518*K518/B518,0)*B518),E518+(ROUND(F518*K518/B518,0)*B518)))</f>
        <v>#DIV/0!</v>
      </c>
      <c r="L519" s="29" t="e">
        <f t="shared" ref="L519" si="773">IF(D519="BUY",I519+(R519*B519),I519-(R519*B519))</f>
        <v>#DIV/0!</v>
      </c>
      <c r="M519" s="29" t="e">
        <f>IF(D518="BUY",E518+(ROUND(F518*M518/B518,0)*B518),E518-(ROUND(F518*M518/B518,0)*B518))</f>
        <v>#DIV/0!</v>
      </c>
      <c r="N519" s="29" t="e">
        <f>IF(D518="BUY",E518-(ROUND(F518*N518/B518,0)*B518),E518+(ROUND(F518*N518/B518,0)*B518))</f>
        <v>#DIV/0!</v>
      </c>
      <c r="O519" s="31" t="e">
        <f>IF(D519="BUY",N519-VLOOKUP(A519,Symbols!A$1:D$1000,4,FALSE),N519+VLOOKUP(A519,Symbols!A$1:D$1000,4,FALSE))</f>
        <v>#DIV/0!</v>
      </c>
      <c r="P519" s="29">
        <f>P518</f>
        <v>0</v>
      </c>
      <c r="Q519" s="29">
        <f>Q518</f>
        <v>0</v>
      </c>
      <c r="R519" s="29">
        <f>R518</f>
        <v>0</v>
      </c>
      <c r="S519" s="29">
        <f>S518</f>
        <v>0</v>
      </c>
      <c r="T519" s="29">
        <f>T518</f>
        <v>0</v>
      </c>
      <c r="U519" s="29" t="e">
        <f>DATEDIF(DATE(1970,1,1),U518,"D")*86400</f>
        <v>#NUM!</v>
      </c>
      <c r="V519" s="29">
        <f>HOUR(V518)*3600+MINUTE(V518)*60+SECOND(V518)</f>
        <v>0</v>
      </c>
      <c r="W519" s="29" t="e">
        <f>DATEDIF(DATE(1970,1,1),W518,"D")*86400</f>
        <v>#NUM!</v>
      </c>
      <c r="X519" s="29">
        <f>HOUR(X518)*3600+MINUTE(X518)*60+SECOND(X518)</f>
        <v>0</v>
      </c>
      <c r="Y519" s="31">
        <f>(Y518*B519)</f>
        <v>0</v>
      </c>
      <c r="Z519" s="29">
        <f>Z518</f>
        <v>0</v>
      </c>
      <c r="AA519" s="29" t="e">
        <f>DATEDIF(DATE(1970,1,1),AA518,"D")*86400</f>
        <v>#NUM!</v>
      </c>
      <c r="AB519" s="29">
        <f>HOUR(AB518)*3600+MINUTE(AB518)*60+SECOND(AB518)</f>
        <v>0</v>
      </c>
      <c r="AC519" s="29">
        <f>AC518</f>
        <v>0</v>
      </c>
    </row>
    <row r="520" spans="1:29">
      <c r="A520" s="23">
        <f>Parameters!A261</f>
        <v>0</v>
      </c>
      <c r="B520" s="23">
        <f>Parameters!B261</f>
        <v>0</v>
      </c>
      <c r="C520" s="24">
        <f>Parameters!C261</f>
        <v>0</v>
      </c>
      <c r="D520" s="24">
        <f>Parameters!D261</f>
        <v>0</v>
      </c>
      <c r="E520" s="23">
        <f>Parameters!E261</f>
        <v>0</v>
      </c>
      <c r="F520" s="23">
        <f>Parameters!F261</f>
        <v>0</v>
      </c>
      <c r="G520" s="25">
        <f>Parameters!G261</f>
        <v>0</v>
      </c>
      <c r="H520" s="25">
        <f>Parameters!H261</f>
        <v>0</v>
      </c>
      <c r="I520" s="25">
        <f>Parameters!I261</f>
        <v>0</v>
      </c>
      <c r="J520" s="25">
        <f>Parameters!J261</f>
        <v>0</v>
      </c>
      <c r="K520" s="25">
        <f>Parameters!K261</f>
        <v>0</v>
      </c>
      <c r="L520" s="26" t="e">
        <f t="shared" ref="L520" si="774">L521</f>
        <v>#DIV/0!</v>
      </c>
      <c r="M520" s="25">
        <f>Parameters!L261</f>
        <v>0</v>
      </c>
      <c r="N520" s="25">
        <f>Parameters!M261</f>
        <v>0</v>
      </c>
      <c r="O520" s="26" t="e">
        <f t="shared" ref="O520" si="775">O521</f>
        <v>#DIV/0!</v>
      </c>
      <c r="P520" s="23">
        <f>Parameters!N261</f>
        <v>0</v>
      </c>
      <c r="Q520" s="23">
        <f>Parameters!O261</f>
        <v>0</v>
      </c>
      <c r="R520" s="23">
        <f>Parameters!P261</f>
        <v>0</v>
      </c>
      <c r="S520" s="23">
        <f>Parameters!Q261</f>
        <v>0</v>
      </c>
      <c r="T520" s="23">
        <f>Parameters!R261</f>
        <v>0</v>
      </c>
      <c r="U520" s="27">
        <f>Parameters!S261</f>
        <v>0</v>
      </c>
      <c r="V520" s="28">
        <f>Parameters!T261</f>
        <v>0</v>
      </c>
      <c r="W520" s="27">
        <f>Parameters!U261</f>
        <v>0</v>
      </c>
      <c r="X520" s="28">
        <f>Parameters!V261</f>
        <v>0</v>
      </c>
      <c r="Y520" s="25">
        <f>Parameters!W261</f>
        <v>0</v>
      </c>
      <c r="Z520" s="23">
        <f>Parameters!X261</f>
        <v>0</v>
      </c>
      <c r="AA520" s="27">
        <f>Parameters!Y261</f>
        <v>0</v>
      </c>
      <c r="AB520" s="28">
        <f>Parameters!Z261</f>
        <v>0</v>
      </c>
      <c r="AC520" s="23">
        <f>Parameters!AA261</f>
        <v>0</v>
      </c>
    </row>
    <row r="521" spans="1:29">
      <c r="A521" s="29" t="str">
        <f>UPPER(A520)</f>
        <v>0</v>
      </c>
      <c r="B521" s="29">
        <f>B520</f>
        <v>0</v>
      </c>
      <c r="C521" s="30">
        <f>C520</f>
        <v>0</v>
      </c>
      <c r="D521" s="30">
        <f>D520</f>
        <v>0</v>
      </c>
      <c r="E521" s="29">
        <f>E520</f>
        <v>0</v>
      </c>
      <c r="F521" s="29">
        <f>F520</f>
        <v>0</v>
      </c>
      <c r="G521" s="29" t="e">
        <f>IF(C520=1,IF(D520="BUY",E520+(ROUND(F520*G520/B520,0)*B520),E520-(ROUND(F520*G520/B520,0)*B520)),IF(D520="BUY",E520-(ROUND(F520*G520/B520,0)*B520),E520+(ROUND(F520*G520/B520,0)*B520)))</f>
        <v>#DIV/0!</v>
      </c>
      <c r="H521" s="29" t="e">
        <f>IF(C520=1,IF(D520="BUY",G521-(ROUND(F520*H520/B520,0)*B520),G521+(ROUND(F520*H520/B520,0)*B520)),IF(D520="BUY",G521+(ROUND(F520*H520/B520,0)*B520),G521-(ROUND(F520*H520/B520,0)*B520)))</f>
        <v>#DIV/0!</v>
      </c>
      <c r="I521" s="29" t="e">
        <f>IF(D520="BUY",G521+(ROUND(F520*I520/(B520*100),0)*B520),G521-(ROUND(F520*I520/(B520*100),0)*B520))</f>
        <v>#DIV/0!</v>
      </c>
      <c r="J521" s="29" t="e">
        <f>IF(C520=1,IF(D520="BUY",E520+(ROUND(F520*J520/B520,0)*B520),E520-(ROUND(F520*J520/B520,0)*B520)),IF(D520="BUY",E520-(ROUND(F520*J520/B520,0)*B520),E520+(ROUND(F520*J520/B520,0)*B520)))</f>
        <v>#DIV/0!</v>
      </c>
      <c r="K521" s="29" t="e">
        <f>IF(C520=1,IF(D520="BUY",E520-(ROUND(F520*K520/B520,0)*B520),E520+(ROUND(F520*K520/B520,0)*B520)),IF(D520="BUY",E520-(ROUND(F520*K520/B520,0)*B520),E520+(ROUND(F520*K520/B520,0)*B520)))</f>
        <v>#DIV/0!</v>
      </c>
      <c r="L521" s="29" t="e">
        <f t="shared" ref="L521" si="776">IF(D521="BUY",I521+(R521*B521),I521-(R521*B521))</f>
        <v>#DIV/0!</v>
      </c>
      <c r="M521" s="29" t="e">
        <f>IF(D520="BUY",E520+(ROUND(F520*M520/B520,0)*B520),E520-(ROUND(F520*M520/B520,0)*B520))</f>
        <v>#DIV/0!</v>
      </c>
      <c r="N521" s="29" t="e">
        <f>IF(D520="BUY",E520-(ROUND(F520*N520/B520,0)*B520),E520+(ROUND(F520*N520/B520,0)*B520))</f>
        <v>#DIV/0!</v>
      </c>
      <c r="O521" s="31" t="e">
        <f>IF(D521="BUY",N521-VLOOKUP(A521,Symbols!A$1:D$1000,4,FALSE),N521+VLOOKUP(A521,Symbols!A$1:D$1000,4,FALSE))</f>
        <v>#DIV/0!</v>
      </c>
      <c r="P521" s="29">
        <f>P520</f>
        <v>0</v>
      </c>
      <c r="Q521" s="29">
        <f>Q520</f>
        <v>0</v>
      </c>
      <c r="R521" s="29">
        <f>R520</f>
        <v>0</v>
      </c>
      <c r="S521" s="29">
        <f>S520</f>
        <v>0</v>
      </c>
      <c r="T521" s="29">
        <f>T520</f>
        <v>0</v>
      </c>
      <c r="U521" s="29" t="e">
        <f>DATEDIF(DATE(1970,1,1),U520,"D")*86400</f>
        <v>#NUM!</v>
      </c>
      <c r="V521" s="29">
        <f>HOUR(V520)*3600+MINUTE(V520)*60+SECOND(V520)</f>
        <v>0</v>
      </c>
      <c r="W521" s="29" t="e">
        <f>DATEDIF(DATE(1970,1,1),W520,"D")*86400</f>
        <v>#NUM!</v>
      </c>
      <c r="X521" s="29">
        <f>HOUR(X520)*3600+MINUTE(X520)*60+SECOND(X520)</f>
        <v>0</v>
      </c>
      <c r="Y521" s="31">
        <f>(Y520*B521)</f>
        <v>0</v>
      </c>
      <c r="Z521" s="29">
        <f>Z520</f>
        <v>0</v>
      </c>
      <c r="AA521" s="29" t="e">
        <f>DATEDIF(DATE(1970,1,1),AA520,"D")*86400</f>
        <v>#NUM!</v>
      </c>
      <c r="AB521" s="29">
        <f>HOUR(AB520)*3600+MINUTE(AB520)*60+SECOND(AB520)</f>
        <v>0</v>
      </c>
      <c r="AC521" s="29">
        <f>AC520</f>
        <v>0</v>
      </c>
    </row>
    <row r="522" spans="1:29">
      <c r="A522" s="23">
        <f>Parameters!A262</f>
        <v>0</v>
      </c>
      <c r="B522" s="23">
        <f>Parameters!B262</f>
        <v>0</v>
      </c>
      <c r="C522" s="24">
        <f>Parameters!C262</f>
        <v>0</v>
      </c>
      <c r="D522" s="24">
        <f>Parameters!D262</f>
        <v>0</v>
      </c>
      <c r="E522" s="23">
        <f>Parameters!E262</f>
        <v>0</v>
      </c>
      <c r="F522" s="23">
        <f>Parameters!F262</f>
        <v>0</v>
      </c>
      <c r="G522" s="25">
        <f>Parameters!G262</f>
        <v>0</v>
      </c>
      <c r="H522" s="25">
        <f>Parameters!H262</f>
        <v>0</v>
      </c>
      <c r="I522" s="25">
        <f>Parameters!I262</f>
        <v>0</v>
      </c>
      <c r="J522" s="25">
        <f>Parameters!J262</f>
        <v>0</v>
      </c>
      <c r="K522" s="25">
        <f>Parameters!K262</f>
        <v>0</v>
      </c>
      <c r="L522" s="26" t="e">
        <f t="shared" ref="L522" si="777">L523</f>
        <v>#DIV/0!</v>
      </c>
      <c r="M522" s="25">
        <f>Parameters!L262</f>
        <v>0</v>
      </c>
      <c r="N522" s="25">
        <f>Parameters!M262</f>
        <v>0</v>
      </c>
      <c r="O522" s="26" t="e">
        <f t="shared" ref="O522" si="778">O523</f>
        <v>#DIV/0!</v>
      </c>
      <c r="P522" s="23">
        <f>Parameters!N262</f>
        <v>0</v>
      </c>
      <c r="Q522" s="23">
        <f>Parameters!O262</f>
        <v>0</v>
      </c>
      <c r="R522" s="23">
        <f>Parameters!P262</f>
        <v>0</v>
      </c>
      <c r="S522" s="23">
        <f>Parameters!Q262</f>
        <v>0</v>
      </c>
      <c r="T522" s="23">
        <f>Parameters!R262</f>
        <v>0</v>
      </c>
      <c r="U522" s="27">
        <f>Parameters!S262</f>
        <v>0</v>
      </c>
      <c r="V522" s="28">
        <f>Parameters!T262</f>
        <v>0</v>
      </c>
      <c r="W522" s="27">
        <f>Parameters!U262</f>
        <v>0</v>
      </c>
      <c r="X522" s="28">
        <f>Parameters!V262</f>
        <v>0</v>
      </c>
      <c r="Y522" s="25">
        <f>Parameters!W262</f>
        <v>0</v>
      </c>
      <c r="Z522" s="23">
        <f>Parameters!X262</f>
        <v>0</v>
      </c>
      <c r="AA522" s="27">
        <f>Parameters!Y262</f>
        <v>0</v>
      </c>
      <c r="AB522" s="28">
        <f>Parameters!Z262</f>
        <v>0</v>
      </c>
      <c r="AC522" s="23">
        <f>Parameters!AA262</f>
        <v>0</v>
      </c>
    </row>
    <row r="523" spans="1:29">
      <c r="A523" s="29" t="str">
        <f>UPPER(A522)</f>
        <v>0</v>
      </c>
      <c r="B523" s="29">
        <f>B522</f>
        <v>0</v>
      </c>
      <c r="C523" s="30">
        <f>C522</f>
        <v>0</v>
      </c>
      <c r="D523" s="30">
        <f>D522</f>
        <v>0</v>
      </c>
      <c r="E523" s="29">
        <f>E522</f>
        <v>0</v>
      </c>
      <c r="F523" s="29">
        <f>F522</f>
        <v>0</v>
      </c>
      <c r="G523" s="29" t="e">
        <f>IF(C522=1,IF(D522="BUY",E522+(ROUND(F522*G522/B522,0)*B522),E522-(ROUND(F522*G522/B522,0)*B522)),IF(D522="BUY",E522-(ROUND(F522*G522/B522,0)*B522),E522+(ROUND(F522*G522/B522,0)*B522)))</f>
        <v>#DIV/0!</v>
      </c>
      <c r="H523" s="29" t="e">
        <f>IF(C522=1,IF(D522="BUY",G523-(ROUND(F522*H522/B522,0)*B522),G523+(ROUND(F522*H522/B522,0)*B522)),IF(D522="BUY",G523+(ROUND(F522*H522/B522,0)*B522),G523-(ROUND(F522*H522/B522,0)*B522)))</f>
        <v>#DIV/0!</v>
      </c>
      <c r="I523" s="29" t="e">
        <f>IF(D522="BUY",G523+(ROUND(F522*I522/(B522*100),0)*B522),G523-(ROUND(F522*I522/(B522*100),0)*B522))</f>
        <v>#DIV/0!</v>
      </c>
      <c r="J523" s="29" t="e">
        <f>IF(C522=1,IF(D522="BUY",E522+(ROUND(F522*J522/B522,0)*B522),E522-(ROUND(F522*J522/B522,0)*B522)),IF(D522="BUY",E522-(ROUND(F522*J522/B522,0)*B522),E522+(ROUND(F522*J522/B522,0)*B522)))</f>
        <v>#DIV/0!</v>
      </c>
      <c r="K523" s="29" t="e">
        <f>IF(C522=1,IF(D522="BUY",E522-(ROUND(F522*K522/B522,0)*B522),E522+(ROUND(F522*K522/B522,0)*B522)),IF(D522="BUY",E522-(ROUND(F522*K522/B522,0)*B522),E522+(ROUND(F522*K522/B522,0)*B522)))</f>
        <v>#DIV/0!</v>
      </c>
      <c r="L523" s="29" t="e">
        <f t="shared" ref="L523" si="779">IF(D523="BUY",I523+(R523*B523),I523-(R523*B523))</f>
        <v>#DIV/0!</v>
      </c>
      <c r="M523" s="29" t="e">
        <f>IF(D522="BUY",E522+(ROUND(F522*M522/B522,0)*B522),E522-(ROUND(F522*M522/B522,0)*B522))</f>
        <v>#DIV/0!</v>
      </c>
      <c r="N523" s="29" t="e">
        <f>IF(D522="BUY",E522-(ROUND(F522*N522/B522,0)*B522),E522+(ROUND(F522*N522/B522,0)*B522))</f>
        <v>#DIV/0!</v>
      </c>
      <c r="O523" s="31" t="e">
        <f>IF(D523="BUY",N523-VLOOKUP(A523,Symbols!A$1:D$1000,4,FALSE),N523+VLOOKUP(A523,Symbols!A$1:D$1000,4,FALSE))</f>
        <v>#DIV/0!</v>
      </c>
      <c r="P523" s="29">
        <f>P522</f>
        <v>0</v>
      </c>
      <c r="Q523" s="29">
        <f>Q522</f>
        <v>0</v>
      </c>
      <c r="R523" s="29">
        <f>R522</f>
        <v>0</v>
      </c>
      <c r="S523" s="29">
        <f>S522</f>
        <v>0</v>
      </c>
      <c r="T523" s="29">
        <f>T522</f>
        <v>0</v>
      </c>
      <c r="U523" s="29" t="e">
        <f>DATEDIF(DATE(1970,1,1),U522,"D")*86400</f>
        <v>#NUM!</v>
      </c>
      <c r="V523" s="29">
        <f>HOUR(V522)*3600+MINUTE(V522)*60+SECOND(V522)</f>
        <v>0</v>
      </c>
      <c r="W523" s="29" t="e">
        <f>DATEDIF(DATE(1970,1,1),W522,"D")*86400</f>
        <v>#NUM!</v>
      </c>
      <c r="X523" s="29">
        <f>HOUR(X522)*3600+MINUTE(X522)*60+SECOND(X522)</f>
        <v>0</v>
      </c>
      <c r="Y523" s="31">
        <f>(Y522*B523)</f>
        <v>0</v>
      </c>
      <c r="Z523" s="29">
        <f>Z522</f>
        <v>0</v>
      </c>
      <c r="AA523" s="29" t="e">
        <f>DATEDIF(DATE(1970,1,1),AA522,"D")*86400</f>
        <v>#NUM!</v>
      </c>
      <c r="AB523" s="29">
        <f>HOUR(AB522)*3600+MINUTE(AB522)*60+SECOND(AB522)</f>
        <v>0</v>
      </c>
      <c r="AC523" s="29">
        <f>AC522</f>
        <v>0</v>
      </c>
    </row>
    <row r="524" spans="1:29">
      <c r="A524" s="23">
        <f>Parameters!A263</f>
        <v>0</v>
      </c>
      <c r="B524" s="23">
        <f>Parameters!B263</f>
        <v>0</v>
      </c>
      <c r="C524" s="24">
        <f>Parameters!C263</f>
        <v>0</v>
      </c>
      <c r="D524" s="24">
        <f>Parameters!D263</f>
        <v>0</v>
      </c>
      <c r="E524" s="23">
        <f>Parameters!E263</f>
        <v>0</v>
      </c>
      <c r="F524" s="23">
        <f>Parameters!F263</f>
        <v>0</v>
      </c>
      <c r="G524" s="25">
        <f>Parameters!G263</f>
        <v>0</v>
      </c>
      <c r="H524" s="25">
        <f>Parameters!H263</f>
        <v>0</v>
      </c>
      <c r="I524" s="25">
        <f>Parameters!I263</f>
        <v>0</v>
      </c>
      <c r="J524" s="25">
        <f>Parameters!J263</f>
        <v>0</v>
      </c>
      <c r="K524" s="25">
        <f>Parameters!K263</f>
        <v>0</v>
      </c>
      <c r="L524" s="26" t="e">
        <f t="shared" ref="L524" si="780">L525</f>
        <v>#DIV/0!</v>
      </c>
      <c r="M524" s="25">
        <f>Parameters!L263</f>
        <v>0</v>
      </c>
      <c r="N524" s="25">
        <f>Parameters!M263</f>
        <v>0</v>
      </c>
      <c r="O524" s="26" t="e">
        <f t="shared" ref="O524" si="781">O525</f>
        <v>#DIV/0!</v>
      </c>
      <c r="P524" s="23">
        <f>Parameters!N263</f>
        <v>0</v>
      </c>
      <c r="Q524" s="23">
        <f>Parameters!O263</f>
        <v>0</v>
      </c>
      <c r="R524" s="23">
        <f>Parameters!P263</f>
        <v>0</v>
      </c>
      <c r="S524" s="23">
        <f>Parameters!Q263</f>
        <v>0</v>
      </c>
      <c r="T524" s="23">
        <f>Parameters!R263</f>
        <v>0</v>
      </c>
      <c r="U524" s="27">
        <f>Parameters!S263</f>
        <v>0</v>
      </c>
      <c r="V524" s="28">
        <f>Parameters!T263</f>
        <v>0</v>
      </c>
      <c r="W524" s="27">
        <f>Parameters!U263</f>
        <v>0</v>
      </c>
      <c r="X524" s="28">
        <f>Parameters!V263</f>
        <v>0</v>
      </c>
      <c r="Y524" s="25">
        <f>Parameters!W263</f>
        <v>0</v>
      </c>
      <c r="Z524" s="23">
        <f>Parameters!X263</f>
        <v>0</v>
      </c>
      <c r="AA524" s="27">
        <f>Parameters!Y263</f>
        <v>0</v>
      </c>
      <c r="AB524" s="28">
        <f>Parameters!Z263</f>
        <v>0</v>
      </c>
      <c r="AC524" s="23">
        <f>Parameters!AA263</f>
        <v>0</v>
      </c>
    </row>
    <row r="525" spans="1:29">
      <c r="A525" s="29" t="str">
        <f>UPPER(A524)</f>
        <v>0</v>
      </c>
      <c r="B525" s="29">
        <f>B524</f>
        <v>0</v>
      </c>
      <c r="C525" s="30">
        <f>C524</f>
        <v>0</v>
      </c>
      <c r="D525" s="30">
        <f>D524</f>
        <v>0</v>
      </c>
      <c r="E525" s="29">
        <f>E524</f>
        <v>0</v>
      </c>
      <c r="F525" s="29">
        <f>F524</f>
        <v>0</v>
      </c>
      <c r="G525" s="29" t="e">
        <f>IF(C524=1,IF(D524="BUY",E524+(ROUND(F524*G524/B524,0)*B524),E524-(ROUND(F524*G524/B524,0)*B524)),IF(D524="BUY",E524-(ROUND(F524*G524/B524,0)*B524),E524+(ROUND(F524*G524/B524,0)*B524)))</f>
        <v>#DIV/0!</v>
      </c>
      <c r="H525" s="29" t="e">
        <f>IF(C524=1,IF(D524="BUY",G525-(ROUND(F524*H524/B524,0)*B524),G525+(ROUND(F524*H524/B524,0)*B524)),IF(D524="BUY",G525+(ROUND(F524*H524/B524,0)*B524),G525-(ROUND(F524*H524/B524,0)*B524)))</f>
        <v>#DIV/0!</v>
      </c>
      <c r="I525" s="29" t="e">
        <f>IF(D524="BUY",G525+(ROUND(F524*I524/(B524*100),0)*B524),G525-(ROUND(F524*I524/(B524*100),0)*B524))</f>
        <v>#DIV/0!</v>
      </c>
      <c r="J525" s="29" t="e">
        <f>IF(C524=1,IF(D524="BUY",E524+(ROUND(F524*J524/B524,0)*B524),E524-(ROUND(F524*J524/B524,0)*B524)),IF(D524="BUY",E524-(ROUND(F524*J524/B524,0)*B524),E524+(ROUND(F524*J524/B524,0)*B524)))</f>
        <v>#DIV/0!</v>
      </c>
      <c r="K525" s="29" t="e">
        <f>IF(C524=1,IF(D524="BUY",E524-(ROUND(F524*K524/B524,0)*B524),E524+(ROUND(F524*K524/B524,0)*B524)),IF(D524="BUY",E524-(ROUND(F524*K524/B524,0)*B524),E524+(ROUND(F524*K524/B524,0)*B524)))</f>
        <v>#DIV/0!</v>
      </c>
      <c r="L525" s="29" t="e">
        <f t="shared" ref="L525" si="782">IF(D525="BUY",I525+(R525*B525),I525-(R525*B525))</f>
        <v>#DIV/0!</v>
      </c>
      <c r="M525" s="29" t="e">
        <f>IF(D524="BUY",E524+(ROUND(F524*M524/B524,0)*B524),E524-(ROUND(F524*M524/B524,0)*B524))</f>
        <v>#DIV/0!</v>
      </c>
      <c r="N525" s="29" t="e">
        <f>IF(D524="BUY",E524-(ROUND(F524*N524/B524,0)*B524),E524+(ROUND(F524*N524/B524,0)*B524))</f>
        <v>#DIV/0!</v>
      </c>
      <c r="O525" s="31" t="e">
        <f>IF(D525="BUY",N525-VLOOKUP(A525,Symbols!A$1:D$1000,4,FALSE),N525+VLOOKUP(A525,Symbols!A$1:D$1000,4,FALSE))</f>
        <v>#DIV/0!</v>
      </c>
      <c r="P525" s="29">
        <f>P524</f>
        <v>0</v>
      </c>
      <c r="Q525" s="29">
        <f>Q524</f>
        <v>0</v>
      </c>
      <c r="R525" s="29">
        <f>R524</f>
        <v>0</v>
      </c>
      <c r="S525" s="29">
        <f>S524</f>
        <v>0</v>
      </c>
      <c r="T525" s="29">
        <f>T524</f>
        <v>0</v>
      </c>
      <c r="U525" s="29" t="e">
        <f>DATEDIF(DATE(1970,1,1),U524,"D")*86400</f>
        <v>#NUM!</v>
      </c>
      <c r="V525" s="29">
        <f>HOUR(V524)*3600+MINUTE(V524)*60+SECOND(V524)</f>
        <v>0</v>
      </c>
      <c r="W525" s="29" t="e">
        <f>DATEDIF(DATE(1970,1,1),W524,"D")*86400</f>
        <v>#NUM!</v>
      </c>
      <c r="X525" s="29">
        <f>HOUR(X524)*3600+MINUTE(X524)*60+SECOND(X524)</f>
        <v>0</v>
      </c>
      <c r="Y525" s="31">
        <f>(Y524*B525)</f>
        <v>0</v>
      </c>
      <c r="Z525" s="29">
        <f>Z524</f>
        <v>0</v>
      </c>
      <c r="AA525" s="29" t="e">
        <f>DATEDIF(DATE(1970,1,1),AA524,"D")*86400</f>
        <v>#NUM!</v>
      </c>
      <c r="AB525" s="29">
        <f>HOUR(AB524)*3600+MINUTE(AB524)*60+SECOND(AB524)</f>
        <v>0</v>
      </c>
      <c r="AC525" s="29">
        <f>AC524</f>
        <v>0</v>
      </c>
    </row>
    <row r="526" spans="1:29">
      <c r="A526" s="23">
        <f>Parameters!A264</f>
        <v>0</v>
      </c>
      <c r="B526" s="23">
        <f>Parameters!B264</f>
        <v>0</v>
      </c>
      <c r="C526" s="24">
        <f>Parameters!C264</f>
        <v>0</v>
      </c>
      <c r="D526" s="24">
        <f>Parameters!D264</f>
        <v>0</v>
      </c>
      <c r="E526" s="23">
        <f>Parameters!E264</f>
        <v>0</v>
      </c>
      <c r="F526" s="23">
        <f>Parameters!F264</f>
        <v>0</v>
      </c>
      <c r="G526" s="25">
        <f>Parameters!G264</f>
        <v>0</v>
      </c>
      <c r="H526" s="25">
        <f>Parameters!H264</f>
        <v>0</v>
      </c>
      <c r="I526" s="25">
        <f>Parameters!I264</f>
        <v>0</v>
      </c>
      <c r="J526" s="25">
        <f>Parameters!J264</f>
        <v>0</v>
      </c>
      <c r="K526" s="25">
        <f>Parameters!K264</f>
        <v>0</v>
      </c>
      <c r="L526" s="26" t="e">
        <f t="shared" ref="L526" si="783">L527</f>
        <v>#DIV/0!</v>
      </c>
      <c r="M526" s="25">
        <f>Parameters!L264</f>
        <v>0</v>
      </c>
      <c r="N526" s="25">
        <f>Parameters!M264</f>
        <v>0</v>
      </c>
      <c r="O526" s="26" t="e">
        <f t="shared" ref="O526" si="784">O527</f>
        <v>#DIV/0!</v>
      </c>
      <c r="P526" s="23">
        <f>Parameters!N264</f>
        <v>0</v>
      </c>
      <c r="Q526" s="23">
        <f>Parameters!O264</f>
        <v>0</v>
      </c>
      <c r="R526" s="23">
        <f>Parameters!P264</f>
        <v>0</v>
      </c>
      <c r="S526" s="23">
        <f>Parameters!Q264</f>
        <v>0</v>
      </c>
      <c r="T526" s="23">
        <f>Parameters!R264</f>
        <v>0</v>
      </c>
      <c r="U526" s="27">
        <f>Parameters!S264</f>
        <v>0</v>
      </c>
      <c r="V526" s="28">
        <f>Parameters!T264</f>
        <v>0</v>
      </c>
      <c r="W526" s="27">
        <f>Parameters!U264</f>
        <v>0</v>
      </c>
      <c r="X526" s="28">
        <f>Parameters!V264</f>
        <v>0</v>
      </c>
      <c r="Y526" s="25">
        <f>Parameters!W264</f>
        <v>0</v>
      </c>
      <c r="Z526" s="23">
        <f>Parameters!X264</f>
        <v>0</v>
      </c>
      <c r="AA526" s="27">
        <f>Parameters!Y264</f>
        <v>0</v>
      </c>
      <c r="AB526" s="28">
        <f>Parameters!Z264</f>
        <v>0</v>
      </c>
      <c r="AC526" s="23">
        <f>Parameters!AA264</f>
        <v>0</v>
      </c>
    </row>
    <row r="527" spans="1:29">
      <c r="A527" s="29" t="str">
        <f>UPPER(A526)</f>
        <v>0</v>
      </c>
      <c r="B527" s="29">
        <f>B526</f>
        <v>0</v>
      </c>
      <c r="C527" s="30">
        <f>C526</f>
        <v>0</v>
      </c>
      <c r="D527" s="30">
        <f>D526</f>
        <v>0</v>
      </c>
      <c r="E527" s="29">
        <f>E526</f>
        <v>0</v>
      </c>
      <c r="F527" s="29">
        <f>F526</f>
        <v>0</v>
      </c>
      <c r="G527" s="29" t="e">
        <f>IF(C526=1,IF(D526="BUY",E526+(ROUND(F526*G526/B526,0)*B526),E526-(ROUND(F526*G526/B526,0)*B526)),IF(D526="BUY",E526-(ROUND(F526*G526/B526,0)*B526),E526+(ROUND(F526*G526/B526,0)*B526)))</f>
        <v>#DIV/0!</v>
      </c>
      <c r="H527" s="29" t="e">
        <f>IF(C526=1,IF(D526="BUY",G527-(ROUND(F526*H526/B526,0)*B526),G527+(ROUND(F526*H526/B526,0)*B526)),IF(D526="BUY",G527+(ROUND(F526*H526/B526,0)*B526),G527-(ROUND(F526*H526/B526,0)*B526)))</f>
        <v>#DIV/0!</v>
      </c>
      <c r="I527" s="29" t="e">
        <f>IF(D526="BUY",G527+(ROUND(F526*I526/(B526*100),0)*B526),G527-(ROUND(F526*I526/(B526*100),0)*B526))</f>
        <v>#DIV/0!</v>
      </c>
      <c r="J527" s="29" t="e">
        <f>IF(C526=1,IF(D526="BUY",E526+(ROUND(F526*J526/B526,0)*B526),E526-(ROUND(F526*J526/B526,0)*B526)),IF(D526="BUY",E526-(ROUND(F526*J526/B526,0)*B526),E526+(ROUND(F526*J526/B526,0)*B526)))</f>
        <v>#DIV/0!</v>
      </c>
      <c r="K527" s="29" t="e">
        <f>IF(C526=1,IF(D526="BUY",E526-(ROUND(F526*K526/B526,0)*B526),E526+(ROUND(F526*K526/B526,0)*B526)),IF(D526="BUY",E526-(ROUND(F526*K526/B526,0)*B526),E526+(ROUND(F526*K526/B526,0)*B526)))</f>
        <v>#DIV/0!</v>
      </c>
      <c r="L527" s="29" t="e">
        <f t="shared" ref="L527" si="785">IF(D527="BUY",I527+(R527*B527),I527-(R527*B527))</f>
        <v>#DIV/0!</v>
      </c>
      <c r="M527" s="29" t="e">
        <f>IF(D526="BUY",E526+(ROUND(F526*M526/B526,0)*B526),E526-(ROUND(F526*M526/B526,0)*B526))</f>
        <v>#DIV/0!</v>
      </c>
      <c r="N527" s="29" t="e">
        <f>IF(D526="BUY",E526-(ROUND(F526*N526/B526,0)*B526),E526+(ROUND(F526*N526/B526,0)*B526))</f>
        <v>#DIV/0!</v>
      </c>
      <c r="O527" s="31" t="e">
        <f>IF(D527="BUY",N527-VLOOKUP(A527,Symbols!A$1:D$1000,4,FALSE),N527+VLOOKUP(A527,Symbols!A$1:D$1000,4,FALSE))</f>
        <v>#DIV/0!</v>
      </c>
      <c r="P527" s="29">
        <f>P526</f>
        <v>0</v>
      </c>
      <c r="Q527" s="29">
        <f>Q526</f>
        <v>0</v>
      </c>
      <c r="R527" s="29">
        <f>R526</f>
        <v>0</v>
      </c>
      <c r="S527" s="29">
        <f>S526</f>
        <v>0</v>
      </c>
      <c r="T527" s="29">
        <f>T526</f>
        <v>0</v>
      </c>
      <c r="U527" s="29" t="e">
        <f>DATEDIF(DATE(1970,1,1),U526,"D")*86400</f>
        <v>#NUM!</v>
      </c>
      <c r="V527" s="29">
        <f>HOUR(V526)*3600+MINUTE(V526)*60+SECOND(V526)</f>
        <v>0</v>
      </c>
      <c r="W527" s="29" t="e">
        <f>DATEDIF(DATE(1970,1,1),W526,"D")*86400</f>
        <v>#NUM!</v>
      </c>
      <c r="X527" s="29">
        <f>HOUR(X526)*3600+MINUTE(X526)*60+SECOND(X526)</f>
        <v>0</v>
      </c>
      <c r="Y527" s="31">
        <f>(Y526*B527)</f>
        <v>0</v>
      </c>
      <c r="Z527" s="29">
        <f>Z526</f>
        <v>0</v>
      </c>
      <c r="AA527" s="29" t="e">
        <f>DATEDIF(DATE(1970,1,1),AA526,"D")*86400</f>
        <v>#NUM!</v>
      </c>
      <c r="AB527" s="29">
        <f>HOUR(AB526)*3600+MINUTE(AB526)*60+SECOND(AB526)</f>
        <v>0</v>
      </c>
      <c r="AC527" s="29">
        <f>AC526</f>
        <v>0</v>
      </c>
    </row>
    <row r="528" spans="1:29">
      <c r="A528" s="23">
        <f>Parameters!A265</f>
        <v>0</v>
      </c>
      <c r="B528" s="23">
        <f>Parameters!B265</f>
        <v>0</v>
      </c>
      <c r="C528" s="24">
        <f>Parameters!C265</f>
        <v>0</v>
      </c>
      <c r="D528" s="24">
        <f>Parameters!D265</f>
        <v>0</v>
      </c>
      <c r="E528" s="23">
        <f>Parameters!E265</f>
        <v>0</v>
      </c>
      <c r="F528" s="23">
        <f>Parameters!F265</f>
        <v>0</v>
      </c>
      <c r="G528" s="25">
        <f>Parameters!G265</f>
        <v>0</v>
      </c>
      <c r="H528" s="25">
        <f>Parameters!H265</f>
        <v>0</v>
      </c>
      <c r="I528" s="25">
        <f>Parameters!I265</f>
        <v>0</v>
      </c>
      <c r="J528" s="25">
        <f>Parameters!J265</f>
        <v>0</v>
      </c>
      <c r="K528" s="25">
        <f>Parameters!K265</f>
        <v>0</v>
      </c>
      <c r="L528" s="26" t="e">
        <f t="shared" ref="L528" si="786">L529</f>
        <v>#DIV/0!</v>
      </c>
      <c r="M528" s="25">
        <f>Parameters!L265</f>
        <v>0</v>
      </c>
      <c r="N528" s="25">
        <f>Parameters!M265</f>
        <v>0</v>
      </c>
      <c r="O528" s="26" t="e">
        <f t="shared" ref="O528" si="787">O529</f>
        <v>#DIV/0!</v>
      </c>
      <c r="P528" s="23">
        <f>Parameters!N265</f>
        <v>0</v>
      </c>
      <c r="Q528" s="23">
        <f>Parameters!O265</f>
        <v>0</v>
      </c>
      <c r="R528" s="23">
        <f>Parameters!P265</f>
        <v>0</v>
      </c>
      <c r="S528" s="23">
        <f>Parameters!Q265</f>
        <v>0</v>
      </c>
      <c r="T528" s="23">
        <f>Parameters!R265</f>
        <v>0</v>
      </c>
      <c r="U528" s="27">
        <f>Parameters!S265</f>
        <v>0</v>
      </c>
      <c r="V528" s="28">
        <f>Parameters!T265</f>
        <v>0</v>
      </c>
      <c r="W528" s="27">
        <f>Parameters!U265</f>
        <v>0</v>
      </c>
      <c r="X528" s="28">
        <f>Parameters!V265</f>
        <v>0</v>
      </c>
      <c r="Y528" s="25">
        <f>Parameters!W265</f>
        <v>0</v>
      </c>
      <c r="Z528" s="23">
        <f>Parameters!X265</f>
        <v>0</v>
      </c>
      <c r="AA528" s="27">
        <f>Parameters!Y265</f>
        <v>0</v>
      </c>
      <c r="AB528" s="28">
        <f>Parameters!Z265</f>
        <v>0</v>
      </c>
      <c r="AC528" s="23">
        <f>Parameters!AA265</f>
        <v>0</v>
      </c>
    </row>
    <row r="529" spans="1:29">
      <c r="A529" s="29" t="str">
        <f>UPPER(A528)</f>
        <v>0</v>
      </c>
      <c r="B529" s="29">
        <f>B528</f>
        <v>0</v>
      </c>
      <c r="C529" s="30">
        <f>C528</f>
        <v>0</v>
      </c>
      <c r="D529" s="30">
        <f>D528</f>
        <v>0</v>
      </c>
      <c r="E529" s="29">
        <f>E528</f>
        <v>0</v>
      </c>
      <c r="F529" s="29">
        <f>F528</f>
        <v>0</v>
      </c>
      <c r="G529" s="29" t="e">
        <f>IF(C528=1,IF(D528="BUY",E528+(ROUND(F528*G528/B528,0)*B528),E528-(ROUND(F528*G528/B528,0)*B528)),IF(D528="BUY",E528-(ROUND(F528*G528/B528,0)*B528),E528+(ROUND(F528*G528/B528,0)*B528)))</f>
        <v>#DIV/0!</v>
      </c>
      <c r="H529" s="29" t="e">
        <f>IF(C528=1,IF(D528="BUY",G529-(ROUND(F528*H528/B528,0)*B528),G529+(ROUND(F528*H528/B528,0)*B528)),IF(D528="BUY",G529+(ROUND(F528*H528/B528,0)*B528),G529-(ROUND(F528*H528/B528,0)*B528)))</f>
        <v>#DIV/0!</v>
      </c>
      <c r="I529" s="29" t="e">
        <f>IF(D528="BUY",G529+(ROUND(F528*I528/(B528*100),0)*B528),G529-(ROUND(F528*I528/(B528*100),0)*B528))</f>
        <v>#DIV/0!</v>
      </c>
      <c r="J529" s="29" t="e">
        <f>IF(C528=1,IF(D528="BUY",E528+(ROUND(F528*J528/B528,0)*B528),E528-(ROUND(F528*J528/B528,0)*B528)),IF(D528="BUY",E528-(ROUND(F528*J528/B528,0)*B528),E528+(ROUND(F528*J528/B528,0)*B528)))</f>
        <v>#DIV/0!</v>
      </c>
      <c r="K529" s="29" t="e">
        <f>IF(C528=1,IF(D528="BUY",E528-(ROUND(F528*K528/B528,0)*B528),E528+(ROUND(F528*K528/B528,0)*B528)),IF(D528="BUY",E528-(ROUND(F528*K528/B528,0)*B528),E528+(ROUND(F528*K528/B528,0)*B528)))</f>
        <v>#DIV/0!</v>
      </c>
      <c r="L529" s="29" t="e">
        <f t="shared" ref="L529" si="788">IF(D529="BUY",I529+(R529*B529),I529-(R529*B529))</f>
        <v>#DIV/0!</v>
      </c>
      <c r="M529" s="29" t="e">
        <f>IF(D528="BUY",E528+(ROUND(F528*M528/B528,0)*B528),E528-(ROUND(F528*M528/B528,0)*B528))</f>
        <v>#DIV/0!</v>
      </c>
      <c r="N529" s="29" t="e">
        <f>IF(D528="BUY",E528-(ROUND(F528*N528/B528,0)*B528),E528+(ROUND(F528*N528/B528,0)*B528))</f>
        <v>#DIV/0!</v>
      </c>
      <c r="O529" s="31" t="e">
        <f>IF(D529="BUY",N529-VLOOKUP(A529,Symbols!A$1:D$1000,4,FALSE),N529+VLOOKUP(A529,Symbols!A$1:D$1000,4,FALSE))</f>
        <v>#DIV/0!</v>
      </c>
      <c r="P529" s="29">
        <f>P528</f>
        <v>0</v>
      </c>
      <c r="Q529" s="29">
        <f>Q528</f>
        <v>0</v>
      </c>
      <c r="R529" s="29">
        <f>R528</f>
        <v>0</v>
      </c>
      <c r="S529" s="29">
        <f>S528</f>
        <v>0</v>
      </c>
      <c r="T529" s="29">
        <f>T528</f>
        <v>0</v>
      </c>
      <c r="U529" s="29" t="e">
        <f>DATEDIF(DATE(1970,1,1),U528,"D")*86400</f>
        <v>#NUM!</v>
      </c>
      <c r="V529" s="29">
        <f>HOUR(V528)*3600+MINUTE(V528)*60+SECOND(V528)</f>
        <v>0</v>
      </c>
      <c r="W529" s="29" t="e">
        <f>DATEDIF(DATE(1970,1,1),W528,"D")*86400</f>
        <v>#NUM!</v>
      </c>
      <c r="X529" s="29">
        <f>HOUR(X528)*3600+MINUTE(X528)*60+SECOND(X528)</f>
        <v>0</v>
      </c>
      <c r="Y529" s="31">
        <f>(Y528*B529)</f>
        <v>0</v>
      </c>
      <c r="Z529" s="29">
        <f>Z528</f>
        <v>0</v>
      </c>
      <c r="AA529" s="29" t="e">
        <f>DATEDIF(DATE(1970,1,1),AA528,"D")*86400</f>
        <v>#NUM!</v>
      </c>
      <c r="AB529" s="29">
        <f>HOUR(AB528)*3600+MINUTE(AB528)*60+SECOND(AB528)</f>
        <v>0</v>
      </c>
      <c r="AC529" s="29">
        <f>AC528</f>
        <v>0</v>
      </c>
    </row>
    <row r="530" spans="1:29">
      <c r="A530" s="23">
        <f>Parameters!A266</f>
        <v>0</v>
      </c>
      <c r="B530" s="23">
        <f>Parameters!B266</f>
        <v>0</v>
      </c>
      <c r="C530" s="24">
        <f>Parameters!C266</f>
        <v>0</v>
      </c>
      <c r="D530" s="24">
        <f>Parameters!D266</f>
        <v>0</v>
      </c>
      <c r="E530" s="23">
        <f>Parameters!E266</f>
        <v>0</v>
      </c>
      <c r="F530" s="23">
        <f>Parameters!F266</f>
        <v>0</v>
      </c>
      <c r="G530" s="25">
        <f>Parameters!G266</f>
        <v>0</v>
      </c>
      <c r="H530" s="25">
        <f>Parameters!H266</f>
        <v>0</v>
      </c>
      <c r="I530" s="25">
        <f>Parameters!I266</f>
        <v>0</v>
      </c>
      <c r="J530" s="25">
        <f>Parameters!J266</f>
        <v>0</v>
      </c>
      <c r="K530" s="25">
        <f>Parameters!K266</f>
        <v>0</v>
      </c>
      <c r="L530" s="26" t="e">
        <f t="shared" ref="L530" si="789">L531</f>
        <v>#DIV/0!</v>
      </c>
      <c r="M530" s="25">
        <f>Parameters!L266</f>
        <v>0</v>
      </c>
      <c r="N530" s="25">
        <f>Parameters!M266</f>
        <v>0</v>
      </c>
      <c r="O530" s="26" t="e">
        <f t="shared" ref="O530" si="790">O531</f>
        <v>#DIV/0!</v>
      </c>
      <c r="P530" s="23">
        <f>Parameters!N266</f>
        <v>0</v>
      </c>
      <c r="Q530" s="23">
        <f>Parameters!O266</f>
        <v>0</v>
      </c>
      <c r="R530" s="23">
        <f>Parameters!P266</f>
        <v>0</v>
      </c>
      <c r="S530" s="23">
        <f>Parameters!Q266</f>
        <v>0</v>
      </c>
      <c r="T530" s="23">
        <f>Parameters!R266</f>
        <v>0</v>
      </c>
      <c r="U530" s="27">
        <f>Parameters!S266</f>
        <v>0</v>
      </c>
      <c r="V530" s="28">
        <f>Parameters!T266</f>
        <v>0</v>
      </c>
      <c r="W530" s="27">
        <f>Parameters!U266</f>
        <v>0</v>
      </c>
      <c r="X530" s="28">
        <f>Parameters!V266</f>
        <v>0</v>
      </c>
      <c r="Y530" s="25">
        <f>Parameters!W266</f>
        <v>0</v>
      </c>
      <c r="Z530" s="23">
        <f>Parameters!X266</f>
        <v>0</v>
      </c>
      <c r="AA530" s="27">
        <f>Parameters!Y266</f>
        <v>0</v>
      </c>
      <c r="AB530" s="28">
        <f>Parameters!Z266</f>
        <v>0</v>
      </c>
      <c r="AC530" s="23">
        <f>Parameters!AA266</f>
        <v>0</v>
      </c>
    </row>
    <row r="531" spans="1:29">
      <c r="A531" s="29" t="str">
        <f>UPPER(A530)</f>
        <v>0</v>
      </c>
      <c r="B531" s="29">
        <f>B530</f>
        <v>0</v>
      </c>
      <c r="C531" s="30">
        <f>C530</f>
        <v>0</v>
      </c>
      <c r="D531" s="30">
        <f>D530</f>
        <v>0</v>
      </c>
      <c r="E531" s="29">
        <f>E530</f>
        <v>0</v>
      </c>
      <c r="F531" s="29">
        <f>F530</f>
        <v>0</v>
      </c>
      <c r="G531" s="29" t="e">
        <f>IF(C530=1,IF(D530="BUY",E530+(ROUND(F530*G530/B530,0)*B530),E530-(ROUND(F530*G530/B530,0)*B530)),IF(D530="BUY",E530-(ROUND(F530*G530/B530,0)*B530),E530+(ROUND(F530*G530/B530,0)*B530)))</f>
        <v>#DIV/0!</v>
      </c>
      <c r="H531" s="29" t="e">
        <f>IF(C530=1,IF(D530="BUY",G531-(ROUND(F530*H530/B530,0)*B530),G531+(ROUND(F530*H530/B530,0)*B530)),IF(D530="BUY",G531+(ROUND(F530*H530/B530,0)*B530),G531-(ROUND(F530*H530/B530,0)*B530)))</f>
        <v>#DIV/0!</v>
      </c>
      <c r="I531" s="29" t="e">
        <f>IF(D530="BUY",G531+(ROUND(F530*I530/(B530*100),0)*B530),G531-(ROUND(F530*I530/(B530*100),0)*B530))</f>
        <v>#DIV/0!</v>
      </c>
      <c r="J531" s="29" t="e">
        <f>IF(C530=1,IF(D530="BUY",E530+(ROUND(F530*J530/B530,0)*B530),E530-(ROUND(F530*J530/B530,0)*B530)),IF(D530="BUY",E530-(ROUND(F530*J530/B530,0)*B530),E530+(ROUND(F530*J530/B530,0)*B530)))</f>
        <v>#DIV/0!</v>
      </c>
      <c r="K531" s="29" t="e">
        <f>IF(C530=1,IF(D530="BUY",E530-(ROUND(F530*K530/B530,0)*B530),E530+(ROUND(F530*K530/B530,0)*B530)),IF(D530="BUY",E530-(ROUND(F530*K530/B530,0)*B530),E530+(ROUND(F530*K530/B530,0)*B530)))</f>
        <v>#DIV/0!</v>
      </c>
      <c r="L531" s="29" t="e">
        <f t="shared" ref="L531" si="791">IF(D531="BUY",I531+(R531*B531),I531-(R531*B531))</f>
        <v>#DIV/0!</v>
      </c>
      <c r="M531" s="29" t="e">
        <f>IF(D530="BUY",E530+(ROUND(F530*M530/B530,0)*B530),E530-(ROUND(F530*M530/B530,0)*B530))</f>
        <v>#DIV/0!</v>
      </c>
      <c r="N531" s="29" t="e">
        <f>IF(D530="BUY",E530-(ROUND(F530*N530/B530,0)*B530),E530+(ROUND(F530*N530/B530,0)*B530))</f>
        <v>#DIV/0!</v>
      </c>
      <c r="O531" s="31" t="e">
        <f>IF(D531="BUY",N531-VLOOKUP(A531,Symbols!A$1:D$1000,4,FALSE),N531+VLOOKUP(A531,Symbols!A$1:D$1000,4,FALSE))</f>
        <v>#DIV/0!</v>
      </c>
      <c r="P531" s="29">
        <f>P530</f>
        <v>0</v>
      </c>
      <c r="Q531" s="29">
        <f>Q530</f>
        <v>0</v>
      </c>
      <c r="R531" s="29">
        <f>R530</f>
        <v>0</v>
      </c>
      <c r="S531" s="29">
        <f>S530</f>
        <v>0</v>
      </c>
      <c r="T531" s="29">
        <f>T530</f>
        <v>0</v>
      </c>
      <c r="U531" s="29" t="e">
        <f>DATEDIF(DATE(1970,1,1),U530,"D")*86400</f>
        <v>#NUM!</v>
      </c>
      <c r="V531" s="29">
        <f>HOUR(V530)*3600+MINUTE(V530)*60+SECOND(V530)</f>
        <v>0</v>
      </c>
      <c r="W531" s="29" t="e">
        <f>DATEDIF(DATE(1970,1,1),W530,"D")*86400</f>
        <v>#NUM!</v>
      </c>
      <c r="X531" s="29">
        <f>HOUR(X530)*3600+MINUTE(X530)*60+SECOND(X530)</f>
        <v>0</v>
      </c>
      <c r="Y531" s="31">
        <f>(Y530*B531)</f>
        <v>0</v>
      </c>
      <c r="Z531" s="29">
        <f>Z530</f>
        <v>0</v>
      </c>
      <c r="AA531" s="29" t="e">
        <f>DATEDIF(DATE(1970,1,1),AA530,"D")*86400</f>
        <v>#NUM!</v>
      </c>
      <c r="AB531" s="29">
        <f>HOUR(AB530)*3600+MINUTE(AB530)*60+SECOND(AB530)</f>
        <v>0</v>
      </c>
      <c r="AC531" s="29">
        <f>AC530</f>
        <v>0</v>
      </c>
    </row>
    <row r="532" spans="1:29">
      <c r="A532" s="23">
        <f>Parameters!A267</f>
        <v>0</v>
      </c>
      <c r="B532" s="23">
        <f>Parameters!B267</f>
        <v>0</v>
      </c>
      <c r="C532" s="24">
        <f>Parameters!C267</f>
        <v>0</v>
      </c>
      <c r="D532" s="24">
        <f>Parameters!D267</f>
        <v>0</v>
      </c>
      <c r="E532" s="23">
        <f>Parameters!E267</f>
        <v>0</v>
      </c>
      <c r="F532" s="23">
        <f>Parameters!F267</f>
        <v>0</v>
      </c>
      <c r="G532" s="25">
        <f>Parameters!G267</f>
        <v>0</v>
      </c>
      <c r="H532" s="25">
        <f>Parameters!H267</f>
        <v>0</v>
      </c>
      <c r="I532" s="25">
        <f>Parameters!I267</f>
        <v>0</v>
      </c>
      <c r="J532" s="25">
        <f>Parameters!J267</f>
        <v>0</v>
      </c>
      <c r="K532" s="25">
        <f>Parameters!K267</f>
        <v>0</v>
      </c>
      <c r="L532" s="26" t="e">
        <f t="shared" ref="L532" si="792">L533</f>
        <v>#DIV/0!</v>
      </c>
      <c r="M532" s="25">
        <f>Parameters!L267</f>
        <v>0</v>
      </c>
      <c r="N532" s="25">
        <f>Parameters!M267</f>
        <v>0</v>
      </c>
      <c r="O532" s="26" t="e">
        <f t="shared" ref="O532" si="793">O533</f>
        <v>#DIV/0!</v>
      </c>
      <c r="P532" s="23">
        <f>Parameters!N267</f>
        <v>0</v>
      </c>
      <c r="Q532" s="23">
        <f>Parameters!O267</f>
        <v>0</v>
      </c>
      <c r="R532" s="23">
        <f>Parameters!P267</f>
        <v>0</v>
      </c>
      <c r="S532" s="23">
        <f>Parameters!Q267</f>
        <v>0</v>
      </c>
      <c r="T532" s="23">
        <f>Parameters!R267</f>
        <v>0</v>
      </c>
      <c r="U532" s="27">
        <f>Parameters!S267</f>
        <v>0</v>
      </c>
      <c r="V532" s="28">
        <f>Parameters!T267</f>
        <v>0</v>
      </c>
      <c r="W532" s="27">
        <f>Parameters!U267</f>
        <v>0</v>
      </c>
      <c r="X532" s="28">
        <f>Parameters!V267</f>
        <v>0</v>
      </c>
      <c r="Y532" s="25">
        <f>Parameters!W267</f>
        <v>0</v>
      </c>
      <c r="Z532" s="23">
        <f>Parameters!X267</f>
        <v>0</v>
      </c>
      <c r="AA532" s="27">
        <f>Parameters!Y267</f>
        <v>0</v>
      </c>
      <c r="AB532" s="28">
        <f>Parameters!Z267</f>
        <v>0</v>
      </c>
      <c r="AC532" s="23">
        <f>Parameters!AA267</f>
        <v>0</v>
      </c>
    </row>
    <row r="533" spans="1:29">
      <c r="A533" s="29" t="str">
        <f>UPPER(A532)</f>
        <v>0</v>
      </c>
      <c r="B533" s="29">
        <f>B532</f>
        <v>0</v>
      </c>
      <c r="C533" s="30">
        <f>C532</f>
        <v>0</v>
      </c>
      <c r="D533" s="30">
        <f>D532</f>
        <v>0</v>
      </c>
      <c r="E533" s="29">
        <f>E532</f>
        <v>0</v>
      </c>
      <c r="F533" s="29">
        <f>F532</f>
        <v>0</v>
      </c>
      <c r="G533" s="29" t="e">
        <f>IF(C532=1,IF(D532="BUY",E532+(ROUND(F532*G532/B532,0)*B532),E532-(ROUND(F532*G532/B532,0)*B532)),IF(D532="BUY",E532-(ROUND(F532*G532/B532,0)*B532),E532+(ROUND(F532*G532/B532,0)*B532)))</f>
        <v>#DIV/0!</v>
      </c>
      <c r="H533" s="29" t="e">
        <f>IF(C532=1,IF(D532="BUY",G533-(ROUND(F532*H532/B532,0)*B532),G533+(ROUND(F532*H532/B532,0)*B532)),IF(D532="BUY",G533+(ROUND(F532*H532/B532,0)*B532),G533-(ROUND(F532*H532/B532,0)*B532)))</f>
        <v>#DIV/0!</v>
      </c>
      <c r="I533" s="29" t="e">
        <f>IF(D532="BUY",G533+(ROUND(F532*I532/(B532*100),0)*B532),G533-(ROUND(F532*I532/(B532*100),0)*B532))</f>
        <v>#DIV/0!</v>
      </c>
      <c r="J533" s="29" t="e">
        <f>IF(C532=1,IF(D532="BUY",E532+(ROUND(F532*J532/B532,0)*B532),E532-(ROUND(F532*J532/B532,0)*B532)),IF(D532="BUY",E532-(ROUND(F532*J532/B532,0)*B532),E532+(ROUND(F532*J532/B532,0)*B532)))</f>
        <v>#DIV/0!</v>
      </c>
      <c r="K533" s="29" t="e">
        <f>IF(C532=1,IF(D532="BUY",E532-(ROUND(F532*K532/B532,0)*B532),E532+(ROUND(F532*K532/B532,0)*B532)),IF(D532="BUY",E532-(ROUND(F532*K532/B532,0)*B532),E532+(ROUND(F532*K532/B532,0)*B532)))</f>
        <v>#DIV/0!</v>
      </c>
      <c r="L533" s="29" t="e">
        <f t="shared" ref="L533" si="794">IF(D533="BUY",I533+(R533*B533),I533-(R533*B533))</f>
        <v>#DIV/0!</v>
      </c>
      <c r="M533" s="29" t="e">
        <f>IF(D532="BUY",E532+(ROUND(F532*M532/B532,0)*B532),E532-(ROUND(F532*M532/B532,0)*B532))</f>
        <v>#DIV/0!</v>
      </c>
      <c r="N533" s="29" t="e">
        <f>IF(D532="BUY",E532-(ROUND(F532*N532/B532,0)*B532),E532+(ROUND(F532*N532/B532,0)*B532))</f>
        <v>#DIV/0!</v>
      </c>
      <c r="O533" s="31" t="e">
        <f>IF(D533="BUY",N533-VLOOKUP(A533,Symbols!A$1:D$1000,4,FALSE),N533+VLOOKUP(A533,Symbols!A$1:D$1000,4,FALSE))</f>
        <v>#DIV/0!</v>
      </c>
      <c r="P533" s="29">
        <f>P532</f>
        <v>0</v>
      </c>
      <c r="Q533" s="29">
        <f>Q532</f>
        <v>0</v>
      </c>
      <c r="R533" s="29">
        <f>R532</f>
        <v>0</v>
      </c>
      <c r="S533" s="29">
        <f>S532</f>
        <v>0</v>
      </c>
      <c r="T533" s="29">
        <f>T532</f>
        <v>0</v>
      </c>
      <c r="U533" s="29" t="e">
        <f>DATEDIF(DATE(1970,1,1),U532,"D")*86400</f>
        <v>#NUM!</v>
      </c>
      <c r="V533" s="29">
        <f>HOUR(V532)*3600+MINUTE(V532)*60+SECOND(V532)</f>
        <v>0</v>
      </c>
      <c r="W533" s="29" t="e">
        <f>DATEDIF(DATE(1970,1,1),W532,"D")*86400</f>
        <v>#NUM!</v>
      </c>
      <c r="X533" s="29">
        <f>HOUR(X532)*3600+MINUTE(X532)*60+SECOND(X532)</f>
        <v>0</v>
      </c>
      <c r="Y533" s="31">
        <f>(Y532*B533)</f>
        <v>0</v>
      </c>
      <c r="Z533" s="29">
        <f>Z532</f>
        <v>0</v>
      </c>
      <c r="AA533" s="29" t="e">
        <f>DATEDIF(DATE(1970,1,1),AA532,"D")*86400</f>
        <v>#NUM!</v>
      </c>
      <c r="AB533" s="29">
        <f>HOUR(AB532)*3600+MINUTE(AB532)*60+SECOND(AB532)</f>
        <v>0</v>
      </c>
      <c r="AC533" s="29">
        <f>AC532</f>
        <v>0</v>
      </c>
    </row>
    <row r="534" spans="1:29">
      <c r="A534" s="23">
        <f>Parameters!A268</f>
        <v>0</v>
      </c>
      <c r="B534" s="23">
        <f>Parameters!B268</f>
        <v>0</v>
      </c>
      <c r="C534" s="24">
        <f>Parameters!C268</f>
        <v>0</v>
      </c>
      <c r="D534" s="24">
        <f>Parameters!D268</f>
        <v>0</v>
      </c>
      <c r="E534" s="23">
        <f>Parameters!E268</f>
        <v>0</v>
      </c>
      <c r="F534" s="23">
        <f>Parameters!F268</f>
        <v>0</v>
      </c>
      <c r="G534" s="25">
        <f>Parameters!G268</f>
        <v>0</v>
      </c>
      <c r="H534" s="25">
        <f>Parameters!H268</f>
        <v>0</v>
      </c>
      <c r="I534" s="25">
        <f>Parameters!I268</f>
        <v>0</v>
      </c>
      <c r="J534" s="25">
        <f>Parameters!J268</f>
        <v>0</v>
      </c>
      <c r="K534" s="25">
        <f>Parameters!K268</f>
        <v>0</v>
      </c>
      <c r="L534" s="26" t="e">
        <f t="shared" ref="L534" si="795">L535</f>
        <v>#DIV/0!</v>
      </c>
      <c r="M534" s="25">
        <f>Parameters!L268</f>
        <v>0</v>
      </c>
      <c r="N534" s="25">
        <f>Parameters!M268</f>
        <v>0</v>
      </c>
      <c r="O534" s="26" t="e">
        <f t="shared" ref="O534" si="796">O535</f>
        <v>#DIV/0!</v>
      </c>
      <c r="P534" s="23">
        <f>Parameters!N268</f>
        <v>0</v>
      </c>
      <c r="Q534" s="23">
        <f>Parameters!O268</f>
        <v>0</v>
      </c>
      <c r="R534" s="23">
        <f>Parameters!P268</f>
        <v>0</v>
      </c>
      <c r="S534" s="23">
        <f>Parameters!Q268</f>
        <v>0</v>
      </c>
      <c r="T534" s="23">
        <f>Parameters!R268</f>
        <v>0</v>
      </c>
      <c r="U534" s="27">
        <f>Parameters!S268</f>
        <v>0</v>
      </c>
      <c r="V534" s="28">
        <f>Parameters!T268</f>
        <v>0</v>
      </c>
      <c r="W534" s="27">
        <f>Parameters!U268</f>
        <v>0</v>
      </c>
      <c r="X534" s="28">
        <f>Parameters!V268</f>
        <v>0</v>
      </c>
      <c r="Y534" s="25">
        <f>Parameters!W268</f>
        <v>0</v>
      </c>
      <c r="Z534" s="23">
        <f>Parameters!X268</f>
        <v>0</v>
      </c>
      <c r="AA534" s="27">
        <f>Parameters!Y268</f>
        <v>0</v>
      </c>
      <c r="AB534" s="28">
        <f>Parameters!Z268</f>
        <v>0</v>
      </c>
      <c r="AC534" s="23">
        <f>Parameters!AA268</f>
        <v>0</v>
      </c>
    </row>
    <row r="535" spans="1:29">
      <c r="A535" s="29" t="str">
        <f>UPPER(A534)</f>
        <v>0</v>
      </c>
      <c r="B535" s="29">
        <f>B534</f>
        <v>0</v>
      </c>
      <c r="C535" s="30">
        <f>C534</f>
        <v>0</v>
      </c>
      <c r="D535" s="30">
        <f>D534</f>
        <v>0</v>
      </c>
      <c r="E535" s="29">
        <f>E534</f>
        <v>0</v>
      </c>
      <c r="F535" s="29">
        <f>F534</f>
        <v>0</v>
      </c>
      <c r="G535" s="29" t="e">
        <f>IF(C534=1,IF(D534="BUY",E534+(ROUND(F534*G534/B534,0)*B534),E534-(ROUND(F534*G534/B534,0)*B534)),IF(D534="BUY",E534-(ROUND(F534*G534/B534,0)*B534),E534+(ROUND(F534*G534/B534,0)*B534)))</f>
        <v>#DIV/0!</v>
      </c>
      <c r="H535" s="29" t="e">
        <f>IF(C534=1,IF(D534="BUY",G535-(ROUND(F534*H534/B534,0)*B534),G535+(ROUND(F534*H534/B534,0)*B534)),IF(D534="BUY",G535+(ROUND(F534*H534/B534,0)*B534),G535-(ROUND(F534*H534/B534,0)*B534)))</f>
        <v>#DIV/0!</v>
      </c>
      <c r="I535" s="29" t="e">
        <f>IF(D534="BUY",G535+(ROUND(F534*I534/(B534*100),0)*B534),G535-(ROUND(F534*I534/(B534*100),0)*B534))</f>
        <v>#DIV/0!</v>
      </c>
      <c r="J535" s="29" t="e">
        <f>IF(C534=1,IF(D534="BUY",E534+(ROUND(F534*J534/B534,0)*B534),E534-(ROUND(F534*J534/B534,0)*B534)),IF(D534="BUY",E534-(ROUND(F534*J534/B534,0)*B534),E534+(ROUND(F534*J534/B534,0)*B534)))</f>
        <v>#DIV/0!</v>
      </c>
      <c r="K535" s="29" t="e">
        <f>IF(C534=1,IF(D534="BUY",E534-(ROUND(F534*K534/B534,0)*B534),E534+(ROUND(F534*K534/B534,0)*B534)),IF(D534="BUY",E534-(ROUND(F534*K534/B534,0)*B534),E534+(ROUND(F534*K534/B534,0)*B534)))</f>
        <v>#DIV/0!</v>
      </c>
      <c r="L535" s="29" t="e">
        <f t="shared" ref="L535" si="797">IF(D535="BUY",I535+(R535*B535),I535-(R535*B535))</f>
        <v>#DIV/0!</v>
      </c>
      <c r="M535" s="29" t="e">
        <f>IF(D534="BUY",E534+(ROUND(F534*M534/B534,0)*B534),E534-(ROUND(F534*M534/B534,0)*B534))</f>
        <v>#DIV/0!</v>
      </c>
      <c r="N535" s="29" t="e">
        <f>IF(D534="BUY",E534-(ROUND(F534*N534/B534,0)*B534),E534+(ROUND(F534*N534/B534,0)*B534))</f>
        <v>#DIV/0!</v>
      </c>
      <c r="O535" s="31" t="e">
        <f>IF(D535="BUY",N535-VLOOKUP(A535,Symbols!A$1:D$1000,4,FALSE),N535+VLOOKUP(A535,Symbols!A$1:D$1000,4,FALSE))</f>
        <v>#DIV/0!</v>
      </c>
      <c r="P535" s="29">
        <f>P534</f>
        <v>0</v>
      </c>
      <c r="Q535" s="29">
        <f>Q534</f>
        <v>0</v>
      </c>
      <c r="R535" s="29">
        <f>R534</f>
        <v>0</v>
      </c>
      <c r="S535" s="29">
        <f>S534</f>
        <v>0</v>
      </c>
      <c r="T535" s="29">
        <f>T534</f>
        <v>0</v>
      </c>
      <c r="U535" s="29" t="e">
        <f>DATEDIF(DATE(1970,1,1),U534,"D")*86400</f>
        <v>#NUM!</v>
      </c>
      <c r="V535" s="29">
        <f>HOUR(V534)*3600+MINUTE(V534)*60+SECOND(V534)</f>
        <v>0</v>
      </c>
      <c r="W535" s="29" t="e">
        <f>DATEDIF(DATE(1970,1,1),W534,"D")*86400</f>
        <v>#NUM!</v>
      </c>
      <c r="X535" s="29">
        <f>HOUR(X534)*3600+MINUTE(X534)*60+SECOND(X534)</f>
        <v>0</v>
      </c>
      <c r="Y535" s="31">
        <f>(Y534*B535)</f>
        <v>0</v>
      </c>
      <c r="Z535" s="29">
        <f>Z534</f>
        <v>0</v>
      </c>
      <c r="AA535" s="29" t="e">
        <f>DATEDIF(DATE(1970,1,1),AA534,"D")*86400</f>
        <v>#NUM!</v>
      </c>
      <c r="AB535" s="29">
        <f>HOUR(AB534)*3600+MINUTE(AB534)*60+SECOND(AB534)</f>
        <v>0</v>
      </c>
      <c r="AC535" s="29">
        <f>AC534</f>
        <v>0</v>
      </c>
    </row>
    <row r="536" spans="1:29">
      <c r="A536" s="23">
        <f>Parameters!A269</f>
        <v>0</v>
      </c>
      <c r="B536" s="23">
        <f>Parameters!B269</f>
        <v>0</v>
      </c>
      <c r="C536" s="24">
        <f>Parameters!C269</f>
        <v>0</v>
      </c>
      <c r="D536" s="24">
        <f>Parameters!D269</f>
        <v>0</v>
      </c>
      <c r="E536" s="23">
        <f>Parameters!E269</f>
        <v>0</v>
      </c>
      <c r="F536" s="23">
        <f>Parameters!F269</f>
        <v>0</v>
      </c>
      <c r="G536" s="25">
        <f>Parameters!G269</f>
        <v>0</v>
      </c>
      <c r="H536" s="25">
        <f>Parameters!H269</f>
        <v>0</v>
      </c>
      <c r="I536" s="25">
        <f>Parameters!I269</f>
        <v>0</v>
      </c>
      <c r="J536" s="25">
        <f>Parameters!J269</f>
        <v>0</v>
      </c>
      <c r="K536" s="25">
        <f>Parameters!K269</f>
        <v>0</v>
      </c>
      <c r="L536" s="26" t="e">
        <f t="shared" ref="L536" si="798">L537</f>
        <v>#DIV/0!</v>
      </c>
      <c r="M536" s="25">
        <f>Parameters!L269</f>
        <v>0</v>
      </c>
      <c r="N536" s="25">
        <f>Parameters!M269</f>
        <v>0</v>
      </c>
      <c r="O536" s="26" t="e">
        <f t="shared" ref="O536" si="799">O537</f>
        <v>#DIV/0!</v>
      </c>
      <c r="P536" s="23">
        <f>Parameters!N269</f>
        <v>0</v>
      </c>
      <c r="Q536" s="23">
        <f>Parameters!O269</f>
        <v>0</v>
      </c>
      <c r="R536" s="23">
        <f>Parameters!P269</f>
        <v>0</v>
      </c>
      <c r="S536" s="23">
        <f>Parameters!Q269</f>
        <v>0</v>
      </c>
      <c r="T536" s="23">
        <f>Parameters!R269</f>
        <v>0</v>
      </c>
      <c r="U536" s="27">
        <f>Parameters!S269</f>
        <v>0</v>
      </c>
      <c r="V536" s="28">
        <f>Parameters!T269</f>
        <v>0</v>
      </c>
      <c r="W536" s="27">
        <f>Parameters!U269</f>
        <v>0</v>
      </c>
      <c r="X536" s="28">
        <f>Parameters!V269</f>
        <v>0</v>
      </c>
      <c r="Y536" s="25">
        <f>Parameters!W269</f>
        <v>0</v>
      </c>
      <c r="Z536" s="23">
        <f>Parameters!X269</f>
        <v>0</v>
      </c>
      <c r="AA536" s="27">
        <f>Parameters!Y269</f>
        <v>0</v>
      </c>
      <c r="AB536" s="28">
        <f>Parameters!Z269</f>
        <v>0</v>
      </c>
      <c r="AC536" s="23">
        <f>Parameters!AA269</f>
        <v>0</v>
      </c>
    </row>
    <row r="537" spans="1:29">
      <c r="A537" s="29" t="str">
        <f>UPPER(A536)</f>
        <v>0</v>
      </c>
      <c r="B537" s="29">
        <f>B536</f>
        <v>0</v>
      </c>
      <c r="C537" s="30">
        <f>C536</f>
        <v>0</v>
      </c>
      <c r="D537" s="30">
        <f>D536</f>
        <v>0</v>
      </c>
      <c r="E537" s="29">
        <f>E536</f>
        <v>0</v>
      </c>
      <c r="F537" s="29">
        <f>F536</f>
        <v>0</v>
      </c>
      <c r="G537" s="29" t="e">
        <f>IF(C536=1,IF(D536="BUY",E536+(ROUND(F536*G536/B536,0)*B536),E536-(ROUND(F536*G536/B536,0)*B536)),IF(D536="BUY",E536-(ROUND(F536*G536/B536,0)*B536),E536+(ROUND(F536*G536/B536,0)*B536)))</f>
        <v>#DIV/0!</v>
      </c>
      <c r="H537" s="29" t="e">
        <f>IF(C536=1,IF(D536="BUY",G537-(ROUND(F536*H536/B536,0)*B536),G537+(ROUND(F536*H536/B536,0)*B536)),IF(D536="BUY",G537+(ROUND(F536*H536/B536,0)*B536),G537-(ROUND(F536*H536/B536,0)*B536)))</f>
        <v>#DIV/0!</v>
      </c>
      <c r="I537" s="29" t="e">
        <f>IF(D536="BUY",G537+(ROUND(F536*I536/(B536*100),0)*B536),G537-(ROUND(F536*I536/(B536*100),0)*B536))</f>
        <v>#DIV/0!</v>
      </c>
      <c r="J537" s="29" t="e">
        <f>IF(C536=1,IF(D536="BUY",E536+(ROUND(F536*J536/B536,0)*B536),E536-(ROUND(F536*J536/B536,0)*B536)),IF(D536="BUY",E536-(ROUND(F536*J536/B536,0)*B536),E536+(ROUND(F536*J536/B536,0)*B536)))</f>
        <v>#DIV/0!</v>
      </c>
      <c r="K537" s="29" t="e">
        <f>IF(C536=1,IF(D536="BUY",E536-(ROUND(F536*K536/B536,0)*B536),E536+(ROUND(F536*K536/B536,0)*B536)),IF(D536="BUY",E536-(ROUND(F536*K536/B536,0)*B536),E536+(ROUND(F536*K536/B536,0)*B536)))</f>
        <v>#DIV/0!</v>
      </c>
      <c r="L537" s="29" t="e">
        <f t="shared" ref="L537" si="800">IF(D537="BUY",I537+(R537*B537),I537-(R537*B537))</f>
        <v>#DIV/0!</v>
      </c>
      <c r="M537" s="29" t="e">
        <f>IF(D536="BUY",E536+(ROUND(F536*M536/B536,0)*B536),E536-(ROUND(F536*M536/B536,0)*B536))</f>
        <v>#DIV/0!</v>
      </c>
      <c r="N537" s="29" t="e">
        <f>IF(D536="BUY",E536-(ROUND(F536*N536/B536,0)*B536),E536+(ROUND(F536*N536/B536,0)*B536))</f>
        <v>#DIV/0!</v>
      </c>
      <c r="O537" s="31" t="e">
        <f>IF(D537="BUY",N537-VLOOKUP(A537,Symbols!A$1:D$1000,4,FALSE),N537+VLOOKUP(A537,Symbols!A$1:D$1000,4,FALSE))</f>
        <v>#DIV/0!</v>
      </c>
      <c r="P537" s="29">
        <f>P536</f>
        <v>0</v>
      </c>
      <c r="Q537" s="29">
        <f>Q536</f>
        <v>0</v>
      </c>
      <c r="R537" s="29">
        <f>R536</f>
        <v>0</v>
      </c>
      <c r="S537" s="29">
        <f>S536</f>
        <v>0</v>
      </c>
      <c r="T537" s="29">
        <f>T536</f>
        <v>0</v>
      </c>
      <c r="U537" s="29" t="e">
        <f>DATEDIF(DATE(1970,1,1),U536,"D")*86400</f>
        <v>#NUM!</v>
      </c>
      <c r="V537" s="29">
        <f>HOUR(V536)*3600+MINUTE(V536)*60+SECOND(V536)</f>
        <v>0</v>
      </c>
      <c r="W537" s="29" t="e">
        <f>DATEDIF(DATE(1970,1,1),W536,"D")*86400</f>
        <v>#NUM!</v>
      </c>
      <c r="X537" s="29">
        <f>HOUR(X536)*3600+MINUTE(X536)*60+SECOND(X536)</f>
        <v>0</v>
      </c>
      <c r="Y537" s="31">
        <f>(Y536*B537)</f>
        <v>0</v>
      </c>
      <c r="Z537" s="29">
        <f>Z536</f>
        <v>0</v>
      </c>
      <c r="AA537" s="29" t="e">
        <f>DATEDIF(DATE(1970,1,1),AA536,"D")*86400</f>
        <v>#NUM!</v>
      </c>
      <c r="AB537" s="29">
        <f>HOUR(AB536)*3600+MINUTE(AB536)*60+SECOND(AB536)</f>
        <v>0</v>
      </c>
      <c r="AC537" s="29">
        <f>AC536</f>
        <v>0</v>
      </c>
    </row>
    <row r="538" spans="1:29">
      <c r="A538" s="23">
        <f>Parameters!A270</f>
        <v>0</v>
      </c>
      <c r="B538" s="23">
        <f>Parameters!B270</f>
        <v>0</v>
      </c>
      <c r="C538" s="24">
        <f>Parameters!C270</f>
        <v>0</v>
      </c>
      <c r="D538" s="24">
        <f>Parameters!D270</f>
        <v>0</v>
      </c>
      <c r="E538" s="23">
        <f>Parameters!E270</f>
        <v>0</v>
      </c>
      <c r="F538" s="23">
        <f>Parameters!F270</f>
        <v>0</v>
      </c>
      <c r="G538" s="25">
        <f>Parameters!G270</f>
        <v>0</v>
      </c>
      <c r="H538" s="25">
        <f>Parameters!H270</f>
        <v>0</v>
      </c>
      <c r="I538" s="25">
        <f>Parameters!I270</f>
        <v>0</v>
      </c>
      <c r="J538" s="25">
        <f>Parameters!J270</f>
        <v>0</v>
      </c>
      <c r="K538" s="25">
        <f>Parameters!K270</f>
        <v>0</v>
      </c>
      <c r="L538" s="26" t="e">
        <f t="shared" ref="L538" si="801">L539</f>
        <v>#DIV/0!</v>
      </c>
      <c r="M538" s="25">
        <f>Parameters!L270</f>
        <v>0</v>
      </c>
      <c r="N538" s="25">
        <f>Parameters!M270</f>
        <v>0</v>
      </c>
      <c r="O538" s="26" t="e">
        <f t="shared" ref="O538" si="802">O539</f>
        <v>#DIV/0!</v>
      </c>
      <c r="P538" s="23">
        <f>Parameters!N270</f>
        <v>0</v>
      </c>
      <c r="Q538" s="23">
        <f>Parameters!O270</f>
        <v>0</v>
      </c>
      <c r="R538" s="23">
        <f>Parameters!P270</f>
        <v>0</v>
      </c>
      <c r="S538" s="23">
        <f>Parameters!Q270</f>
        <v>0</v>
      </c>
      <c r="T538" s="23">
        <f>Parameters!R270</f>
        <v>0</v>
      </c>
      <c r="U538" s="27">
        <f>Parameters!S270</f>
        <v>0</v>
      </c>
      <c r="V538" s="28">
        <f>Parameters!T270</f>
        <v>0</v>
      </c>
      <c r="W538" s="27">
        <f>Parameters!U270</f>
        <v>0</v>
      </c>
      <c r="X538" s="28">
        <f>Parameters!V270</f>
        <v>0</v>
      </c>
      <c r="Y538" s="25">
        <f>Parameters!W270</f>
        <v>0</v>
      </c>
      <c r="Z538" s="23">
        <f>Parameters!X270</f>
        <v>0</v>
      </c>
      <c r="AA538" s="27">
        <f>Parameters!Y270</f>
        <v>0</v>
      </c>
      <c r="AB538" s="28">
        <f>Parameters!Z270</f>
        <v>0</v>
      </c>
      <c r="AC538" s="23">
        <f>Parameters!AA270</f>
        <v>0</v>
      </c>
    </row>
    <row r="539" spans="1:29">
      <c r="A539" s="29" t="str">
        <f>UPPER(A538)</f>
        <v>0</v>
      </c>
      <c r="B539" s="29">
        <f>B538</f>
        <v>0</v>
      </c>
      <c r="C539" s="30">
        <f>C538</f>
        <v>0</v>
      </c>
      <c r="D539" s="30">
        <f>D538</f>
        <v>0</v>
      </c>
      <c r="E539" s="29">
        <f>E538</f>
        <v>0</v>
      </c>
      <c r="F539" s="29">
        <f>F538</f>
        <v>0</v>
      </c>
      <c r="G539" s="29" t="e">
        <f>IF(C538=1,IF(D538="BUY",E538+(ROUND(F538*G538/B538,0)*B538),E538-(ROUND(F538*G538/B538,0)*B538)),IF(D538="BUY",E538-(ROUND(F538*G538/B538,0)*B538),E538+(ROUND(F538*G538/B538,0)*B538)))</f>
        <v>#DIV/0!</v>
      </c>
      <c r="H539" s="29" t="e">
        <f>IF(C538=1,IF(D538="BUY",G539-(ROUND(F538*H538/B538,0)*B538),G539+(ROUND(F538*H538/B538,0)*B538)),IF(D538="BUY",G539+(ROUND(F538*H538/B538,0)*B538),G539-(ROUND(F538*H538/B538,0)*B538)))</f>
        <v>#DIV/0!</v>
      </c>
      <c r="I539" s="29" t="e">
        <f>IF(D538="BUY",G539+(ROUND(F538*I538/(B538*100),0)*B538),G539-(ROUND(F538*I538/(B538*100),0)*B538))</f>
        <v>#DIV/0!</v>
      </c>
      <c r="J539" s="29" t="e">
        <f>IF(C538=1,IF(D538="BUY",E538+(ROUND(F538*J538/B538,0)*B538),E538-(ROUND(F538*J538/B538,0)*B538)),IF(D538="BUY",E538-(ROUND(F538*J538/B538,0)*B538),E538+(ROUND(F538*J538/B538,0)*B538)))</f>
        <v>#DIV/0!</v>
      </c>
      <c r="K539" s="29" t="e">
        <f>IF(C538=1,IF(D538="BUY",E538-(ROUND(F538*K538/B538,0)*B538),E538+(ROUND(F538*K538/B538,0)*B538)),IF(D538="BUY",E538-(ROUND(F538*K538/B538,0)*B538),E538+(ROUND(F538*K538/B538,0)*B538)))</f>
        <v>#DIV/0!</v>
      </c>
      <c r="L539" s="29" t="e">
        <f t="shared" ref="L539" si="803">IF(D539="BUY",I539+(R539*B539),I539-(R539*B539))</f>
        <v>#DIV/0!</v>
      </c>
      <c r="M539" s="29" t="e">
        <f>IF(D538="BUY",E538+(ROUND(F538*M538/B538,0)*B538),E538-(ROUND(F538*M538/B538,0)*B538))</f>
        <v>#DIV/0!</v>
      </c>
      <c r="N539" s="29" t="e">
        <f>IF(D538="BUY",E538-(ROUND(F538*N538/B538,0)*B538),E538+(ROUND(F538*N538/B538,0)*B538))</f>
        <v>#DIV/0!</v>
      </c>
      <c r="O539" s="31" t="e">
        <f>IF(D539="BUY",N539-VLOOKUP(A539,Symbols!A$1:D$1000,4,FALSE),N539+VLOOKUP(A539,Symbols!A$1:D$1000,4,FALSE))</f>
        <v>#DIV/0!</v>
      </c>
      <c r="P539" s="29">
        <f>P538</f>
        <v>0</v>
      </c>
      <c r="Q539" s="29">
        <f>Q538</f>
        <v>0</v>
      </c>
      <c r="R539" s="29">
        <f>R538</f>
        <v>0</v>
      </c>
      <c r="S539" s="29">
        <f>S538</f>
        <v>0</v>
      </c>
      <c r="T539" s="29">
        <f>T538</f>
        <v>0</v>
      </c>
      <c r="U539" s="29" t="e">
        <f>DATEDIF(DATE(1970,1,1),U538,"D")*86400</f>
        <v>#NUM!</v>
      </c>
      <c r="V539" s="29">
        <f>HOUR(V538)*3600+MINUTE(V538)*60+SECOND(V538)</f>
        <v>0</v>
      </c>
      <c r="W539" s="29" t="e">
        <f>DATEDIF(DATE(1970,1,1),W538,"D")*86400</f>
        <v>#NUM!</v>
      </c>
      <c r="X539" s="29">
        <f>HOUR(X538)*3600+MINUTE(X538)*60+SECOND(X538)</f>
        <v>0</v>
      </c>
      <c r="Y539" s="31">
        <f>(Y538*B539)</f>
        <v>0</v>
      </c>
      <c r="Z539" s="29">
        <f>Z538</f>
        <v>0</v>
      </c>
      <c r="AA539" s="29" t="e">
        <f>DATEDIF(DATE(1970,1,1),AA538,"D")*86400</f>
        <v>#NUM!</v>
      </c>
      <c r="AB539" s="29">
        <f>HOUR(AB538)*3600+MINUTE(AB538)*60+SECOND(AB538)</f>
        <v>0</v>
      </c>
      <c r="AC539" s="29">
        <f>AC538</f>
        <v>0</v>
      </c>
    </row>
    <row r="540" spans="1:29">
      <c r="A540" s="23">
        <f>Parameters!A271</f>
        <v>0</v>
      </c>
      <c r="B540" s="23">
        <f>Parameters!B271</f>
        <v>0</v>
      </c>
      <c r="C540" s="24">
        <f>Parameters!C271</f>
        <v>0</v>
      </c>
      <c r="D540" s="24">
        <f>Parameters!D271</f>
        <v>0</v>
      </c>
      <c r="E540" s="23">
        <f>Parameters!E271</f>
        <v>0</v>
      </c>
      <c r="F540" s="23">
        <f>Parameters!F271</f>
        <v>0</v>
      </c>
      <c r="G540" s="25">
        <f>Parameters!G271</f>
        <v>0</v>
      </c>
      <c r="H540" s="25">
        <f>Parameters!H271</f>
        <v>0</v>
      </c>
      <c r="I540" s="25">
        <f>Parameters!I271</f>
        <v>0</v>
      </c>
      <c r="J540" s="25">
        <f>Parameters!J271</f>
        <v>0</v>
      </c>
      <c r="K540" s="25">
        <f>Parameters!K271</f>
        <v>0</v>
      </c>
      <c r="L540" s="26" t="e">
        <f t="shared" ref="L540" si="804">L541</f>
        <v>#DIV/0!</v>
      </c>
      <c r="M540" s="25">
        <f>Parameters!L271</f>
        <v>0</v>
      </c>
      <c r="N540" s="25">
        <f>Parameters!M271</f>
        <v>0</v>
      </c>
      <c r="O540" s="26" t="e">
        <f t="shared" ref="O540" si="805">O541</f>
        <v>#DIV/0!</v>
      </c>
      <c r="P540" s="23">
        <f>Parameters!N271</f>
        <v>0</v>
      </c>
      <c r="Q540" s="23">
        <f>Parameters!O271</f>
        <v>0</v>
      </c>
      <c r="R540" s="23">
        <f>Parameters!P271</f>
        <v>0</v>
      </c>
      <c r="S540" s="23">
        <f>Parameters!Q271</f>
        <v>0</v>
      </c>
      <c r="T540" s="23">
        <f>Parameters!R271</f>
        <v>0</v>
      </c>
      <c r="U540" s="27">
        <f>Parameters!S271</f>
        <v>0</v>
      </c>
      <c r="V540" s="28">
        <f>Parameters!T271</f>
        <v>0</v>
      </c>
      <c r="W540" s="27">
        <f>Parameters!U271</f>
        <v>0</v>
      </c>
      <c r="X540" s="28">
        <f>Parameters!V271</f>
        <v>0</v>
      </c>
      <c r="Y540" s="25">
        <f>Parameters!W271</f>
        <v>0</v>
      </c>
      <c r="Z540" s="23">
        <f>Parameters!X271</f>
        <v>0</v>
      </c>
      <c r="AA540" s="27">
        <f>Parameters!Y271</f>
        <v>0</v>
      </c>
      <c r="AB540" s="28">
        <f>Parameters!Z271</f>
        <v>0</v>
      </c>
      <c r="AC540" s="23">
        <f>Parameters!AA271</f>
        <v>0</v>
      </c>
    </row>
    <row r="541" spans="1:29">
      <c r="A541" s="29" t="str">
        <f>UPPER(A540)</f>
        <v>0</v>
      </c>
      <c r="B541" s="29">
        <f>B540</f>
        <v>0</v>
      </c>
      <c r="C541" s="30">
        <f>C540</f>
        <v>0</v>
      </c>
      <c r="D541" s="30">
        <f>D540</f>
        <v>0</v>
      </c>
      <c r="E541" s="29">
        <f>E540</f>
        <v>0</v>
      </c>
      <c r="F541" s="29">
        <f>F540</f>
        <v>0</v>
      </c>
      <c r="G541" s="29" t="e">
        <f>IF(C540=1,IF(D540="BUY",E540+(ROUND(F540*G540/B540,0)*B540),E540-(ROUND(F540*G540/B540,0)*B540)),IF(D540="BUY",E540-(ROUND(F540*G540/B540,0)*B540),E540+(ROUND(F540*G540/B540,0)*B540)))</f>
        <v>#DIV/0!</v>
      </c>
      <c r="H541" s="29" t="e">
        <f>IF(C540=1,IF(D540="BUY",G541-(ROUND(F540*H540/B540,0)*B540),G541+(ROUND(F540*H540/B540,0)*B540)),IF(D540="BUY",G541+(ROUND(F540*H540/B540,0)*B540),G541-(ROUND(F540*H540/B540,0)*B540)))</f>
        <v>#DIV/0!</v>
      </c>
      <c r="I541" s="29" t="e">
        <f>IF(D540="BUY",G541+(ROUND(F540*I540/(B540*100),0)*B540),G541-(ROUND(F540*I540/(B540*100),0)*B540))</f>
        <v>#DIV/0!</v>
      </c>
      <c r="J541" s="29" t="e">
        <f>IF(C540=1,IF(D540="BUY",E540+(ROUND(F540*J540/B540,0)*B540),E540-(ROUND(F540*J540/B540,0)*B540)),IF(D540="BUY",E540-(ROUND(F540*J540/B540,0)*B540),E540+(ROUND(F540*J540/B540,0)*B540)))</f>
        <v>#DIV/0!</v>
      </c>
      <c r="K541" s="29" t="e">
        <f>IF(C540=1,IF(D540="BUY",E540-(ROUND(F540*K540/B540,0)*B540),E540+(ROUND(F540*K540/B540,0)*B540)),IF(D540="BUY",E540-(ROUND(F540*K540/B540,0)*B540),E540+(ROUND(F540*K540/B540,0)*B540)))</f>
        <v>#DIV/0!</v>
      </c>
      <c r="L541" s="29" t="e">
        <f t="shared" ref="L541" si="806">IF(D541="BUY",I541+(R541*B541),I541-(R541*B541))</f>
        <v>#DIV/0!</v>
      </c>
      <c r="M541" s="29" t="e">
        <f>IF(D540="BUY",E540+(ROUND(F540*M540/B540,0)*B540),E540-(ROUND(F540*M540/B540,0)*B540))</f>
        <v>#DIV/0!</v>
      </c>
      <c r="N541" s="29" t="e">
        <f>IF(D540="BUY",E540-(ROUND(F540*N540/B540,0)*B540),E540+(ROUND(F540*N540/B540,0)*B540))</f>
        <v>#DIV/0!</v>
      </c>
      <c r="O541" s="31" t="e">
        <f>IF(D541="BUY",N541-VLOOKUP(A541,Symbols!A$1:D$1000,4,FALSE),N541+VLOOKUP(A541,Symbols!A$1:D$1000,4,FALSE))</f>
        <v>#DIV/0!</v>
      </c>
      <c r="P541" s="29">
        <f>P540</f>
        <v>0</v>
      </c>
      <c r="Q541" s="29">
        <f>Q540</f>
        <v>0</v>
      </c>
      <c r="R541" s="29">
        <f>R540</f>
        <v>0</v>
      </c>
      <c r="S541" s="29">
        <f>S540</f>
        <v>0</v>
      </c>
      <c r="T541" s="29">
        <f>T540</f>
        <v>0</v>
      </c>
      <c r="U541" s="29" t="e">
        <f>DATEDIF(DATE(1970,1,1),U540,"D")*86400</f>
        <v>#NUM!</v>
      </c>
      <c r="V541" s="29">
        <f>HOUR(V540)*3600+MINUTE(V540)*60+SECOND(V540)</f>
        <v>0</v>
      </c>
      <c r="W541" s="29" t="e">
        <f>DATEDIF(DATE(1970,1,1),W540,"D")*86400</f>
        <v>#NUM!</v>
      </c>
      <c r="X541" s="29">
        <f>HOUR(X540)*3600+MINUTE(X540)*60+SECOND(X540)</f>
        <v>0</v>
      </c>
      <c r="Y541" s="31">
        <f>(Y540*B541)</f>
        <v>0</v>
      </c>
      <c r="Z541" s="29">
        <f>Z540</f>
        <v>0</v>
      </c>
      <c r="AA541" s="29" t="e">
        <f>DATEDIF(DATE(1970,1,1),AA540,"D")*86400</f>
        <v>#NUM!</v>
      </c>
      <c r="AB541" s="29">
        <f>HOUR(AB540)*3600+MINUTE(AB540)*60+SECOND(AB540)</f>
        <v>0</v>
      </c>
      <c r="AC541" s="29">
        <f>AC540</f>
        <v>0</v>
      </c>
    </row>
    <row r="542" spans="1:29">
      <c r="A542" s="23">
        <f>Parameters!A272</f>
        <v>0</v>
      </c>
      <c r="B542" s="23">
        <f>Parameters!B272</f>
        <v>0</v>
      </c>
      <c r="C542" s="24">
        <f>Parameters!C272</f>
        <v>0</v>
      </c>
      <c r="D542" s="24">
        <f>Parameters!D272</f>
        <v>0</v>
      </c>
      <c r="E542" s="23">
        <f>Parameters!E272</f>
        <v>0</v>
      </c>
      <c r="F542" s="23">
        <f>Parameters!F272</f>
        <v>0</v>
      </c>
      <c r="G542" s="25">
        <f>Parameters!G272</f>
        <v>0</v>
      </c>
      <c r="H542" s="25">
        <f>Parameters!H272</f>
        <v>0</v>
      </c>
      <c r="I542" s="25">
        <f>Parameters!I272</f>
        <v>0</v>
      </c>
      <c r="J542" s="25">
        <f>Parameters!J272</f>
        <v>0</v>
      </c>
      <c r="K542" s="25">
        <f>Parameters!K272</f>
        <v>0</v>
      </c>
      <c r="L542" s="26" t="e">
        <f t="shared" ref="L542" si="807">L543</f>
        <v>#DIV/0!</v>
      </c>
      <c r="M542" s="25">
        <f>Parameters!L272</f>
        <v>0</v>
      </c>
      <c r="N542" s="25">
        <f>Parameters!M272</f>
        <v>0</v>
      </c>
      <c r="O542" s="26" t="e">
        <f t="shared" ref="O542" si="808">O543</f>
        <v>#DIV/0!</v>
      </c>
      <c r="P542" s="23">
        <f>Parameters!N272</f>
        <v>0</v>
      </c>
      <c r="Q542" s="23">
        <f>Parameters!O272</f>
        <v>0</v>
      </c>
      <c r="R542" s="23">
        <f>Parameters!P272</f>
        <v>0</v>
      </c>
      <c r="S542" s="23">
        <f>Parameters!Q272</f>
        <v>0</v>
      </c>
      <c r="T542" s="23">
        <f>Parameters!R272</f>
        <v>0</v>
      </c>
      <c r="U542" s="27">
        <f>Parameters!S272</f>
        <v>0</v>
      </c>
      <c r="V542" s="28">
        <f>Parameters!T272</f>
        <v>0</v>
      </c>
      <c r="W542" s="27">
        <f>Parameters!U272</f>
        <v>0</v>
      </c>
      <c r="X542" s="28">
        <f>Parameters!V272</f>
        <v>0</v>
      </c>
      <c r="Y542" s="25">
        <f>Parameters!W272</f>
        <v>0</v>
      </c>
      <c r="Z542" s="23">
        <f>Parameters!X272</f>
        <v>0</v>
      </c>
      <c r="AA542" s="27">
        <f>Parameters!Y272</f>
        <v>0</v>
      </c>
      <c r="AB542" s="28">
        <f>Parameters!Z272</f>
        <v>0</v>
      </c>
      <c r="AC542" s="23">
        <f>Parameters!AA272</f>
        <v>0</v>
      </c>
    </row>
    <row r="543" spans="1:29">
      <c r="A543" s="29" t="str">
        <f>UPPER(A542)</f>
        <v>0</v>
      </c>
      <c r="B543" s="29">
        <f>B542</f>
        <v>0</v>
      </c>
      <c r="C543" s="30">
        <f>C542</f>
        <v>0</v>
      </c>
      <c r="D543" s="30">
        <f>D542</f>
        <v>0</v>
      </c>
      <c r="E543" s="29">
        <f>E542</f>
        <v>0</v>
      </c>
      <c r="F543" s="29">
        <f>F542</f>
        <v>0</v>
      </c>
      <c r="G543" s="29" t="e">
        <f>IF(C542=1,IF(D542="BUY",E542+(ROUND(F542*G542/B542,0)*B542),E542-(ROUND(F542*G542/B542,0)*B542)),IF(D542="BUY",E542-(ROUND(F542*G542/B542,0)*B542),E542+(ROUND(F542*G542/B542,0)*B542)))</f>
        <v>#DIV/0!</v>
      </c>
      <c r="H543" s="29" t="e">
        <f>IF(C542=1,IF(D542="BUY",G543-(ROUND(F542*H542/B542,0)*B542),G543+(ROUND(F542*H542/B542,0)*B542)),IF(D542="BUY",G543+(ROUND(F542*H542/B542,0)*B542),G543-(ROUND(F542*H542/B542,0)*B542)))</f>
        <v>#DIV/0!</v>
      </c>
      <c r="I543" s="29" t="e">
        <f>IF(D542="BUY",G543+(ROUND(F542*I542/(B542*100),0)*B542),G543-(ROUND(F542*I542/(B542*100),0)*B542))</f>
        <v>#DIV/0!</v>
      </c>
      <c r="J543" s="29" t="e">
        <f>IF(C542=1,IF(D542="BUY",E542+(ROUND(F542*J542/B542,0)*B542),E542-(ROUND(F542*J542/B542,0)*B542)),IF(D542="BUY",E542-(ROUND(F542*J542/B542,0)*B542),E542+(ROUND(F542*J542/B542,0)*B542)))</f>
        <v>#DIV/0!</v>
      </c>
      <c r="K543" s="29" t="e">
        <f>IF(C542=1,IF(D542="BUY",E542-(ROUND(F542*K542/B542,0)*B542),E542+(ROUND(F542*K542/B542,0)*B542)),IF(D542="BUY",E542-(ROUND(F542*K542/B542,0)*B542),E542+(ROUND(F542*K542/B542,0)*B542)))</f>
        <v>#DIV/0!</v>
      </c>
      <c r="L543" s="29" t="e">
        <f t="shared" ref="L543" si="809">IF(D543="BUY",I543+(R543*B543),I543-(R543*B543))</f>
        <v>#DIV/0!</v>
      </c>
      <c r="M543" s="29" t="e">
        <f>IF(D542="BUY",E542+(ROUND(F542*M542/B542,0)*B542),E542-(ROUND(F542*M542/B542,0)*B542))</f>
        <v>#DIV/0!</v>
      </c>
      <c r="N543" s="29" t="e">
        <f>IF(D542="BUY",E542-(ROUND(F542*N542/B542,0)*B542),E542+(ROUND(F542*N542/B542,0)*B542))</f>
        <v>#DIV/0!</v>
      </c>
      <c r="O543" s="31" t="e">
        <f>IF(D543="BUY",N543-VLOOKUP(A543,Symbols!A$1:D$1000,4,FALSE),N543+VLOOKUP(A543,Symbols!A$1:D$1000,4,FALSE))</f>
        <v>#DIV/0!</v>
      </c>
      <c r="P543" s="29">
        <f>P542</f>
        <v>0</v>
      </c>
      <c r="Q543" s="29">
        <f>Q542</f>
        <v>0</v>
      </c>
      <c r="R543" s="29">
        <f>R542</f>
        <v>0</v>
      </c>
      <c r="S543" s="29">
        <f>S542</f>
        <v>0</v>
      </c>
      <c r="T543" s="29">
        <f>T542</f>
        <v>0</v>
      </c>
      <c r="U543" s="29" t="e">
        <f>DATEDIF(DATE(1970,1,1),U542,"D")*86400</f>
        <v>#NUM!</v>
      </c>
      <c r="V543" s="29">
        <f>HOUR(V542)*3600+MINUTE(V542)*60+SECOND(V542)</f>
        <v>0</v>
      </c>
      <c r="W543" s="29" t="e">
        <f>DATEDIF(DATE(1970,1,1),W542,"D")*86400</f>
        <v>#NUM!</v>
      </c>
      <c r="X543" s="29">
        <f>HOUR(X542)*3600+MINUTE(X542)*60+SECOND(X542)</f>
        <v>0</v>
      </c>
      <c r="Y543" s="31">
        <f>(Y542*B543)</f>
        <v>0</v>
      </c>
      <c r="Z543" s="29">
        <f>Z542</f>
        <v>0</v>
      </c>
      <c r="AA543" s="29" t="e">
        <f>DATEDIF(DATE(1970,1,1),AA542,"D")*86400</f>
        <v>#NUM!</v>
      </c>
      <c r="AB543" s="29">
        <f>HOUR(AB542)*3600+MINUTE(AB542)*60+SECOND(AB542)</f>
        <v>0</v>
      </c>
      <c r="AC543" s="29">
        <f>AC542</f>
        <v>0</v>
      </c>
    </row>
    <row r="544" spans="1:29">
      <c r="A544" s="23">
        <f>Parameters!A273</f>
        <v>0</v>
      </c>
      <c r="B544" s="23">
        <f>Parameters!B273</f>
        <v>0</v>
      </c>
      <c r="C544" s="24">
        <f>Parameters!C273</f>
        <v>0</v>
      </c>
      <c r="D544" s="24">
        <f>Parameters!D273</f>
        <v>0</v>
      </c>
      <c r="E544" s="23">
        <f>Parameters!E273</f>
        <v>0</v>
      </c>
      <c r="F544" s="23">
        <f>Parameters!F273</f>
        <v>0</v>
      </c>
      <c r="G544" s="25">
        <f>Parameters!G273</f>
        <v>0</v>
      </c>
      <c r="H544" s="25">
        <f>Parameters!H273</f>
        <v>0</v>
      </c>
      <c r="I544" s="25">
        <f>Parameters!I273</f>
        <v>0</v>
      </c>
      <c r="J544" s="25">
        <f>Parameters!J273</f>
        <v>0</v>
      </c>
      <c r="K544" s="25">
        <f>Parameters!K273</f>
        <v>0</v>
      </c>
      <c r="L544" s="26" t="e">
        <f t="shared" ref="L544" si="810">L545</f>
        <v>#DIV/0!</v>
      </c>
      <c r="M544" s="25">
        <f>Parameters!L273</f>
        <v>0</v>
      </c>
      <c r="N544" s="25">
        <f>Parameters!M273</f>
        <v>0</v>
      </c>
      <c r="O544" s="26" t="e">
        <f t="shared" ref="O544" si="811">O545</f>
        <v>#DIV/0!</v>
      </c>
      <c r="P544" s="23">
        <f>Parameters!N273</f>
        <v>0</v>
      </c>
      <c r="Q544" s="23">
        <f>Parameters!O273</f>
        <v>0</v>
      </c>
      <c r="R544" s="23">
        <f>Parameters!P273</f>
        <v>0</v>
      </c>
      <c r="S544" s="23">
        <f>Parameters!Q273</f>
        <v>0</v>
      </c>
      <c r="T544" s="23">
        <f>Parameters!R273</f>
        <v>0</v>
      </c>
      <c r="U544" s="27">
        <f>Parameters!S273</f>
        <v>0</v>
      </c>
      <c r="V544" s="28">
        <f>Parameters!T273</f>
        <v>0</v>
      </c>
      <c r="W544" s="27">
        <f>Parameters!U273</f>
        <v>0</v>
      </c>
      <c r="X544" s="28">
        <f>Parameters!V273</f>
        <v>0</v>
      </c>
      <c r="Y544" s="25">
        <f>Parameters!W273</f>
        <v>0</v>
      </c>
      <c r="Z544" s="23">
        <f>Parameters!X273</f>
        <v>0</v>
      </c>
      <c r="AA544" s="27">
        <f>Parameters!Y273</f>
        <v>0</v>
      </c>
      <c r="AB544" s="28">
        <f>Parameters!Z273</f>
        <v>0</v>
      </c>
      <c r="AC544" s="23">
        <f>Parameters!AA273</f>
        <v>0</v>
      </c>
    </row>
    <row r="545" spans="1:29">
      <c r="A545" s="29" t="str">
        <f>UPPER(A544)</f>
        <v>0</v>
      </c>
      <c r="B545" s="29">
        <f>B544</f>
        <v>0</v>
      </c>
      <c r="C545" s="30">
        <f>C544</f>
        <v>0</v>
      </c>
      <c r="D545" s="30">
        <f>D544</f>
        <v>0</v>
      </c>
      <c r="E545" s="29">
        <f>E544</f>
        <v>0</v>
      </c>
      <c r="F545" s="29">
        <f>F544</f>
        <v>0</v>
      </c>
      <c r="G545" s="29" t="e">
        <f>IF(C544=1,IF(D544="BUY",E544+(ROUND(F544*G544/B544,0)*B544),E544-(ROUND(F544*G544/B544,0)*B544)),IF(D544="BUY",E544-(ROUND(F544*G544/B544,0)*B544),E544+(ROUND(F544*G544/B544,0)*B544)))</f>
        <v>#DIV/0!</v>
      </c>
      <c r="H545" s="29" t="e">
        <f>IF(C544=1,IF(D544="BUY",G545-(ROUND(F544*H544/B544,0)*B544),G545+(ROUND(F544*H544/B544,0)*B544)),IF(D544="BUY",G545+(ROUND(F544*H544/B544,0)*B544),G545-(ROUND(F544*H544/B544,0)*B544)))</f>
        <v>#DIV/0!</v>
      </c>
      <c r="I545" s="29" t="e">
        <f>IF(D544="BUY",G545+(ROUND(F544*I544/(B544*100),0)*B544),G545-(ROUND(F544*I544/(B544*100),0)*B544))</f>
        <v>#DIV/0!</v>
      </c>
      <c r="J545" s="29" t="e">
        <f>IF(C544=1,IF(D544="BUY",E544+(ROUND(F544*J544/B544,0)*B544),E544-(ROUND(F544*J544/B544,0)*B544)),IF(D544="BUY",E544-(ROUND(F544*J544/B544,0)*B544),E544+(ROUND(F544*J544/B544,0)*B544)))</f>
        <v>#DIV/0!</v>
      </c>
      <c r="K545" s="29" t="e">
        <f>IF(C544=1,IF(D544="BUY",E544-(ROUND(F544*K544/B544,0)*B544),E544+(ROUND(F544*K544/B544,0)*B544)),IF(D544="BUY",E544-(ROUND(F544*K544/B544,0)*B544),E544+(ROUND(F544*K544/B544,0)*B544)))</f>
        <v>#DIV/0!</v>
      </c>
      <c r="L545" s="29" t="e">
        <f t="shared" ref="L545" si="812">IF(D545="BUY",I545+(R545*B545),I545-(R545*B545))</f>
        <v>#DIV/0!</v>
      </c>
      <c r="M545" s="29" t="e">
        <f>IF(D544="BUY",E544+(ROUND(F544*M544/B544,0)*B544),E544-(ROUND(F544*M544/B544,0)*B544))</f>
        <v>#DIV/0!</v>
      </c>
      <c r="N545" s="29" t="e">
        <f>IF(D544="BUY",E544-(ROUND(F544*N544/B544,0)*B544),E544+(ROUND(F544*N544/B544,0)*B544))</f>
        <v>#DIV/0!</v>
      </c>
      <c r="O545" s="31" t="e">
        <f>IF(D545="BUY",N545-VLOOKUP(A545,Symbols!A$1:D$1000,4,FALSE),N545+VLOOKUP(A545,Symbols!A$1:D$1000,4,FALSE))</f>
        <v>#DIV/0!</v>
      </c>
      <c r="P545" s="29">
        <f>P544</f>
        <v>0</v>
      </c>
      <c r="Q545" s="29">
        <f>Q544</f>
        <v>0</v>
      </c>
      <c r="R545" s="29">
        <f>R544</f>
        <v>0</v>
      </c>
      <c r="S545" s="29">
        <f>S544</f>
        <v>0</v>
      </c>
      <c r="T545" s="29">
        <f>T544</f>
        <v>0</v>
      </c>
      <c r="U545" s="29" t="e">
        <f>DATEDIF(DATE(1970,1,1),U544,"D")*86400</f>
        <v>#NUM!</v>
      </c>
      <c r="V545" s="29">
        <f>HOUR(V544)*3600+MINUTE(V544)*60+SECOND(V544)</f>
        <v>0</v>
      </c>
      <c r="W545" s="29" t="e">
        <f>DATEDIF(DATE(1970,1,1),W544,"D")*86400</f>
        <v>#NUM!</v>
      </c>
      <c r="X545" s="29">
        <f>HOUR(X544)*3600+MINUTE(X544)*60+SECOND(X544)</f>
        <v>0</v>
      </c>
      <c r="Y545" s="31">
        <f>(Y544*B545)</f>
        <v>0</v>
      </c>
      <c r="Z545" s="29">
        <f>Z544</f>
        <v>0</v>
      </c>
      <c r="AA545" s="29" t="e">
        <f>DATEDIF(DATE(1970,1,1),AA544,"D")*86400</f>
        <v>#NUM!</v>
      </c>
      <c r="AB545" s="29">
        <f>HOUR(AB544)*3600+MINUTE(AB544)*60+SECOND(AB544)</f>
        <v>0</v>
      </c>
      <c r="AC545" s="29">
        <f>AC544</f>
        <v>0</v>
      </c>
    </row>
    <row r="546" spans="1:29">
      <c r="A546" s="23">
        <f>Parameters!A274</f>
        <v>0</v>
      </c>
      <c r="B546" s="23">
        <f>Parameters!B274</f>
        <v>0</v>
      </c>
      <c r="C546" s="24">
        <f>Parameters!C274</f>
        <v>0</v>
      </c>
      <c r="D546" s="24">
        <f>Parameters!D274</f>
        <v>0</v>
      </c>
      <c r="E546" s="23">
        <f>Parameters!E274</f>
        <v>0</v>
      </c>
      <c r="F546" s="23">
        <f>Parameters!F274</f>
        <v>0</v>
      </c>
      <c r="G546" s="25">
        <f>Parameters!G274</f>
        <v>0</v>
      </c>
      <c r="H546" s="25">
        <f>Parameters!H274</f>
        <v>0</v>
      </c>
      <c r="I546" s="25">
        <f>Parameters!I274</f>
        <v>0</v>
      </c>
      <c r="J546" s="25">
        <f>Parameters!J274</f>
        <v>0</v>
      </c>
      <c r="K546" s="25">
        <f>Parameters!K274</f>
        <v>0</v>
      </c>
      <c r="L546" s="26" t="e">
        <f t="shared" ref="L546" si="813">L547</f>
        <v>#DIV/0!</v>
      </c>
      <c r="M546" s="25">
        <f>Parameters!L274</f>
        <v>0</v>
      </c>
      <c r="N546" s="25">
        <f>Parameters!M274</f>
        <v>0</v>
      </c>
      <c r="O546" s="26" t="e">
        <f t="shared" ref="O546" si="814">O547</f>
        <v>#DIV/0!</v>
      </c>
      <c r="P546" s="23">
        <f>Parameters!N274</f>
        <v>0</v>
      </c>
      <c r="Q546" s="23">
        <f>Parameters!O274</f>
        <v>0</v>
      </c>
      <c r="R546" s="23">
        <f>Parameters!P274</f>
        <v>0</v>
      </c>
      <c r="S546" s="23">
        <f>Parameters!Q274</f>
        <v>0</v>
      </c>
      <c r="T546" s="23">
        <f>Parameters!R274</f>
        <v>0</v>
      </c>
      <c r="U546" s="27">
        <f>Parameters!S274</f>
        <v>0</v>
      </c>
      <c r="V546" s="28">
        <f>Parameters!T274</f>
        <v>0</v>
      </c>
      <c r="W546" s="27">
        <f>Parameters!U274</f>
        <v>0</v>
      </c>
      <c r="X546" s="28">
        <f>Parameters!V274</f>
        <v>0</v>
      </c>
      <c r="Y546" s="25">
        <f>Parameters!W274</f>
        <v>0</v>
      </c>
      <c r="Z546" s="23">
        <f>Parameters!X274</f>
        <v>0</v>
      </c>
      <c r="AA546" s="27">
        <f>Parameters!Y274</f>
        <v>0</v>
      </c>
      <c r="AB546" s="28">
        <f>Parameters!Z274</f>
        <v>0</v>
      </c>
      <c r="AC546" s="23">
        <f>Parameters!AA274</f>
        <v>0</v>
      </c>
    </row>
    <row r="547" spans="1:29">
      <c r="A547" s="29" t="str">
        <f>UPPER(A546)</f>
        <v>0</v>
      </c>
      <c r="B547" s="29">
        <f>B546</f>
        <v>0</v>
      </c>
      <c r="C547" s="30">
        <f>C546</f>
        <v>0</v>
      </c>
      <c r="D547" s="30">
        <f>D546</f>
        <v>0</v>
      </c>
      <c r="E547" s="29">
        <f>E546</f>
        <v>0</v>
      </c>
      <c r="F547" s="29">
        <f>F546</f>
        <v>0</v>
      </c>
      <c r="G547" s="29" t="e">
        <f>IF(C546=1,IF(D546="BUY",E546+(ROUND(F546*G546/B546,0)*B546),E546-(ROUND(F546*G546/B546,0)*B546)),IF(D546="BUY",E546-(ROUND(F546*G546/B546,0)*B546),E546+(ROUND(F546*G546/B546,0)*B546)))</f>
        <v>#DIV/0!</v>
      </c>
      <c r="H547" s="29" t="e">
        <f>IF(C546=1,IF(D546="BUY",G547-(ROUND(F546*H546/B546,0)*B546),G547+(ROUND(F546*H546/B546,0)*B546)),IF(D546="BUY",G547+(ROUND(F546*H546/B546,0)*B546),G547-(ROUND(F546*H546/B546,0)*B546)))</f>
        <v>#DIV/0!</v>
      </c>
      <c r="I547" s="29" t="e">
        <f>IF(D546="BUY",G547+(ROUND(F546*I546/(B546*100),0)*B546),G547-(ROUND(F546*I546/(B546*100),0)*B546))</f>
        <v>#DIV/0!</v>
      </c>
      <c r="J547" s="29" t="e">
        <f>IF(C546=1,IF(D546="BUY",E546+(ROUND(F546*J546/B546,0)*B546),E546-(ROUND(F546*J546/B546,0)*B546)),IF(D546="BUY",E546-(ROUND(F546*J546/B546,0)*B546),E546+(ROUND(F546*J546/B546,0)*B546)))</f>
        <v>#DIV/0!</v>
      </c>
      <c r="K547" s="29" t="e">
        <f>IF(C546=1,IF(D546="BUY",E546-(ROUND(F546*K546/B546,0)*B546),E546+(ROUND(F546*K546/B546,0)*B546)),IF(D546="BUY",E546-(ROUND(F546*K546/B546,0)*B546),E546+(ROUND(F546*K546/B546,0)*B546)))</f>
        <v>#DIV/0!</v>
      </c>
      <c r="L547" s="29" t="e">
        <f t="shared" ref="L547" si="815">IF(D547="BUY",I547+(R547*B547),I547-(R547*B547))</f>
        <v>#DIV/0!</v>
      </c>
      <c r="M547" s="29" t="e">
        <f>IF(D546="BUY",E546+(ROUND(F546*M546/B546,0)*B546),E546-(ROUND(F546*M546/B546,0)*B546))</f>
        <v>#DIV/0!</v>
      </c>
      <c r="N547" s="29" t="e">
        <f>IF(D546="BUY",E546-(ROUND(F546*N546/B546,0)*B546),E546+(ROUND(F546*N546/B546,0)*B546))</f>
        <v>#DIV/0!</v>
      </c>
      <c r="O547" s="31" t="e">
        <f>IF(D547="BUY",N547-VLOOKUP(A547,Symbols!A$1:D$1000,4,FALSE),N547+VLOOKUP(A547,Symbols!A$1:D$1000,4,FALSE))</f>
        <v>#DIV/0!</v>
      </c>
      <c r="P547" s="29">
        <f>P546</f>
        <v>0</v>
      </c>
      <c r="Q547" s="29">
        <f>Q546</f>
        <v>0</v>
      </c>
      <c r="R547" s="29">
        <f>R546</f>
        <v>0</v>
      </c>
      <c r="S547" s="29">
        <f>S546</f>
        <v>0</v>
      </c>
      <c r="T547" s="29">
        <f>T546</f>
        <v>0</v>
      </c>
      <c r="U547" s="29" t="e">
        <f>DATEDIF(DATE(1970,1,1),U546,"D")*86400</f>
        <v>#NUM!</v>
      </c>
      <c r="V547" s="29">
        <f>HOUR(V546)*3600+MINUTE(V546)*60+SECOND(V546)</f>
        <v>0</v>
      </c>
      <c r="W547" s="29" t="e">
        <f>DATEDIF(DATE(1970,1,1),W546,"D")*86400</f>
        <v>#NUM!</v>
      </c>
      <c r="X547" s="29">
        <f>HOUR(X546)*3600+MINUTE(X546)*60+SECOND(X546)</f>
        <v>0</v>
      </c>
      <c r="Y547" s="31">
        <f>(Y546*B547)</f>
        <v>0</v>
      </c>
      <c r="Z547" s="29">
        <f>Z546</f>
        <v>0</v>
      </c>
      <c r="AA547" s="29" t="e">
        <f>DATEDIF(DATE(1970,1,1),AA546,"D")*86400</f>
        <v>#NUM!</v>
      </c>
      <c r="AB547" s="29">
        <f>HOUR(AB546)*3600+MINUTE(AB546)*60+SECOND(AB546)</f>
        <v>0</v>
      </c>
      <c r="AC547" s="29">
        <f>AC546</f>
        <v>0</v>
      </c>
    </row>
    <row r="548" spans="1:29">
      <c r="A548" s="23">
        <f>Parameters!A275</f>
        <v>0</v>
      </c>
      <c r="B548" s="23">
        <f>Parameters!B275</f>
        <v>0</v>
      </c>
      <c r="C548" s="24">
        <f>Parameters!C275</f>
        <v>0</v>
      </c>
      <c r="D548" s="24">
        <f>Parameters!D275</f>
        <v>0</v>
      </c>
      <c r="E548" s="23">
        <f>Parameters!E275</f>
        <v>0</v>
      </c>
      <c r="F548" s="23">
        <f>Parameters!F275</f>
        <v>0</v>
      </c>
      <c r="G548" s="25">
        <f>Parameters!G275</f>
        <v>0</v>
      </c>
      <c r="H548" s="25">
        <f>Parameters!H275</f>
        <v>0</v>
      </c>
      <c r="I548" s="25">
        <f>Parameters!I275</f>
        <v>0</v>
      </c>
      <c r="J548" s="25">
        <f>Parameters!J275</f>
        <v>0</v>
      </c>
      <c r="K548" s="25">
        <f>Parameters!K275</f>
        <v>0</v>
      </c>
      <c r="L548" s="26" t="e">
        <f t="shared" ref="L548" si="816">L549</f>
        <v>#DIV/0!</v>
      </c>
      <c r="M548" s="25">
        <f>Parameters!L275</f>
        <v>0</v>
      </c>
      <c r="N548" s="25">
        <f>Parameters!M275</f>
        <v>0</v>
      </c>
      <c r="O548" s="26" t="e">
        <f t="shared" ref="O548" si="817">O549</f>
        <v>#DIV/0!</v>
      </c>
      <c r="P548" s="23">
        <f>Parameters!N275</f>
        <v>0</v>
      </c>
      <c r="Q548" s="23">
        <f>Parameters!O275</f>
        <v>0</v>
      </c>
      <c r="R548" s="23">
        <f>Parameters!P275</f>
        <v>0</v>
      </c>
      <c r="S548" s="23">
        <f>Parameters!Q275</f>
        <v>0</v>
      </c>
      <c r="T548" s="23">
        <f>Parameters!R275</f>
        <v>0</v>
      </c>
      <c r="U548" s="27">
        <f>Parameters!S275</f>
        <v>0</v>
      </c>
      <c r="V548" s="28">
        <f>Parameters!T275</f>
        <v>0</v>
      </c>
      <c r="W548" s="27">
        <f>Parameters!U275</f>
        <v>0</v>
      </c>
      <c r="X548" s="28">
        <f>Parameters!V275</f>
        <v>0</v>
      </c>
      <c r="Y548" s="25">
        <f>Parameters!W275</f>
        <v>0</v>
      </c>
      <c r="Z548" s="23">
        <f>Parameters!X275</f>
        <v>0</v>
      </c>
      <c r="AA548" s="27">
        <f>Parameters!Y275</f>
        <v>0</v>
      </c>
      <c r="AB548" s="28">
        <f>Parameters!Z275</f>
        <v>0</v>
      </c>
      <c r="AC548" s="23">
        <f>Parameters!AA275</f>
        <v>0</v>
      </c>
    </row>
    <row r="549" spans="1:29">
      <c r="A549" s="29" t="str">
        <f>UPPER(A548)</f>
        <v>0</v>
      </c>
      <c r="B549" s="29">
        <f>B548</f>
        <v>0</v>
      </c>
      <c r="C549" s="30">
        <f>C548</f>
        <v>0</v>
      </c>
      <c r="D549" s="30">
        <f>D548</f>
        <v>0</v>
      </c>
      <c r="E549" s="29">
        <f>E548</f>
        <v>0</v>
      </c>
      <c r="F549" s="29">
        <f>F548</f>
        <v>0</v>
      </c>
      <c r="G549" s="29" t="e">
        <f>IF(C548=1,IF(D548="BUY",E548+(ROUND(F548*G548/B548,0)*B548),E548-(ROUND(F548*G548/B548,0)*B548)),IF(D548="BUY",E548-(ROUND(F548*G548/B548,0)*B548),E548+(ROUND(F548*G548/B548,0)*B548)))</f>
        <v>#DIV/0!</v>
      </c>
      <c r="H549" s="29" t="e">
        <f>IF(C548=1,IF(D548="BUY",G549-(ROUND(F548*H548/B548,0)*B548),G549+(ROUND(F548*H548/B548,0)*B548)),IF(D548="BUY",G549+(ROUND(F548*H548/B548,0)*B548),G549-(ROUND(F548*H548/B548,0)*B548)))</f>
        <v>#DIV/0!</v>
      </c>
      <c r="I549" s="29" t="e">
        <f>IF(D548="BUY",G549+(ROUND(F548*I548/(B548*100),0)*B548),G549-(ROUND(F548*I548/(B548*100),0)*B548))</f>
        <v>#DIV/0!</v>
      </c>
      <c r="J549" s="29" t="e">
        <f>IF(C548=1,IF(D548="BUY",E548+(ROUND(F548*J548/B548,0)*B548),E548-(ROUND(F548*J548/B548,0)*B548)),IF(D548="BUY",E548-(ROUND(F548*J548/B548,0)*B548),E548+(ROUND(F548*J548/B548,0)*B548)))</f>
        <v>#DIV/0!</v>
      </c>
      <c r="K549" s="29" t="e">
        <f>IF(C548=1,IF(D548="BUY",E548-(ROUND(F548*K548/B548,0)*B548),E548+(ROUND(F548*K548/B548,0)*B548)),IF(D548="BUY",E548-(ROUND(F548*K548/B548,0)*B548),E548+(ROUND(F548*K548/B548,0)*B548)))</f>
        <v>#DIV/0!</v>
      </c>
      <c r="L549" s="29" t="e">
        <f t="shared" ref="L549" si="818">IF(D549="BUY",I549+(R549*B549),I549-(R549*B549))</f>
        <v>#DIV/0!</v>
      </c>
      <c r="M549" s="29" t="e">
        <f>IF(D548="BUY",E548+(ROUND(F548*M548/B548,0)*B548),E548-(ROUND(F548*M548/B548,0)*B548))</f>
        <v>#DIV/0!</v>
      </c>
      <c r="N549" s="29" t="e">
        <f>IF(D548="BUY",E548-(ROUND(F548*N548/B548,0)*B548),E548+(ROUND(F548*N548/B548,0)*B548))</f>
        <v>#DIV/0!</v>
      </c>
      <c r="O549" s="31" t="e">
        <f>IF(D549="BUY",N549-VLOOKUP(A549,Symbols!A$1:D$1000,4,FALSE),N549+VLOOKUP(A549,Symbols!A$1:D$1000,4,FALSE))</f>
        <v>#DIV/0!</v>
      </c>
      <c r="P549" s="29">
        <f>P548</f>
        <v>0</v>
      </c>
      <c r="Q549" s="29">
        <f>Q548</f>
        <v>0</v>
      </c>
      <c r="R549" s="29">
        <f>R548</f>
        <v>0</v>
      </c>
      <c r="S549" s="29">
        <f>S548</f>
        <v>0</v>
      </c>
      <c r="T549" s="29">
        <f>T548</f>
        <v>0</v>
      </c>
      <c r="U549" s="29" t="e">
        <f>DATEDIF(DATE(1970,1,1),U548,"D")*86400</f>
        <v>#NUM!</v>
      </c>
      <c r="V549" s="29">
        <f>HOUR(V548)*3600+MINUTE(V548)*60+SECOND(V548)</f>
        <v>0</v>
      </c>
      <c r="W549" s="29" t="e">
        <f>DATEDIF(DATE(1970,1,1),W548,"D")*86400</f>
        <v>#NUM!</v>
      </c>
      <c r="X549" s="29">
        <f>HOUR(X548)*3600+MINUTE(X548)*60+SECOND(X548)</f>
        <v>0</v>
      </c>
      <c r="Y549" s="31">
        <f>(Y548*B549)</f>
        <v>0</v>
      </c>
      <c r="Z549" s="29">
        <f>Z548</f>
        <v>0</v>
      </c>
      <c r="AA549" s="29" t="e">
        <f>DATEDIF(DATE(1970,1,1),AA548,"D")*86400</f>
        <v>#NUM!</v>
      </c>
      <c r="AB549" s="29">
        <f>HOUR(AB548)*3600+MINUTE(AB548)*60+SECOND(AB548)</f>
        <v>0</v>
      </c>
      <c r="AC549" s="29">
        <f>AC548</f>
        <v>0</v>
      </c>
    </row>
    <row r="550" spans="1:29">
      <c r="A550" s="23">
        <f>Parameters!A276</f>
        <v>0</v>
      </c>
      <c r="B550" s="23">
        <f>Parameters!B276</f>
        <v>0</v>
      </c>
      <c r="C550" s="24">
        <f>Parameters!C276</f>
        <v>0</v>
      </c>
      <c r="D550" s="24">
        <f>Parameters!D276</f>
        <v>0</v>
      </c>
      <c r="E550" s="23">
        <f>Parameters!E276</f>
        <v>0</v>
      </c>
      <c r="F550" s="23">
        <f>Parameters!F276</f>
        <v>0</v>
      </c>
      <c r="G550" s="25">
        <f>Parameters!G276</f>
        <v>0</v>
      </c>
      <c r="H550" s="25">
        <f>Parameters!H276</f>
        <v>0</v>
      </c>
      <c r="I550" s="25">
        <f>Parameters!I276</f>
        <v>0</v>
      </c>
      <c r="J550" s="25">
        <f>Parameters!J276</f>
        <v>0</v>
      </c>
      <c r="K550" s="25">
        <f>Parameters!K276</f>
        <v>0</v>
      </c>
      <c r="L550" s="26" t="e">
        <f t="shared" ref="L550" si="819">L551</f>
        <v>#DIV/0!</v>
      </c>
      <c r="M550" s="25">
        <f>Parameters!L276</f>
        <v>0</v>
      </c>
      <c r="N550" s="25">
        <f>Parameters!M276</f>
        <v>0</v>
      </c>
      <c r="O550" s="26" t="e">
        <f t="shared" ref="O550" si="820">O551</f>
        <v>#DIV/0!</v>
      </c>
      <c r="P550" s="23">
        <f>Parameters!N276</f>
        <v>0</v>
      </c>
      <c r="Q550" s="23">
        <f>Parameters!O276</f>
        <v>0</v>
      </c>
      <c r="R550" s="23">
        <f>Parameters!P276</f>
        <v>0</v>
      </c>
      <c r="S550" s="23">
        <f>Parameters!Q276</f>
        <v>0</v>
      </c>
      <c r="T550" s="23">
        <f>Parameters!R276</f>
        <v>0</v>
      </c>
      <c r="U550" s="27">
        <f>Parameters!S276</f>
        <v>0</v>
      </c>
      <c r="V550" s="28">
        <f>Parameters!T276</f>
        <v>0</v>
      </c>
      <c r="W550" s="27">
        <f>Parameters!U276</f>
        <v>0</v>
      </c>
      <c r="X550" s="28">
        <f>Parameters!V276</f>
        <v>0</v>
      </c>
      <c r="Y550" s="25">
        <f>Parameters!W276</f>
        <v>0</v>
      </c>
      <c r="Z550" s="23">
        <f>Parameters!X276</f>
        <v>0</v>
      </c>
      <c r="AA550" s="27">
        <f>Parameters!Y276</f>
        <v>0</v>
      </c>
      <c r="AB550" s="28">
        <f>Parameters!Z276</f>
        <v>0</v>
      </c>
      <c r="AC550" s="23">
        <f>Parameters!AA276</f>
        <v>0</v>
      </c>
    </row>
    <row r="551" spans="1:29">
      <c r="A551" s="29" t="str">
        <f>UPPER(A550)</f>
        <v>0</v>
      </c>
      <c r="B551" s="29">
        <f>B550</f>
        <v>0</v>
      </c>
      <c r="C551" s="30">
        <f>C550</f>
        <v>0</v>
      </c>
      <c r="D551" s="30">
        <f>D550</f>
        <v>0</v>
      </c>
      <c r="E551" s="29">
        <f>E550</f>
        <v>0</v>
      </c>
      <c r="F551" s="29">
        <f>F550</f>
        <v>0</v>
      </c>
      <c r="G551" s="29" t="e">
        <f>IF(C550=1,IF(D550="BUY",E550+(ROUND(F550*G550/B550,0)*B550),E550-(ROUND(F550*G550/B550,0)*B550)),IF(D550="BUY",E550-(ROUND(F550*G550/B550,0)*B550),E550+(ROUND(F550*G550/B550,0)*B550)))</f>
        <v>#DIV/0!</v>
      </c>
      <c r="H551" s="29" t="e">
        <f>IF(C550=1,IF(D550="BUY",G551-(ROUND(F550*H550/B550,0)*B550),G551+(ROUND(F550*H550/B550,0)*B550)),IF(D550="BUY",G551+(ROUND(F550*H550/B550,0)*B550),G551-(ROUND(F550*H550/B550,0)*B550)))</f>
        <v>#DIV/0!</v>
      </c>
      <c r="I551" s="29" t="e">
        <f>IF(D550="BUY",G551+(ROUND(F550*I550/(B550*100),0)*B550),G551-(ROUND(F550*I550/(B550*100),0)*B550))</f>
        <v>#DIV/0!</v>
      </c>
      <c r="J551" s="29" t="e">
        <f>IF(C550=1,IF(D550="BUY",E550+(ROUND(F550*J550/B550,0)*B550),E550-(ROUND(F550*J550/B550,0)*B550)),IF(D550="BUY",E550-(ROUND(F550*J550/B550,0)*B550),E550+(ROUND(F550*J550/B550,0)*B550)))</f>
        <v>#DIV/0!</v>
      </c>
      <c r="K551" s="29" t="e">
        <f>IF(C550=1,IF(D550="BUY",E550-(ROUND(F550*K550/B550,0)*B550),E550+(ROUND(F550*K550/B550,0)*B550)),IF(D550="BUY",E550-(ROUND(F550*K550/B550,0)*B550),E550+(ROUND(F550*K550/B550,0)*B550)))</f>
        <v>#DIV/0!</v>
      </c>
      <c r="L551" s="29" t="e">
        <f t="shared" ref="L551" si="821">IF(D551="BUY",I551+(R551*B551),I551-(R551*B551))</f>
        <v>#DIV/0!</v>
      </c>
      <c r="M551" s="29" t="e">
        <f>IF(D550="BUY",E550+(ROUND(F550*M550/B550,0)*B550),E550-(ROUND(F550*M550/B550,0)*B550))</f>
        <v>#DIV/0!</v>
      </c>
      <c r="N551" s="29" t="e">
        <f>IF(D550="BUY",E550-(ROUND(F550*N550/B550,0)*B550),E550+(ROUND(F550*N550/B550,0)*B550))</f>
        <v>#DIV/0!</v>
      </c>
      <c r="O551" s="31" t="e">
        <f>IF(D551="BUY",N551-VLOOKUP(A551,Symbols!A$1:D$1000,4,FALSE),N551+VLOOKUP(A551,Symbols!A$1:D$1000,4,FALSE))</f>
        <v>#DIV/0!</v>
      </c>
      <c r="P551" s="29">
        <f>P550</f>
        <v>0</v>
      </c>
      <c r="Q551" s="29">
        <f>Q550</f>
        <v>0</v>
      </c>
      <c r="R551" s="29">
        <f>R550</f>
        <v>0</v>
      </c>
      <c r="S551" s="29">
        <f>S550</f>
        <v>0</v>
      </c>
      <c r="T551" s="29">
        <f>T550</f>
        <v>0</v>
      </c>
      <c r="U551" s="29" t="e">
        <f>DATEDIF(DATE(1970,1,1),U550,"D")*86400</f>
        <v>#NUM!</v>
      </c>
      <c r="V551" s="29">
        <f>HOUR(V550)*3600+MINUTE(V550)*60+SECOND(V550)</f>
        <v>0</v>
      </c>
      <c r="W551" s="29" t="e">
        <f>DATEDIF(DATE(1970,1,1),W550,"D")*86400</f>
        <v>#NUM!</v>
      </c>
      <c r="X551" s="29">
        <f>HOUR(X550)*3600+MINUTE(X550)*60+SECOND(X550)</f>
        <v>0</v>
      </c>
      <c r="Y551" s="31">
        <f>(Y550*B551)</f>
        <v>0</v>
      </c>
      <c r="Z551" s="29">
        <f>Z550</f>
        <v>0</v>
      </c>
      <c r="AA551" s="29" t="e">
        <f>DATEDIF(DATE(1970,1,1),AA550,"D")*86400</f>
        <v>#NUM!</v>
      </c>
      <c r="AB551" s="29">
        <f>HOUR(AB550)*3600+MINUTE(AB550)*60+SECOND(AB550)</f>
        <v>0</v>
      </c>
      <c r="AC551" s="29">
        <f>AC550</f>
        <v>0</v>
      </c>
    </row>
    <row r="552" spans="1:29">
      <c r="A552" s="23">
        <f>Parameters!A277</f>
        <v>0</v>
      </c>
      <c r="B552" s="23">
        <f>Parameters!B277</f>
        <v>0</v>
      </c>
      <c r="C552" s="24">
        <f>Parameters!C277</f>
        <v>0</v>
      </c>
      <c r="D552" s="24">
        <f>Parameters!D277</f>
        <v>0</v>
      </c>
      <c r="E552" s="23">
        <f>Parameters!E277</f>
        <v>0</v>
      </c>
      <c r="F552" s="23">
        <f>Parameters!F277</f>
        <v>0</v>
      </c>
      <c r="G552" s="25">
        <f>Parameters!G277</f>
        <v>0</v>
      </c>
      <c r="H552" s="25">
        <f>Parameters!H277</f>
        <v>0</v>
      </c>
      <c r="I552" s="25">
        <f>Parameters!I277</f>
        <v>0</v>
      </c>
      <c r="J552" s="25">
        <f>Parameters!J277</f>
        <v>0</v>
      </c>
      <c r="K552" s="25">
        <f>Parameters!K277</f>
        <v>0</v>
      </c>
      <c r="L552" s="26" t="e">
        <f t="shared" ref="L552" si="822">L553</f>
        <v>#DIV/0!</v>
      </c>
      <c r="M552" s="25">
        <f>Parameters!L277</f>
        <v>0</v>
      </c>
      <c r="N552" s="25">
        <f>Parameters!M277</f>
        <v>0</v>
      </c>
      <c r="O552" s="26" t="e">
        <f t="shared" ref="O552" si="823">O553</f>
        <v>#DIV/0!</v>
      </c>
      <c r="P552" s="23">
        <f>Parameters!N277</f>
        <v>0</v>
      </c>
      <c r="Q552" s="23">
        <f>Parameters!O277</f>
        <v>0</v>
      </c>
      <c r="R552" s="23">
        <f>Parameters!P277</f>
        <v>0</v>
      </c>
      <c r="S552" s="23">
        <f>Parameters!Q277</f>
        <v>0</v>
      </c>
      <c r="T552" s="23">
        <f>Parameters!R277</f>
        <v>0</v>
      </c>
      <c r="U552" s="27">
        <f>Parameters!S277</f>
        <v>0</v>
      </c>
      <c r="V552" s="28">
        <f>Parameters!T277</f>
        <v>0</v>
      </c>
      <c r="W552" s="27">
        <f>Parameters!U277</f>
        <v>0</v>
      </c>
      <c r="X552" s="28">
        <f>Parameters!V277</f>
        <v>0</v>
      </c>
      <c r="Y552" s="25">
        <f>Parameters!W277</f>
        <v>0</v>
      </c>
      <c r="Z552" s="23">
        <f>Parameters!X277</f>
        <v>0</v>
      </c>
      <c r="AA552" s="27">
        <f>Parameters!Y277</f>
        <v>0</v>
      </c>
      <c r="AB552" s="28">
        <f>Parameters!Z277</f>
        <v>0</v>
      </c>
      <c r="AC552" s="23">
        <f>Parameters!AA277</f>
        <v>0</v>
      </c>
    </row>
    <row r="553" spans="1:29">
      <c r="A553" s="29" t="str">
        <f>UPPER(A552)</f>
        <v>0</v>
      </c>
      <c r="B553" s="29">
        <f>B552</f>
        <v>0</v>
      </c>
      <c r="C553" s="30">
        <f>C552</f>
        <v>0</v>
      </c>
      <c r="D553" s="30">
        <f>D552</f>
        <v>0</v>
      </c>
      <c r="E553" s="29">
        <f>E552</f>
        <v>0</v>
      </c>
      <c r="F553" s="29">
        <f>F552</f>
        <v>0</v>
      </c>
      <c r="G553" s="29" t="e">
        <f>IF(C552=1,IF(D552="BUY",E552+(ROUND(F552*G552/B552,0)*B552),E552-(ROUND(F552*G552/B552,0)*B552)),IF(D552="BUY",E552-(ROUND(F552*G552/B552,0)*B552),E552+(ROUND(F552*G552/B552,0)*B552)))</f>
        <v>#DIV/0!</v>
      </c>
      <c r="H553" s="29" t="e">
        <f>IF(C552=1,IF(D552="BUY",G553-(ROUND(F552*H552/B552,0)*B552),G553+(ROUND(F552*H552/B552,0)*B552)),IF(D552="BUY",G553+(ROUND(F552*H552/B552,0)*B552),G553-(ROUND(F552*H552/B552,0)*B552)))</f>
        <v>#DIV/0!</v>
      </c>
      <c r="I553" s="29" t="e">
        <f>IF(D552="BUY",G553+(ROUND(F552*I552/(B552*100),0)*B552),G553-(ROUND(F552*I552/(B552*100),0)*B552))</f>
        <v>#DIV/0!</v>
      </c>
      <c r="J553" s="29" t="e">
        <f>IF(C552=1,IF(D552="BUY",E552+(ROUND(F552*J552/B552,0)*B552),E552-(ROUND(F552*J552/B552,0)*B552)),IF(D552="BUY",E552-(ROUND(F552*J552/B552,0)*B552),E552+(ROUND(F552*J552/B552,0)*B552)))</f>
        <v>#DIV/0!</v>
      </c>
      <c r="K553" s="29" t="e">
        <f>IF(C552=1,IF(D552="BUY",E552-(ROUND(F552*K552/B552,0)*B552),E552+(ROUND(F552*K552/B552,0)*B552)),IF(D552="BUY",E552-(ROUND(F552*K552/B552,0)*B552),E552+(ROUND(F552*K552/B552,0)*B552)))</f>
        <v>#DIV/0!</v>
      </c>
      <c r="L553" s="29" t="e">
        <f t="shared" ref="L553" si="824">IF(D553="BUY",I553+(R553*B553),I553-(R553*B553))</f>
        <v>#DIV/0!</v>
      </c>
      <c r="M553" s="29" t="e">
        <f>IF(D552="BUY",E552+(ROUND(F552*M552/B552,0)*B552),E552-(ROUND(F552*M552/B552,0)*B552))</f>
        <v>#DIV/0!</v>
      </c>
      <c r="N553" s="29" t="e">
        <f>IF(D552="BUY",E552-(ROUND(F552*N552/B552,0)*B552),E552+(ROUND(F552*N552/B552,0)*B552))</f>
        <v>#DIV/0!</v>
      </c>
      <c r="O553" s="31" t="e">
        <f>IF(D553="BUY",N553-VLOOKUP(A553,Symbols!A$1:D$1000,4,FALSE),N553+VLOOKUP(A553,Symbols!A$1:D$1000,4,FALSE))</f>
        <v>#DIV/0!</v>
      </c>
      <c r="P553" s="29">
        <f>P552</f>
        <v>0</v>
      </c>
      <c r="Q553" s="29">
        <f>Q552</f>
        <v>0</v>
      </c>
      <c r="R553" s="29">
        <f>R552</f>
        <v>0</v>
      </c>
      <c r="S553" s="29">
        <f>S552</f>
        <v>0</v>
      </c>
      <c r="T553" s="29">
        <f>T552</f>
        <v>0</v>
      </c>
      <c r="U553" s="29" t="e">
        <f>DATEDIF(DATE(1970,1,1),U552,"D")*86400</f>
        <v>#NUM!</v>
      </c>
      <c r="V553" s="29">
        <f>HOUR(V552)*3600+MINUTE(V552)*60+SECOND(V552)</f>
        <v>0</v>
      </c>
      <c r="W553" s="29" t="e">
        <f>DATEDIF(DATE(1970,1,1),W552,"D")*86400</f>
        <v>#NUM!</v>
      </c>
      <c r="X553" s="29">
        <f>HOUR(X552)*3600+MINUTE(X552)*60+SECOND(X552)</f>
        <v>0</v>
      </c>
      <c r="Y553" s="31">
        <f>(Y552*B553)</f>
        <v>0</v>
      </c>
      <c r="Z553" s="29">
        <f>Z552</f>
        <v>0</v>
      </c>
      <c r="AA553" s="29" t="e">
        <f>DATEDIF(DATE(1970,1,1),AA552,"D")*86400</f>
        <v>#NUM!</v>
      </c>
      <c r="AB553" s="29">
        <f>HOUR(AB552)*3600+MINUTE(AB552)*60+SECOND(AB552)</f>
        <v>0</v>
      </c>
      <c r="AC553" s="29">
        <f>AC552</f>
        <v>0</v>
      </c>
    </row>
    <row r="554" spans="1:29">
      <c r="A554" s="23">
        <f>Parameters!A278</f>
        <v>0</v>
      </c>
      <c r="B554" s="23">
        <f>Parameters!B278</f>
        <v>0</v>
      </c>
      <c r="C554" s="24">
        <f>Parameters!C278</f>
        <v>0</v>
      </c>
      <c r="D554" s="24">
        <f>Parameters!D278</f>
        <v>0</v>
      </c>
      <c r="E554" s="23">
        <f>Parameters!E278</f>
        <v>0</v>
      </c>
      <c r="F554" s="23">
        <f>Parameters!F278</f>
        <v>0</v>
      </c>
      <c r="G554" s="25">
        <f>Parameters!G278</f>
        <v>0</v>
      </c>
      <c r="H554" s="25">
        <f>Parameters!H278</f>
        <v>0</v>
      </c>
      <c r="I554" s="25">
        <f>Parameters!I278</f>
        <v>0</v>
      </c>
      <c r="J554" s="25">
        <f>Parameters!J278</f>
        <v>0</v>
      </c>
      <c r="K554" s="25">
        <f>Parameters!K278</f>
        <v>0</v>
      </c>
      <c r="L554" s="26" t="e">
        <f t="shared" ref="L554" si="825">L555</f>
        <v>#DIV/0!</v>
      </c>
      <c r="M554" s="25">
        <f>Parameters!L278</f>
        <v>0</v>
      </c>
      <c r="N554" s="25">
        <f>Parameters!M278</f>
        <v>0</v>
      </c>
      <c r="O554" s="26" t="e">
        <f t="shared" ref="O554" si="826">O555</f>
        <v>#DIV/0!</v>
      </c>
      <c r="P554" s="23">
        <f>Parameters!N278</f>
        <v>0</v>
      </c>
      <c r="Q554" s="23">
        <f>Parameters!O278</f>
        <v>0</v>
      </c>
      <c r="R554" s="23">
        <f>Parameters!P278</f>
        <v>0</v>
      </c>
      <c r="S554" s="23">
        <f>Parameters!Q278</f>
        <v>0</v>
      </c>
      <c r="T554" s="23">
        <f>Parameters!R278</f>
        <v>0</v>
      </c>
      <c r="U554" s="27">
        <f>Parameters!S278</f>
        <v>0</v>
      </c>
      <c r="V554" s="28">
        <f>Parameters!T278</f>
        <v>0</v>
      </c>
      <c r="W554" s="27">
        <f>Parameters!U278</f>
        <v>0</v>
      </c>
      <c r="X554" s="28">
        <f>Parameters!V278</f>
        <v>0</v>
      </c>
      <c r="Y554" s="25">
        <f>Parameters!W278</f>
        <v>0</v>
      </c>
      <c r="Z554" s="23">
        <f>Parameters!X278</f>
        <v>0</v>
      </c>
      <c r="AA554" s="27">
        <f>Parameters!Y278</f>
        <v>0</v>
      </c>
      <c r="AB554" s="28">
        <f>Parameters!Z278</f>
        <v>0</v>
      </c>
      <c r="AC554" s="23">
        <f>Parameters!AA278</f>
        <v>0</v>
      </c>
    </row>
    <row r="555" spans="1:29">
      <c r="A555" s="29" t="str">
        <f>UPPER(A554)</f>
        <v>0</v>
      </c>
      <c r="B555" s="29">
        <f>B554</f>
        <v>0</v>
      </c>
      <c r="C555" s="30">
        <f>C554</f>
        <v>0</v>
      </c>
      <c r="D555" s="30">
        <f>D554</f>
        <v>0</v>
      </c>
      <c r="E555" s="29">
        <f>E554</f>
        <v>0</v>
      </c>
      <c r="F555" s="29">
        <f>F554</f>
        <v>0</v>
      </c>
      <c r="G555" s="29" t="e">
        <f>IF(C554=1,IF(D554="BUY",E554+(ROUND(F554*G554/B554,0)*B554),E554-(ROUND(F554*G554/B554,0)*B554)),IF(D554="BUY",E554-(ROUND(F554*G554/B554,0)*B554),E554+(ROUND(F554*G554/B554,0)*B554)))</f>
        <v>#DIV/0!</v>
      </c>
      <c r="H555" s="29" t="e">
        <f>IF(C554=1,IF(D554="BUY",G555-(ROUND(F554*H554/B554,0)*B554),G555+(ROUND(F554*H554/B554,0)*B554)),IF(D554="BUY",G555+(ROUND(F554*H554/B554,0)*B554),G555-(ROUND(F554*H554/B554,0)*B554)))</f>
        <v>#DIV/0!</v>
      </c>
      <c r="I555" s="29" t="e">
        <f>IF(D554="BUY",G555+(ROUND(F554*I554/(B554*100),0)*B554),G555-(ROUND(F554*I554/(B554*100),0)*B554))</f>
        <v>#DIV/0!</v>
      </c>
      <c r="J555" s="29" t="e">
        <f>IF(C554=1,IF(D554="BUY",E554+(ROUND(F554*J554/B554,0)*B554),E554-(ROUND(F554*J554/B554,0)*B554)),IF(D554="BUY",E554-(ROUND(F554*J554/B554,0)*B554),E554+(ROUND(F554*J554/B554,0)*B554)))</f>
        <v>#DIV/0!</v>
      </c>
      <c r="K555" s="29" t="e">
        <f>IF(C554=1,IF(D554="BUY",E554-(ROUND(F554*K554/B554,0)*B554),E554+(ROUND(F554*K554/B554,0)*B554)),IF(D554="BUY",E554-(ROUND(F554*K554/B554,0)*B554),E554+(ROUND(F554*K554/B554,0)*B554)))</f>
        <v>#DIV/0!</v>
      </c>
      <c r="L555" s="29" t="e">
        <f t="shared" ref="L555" si="827">IF(D555="BUY",I555+(R555*B555),I555-(R555*B555))</f>
        <v>#DIV/0!</v>
      </c>
      <c r="M555" s="29" t="e">
        <f>IF(D554="BUY",E554+(ROUND(F554*M554/B554,0)*B554),E554-(ROUND(F554*M554/B554,0)*B554))</f>
        <v>#DIV/0!</v>
      </c>
      <c r="N555" s="29" t="e">
        <f>IF(D554="BUY",E554-(ROUND(F554*N554/B554,0)*B554),E554+(ROUND(F554*N554/B554,0)*B554))</f>
        <v>#DIV/0!</v>
      </c>
      <c r="O555" s="31" t="e">
        <f>IF(D555="BUY",N555-VLOOKUP(A555,Symbols!A$1:D$1000,4,FALSE),N555+VLOOKUP(A555,Symbols!A$1:D$1000,4,FALSE))</f>
        <v>#DIV/0!</v>
      </c>
      <c r="P555" s="29">
        <f>P554</f>
        <v>0</v>
      </c>
      <c r="Q555" s="29">
        <f>Q554</f>
        <v>0</v>
      </c>
      <c r="R555" s="29">
        <f>R554</f>
        <v>0</v>
      </c>
      <c r="S555" s="29">
        <f>S554</f>
        <v>0</v>
      </c>
      <c r="T555" s="29">
        <f>T554</f>
        <v>0</v>
      </c>
      <c r="U555" s="29" t="e">
        <f>DATEDIF(DATE(1970,1,1),U554,"D")*86400</f>
        <v>#NUM!</v>
      </c>
      <c r="V555" s="29">
        <f>HOUR(V554)*3600+MINUTE(V554)*60+SECOND(V554)</f>
        <v>0</v>
      </c>
      <c r="W555" s="29" t="e">
        <f>DATEDIF(DATE(1970,1,1),W554,"D")*86400</f>
        <v>#NUM!</v>
      </c>
      <c r="X555" s="29">
        <f>HOUR(X554)*3600+MINUTE(X554)*60+SECOND(X554)</f>
        <v>0</v>
      </c>
      <c r="Y555" s="31">
        <f>(Y554*B555)</f>
        <v>0</v>
      </c>
      <c r="Z555" s="29">
        <f>Z554</f>
        <v>0</v>
      </c>
      <c r="AA555" s="29" t="e">
        <f>DATEDIF(DATE(1970,1,1),AA554,"D")*86400</f>
        <v>#NUM!</v>
      </c>
      <c r="AB555" s="29">
        <f>HOUR(AB554)*3600+MINUTE(AB554)*60+SECOND(AB554)</f>
        <v>0</v>
      </c>
      <c r="AC555" s="29">
        <f>AC554</f>
        <v>0</v>
      </c>
    </row>
    <row r="556" spans="1:29">
      <c r="A556" s="23">
        <f>Parameters!A279</f>
        <v>0</v>
      </c>
      <c r="B556" s="23">
        <f>Parameters!B279</f>
        <v>0</v>
      </c>
      <c r="C556" s="24">
        <f>Parameters!C279</f>
        <v>0</v>
      </c>
      <c r="D556" s="24">
        <f>Parameters!D279</f>
        <v>0</v>
      </c>
      <c r="E556" s="23">
        <f>Parameters!E279</f>
        <v>0</v>
      </c>
      <c r="F556" s="23">
        <f>Parameters!F279</f>
        <v>0</v>
      </c>
      <c r="G556" s="25">
        <f>Parameters!G279</f>
        <v>0</v>
      </c>
      <c r="H556" s="25">
        <f>Parameters!H279</f>
        <v>0</v>
      </c>
      <c r="I556" s="25">
        <f>Parameters!I279</f>
        <v>0</v>
      </c>
      <c r="J556" s="25">
        <f>Parameters!J279</f>
        <v>0</v>
      </c>
      <c r="K556" s="25">
        <f>Parameters!K279</f>
        <v>0</v>
      </c>
      <c r="L556" s="26" t="e">
        <f t="shared" ref="L556" si="828">L557</f>
        <v>#DIV/0!</v>
      </c>
      <c r="M556" s="25">
        <f>Parameters!L279</f>
        <v>0</v>
      </c>
      <c r="N556" s="25">
        <f>Parameters!M279</f>
        <v>0</v>
      </c>
      <c r="O556" s="26" t="e">
        <f t="shared" ref="O556" si="829">O557</f>
        <v>#DIV/0!</v>
      </c>
      <c r="P556" s="23">
        <f>Parameters!N279</f>
        <v>0</v>
      </c>
      <c r="Q556" s="23">
        <f>Parameters!O279</f>
        <v>0</v>
      </c>
      <c r="R556" s="23">
        <f>Parameters!P279</f>
        <v>0</v>
      </c>
      <c r="S556" s="23">
        <f>Parameters!Q279</f>
        <v>0</v>
      </c>
      <c r="T556" s="23">
        <f>Parameters!R279</f>
        <v>0</v>
      </c>
      <c r="U556" s="27">
        <f>Parameters!S279</f>
        <v>0</v>
      </c>
      <c r="V556" s="28">
        <f>Parameters!T279</f>
        <v>0</v>
      </c>
      <c r="W556" s="27">
        <f>Parameters!U279</f>
        <v>0</v>
      </c>
      <c r="X556" s="28">
        <f>Parameters!V279</f>
        <v>0</v>
      </c>
      <c r="Y556" s="25">
        <f>Parameters!W279</f>
        <v>0</v>
      </c>
      <c r="Z556" s="23">
        <f>Parameters!X279</f>
        <v>0</v>
      </c>
      <c r="AA556" s="27">
        <f>Parameters!Y279</f>
        <v>0</v>
      </c>
      <c r="AB556" s="28">
        <f>Parameters!Z279</f>
        <v>0</v>
      </c>
      <c r="AC556" s="23">
        <f>Parameters!AA279</f>
        <v>0</v>
      </c>
    </row>
    <row r="557" spans="1:29">
      <c r="A557" s="29" t="str">
        <f>UPPER(A556)</f>
        <v>0</v>
      </c>
      <c r="B557" s="29">
        <f>B556</f>
        <v>0</v>
      </c>
      <c r="C557" s="30">
        <f>C556</f>
        <v>0</v>
      </c>
      <c r="D557" s="30">
        <f>D556</f>
        <v>0</v>
      </c>
      <c r="E557" s="29">
        <f>E556</f>
        <v>0</v>
      </c>
      <c r="F557" s="29">
        <f>F556</f>
        <v>0</v>
      </c>
      <c r="G557" s="29" t="e">
        <f>IF(C556=1,IF(D556="BUY",E556+(ROUND(F556*G556/B556,0)*B556),E556-(ROUND(F556*G556/B556,0)*B556)),IF(D556="BUY",E556-(ROUND(F556*G556/B556,0)*B556),E556+(ROUND(F556*G556/B556,0)*B556)))</f>
        <v>#DIV/0!</v>
      </c>
      <c r="H557" s="29" t="e">
        <f>IF(C556=1,IF(D556="BUY",G557-(ROUND(F556*H556/B556,0)*B556),G557+(ROUND(F556*H556/B556,0)*B556)),IF(D556="BUY",G557+(ROUND(F556*H556/B556,0)*B556),G557-(ROUND(F556*H556/B556,0)*B556)))</f>
        <v>#DIV/0!</v>
      </c>
      <c r="I557" s="29" t="e">
        <f>IF(D556="BUY",G557+(ROUND(F556*I556/(B556*100),0)*B556),G557-(ROUND(F556*I556/(B556*100),0)*B556))</f>
        <v>#DIV/0!</v>
      </c>
      <c r="J557" s="29" t="e">
        <f>IF(C556=1,IF(D556="BUY",E556+(ROUND(F556*J556/B556,0)*B556),E556-(ROUND(F556*J556/B556,0)*B556)),IF(D556="BUY",E556-(ROUND(F556*J556/B556,0)*B556),E556+(ROUND(F556*J556/B556,0)*B556)))</f>
        <v>#DIV/0!</v>
      </c>
      <c r="K557" s="29" t="e">
        <f>IF(C556=1,IF(D556="BUY",E556-(ROUND(F556*K556/B556,0)*B556),E556+(ROUND(F556*K556/B556,0)*B556)),IF(D556="BUY",E556-(ROUND(F556*K556/B556,0)*B556),E556+(ROUND(F556*K556/B556,0)*B556)))</f>
        <v>#DIV/0!</v>
      </c>
      <c r="L557" s="29" t="e">
        <f t="shared" ref="L557" si="830">IF(D557="BUY",I557+(R557*B557),I557-(R557*B557))</f>
        <v>#DIV/0!</v>
      </c>
      <c r="M557" s="29" t="e">
        <f>IF(D556="BUY",E556+(ROUND(F556*M556/B556,0)*B556),E556-(ROUND(F556*M556/B556,0)*B556))</f>
        <v>#DIV/0!</v>
      </c>
      <c r="N557" s="29" t="e">
        <f>IF(D556="BUY",E556-(ROUND(F556*N556/B556,0)*B556),E556+(ROUND(F556*N556/B556,0)*B556))</f>
        <v>#DIV/0!</v>
      </c>
      <c r="O557" s="31" t="e">
        <f>IF(D557="BUY",N557-VLOOKUP(A557,Symbols!A$1:D$1000,4,FALSE),N557+VLOOKUP(A557,Symbols!A$1:D$1000,4,FALSE))</f>
        <v>#DIV/0!</v>
      </c>
      <c r="P557" s="29">
        <f>P556</f>
        <v>0</v>
      </c>
      <c r="Q557" s="29">
        <f>Q556</f>
        <v>0</v>
      </c>
      <c r="R557" s="29">
        <f>R556</f>
        <v>0</v>
      </c>
      <c r="S557" s="29">
        <f>S556</f>
        <v>0</v>
      </c>
      <c r="T557" s="29">
        <f>T556</f>
        <v>0</v>
      </c>
      <c r="U557" s="29" t="e">
        <f>DATEDIF(DATE(1970,1,1),U556,"D")*86400</f>
        <v>#NUM!</v>
      </c>
      <c r="V557" s="29">
        <f>HOUR(V556)*3600+MINUTE(V556)*60+SECOND(V556)</f>
        <v>0</v>
      </c>
      <c r="W557" s="29" t="e">
        <f>DATEDIF(DATE(1970,1,1),W556,"D")*86400</f>
        <v>#NUM!</v>
      </c>
      <c r="X557" s="29">
        <f>HOUR(X556)*3600+MINUTE(X556)*60+SECOND(X556)</f>
        <v>0</v>
      </c>
      <c r="Y557" s="31">
        <f>(Y556*B557)</f>
        <v>0</v>
      </c>
      <c r="Z557" s="29">
        <f>Z556</f>
        <v>0</v>
      </c>
      <c r="AA557" s="29" t="e">
        <f>DATEDIF(DATE(1970,1,1),AA556,"D")*86400</f>
        <v>#NUM!</v>
      </c>
      <c r="AB557" s="29">
        <f>HOUR(AB556)*3600+MINUTE(AB556)*60+SECOND(AB556)</f>
        <v>0</v>
      </c>
      <c r="AC557" s="29">
        <f>AC556</f>
        <v>0</v>
      </c>
    </row>
    <row r="558" spans="1:29">
      <c r="A558" s="23">
        <f>Parameters!A280</f>
        <v>0</v>
      </c>
      <c r="B558" s="23">
        <f>Parameters!B280</f>
        <v>0</v>
      </c>
      <c r="C558" s="24">
        <f>Parameters!C280</f>
        <v>0</v>
      </c>
      <c r="D558" s="24">
        <f>Parameters!D280</f>
        <v>0</v>
      </c>
      <c r="E558" s="23">
        <f>Parameters!E280</f>
        <v>0</v>
      </c>
      <c r="F558" s="23">
        <f>Parameters!F280</f>
        <v>0</v>
      </c>
      <c r="G558" s="25">
        <f>Parameters!G280</f>
        <v>0</v>
      </c>
      <c r="H558" s="25">
        <f>Parameters!H280</f>
        <v>0</v>
      </c>
      <c r="I558" s="25">
        <f>Parameters!I280</f>
        <v>0</v>
      </c>
      <c r="J558" s="25">
        <f>Parameters!J280</f>
        <v>0</v>
      </c>
      <c r="K558" s="25">
        <f>Parameters!K280</f>
        <v>0</v>
      </c>
      <c r="L558" s="26" t="e">
        <f t="shared" ref="L558" si="831">L559</f>
        <v>#DIV/0!</v>
      </c>
      <c r="M558" s="25">
        <f>Parameters!L280</f>
        <v>0</v>
      </c>
      <c r="N558" s="25">
        <f>Parameters!M280</f>
        <v>0</v>
      </c>
      <c r="O558" s="26" t="e">
        <f t="shared" ref="O558" si="832">O559</f>
        <v>#DIV/0!</v>
      </c>
      <c r="P558" s="23">
        <f>Parameters!N280</f>
        <v>0</v>
      </c>
      <c r="Q558" s="23">
        <f>Parameters!O280</f>
        <v>0</v>
      </c>
      <c r="R558" s="23">
        <f>Parameters!P280</f>
        <v>0</v>
      </c>
      <c r="S558" s="23">
        <f>Parameters!Q280</f>
        <v>0</v>
      </c>
      <c r="T558" s="23">
        <f>Parameters!R280</f>
        <v>0</v>
      </c>
      <c r="U558" s="27">
        <f>Parameters!S280</f>
        <v>0</v>
      </c>
      <c r="V558" s="28">
        <f>Parameters!T280</f>
        <v>0</v>
      </c>
      <c r="W558" s="27">
        <f>Parameters!U280</f>
        <v>0</v>
      </c>
      <c r="X558" s="28">
        <f>Parameters!V280</f>
        <v>0</v>
      </c>
      <c r="Y558" s="25">
        <f>Parameters!W280</f>
        <v>0</v>
      </c>
      <c r="Z558" s="23">
        <f>Parameters!X280</f>
        <v>0</v>
      </c>
      <c r="AA558" s="27">
        <f>Parameters!Y280</f>
        <v>0</v>
      </c>
      <c r="AB558" s="28">
        <f>Parameters!Z280</f>
        <v>0</v>
      </c>
      <c r="AC558" s="23">
        <f>Parameters!AA280</f>
        <v>0</v>
      </c>
    </row>
    <row r="559" spans="1:29">
      <c r="A559" s="29" t="str">
        <f>UPPER(A558)</f>
        <v>0</v>
      </c>
      <c r="B559" s="29">
        <f>B558</f>
        <v>0</v>
      </c>
      <c r="C559" s="30">
        <f>C558</f>
        <v>0</v>
      </c>
      <c r="D559" s="30">
        <f>D558</f>
        <v>0</v>
      </c>
      <c r="E559" s="29">
        <f>E558</f>
        <v>0</v>
      </c>
      <c r="F559" s="29">
        <f>F558</f>
        <v>0</v>
      </c>
      <c r="G559" s="29" t="e">
        <f>IF(C558=1,IF(D558="BUY",E558+(ROUND(F558*G558/B558,0)*B558),E558-(ROUND(F558*G558/B558,0)*B558)),IF(D558="BUY",E558-(ROUND(F558*G558/B558,0)*B558),E558+(ROUND(F558*G558/B558,0)*B558)))</f>
        <v>#DIV/0!</v>
      </c>
      <c r="H559" s="29" t="e">
        <f>IF(C558=1,IF(D558="BUY",G559-(ROUND(F558*H558/B558,0)*B558),G559+(ROUND(F558*H558/B558,0)*B558)),IF(D558="BUY",G559+(ROUND(F558*H558/B558,0)*B558),G559-(ROUND(F558*H558/B558,0)*B558)))</f>
        <v>#DIV/0!</v>
      </c>
      <c r="I559" s="29" t="e">
        <f>IF(D558="BUY",G559+(ROUND(F558*I558/(B558*100),0)*B558),G559-(ROUND(F558*I558/(B558*100),0)*B558))</f>
        <v>#DIV/0!</v>
      </c>
      <c r="J559" s="29" t="e">
        <f>IF(C558=1,IF(D558="BUY",E558+(ROUND(F558*J558/B558,0)*B558),E558-(ROUND(F558*J558/B558,0)*B558)),IF(D558="BUY",E558-(ROUND(F558*J558/B558,0)*B558),E558+(ROUND(F558*J558/B558,0)*B558)))</f>
        <v>#DIV/0!</v>
      </c>
      <c r="K559" s="29" t="e">
        <f>IF(C558=1,IF(D558="BUY",E558-(ROUND(F558*K558/B558,0)*B558),E558+(ROUND(F558*K558/B558,0)*B558)),IF(D558="BUY",E558-(ROUND(F558*K558/B558,0)*B558),E558+(ROUND(F558*K558/B558,0)*B558)))</f>
        <v>#DIV/0!</v>
      </c>
      <c r="L559" s="29" t="e">
        <f t="shared" ref="L559" si="833">IF(D559="BUY",I559+(R559*B559),I559-(R559*B559))</f>
        <v>#DIV/0!</v>
      </c>
      <c r="M559" s="29" t="e">
        <f>IF(D558="BUY",E558+(ROUND(F558*M558/B558,0)*B558),E558-(ROUND(F558*M558/B558,0)*B558))</f>
        <v>#DIV/0!</v>
      </c>
      <c r="N559" s="29" t="e">
        <f>IF(D558="BUY",E558-(ROUND(F558*N558/B558,0)*B558),E558+(ROUND(F558*N558/B558,0)*B558))</f>
        <v>#DIV/0!</v>
      </c>
      <c r="O559" s="31" t="e">
        <f>IF(D559="BUY",N559-VLOOKUP(A559,Symbols!A$1:D$1000,4,FALSE),N559+VLOOKUP(A559,Symbols!A$1:D$1000,4,FALSE))</f>
        <v>#DIV/0!</v>
      </c>
      <c r="P559" s="29">
        <f>P558</f>
        <v>0</v>
      </c>
      <c r="Q559" s="29">
        <f>Q558</f>
        <v>0</v>
      </c>
      <c r="R559" s="29">
        <f>R558</f>
        <v>0</v>
      </c>
      <c r="S559" s="29">
        <f>S558</f>
        <v>0</v>
      </c>
      <c r="T559" s="29">
        <f>T558</f>
        <v>0</v>
      </c>
      <c r="U559" s="29" t="e">
        <f>DATEDIF(DATE(1970,1,1),U558,"D")*86400</f>
        <v>#NUM!</v>
      </c>
      <c r="V559" s="29">
        <f>HOUR(V558)*3600+MINUTE(V558)*60+SECOND(V558)</f>
        <v>0</v>
      </c>
      <c r="W559" s="29" t="e">
        <f>DATEDIF(DATE(1970,1,1),W558,"D")*86400</f>
        <v>#NUM!</v>
      </c>
      <c r="X559" s="29">
        <f>HOUR(X558)*3600+MINUTE(X558)*60+SECOND(X558)</f>
        <v>0</v>
      </c>
      <c r="Y559" s="31">
        <f>(Y558*B559)</f>
        <v>0</v>
      </c>
      <c r="Z559" s="29">
        <f>Z558</f>
        <v>0</v>
      </c>
      <c r="AA559" s="29" t="e">
        <f>DATEDIF(DATE(1970,1,1),AA558,"D")*86400</f>
        <v>#NUM!</v>
      </c>
      <c r="AB559" s="29">
        <f>HOUR(AB558)*3600+MINUTE(AB558)*60+SECOND(AB558)</f>
        <v>0</v>
      </c>
      <c r="AC559" s="29">
        <f>AC558</f>
        <v>0</v>
      </c>
    </row>
    <row r="560" spans="1:29">
      <c r="A560" s="23">
        <f>Parameters!A281</f>
        <v>0</v>
      </c>
      <c r="B560" s="23">
        <f>Parameters!B281</f>
        <v>0</v>
      </c>
      <c r="C560" s="24">
        <f>Parameters!C281</f>
        <v>0</v>
      </c>
      <c r="D560" s="24">
        <f>Parameters!D281</f>
        <v>0</v>
      </c>
      <c r="E560" s="23">
        <f>Parameters!E281</f>
        <v>0</v>
      </c>
      <c r="F560" s="23">
        <f>Parameters!F281</f>
        <v>0</v>
      </c>
      <c r="G560" s="25">
        <f>Parameters!G281</f>
        <v>0</v>
      </c>
      <c r="H560" s="25">
        <f>Parameters!H281</f>
        <v>0</v>
      </c>
      <c r="I560" s="25">
        <f>Parameters!I281</f>
        <v>0</v>
      </c>
      <c r="J560" s="25">
        <f>Parameters!J281</f>
        <v>0</v>
      </c>
      <c r="K560" s="25">
        <f>Parameters!K281</f>
        <v>0</v>
      </c>
      <c r="L560" s="26" t="e">
        <f t="shared" ref="L560" si="834">L561</f>
        <v>#DIV/0!</v>
      </c>
      <c r="M560" s="25">
        <f>Parameters!L281</f>
        <v>0</v>
      </c>
      <c r="N560" s="25">
        <f>Parameters!M281</f>
        <v>0</v>
      </c>
      <c r="O560" s="26" t="e">
        <f t="shared" ref="O560" si="835">O561</f>
        <v>#DIV/0!</v>
      </c>
      <c r="P560" s="23">
        <f>Parameters!N281</f>
        <v>0</v>
      </c>
      <c r="Q560" s="23">
        <f>Parameters!O281</f>
        <v>0</v>
      </c>
      <c r="R560" s="23">
        <f>Parameters!P281</f>
        <v>0</v>
      </c>
      <c r="S560" s="23">
        <f>Parameters!Q281</f>
        <v>0</v>
      </c>
      <c r="T560" s="23">
        <f>Parameters!R281</f>
        <v>0</v>
      </c>
      <c r="U560" s="27">
        <f>Parameters!S281</f>
        <v>0</v>
      </c>
      <c r="V560" s="28">
        <f>Parameters!T281</f>
        <v>0</v>
      </c>
      <c r="W560" s="27">
        <f>Parameters!U281</f>
        <v>0</v>
      </c>
      <c r="X560" s="28">
        <f>Parameters!V281</f>
        <v>0</v>
      </c>
      <c r="Y560" s="25">
        <f>Parameters!W281</f>
        <v>0</v>
      </c>
      <c r="Z560" s="23">
        <f>Parameters!X281</f>
        <v>0</v>
      </c>
      <c r="AA560" s="27">
        <f>Parameters!Y281</f>
        <v>0</v>
      </c>
      <c r="AB560" s="28">
        <f>Parameters!Z281</f>
        <v>0</v>
      </c>
      <c r="AC560" s="23">
        <f>Parameters!AA281</f>
        <v>0</v>
      </c>
    </row>
    <row r="561" spans="1:29">
      <c r="A561" s="29" t="str">
        <f>UPPER(A560)</f>
        <v>0</v>
      </c>
      <c r="B561" s="29">
        <f>B560</f>
        <v>0</v>
      </c>
      <c r="C561" s="30">
        <f>C560</f>
        <v>0</v>
      </c>
      <c r="D561" s="30">
        <f>D560</f>
        <v>0</v>
      </c>
      <c r="E561" s="29">
        <f>E560</f>
        <v>0</v>
      </c>
      <c r="F561" s="29">
        <f>F560</f>
        <v>0</v>
      </c>
      <c r="G561" s="29" t="e">
        <f>IF(C560=1,IF(D560="BUY",E560+(ROUND(F560*G560/B560,0)*B560),E560-(ROUND(F560*G560/B560,0)*B560)),IF(D560="BUY",E560-(ROUND(F560*G560/B560,0)*B560),E560+(ROUND(F560*G560/B560,0)*B560)))</f>
        <v>#DIV/0!</v>
      </c>
      <c r="H561" s="29" t="e">
        <f>IF(C560=1,IF(D560="BUY",G561-(ROUND(F560*H560/B560,0)*B560),G561+(ROUND(F560*H560/B560,0)*B560)),IF(D560="BUY",G561+(ROUND(F560*H560/B560,0)*B560),G561-(ROUND(F560*H560/B560,0)*B560)))</f>
        <v>#DIV/0!</v>
      </c>
      <c r="I561" s="29" t="e">
        <f>IF(D560="BUY",G561+(ROUND(F560*I560/(B560*100),0)*B560),G561-(ROUND(F560*I560/(B560*100),0)*B560))</f>
        <v>#DIV/0!</v>
      </c>
      <c r="J561" s="29" t="e">
        <f>IF(C560=1,IF(D560="BUY",E560+(ROUND(F560*J560/B560,0)*B560),E560-(ROUND(F560*J560/B560,0)*B560)),IF(D560="BUY",E560-(ROUND(F560*J560/B560,0)*B560),E560+(ROUND(F560*J560/B560,0)*B560)))</f>
        <v>#DIV/0!</v>
      </c>
      <c r="K561" s="29" t="e">
        <f>IF(C560=1,IF(D560="BUY",E560-(ROUND(F560*K560/B560,0)*B560),E560+(ROUND(F560*K560/B560,0)*B560)),IF(D560="BUY",E560-(ROUND(F560*K560/B560,0)*B560),E560+(ROUND(F560*K560/B560,0)*B560)))</f>
        <v>#DIV/0!</v>
      </c>
      <c r="L561" s="29" t="e">
        <f t="shared" ref="L561" si="836">IF(D561="BUY",I561+(R561*B561),I561-(R561*B561))</f>
        <v>#DIV/0!</v>
      </c>
      <c r="M561" s="29" t="e">
        <f>IF(D560="BUY",E560+(ROUND(F560*M560/B560,0)*B560),E560-(ROUND(F560*M560/B560,0)*B560))</f>
        <v>#DIV/0!</v>
      </c>
      <c r="N561" s="29" t="e">
        <f>IF(D560="BUY",E560-(ROUND(F560*N560/B560,0)*B560),E560+(ROUND(F560*N560/B560,0)*B560))</f>
        <v>#DIV/0!</v>
      </c>
      <c r="O561" s="31" t="e">
        <f>IF(D561="BUY",N561-VLOOKUP(A561,Symbols!A$1:D$1000,4,FALSE),N561+VLOOKUP(A561,Symbols!A$1:D$1000,4,FALSE))</f>
        <v>#DIV/0!</v>
      </c>
      <c r="P561" s="29">
        <f>P560</f>
        <v>0</v>
      </c>
      <c r="Q561" s="29">
        <f>Q560</f>
        <v>0</v>
      </c>
      <c r="R561" s="29">
        <f>R560</f>
        <v>0</v>
      </c>
      <c r="S561" s="29">
        <f>S560</f>
        <v>0</v>
      </c>
      <c r="T561" s="29">
        <f>T560</f>
        <v>0</v>
      </c>
      <c r="U561" s="29" t="e">
        <f>DATEDIF(DATE(1970,1,1),U560,"D")*86400</f>
        <v>#NUM!</v>
      </c>
      <c r="V561" s="29">
        <f>HOUR(V560)*3600+MINUTE(V560)*60+SECOND(V560)</f>
        <v>0</v>
      </c>
      <c r="W561" s="29" t="e">
        <f>DATEDIF(DATE(1970,1,1),W560,"D")*86400</f>
        <v>#NUM!</v>
      </c>
      <c r="X561" s="29">
        <f>HOUR(X560)*3600+MINUTE(X560)*60+SECOND(X560)</f>
        <v>0</v>
      </c>
      <c r="Y561" s="31">
        <f>(Y560*B561)</f>
        <v>0</v>
      </c>
      <c r="Z561" s="29">
        <f>Z560</f>
        <v>0</v>
      </c>
      <c r="AA561" s="29" t="e">
        <f>DATEDIF(DATE(1970,1,1),AA560,"D")*86400</f>
        <v>#NUM!</v>
      </c>
      <c r="AB561" s="29">
        <f>HOUR(AB560)*3600+MINUTE(AB560)*60+SECOND(AB560)</f>
        <v>0</v>
      </c>
      <c r="AC561" s="29">
        <f>AC560</f>
        <v>0</v>
      </c>
    </row>
    <row r="562" spans="1:29">
      <c r="A562" s="23">
        <f>Parameters!A282</f>
        <v>0</v>
      </c>
      <c r="B562" s="23">
        <f>Parameters!B282</f>
        <v>0</v>
      </c>
      <c r="C562" s="24">
        <f>Parameters!C282</f>
        <v>0</v>
      </c>
      <c r="D562" s="24">
        <f>Parameters!D282</f>
        <v>0</v>
      </c>
      <c r="E562" s="23">
        <f>Parameters!E282</f>
        <v>0</v>
      </c>
      <c r="F562" s="23">
        <f>Parameters!F282</f>
        <v>0</v>
      </c>
      <c r="G562" s="25">
        <f>Parameters!G282</f>
        <v>0</v>
      </c>
      <c r="H562" s="25">
        <f>Parameters!H282</f>
        <v>0</v>
      </c>
      <c r="I562" s="25">
        <f>Parameters!I282</f>
        <v>0</v>
      </c>
      <c r="J562" s="25">
        <f>Parameters!J282</f>
        <v>0</v>
      </c>
      <c r="K562" s="25">
        <f>Parameters!K282</f>
        <v>0</v>
      </c>
      <c r="L562" s="26" t="e">
        <f t="shared" ref="L562" si="837">L563</f>
        <v>#DIV/0!</v>
      </c>
      <c r="M562" s="25">
        <f>Parameters!L282</f>
        <v>0</v>
      </c>
      <c r="N562" s="25">
        <f>Parameters!M282</f>
        <v>0</v>
      </c>
      <c r="O562" s="26" t="e">
        <f t="shared" ref="O562" si="838">O563</f>
        <v>#DIV/0!</v>
      </c>
      <c r="P562" s="23">
        <f>Parameters!N282</f>
        <v>0</v>
      </c>
      <c r="Q562" s="23">
        <f>Parameters!O282</f>
        <v>0</v>
      </c>
      <c r="R562" s="23">
        <f>Parameters!P282</f>
        <v>0</v>
      </c>
      <c r="S562" s="23">
        <f>Parameters!Q282</f>
        <v>0</v>
      </c>
      <c r="T562" s="23">
        <f>Parameters!R282</f>
        <v>0</v>
      </c>
      <c r="U562" s="27">
        <f>Parameters!S282</f>
        <v>0</v>
      </c>
      <c r="V562" s="28">
        <f>Parameters!T282</f>
        <v>0</v>
      </c>
      <c r="W562" s="27">
        <f>Parameters!U282</f>
        <v>0</v>
      </c>
      <c r="X562" s="28">
        <f>Parameters!V282</f>
        <v>0</v>
      </c>
      <c r="Y562" s="25">
        <f>Parameters!W282</f>
        <v>0</v>
      </c>
      <c r="Z562" s="23">
        <f>Parameters!X282</f>
        <v>0</v>
      </c>
      <c r="AA562" s="27">
        <f>Parameters!Y282</f>
        <v>0</v>
      </c>
      <c r="AB562" s="28">
        <f>Parameters!Z282</f>
        <v>0</v>
      </c>
      <c r="AC562" s="23">
        <f>Parameters!AA282</f>
        <v>0</v>
      </c>
    </row>
    <row r="563" spans="1:29">
      <c r="A563" s="29" t="str">
        <f>UPPER(A562)</f>
        <v>0</v>
      </c>
      <c r="B563" s="29">
        <f>B562</f>
        <v>0</v>
      </c>
      <c r="C563" s="30">
        <f>C562</f>
        <v>0</v>
      </c>
      <c r="D563" s="30">
        <f>D562</f>
        <v>0</v>
      </c>
      <c r="E563" s="29">
        <f>E562</f>
        <v>0</v>
      </c>
      <c r="F563" s="29">
        <f>F562</f>
        <v>0</v>
      </c>
      <c r="G563" s="29" t="e">
        <f>IF(C562=1,IF(D562="BUY",E562+(ROUND(F562*G562/B562,0)*B562),E562-(ROUND(F562*G562/B562,0)*B562)),IF(D562="BUY",E562-(ROUND(F562*G562/B562,0)*B562),E562+(ROUND(F562*G562/B562,0)*B562)))</f>
        <v>#DIV/0!</v>
      </c>
      <c r="H563" s="29" t="e">
        <f>IF(C562=1,IF(D562="BUY",G563-(ROUND(F562*H562/B562,0)*B562),G563+(ROUND(F562*H562/B562,0)*B562)),IF(D562="BUY",G563+(ROUND(F562*H562/B562,0)*B562),G563-(ROUND(F562*H562/B562,0)*B562)))</f>
        <v>#DIV/0!</v>
      </c>
      <c r="I563" s="29" t="e">
        <f>IF(D562="BUY",G563+(ROUND(F562*I562/(B562*100),0)*B562),G563-(ROUND(F562*I562/(B562*100),0)*B562))</f>
        <v>#DIV/0!</v>
      </c>
      <c r="J563" s="29" t="e">
        <f>IF(C562=1,IF(D562="BUY",E562+(ROUND(F562*J562/B562,0)*B562),E562-(ROUND(F562*J562/B562,0)*B562)),IF(D562="BUY",E562-(ROUND(F562*J562/B562,0)*B562),E562+(ROUND(F562*J562/B562,0)*B562)))</f>
        <v>#DIV/0!</v>
      </c>
      <c r="K563" s="29" t="e">
        <f>IF(C562=1,IF(D562="BUY",E562-(ROUND(F562*K562/B562,0)*B562),E562+(ROUND(F562*K562/B562,0)*B562)),IF(D562="BUY",E562-(ROUND(F562*K562/B562,0)*B562),E562+(ROUND(F562*K562/B562,0)*B562)))</f>
        <v>#DIV/0!</v>
      </c>
      <c r="L563" s="29" t="e">
        <f t="shared" ref="L563" si="839">IF(D563="BUY",I563+(R563*B563),I563-(R563*B563))</f>
        <v>#DIV/0!</v>
      </c>
      <c r="M563" s="29" t="e">
        <f>IF(D562="BUY",E562+(ROUND(F562*M562/B562,0)*B562),E562-(ROUND(F562*M562/B562,0)*B562))</f>
        <v>#DIV/0!</v>
      </c>
      <c r="N563" s="29" t="e">
        <f>IF(D562="BUY",E562-(ROUND(F562*N562/B562,0)*B562),E562+(ROUND(F562*N562/B562,0)*B562))</f>
        <v>#DIV/0!</v>
      </c>
      <c r="O563" s="31" t="e">
        <f>IF(D563="BUY",N563-VLOOKUP(A563,Symbols!A$1:D$1000,4,FALSE),N563+VLOOKUP(A563,Symbols!A$1:D$1000,4,FALSE))</f>
        <v>#DIV/0!</v>
      </c>
      <c r="P563" s="29">
        <f>P562</f>
        <v>0</v>
      </c>
      <c r="Q563" s="29">
        <f>Q562</f>
        <v>0</v>
      </c>
      <c r="R563" s="29">
        <f>R562</f>
        <v>0</v>
      </c>
      <c r="S563" s="29">
        <f>S562</f>
        <v>0</v>
      </c>
      <c r="T563" s="29">
        <f>T562</f>
        <v>0</v>
      </c>
      <c r="U563" s="29" t="e">
        <f>DATEDIF(DATE(1970,1,1),U562,"D")*86400</f>
        <v>#NUM!</v>
      </c>
      <c r="V563" s="29">
        <f>HOUR(V562)*3600+MINUTE(V562)*60+SECOND(V562)</f>
        <v>0</v>
      </c>
      <c r="W563" s="29" t="e">
        <f>DATEDIF(DATE(1970,1,1),W562,"D")*86400</f>
        <v>#NUM!</v>
      </c>
      <c r="X563" s="29">
        <f>HOUR(X562)*3600+MINUTE(X562)*60+SECOND(X562)</f>
        <v>0</v>
      </c>
      <c r="Y563" s="31">
        <f>(Y562*B563)</f>
        <v>0</v>
      </c>
      <c r="Z563" s="29">
        <f>Z562</f>
        <v>0</v>
      </c>
      <c r="AA563" s="29" t="e">
        <f>DATEDIF(DATE(1970,1,1),AA562,"D")*86400</f>
        <v>#NUM!</v>
      </c>
      <c r="AB563" s="29">
        <f>HOUR(AB562)*3600+MINUTE(AB562)*60+SECOND(AB562)</f>
        <v>0</v>
      </c>
      <c r="AC563" s="29">
        <f>AC562</f>
        <v>0</v>
      </c>
    </row>
    <row r="564" spans="1:29">
      <c r="A564" s="23">
        <f>Parameters!A283</f>
        <v>0</v>
      </c>
      <c r="B564" s="23">
        <f>Parameters!B283</f>
        <v>0</v>
      </c>
      <c r="C564" s="24">
        <f>Parameters!C283</f>
        <v>0</v>
      </c>
      <c r="D564" s="24">
        <f>Parameters!D283</f>
        <v>0</v>
      </c>
      <c r="E564" s="23">
        <f>Parameters!E283</f>
        <v>0</v>
      </c>
      <c r="F564" s="23">
        <f>Parameters!F283</f>
        <v>0</v>
      </c>
      <c r="G564" s="25">
        <f>Parameters!G283</f>
        <v>0</v>
      </c>
      <c r="H564" s="25">
        <f>Parameters!H283</f>
        <v>0</v>
      </c>
      <c r="I564" s="25">
        <f>Parameters!I283</f>
        <v>0</v>
      </c>
      <c r="J564" s="25">
        <f>Parameters!J283</f>
        <v>0</v>
      </c>
      <c r="K564" s="25">
        <f>Parameters!K283</f>
        <v>0</v>
      </c>
      <c r="L564" s="26" t="e">
        <f t="shared" ref="L564" si="840">L565</f>
        <v>#DIV/0!</v>
      </c>
      <c r="M564" s="25">
        <f>Parameters!L283</f>
        <v>0</v>
      </c>
      <c r="N564" s="25">
        <f>Parameters!M283</f>
        <v>0</v>
      </c>
      <c r="O564" s="26" t="e">
        <f t="shared" ref="O564" si="841">O565</f>
        <v>#DIV/0!</v>
      </c>
      <c r="P564" s="23">
        <f>Parameters!N283</f>
        <v>0</v>
      </c>
      <c r="Q564" s="23">
        <f>Parameters!O283</f>
        <v>0</v>
      </c>
      <c r="R564" s="23">
        <f>Parameters!P283</f>
        <v>0</v>
      </c>
      <c r="S564" s="23">
        <f>Parameters!Q283</f>
        <v>0</v>
      </c>
      <c r="T564" s="23">
        <f>Parameters!R283</f>
        <v>0</v>
      </c>
      <c r="U564" s="27">
        <f>Parameters!S283</f>
        <v>0</v>
      </c>
      <c r="V564" s="28">
        <f>Parameters!T283</f>
        <v>0</v>
      </c>
      <c r="W564" s="27">
        <f>Parameters!U283</f>
        <v>0</v>
      </c>
      <c r="X564" s="28">
        <f>Parameters!V283</f>
        <v>0</v>
      </c>
      <c r="Y564" s="25">
        <f>Parameters!W283</f>
        <v>0</v>
      </c>
      <c r="Z564" s="23">
        <f>Parameters!X283</f>
        <v>0</v>
      </c>
      <c r="AA564" s="27">
        <f>Parameters!Y283</f>
        <v>0</v>
      </c>
      <c r="AB564" s="28">
        <f>Parameters!Z283</f>
        <v>0</v>
      </c>
      <c r="AC564" s="23">
        <f>Parameters!AA283</f>
        <v>0</v>
      </c>
    </row>
    <row r="565" spans="1:29">
      <c r="A565" s="29" t="str">
        <f>UPPER(A564)</f>
        <v>0</v>
      </c>
      <c r="B565" s="29">
        <f>B564</f>
        <v>0</v>
      </c>
      <c r="C565" s="30">
        <f>C564</f>
        <v>0</v>
      </c>
      <c r="D565" s="30">
        <f>D564</f>
        <v>0</v>
      </c>
      <c r="E565" s="29">
        <f>E564</f>
        <v>0</v>
      </c>
      <c r="F565" s="29">
        <f>F564</f>
        <v>0</v>
      </c>
      <c r="G565" s="29" t="e">
        <f>IF(C564=1,IF(D564="BUY",E564+(ROUND(F564*G564/B564,0)*B564),E564-(ROUND(F564*G564/B564,0)*B564)),IF(D564="BUY",E564-(ROUND(F564*G564/B564,0)*B564),E564+(ROUND(F564*G564/B564,0)*B564)))</f>
        <v>#DIV/0!</v>
      </c>
      <c r="H565" s="29" t="e">
        <f>IF(C564=1,IF(D564="BUY",G565-(ROUND(F564*H564/B564,0)*B564),G565+(ROUND(F564*H564/B564,0)*B564)),IF(D564="BUY",G565+(ROUND(F564*H564/B564,0)*B564),G565-(ROUND(F564*H564/B564,0)*B564)))</f>
        <v>#DIV/0!</v>
      </c>
      <c r="I565" s="29" t="e">
        <f>IF(D564="BUY",G565+(ROUND(F564*I564/(B564*100),0)*B564),G565-(ROUND(F564*I564/(B564*100),0)*B564))</f>
        <v>#DIV/0!</v>
      </c>
      <c r="J565" s="29" t="e">
        <f>IF(C564=1,IF(D564="BUY",E564+(ROUND(F564*J564/B564,0)*B564),E564-(ROUND(F564*J564/B564,0)*B564)),IF(D564="BUY",E564-(ROUND(F564*J564/B564,0)*B564),E564+(ROUND(F564*J564/B564,0)*B564)))</f>
        <v>#DIV/0!</v>
      </c>
      <c r="K565" s="29" t="e">
        <f>IF(C564=1,IF(D564="BUY",E564-(ROUND(F564*K564/B564,0)*B564),E564+(ROUND(F564*K564/B564,0)*B564)),IF(D564="BUY",E564-(ROUND(F564*K564/B564,0)*B564),E564+(ROUND(F564*K564/B564,0)*B564)))</f>
        <v>#DIV/0!</v>
      </c>
      <c r="L565" s="29" t="e">
        <f t="shared" ref="L565" si="842">IF(D565="BUY",I565+(R565*B565),I565-(R565*B565))</f>
        <v>#DIV/0!</v>
      </c>
      <c r="M565" s="29" t="e">
        <f>IF(D564="BUY",E564+(ROUND(F564*M564/B564,0)*B564),E564-(ROUND(F564*M564/B564,0)*B564))</f>
        <v>#DIV/0!</v>
      </c>
      <c r="N565" s="29" t="e">
        <f>IF(D564="BUY",E564-(ROUND(F564*N564/B564,0)*B564),E564+(ROUND(F564*N564/B564,0)*B564))</f>
        <v>#DIV/0!</v>
      </c>
      <c r="O565" s="31" t="e">
        <f>IF(D565="BUY",N565-VLOOKUP(A565,Symbols!A$1:D$1000,4,FALSE),N565+VLOOKUP(A565,Symbols!A$1:D$1000,4,FALSE))</f>
        <v>#DIV/0!</v>
      </c>
      <c r="P565" s="29">
        <f>P564</f>
        <v>0</v>
      </c>
      <c r="Q565" s="29">
        <f>Q564</f>
        <v>0</v>
      </c>
      <c r="R565" s="29">
        <f>R564</f>
        <v>0</v>
      </c>
      <c r="S565" s="29">
        <f>S564</f>
        <v>0</v>
      </c>
      <c r="T565" s="29">
        <f>T564</f>
        <v>0</v>
      </c>
      <c r="U565" s="29" t="e">
        <f>DATEDIF(DATE(1970,1,1),U564,"D")*86400</f>
        <v>#NUM!</v>
      </c>
      <c r="V565" s="29">
        <f>HOUR(V564)*3600+MINUTE(V564)*60+SECOND(V564)</f>
        <v>0</v>
      </c>
      <c r="W565" s="29" t="e">
        <f>DATEDIF(DATE(1970,1,1),W564,"D")*86400</f>
        <v>#NUM!</v>
      </c>
      <c r="X565" s="29">
        <f>HOUR(X564)*3600+MINUTE(X564)*60+SECOND(X564)</f>
        <v>0</v>
      </c>
      <c r="Y565" s="31">
        <f>(Y564*B565)</f>
        <v>0</v>
      </c>
      <c r="Z565" s="29">
        <f>Z564</f>
        <v>0</v>
      </c>
      <c r="AA565" s="29" t="e">
        <f>DATEDIF(DATE(1970,1,1),AA564,"D")*86400</f>
        <v>#NUM!</v>
      </c>
      <c r="AB565" s="29">
        <f>HOUR(AB564)*3600+MINUTE(AB564)*60+SECOND(AB564)</f>
        <v>0</v>
      </c>
      <c r="AC565" s="29">
        <f>AC564</f>
        <v>0</v>
      </c>
    </row>
    <row r="566" spans="1:29">
      <c r="A566" s="23">
        <f>Parameters!A284</f>
        <v>0</v>
      </c>
      <c r="B566" s="23">
        <f>Parameters!B284</f>
        <v>0</v>
      </c>
      <c r="C566" s="24">
        <f>Parameters!C284</f>
        <v>0</v>
      </c>
      <c r="D566" s="24">
        <f>Parameters!D284</f>
        <v>0</v>
      </c>
      <c r="E566" s="23">
        <f>Parameters!E284</f>
        <v>0</v>
      </c>
      <c r="F566" s="23">
        <f>Parameters!F284</f>
        <v>0</v>
      </c>
      <c r="G566" s="25">
        <f>Parameters!G284</f>
        <v>0</v>
      </c>
      <c r="H566" s="25">
        <f>Parameters!H284</f>
        <v>0</v>
      </c>
      <c r="I566" s="25">
        <f>Parameters!I284</f>
        <v>0</v>
      </c>
      <c r="J566" s="25">
        <f>Parameters!J284</f>
        <v>0</v>
      </c>
      <c r="K566" s="25">
        <f>Parameters!K284</f>
        <v>0</v>
      </c>
      <c r="L566" s="26" t="e">
        <f t="shared" ref="L566" si="843">L567</f>
        <v>#DIV/0!</v>
      </c>
      <c r="M566" s="25">
        <f>Parameters!L284</f>
        <v>0</v>
      </c>
      <c r="N566" s="25">
        <f>Parameters!M284</f>
        <v>0</v>
      </c>
      <c r="O566" s="26" t="e">
        <f t="shared" ref="O566" si="844">O567</f>
        <v>#DIV/0!</v>
      </c>
      <c r="P566" s="23">
        <f>Parameters!N284</f>
        <v>0</v>
      </c>
      <c r="Q566" s="23">
        <f>Parameters!O284</f>
        <v>0</v>
      </c>
      <c r="R566" s="23">
        <f>Parameters!P284</f>
        <v>0</v>
      </c>
      <c r="S566" s="23">
        <f>Parameters!Q284</f>
        <v>0</v>
      </c>
      <c r="T566" s="23">
        <f>Parameters!R284</f>
        <v>0</v>
      </c>
      <c r="U566" s="27">
        <f>Parameters!S284</f>
        <v>0</v>
      </c>
      <c r="V566" s="28">
        <f>Parameters!T284</f>
        <v>0</v>
      </c>
      <c r="W566" s="27">
        <f>Parameters!U284</f>
        <v>0</v>
      </c>
      <c r="X566" s="28">
        <f>Parameters!V284</f>
        <v>0</v>
      </c>
      <c r="Y566" s="25">
        <f>Parameters!W284</f>
        <v>0</v>
      </c>
      <c r="Z566" s="23">
        <f>Parameters!X284</f>
        <v>0</v>
      </c>
      <c r="AA566" s="27">
        <f>Parameters!Y284</f>
        <v>0</v>
      </c>
      <c r="AB566" s="28">
        <f>Parameters!Z284</f>
        <v>0</v>
      </c>
      <c r="AC566" s="23">
        <f>Parameters!AA284</f>
        <v>0</v>
      </c>
    </row>
    <row r="567" spans="1:29">
      <c r="A567" s="29" t="str">
        <f>UPPER(A566)</f>
        <v>0</v>
      </c>
      <c r="B567" s="29">
        <f>B566</f>
        <v>0</v>
      </c>
      <c r="C567" s="30">
        <f>C566</f>
        <v>0</v>
      </c>
      <c r="D567" s="30">
        <f>D566</f>
        <v>0</v>
      </c>
      <c r="E567" s="29">
        <f>E566</f>
        <v>0</v>
      </c>
      <c r="F567" s="29">
        <f>F566</f>
        <v>0</v>
      </c>
      <c r="G567" s="29" t="e">
        <f>IF(C566=1,IF(D566="BUY",E566+(ROUND(F566*G566/B566,0)*B566),E566-(ROUND(F566*G566/B566,0)*B566)),IF(D566="BUY",E566-(ROUND(F566*G566/B566,0)*B566),E566+(ROUND(F566*G566/B566,0)*B566)))</f>
        <v>#DIV/0!</v>
      </c>
      <c r="H567" s="29" t="e">
        <f>IF(C566=1,IF(D566="BUY",G567-(ROUND(F566*H566/B566,0)*B566),G567+(ROUND(F566*H566/B566,0)*B566)),IF(D566="BUY",G567+(ROUND(F566*H566/B566,0)*B566),G567-(ROUND(F566*H566/B566,0)*B566)))</f>
        <v>#DIV/0!</v>
      </c>
      <c r="I567" s="29" t="e">
        <f>IF(D566="BUY",G567+(ROUND(F566*I566/(B566*100),0)*B566),G567-(ROUND(F566*I566/(B566*100),0)*B566))</f>
        <v>#DIV/0!</v>
      </c>
      <c r="J567" s="29" t="e">
        <f>IF(C566=1,IF(D566="BUY",E566+(ROUND(F566*J566/B566,0)*B566),E566-(ROUND(F566*J566/B566,0)*B566)),IF(D566="BUY",E566-(ROUND(F566*J566/B566,0)*B566),E566+(ROUND(F566*J566/B566,0)*B566)))</f>
        <v>#DIV/0!</v>
      </c>
      <c r="K567" s="29" t="e">
        <f>IF(C566=1,IF(D566="BUY",E566-(ROUND(F566*K566/B566,0)*B566),E566+(ROUND(F566*K566/B566,0)*B566)),IF(D566="BUY",E566-(ROUND(F566*K566/B566,0)*B566),E566+(ROUND(F566*K566/B566,0)*B566)))</f>
        <v>#DIV/0!</v>
      </c>
      <c r="L567" s="29" t="e">
        <f t="shared" ref="L567" si="845">IF(D567="BUY",I567+(R567*B567),I567-(R567*B567))</f>
        <v>#DIV/0!</v>
      </c>
      <c r="M567" s="29" t="e">
        <f>IF(D566="BUY",E566+(ROUND(F566*M566/B566,0)*B566),E566-(ROUND(F566*M566/B566,0)*B566))</f>
        <v>#DIV/0!</v>
      </c>
      <c r="N567" s="29" t="e">
        <f>IF(D566="BUY",E566-(ROUND(F566*N566/B566,0)*B566),E566+(ROUND(F566*N566/B566,0)*B566))</f>
        <v>#DIV/0!</v>
      </c>
      <c r="O567" s="31" t="e">
        <f>IF(D567="BUY",N567-VLOOKUP(A567,Symbols!A$1:D$1000,4,FALSE),N567+VLOOKUP(A567,Symbols!A$1:D$1000,4,FALSE))</f>
        <v>#DIV/0!</v>
      </c>
      <c r="P567" s="29">
        <f>P566</f>
        <v>0</v>
      </c>
      <c r="Q567" s="29">
        <f>Q566</f>
        <v>0</v>
      </c>
      <c r="R567" s="29">
        <f>R566</f>
        <v>0</v>
      </c>
      <c r="S567" s="29">
        <f>S566</f>
        <v>0</v>
      </c>
      <c r="T567" s="29">
        <f>T566</f>
        <v>0</v>
      </c>
      <c r="U567" s="29" t="e">
        <f>DATEDIF(DATE(1970,1,1),U566,"D")*86400</f>
        <v>#NUM!</v>
      </c>
      <c r="V567" s="29">
        <f>HOUR(V566)*3600+MINUTE(V566)*60+SECOND(V566)</f>
        <v>0</v>
      </c>
      <c r="W567" s="29" t="e">
        <f>DATEDIF(DATE(1970,1,1),W566,"D")*86400</f>
        <v>#NUM!</v>
      </c>
      <c r="X567" s="29">
        <f>HOUR(X566)*3600+MINUTE(X566)*60+SECOND(X566)</f>
        <v>0</v>
      </c>
      <c r="Y567" s="31">
        <f>(Y566*B567)</f>
        <v>0</v>
      </c>
      <c r="Z567" s="29">
        <f>Z566</f>
        <v>0</v>
      </c>
      <c r="AA567" s="29" t="e">
        <f>DATEDIF(DATE(1970,1,1),AA566,"D")*86400</f>
        <v>#NUM!</v>
      </c>
      <c r="AB567" s="29">
        <f>HOUR(AB566)*3600+MINUTE(AB566)*60+SECOND(AB566)</f>
        <v>0</v>
      </c>
      <c r="AC567" s="29">
        <f>AC566</f>
        <v>0</v>
      </c>
    </row>
    <row r="568" spans="1:29">
      <c r="A568" s="23">
        <f>Parameters!A285</f>
        <v>0</v>
      </c>
      <c r="B568" s="23">
        <f>Parameters!B285</f>
        <v>0</v>
      </c>
      <c r="C568" s="24">
        <f>Parameters!C285</f>
        <v>0</v>
      </c>
      <c r="D568" s="24">
        <f>Parameters!D285</f>
        <v>0</v>
      </c>
      <c r="E568" s="23">
        <f>Parameters!E285</f>
        <v>0</v>
      </c>
      <c r="F568" s="23">
        <f>Parameters!F285</f>
        <v>0</v>
      </c>
      <c r="G568" s="25">
        <f>Parameters!G285</f>
        <v>0</v>
      </c>
      <c r="H568" s="25">
        <f>Parameters!H285</f>
        <v>0</v>
      </c>
      <c r="I568" s="25">
        <f>Parameters!I285</f>
        <v>0</v>
      </c>
      <c r="J568" s="25">
        <f>Parameters!J285</f>
        <v>0</v>
      </c>
      <c r="K568" s="25">
        <f>Parameters!K285</f>
        <v>0</v>
      </c>
      <c r="L568" s="26" t="e">
        <f t="shared" ref="L568" si="846">L569</f>
        <v>#DIV/0!</v>
      </c>
      <c r="M568" s="25">
        <f>Parameters!L285</f>
        <v>0</v>
      </c>
      <c r="N568" s="25">
        <f>Parameters!M285</f>
        <v>0</v>
      </c>
      <c r="O568" s="26" t="e">
        <f t="shared" ref="O568" si="847">O569</f>
        <v>#DIV/0!</v>
      </c>
      <c r="P568" s="23">
        <f>Parameters!N285</f>
        <v>0</v>
      </c>
      <c r="Q568" s="23">
        <f>Parameters!O285</f>
        <v>0</v>
      </c>
      <c r="R568" s="23">
        <f>Parameters!P285</f>
        <v>0</v>
      </c>
      <c r="S568" s="23">
        <f>Parameters!Q285</f>
        <v>0</v>
      </c>
      <c r="T568" s="23">
        <f>Parameters!R285</f>
        <v>0</v>
      </c>
      <c r="U568" s="27">
        <f>Parameters!S285</f>
        <v>0</v>
      </c>
      <c r="V568" s="28">
        <f>Parameters!T285</f>
        <v>0</v>
      </c>
      <c r="W568" s="27">
        <f>Parameters!U285</f>
        <v>0</v>
      </c>
      <c r="X568" s="28">
        <f>Parameters!V285</f>
        <v>0</v>
      </c>
      <c r="Y568" s="25">
        <f>Parameters!W285</f>
        <v>0</v>
      </c>
      <c r="Z568" s="23">
        <f>Parameters!X285</f>
        <v>0</v>
      </c>
      <c r="AA568" s="27">
        <f>Parameters!Y285</f>
        <v>0</v>
      </c>
      <c r="AB568" s="28">
        <f>Parameters!Z285</f>
        <v>0</v>
      </c>
      <c r="AC568" s="23">
        <f>Parameters!AA285</f>
        <v>0</v>
      </c>
    </row>
    <row r="569" spans="1:29">
      <c r="A569" s="29" t="str">
        <f>UPPER(A568)</f>
        <v>0</v>
      </c>
      <c r="B569" s="29">
        <f>B568</f>
        <v>0</v>
      </c>
      <c r="C569" s="30">
        <f>C568</f>
        <v>0</v>
      </c>
      <c r="D569" s="30">
        <f>D568</f>
        <v>0</v>
      </c>
      <c r="E569" s="29">
        <f>E568</f>
        <v>0</v>
      </c>
      <c r="F569" s="29">
        <f>F568</f>
        <v>0</v>
      </c>
      <c r="G569" s="29" t="e">
        <f>IF(C568=1,IF(D568="BUY",E568+(ROUND(F568*G568/B568,0)*B568),E568-(ROUND(F568*G568/B568,0)*B568)),IF(D568="BUY",E568-(ROUND(F568*G568/B568,0)*B568),E568+(ROUND(F568*G568/B568,0)*B568)))</f>
        <v>#DIV/0!</v>
      </c>
      <c r="H569" s="29" t="e">
        <f>IF(C568=1,IF(D568="BUY",G569-(ROUND(F568*H568/B568,0)*B568),G569+(ROUND(F568*H568/B568,0)*B568)),IF(D568="BUY",G569+(ROUND(F568*H568/B568,0)*B568),G569-(ROUND(F568*H568/B568,0)*B568)))</f>
        <v>#DIV/0!</v>
      </c>
      <c r="I569" s="29" t="e">
        <f>IF(D568="BUY",G569+(ROUND(F568*I568/(B568*100),0)*B568),G569-(ROUND(F568*I568/(B568*100),0)*B568))</f>
        <v>#DIV/0!</v>
      </c>
      <c r="J569" s="29" t="e">
        <f>IF(C568=1,IF(D568="BUY",E568+(ROUND(F568*J568/B568,0)*B568),E568-(ROUND(F568*J568/B568,0)*B568)),IF(D568="BUY",E568-(ROUND(F568*J568/B568,0)*B568),E568+(ROUND(F568*J568/B568,0)*B568)))</f>
        <v>#DIV/0!</v>
      </c>
      <c r="K569" s="29" t="e">
        <f>IF(C568=1,IF(D568="BUY",E568-(ROUND(F568*K568/B568,0)*B568),E568+(ROUND(F568*K568/B568,0)*B568)),IF(D568="BUY",E568-(ROUND(F568*K568/B568,0)*B568),E568+(ROUND(F568*K568/B568,0)*B568)))</f>
        <v>#DIV/0!</v>
      </c>
      <c r="L569" s="29" t="e">
        <f t="shared" ref="L569" si="848">IF(D569="BUY",I569+(R569*B569),I569-(R569*B569))</f>
        <v>#DIV/0!</v>
      </c>
      <c r="M569" s="29" t="e">
        <f>IF(D568="BUY",E568+(ROUND(F568*M568/B568,0)*B568),E568-(ROUND(F568*M568/B568,0)*B568))</f>
        <v>#DIV/0!</v>
      </c>
      <c r="N569" s="29" t="e">
        <f>IF(D568="BUY",E568-(ROUND(F568*N568/B568,0)*B568),E568+(ROUND(F568*N568/B568,0)*B568))</f>
        <v>#DIV/0!</v>
      </c>
      <c r="O569" s="31" t="e">
        <f>IF(D569="BUY",N569-VLOOKUP(A569,Symbols!A$1:D$1000,4,FALSE),N569+VLOOKUP(A569,Symbols!A$1:D$1000,4,FALSE))</f>
        <v>#DIV/0!</v>
      </c>
      <c r="P569" s="29">
        <f>P568</f>
        <v>0</v>
      </c>
      <c r="Q569" s="29">
        <f>Q568</f>
        <v>0</v>
      </c>
      <c r="R569" s="29">
        <f>R568</f>
        <v>0</v>
      </c>
      <c r="S569" s="29">
        <f>S568</f>
        <v>0</v>
      </c>
      <c r="T569" s="29">
        <f>T568</f>
        <v>0</v>
      </c>
      <c r="U569" s="29" t="e">
        <f>DATEDIF(DATE(1970,1,1),U568,"D")*86400</f>
        <v>#NUM!</v>
      </c>
      <c r="V569" s="29">
        <f>HOUR(V568)*3600+MINUTE(V568)*60+SECOND(V568)</f>
        <v>0</v>
      </c>
      <c r="W569" s="29" t="e">
        <f>DATEDIF(DATE(1970,1,1),W568,"D")*86400</f>
        <v>#NUM!</v>
      </c>
      <c r="X569" s="29">
        <f>HOUR(X568)*3600+MINUTE(X568)*60+SECOND(X568)</f>
        <v>0</v>
      </c>
      <c r="Y569" s="31">
        <f>(Y568*B569)</f>
        <v>0</v>
      </c>
      <c r="Z569" s="29">
        <f>Z568</f>
        <v>0</v>
      </c>
      <c r="AA569" s="29" t="e">
        <f>DATEDIF(DATE(1970,1,1),AA568,"D")*86400</f>
        <v>#NUM!</v>
      </c>
      <c r="AB569" s="29">
        <f>HOUR(AB568)*3600+MINUTE(AB568)*60+SECOND(AB568)</f>
        <v>0</v>
      </c>
      <c r="AC569" s="29">
        <f>AC568</f>
        <v>0</v>
      </c>
    </row>
    <row r="570" spans="1:29">
      <c r="A570" s="23">
        <f>Parameters!A286</f>
        <v>0</v>
      </c>
      <c r="B570" s="23">
        <f>Parameters!B286</f>
        <v>0</v>
      </c>
      <c r="C570" s="24">
        <f>Parameters!C286</f>
        <v>0</v>
      </c>
      <c r="D570" s="24">
        <f>Parameters!D286</f>
        <v>0</v>
      </c>
      <c r="E570" s="23">
        <f>Parameters!E286</f>
        <v>0</v>
      </c>
      <c r="F570" s="23">
        <f>Parameters!F286</f>
        <v>0</v>
      </c>
      <c r="G570" s="25">
        <f>Parameters!G286</f>
        <v>0</v>
      </c>
      <c r="H570" s="25">
        <f>Parameters!H286</f>
        <v>0</v>
      </c>
      <c r="I570" s="25">
        <f>Parameters!I286</f>
        <v>0</v>
      </c>
      <c r="J570" s="25">
        <f>Parameters!J286</f>
        <v>0</v>
      </c>
      <c r="K570" s="25">
        <f>Parameters!K286</f>
        <v>0</v>
      </c>
      <c r="L570" s="26" t="e">
        <f t="shared" ref="L570" si="849">L571</f>
        <v>#DIV/0!</v>
      </c>
      <c r="M570" s="25">
        <f>Parameters!L286</f>
        <v>0</v>
      </c>
      <c r="N570" s="25">
        <f>Parameters!M286</f>
        <v>0</v>
      </c>
      <c r="O570" s="26" t="e">
        <f t="shared" ref="O570" si="850">O571</f>
        <v>#DIV/0!</v>
      </c>
      <c r="P570" s="23">
        <f>Parameters!N286</f>
        <v>0</v>
      </c>
      <c r="Q570" s="23">
        <f>Parameters!O286</f>
        <v>0</v>
      </c>
      <c r="R570" s="23">
        <f>Parameters!P286</f>
        <v>0</v>
      </c>
      <c r="S570" s="23">
        <f>Parameters!Q286</f>
        <v>0</v>
      </c>
      <c r="T570" s="23">
        <f>Parameters!R286</f>
        <v>0</v>
      </c>
      <c r="U570" s="27">
        <f>Parameters!S286</f>
        <v>0</v>
      </c>
      <c r="V570" s="28">
        <f>Parameters!T286</f>
        <v>0</v>
      </c>
      <c r="W570" s="27">
        <f>Parameters!U286</f>
        <v>0</v>
      </c>
      <c r="X570" s="28">
        <f>Parameters!V286</f>
        <v>0</v>
      </c>
      <c r="Y570" s="25">
        <f>Parameters!W286</f>
        <v>0</v>
      </c>
      <c r="Z570" s="23">
        <f>Parameters!X286</f>
        <v>0</v>
      </c>
      <c r="AA570" s="27">
        <f>Parameters!Y286</f>
        <v>0</v>
      </c>
      <c r="AB570" s="28">
        <f>Parameters!Z286</f>
        <v>0</v>
      </c>
      <c r="AC570" s="23">
        <f>Parameters!AA286</f>
        <v>0</v>
      </c>
    </row>
    <row r="571" spans="1:29">
      <c r="A571" s="29" t="str">
        <f>UPPER(A570)</f>
        <v>0</v>
      </c>
      <c r="B571" s="29">
        <f>B570</f>
        <v>0</v>
      </c>
      <c r="C571" s="30">
        <f>C570</f>
        <v>0</v>
      </c>
      <c r="D571" s="30">
        <f>D570</f>
        <v>0</v>
      </c>
      <c r="E571" s="29">
        <f>E570</f>
        <v>0</v>
      </c>
      <c r="F571" s="29">
        <f>F570</f>
        <v>0</v>
      </c>
      <c r="G571" s="29" t="e">
        <f>IF(C570=1,IF(D570="BUY",E570+(ROUND(F570*G570/B570,0)*B570),E570-(ROUND(F570*G570/B570,0)*B570)),IF(D570="BUY",E570-(ROUND(F570*G570/B570,0)*B570),E570+(ROUND(F570*G570/B570,0)*B570)))</f>
        <v>#DIV/0!</v>
      </c>
      <c r="H571" s="29" t="e">
        <f>IF(C570=1,IF(D570="BUY",G571-(ROUND(F570*H570/B570,0)*B570),G571+(ROUND(F570*H570/B570,0)*B570)),IF(D570="BUY",G571+(ROUND(F570*H570/B570,0)*B570),G571-(ROUND(F570*H570/B570,0)*B570)))</f>
        <v>#DIV/0!</v>
      </c>
      <c r="I571" s="29" t="e">
        <f>IF(D570="BUY",G571+(ROUND(F570*I570/(B570*100),0)*B570),G571-(ROUND(F570*I570/(B570*100),0)*B570))</f>
        <v>#DIV/0!</v>
      </c>
      <c r="J571" s="29" t="e">
        <f>IF(C570=1,IF(D570="BUY",E570+(ROUND(F570*J570/B570,0)*B570),E570-(ROUND(F570*J570/B570,0)*B570)),IF(D570="BUY",E570-(ROUND(F570*J570/B570,0)*B570),E570+(ROUND(F570*J570/B570,0)*B570)))</f>
        <v>#DIV/0!</v>
      </c>
      <c r="K571" s="29" t="e">
        <f>IF(C570=1,IF(D570="BUY",E570-(ROUND(F570*K570/B570,0)*B570),E570+(ROUND(F570*K570/B570,0)*B570)),IF(D570="BUY",E570-(ROUND(F570*K570/B570,0)*B570),E570+(ROUND(F570*K570/B570,0)*B570)))</f>
        <v>#DIV/0!</v>
      </c>
      <c r="L571" s="29" t="e">
        <f t="shared" ref="L571" si="851">IF(D571="BUY",I571+(R571*B571),I571-(R571*B571))</f>
        <v>#DIV/0!</v>
      </c>
      <c r="M571" s="29" t="e">
        <f>IF(D570="BUY",E570+(ROUND(F570*M570/B570,0)*B570),E570-(ROUND(F570*M570/B570,0)*B570))</f>
        <v>#DIV/0!</v>
      </c>
      <c r="N571" s="29" t="e">
        <f>IF(D570="BUY",E570-(ROUND(F570*N570/B570,0)*B570),E570+(ROUND(F570*N570/B570,0)*B570))</f>
        <v>#DIV/0!</v>
      </c>
      <c r="O571" s="31" t="e">
        <f>IF(D571="BUY",N571-VLOOKUP(A571,Symbols!A$1:D$1000,4,FALSE),N571+VLOOKUP(A571,Symbols!A$1:D$1000,4,FALSE))</f>
        <v>#DIV/0!</v>
      </c>
      <c r="P571" s="29">
        <f>P570</f>
        <v>0</v>
      </c>
      <c r="Q571" s="29">
        <f>Q570</f>
        <v>0</v>
      </c>
      <c r="R571" s="29">
        <f>R570</f>
        <v>0</v>
      </c>
      <c r="S571" s="29">
        <f>S570</f>
        <v>0</v>
      </c>
      <c r="T571" s="29">
        <f>T570</f>
        <v>0</v>
      </c>
      <c r="U571" s="29" t="e">
        <f>DATEDIF(DATE(1970,1,1),U570,"D")*86400</f>
        <v>#NUM!</v>
      </c>
      <c r="V571" s="29">
        <f>HOUR(V570)*3600+MINUTE(V570)*60+SECOND(V570)</f>
        <v>0</v>
      </c>
      <c r="W571" s="29" t="e">
        <f>DATEDIF(DATE(1970,1,1),W570,"D")*86400</f>
        <v>#NUM!</v>
      </c>
      <c r="X571" s="29">
        <f>HOUR(X570)*3600+MINUTE(X570)*60+SECOND(X570)</f>
        <v>0</v>
      </c>
      <c r="Y571" s="31">
        <f>(Y570*B571)</f>
        <v>0</v>
      </c>
      <c r="Z571" s="29">
        <f>Z570</f>
        <v>0</v>
      </c>
      <c r="AA571" s="29" t="e">
        <f>DATEDIF(DATE(1970,1,1),AA570,"D")*86400</f>
        <v>#NUM!</v>
      </c>
      <c r="AB571" s="29">
        <f>HOUR(AB570)*3600+MINUTE(AB570)*60+SECOND(AB570)</f>
        <v>0</v>
      </c>
      <c r="AC571" s="29">
        <f>AC570</f>
        <v>0</v>
      </c>
    </row>
    <row r="572" spans="1:29">
      <c r="A572" s="23">
        <f>Parameters!A287</f>
        <v>0</v>
      </c>
      <c r="B572" s="23">
        <f>Parameters!B287</f>
        <v>0</v>
      </c>
      <c r="C572" s="24">
        <f>Parameters!C287</f>
        <v>0</v>
      </c>
      <c r="D572" s="24">
        <f>Parameters!D287</f>
        <v>0</v>
      </c>
      <c r="E572" s="23">
        <f>Parameters!E287</f>
        <v>0</v>
      </c>
      <c r="F572" s="23">
        <f>Parameters!F287</f>
        <v>0</v>
      </c>
      <c r="G572" s="25">
        <f>Parameters!G287</f>
        <v>0</v>
      </c>
      <c r="H572" s="25">
        <f>Parameters!H287</f>
        <v>0</v>
      </c>
      <c r="I572" s="25">
        <f>Parameters!I287</f>
        <v>0</v>
      </c>
      <c r="J572" s="25">
        <f>Parameters!J287</f>
        <v>0</v>
      </c>
      <c r="K572" s="25">
        <f>Parameters!K287</f>
        <v>0</v>
      </c>
      <c r="L572" s="26" t="e">
        <f t="shared" ref="L572" si="852">L573</f>
        <v>#DIV/0!</v>
      </c>
      <c r="M572" s="25">
        <f>Parameters!L287</f>
        <v>0</v>
      </c>
      <c r="N572" s="25">
        <f>Parameters!M287</f>
        <v>0</v>
      </c>
      <c r="O572" s="26" t="e">
        <f t="shared" ref="O572" si="853">O573</f>
        <v>#DIV/0!</v>
      </c>
      <c r="P572" s="23">
        <f>Parameters!N287</f>
        <v>0</v>
      </c>
      <c r="Q572" s="23">
        <f>Parameters!O287</f>
        <v>0</v>
      </c>
      <c r="R572" s="23">
        <f>Parameters!P287</f>
        <v>0</v>
      </c>
      <c r="S572" s="23">
        <f>Parameters!Q287</f>
        <v>0</v>
      </c>
      <c r="T572" s="23">
        <f>Parameters!R287</f>
        <v>0</v>
      </c>
      <c r="U572" s="27">
        <f>Parameters!S287</f>
        <v>0</v>
      </c>
      <c r="V572" s="28">
        <f>Parameters!T287</f>
        <v>0</v>
      </c>
      <c r="W572" s="27">
        <f>Parameters!U287</f>
        <v>0</v>
      </c>
      <c r="X572" s="28">
        <f>Parameters!V287</f>
        <v>0</v>
      </c>
      <c r="Y572" s="25">
        <f>Parameters!W287</f>
        <v>0</v>
      </c>
      <c r="Z572" s="23">
        <f>Parameters!X287</f>
        <v>0</v>
      </c>
      <c r="AA572" s="27">
        <f>Parameters!Y287</f>
        <v>0</v>
      </c>
      <c r="AB572" s="28">
        <f>Parameters!Z287</f>
        <v>0</v>
      </c>
      <c r="AC572" s="23">
        <f>Parameters!AA287</f>
        <v>0</v>
      </c>
    </row>
    <row r="573" spans="1:29">
      <c r="A573" s="29" t="str">
        <f>UPPER(A572)</f>
        <v>0</v>
      </c>
      <c r="B573" s="29">
        <f>B572</f>
        <v>0</v>
      </c>
      <c r="C573" s="30">
        <f>C572</f>
        <v>0</v>
      </c>
      <c r="D573" s="30">
        <f>D572</f>
        <v>0</v>
      </c>
      <c r="E573" s="29">
        <f>E572</f>
        <v>0</v>
      </c>
      <c r="F573" s="29">
        <f>F572</f>
        <v>0</v>
      </c>
      <c r="G573" s="29" t="e">
        <f>IF(C572=1,IF(D572="BUY",E572+(ROUND(F572*G572/B572,0)*B572),E572-(ROUND(F572*G572/B572,0)*B572)),IF(D572="BUY",E572-(ROUND(F572*G572/B572,0)*B572),E572+(ROUND(F572*G572/B572,0)*B572)))</f>
        <v>#DIV/0!</v>
      </c>
      <c r="H573" s="29" t="e">
        <f>IF(C572=1,IF(D572="BUY",G573-(ROUND(F572*H572/B572,0)*B572),G573+(ROUND(F572*H572/B572,0)*B572)),IF(D572="BUY",G573+(ROUND(F572*H572/B572,0)*B572),G573-(ROUND(F572*H572/B572,0)*B572)))</f>
        <v>#DIV/0!</v>
      </c>
      <c r="I573" s="29" t="e">
        <f>IF(D572="BUY",G573+(ROUND(F572*I572/(B572*100),0)*B572),G573-(ROUND(F572*I572/(B572*100),0)*B572))</f>
        <v>#DIV/0!</v>
      </c>
      <c r="J573" s="29" t="e">
        <f>IF(C572=1,IF(D572="BUY",E572+(ROUND(F572*J572/B572,0)*B572),E572-(ROUND(F572*J572/B572,0)*B572)),IF(D572="BUY",E572-(ROUND(F572*J572/B572,0)*B572),E572+(ROUND(F572*J572/B572,0)*B572)))</f>
        <v>#DIV/0!</v>
      </c>
      <c r="K573" s="29" t="e">
        <f>IF(C572=1,IF(D572="BUY",E572-(ROUND(F572*K572/B572,0)*B572),E572+(ROUND(F572*K572/B572,0)*B572)),IF(D572="BUY",E572-(ROUND(F572*K572/B572,0)*B572),E572+(ROUND(F572*K572/B572,0)*B572)))</f>
        <v>#DIV/0!</v>
      </c>
      <c r="L573" s="29" t="e">
        <f t="shared" ref="L573" si="854">IF(D573="BUY",I573+(R573*B573),I573-(R573*B573))</f>
        <v>#DIV/0!</v>
      </c>
      <c r="M573" s="29" t="e">
        <f>IF(D572="BUY",E572+(ROUND(F572*M572/B572,0)*B572),E572-(ROUND(F572*M572/B572,0)*B572))</f>
        <v>#DIV/0!</v>
      </c>
      <c r="N573" s="29" t="e">
        <f>IF(D572="BUY",E572-(ROUND(F572*N572/B572,0)*B572),E572+(ROUND(F572*N572/B572,0)*B572))</f>
        <v>#DIV/0!</v>
      </c>
      <c r="O573" s="31" t="e">
        <f>IF(D573="BUY",N573-VLOOKUP(A573,Symbols!A$1:D$1000,4,FALSE),N573+VLOOKUP(A573,Symbols!A$1:D$1000,4,FALSE))</f>
        <v>#DIV/0!</v>
      </c>
      <c r="P573" s="29">
        <f>P572</f>
        <v>0</v>
      </c>
      <c r="Q573" s="29">
        <f>Q572</f>
        <v>0</v>
      </c>
      <c r="R573" s="29">
        <f>R572</f>
        <v>0</v>
      </c>
      <c r="S573" s="29">
        <f>S572</f>
        <v>0</v>
      </c>
      <c r="T573" s="29">
        <f>T572</f>
        <v>0</v>
      </c>
      <c r="U573" s="29" t="e">
        <f>DATEDIF(DATE(1970,1,1),U572,"D")*86400</f>
        <v>#NUM!</v>
      </c>
      <c r="V573" s="29">
        <f>HOUR(V572)*3600+MINUTE(V572)*60+SECOND(V572)</f>
        <v>0</v>
      </c>
      <c r="W573" s="29" t="e">
        <f>DATEDIF(DATE(1970,1,1),W572,"D")*86400</f>
        <v>#NUM!</v>
      </c>
      <c r="X573" s="29">
        <f>HOUR(X572)*3600+MINUTE(X572)*60+SECOND(X572)</f>
        <v>0</v>
      </c>
      <c r="Y573" s="31">
        <f>(Y572*B573)</f>
        <v>0</v>
      </c>
      <c r="Z573" s="29">
        <f>Z572</f>
        <v>0</v>
      </c>
      <c r="AA573" s="29" t="e">
        <f>DATEDIF(DATE(1970,1,1),AA572,"D")*86400</f>
        <v>#NUM!</v>
      </c>
      <c r="AB573" s="29">
        <f>HOUR(AB572)*3600+MINUTE(AB572)*60+SECOND(AB572)</f>
        <v>0</v>
      </c>
      <c r="AC573" s="29">
        <f>AC572</f>
        <v>0</v>
      </c>
    </row>
    <row r="574" spans="1:29">
      <c r="A574" s="23">
        <f>Parameters!A288</f>
        <v>0</v>
      </c>
      <c r="B574" s="23">
        <f>Parameters!B288</f>
        <v>0</v>
      </c>
      <c r="C574" s="24">
        <f>Parameters!C288</f>
        <v>0</v>
      </c>
      <c r="D574" s="24">
        <f>Parameters!D288</f>
        <v>0</v>
      </c>
      <c r="E574" s="23">
        <f>Parameters!E288</f>
        <v>0</v>
      </c>
      <c r="F574" s="23">
        <f>Parameters!F288</f>
        <v>0</v>
      </c>
      <c r="G574" s="25">
        <f>Parameters!G288</f>
        <v>0</v>
      </c>
      <c r="H574" s="25">
        <f>Parameters!H288</f>
        <v>0</v>
      </c>
      <c r="I574" s="25">
        <f>Parameters!I288</f>
        <v>0</v>
      </c>
      <c r="J574" s="25">
        <f>Parameters!J288</f>
        <v>0</v>
      </c>
      <c r="K574" s="25">
        <f>Parameters!K288</f>
        <v>0</v>
      </c>
      <c r="L574" s="26" t="e">
        <f t="shared" ref="L574" si="855">L575</f>
        <v>#DIV/0!</v>
      </c>
      <c r="M574" s="25">
        <f>Parameters!L288</f>
        <v>0</v>
      </c>
      <c r="N574" s="25">
        <f>Parameters!M288</f>
        <v>0</v>
      </c>
      <c r="O574" s="26" t="e">
        <f t="shared" ref="O574" si="856">O575</f>
        <v>#DIV/0!</v>
      </c>
      <c r="P574" s="23">
        <f>Parameters!N288</f>
        <v>0</v>
      </c>
      <c r="Q574" s="23">
        <f>Parameters!O288</f>
        <v>0</v>
      </c>
      <c r="R574" s="23">
        <f>Parameters!P288</f>
        <v>0</v>
      </c>
      <c r="S574" s="23">
        <f>Parameters!Q288</f>
        <v>0</v>
      </c>
      <c r="T574" s="23">
        <f>Parameters!R288</f>
        <v>0</v>
      </c>
      <c r="U574" s="27">
        <f>Parameters!S288</f>
        <v>0</v>
      </c>
      <c r="V574" s="28">
        <f>Parameters!T288</f>
        <v>0</v>
      </c>
      <c r="W574" s="27">
        <f>Parameters!U288</f>
        <v>0</v>
      </c>
      <c r="X574" s="28">
        <f>Parameters!V288</f>
        <v>0</v>
      </c>
      <c r="Y574" s="25">
        <f>Parameters!W288</f>
        <v>0</v>
      </c>
      <c r="Z574" s="23">
        <f>Parameters!X288</f>
        <v>0</v>
      </c>
      <c r="AA574" s="27">
        <f>Parameters!Y288</f>
        <v>0</v>
      </c>
      <c r="AB574" s="28">
        <f>Parameters!Z288</f>
        <v>0</v>
      </c>
      <c r="AC574" s="23">
        <f>Parameters!AA288</f>
        <v>0</v>
      </c>
    </row>
    <row r="575" spans="1:29">
      <c r="A575" s="29" t="str">
        <f>UPPER(A574)</f>
        <v>0</v>
      </c>
      <c r="B575" s="29">
        <f>B574</f>
        <v>0</v>
      </c>
      <c r="C575" s="30">
        <f>C574</f>
        <v>0</v>
      </c>
      <c r="D575" s="30">
        <f>D574</f>
        <v>0</v>
      </c>
      <c r="E575" s="29">
        <f>E574</f>
        <v>0</v>
      </c>
      <c r="F575" s="29">
        <f>F574</f>
        <v>0</v>
      </c>
      <c r="G575" s="29" t="e">
        <f>IF(C574=1,IF(D574="BUY",E574+(ROUND(F574*G574/B574,0)*B574),E574-(ROUND(F574*G574/B574,0)*B574)),IF(D574="BUY",E574-(ROUND(F574*G574/B574,0)*B574),E574+(ROUND(F574*G574/B574,0)*B574)))</f>
        <v>#DIV/0!</v>
      </c>
      <c r="H575" s="29" t="e">
        <f>IF(C574=1,IF(D574="BUY",G575-(ROUND(F574*H574/B574,0)*B574),G575+(ROUND(F574*H574/B574,0)*B574)),IF(D574="BUY",G575+(ROUND(F574*H574/B574,0)*B574),G575-(ROUND(F574*H574/B574,0)*B574)))</f>
        <v>#DIV/0!</v>
      </c>
      <c r="I575" s="29" t="e">
        <f>IF(D574="BUY",G575+(ROUND(F574*I574/(B574*100),0)*B574),G575-(ROUND(F574*I574/(B574*100),0)*B574))</f>
        <v>#DIV/0!</v>
      </c>
      <c r="J575" s="29" t="e">
        <f>IF(C574=1,IF(D574="BUY",E574+(ROUND(F574*J574/B574,0)*B574),E574-(ROUND(F574*J574/B574,0)*B574)),IF(D574="BUY",E574-(ROUND(F574*J574/B574,0)*B574),E574+(ROUND(F574*J574/B574,0)*B574)))</f>
        <v>#DIV/0!</v>
      </c>
      <c r="K575" s="29" t="e">
        <f>IF(C574=1,IF(D574="BUY",E574-(ROUND(F574*K574/B574,0)*B574),E574+(ROUND(F574*K574/B574,0)*B574)),IF(D574="BUY",E574-(ROUND(F574*K574/B574,0)*B574),E574+(ROUND(F574*K574/B574,0)*B574)))</f>
        <v>#DIV/0!</v>
      </c>
      <c r="L575" s="29" t="e">
        <f t="shared" ref="L575" si="857">IF(D575="BUY",I575+(R575*B575),I575-(R575*B575))</f>
        <v>#DIV/0!</v>
      </c>
      <c r="M575" s="29" t="e">
        <f>IF(D574="BUY",E574+(ROUND(F574*M574/B574,0)*B574),E574-(ROUND(F574*M574/B574,0)*B574))</f>
        <v>#DIV/0!</v>
      </c>
      <c r="N575" s="29" t="e">
        <f>IF(D574="BUY",E574-(ROUND(F574*N574/B574,0)*B574),E574+(ROUND(F574*N574/B574,0)*B574))</f>
        <v>#DIV/0!</v>
      </c>
      <c r="O575" s="31" t="e">
        <f>IF(D575="BUY",N575-VLOOKUP(A575,Symbols!A$1:D$1000,4,FALSE),N575+VLOOKUP(A575,Symbols!A$1:D$1000,4,FALSE))</f>
        <v>#DIV/0!</v>
      </c>
      <c r="P575" s="29">
        <f>P574</f>
        <v>0</v>
      </c>
      <c r="Q575" s="29">
        <f>Q574</f>
        <v>0</v>
      </c>
      <c r="R575" s="29">
        <f>R574</f>
        <v>0</v>
      </c>
      <c r="S575" s="29">
        <f>S574</f>
        <v>0</v>
      </c>
      <c r="T575" s="29">
        <f>T574</f>
        <v>0</v>
      </c>
      <c r="U575" s="29" t="e">
        <f>DATEDIF(DATE(1970,1,1),U574,"D")*86400</f>
        <v>#NUM!</v>
      </c>
      <c r="V575" s="29">
        <f>HOUR(V574)*3600+MINUTE(V574)*60+SECOND(V574)</f>
        <v>0</v>
      </c>
      <c r="W575" s="29" t="e">
        <f>DATEDIF(DATE(1970,1,1),W574,"D")*86400</f>
        <v>#NUM!</v>
      </c>
      <c r="X575" s="29">
        <f>HOUR(X574)*3600+MINUTE(X574)*60+SECOND(X574)</f>
        <v>0</v>
      </c>
      <c r="Y575" s="31">
        <f>(Y574*B575)</f>
        <v>0</v>
      </c>
      <c r="Z575" s="29">
        <f>Z574</f>
        <v>0</v>
      </c>
      <c r="AA575" s="29" t="e">
        <f>DATEDIF(DATE(1970,1,1),AA574,"D")*86400</f>
        <v>#NUM!</v>
      </c>
      <c r="AB575" s="29">
        <f>HOUR(AB574)*3600+MINUTE(AB574)*60+SECOND(AB574)</f>
        <v>0</v>
      </c>
      <c r="AC575" s="29">
        <f>AC574</f>
        <v>0</v>
      </c>
    </row>
    <row r="576" spans="1:29">
      <c r="A576" s="23">
        <f>Parameters!A289</f>
        <v>0</v>
      </c>
      <c r="B576" s="23">
        <f>Parameters!B289</f>
        <v>0</v>
      </c>
      <c r="C576" s="24">
        <f>Parameters!C289</f>
        <v>0</v>
      </c>
      <c r="D576" s="24">
        <f>Parameters!D289</f>
        <v>0</v>
      </c>
      <c r="E576" s="23">
        <f>Parameters!E289</f>
        <v>0</v>
      </c>
      <c r="F576" s="23">
        <f>Parameters!F289</f>
        <v>0</v>
      </c>
      <c r="G576" s="25">
        <f>Parameters!G289</f>
        <v>0</v>
      </c>
      <c r="H576" s="25">
        <f>Parameters!H289</f>
        <v>0</v>
      </c>
      <c r="I576" s="25">
        <f>Parameters!I289</f>
        <v>0</v>
      </c>
      <c r="J576" s="25">
        <f>Parameters!J289</f>
        <v>0</v>
      </c>
      <c r="K576" s="25">
        <f>Parameters!K289</f>
        <v>0</v>
      </c>
      <c r="L576" s="26" t="e">
        <f t="shared" ref="L576" si="858">L577</f>
        <v>#DIV/0!</v>
      </c>
      <c r="M576" s="25">
        <f>Parameters!L289</f>
        <v>0</v>
      </c>
      <c r="N576" s="25">
        <f>Parameters!M289</f>
        <v>0</v>
      </c>
      <c r="O576" s="26" t="e">
        <f t="shared" ref="O576" si="859">O577</f>
        <v>#DIV/0!</v>
      </c>
      <c r="P576" s="23">
        <f>Parameters!N289</f>
        <v>0</v>
      </c>
      <c r="Q576" s="23">
        <f>Parameters!O289</f>
        <v>0</v>
      </c>
      <c r="R576" s="23">
        <f>Parameters!P289</f>
        <v>0</v>
      </c>
      <c r="S576" s="23">
        <f>Parameters!Q289</f>
        <v>0</v>
      </c>
      <c r="T576" s="23">
        <f>Parameters!R289</f>
        <v>0</v>
      </c>
      <c r="U576" s="27">
        <f>Parameters!S289</f>
        <v>0</v>
      </c>
      <c r="V576" s="28">
        <f>Parameters!T289</f>
        <v>0</v>
      </c>
      <c r="W576" s="27">
        <f>Parameters!U289</f>
        <v>0</v>
      </c>
      <c r="X576" s="28">
        <f>Parameters!V289</f>
        <v>0</v>
      </c>
      <c r="Y576" s="25">
        <f>Parameters!W289</f>
        <v>0</v>
      </c>
      <c r="Z576" s="23">
        <f>Parameters!X289</f>
        <v>0</v>
      </c>
      <c r="AA576" s="27">
        <f>Parameters!Y289</f>
        <v>0</v>
      </c>
      <c r="AB576" s="28">
        <f>Parameters!Z289</f>
        <v>0</v>
      </c>
      <c r="AC576" s="23">
        <f>Parameters!AA289</f>
        <v>0</v>
      </c>
    </row>
    <row r="577" spans="1:29">
      <c r="A577" s="29" t="str">
        <f>UPPER(A576)</f>
        <v>0</v>
      </c>
      <c r="B577" s="29">
        <f>B576</f>
        <v>0</v>
      </c>
      <c r="C577" s="30">
        <f>C576</f>
        <v>0</v>
      </c>
      <c r="D577" s="30">
        <f>D576</f>
        <v>0</v>
      </c>
      <c r="E577" s="29">
        <f>E576</f>
        <v>0</v>
      </c>
      <c r="F577" s="29">
        <f>F576</f>
        <v>0</v>
      </c>
      <c r="G577" s="29" t="e">
        <f>IF(C576=1,IF(D576="BUY",E576+(ROUND(F576*G576/B576,0)*B576),E576-(ROUND(F576*G576/B576,0)*B576)),IF(D576="BUY",E576-(ROUND(F576*G576/B576,0)*B576),E576+(ROUND(F576*G576/B576,0)*B576)))</f>
        <v>#DIV/0!</v>
      </c>
      <c r="H577" s="29" t="e">
        <f>IF(C576=1,IF(D576="BUY",G577-(ROUND(F576*H576/B576,0)*B576),G577+(ROUND(F576*H576/B576,0)*B576)),IF(D576="BUY",G577+(ROUND(F576*H576/B576,0)*B576),G577-(ROUND(F576*H576/B576,0)*B576)))</f>
        <v>#DIV/0!</v>
      </c>
      <c r="I577" s="29" t="e">
        <f>IF(D576="BUY",G577+(ROUND(F576*I576/(B576*100),0)*B576),G577-(ROUND(F576*I576/(B576*100),0)*B576))</f>
        <v>#DIV/0!</v>
      </c>
      <c r="J577" s="29" t="e">
        <f>IF(C576=1,IF(D576="BUY",E576+(ROUND(F576*J576/B576,0)*B576),E576-(ROUND(F576*J576/B576,0)*B576)),IF(D576="BUY",E576-(ROUND(F576*J576/B576,0)*B576),E576+(ROUND(F576*J576/B576,0)*B576)))</f>
        <v>#DIV/0!</v>
      </c>
      <c r="K577" s="29" t="e">
        <f>IF(C576=1,IF(D576="BUY",E576-(ROUND(F576*K576/B576,0)*B576),E576+(ROUND(F576*K576/B576,0)*B576)),IF(D576="BUY",E576-(ROUND(F576*K576/B576,0)*B576),E576+(ROUND(F576*K576/B576,0)*B576)))</f>
        <v>#DIV/0!</v>
      </c>
      <c r="L577" s="29" t="e">
        <f t="shared" ref="L577" si="860">IF(D577="BUY",I577+(R577*B577),I577-(R577*B577))</f>
        <v>#DIV/0!</v>
      </c>
      <c r="M577" s="29" t="e">
        <f>IF(D576="BUY",E576+(ROUND(F576*M576/B576,0)*B576),E576-(ROUND(F576*M576/B576,0)*B576))</f>
        <v>#DIV/0!</v>
      </c>
      <c r="N577" s="29" t="e">
        <f>IF(D576="BUY",E576-(ROUND(F576*N576/B576,0)*B576),E576+(ROUND(F576*N576/B576,0)*B576))</f>
        <v>#DIV/0!</v>
      </c>
      <c r="O577" s="31" t="e">
        <f>IF(D577="BUY",N577-VLOOKUP(A577,Symbols!A$1:D$1000,4,FALSE),N577+VLOOKUP(A577,Symbols!A$1:D$1000,4,FALSE))</f>
        <v>#DIV/0!</v>
      </c>
      <c r="P577" s="29">
        <f>P576</f>
        <v>0</v>
      </c>
      <c r="Q577" s="29">
        <f>Q576</f>
        <v>0</v>
      </c>
      <c r="R577" s="29">
        <f>R576</f>
        <v>0</v>
      </c>
      <c r="S577" s="29">
        <f>S576</f>
        <v>0</v>
      </c>
      <c r="T577" s="29">
        <f>T576</f>
        <v>0</v>
      </c>
      <c r="U577" s="29" t="e">
        <f>DATEDIF(DATE(1970,1,1),U576,"D")*86400</f>
        <v>#NUM!</v>
      </c>
      <c r="V577" s="29">
        <f>HOUR(V576)*3600+MINUTE(V576)*60+SECOND(V576)</f>
        <v>0</v>
      </c>
      <c r="W577" s="29" t="e">
        <f>DATEDIF(DATE(1970,1,1),W576,"D")*86400</f>
        <v>#NUM!</v>
      </c>
      <c r="X577" s="29">
        <f>HOUR(X576)*3600+MINUTE(X576)*60+SECOND(X576)</f>
        <v>0</v>
      </c>
      <c r="Y577" s="31">
        <f>(Y576*B577)</f>
        <v>0</v>
      </c>
      <c r="Z577" s="29">
        <f>Z576</f>
        <v>0</v>
      </c>
      <c r="AA577" s="29" t="e">
        <f>DATEDIF(DATE(1970,1,1),AA576,"D")*86400</f>
        <v>#NUM!</v>
      </c>
      <c r="AB577" s="29">
        <f>HOUR(AB576)*3600+MINUTE(AB576)*60+SECOND(AB576)</f>
        <v>0</v>
      </c>
      <c r="AC577" s="29">
        <f>AC576</f>
        <v>0</v>
      </c>
    </row>
    <row r="578" spans="1:29">
      <c r="A578" s="23">
        <f>Parameters!A290</f>
        <v>0</v>
      </c>
      <c r="B578" s="23">
        <f>Parameters!B290</f>
        <v>0</v>
      </c>
      <c r="C578" s="24">
        <f>Parameters!C290</f>
        <v>0</v>
      </c>
      <c r="D578" s="24">
        <f>Parameters!D290</f>
        <v>0</v>
      </c>
      <c r="E578" s="23">
        <f>Parameters!E290</f>
        <v>0</v>
      </c>
      <c r="F578" s="23">
        <f>Parameters!F290</f>
        <v>0</v>
      </c>
      <c r="G578" s="25">
        <f>Parameters!G290</f>
        <v>0</v>
      </c>
      <c r="H578" s="25">
        <f>Parameters!H290</f>
        <v>0</v>
      </c>
      <c r="I578" s="25">
        <f>Parameters!I290</f>
        <v>0</v>
      </c>
      <c r="J578" s="25">
        <f>Parameters!J290</f>
        <v>0</v>
      </c>
      <c r="K578" s="25">
        <f>Parameters!K290</f>
        <v>0</v>
      </c>
      <c r="L578" s="26" t="e">
        <f t="shared" ref="L578" si="861">L579</f>
        <v>#DIV/0!</v>
      </c>
      <c r="M578" s="25">
        <f>Parameters!L290</f>
        <v>0</v>
      </c>
      <c r="N578" s="25">
        <f>Parameters!M290</f>
        <v>0</v>
      </c>
      <c r="O578" s="26" t="e">
        <f t="shared" ref="O578" si="862">O579</f>
        <v>#DIV/0!</v>
      </c>
      <c r="P578" s="23">
        <f>Parameters!N290</f>
        <v>0</v>
      </c>
      <c r="Q578" s="23">
        <f>Parameters!O290</f>
        <v>0</v>
      </c>
      <c r="R578" s="23">
        <f>Parameters!P290</f>
        <v>0</v>
      </c>
      <c r="S578" s="23">
        <f>Parameters!Q290</f>
        <v>0</v>
      </c>
      <c r="T578" s="23">
        <f>Parameters!R290</f>
        <v>0</v>
      </c>
      <c r="U578" s="27">
        <f>Parameters!S290</f>
        <v>0</v>
      </c>
      <c r="V578" s="28">
        <f>Parameters!T290</f>
        <v>0</v>
      </c>
      <c r="W578" s="27">
        <f>Parameters!U290</f>
        <v>0</v>
      </c>
      <c r="X578" s="28">
        <f>Parameters!V290</f>
        <v>0</v>
      </c>
      <c r="Y578" s="25">
        <f>Parameters!W290</f>
        <v>0</v>
      </c>
      <c r="Z578" s="23">
        <f>Parameters!X290</f>
        <v>0</v>
      </c>
      <c r="AA578" s="27">
        <f>Parameters!Y290</f>
        <v>0</v>
      </c>
      <c r="AB578" s="28">
        <f>Parameters!Z290</f>
        <v>0</v>
      </c>
      <c r="AC578" s="23">
        <f>Parameters!AA290</f>
        <v>0</v>
      </c>
    </row>
    <row r="579" spans="1:29">
      <c r="A579" s="29" t="str">
        <f>UPPER(A578)</f>
        <v>0</v>
      </c>
      <c r="B579" s="29">
        <f>B578</f>
        <v>0</v>
      </c>
      <c r="C579" s="30">
        <f>C578</f>
        <v>0</v>
      </c>
      <c r="D579" s="30">
        <f>D578</f>
        <v>0</v>
      </c>
      <c r="E579" s="29">
        <f>E578</f>
        <v>0</v>
      </c>
      <c r="F579" s="29">
        <f>F578</f>
        <v>0</v>
      </c>
      <c r="G579" s="29" t="e">
        <f>IF(C578=1,IF(D578="BUY",E578+(ROUND(F578*G578/B578,0)*B578),E578-(ROUND(F578*G578/B578,0)*B578)),IF(D578="BUY",E578-(ROUND(F578*G578/B578,0)*B578),E578+(ROUND(F578*G578/B578,0)*B578)))</f>
        <v>#DIV/0!</v>
      </c>
      <c r="H579" s="29" t="e">
        <f>IF(C578=1,IF(D578="BUY",G579-(ROUND(F578*H578/B578,0)*B578),G579+(ROUND(F578*H578/B578,0)*B578)),IF(D578="BUY",G579+(ROUND(F578*H578/B578,0)*B578),G579-(ROUND(F578*H578/B578,0)*B578)))</f>
        <v>#DIV/0!</v>
      </c>
      <c r="I579" s="29" t="e">
        <f>IF(D578="BUY",G579+(ROUND(F578*I578/(B578*100),0)*B578),G579-(ROUND(F578*I578/(B578*100),0)*B578))</f>
        <v>#DIV/0!</v>
      </c>
      <c r="J579" s="29" t="e">
        <f>IF(C578=1,IF(D578="BUY",E578+(ROUND(F578*J578/B578,0)*B578),E578-(ROUND(F578*J578/B578,0)*B578)),IF(D578="BUY",E578-(ROUND(F578*J578/B578,0)*B578),E578+(ROUND(F578*J578/B578,0)*B578)))</f>
        <v>#DIV/0!</v>
      </c>
      <c r="K579" s="29" t="e">
        <f>IF(C578=1,IF(D578="BUY",E578-(ROUND(F578*K578/B578,0)*B578),E578+(ROUND(F578*K578/B578,0)*B578)),IF(D578="BUY",E578-(ROUND(F578*K578/B578,0)*B578),E578+(ROUND(F578*K578/B578,0)*B578)))</f>
        <v>#DIV/0!</v>
      </c>
      <c r="L579" s="29" t="e">
        <f t="shared" ref="L579" si="863">IF(D579="BUY",I579+(R579*B579),I579-(R579*B579))</f>
        <v>#DIV/0!</v>
      </c>
      <c r="M579" s="29" t="e">
        <f>IF(D578="BUY",E578+(ROUND(F578*M578/B578,0)*B578),E578-(ROUND(F578*M578/B578,0)*B578))</f>
        <v>#DIV/0!</v>
      </c>
      <c r="N579" s="29" t="e">
        <f>IF(D578="BUY",E578-(ROUND(F578*N578/B578,0)*B578),E578+(ROUND(F578*N578/B578,0)*B578))</f>
        <v>#DIV/0!</v>
      </c>
      <c r="O579" s="31" t="e">
        <f>IF(D579="BUY",N579-VLOOKUP(A579,Symbols!A$1:D$1000,4,FALSE),N579+VLOOKUP(A579,Symbols!A$1:D$1000,4,FALSE))</f>
        <v>#DIV/0!</v>
      </c>
      <c r="P579" s="29">
        <f>P578</f>
        <v>0</v>
      </c>
      <c r="Q579" s="29">
        <f>Q578</f>
        <v>0</v>
      </c>
      <c r="R579" s="29">
        <f>R578</f>
        <v>0</v>
      </c>
      <c r="S579" s="29">
        <f>S578</f>
        <v>0</v>
      </c>
      <c r="T579" s="29">
        <f>T578</f>
        <v>0</v>
      </c>
      <c r="U579" s="29" t="e">
        <f>DATEDIF(DATE(1970,1,1),U578,"D")*86400</f>
        <v>#NUM!</v>
      </c>
      <c r="V579" s="29">
        <f>HOUR(V578)*3600+MINUTE(V578)*60+SECOND(V578)</f>
        <v>0</v>
      </c>
      <c r="W579" s="29" t="e">
        <f>DATEDIF(DATE(1970,1,1),W578,"D")*86400</f>
        <v>#NUM!</v>
      </c>
      <c r="X579" s="29">
        <f>HOUR(X578)*3600+MINUTE(X578)*60+SECOND(X578)</f>
        <v>0</v>
      </c>
      <c r="Y579" s="31">
        <f>(Y578*B579)</f>
        <v>0</v>
      </c>
      <c r="Z579" s="29">
        <f>Z578</f>
        <v>0</v>
      </c>
      <c r="AA579" s="29" t="e">
        <f>DATEDIF(DATE(1970,1,1),AA578,"D")*86400</f>
        <v>#NUM!</v>
      </c>
      <c r="AB579" s="29">
        <f>HOUR(AB578)*3600+MINUTE(AB578)*60+SECOND(AB578)</f>
        <v>0</v>
      </c>
      <c r="AC579" s="29">
        <f>AC578</f>
        <v>0</v>
      </c>
    </row>
    <row r="580" spans="1:29">
      <c r="A580" s="23">
        <f>Parameters!A291</f>
        <v>0</v>
      </c>
      <c r="B580" s="23">
        <f>Parameters!B291</f>
        <v>0</v>
      </c>
      <c r="C580" s="24">
        <f>Parameters!C291</f>
        <v>0</v>
      </c>
      <c r="D580" s="24">
        <f>Parameters!D291</f>
        <v>0</v>
      </c>
      <c r="E580" s="23">
        <f>Parameters!E291</f>
        <v>0</v>
      </c>
      <c r="F580" s="23">
        <f>Parameters!F291</f>
        <v>0</v>
      </c>
      <c r="G580" s="25">
        <f>Parameters!G291</f>
        <v>0</v>
      </c>
      <c r="H580" s="25">
        <f>Parameters!H291</f>
        <v>0</v>
      </c>
      <c r="I580" s="25">
        <f>Parameters!I291</f>
        <v>0</v>
      </c>
      <c r="J580" s="25">
        <f>Parameters!J291</f>
        <v>0</v>
      </c>
      <c r="K580" s="25">
        <f>Parameters!K291</f>
        <v>0</v>
      </c>
      <c r="L580" s="26" t="e">
        <f t="shared" ref="L580" si="864">L581</f>
        <v>#DIV/0!</v>
      </c>
      <c r="M580" s="25">
        <f>Parameters!L291</f>
        <v>0</v>
      </c>
      <c r="N580" s="25">
        <f>Parameters!M291</f>
        <v>0</v>
      </c>
      <c r="O580" s="26" t="e">
        <f t="shared" ref="O580" si="865">O581</f>
        <v>#DIV/0!</v>
      </c>
      <c r="P580" s="23">
        <f>Parameters!N291</f>
        <v>0</v>
      </c>
      <c r="Q580" s="23">
        <f>Parameters!O291</f>
        <v>0</v>
      </c>
      <c r="R580" s="23">
        <f>Parameters!P291</f>
        <v>0</v>
      </c>
      <c r="S580" s="23">
        <f>Parameters!Q291</f>
        <v>0</v>
      </c>
      <c r="T580" s="23">
        <f>Parameters!R291</f>
        <v>0</v>
      </c>
      <c r="U580" s="27">
        <f>Parameters!S291</f>
        <v>0</v>
      </c>
      <c r="V580" s="28">
        <f>Parameters!T291</f>
        <v>0</v>
      </c>
      <c r="W580" s="27">
        <f>Parameters!U291</f>
        <v>0</v>
      </c>
      <c r="X580" s="28">
        <f>Parameters!V291</f>
        <v>0</v>
      </c>
      <c r="Y580" s="25">
        <f>Parameters!W291</f>
        <v>0</v>
      </c>
      <c r="Z580" s="23">
        <f>Parameters!X291</f>
        <v>0</v>
      </c>
      <c r="AA580" s="27">
        <f>Parameters!Y291</f>
        <v>0</v>
      </c>
      <c r="AB580" s="28">
        <f>Parameters!Z291</f>
        <v>0</v>
      </c>
      <c r="AC580" s="23">
        <f>Parameters!AA291</f>
        <v>0</v>
      </c>
    </row>
    <row r="581" spans="1:29">
      <c r="A581" s="29" t="str">
        <f>UPPER(A580)</f>
        <v>0</v>
      </c>
      <c r="B581" s="29">
        <f>B580</f>
        <v>0</v>
      </c>
      <c r="C581" s="30">
        <f>C580</f>
        <v>0</v>
      </c>
      <c r="D581" s="30">
        <f>D580</f>
        <v>0</v>
      </c>
      <c r="E581" s="29">
        <f>E580</f>
        <v>0</v>
      </c>
      <c r="F581" s="29">
        <f>F580</f>
        <v>0</v>
      </c>
      <c r="G581" s="29" t="e">
        <f>IF(C580=1,IF(D580="BUY",E580+(ROUND(F580*G580/B580,0)*B580),E580-(ROUND(F580*G580/B580,0)*B580)),IF(D580="BUY",E580-(ROUND(F580*G580/B580,0)*B580),E580+(ROUND(F580*G580/B580,0)*B580)))</f>
        <v>#DIV/0!</v>
      </c>
      <c r="H581" s="29" t="e">
        <f>IF(C580=1,IF(D580="BUY",G581-(ROUND(F580*H580/B580,0)*B580),G581+(ROUND(F580*H580/B580,0)*B580)),IF(D580="BUY",G581+(ROUND(F580*H580/B580,0)*B580),G581-(ROUND(F580*H580/B580,0)*B580)))</f>
        <v>#DIV/0!</v>
      </c>
      <c r="I581" s="29" t="e">
        <f>IF(D580="BUY",G581+(ROUND(F580*I580/(B580*100),0)*B580),G581-(ROUND(F580*I580/(B580*100),0)*B580))</f>
        <v>#DIV/0!</v>
      </c>
      <c r="J581" s="29" t="e">
        <f>IF(C580=1,IF(D580="BUY",E580+(ROUND(F580*J580/B580,0)*B580),E580-(ROUND(F580*J580/B580,0)*B580)),IF(D580="BUY",E580-(ROUND(F580*J580/B580,0)*B580),E580+(ROUND(F580*J580/B580,0)*B580)))</f>
        <v>#DIV/0!</v>
      </c>
      <c r="K581" s="29" t="e">
        <f>IF(C580=1,IF(D580="BUY",E580-(ROUND(F580*K580/B580,0)*B580),E580+(ROUND(F580*K580/B580,0)*B580)),IF(D580="BUY",E580-(ROUND(F580*K580/B580,0)*B580),E580+(ROUND(F580*K580/B580,0)*B580)))</f>
        <v>#DIV/0!</v>
      </c>
      <c r="L581" s="29" t="e">
        <f t="shared" ref="L581" si="866">IF(D581="BUY",I581+(R581*B581),I581-(R581*B581))</f>
        <v>#DIV/0!</v>
      </c>
      <c r="M581" s="29" t="e">
        <f>IF(D580="BUY",E580+(ROUND(F580*M580/B580,0)*B580),E580-(ROUND(F580*M580/B580,0)*B580))</f>
        <v>#DIV/0!</v>
      </c>
      <c r="N581" s="29" t="e">
        <f>IF(D580="BUY",E580-(ROUND(F580*N580/B580,0)*B580),E580+(ROUND(F580*N580/B580,0)*B580))</f>
        <v>#DIV/0!</v>
      </c>
      <c r="O581" s="31" t="e">
        <f>IF(D581="BUY",N581-VLOOKUP(A581,Symbols!A$1:D$1000,4,FALSE),N581+VLOOKUP(A581,Symbols!A$1:D$1000,4,FALSE))</f>
        <v>#DIV/0!</v>
      </c>
      <c r="P581" s="29">
        <f>P580</f>
        <v>0</v>
      </c>
      <c r="Q581" s="29">
        <f>Q580</f>
        <v>0</v>
      </c>
      <c r="R581" s="29">
        <f>R580</f>
        <v>0</v>
      </c>
      <c r="S581" s="29">
        <f>S580</f>
        <v>0</v>
      </c>
      <c r="T581" s="29">
        <f>T580</f>
        <v>0</v>
      </c>
      <c r="U581" s="29" t="e">
        <f>DATEDIF(DATE(1970,1,1),U580,"D")*86400</f>
        <v>#NUM!</v>
      </c>
      <c r="V581" s="29">
        <f>HOUR(V580)*3600+MINUTE(V580)*60+SECOND(V580)</f>
        <v>0</v>
      </c>
      <c r="W581" s="29" t="e">
        <f>DATEDIF(DATE(1970,1,1),W580,"D")*86400</f>
        <v>#NUM!</v>
      </c>
      <c r="X581" s="29">
        <f>HOUR(X580)*3600+MINUTE(X580)*60+SECOND(X580)</f>
        <v>0</v>
      </c>
      <c r="Y581" s="31">
        <f>(Y580*B581)</f>
        <v>0</v>
      </c>
      <c r="Z581" s="29">
        <f>Z580</f>
        <v>0</v>
      </c>
      <c r="AA581" s="29" t="e">
        <f>DATEDIF(DATE(1970,1,1),AA580,"D")*86400</f>
        <v>#NUM!</v>
      </c>
      <c r="AB581" s="29">
        <f>HOUR(AB580)*3600+MINUTE(AB580)*60+SECOND(AB580)</f>
        <v>0</v>
      </c>
      <c r="AC581" s="29">
        <f>AC580</f>
        <v>0</v>
      </c>
    </row>
    <row r="582" spans="1:29">
      <c r="A582" s="23">
        <f>Parameters!A292</f>
        <v>0</v>
      </c>
      <c r="B582" s="23">
        <f>Parameters!B292</f>
        <v>0</v>
      </c>
      <c r="C582" s="24">
        <f>Parameters!C292</f>
        <v>0</v>
      </c>
      <c r="D582" s="24">
        <f>Parameters!D292</f>
        <v>0</v>
      </c>
      <c r="E582" s="23">
        <f>Parameters!E292</f>
        <v>0</v>
      </c>
      <c r="F582" s="23">
        <f>Parameters!F292</f>
        <v>0</v>
      </c>
      <c r="G582" s="25">
        <f>Parameters!G292</f>
        <v>0</v>
      </c>
      <c r="H582" s="25">
        <f>Parameters!H292</f>
        <v>0</v>
      </c>
      <c r="I582" s="25">
        <f>Parameters!I292</f>
        <v>0</v>
      </c>
      <c r="J582" s="25">
        <f>Parameters!J292</f>
        <v>0</v>
      </c>
      <c r="K582" s="25">
        <f>Parameters!K292</f>
        <v>0</v>
      </c>
      <c r="L582" s="26" t="e">
        <f t="shared" ref="L582" si="867">L583</f>
        <v>#DIV/0!</v>
      </c>
      <c r="M582" s="25">
        <f>Parameters!L292</f>
        <v>0</v>
      </c>
      <c r="N582" s="25">
        <f>Parameters!M292</f>
        <v>0</v>
      </c>
      <c r="O582" s="26" t="e">
        <f t="shared" ref="O582" si="868">O583</f>
        <v>#DIV/0!</v>
      </c>
      <c r="P582" s="23">
        <f>Parameters!N292</f>
        <v>0</v>
      </c>
      <c r="Q582" s="23">
        <f>Parameters!O292</f>
        <v>0</v>
      </c>
      <c r="R582" s="23">
        <f>Parameters!P292</f>
        <v>0</v>
      </c>
      <c r="S582" s="23">
        <f>Parameters!Q292</f>
        <v>0</v>
      </c>
      <c r="T582" s="23">
        <f>Parameters!R292</f>
        <v>0</v>
      </c>
      <c r="U582" s="27">
        <f>Parameters!S292</f>
        <v>0</v>
      </c>
      <c r="V582" s="28">
        <f>Parameters!T292</f>
        <v>0</v>
      </c>
      <c r="W582" s="27">
        <f>Parameters!U292</f>
        <v>0</v>
      </c>
      <c r="X582" s="28">
        <f>Parameters!V292</f>
        <v>0</v>
      </c>
      <c r="Y582" s="25">
        <f>Parameters!W292</f>
        <v>0</v>
      </c>
      <c r="Z582" s="23">
        <f>Parameters!X292</f>
        <v>0</v>
      </c>
      <c r="AA582" s="27">
        <f>Parameters!Y292</f>
        <v>0</v>
      </c>
      <c r="AB582" s="28">
        <f>Parameters!Z292</f>
        <v>0</v>
      </c>
      <c r="AC582" s="23">
        <f>Parameters!AA292</f>
        <v>0</v>
      </c>
    </row>
    <row r="583" spans="1:29">
      <c r="A583" s="29" t="str">
        <f>UPPER(A582)</f>
        <v>0</v>
      </c>
      <c r="B583" s="29">
        <f>B582</f>
        <v>0</v>
      </c>
      <c r="C583" s="30">
        <f>C582</f>
        <v>0</v>
      </c>
      <c r="D583" s="30">
        <f>D582</f>
        <v>0</v>
      </c>
      <c r="E583" s="29">
        <f>E582</f>
        <v>0</v>
      </c>
      <c r="F583" s="29">
        <f>F582</f>
        <v>0</v>
      </c>
      <c r="G583" s="29" t="e">
        <f>IF(C582=1,IF(D582="BUY",E582+(ROUND(F582*G582/B582,0)*B582),E582-(ROUND(F582*G582/B582,0)*B582)),IF(D582="BUY",E582-(ROUND(F582*G582/B582,0)*B582),E582+(ROUND(F582*G582/B582,0)*B582)))</f>
        <v>#DIV/0!</v>
      </c>
      <c r="H583" s="29" t="e">
        <f>IF(C582=1,IF(D582="BUY",G583-(ROUND(F582*H582/B582,0)*B582),G583+(ROUND(F582*H582/B582,0)*B582)),IF(D582="BUY",G583+(ROUND(F582*H582/B582,0)*B582),G583-(ROUND(F582*H582/B582,0)*B582)))</f>
        <v>#DIV/0!</v>
      </c>
      <c r="I583" s="29" t="e">
        <f>IF(D582="BUY",G583+(ROUND(F582*I582/(B582*100),0)*B582),G583-(ROUND(F582*I582/(B582*100),0)*B582))</f>
        <v>#DIV/0!</v>
      </c>
      <c r="J583" s="29" t="e">
        <f>IF(C582=1,IF(D582="BUY",E582+(ROUND(F582*J582/B582,0)*B582),E582-(ROUND(F582*J582/B582,0)*B582)),IF(D582="BUY",E582-(ROUND(F582*J582/B582,0)*B582),E582+(ROUND(F582*J582/B582,0)*B582)))</f>
        <v>#DIV/0!</v>
      </c>
      <c r="K583" s="29" t="e">
        <f>IF(C582=1,IF(D582="BUY",E582-(ROUND(F582*K582/B582,0)*B582),E582+(ROUND(F582*K582/B582,0)*B582)),IF(D582="BUY",E582-(ROUND(F582*K582/B582,0)*B582),E582+(ROUND(F582*K582/B582,0)*B582)))</f>
        <v>#DIV/0!</v>
      </c>
      <c r="L583" s="29" t="e">
        <f t="shared" ref="L583" si="869">IF(D583="BUY",I583+(R583*B583),I583-(R583*B583))</f>
        <v>#DIV/0!</v>
      </c>
      <c r="M583" s="29" t="e">
        <f>IF(D582="BUY",E582+(ROUND(F582*M582/B582,0)*B582),E582-(ROUND(F582*M582/B582,0)*B582))</f>
        <v>#DIV/0!</v>
      </c>
      <c r="N583" s="29" t="e">
        <f>IF(D582="BUY",E582-(ROUND(F582*N582/B582,0)*B582),E582+(ROUND(F582*N582/B582,0)*B582))</f>
        <v>#DIV/0!</v>
      </c>
      <c r="O583" s="31" t="e">
        <f>IF(D583="BUY",N583-VLOOKUP(A583,Symbols!A$1:D$1000,4,FALSE),N583+VLOOKUP(A583,Symbols!A$1:D$1000,4,FALSE))</f>
        <v>#DIV/0!</v>
      </c>
      <c r="P583" s="29">
        <f>P582</f>
        <v>0</v>
      </c>
      <c r="Q583" s="29">
        <f>Q582</f>
        <v>0</v>
      </c>
      <c r="R583" s="29">
        <f>R582</f>
        <v>0</v>
      </c>
      <c r="S583" s="29">
        <f>S582</f>
        <v>0</v>
      </c>
      <c r="T583" s="29">
        <f>T582</f>
        <v>0</v>
      </c>
      <c r="U583" s="29" t="e">
        <f>DATEDIF(DATE(1970,1,1),U582,"D")*86400</f>
        <v>#NUM!</v>
      </c>
      <c r="V583" s="29">
        <f>HOUR(V582)*3600+MINUTE(V582)*60+SECOND(V582)</f>
        <v>0</v>
      </c>
      <c r="W583" s="29" t="e">
        <f>DATEDIF(DATE(1970,1,1),W582,"D")*86400</f>
        <v>#NUM!</v>
      </c>
      <c r="X583" s="29">
        <f>HOUR(X582)*3600+MINUTE(X582)*60+SECOND(X582)</f>
        <v>0</v>
      </c>
      <c r="Y583" s="31">
        <f>(Y582*B583)</f>
        <v>0</v>
      </c>
      <c r="Z583" s="29">
        <f>Z582</f>
        <v>0</v>
      </c>
      <c r="AA583" s="29" t="e">
        <f>DATEDIF(DATE(1970,1,1),AA582,"D")*86400</f>
        <v>#NUM!</v>
      </c>
      <c r="AB583" s="29">
        <f>HOUR(AB582)*3600+MINUTE(AB582)*60+SECOND(AB582)</f>
        <v>0</v>
      </c>
      <c r="AC583" s="29">
        <f>AC582</f>
        <v>0</v>
      </c>
    </row>
    <row r="584" spans="1:29">
      <c r="A584" s="23">
        <f>Parameters!A293</f>
        <v>0</v>
      </c>
      <c r="B584" s="23">
        <f>Parameters!B293</f>
        <v>0</v>
      </c>
      <c r="C584" s="24">
        <f>Parameters!C293</f>
        <v>0</v>
      </c>
      <c r="D584" s="24">
        <f>Parameters!D293</f>
        <v>0</v>
      </c>
      <c r="E584" s="23">
        <f>Parameters!E293</f>
        <v>0</v>
      </c>
      <c r="F584" s="23">
        <f>Parameters!F293</f>
        <v>0</v>
      </c>
      <c r="G584" s="25">
        <f>Parameters!G293</f>
        <v>0</v>
      </c>
      <c r="H584" s="25">
        <f>Parameters!H293</f>
        <v>0</v>
      </c>
      <c r="I584" s="25">
        <f>Parameters!I293</f>
        <v>0</v>
      </c>
      <c r="J584" s="25">
        <f>Parameters!J293</f>
        <v>0</v>
      </c>
      <c r="K584" s="25">
        <f>Parameters!K293</f>
        <v>0</v>
      </c>
      <c r="L584" s="26" t="e">
        <f t="shared" ref="L584" si="870">L585</f>
        <v>#DIV/0!</v>
      </c>
      <c r="M584" s="25">
        <f>Parameters!L293</f>
        <v>0</v>
      </c>
      <c r="N584" s="25">
        <f>Parameters!M293</f>
        <v>0</v>
      </c>
      <c r="O584" s="26" t="e">
        <f t="shared" ref="O584" si="871">O585</f>
        <v>#DIV/0!</v>
      </c>
      <c r="P584" s="23">
        <f>Parameters!N293</f>
        <v>0</v>
      </c>
      <c r="Q584" s="23">
        <f>Parameters!O293</f>
        <v>0</v>
      </c>
      <c r="R584" s="23">
        <f>Parameters!P293</f>
        <v>0</v>
      </c>
      <c r="S584" s="23">
        <f>Parameters!Q293</f>
        <v>0</v>
      </c>
      <c r="T584" s="23">
        <f>Parameters!R293</f>
        <v>0</v>
      </c>
      <c r="U584" s="27">
        <f>Parameters!S293</f>
        <v>0</v>
      </c>
      <c r="V584" s="28">
        <f>Parameters!T293</f>
        <v>0</v>
      </c>
      <c r="W584" s="27">
        <f>Parameters!U293</f>
        <v>0</v>
      </c>
      <c r="X584" s="28">
        <f>Parameters!V293</f>
        <v>0</v>
      </c>
      <c r="Y584" s="25">
        <f>Parameters!W293</f>
        <v>0</v>
      </c>
      <c r="Z584" s="23">
        <f>Parameters!X293</f>
        <v>0</v>
      </c>
      <c r="AA584" s="27">
        <f>Parameters!Y293</f>
        <v>0</v>
      </c>
      <c r="AB584" s="28">
        <f>Parameters!Z293</f>
        <v>0</v>
      </c>
      <c r="AC584" s="23">
        <f>Parameters!AA293</f>
        <v>0</v>
      </c>
    </row>
    <row r="585" spans="1:29">
      <c r="A585" s="29" t="str">
        <f>UPPER(A584)</f>
        <v>0</v>
      </c>
      <c r="B585" s="29">
        <f>B584</f>
        <v>0</v>
      </c>
      <c r="C585" s="30">
        <f>C584</f>
        <v>0</v>
      </c>
      <c r="D585" s="30">
        <f>D584</f>
        <v>0</v>
      </c>
      <c r="E585" s="29">
        <f>E584</f>
        <v>0</v>
      </c>
      <c r="F585" s="29">
        <f>F584</f>
        <v>0</v>
      </c>
      <c r="G585" s="29" t="e">
        <f>IF(C584=1,IF(D584="BUY",E584+(ROUND(F584*G584/B584,0)*B584),E584-(ROUND(F584*G584/B584,0)*B584)),IF(D584="BUY",E584-(ROUND(F584*G584/B584,0)*B584),E584+(ROUND(F584*G584/B584,0)*B584)))</f>
        <v>#DIV/0!</v>
      </c>
      <c r="H585" s="29" t="e">
        <f>IF(C584=1,IF(D584="BUY",G585-(ROUND(F584*H584/B584,0)*B584),G585+(ROUND(F584*H584/B584,0)*B584)),IF(D584="BUY",G585+(ROUND(F584*H584/B584,0)*B584),G585-(ROUND(F584*H584/B584,0)*B584)))</f>
        <v>#DIV/0!</v>
      </c>
      <c r="I585" s="29" t="e">
        <f>IF(D584="BUY",G585+(ROUND(F584*I584/(B584*100),0)*B584),G585-(ROUND(F584*I584/(B584*100),0)*B584))</f>
        <v>#DIV/0!</v>
      </c>
      <c r="J585" s="29" t="e">
        <f>IF(C584=1,IF(D584="BUY",E584+(ROUND(F584*J584/B584,0)*B584),E584-(ROUND(F584*J584/B584,0)*B584)),IF(D584="BUY",E584-(ROUND(F584*J584/B584,0)*B584),E584+(ROUND(F584*J584/B584,0)*B584)))</f>
        <v>#DIV/0!</v>
      </c>
      <c r="K585" s="29" t="e">
        <f>IF(C584=1,IF(D584="BUY",E584-(ROUND(F584*K584/B584,0)*B584),E584+(ROUND(F584*K584/B584,0)*B584)),IF(D584="BUY",E584-(ROUND(F584*K584/B584,0)*B584),E584+(ROUND(F584*K584/B584,0)*B584)))</f>
        <v>#DIV/0!</v>
      </c>
      <c r="L585" s="29" t="e">
        <f t="shared" ref="L585" si="872">IF(D585="BUY",I585+(R585*B585),I585-(R585*B585))</f>
        <v>#DIV/0!</v>
      </c>
      <c r="M585" s="29" t="e">
        <f>IF(D584="BUY",E584+(ROUND(F584*M584/B584,0)*B584),E584-(ROUND(F584*M584/B584,0)*B584))</f>
        <v>#DIV/0!</v>
      </c>
      <c r="N585" s="29" t="e">
        <f>IF(D584="BUY",E584-(ROUND(F584*N584/B584,0)*B584),E584+(ROUND(F584*N584/B584,0)*B584))</f>
        <v>#DIV/0!</v>
      </c>
      <c r="O585" s="31" t="e">
        <f>IF(D585="BUY",N585-VLOOKUP(A585,Symbols!A$1:D$1000,4,FALSE),N585+VLOOKUP(A585,Symbols!A$1:D$1000,4,FALSE))</f>
        <v>#DIV/0!</v>
      </c>
      <c r="P585" s="29">
        <f>P584</f>
        <v>0</v>
      </c>
      <c r="Q585" s="29">
        <f>Q584</f>
        <v>0</v>
      </c>
      <c r="R585" s="29">
        <f>R584</f>
        <v>0</v>
      </c>
      <c r="S585" s="29">
        <f>S584</f>
        <v>0</v>
      </c>
      <c r="T585" s="29">
        <f>T584</f>
        <v>0</v>
      </c>
      <c r="U585" s="29" t="e">
        <f>DATEDIF(DATE(1970,1,1),U584,"D")*86400</f>
        <v>#NUM!</v>
      </c>
      <c r="V585" s="29">
        <f>HOUR(V584)*3600+MINUTE(V584)*60+SECOND(V584)</f>
        <v>0</v>
      </c>
      <c r="W585" s="29" t="e">
        <f>DATEDIF(DATE(1970,1,1),W584,"D")*86400</f>
        <v>#NUM!</v>
      </c>
      <c r="X585" s="29">
        <f>HOUR(X584)*3600+MINUTE(X584)*60+SECOND(X584)</f>
        <v>0</v>
      </c>
      <c r="Y585" s="31">
        <f>(Y584*B585)</f>
        <v>0</v>
      </c>
      <c r="Z585" s="29">
        <f>Z584</f>
        <v>0</v>
      </c>
      <c r="AA585" s="29" t="e">
        <f>DATEDIF(DATE(1970,1,1),AA584,"D")*86400</f>
        <v>#NUM!</v>
      </c>
      <c r="AB585" s="29">
        <f>HOUR(AB584)*3600+MINUTE(AB584)*60+SECOND(AB584)</f>
        <v>0</v>
      </c>
      <c r="AC585" s="29">
        <f>AC584</f>
        <v>0</v>
      </c>
    </row>
    <row r="586" spans="1:29">
      <c r="A586" s="23">
        <f>Parameters!A294</f>
        <v>0</v>
      </c>
      <c r="B586" s="23">
        <f>Parameters!B294</f>
        <v>0</v>
      </c>
      <c r="C586" s="24">
        <f>Parameters!C294</f>
        <v>0</v>
      </c>
      <c r="D586" s="24">
        <f>Parameters!D294</f>
        <v>0</v>
      </c>
      <c r="E586" s="23">
        <f>Parameters!E294</f>
        <v>0</v>
      </c>
      <c r="F586" s="23">
        <f>Parameters!F294</f>
        <v>0</v>
      </c>
      <c r="G586" s="25">
        <f>Parameters!G294</f>
        <v>0</v>
      </c>
      <c r="H586" s="25">
        <f>Parameters!H294</f>
        <v>0</v>
      </c>
      <c r="I586" s="25">
        <f>Parameters!I294</f>
        <v>0</v>
      </c>
      <c r="J586" s="25">
        <f>Parameters!J294</f>
        <v>0</v>
      </c>
      <c r="K586" s="25">
        <f>Parameters!K294</f>
        <v>0</v>
      </c>
      <c r="L586" s="26" t="e">
        <f t="shared" ref="L586" si="873">L587</f>
        <v>#DIV/0!</v>
      </c>
      <c r="M586" s="25">
        <f>Parameters!L294</f>
        <v>0</v>
      </c>
      <c r="N586" s="25">
        <f>Parameters!M294</f>
        <v>0</v>
      </c>
      <c r="O586" s="26" t="e">
        <f t="shared" ref="O586" si="874">O587</f>
        <v>#DIV/0!</v>
      </c>
      <c r="P586" s="23">
        <f>Parameters!N294</f>
        <v>0</v>
      </c>
      <c r="Q586" s="23">
        <f>Parameters!O294</f>
        <v>0</v>
      </c>
      <c r="R586" s="23">
        <f>Parameters!P294</f>
        <v>0</v>
      </c>
      <c r="S586" s="23">
        <f>Parameters!Q294</f>
        <v>0</v>
      </c>
      <c r="T586" s="23">
        <f>Parameters!R294</f>
        <v>0</v>
      </c>
      <c r="U586" s="27">
        <f>Parameters!S294</f>
        <v>0</v>
      </c>
      <c r="V586" s="28">
        <f>Parameters!T294</f>
        <v>0</v>
      </c>
      <c r="W586" s="27">
        <f>Parameters!U294</f>
        <v>0</v>
      </c>
      <c r="X586" s="28">
        <f>Parameters!V294</f>
        <v>0</v>
      </c>
      <c r="Y586" s="25">
        <f>Parameters!W294</f>
        <v>0</v>
      </c>
      <c r="Z586" s="23">
        <f>Parameters!X294</f>
        <v>0</v>
      </c>
      <c r="AA586" s="27">
        <f>Parameters!Y294</f>
        <v>0</v>
      </c>
      <c r="AB586" s="28">
        <f>Parameters!Z294</f>
        <v>0</v>
      </c>
      <c r="AC586" s="23">
        <f>Parameters!AA294</f>
        <v>0</v>
      </c>
    </row>
    <row r="587" spans="1:29">
      <c r="A587" s="29" t="str">
        <f>UPPER(A586)</f>
        <v>0</v>
      </c>
      <c r="B587" s="29">
        <f>B586</f>
        <v>0</v>
      </c>
      <c r="C587" s="30">
        <f>C586</f>
        <v>0</v>
      </c>
      <c r="D587" s="30">
        <f>D586</f>
        <v>0</v>
      </c>
      <c r="E587" s="29">
        <f>E586</f>
        <v>0</v>
      </c>
      <c r="F587" s="29">
        <f>F586</f>
        <v>0</v>
      </c>
      <c r="G587" s="29" t="e">
        <f>IF(C586=1,IF(D586="BUY",E586+(ROUND(F586*G586/B586,0)*B586),E586-(ROUND(F586*G586/B586,0)*B586)),IF(D586="BUY",E586-(ROUND(F586*G586/B586,0)*B586),E586+(ROUND(F586*G586/B586,0)*B586)))</f>
        <v>#DIV/0!</v>
      </c>
      <c r="H587" s="29" t="e">
        <f>IF(C586=1,IF(D586="BUY",G587-(ROUND(F586*H586/B586,0)*B586),G587+(ROUND(F586*H586/B586,0)*B586)),IF(D586="BUY",G587+(ROUND(F586*H586/B586,0)*B586),G587-(ROUND(F586*H586/B586,0)*B586)))</f>
        <v>#DIV/0!</v>
      </c>
      <c r="I587" s="29" t="e">
        <f>IF(D586="BUY",G587+(ROUND(F586*I586/(B586*100),0)*B586),G587-(ROUND(F586*I586/(B586*100),0)*B586))</f>
        <v>#DIV/0!</v>
      </c>
      <c r="J587" s="29" t="e">
        <f>IF(C586=1,IF(D586="BUY",E586+(ROUND(F586*J586/B586,0)*B586),E586-(ROUND(F586*J586/B586,0)*B586)),IF(D586="BUY",E586-(ROUND(F586*J586/B586,0)*B586),E586+(ROUND(F586*J586/B586,0)*B586)))</f>
        <v>#DIV/0!</v>
      </c>
      <c r="K587" s="29" t="e">
        <f>IF(C586=1,IF(D586="BUY",E586-(ROUND(F586*K586/B586,0)*B586),E586+(ROUND(F586*K586/B586,0)*B586)),IF(D586="BUY",E586-(ROUND(F586*K586/B586,0)*B586),E586+(ROUND(F586*K586/B586,0)*B586)))</f>
        <v>#DIV/0!</v>
      </c>
      <c r="L587" s="29" t="e">
        <f t="shared" ref="L587" si="875">IF(D587="BUY",I587+(R587*B587),I587-(R587*B587))</f>
        <v>#DIV/0!</v>
      </c>
      <c r="M587" s="29" t="e">
        <f>IF(D586="BUY",E586+(ROUND(F586*M586/B586,0)*B586),E586-(ROUND(F586*M586/B586,0)*B586))</f>
        <v>#DIV/0!</v>
      </c>
      <c r="N587" s="29" t="e">
        <f>IF(D586="BUY",E586-(ROUND(F586*N586/B586,0)*B586),E586+(ROUND(F586*N586/B586,0)*B586))</f>
        <v>#DIV/0!</v>
      </c>
      <c r="O587" s="31" t="e">
        <f>IF(D587="BUY",N587-VLOOKUP(A587,Symbols!A$1:D$1000,4,FALSE),N587+VLOOKUP(A587,Symbols!A$1:D$1000,4,FALSE))</f>
        <v>#DIV/0!</v>
      </c>
      <c r="P587" s="29">
        <f>P586</f>
        <v>0</v>
      </c>
      <c r="Q587" s="29">
        <f>Q586</f>
        <v>0</v>
      </c>
      <c r="R587" s="29">
        <f>R586</f>
        <v>0</v>
      </c>
      <c r="S587" s="29">
        <f>S586</f>
        <v>0</v>
      </c>
      <c r="T587" s="29">
        <f>T586</f>
        <v>0</v>
      </c>
      <c r="U587" s="29" t="e">
        <f>DATEDIF(DATE(1970,1,1),U586,"D")*86400</f>
        <v>#NUM!</v>
      </c>
      <c r="V587" s="29">
        <f>HOUR(V586)*3600+MINUTE(V586)*60+SECOND(V586)</f>
        <v>0</v>
      </c>
      <c r="W587" s="29" t="e">
        <f>DATEDIF(DATE(1970,1,1),W586,"D")*86400</f>
        <v>#NUM!</v>
      </c>
      <c r="X587" s="29">
        <f>HOUR(X586)*3600+MINUTE(X586)*60+SECOND(X586)</f>
        <v>0</v>
      </c>
      <c r="Y587" s="31">
        <f>(Y586*B587)</f>
        <v>0</v>
      </c>
      <c r="Z587" s="29">
        <f>Z586</f>
        <v>0</v>
      </c>
      <c r="AA587" s="29" t="e">
        <f>DATEDIF(DATE(1970,1,1),AA586,"D")*86400</f>
        <v>#NUM!</v>
      </c>
      <c r="AB587" s="29">
        <f>HOUR(AB586)*3600+MINUTE(AB586)*60+SECOND(AB586)</f>
        <v>0</v>
      </c>
      <c r="AC587" s="29">
        <f>AC586</f>
        <v>0</v>
      </c>
    </row>
    <row r="588" spans="1:29">
      <c r="A588" s="23">
        <f>Parameters!A295</f>
        <v>0</v>
      </c>
      <c r="B588" s="23">
        <f>Parameters!B295</f>
        <v>0</v>
      </c>
      <c r="C588" s="24">
        <f>Parameters!C295</f>
        <v>0</v>
      </c>
      <c r="D588" s="24">
        <f>Parameters!D295</f>
        <v>0</v>
      </c>
      <c r="E588" s="23">
        <f>Parameters!E295</f>
        <v>0</v>
      </c>
      <c r="F588" s="23">
        <f>Parameters!F295</f>
        <v>0</v>
      </c>
      <c r="G588" s="25">
        <f>Parameters!G295</f>
        <v>0</v>
      </c>
      <c r="H588" s="25">
        <f>Parameters!H295</f>
        <v>0</v>
      </c>
      <c r="I588" s="25">
        <f>Parameters!I295</f>
        <v>0</v>
      </c>
      <c r="J588" s="25">
        <f>Parameters!J295</f>
        <v>0</v>
      </c>
      <c r="K588" s="25">
        <f>Parameters!K295</f>
        <v>0</v>
      </c>
      <c r="L588" s="26" t="e">
        <f t="shared" ref="L588" si="876">L589</f>
        <v>#DIV/0!</v>
      </c>
      <c r="M588" s="25">
        <f>Parameters!L295</f>
        <v>0</v>
      </c>
      <c r="N588" s="25">
        <f>Parameters!M295</f>
        <v>0</v>
      </c>
      <c r="O588" s="26" t="e">
        <f t="shared" ref="O588" si="877">O589</f>
        <v>#DIV/0!</v>
      </c>
      <c r="P588" s="23">
        <f>Parameters!N295</f>
        <v>0</v>
      </c>
      <c r="Q588" s="23">
        <f>Parameters!O295</f>
        <v>0</v>
      </c>
      <c r="R588" s="23">
        <f>Parameters!P295</f>
        <v>0</v>
      </c>
      <c r="S588" s="23">
        <f>Parameters!Q295</f>
        <v>0</v>
      </c>
      <c r="T588" s="23">
        <f>Parameters!R295</f>
        <v>0</v>
      </c>
      <c r="U588" s="27">
        <f>Parameters!S295</f>
        <v>0</v>
      </c>
      <c r="V588" s="28">
        <f>Parameters!T295</f>
        <v>0</v>
      </c>
      <c r="W588" s="27">
        <f>Parameters!U295</f>
        <v>0</v>
      </c>
      <c r="X588" s="28">
        <f>Parameters!V295</f>
        <v>0</v>
      </c>
      <c r="Y588" s="25">
        <f>Parameters!W295</f>
        <v>0</v>
      </c>
      <c r="Z588" s="23">
        <f>Parameters!X295</f>
        <v>0</v>
      </c>
      <c r="AA588" s="27">
        <f>Parameters!Y295</f>
        <v>0</v>
      </c>
      <c r="AB588" s="28">
        <f>Parameters!Z295</f>
        <v>0</v>
      </c>
      <c r="AC588" s="23">
        <f>Parameters!AA295</f>
        <v>0</v>
      </c>
    </row>
    <row r="589" spans="1:29">
      <c r="A589" s="29" t="str">
        <f>UPPER(A588)</f>
        <v>0</v>
      </c>
      <c r="B589" s="29">
        <f>B588</f>
        <v>0</v>
      </c>
      <c r="C589" s="30">
        <f>C588</f>
        <v>0</v>
      </c>
      <c r="D589" s="30">
        <f>D588</f>
        <v>0</v>
      </c>
      <c r="E589" s="29">
        <f>E588</f>
        <v>0</v>
      </c>
      <c r="F589" s="29">
        <f>F588</f>
        <v>0</v>
      </c>
      <c r="G589" s="29" t="e">
        <f>IF(C588=1,IF(D588="BUY",E588+(ROUND(F588*G588/B588,0)*B588),E588-(ROUND(F588*G588/B588,0)*B588)),IF(D588="BUY",E588-(ROUND(F588*G588/B588,0)*B588),E588+(ROUND(F588*G588/B588,0)*B588)))</f>
        <v>#DIV/0!</v>
      </c>
      <c r="H589" s="29" t="e">
        <f>IF(C588=1,IF(D588="BUY",G589-(ROUND(F588*H588/B588,0)*B588),G589+(ROUND(F588*H588/B588,0)*B588)),IF(D588="BUY",G589+(ROUND(F588*H588/B588,0)*B588),G589-(ROUND(F588*H588/B588,0)*B588)))</f>
        <v>#DIV/0!</v>
      </c>
      <c r="I589" s="29" t="e">
        <f>IF(D588="BUY",G589+(ROUND(F588*I588/(B588*100),0)*B588),G589-(ROUND(F588*I588/(B588*100),0)*B588))</f>
        <v>#DIV/0!</v>
      </c>
      <c r="J589" s="29" t="e">
        <f>IF(C588=1,IF(D588="BUY",E588+(ROUND(F588*J588/B588,0)*B588),E588-(ROUND(F588*J588/B588,0)*B588)),IF(D588="BUY",E588-(ROUND(F588*J588/B588,0)*B588),E588+(ROUND(F588*J588/B588,0)*B588)))</f>
        <v>#DIV/0!</v>
      </c>
      <c r="K589" s="29" t="e">
        <f>IF(C588=1,IF(D588="BUY",E588-(ROUND(F588*K588/B588,0)*B588),E588+(ROUND(F588*K588/B588,0)*B588)),IF(D588="BUY",E588-(ROUND(F588*K588/B588,0)*B588),E588+(ROUND(F588*K588/B588,0)*B588)))</f>
        <v>#DIV/0!</v>
      </c>
      <c r="L589" s="29" t="e">
        <f t="shared" ref="L589" si="878">IF(D589="BUY",I589+(R589*B589),I589-(R589*B589))</f>
        <v>#DIV/0!</v>
      </c>
      <c r="M589" s="29" t="e">
        <f>IF(D588="BUY",E588+(ROUND(F588*M588/B588,0)*B588),E588-(ROUND(F588*M588/B588,0)*B588))</f>
        <v>#DIV/0!</v>
      </c>
      <c r="N589" s="29" t="e">
        <f>IF(D588="BUY",E588-(ROUND(F588*N588/B588,0)*B588),E588+(ROUND(F588*N588/B588,0)*B588))</f>
        <v>#DIV/0!</v>
      </c>
      <c r="O589" s="31" t="e">
        <f>IF(D589="BUY",N589-VLOOKUP(A589,Symbols!A$1:D$1000,4,FALSE),N589+VLOOKUP(A589,Symbols!A$1:D$1000,4,FALSE))</f>
        <v>#DIV/0!</v>
      </c>
      <c r="P589" s="29">
        <f>P588</f>
        <v>0</v>
      </c>
      <c r="Q589" s="29">
        <f>Q588</f>
        <v>0</v>
      </c>
      <c r="R589" s="29">
        <f>R588</f>
        <v>0</v>
      </c>
      <c r="S589" s="29">
        <f>S588</f>
        <v>0</v>
      </c>
      <c r="T589" s="29">
        <f>T588</f>
        <v>0</v>
      </c>
      <c r="U589" s="29" t="e">
        <f>DATEDIF(DATE(1970,1,1),U588,"D")*86400</f>
        <v>#NUM!</v>
      </c>
      <c r="V589" s="29">
        <f>HOUR(V588)*3600+MINUTE(V588)*60+SECOND(V588)</f>
        <v>0</v>
      </c>
      <c r="W589" s="29" t="e">
        <f>DATEDIF(DATE(1970,1,1),W588,"D")*86400</f>
        <v>#NUM!</v>
      </c>
      <c r="X589" s="29">
        <f>HOUR(X588)*3600+MINUTE(X588)*60+SECOND(X588)</f>
        <v>0</v>
      </c>
      <c r="Y589" s="31">
        <f>(Y588*B589)</f>
        <v>0</v>
      </c>
      <c r="Z589" s="29">
        <f>Z588</f>
        <v>0</v>
      </c>
      <c r="AA589" s="29" t="e">
        <f>DATEDIF(DATE(1970,1,1),AA588,"D")*86400</f>
        <v>#NUM!</v>
      </c>
      <c r="AB589" s="29">
        <f>HOUR(AB588)*3600+MINUTE(AB588)*60+SECOND(AB588)</f>
        <v>0</v>
      </c>
      <c r="AC589" s="29">
        <f>AC588</f>
        <v>0</v>
      </c>
    </row>
    <row r="590" spans="1:29">
      <c r="A590" s="23">
        <f>Parameters!A296</f>
        <v>0</v>
      </c>
      <c r="B590" s="23">
        <f>Parameters!B296</f>
        <v>0</v>
      </c>
      <c r="C590" s="24">
        <f>Parameters!C296</f>
        <v>0</v>
      </c>
      <c r="D590" s="24">
        <f>Parameters!D296</f>
        <v>0</v>
      </c>
      <c r="E590" s="23">
        <f>Parameters!E296</f>
        <v>0</v>
      </c>
      <c r="F590" s="23">
        <f>Parameters!F296</f>
        <v>0</v>
      </c>
      <c r="G590" s="25">
        <f>Parameters!G296</f>
        <v>0</v>
      </c>
      <c r="H590" s="25">
        <f>Parameters!H296</f>
        <v>0</v>
      </c>
      <c r="I590" s="25">
        <f>Parameters!I296</f>
        <v>0</v>
      </c>
      <c r="J590" s="25">
        <f>Parameters!J296</f>
        <v>0</v>
      </c>
      <c r="K590" s="25">
        <f>Parameters!K296</f>
        <v>0</v>
      </c>
      <c r="L590" s="26" t="e">
        <f t="shared" ref="L590" si="879">L591</f>
        <v>#DIV/0!</v>
      </c>
      <c r="M590" s="25">
        <f>Parameters!L296</f>
        <v>0</v>
      </c>
      <c r="N590" s="25">
        <f>Parameters!M296</f>
        <v>0</v>
      </c>
      <c r="O590" s="26" t="e">
        <f t="shared" ref="O590" si="880">O591</f>
        <v>#DIV/0!</v>
      </c>
      <c r="P590" s="23">
        <f>Parameters!N296</f>
        <v>0</v>
      </c>
      <c r="Q590" s="23">
        <f>Parameters!O296</f>
        <v>0</v>
      </c>
      <c r="R590" s="23">
        <f>Parameters!P296</f>
        <v>0</v>
      </c>
      <c r="S590" s="23">
        <f>Parameters!Q296</f>
        <v>0</v>
      </c>
      <c r="T590" s="23">
        <f>Parameters!R296</f>
        <v>0</v>
      </c>
      <c r="U590" s="27">
        <f>Parameters!S296</f>
        <v>0</v>
      </c>
      <c r="V590" s="28">
        <f>Parameters!T296</f>
        <v>0</v>
      </c>
      <c r="W590" s="27">
        <f>Parameters!U296</f>
        <v>0</v>
      </c>
      <c r="X590" s="28">
        <f>Parameters!V296</f>
        <v>0</v>
      </c>
      <c r="Y590" s="25">
        <f>Parameters!W296</f>
        <v>0</v>
      </c>
      <c r="Z590" s="23">
        <f>Parameters!X296</f>
        <v>0</v>
      </c>
      <c r="AA590" s="27">
        <f>Parameters!Y296</f>
        <v>0</v>
      </c>
      <c r="AB590" s="28">
        <f>Parameters!Z296</f>
        <v>0</v>
      </c>
      <c r="AC590" s="23">
        <f>Parameters!AA296</f>
        <v>0</v>
      </c>
    </row>
    <row r="591" spans="1:29">
      <c r="A591" s="29" t="str">
        <f>UPPER(A590)</f>
        <v>0</v>
      </c>
      <c r="B591" s="29">
        <f>B590</f>
        <v>0</v>
      </c>
      <c r="C591" s="30">
        <f>C590</f>
        <v>0</v>
      </c>
      <c r="D591" s="30">
        <f>D590</f>
        <v>0</v>
      </c>
      <c r="E591" s="29">
        <f>E590</f>
        <v>0</v>
      </c>
      <c r="F591" s="29">
        <f>F590</f>
        <v>0</v>
      </c>
      <c r="G591" s="29" t="e">
        <f>IF(C590=1,IF(D590="BUY",E590+(ROUND(F590*G590/B590,0)*B590),E590-(ROUND(F590*G590/B590,0)*B590)),IF(D590="BUY",E590-(ROUND(F590*G590/B590,0)*B590),E590+(ROUND(F590*G590/B590,0)*B590)))</f>
        <v>#DIV/0!</v>
      </c>
      <c r="H591" s="29" t="e">
        <f>IF(C590=1,IF(D590="BUY",G591-(ROUND(F590*H590/B590,0)*B590),G591+(ROUND(F590*H590/B590,0)*B590)),IF(D590="BUY",G591+(ROUND(F590*H590/B590,0)*B590),G591-(ROUND(F590*H590/B590,0)*B590)))</f>
        <v>#DIV/0!</v>
      </c>
      <c r="I591" s="29" t="e">
        <f>IF(D590="BUY",G591+(ROUND(F590*I590/(B590*100),0)*B590),G591-(ROUND(F590*I590/(B590*100),0)*B590))</f>
        <v>#DIV/0!</v>
      </c>
      <c r="J591" s="29" t="e">
        <f>IF(C590=1,IF(D590="BUY",E590+(ROUND(F590*J590/B590,0)*B590),E590-(ROUND(F590*J590/B590,0)*B590)),IF(D590="BUY",E590-(ROUND(F590*J590/B590,0)*B590),E590+(ROUND(F590*J590/B590,0)*B590)))</f>
        <v>#DIV/0!</v>
      </c>
      <c r="K591" s="29" t="e">
        <f>IF(C590=1,IF(D590="BUY",E590-(ROUND(F590*K590/B590,0)*B590),E590+(ROUND(F590*K590/B590,0)*B590)),IF(D590="BUY",E590-(ROUND(F590*K590/B590,0)*B590),E590+(ROUND(F590*K590/B590,0)*B590)))</f>
        <v>#DIV/0!</v>
      </c>
      <c r="L591" s="29" t="e">
        <f t="shared" ref="L591" si="881">IF(D591="BUY",I591+(R591*B591),I591-(R591*B591))</f>
        <v>#DIV/0!</v>
      </c>
      <c r="M591" s="29" t="e">
        <f>IF(D590="BUY",E590+(ROUND(F590*M590/B590,0)*B590),E590-(ROUND(F590*M590/B590,0)*B590))</f>
        <v>#DIV/0!</v>
      </c>
      <c r="N591" s="29" t="e">
        <f>IF(D590="BUY",E590-(ROUND(F590*N590/B590,0)*B590),E590+(ROUND(F590*N590/B590,0)*B590))</f>
        <v>#DIV/0!</v>
      </c>
      <c r="O591" s="31" t="e">
        <f>IF(D591="BUY",N591-VLOOKUP(A591,Symbols!A$1:D$1000,4,FALSE),N591+VLOOKUP(A591,Symbols!A$1:D$1000,4,FALSE))</f>
        <v>#DIV/0!</v>
      </c>
      <c r="P591" s="29">
        <f>P590</f>
        <v>0</v>
      </c>
      <c r="Q591" s="29">
        <f>Q590</f>
        <v>0</v>
      </c>
      <c r="R591" s="29">
        <f>R590</f>
        <v>0</v>
      </c>
      <c r="S591" s="29">
        <f>S590</f>
        <v>0</v>
      </c>
      <c r="T591" s="29">
        <f>T590</f>
        <v>0</v>
      </c>
      <c r="U591" s="29" t="e">
        <f>DATEDIF(DATE(1970,1,1),U590,"D")*86400</f>
        <v>#NUM!</v>
      </c>
      <c r="V591" s="29">
        <f>HOUR(V590)*3600+MINUTE(V590)*60+SECOND(V590)</f>
        <v>0</v>
      </c>
      <c r="W591" s="29" t="e">
        <f>DATEDIF(DATE(1970,1,1),W590,"D")*86400</f>
        <v>#NUM!</v>
      </c>
      <c r="X591" s="29">
        <f>HOUR(X590)*3600+MINUTE(X590)*60+SECOND(X590)</f>
        <v>0</v>
      </c>
      <c r="Y591" s="31">
        <f>(Y590*B591)</f>
        <v>0</v>
      </c>
      <c r="Z591" s="29">
        <f>Z590</f>
        <v>0</v>
      </c>
      <c r="AA591" s="29" t="e">
        <f>DATEDIF(DATE(1970,1,1),AA590,"D")*86400</f>
        <v>#NUM!</v>
      </c>
      <c r="AB591" s="29">
        <f>HOUR(AB590)*3600+MINUTE(AB590)*60+SECOND(AB590)</f>
        <v>0</v>
      </c>
      <c r="AC591" s="29">
        <f>AC590</f>
        <v>0</v>
      </c>
    </row>
    <row r="592" spans="1:29">
      <c r="A592" s="23">
        <f>Parameters!A297</f>
        <v>0</v>
      </c>
      <c r="B592" s="23">
        <f>Parameters!B297</f>
        <v>0</v>
      </c>
      <c r="C592" s="24">
        <f>Parameters!C297</f>
        <v>0</v>
      </c>
      <c r="D592" s="24">
        <f>Parameters!D297</f>
        <v>0</v>
      </c>
      <c r="E592" s="23">
        <f>Parameters!E297</f>
        <v>0</v>
      </c>
      <c r="F592" s="23">
        <f>Parameters!F297</f>
        <v>0</v>
      </c>
      <c r="G592" s="25">
        <f>Parameters!G297</f>
        <v>0</v>
      </c>
      <c r="H592" s="25">
        <f>Parameters!H297</f>
        <v>0</v>
      </c>
      <c r="I592" s="25">
        <f>Parameters!I297</f>
        <v>0</v>
      </c>
      <c r="J592" s="25">
        <f>Parameters!J297</f>
        <v>0</v>
      </c>
      <c r="K592" s="25">
        <f>Parameters!K297</f>
        <v>0</v>
      </c>
      <c r="L592" s="26" t="e">
        <f t="shared" ref="L592" si="882">L593</f>
        <v>#DIV/0!</v>
      </c>
      <c r="M592" s="25">
        <f>Parameters!L297</f>
        <v>0</v>
      </c>
      <c r="N592" s="25">
        <f>Parameters!M297</f>
        <v>0</v>
      </c>
      <c r="O592" s="26" t="e">
        <f t="shared" ref="O592" si="883">O593</f>
        <v>#DIV/0!</v>
      </c>
      <c r="P592" s="23">
        <f>Parameters!N297</f>
        <v>0</v>
      </c>
      <c r="Q592" s="23">
        <f>Parameters!O297</f>
        <v>0</v>
      </c>
      <c r="R592" s="23">
        <f>Parameters!P297</f>
        <v>0</v>
      </c>
      <c r="S592" s="23">
        <f>Parameters!Q297</f>
        <v>0</v>
      </c>
      <c r="T592" s="23">
        <f>Parameters!R297</f>
        <v>0</v>
      </c>
      <c r="U592" s="27">
        <f>Parameters!S297</f>
        <v>0</v>
      </c>
      <c r="V592" s="28">
        <f>Parameters!T297</f>
        <v>0</v>
      </c>
      <c r="W592" s="27">
        <f>Parameters!U297</f>
        <v>0</v>
      </c>
      <c r="X592" s="28">
        <f>Parameters!V297</f>
        <v>0</v>
      </c>
      <c r="Y592" s="25">
        <f>Parameters!W297</f>
        <v>0</v>
      </c>
      <c r="Z592" s="23">
        <f>Parameters!X297</f>
        <v>0</v>
      </c>
      <c r="AA592" s="27">
        <f>Parameters!Y297</f>
        <v>0</v>
      </c>
      <c r="AB592" s="28">
        <f>Parameters!Z297</f>
        <v>0</v>
      </c>
      <c r="AC592" s="23">
        <f>Parameters!AA297</f>
        <v>0</v>
      </c>
    </row>
    <row r="593" spans="1:29">
      <c r="A593" s="29" t="str">
        <f>UPPER(A592)</f>
        <v>0</v>
      </c>
      <c r="B593" s="29">
        <f>B592</f>
        <v>0</v>
      </c>
      <c r="C593" s="30">
        <f>C592</f>
        <v>0</v>
      </c>
      <c r="D593" s="30">
        <f>D592</f>
        <v>0</v>
      </c>
      <c r="E593" s="29">
        <f>E592</f>
        <v>0</v>
      </c>
      <c r="F593" s="29">
        <f>F592</f>
        <v>0</v>
      </c>
      <c r="G593" s="29" t="e">
        <f>IF(C592=1,IF(D592="BUY",E592+(ROUND(F592*G592/B592,0)*B592),E592-(ROUND(F592*G592/B592,0)*B592)),IF(D592="BUY",E592-(ROUND(F592*G592/B592,0)*B592),E592+(ROUND(F592*G592/B592,0)*B592)))</f>
        <v>#DIV/0!</v>
      </c>
      <c r="H593" s="29" t="e">
        <f>IF(C592=1,IF(D592="BUY",G593-(ROUND(F592*H592/B592,0)*B592),G593+(ROUND(F592*H592/B592,0)*B592)),IF(D592="BUY",G593+(ROUND(F592*H592/B592,0)*B592),G593-(ROUND(F592*H592/B592,0)*B592)))</f>
        <v>#DIV/0!</v>
      </c>
      <c r="I593" s="29" t="e">
        <f>IF(D592="BUY",G593+(ROUND(F592*I592/(B592*100),0)*B592),G593-(ROUND(F592*I592/(B592*100),0)*B592))</f>
        <v>#DIV/0!</v>
      </c>
      <c r="J593" s="29" t="e">
        <f>IF(C592=1,IF(D592="BUY",E592+(ROUND(F592*J592/B592,0)*B592),E592-(ROUND(F592*J592/B592,0)*B592)),IF(D592="BUY",E592-(ROUND(F592*J592/B592,0)*B592),E592+(ROUND(F592*J592/B592,0)*B592)))</f>
        <v>#DIV/0!</v>
      </c>
      <c r="K593" s="29" t="e">
        <f>IF(C592=1,IF(D592="BUY",E592-(ROUND(F592*K592/B592,0)*B592),E592+(ROUND(F592*K592/B592,0)*B592)),IF(D592="BUY",E592-(ROUND(F592*K592/B592,0)*B592),E592+(ROUND(F592*K592/B592,0)*B592)))</f>
        <v>#DIV/0!</v>
      </c>
      <c r="L593" s="29" t="e">
        <f t="shared" ref="L593" si="884">IF(D593="BUY",I593+(R593*B593),I593-(R593*B593))</f>
        <v>#DIV/0!</v>
      </c>
      <c r="M593" s="29" t="e">
        <f>IF(D592="BUY",E592+(ROUND(F592*M592/B592,0)*B592),E592-(ROUND(F592*M592/B592,0)*B592))</f>
        <v>#DIV/0!</v>
      </c>
      <c r="N593" s="29" t="e">
        <f>IF(D592="BUY",E592-(ROUND(F592*N592/B592,0)*B592),E592+(ROUND(F592*N592/B592,0)*B592))</f>
        <v>#DIV/0!</v>
      </c>
      <c r="O593" s="31" t="e">
        <f>IF(D593="BUY",N593-VLOOKUP(A593,Symbols!A$1:D$1000,4,FALSE),N593+VLOOKUP(A593,Symbols!A$1:D$1000,4,FALSE))</f>
        <v>#DIV/0!</v>
      </c>
      <c r="P593" s="29">
        <f>P592</f>
        <v>0</v>
      </c>
      <c r="Q593" s="29">
        <f>Q592</f>
        <v>0</v>
      </c>
      <c r="R593" s="29">
        <f>R592</f>
        <v>0</v>
      </c>
      <c r="S593" s="29">
        <f>S592</f>
        <v>0</v>
      </c>
      <c r="T593" s="29">
        <f>T592</f>
        <v>0</v>
      </c>
      <c r="U593" s="29" t="e">
        <f>DATEDIF(DATE(1970,1,1),U592,"D")*86400</f>
        <v>#NUM!</v>
      </c>
      <c r="V593" s="29">
        <f>HOUR(V592)*3600+MINUTE(V592)*60+SECOND(V592)</f>
        <v>0</v>
      </c>
      <c r="W593" s="29" t="e">
        <f>DATEDIF(DATE(1970,1,1),W592,"D")*86400</f>
        <v>#NUM!</v>
      </c>
      <c r="X593" s="29">
        <f>HOUR(X592)*3600+MINUTE(X592)*60+SECOND(X592)</f>
        <v>0</v>
      </c>
      <c r="Y593" s="31">
        <f>(Y592*B593)</f>
        <v>0</v>
      </c>
      <c r="Z593" s="29">
        <f>Z592</f>
        <v>0</v>
      </c>
      <c r="AA593" s="29" t="e">
        <f>DATEDIF(DATE(1970,1,1),AA592,"D")*86400</f>
        <v>#NUM!</v>
      </c>
      <c r="AB593" s="29">
        <f>HOUR(AB592)*3600+MINUTE(AB592)*60+SECOND(AB592)</f>
        <v>0</v>
      </c>
      <c r="AC593" s="29">
        <f>AC592</f>
        <v>0</v>
      </c>
    </row>
    <row r="594" spans="1:29">
      <c r="A594" s="23">
        <f>Parameters!A298</f>
        <v>0</v>
      </c>
      <c r="B594" s="23">
        <f>Parameters!B298</f>
        <v>0</v>
      </c>
      <c r="C594" s="24">
        <f>Parameters!C298</f>
        <v>0</v>
      </c>
      <c r="D594" s="24">
        <f>Parameters!D298</f>
        <v>0</v>
      </c>
      <c r="E594" s="23">
        <f>Parameters!E298</f>
        <v>0</v>
      </c>
      <c r="F594" s="23">
        <f>Parameters!F298</f>
        <v>0</v>
      </c>
      <c r="G594" s="25">
        <f>Parameters!G298</f>
        <v>0</v>
      </c>
      <c r="H594" s="25">
        <f>Parameters!H298</f>
        <v>0</v>
      </c>
      <c r="I594" s="25">
        <f>Parameters!I298</f>
        <v>0</v>
      </c>
      <c r="J594" s="25">
        <f>Parameters!J298</f>
        <v>0</v>
      </c>
      <c r="K594" s="25">
        <f>Parameters!K298</f>
        <v>0</v>
      </c>
      <c r="L594" s="26" t="e">
        <f t="shared" ref="L594" si="885">L595</f>
        <v>#DIV/0!</v>
      </c>
      <c r="M594" s="25">
        <f>Parameters!L298</f>
        <v>0</v>
      </c>
      <c r="N594" s="25">
        <f>Parameters!M298</f>
        <v>0</v>
      </c>
      <c r="O594" s="26" t="e">
        <f t="shared" ref="O594" si="886">O595</f>
        <v>#DIV/0!</v>
      </c>
      <c r="P594" s="23">
        <f>Parameters!N298</f>
        <v>0</v>
      </c>
      <c r="Q594" s="23">
        <f>Parameters!O298</f>
        <v>0</v>
      </c>
      <c r="R594" s="23">
        <f>Parameters!P298</f>
        <v>0</v>
      </c>
      <c r="S594" s="23">
        <f>Parameters!Q298</f>
        <v>0</v>
      </c>
      <c r="T594" s="23">
        <f>Parameters!R298</f>
        <v>0</v>
      </c>
      <c r="U594" s="27">
        <f>Parameters!S298</f>
        <v>0</v>
      </c>
      <c r="V594" s="28">
        <f>Parameters!T298</f>
        <v>0</v>
      </c>
      <c r="W594" s="27">
        <f>Parameters!U298</f>
        <v>0</v>
      </c>
      <c r="X594" s="28">
        <f>Parameters!V298</f>
        <v>0</v>
      </c>
      <c r="Y594" s="25">
        <f>Parameters!W298</f>
        <v>0</v>
      </c>
      <c r="Z594" s="23">
        <f>Parameters!X298</f>
        <v>0</v>
      </c>
      <c r="AA594" s="27">
        <f>Parameters!Y298</f>
        <v>0</v>
      </c>
      <c r="AB594" s="28">
        <f>Parameters!Z298</f>
        <v>0</v>
      </c>
      <c r="AC594" s="23">
        <f>Parameters!AA298</f>
        <v>0</v>
      </c>
    </row>
    <row r="595" spans="1:29">
      <c r="A595" s="29" t="str">
        <f>UPPER(A594)</f>
        <v>0</v>
      </c>
      <c r="B595" s="29">
        <f>B594</f>
        <v>0</v>
      </c>
      <c r="C595" s="30">
        <f>C594</f>
        <v>0</v>
      </c>
      <c r="D595" s="30">
        <f>D594</f>
        <v>0</v>
      </c>
      <c r="E595" s="29">
        <f>E594</f>
        <v>0</v>
      </c>
      <c r="F595" s="29">
        <f>F594</f>
        <v>0</v>
      </c>
      <c r="G595" s="29" t="e">
        <f>IF(C594=1,IF(D594="BUY",E594+(ROUND(F594*G594/B594,0)*B594),E594-(ROUND(F594*G594/B594,0)*B594)),IF(D594="BUY",E594-(ROUND(F594*G594/B594,0)*B594),E594+(ROUND(F594*G594/B594,0)*B594)))</f>
        <v>#DIV/0!</v>
      </c>
      <c r="H595" s="29" t="e">
        <f>IF(C594=1,IF(D594="BUY",G595-(ROUND(F594*H594/B594,0)*B594),G595+(ROUND(F594*H594/B594,0)*B594)),IF(D594="BUY",G595+(ROUND(F594*H594/B594,0)*B594),G595-(ROUND(F594*H594/B594,0)*B594)))</f>
        <v>#DIV/0!</v>
      </c>
      <c r="I595" s="29" t="e">
        <f>IF(D594="BUY",G595+(ROUND(F594*I594/(B594*100),0)*B594),G595-(ROUND(F594*I594/(B594*100),0)*B594))</f>
        <v>#DIV/0!</v>
      </c>
      <c r="J595" s="29" t="e">
        <f>IF(C594=1,IF(D594="BUY",E594+(ROUND(F594*J594/B594,0)*B594),E594-(ROUND(F594*J594/B594,0)*B594)),IF(D594="BUY",E594-(ROUND(F594*J594/B594,0)*B594),E594+(ROUND(F594*J594/B594,0)*B594)))</f>
        <v>#DIV/0!</v>
      </c>
      <c r="K595" s="29" t="e">
        <f>IF(C594=1,IF(D594="BUY",E594-(ROUND(F594*K594/B594,0)*B594),E594+(ROUND(F594*K594/B594,0)*B594)),IF(D594="BUY",E594-(ROUND(F594*K594/B594,0)*B594),E594+(ROUND(F594*K594/B594,0)*B594)))</f>
        <v>#DIV/0!</v>
      </c>
      <c r="L595" s="29" t="e">
        <f t="shared" ref="L595" si="887">IF(D595="BUY",I595+(R595*B595),I595-(R595*B595))</f>
        <v>#DIV/0!</v>
      </c>
      <c r="M595" s="29" t="e">
        <f>IF(D594="BUY",E594+(ROUND(F594*M594/B594,0)*B594),E594-(ROUND(F594*M594/B594,0)*B594))</f>
        <v>#DIV/0!</v>
      </c>
      <c r="N595" s="29" t="e">
        <f>IF(D594="BUY",E594-(ROUND(F594*N594/B594,0)*B594),E594+(ROUND(F594*N594/B594,0)*B594))</f>
        <v>#DIV/0!</v>
      </c>
      <c r="O595" s="31" t="e">
        <f>IF(D595="BUY",N595-VLOOKUP(A595,Symbols!A$1:D$1000,4,FALSE),N595+VLOOKUP(A595,Symbols!A$1:D$1000,4,FALSE))</f>
        <v>#DIV/0!</v>
      </c>
      <c r="P595" s="29">
        <f>P594</f>
        <v>0</v>
      </c>
      <c r="Q595" s="29">
        <f>Q594</f>
        <v>0</v>
      </c>
      <c r="R595" s="29">
        <f>R594</f>
        <v>0</v>
      </c>
      <c r="S595" s="29">
        <f>S594</f>
        <v>0</v>
      </c>
      <c r="T595" s="29">
        <f>T594</f>
        <v>0</v>
      </c>
      <c r="U595" s="29" t="e">
        <f>DATEDIF(DATE(1970,1,1),U594,"D")*86400</f>
        <v>#NUM!</v>
      </c>
      <c r="V595" s="29">
        <f>HOUR(V594)*3600+MINUTE(V594)*60+SECOND(V594)</f>
        <v>0</v>
      </c>
      <c r="W595" s="29" t="e">
        <f>DATEDIF(DATE(1970,1,1),W594,"D")*86400</f>
        <v>#NUM!</v>
      </c>
      <c r="X595" s="29">
        <f>HOUR(X594)*3600+MINUTE(X594)*60+SECOND(X594)</f>
        <v>0</v>
      </c>
      <c r="Y595" s="31">
        <f>(Y594*B595)</f>
        <v>0</v>
      </c>
      <c r="Z595" s="29">
        <f>Z594</f>
        <v>0</v>
      </c>
      <c r="AA595" s="29" t="e">
        <f>DATEDIF(DATE(1970,1,1),AA594,"D")*86400</f>
        <v>#NUM!</v>
      </c>
      <c r="AB595" s="29">
        <f>HOUR(AB594)*3600+MINUTE(AB594)*60+SECOND(AB594)</f>
        <v>0</v>
      </c>
      <c r="AC595" s="29">
        <f>AC594</f>
        <v>0</v>
      </c>
    </row>
    <row r="596" spans="1:29">
      <c r="A596" s="23">
        <f>Parameters!A299</f>
        <v>0</v>
      </c>
      <c r="B596" s="23">
        <f>Parameters!B299</f>
        <v>0</v>
      </c>
      <c r="C596" s="24">
        <f>Parameters!C299</f>
        <v>0</v>
      </c>
      <c r="D596" s="24">
        <f>Parameters!D299</f>
        <v>0</v>
      </c>
      <c r="E596" s="23">
        <f>Parameters!E299</f>
        <v>0</v>
      </c>
      <c r="F596" s="23">
        <f>Parameters!F299</f>
        <v>0</v>
      </c>
      <c r="G596" s="25">
        <f>Parameters!G299</f>
        <v>0</v>
      </c>
      <c r="H596" s="25">
        <f>Parameters!H299</f>
        <v>0</v>
      </c>
      <c r="I596" s="25">
        <f>Parameters!I299</f>
        <v>0</v>
      </c>
      <c r="J596" s="25">
        <f>Parameters!J299</f>
        <v>0</v>
      </c>
      <c r="K596" s="25">
        <f>Parameters!K299</f>
        <v>0</v>
      </c>
      <c r="L596" s="26" t="e">
        <f t="shared" ref="L596" si="888">L597</f>
        <v>#DIV/0!</v>
      </c>
      <c r="M596" s="25">
        <f>Parameters!L299</f>
        <v>0</v>
      </c>
      <c r="N596" s="25">
        <f>Parameters!M299</f>
        <v>0</v>
      </c>
      <c r="O596" s="26" t="e">
        <f t="shared" ref="O596" si="889">O597</f>
        <v>#DIV/0!</v>
      </c>
      <c r="P596" s="23">
        <f>Parameters!N299</f>
        <v>0</v>
      </c>
      <c r="Q596" s="23">
        <f>Parameters!O299</f>
        <v>0</v>
      </c>
      <c r="R596" s="23">
        <f>Parameters!P299</f>
        <v>0</v>
      </c>
      <c r="S596" s="23">
        <f>Parameters!Q299</f>
        <v>0</v>
      </c>
      <c r="T596" s="23">
        <f>Parameters!R299</f>
        <v>0</v>
      </c>
      <c r="U596" s="27">
        <f>Parameters!S299</f>
        <v>0</v>
      </c>
      <c r="V596" s="28">
        <f>Parameters!T299</f>
        <v>0</v>
      </c>
      <c r="W596" s="27">
        <f>Parameters!U299</f>
        <v>0</v>
      </c>
      <c r="X596" s="28">
        <f>Parameters!V299</f>
        <v>0</v>
      </c>
      <c r="Y596" s="25">
        <f>Parameters!W299</f>
        <v>0</v>
      </c>
      <c r="Z596" s="23">
        <f>Parameters!X299</f>
        <v>0</v>
      </c>
      <c r="AA596" s="27">
        <f>Parameters!Y299</f>
        <v>0</v>
      </c>
      <c r="AB596" s="28">
        <f>Parameters!Z299</f>
        <v>0</v>
      </c>
      <c r="AC596" s="23">
        <f>Parameters!AA299</f>
        <v>0</v>
      </c>
    </row>
    <row r="597" spans="1:29">
      <c r="A597" s="29" t="str">
        <f>UPPER(A596)</f>
        <v>0</v>
      </c>
      <c r="B597" s="29">
        <f>B596</f>
        <v>0</v>
      </c>
      <c r="C597" s="30">
        <f>C596</f>
        <v>0</v>
      </c>
      <c r="D597" s="30">
        <f>D596</f>
        <v>0</v>
      </c>
      <c r="E597" s="29">
        <f>E596</f>
        <v>0</v>
      </c>
      <c r="F597" s="29">
        <f>F596</f>
        <v>0</v>
      </c>
      <c r="G597" s="29" t="e">
        <f>IF(C596=1,IF(D596="BUY",E596+(ROUND(F596*G596/B596,0)*B596),E596-(ROUND(F596*G596/B596,0)*B596)),IF(D596="BUY",E596-(ROUND(F596*G596/B596,0)*B596),E596+(ROUND(F596*G596/B596,0)*B596)))</f>
        <v>#DIV/0!</v>
      </c>
      <c r="H597" s="29" t="e">
        <f>IF(C596=1,IF(D596="BUY",G597-(ROUND(F596*H596/B596,0)*B596),G597+(ROUND(F596*H596/B596,0)*B596)),IF(D596="BUY",G597+(ROUND(F596*H596/B596,0)*B596),G597-(ROUND(F596*H596/B596,0)*B596)))</f>
        <v>#DIV/0!</v>
      </c>
      <c r="I597" s="29" t="e">
        <f>IF(D596="BUY",G597+(ROUND(F596*I596/(B596*100),0)*B596),G597-(ROUND(F596*I596/(B596*100),0)*B596))</f>
        <v>#DIV/0!</v>
      </c>
      <c r="J597" s="29" t="e">
        <f>IF(C596=1,IF(D596="BUY",E596+(ROUND(F596*J596/B596,0)*B596),E596-(ROUND(F596*J596/B596,0)*B596)),IF(D596="BUY",E596-(ROUND(F596*J596/B596,0)*B596),E596+(ROUND(F596*J596/B596,0)*B596)))</f>
        <v>#DIV/0!</v>
      </c>
      <c r="K597" s="29" t="e">
        <f>IF(C596=1,IF(D596="BUY",E596-(ROUND(F596*K596/B596,0)*B596),E596+(ROUND(F596*K596/B596,0)*B596)),IF(D596="BUY",E596-(ROUND(F596*K596/B596,0)*B596),E596+(ROUND(F596*K596/B596,0)*B596)))</f>
        <v>#DIV/0!</v>
      </c>
      <c r="L597" s="29" t="e">
        <f t="shared" ref="L597" si="890">IF(D597="BUY",I597+(R597*B597),I597-(R597*B597))</f>
        <v>#DIV/0!</v>
      </c>
      <c r="M597" s="29" t="e">
        <f>IF(D596="BUY",E596+(ROUND(F596*M596/B596,0)*B596),E596-(ROUND(F596*M596/B596,0)*B596))</f>
        <v>#DIV/0!</v>
      </c>
      <c r="N597" s="29" t="e">
        <f>IF(D596="BUY",E596-(ROUND(F596*N596/B596,0)*B596),E596+(ROUND(F596*N596/B596,0)*B596))</f>
        <v>#DIV/0!</v>
      </c>
      <c r="O597" s="31" t="e">
        <f>IF(D597="BUY",N597-VLOOKUP(A597,Symbols!A$1:D$1000,4,FALSE),N597+VLOOKUP(A597,Symbols!A$1:D$1000,4,FALSE))</f>
        <v>#DIV/0!</v>
      </c>
      <c r="P597" s="29">
        <f>P596</f>
        <v>0</v>
      </c>
      <c r="Q597" s="29">
        <f>Q596</f>
        <v>0</v>
      </c>
      <c r="R597" s="29">
        <f>R596</f>
        <v>0</v>
      </c>
      <c r="S597" s="29">
        <f>S596</f>
        <v>0</v>
      </c>
      <c r="T597" s="29">
        <f>T596</f>
        <v>0</v>
      </c>
      <c r="U597" s="29" t="e">
        <f>DATEDIF(DATE(1970,1,1),U596,"D")*86400</f>
        <v>#NUM!</v>
      </c>
      <c r="V597" s="29">
        <f>HOUR(V596)*3600+MINUTE(V596)*60+SECOND(V596)</f>
        <v>0</v>
      </c>
      <c r="W597" s="29" t="e">
        <f>DATEDIF(DATE(1970,1,1),W596,"D")*86400</f>
        <v>#NUM!</v>
      </c>
      <c r="X597" s="29">
        <f>HOUR(X596)*3600+MINUTE(X596)*60+SECOND(X596)</f>
        <v>0</v>
      </c>
      <c r="Y597" s="31">
        <f>(Y596*B597)</f>
        <v>0</v>
      </c>
      <c r="Z597" s="29">
        <f>Z596</f>
        <v>0</v>
      </c>
      <c r="AA597" s="29" t="e">
        <f>DATEDIF(DATE(1970,1,1),AA596,"D")*86400</f>
        <v>#NUM!</v>
      </c>
      <c r="AB597" s="29">
        <f>HOUR(AB596)*3600+MINUTE(AB596)*60+SECOND(AB596)</f>
        <v>0</v>
      </c>
      <c r="AC597" s="29">
        <f>AC596</f>
        <v>0</v>
      </c>
    </row>
    <row r="598" spans="1:29">
      <c r="A598" s="23">
        <f>Parameters!A300</f>
        <v>0</v>
      </c>
      <c r="B598" s="23">
        <f>Parameters!B300</f>
        <v>0</v>
      </c>
      <c r="C598" s="24">
        <f>Parameters!C300</f>
        <v>0</v>
      </c>
      <c r="D598" s="24">
        <f>Parameters!D300</f>
        <v>0</v>
      </c>
      <c r="E598" s="23">
        <f>Parameters!E300</f>
        <v>0</v>
      </c>
      <c r="F598" s="23">
        <f>Parameters!F300</f>
        <v>0</v>
      </c>
      <c r="G598" s="25">
        <f>Parameters!G300</f>
        <v>0</v>
      </c>
      <c r="H598" s="25">
        <f>Parameters!H300</f>
        <v>0</v>
      </c>
      <c r="I598" s="25">
        <f>Parameters!I300</f>
        <v>0</v>
      </c>
      <c r="J598" s="25">
        <f>Parameters!J300</f>
        <v>0</v>
      </c>
      <c r="K598" s="25">
        <f>Parameters!K300</f>
        <v>0</v>
      </c>
      <c r="L598" s="26" t="e">
        <f t="shared" ref="L598" si="891">L599</f>
        <v>#DIV/0!</v>
      </c>
      <c r="M598" s="25">
        <f>Parameters!L300</f>
        <v>0</v>
      </c>
      <c r="N598" s="25">
        <f>Parameters!M300</f>
        <v>0</v>
      </c>
      <c r="O598" s="26" t="e">
        <f t="shared" ref="O598" si="892">O599</f>
        <v>#DIV/0!</v>
      </c>
      <c r="P598" s="23">
        <f>Parameters!N300</f>
        <v>0</v>
      </c>
      <c r="Q598" s="23">
        <f>Parameters!O300</f>
        <v>0</v>
      </c>
      <c r="R598" s="23">
        <f>Parameters!P300</f>
        <v>0</v>
      </c>
      <c r="S598" s="23">
        <f>Parameters!Q300</f>
        <v>0</v>
      </c>
      <c r="T598" s="23">
        <f>Parameters!R300</f>
        <v>0</v>
      </c>
      <c r="U598" s="27">
        <f>Parameters!S300</f>
        <v>0</v>
      </c>
      <c r="V598" s="28">
        <f>Parameters!T300</f>
        <v>0</v>
      </c>
      <c r="W598" s="27">
        <f>Parameters!U300</f>
        <v>0</v>
      </c>
      <c r="X598" s="28">
        <f>Parameters!V300</f>
        <v>0</v>
      </c>
      <c r="Y598" s="25">
        <f>Parameters!W300</f>
        <v>0</v>
      </c>
      <c r="Z598" s="23">
        <f>Parameters!X300</f>
        <v>0</v>
      </c>
      <c r="AA598" s="27">
        <f>Parameters!Y300</f>
        <v>0</v>
      </c>
      <c r="AB598" s="28">
        <f>Parameters!Z300</f>
        <v>0</v>
      </c>
      <c r="AC598" s="23">
        <f>Parameters!AA300</f>
        <v>0</v>
      </c>
    </row>
    <row r="599" spans="1:29">
      <c r="A599" s="29" t="str">
        <f>UPPER(A598)</f>
        <v>0</v>
      </c>
      <c r="B599" s="29">
        <f>B598</f>
        <v>0</v>
      </c>
      <c r="C599" s="30">
        <f>C598</f>
        <v>0</v>
      </c>
      <c r="D599" s="30">
        <f>D598</f>
        <v>0</v>
      </c>
      <c r="E599" s="29">
        <f>E598</f>
        <v>0</v>
      </c>
      <c r="F599" s="29">
        <f>F598</f>
        <v>0</v>
      </c>
      <c r="G599" s="29" t="e">
        <f>IF(C598=1,IF(D598="BUY",E598+(ROUND(F598*G598/B598,0)*B598),E598-(ROUND(F598*G598/B598,0)*B598)),IF(D598="BUY",E598-(ROUND(F598*G598/B598,0)*B598),E598+(ROUND(F598*G598/B598,0)*B598)))</f>
        <v>#DIV/0!</v>
      </c>
      <c r="H599" s="29" t="e">
        <f>IF(C598=1,IF(D598="BUY",G599-(ROUND(F598*H598/B598,0)*B598),G599+(ROUND(F598*H598/B598,0)*B598)),IF(D598="BUY",G599+(ROUND(F598*H598/B598,0)*B598),G599-(ROUND(F598*H598/B598,0)*B598)))</f>
        <v>#DIV/0!</v>
      </c>
      <c r="I599" s="29" t="e">
        <f>IF(D598="BUY",G599+(ROUND(F598*I598/(B598*100),0)*B598),G599-(ROUND(F598*I598/(B598*100),0)*B598))</f>
        <v>#DIV/0!</v>
      </c>
      <c r="J599" s="29" t="e">
        <f>IF(C598=1,IF(D598="BUY",E598+(ROUND(F598*J598/B598,0)*B598),E598-(ROUND(F598*J598/B598,0)*B598)),IF(D598="BUY",E598-(ROUND(F598*J598/B598,0)*B598),E598+(ROUND(F598*J598/B598,0)*B598)))</f>
        <v>#DIV/0!</v>
      </c>
      <c r="K599" s="29" t="e">
        <f>IF(C598=1,IF(D598="BUY",E598-(ROUND(F598*K598/B598,0)*B598),E598+(ROUND(F598*K598/B598,0)*B598)),IF(D598="BUY",E598-(ROUND(F598*K598/B598,0)*B598),E598+(ROUND(F598*K598/B598,0)*B598)))</f>
        <v>#DIV/0!</v>
      </c>
      <c r="L599" s="29" t="e">
        <f t="shared" ref="L599" si="893">IF(D599="BUY",I599+(R599*B599),I599-(R599*B599))</f>
        <v>#DIV/0!</v>
      </c>
      <c r="M599" s="29" t="e">
        <f>IF(D598="BUY",E598+(ROUND(F598*M598/B598,0)*B598),E598-(ROUND(F598*M598/B598,0)*B598))</f>
        <v>#DIV/0!</v>
      </c>
      <c r="N599" s="29" t="e">
        <f>IF(D598="BUY",E598-(ROUND(F598*N598/B598,0)*B598),E598+(ROUND(F598*N598/B598,0)*B598))</f>
        <v>#DIV/0!</v>
      </c>
      <c r="O599" s="31" t="e">
        <f>IF(D599="BUY",N599-VLOOKUP(A599,Symbols!A$1:D$1000,4,FALSE),N599+VLOOKUP(A599,Symbols!A$1:D$1000,4,FALSE))</f>
        <v>#DIV/0!</v>
      </c>
      <c r="P599" s="29">
        <f>P598</f>
        <v>0</v>
      </c>
      <c r="Q599" s="29">
        <f>Q598</f>
        <v>0</v>
      </c>
      <c r="R599" s="29">
        <f>R598</f>
        <v>0</v>
      </c>
      <c r="S599" s="29">
        <f>S598</f>
        <v>0</v>
      </c>
      <c r="T599" s="29">
        <f>T598</f>
        <v>0</v>
      </c>
      <c r="U599" s="29" t="e">
        <f>DATEDIF(DATE(1970,1,1),U598,"D")*86400</f>
        <v>#NUM!</v>
      </c>
      <c r="V599" s="29">
        <f>HOUR(V598)*3600+MINUTE(V598)*60+SECOND(V598)</f>
        <v>0</v>
      </c>
      <c r="W599" s="29" t="e">
        <f>DATEDIF(DATE(1970,1,1),W598,"D")*86400</f>
        <v>#NUM!</v>
      </c>
      <c r="X599" s="29">
        <f>HOUR(X598)*3600+MINUTE(X598)*60+SECOND(X598)</f>
        <v>0</v>
      </c>
      <c r="Y599" s="31">
        <f>(Y598*B599)</f>
        <v>0</v>
      </c>
      <c r="Z599" s="29">
        <f>Z598</f>
        <v>0</v>
      </c>
      <c r="AA599" s="29" t="e">
        <f>DATEDIF(DATE(1970,1,1),AA598,"D")*86400</f>
        <v>#NUM!</v>
      </c>
      <c r="AB599" s="29">
        <f>HOUR(AB598)*3600+MINUTE(AB598)*60+SECOND(AB598)</f>
        <v>0</v>
      </c>
      <c r="AC599" s="29">
        <f>AC598</f>
        <v>0</v>
      </c>
    </row>
    <row r="600" spans="1:29">
      <c r="A600" s="23">
        <f>Parameters!A301</f>
        <v>0</v>
      </c>
      <c r="B600" s="23">
        <f>Parameters!B301</f>
        <v>0</v>
      </c>
      <c r="C600" s="24">
        <f>Parameters!C301</f>
        <v>0</v>
      </c>
      <c r="D600" s="24">
        <f>Parameters!D301</f>
        <v>0</v>
      </c>
      <c r="E600" s="23">
        <f>Parameters!E301</f>
        <v>0</v>
      </c>
      <c r="F600" s="23">
        <f>Parameters!F301</f>
        <v>0</v>
      </c>
      <c r="G600" s="25">
        <f>Parameters!G301</f>
        <v>0</v>
      </c>
      <c r="H600" s="25">
        <f>Parameters!H301</f>
        <v>0</v>
      </c>
      <c r="I600" s="25">
        <f>Parameters!I301</f>
        <v>0</v>
      </c>
      <c r="J600" s="25">
        <f>Parameters!J301</f>
        <v>0</v>
      </c>
      <c r="K600" s="25">
        <f>Parameters!K301</f>
        <v>0</v>
      </c>
      <c r="L600" s="26" t="e">
        <f t="shared" ref="L600" si="894">L601</f>
        <v>#DIV/0!</v>
      </c>
      <c r="M600" s="25">
        <f>Parameters!L301</f>
        <v>0</v>
      </c>
      <c r="N600" s="25">
        <f>Parameters!M301</f>
        <v>0</v>
      </c>
      <c r="O600" s="26" t="e">
        <f t="shared" ref="O600" si="895">O601</f>
        <v>#DIV/0!</v>
      </c>
      <c r="P600" s="23">
        <f>Parameters!N301</f>
        <v>0</v>
      </c>
      <c r="Q600" s="23">
        <f>Parameters!O301</f>
        <v>0</v>
      </c>
      <c r="R600" s="23">
        <f>Parameters!P301</f>
        <v>0</v>
      </c>
      <c r="S600" s="23">
        <f>Parameters!Q301</f>
        <v>0</v>
      </c>
      <c r="T600" s="23">
        <f>Parameters!R301</f>
        <v>0</v>
      </c>
      <c r="U600" s="27">
        <f>Parameters!S301</f>
        <v>0</v>
      </c>
      <c r="V600" s="28">
        <f>Parameters!T301</f>
        <v>0</v>
      </c>
      <c r="W600" s="27">
        <f>Parameters!U301</f>
        <v>0</v>
      </c>
      <c r="X600" s="28">
        <f>Parameters!V301</f>
        <v>0</v>
      </c>
      <c r="Y600" s="25">
        <f>Parameters!W301</f>
        <v>0</v>
      </c>
      <c r="Z600" s="23">
        <f>Parameters!X301</f>
        <v>0</v>
      </c>
      <c r="AA600" s="27">
        <f>Parameters!Y301</f>
        <v>0</v>
      </c>
      <c r="AB600" s="28">
        <f>Parameters!Z301</f>
        <v>0</v>
      </c>
      <c r="AC600" s="23">
        <f>Parameters!AA301</f>
        <v>0</v>
      </c>
    </row>
    <row r="601" spans="1:29">
      <c r="A601" s="29" t="str">
        <f>UPPER(A600)</f>
        <v>0</v>
      </c>
      <c r="B601" s="29">
        <f>B600</f>
        <v>0</v>
      </c>
      <c r="C601" s="30">
        <f>C600</f>
        <v>0</v>
      </c>
      <c r="D601" s="30">
        <f>D600</f>
        <v>0</v>
      </c>
      <c r="E601" s="29">
        <f>E600</f>
        <v>0</v>
      </c>
      <c r="F601" s="29">
        <f>F600</f>
        <v>0</v>
      </c>
      <c r="G601" s="29" t="e">
        <f>IF(C600=1,IF(D600="BUY",E600+(ROUND(F600*G600/B600,0)*B600),E600-(ROUND(F600*G600/B600,0)*B600)),IF(D600="BUY",E600-(ROUND(F600*G600/B600,0)*B600),E600+(ROUND(F600*G600/B600,0)*B600)))</f>
        <v>#DIV/0!</v>
      </c>
      <c r="H601" s="29" t="e">
        <f>IF(C600=1,IF(D600="BUY",G601-(ROUND(F600*H600/B600,0)*B600),G601+(ROUND(F600*H600/B600,0)*B600)),IF(D600="BUY",G601+(ROUND(F600*H600/B600,0)*B600),G601-(ROUND(F600*H600/B600,0)*B600)))</f>
        <v>#DIV/0!</v>
      </c>
      <c r="I601" s="29" t="e">
        <f>IF(D600="BUY",G601+(ROUND(F600*I600/(B600*100),0)*B600),G601-(ROUND(F600*I600/(B600*100),0)*B600))</f>
        <v>#DIV/0!</v>
      </c>
      <c r="J601" s="29" t="e">
        <f>IF(C600=1,IF(D600="BUY",E600+(ROUND(F600*J600/B600,0)*B600),E600-(ROUND(F600*J600/B600,0)*B600)),IF(D600="BUY",E600-(ROUND(F600*J600/B600,0)*B600),E600+(ROUND(F600*J600/B600,0)*B600)))</f>
        <v>#DIV/0!</v>
      </c>
      <c r="K601" s="29" t="e">
        <f>IF(C600=1,IF(D600="BUY",E600-(ROUND(F600*K600/B600,0)*B600),E600+(ROUND(F600*K600/B600,0)*B600)),IF(D600="BUY",E600-(ROUND(F600*K600/B600,0)*B600),E600+(ROUND(F600*K600/B600,0)*B600)))</f>
        <v>#DIV/0!</v>
      </c>
      <c r="L601" s="29" t="e">
        <f t="shared" ref="L601" si="896">IF(D601="BUY",I601+(R601*B601),I601-(R601*B601))</f>
        <v>#DIV/0!</v>
      </c>
      <c r="M601" s="29" t="e">
        <f>IF(D600="BUY",E600+(ROUND(F600*M600/B600,0)*B600),E600-(ROUND(F600*M600/B600,0)*B600))</f>
        <v>#DIV/0!</v>
      </c>
      <c r="N601" s="29" t="e">
        <f>IF(D600="BUY",E600-(ROUND(F600*N600/B600,0)*B600),E600+(ROUND(F600*N600/B600,0)*B600))</f>
        <v>#DIV/0!</v>
      </c>
      <c r="O601" s="31" t="e">
        <f>IF(D601="BUY",N601-VLOOKUP(A601,Symbols!A$1:D$1000,4,FALSE),N601+VLOOKUP(A601,Symbols!A$1:D$1000,4,FALSE))</f>
        <v>#DIV/0!</v>
      </c>
      <c r="P601" s="29">
        <f>P600</f>
        <v>0</v>
      </c>
      <c r="Q601" s="29">
        <f>Q600</f>
        <v>0</v>
      </c>
      <c r="R601" s="29">
        <f>R600</f>
        <v>0</v>
      </c>
      <c r="S601" s="29">
        <f>S600</f>
        <v>0</v>
      </c>
      <c r="T601" s="29">
        <f>T600</f>
        <v>0</v>
      </c>
      <c r="U601" s="29" t="e">
        <f>DATEDIF(DATE(1970,1,1),U600,"D")*86400</f>
        <v>#NUM!</v>
      </c>
      <c r="V601" s="29">
        <f>HOUR(V600)*3600+MINUTE(V600)*60+SECOND(V600)</f>
        <v>0</v>
      </c>
      <c r="W601" s="29" t="e">
        <f>DATEDIF(DATE(1970,1,1),W600,"D")*86400</f>
        <v>#NUM!</v>
      </c>
      <c r="X601" s="29">
        <f>HOUR(X600)*3600+MINUTE(X600)*60+SECOND(X600)</f>
        <v>0</v>
      </c>
      <c r="Y601" s="31">
        <f>(Y600*B601)</f>
        <v>0</v>
      </c>
      <c r="Z601" s="29">
        <f>Z600</f>
        <v>0</v>
      </c>
      <c r="AA601" s="29" t="e">
        <f>DATEDIF(DATE(1970,1,1),AA600,"D")*86400</f>
        <v>#NUM!</v>
      </c>
      <c r="AB601" s="29">
        <f>HOUR(AB600)*3600+MINUTE(AB600)*60+SECOND(AB600)</f>
        <v>0</v>
      </c>
      <c r="AC601" s="29">
        <f>AC600</f>
        <v>0</v>
      </c>
    </row>
    <row r="602" spans="1:29">
      <c r="A602" s="23">
        <f>Parameters!A302</f>
        <v>0</v>
      </c>
      <c r="B602" s="23">
        <f>Parameters!B302</f>
        <v>0</v>
      </c>
      <c r="C602" s="24">
        <f>Parameters!C302</f>
        <v>0</v>
      </c>
      <c r="D602" s="24">
        <f>Parameters!D302</f>
        <v>0</v>
      </c>
      <c r="E602" s="23">
        <f>Parameters!E302</f>
        <v>0</v>
      </c>
      <c r="F602" s="23">
        <f>Parameters!F302</f>
        <v>0</v>
      </c>
      <c r="G602" s="25">
        <f>Parameters!G302</f>
        <v>0</v>
      </c>
      <c r="H602" s="25">
        <f>Parameters!H302</f>
        <v>0</v>
      </c>
      <c r="I602" s="25">
        <f>Parameters!I302</f>
        <v>0</v>
      </c>
      <c r="J602" s="25">
        <f>Parameters!J302</f>
        <v>0</v>
      </c>
      <c r="K602" s="25">
        <f>Parameters!K302</f>
        <v>0</v>
      </c>
      <c r="L602" s="26" t="e">
        <f t="shared" ref="L602" si="897">L603</f>
        <v>#DIV/0!</v>
      </c>
      <c r="M602" s="25">
        <f>Parameters!L302</f>
        <v>0</v>
      </c>
      <c r="N602" s="25">
        <f>Parameters!M302</f>
        <v>0</v>
      </c>
      <c r="O602" s="26" t="e">
        <f t="shared" ref="O602" si="898">O603</f>
        <v>#DIV/0!</v>
      </c>
      <c r="P602" s="23">
        <f>Parameters!N302</f>
        <v>0</v>
      </c>
      <c r="Q602" s="23">
        <f>Parameters!O302</f>
        <v>0</v>
      </c>
      <c r="R602" s="23">
        <f>Parameters!P302</f>
        <v>0</v>
      </c>
      <c r="S602" s="23">
        <f>Parameters!Q302</f>
        <v>0</v>
      </c>
      <c r="T602" s="23">
        <f>Parameters!R302</f>
        <v>0</v>
      </c>
      <c r="U602" s="27">
        <f>Parameters!S302</f>
        <v>0</v>
      </c>
      <c r="V602" s="28">
        <f>Parameters!T302</f>
        <v>0</v>
      </c>
      <c r="W602" s="27">
        <f>Parameters!U302</f>
        <v>0</v>
      </c>
      <c r="X602" s="28">
        <f>Parameters!V302</f>
        <v>0</v>
      </c>
      <c r="Y602" s="25">
        <f>Parameters!W302</f>
        <v>0</v>
      </c>
      <c r="Z602" s="23">
        <f>Parameters!X302</f>
        <v>0</v>
      </c>
      <c r="AA602" s="27">
        <f>Parameters!Y302</f>
        <v>0</v>
      </c>
      <c r="AB602" s="28">
        <f>Parameters!Z302</f>
        <v>0</v>
      </c>
      <c r="AC602" s="23">
        <f>Parameters!AA302</f>
        <v>0</v>
      </c>
    </row>
    <row r="603" spans="1:29">
      <c r="A603" s="29" t="str">
        <f>UPPER(A602)</f>
        <v>0</v>
      </c>
      <c r="B603" s="29">
        <f>B602</f>
        <v>0</v>
      </c>
      <c r="C603" s="30">
        <f>C602</f>
        <v>0</v>
      </c>
      <c r="D603" s="30">
        <f>D602</f>
        <v>0</v>
      </c>
      <c r="E603" s="29">
        <f>E602</f>
        <v>0</v>
      </c>
      <c r="F603" s="29">
        <f>F602</f>
        <v>0</v>
      </c>
      <c r="G603" s="29" t="e">
        <f>IF(C602=1,IF(D602="BUY",E602+(ROUND(F602*G602/B602,0)*B602),E602-(ROUND(F602*G602/B602,0)*B602)),IF(D602="BUY",E602-(ROUND(F602*G602/B602,0)*B602),E602+(ROUND(F602*G602/B602,0)*B602)))</f>
        <v>#DIV/0!</v>
      </c>
      <c r="H603" s="29" t="e">
        <f>IF(C602=1,IF(D602="BUY",G603-(ROUND(F602*H602/B602,0)*B602),G603+(ROUND(F602*H602/B602,0)*B602)),IF(D602="BUY",G603+(ROUND(F602*H602/B602,0)*B602),G603-(ROUND(F602*H602/B602,0)*B602)))</f>
        <v>#DIV/0!</v>
      </c>
      <c r="I603" s="29" t="e">
        <f>IF(D602="BUY",G603+(ROUND(F602*I602/(B602*100),0)*B602),G603-(ROUND(F602*I602/(B602*100),0)*B602))</f>
        <v>#DIV/0!</v>
      </c>
      <c r="J603" s="29" t="e">
        <f>IF(C602=1,IF(D602="BUY",E602+(ROUND(F602*J602/B602,0)*B602),E602-(ROUND(F602*J602/B602,0)*B602)),IF(D602="BUY",E602-(ROUND(F602*J602/B602,0)*B602),E602+(ROUND(F602*J602/B602,0)*B602)))</f>
        <v>#DIV/0!</v>
      </c>
      <c r="K603" s="29" t="e">
        <f>IF(C602=1,IF(D602="BUY",E602-(ROUND(F602*K602/B602,0)*B602),E602+(ROUND(F602*K602/B602,0)*B602)),IF(D602="BUY",E602-(ROUND(F602*K602/B602,0)*B602),E602+(ROUND(F602*K602/B602,0)*B602)))</f>
        <v>#DIV/0!</v>
      </c>
      <c r="L603" s="29" t="e">
        <f t="shared" ref="L603" si="899">IF(D603="BUY",I603+(R603*B603),I603-(R603*B603))</f>
        <v>#DIV/0!</v>
      </c>
      <c r="M603" s="29" t="e">
        <f>IF(D602="BUY",E602+(ROUND(F602*M602/B602,0)*B602),E602-(ROUND(F602*M602/B602,0)*B602))</f>
        <v>#DIV/0!</v>
      </c>
      <c r="N603" s="29" t="e">
        <f>IF(D602="BUY",E602-(ROUND(F602*N602/B602,0)*B602),E602+(ROUND(F602*N602/B602,0)*B602))</f>
        <v>#DIV/0!</v>
      </c>
      <c r="O603" s="31" t="e">
        <f>IF(D603="BUY",N603-VLOOKUP(A603,Symbols!A$1:D$1000,4,FALSE),N603+VLOOKUP(A603,Symbols!A$1:D$1000,4,FALSE))</f>
        <v>#DIV/0!</v>
      </c>
      <c r="P603" s="29">
        <f>P602</f>
        <v>0</v>
      </c>
      <c r="Q603" s="29">
        <f>Q602</f>
        <v>0</v>
      </c>
      <c r="R603" s="29">
        <f>R602</f>
        <v>0</v>
      </c>
      <c r="S603" s="29">
        <f>S602</f>
        <v>0</v>
      </c>
      <c r="T603" s="29">
        <f>T602</f>
        <v>0</v>
      </c>
      <c r="U603" s="29" t="e">
        <f>DATEDIF(DATE(1970,1,1),U602,"D")*86400</f>
        <v>#NUM!</v>
      </c>
      <c r="V603" s="29">
        <f>HOUR(V602)*3600+MINUTE(V602)*60+SECOND(V602)</f>
        <v>0</v>
      </c>
      <c r="W603" s="29" t="e">
        <f>DATEDIF(DATE(1970,1,1),W602,"D")*86400</f>
        <v>#NUM!</v>
      </c>
      <c r="X603" s="29">
        <f>HOUR(X602)*3600+MINUTE(X602)*60+SECOND(X602)</f>
        <v>0</v>
      </c>
      <c r="Y603" s="31">
        <f>(Y602*B603)</f>
        <v>0</v>
      </c>
      <c r="Z603" s="29">
        <f>Z602</f>
        <v>0</v>
      </c>
      <c r="AA603" s="29" t="e">
        <f>DATEDIF(DATE(1970,1,1),AA602,"D")*86400</f>
        <v>#NUM!</v>
      </c>
      <c r="AB603" s="29">
        <f>HOUR(AB602)*3600+MINUTE(AB602)*60+SECOND(AB602)</f>
        <v>0</v>
      </c>
      <c r="AC603" s="29">
        <f>AC602</f>
        <v>0</v>
      </c>
    </row>
    <row r="604" spans="1:29">
      <c r="A604" s="23">
        <f>Parameters!A303</f>
        <v>0</v>
      </c>
      <c r="B604" s="23">
        <f>Parameters!B303</f>
        <v>0</v>
      </c>
      <c r="C604" s="24">
        <f>Parameters!C303</f>
        <v>0</v>
      </c>
      <c r="D604" s="24">
        <f>Parameters!D303</f>
        <v>0</v>
      </c>
      <c r="E604" s="23">
        <f>Parameters!E303</f>
        <v>0</v>
      </c>
      <c r="F604" s="23">
        <f>Parameters!F303</f>
        <v>0</v>
      </c>
      <c r="G604" s="25">
        <f>Parameters!G303</f>
        <v>0</v>
      </c>
      <c r="H604" s="25">
        <f>Parameters!H303</f>
        <v>0</v>
      </c>
      <c r="I604" s="25">
        <f>Parameters!I303</f>
        <v>0</v>
      </c>
      <c r="J604" s="25">
        <f>Parameters!J303</f>
        <v>0</v>
      </c>
      <c r="K604" s="25">
        <f>Parameters!K303</f>
        <v>0</v>
      </c>
      <c r="L604" s="26" t="e">
        <f t="shared" ref="L604" si="900">L605</f>
        <v>#DIV/0!</v>
      </c>
      <c r="M604" s="25">
        <f>Parameters!L303</f>
        <v>0</v>
      </c>
      <c r="N604" s="25">
        <f>Parameters!M303</f>
        <v>0</v>
      </c>
      <c r="O604" s="26" t="e">
        <f t="shared" ref="O604" si="901">O605</f>
        <v>#DIV/0!</v>
      </c>
      <c r="P604" s="23">
        <f>Parameters!N303</f>
        <v>0</v>
      </c>
      <c r="Q604" s="23">
        <f>Parameters!O303</f>
        <v>0</v>
      </c>
      <c r="R604" s="23">
        <f>Parameters!P303</f>
        <v>0</v>
      </c>
      <c r="S604" s="23">
        <f>Parameters!Q303</f>
        <v>0</v>
      </c>
      <c r="T604" s="23">
        <f>Parameters!R303</f>
        <v>0</v>
      </c>
      <c r="U604" s="27">
        <f>Parameters!S303</f>
        <v>0</v>
      </c>
      <c r="V604" s="28">
        <f>Parameters!T303</f>
        <v>0</v>
      </c>
      <c r="W604" s="27">
        <f>Parameters!U303</f>
        <v>0</v>
      </c>
      <c r="X604" s="28">
        <f>Parameters!V303</f>
        <v>0</v>
      </c>
      <c r="Y604" s="25">
        <f>Parameters!W303</f>
        <v>0</v>
      </c>
      <c r="Z604" s="23">
        <f>Parameters!X303</f>
        <v>0</v>
      </c>
      <c r="AA604" s="27">
        <f>Parameters!Y303</f>
        <v>0</v>
      </c>
      <c r="AB604" s="28">
        <f>Parameters!Z303</f>
        <v>0</v>
      </c>
      <c r="AC604" s="23">
        <f>Parameters!AA303</f>
        <v>0</v>
      </c>
    </row>
    <row r="605" spans="1:29">
      <c r="A605" s="29" t="str">
        <f>UPPER(A604)</f>
        <v>0</v>
      </c>
      <c r="B605" s="29">
        <f>B604</f>
        <v>0</v>
      </c>
      <c r="C605" s="30">
        <f>C604</f>
        <v>0</v>
      </c>
      <c r="D605" s="30">
        <f>D604</f>
        <v>0</v>
      </c>
      <c r="E605" s="29">
        <f>E604</f>
        <v>0</v>
      </c>
      <c r="F605" s="29">
        <f>F604</f>
        <v>0</v>
      </c>
      <c r="G605" s="29" t="e">
        <f>IF(C604=1,IF(D604="BUY",E604+(ROUND(F604*G604/B604,0)*B604),E604-(ROUND(F604*G604/B604,0)*B604)),IF(D604="BUY",E604-(ROUND(F604*G604/B604,0)*B604),E604+(ROUND(F604*G604/B604,0)*B604)))</f>
        <v>#DIV/0!</v>
      </c>
      <c r="H605" s="29" t="e">
        <f>IF(C604=1,IF(D604="BUY",G605-(ROUND(F604*H604/B604,0)*B604),G605+(ROUND(F604*H604/B604,0)*B604)),IF(D604="BUY",G605+(ROUND(F604*H604/B604,0)*B604),G605-(ROUND(F604*H604/B604,0)*B604)))</f>
        <v>#DIV/0!</v>
      </c>
      <c r="I605" s="29" t="e">
        <f>IF(D604="BUY",G605+(ROUND(F604*I604/(B604*100),0)*B604),G605-(ROUND(F604*I604/(B604*100),0)*B604))</f>
        <v>#DIV/0!</v>
      </c>
      <c r="J605" s="29" t="e">
        <f>IF(C604=1,IF(D604="BUY",E604+(ROUND(F604*J604/B604,0)*B604),E604-(ROUND(F604*J604/B604,0)*B604)),IF(D604="BUY",E604-(ROUND(F604*J604/B604,0)*B604),E604+(ROUND(F604*J604/B604,0)*B604)))</f>
        <v>#DIV/0!</v>
      </c>
      <c r="K605" s="29" t="e">
        <f>IF(C604=1,IF(D604="BUY",E604-(ROUND(F604*K604/B604,0)*B604),E604+(ROUND(F604*K604/B604,0)*B604)),IF(D604="BUY",E604-(ROUND(F604*K604/B604,0)*B604),E604+(ROUND(F604*K604/B604,0)*B604)))</f>
        <v>#DIV/0!</v>
      </c>
      <c r="L605" s="29" t="e">
        <f t="shared" ref="L605" si="902">IF(D605="BUY",I605+(R605*B605),I605-(R605*B605))</f>
        <v>#DIV/0!</v>
      </c>
      <c r="M605" s="29" t="e">
        <f>IF(D604="BUY",E604+(ROUND(F604*M604/B604,0)*B604),E604-(ROUND(F604*M604/B604,0)*B604))</f>
        <v>#DIV/0!</v>
      </c>
      <c r="N605" s="29" t="e">
        <f>IF(D604="BUY",E604-(ROUND(F604*N604/B604,0)*B604),E604+(ROUND(F604*N604/B604,0)*B604))</f>
        <v>#DIV/0!</v>
      </c>
      <c r="O605" s="31" t="e">
        <f>IF(D605="BUY",N605-VLOOKUP(A605,Symbols!A$1:D$1000,4,FALSE),N605+VLOOKUP(A605,Symbols!A$1:D$1000,4,FALSE))</f>
        <v>#DIV/0!</v>
      </c>
      <c r="P605" s="29">
        <f>P604</f>
        <v>0</v>
      </c>
      <c r="Q605" s="29">
        <f>Q604</f>
        <v>0</v>
      </c>
      <c r="R605" s="29">
        <f>R604</f>
        <v>0</v>
      </c>
      <c r="S605" s="29">
        <f>S604</f>
        <v>0</v>
      </c>
      <c r="T605" s="29">
        <f>T604</f>
        <v>0</v>
      </c>
      <c r="U605" s="29" t="e">
        <f>DATEDIF(DATE(1970,1,1),U604,"D")*86400</f>
        <v>#NUM!</v>
      </c>
      <c r="V605" s="29">
        <f>HOUR(V604)*3600+MINUTE(V604)*60+SECOND(V604)</f>
        <v>0</v>
      </c>
      <c r="W605" s="29" t="e">
        <f>DATEDIF(DATE(1970,1,1),W604,"D")*86400</f>
        <v>#NUM!</v>
      </c>
      <c r="X605" s="29">
        <f>HOUR(X604)*3600+MINUTE(X604)*60+SECOND(X604)</f>
        <v>0</v>
      </c>
      <c r="Y605" s="31">
        <f>(Y604*B605)</f>
        <v>0</v>
      </c>
      <c r="Z605" s="29">
        <f>Z604</f>
        <v>0</v>
      </c>
      <c r="AA605" s="29" t="e">
        <f>DATEDIF(DATE(1970,1,1),AA604,"D")*86400</f>
        <v>#NUM!</v>
      </c>
      <c r="AB605" s="29">
        <f>HOUR(AB604)*3600+MINUTE(AB604)*60+SECOND(AB604)</f>
        <v>0</v>
      </c>
      <c r="AC605" s="29">
        <f>AC604</f>
        <v>0</v>
      </c>
    </row>
    <row r="606" spans="1:29">
      <c r="A606" s="23">
        <f>Parameters!A304</f>
        <v>0</v>
      </c>
      <c r="B606" s="23">
        <f>Parameters!B304</f>
        <v>0</v>
      </c>
      <c r="C606" s="24">
        <f>Parameters!C304</f>
        <v>0</v>
      </c>
      <c r="D606" s="24">
        <f>Parameters!D304</f>
        <v>0</v>
      </c>
      <c r="E606" s="23">
        <f>Parameters!E304</f>
        <v>0</v>
      </c>
      <c r="F606" s="23">
        <f>Parameters!F304</f>
        <v>0</v>
      </c>
      <c r="G606" s="25">
        <f>Parameters!G304</f>
        <v>0</v>
      </c>
      <c r="H606" s="25">
        <f>Parameters!H304</f>
        <v>0</v>
      </c>
      <c r="I606" s="25">
        <f>Parameters!I304</f>
        <v>0</v>
      </c>
      <c r="J606" s="25">
        <f>Parameters!J304</f>
        <v>0</v>
      </c>
      <c r="K606" s="25">
        <f>Parameters!K304</f>
        <v>0</v>
      </c>
      <c r="L606" s="26" t="e">
        <f t="shared" ref="L606" si="903">L607</f>
        <v>#DIV/0!</v>
      </c>
      <c r="M606" s="25">
        <f>Parameters!L304</f>
        <v>0</v>
      </c>
      <c r="N606" s="25">
        <f>Parameters!M304</f>
        <v>0</v>
      </c>
      <c r="O606" s="26" t="e">
        <f t="shared" ref="O606" si="904">O607</f>
        <v>#DIV/0!</v>
      </c>
      <c r="P606" s="23">
        <f>Parameters!N304</f>
        <v>0</v>
      </c>
      <c r="Q606" s="23">
        <f>Parameters!O304</f>
        <v>0</v>
      </c>
      <c r="R606" s="23">
        <f>Parameters!P304</f>
        <v>0</v>
      </c>
      <c r="S606" s="23">
        <f>Parameters!Q304</f>
        <v>0</v>
      </c>
      <c r="T606" s="23">
        <f>Parameters!R304</f>
        <v>0</v>
      </c>
      <c r="U606" s="27">
        <f>Parameters!S304</f>
        <v>0</v>
      </c>
      <c r="V606" s="28">
        <f>Parameters!T304</f>
        <v>0</v>
      </c>
      <c r="W606" s="27">
        <f>Parameters!U304</f>
        <v>0</v>
      </c>
      <c r="X606" s="28">
        <f>Parameters!V304</f>
        <v>0</v>
      </c>
      <c r="Y606" s="25">
        <f>Parameters!W304</f>
        <v>0</v>
      </c>
      <c r="Z606" s="23">
        <f>Parameters!X304</f>
        <v>0</v>
      </c>
      <c r="AA606" s="27">
        <f>Parameters!Y304</f>
        <v>0</v>
      </c>
      <c r="AB606" s="28">
        <f>Parameters!Z304</f>
        <v>0</v>
      </c>
      <c r="AC606" s="23">
        <f>Parameters!AA304</f>
        <v>0</v>
      </c>
    </row>
    <row r="607" spans="1:29">
      <c r="A607" s="29" t="str">
        <f>UPPER(A606)</f>
        <v>0</v>
      </c>
      <c r="B607" s="29">
        <f>B606</f>
        <v>0</v>
      </c>
      <c r="C607" s="30">
        <f>C606</f>
        <v>0</v>
      </c>
      <c r="D607" s="30">
        <f>D606</f>
        <v>0</v>
      </c>
      <c r="E607" s="29">
        <f>E606</f>
        <v>0</v>
      </c>
      <c r="F607" s="29">
        <f>F606</f>
        <v>0</v>
      </c>
      <c r="G607" s="29" t="e">
        <f>IF(C606=1,IF(D606="BUY",E606+(ROUND(F606*G606/B606,0)*B606),E606-(ROUND(F606*G606/B606,0)*B606)),IF(D606="BUY",E606-(ROUND(F606*G606/B606,0)*B606),E606+(ROUND(F606*G606/B606,0)*B606)))</f>
        <v>#DIV/0!</v>
      </c>
      <c r="H607" s="29" t="e">
        <f>IF(C606=1,IF(D606="BUY",G607-(ROUND(F606*H606/B606,0)*B606),G607+(ROUND(F606*H606/B606,0)*B606)),IF(D606="BUY",G607+(ROUND(F606*H606/B606,0)*B606),G607-(ROUND(F606*H606/B606,0)*B606)))</f>
        <v>#DIV/0!</v>
      </c>
      <c r="I607" s="29" t="e">
        <f>IF(D606="BUY",G607+(ROUND(F606*I606/(B606*100),0)*B606),G607-(ROUND(F606*I606/(B606*100),0)*B606))</f>
        <v>#DIV/0!</v>
      </c>
      <c r="J607" s="29" t="e">
        <f>IF(C606=1,IF(D606="BUY",E606+(ROUND(F606*J606/B606,0)*B606),E606-(ROUND(F606*J606/B606,0)*B606)),IF(D606="BUY",E606-(ROUND(F606*J606/B606,0)*B606),E606+(ROUND(F606*J606/B606,0)*B606)))</f>
        <v>#DIV/0!</v>
      </c>
      <c r="K607" s="29" t="e">
        <f>IF(C606=1,IF(D606="BUY",E606-(ROUND(F606*K606/B606,0)*B606),E606+(ROUND(F606*K606/B606,0)*B606)),IF(D606="BUY",E606-(ROUND(F606*K606/B606,0)*B606),E606+(ROUND(F606*K606/B606,0)*B606)))</f>
        <v>#DIV/0!</v>
      </c>
      <c r="L607" s="29" t="e">
        <f t="shared" ref="L607" si="905">IF(D607="BUY",I607+(R607*B607),I607-(R607*B607))</f>
        <v>#DIV/0!</v>
      </c>
      <c r="M607" s="29" t="e">
        <f>IF(D606="BUY",E606+(ROUND(F606*M606/B606,0)*B606),E606-(ROUND(F606*M606/B606,0)*B606))</f>
        <v>#DIV/0!</v>
      </c>
      <c r="N607" s="29" t="e">
        <f>IF(D606="BUY",E606-(ROUND(F606*N606/B606,0)*B606),E606+(ROUND(F606*N606/B606,0)*B606))</f>
        <v>#DIV/0!</v>
      </c>
      <c r="O607" s="31" t="e">
        <f>IF(D607="BUY",N607-VLOOKUP(A607,Symbols!A$1:D$1000,4,FALSE),N607+VLOOKUP(A607,Symbols!A$1:D$1000,4,FALSE))</f>
        <v>#DIV/0!</v>
      </c>
      <c r="P607" s="29">
        <f>P606</f>
        <v>0</v>
      </c>
      <c r="Q607" s="29">
        <f>Q606</f>
        <v>0</v>
      </c>
      <c r="R607" s="29">
        <f>R606</f>
        <v>0</v>
      </c>
      <c r="S607" s="29">
        <f>S606</f>
        <v>0</v>
      </c>
      <c r="T607" s="29">
        <f>T606</f>
        <v>0</v>
      </c>
      <c r="U607" s="29" t="e">
        <f>DATEDIF(DATE(1970,1,1),U606,"D")*86400</f>
        <v>#NUM!</v>
      </c>
      <c r="V607" s="29">
        <f>HOUR(V606)*3600+MINUTE(V606)*60+SECOND(V606)</f>
        <v>0</v>
      </c>
      <c r="W607" s="29" t="e">
        <f>DATEDIF(DATE(1970,1,1),W606,"D")*86400</f>
        <v>#NUM!</v>
      </c>
      <c r="X607" s="29">
        <f>HOUR(X606)*3600+MINUTE(X606)*60+SECOND(X606)</f>
        <v>0</v>
      </c>
      <c r="Y607" s="31">
        <f>(Y606*B607)</f>
        <v>0</v>
      </c>
      <c r="Z607" s="29">
        <f>Z606</f>
        <v>0</v>
      </c>
      <c r="AA607" s="29" t="e">
        <f>DATEDIF(DATE(1970,1,1),AA606,"D")*86400</f>
        <v>#NUM!</v>
      </c>
      <c r="AB607" s="29">
        <f>HOUR(AB606)*3600+MINUTE(AB606)*60+SECOND(AB606)</f>
        <v>0</v>
      </c>
      <c r="AC607" s="29">
        <f>AC606</f>
        <v>0</v>
      </c>
    </row>
    <row r="608" spans="1:29">
      <c r="A608" s="23">
        <f>Parameters!A305</f>
        <v>0</v>
      </c>
      <c r="B608" s="23">
        <f>Parameters!B305</f>
        <v>0</v>
      </c>
      <c r="C608" s="24">
        <f>Parameters!C305</f>
        <v>0</v>
      </c>
      <c r="D608" s="24">
        <f>Parameters!D305</f>
        <v>0</v>
      </c>
      <c r="E608" s="23">
        <f>Parameters!E305</f>
        <v>0</v>
      </c>
      <c r="F608" s="23">
        <f>Parameters!F305</f>
        <v>0</v>
      </c>
      <c r="G608" s="25">
        <f>Parameters!G305</f>
        <v>0</v>
      </c>
      <c r="H608" s="25">
        <f>Parameters!H305</f>
        <v>0</v>
      </c>
      <c r="I608" s="25">
        <f>Parameters!I305</f>
        <v>0</v>
      </c>
      <c r="J608" s="25">
        <f>Parameters!J305</f>
        <v>0</v>
      </c>
      <c r="K608" s="25">
        <f>Parameters!K305</f>
        <v>0</v>
      </c>
      <c r="L608" s="26" t="e">
        <f t="shared" ref="L608" si="906">L609</f>
        <v>#DIV/0!</v>
      </c>
      <c r="M608" s="25">
        <f>Parameters!L305</f>
        <v>0</v>
      </c>
      <c r="N608" s="25">
        <f>Parameters!M305</f>
        <v>0</v>
      </c>
      <c r="O608" s="26" t="e">
        <f t="shared" ref="O608" si="907">O609</f>
        <v>#DIV/0!</v>
      </c>
      <c r="P608" s="23">
        <f>Parameters!N305</f>
        <v>0</v>
      </c>
      <c r="Q608" s="23">
        <f>Parameters!O305</f>
        <v>0</v>
      </c>
      <c r="R608" s="23">
        <f>Parameters!P305</f>
        <v>0</v>
      </c>
      <c r="S608" s="23">
        <f>Parameters!Q305</f>
        <v>0</v>
      </c>
      <c r="T608" s="23">
        <f>Parameters!R305</f>
        <v>0</v>
      </c>
      <c r="U608" s="27">
        <f>Parameters!S305</f>
        <v>0</v>
      </c>
      <c r="V608" s="28">
        <f>Parameters!T305</f>
        <v>0</v>
      </c>
      <c r="W608" s="27">
        <f>Parameters!U305</f>
        <v>0</v>
      </c>
      <c r="X608" s="28">
        <f>Parameters!V305</f>
        <v>0</v>
      </c>
      <c r="Y608" s="25">
        <f>Parameters!W305</f>
        <v>0</v>
      </c>
      <c r="Z608" s="23">
        <f>Parameters!X305</f>
        <v>0</v>
      </c>
      <c r="AA608" s="27">
        <f>Parameters!Y305</f>
        <v>0</v>
      </c>
      <c r="AB608" s="28">
        <f>Parameters!Z305</f>
        <v>0</v>
      </c>
      <c r="AC608" s="23">
        <f>Parameters!AA305</f>
        <v>0</v>
      </c>
    </row>
    <row r="609" spans="1:29">
      <c r="A609" s="29" t="str">
        <f>UPPER(A608)</f>
        <v>0</v>
      </c>
      <c r="B609" s="29">
        <f>B608</f>
        <v>0</v>
      </c>
      <c r="C609" s="30">
        <f>C608</f>
        <v>0</v>
      </c>
      <c r="D609" s="30">
        <f>D608</f>
        <v>0</v>
      </c>
      <c r="E609" s="29">
        <f>E608</f>
        <v>0</v>
      </c>
      <c r="F609" s="29">
        <f>F608</f>
        <v>0</v>
      </c>
      <c r="G609" s="29" t="e">
        <f>IF(C608=1,IF(D608="BUY",E608+(ROUND(F608*G608/B608,0)*B608),E608-(ROUND(F608*G608/B608,0)*B608)),IF(D608="BUY",E608-(ROUND(F608*G608/B608,0)*B608),E608+(ROUND(F608*G608/B608,0)*B608)))</f>
        <v>#DIV/0!</v>
      </c>
      <c r="H609" s="29" t="e">
        <f>IF(C608=1,IF(D608="BUY",G609-(ROUND(F608*H608/B608,0)*B608),G609+(ROUND(F608*H608/B608,0)*B608)),IF(D608="BUY",G609+(ROUND(F608*H608/B608,0)*B608),G609-(ROUND(F608*H608/B608,0)*B608)))</f>
        <v>#DIV/0!</v>
      </c>
      <c r="I609" s="29" t="e">
        <f>IF(D608="BUY",G609+(ROUND(F608*I608/(B608*100),0)*B608),G609-(ROUND(F608*I608/(B608*100),0)*B608))</f>
        <v>#DIV/0!</v>
      </c>
      <c r="J609" s="29" t="e">
        <f>IF(C608=1,IF(D608="BUY",E608+(ROUND(F608*J608/B608,0)*B608),E608-(ROUND(F608*J608/B608,0)*B608)),IF(D608="BUY",E608-(ROUND(F608*J608/B608,0)*B608),E608+(ROUND(F608*J608/B608,0)*B608)))</f>
        <v>#DIV/0!</v>
      </c>
      <c r="K609" s="29" t="e">
        <f>IF(C608=1,IF(D608="BUY",E608-(ROUND(F608*K608/B608,0)*B608),E608+(ROUND(F608*K608/B608,0)*B608)),IF(D608="BUY",E608-(ROUND(F608*K608/B608,0)*B608),E608+(ROUND(F608*K608/B608,0)*B608)))</f>
        <v>#DIV/0!</v>
      </c>
      <c r="L609" s="29" t="e">
        <f t="shared" ref="L609" si="908">IF(D609="BUY",I609+(R609*B609),I609-(R609*B609))</f>
        <v>#DIV/0!</v>
      </c>
      <c r="M609" s="29" t="e">
        <f>IF(D608="BUY",E608+(ROUND(F608*M608/B608,0)*B608),E608-(ROUND(F608*M608/B608,0)*B608))</f>
        <v>#DIV/0!</v>
      </c>
      <c r="N609" s="29" t="e">
        <f>IF(D608="BUY",E608-(ROUND(F608*N608/B608,0)*B608),E608+(ROUND(F608*N608/B608,0)*B608))</f>
        <v>#DIV/0!</v>
      </c>
      <c r="O609" s="31" t="e">
        <f>IF(D609="BUY",N609-VLOOKUP(A609,Symbols!A$1:D$1000,4,FALSE),N609+VLOOKUP(A609,Symbols!A$1:D$1000,4,FALSE))</f>
        <v>#DIV/0!</v>
      </c>
      <c r="P609" s="29">
        <f>P608</f>
        <v>0</v>
      </c>
      <c r="Q609" s="29">
        <f>Q608</f>
        <v>0</v>
      </c>
      <c r="R609" s="29">
        <f>R608</f>
        <v>0</v>
      </c>
      <c r="S609" s="29">
        <f>S608</f>
        <v>0</v>
      </c>
      <c r="T609" s="29">
        <f>T608</f>
        <v>0</v>
      </c>
      <c r="U609" s="29" t="e">
        <f>DATEDIF(DATE(1970,1,1),U608,"D")*86400</f>
        <v>#NUM!</v>
      </c>
      <c r="V609" s="29">
        <f>HOUR(V608)*3600+MINUTE(V608)*60+SECOND(V608)</f>
        <v>0</v>
      </c>
      <c r="W609" s="29" t="e">
        <f>DATEDIF(DATE(1970,1,1),W608,"D")*86400</f>
        <v>#NUM!</v>
      </c>
      <c r="X609" s="29">
        <f>HOUR(X608)*3600+MINUTE(X608)*60+SECOND(X608)</f>
        <v>0</v>
      </c>
      <c r="Y609" s="31">
        <f>(Y608*B609)</f>
        <v>0</v>
      </c>
      <c r="Z609" s="29">
        <f>Z608</f>
        <v>0</v>
      </c>
      <c r="AA609" s="29" t="e">
        <f>DATEDIF(DATE(1970,1,1),AA608,"D")*86400</f>
        <v>#NUM!</v>
      </c>
      <c r="AB609" s="29">
        <f>HOUR(AB608)*3600+MINUTE(AB608)*60+SECOND(AB608)</f>
        <v>0</v>
      </c>
      <c r="AC609" s="29">
        <f>AC608</f>
        <v>0</v>
      </c>
    </row>
    <row r="610" spans="1:29">
      <c r="A610" s="23">
        <f>Parameters!A306</f>
        <v>0</v>
      </c>
      <c r="B610" s="23">
        <f>Parameters!B306</f>
        <v>0</v>
      </c>
      <c r="C610" s="24">
        <f>Parameters!C306</f>
        <v>0</v>
      </c>
      <c r="D610" s="24">
        <f>Parameters!D306</f>
        <v>0</v>
      </c>
      <c r="E610" s="23">
        <f>Parameters!E306</f>
        <v>0</v>
      </c>
      <c r="F610" s="23">
        <f>Parameters!F306</f>
        <v>0</v>
      </c>
      <c r="G610" s="25">
        <f>Parameters!G306</f>
        <v>0</v>
      </c>
      <c r="H610" s="25">
        <f>Parameters!H306</f>
        <v>0</v>
      </c>
      <c r="I610" s="25">
        <f>Parameters!I306</f>
        <v>0</v>
      </c>
      <c r="J610" s="25">
        <f>Parameters!J306</f>
        <v>0</v>
      </c>
      <c r="K610" s="25">
        <f>Parameters!K306</f>
        <v>0</v>
      </c>
      <c r="L610" s="26" t="e">
        <f t="shared" ref="L610" si="909">L611</f>
        <v>#DIV/0!</v>
      </c>
      <c r="M610" s="25">
        <f>Parameters!L306</f>
        <v>0</v>
      </c>
      <c r="N610" s="25">
        <f>Parameters!M306</f>
        <v>0</v>
      </c>
      <c r="O610" s="26" t="e">
        <f t="shared" ref="O610" si="910">O611</f>
        <v>#DIV/0!</v>
      </c>
      <c r="P610" s="23">
        <f>Parameters!N306</f>
        <v>0</v>
      </c>
      <c r="Q610" s="23">
        <f>Parameters!O306</f>
        <v>0</v>
      </c>
      <c r="R610" s="23">
        <f>Parameters!P306</f>
        <v>0</v>
      </c>
      <c r="S610" s="23">
        <f>Parameters!Q306</f>
        <v>0</v>
      </c>
      <c r="T610" s="23">
        <f>Parameters!R306</f>
        <v>0</v>
      </c>
      <c r="U610" s="27">
        <f>Parameters!S306</f>
        <v>0</v>
      </c>
      <c r="V610" s="28">
        <f>Parameters!T306</f>
        <v>0</v>
      </c>
      <c r="W610" s="27">
        <f>Parameters!U306</f>
        <v>0</v>
      </c>
      <c r="X610" s="28">
        <f>Parameters!V306</f>
        <v>0</v>
      </c>
      <c r="Y610" s="25">
        <f>Parameters!W306</f>
        <v>0</v>
      </c>
      <c r="Z610" s="23">
        <f>Parameters!X306</f>
        <v>0</v>
      </c>
      <c r="AA610" s="27">
        <f>Parameters!Y306</f>
        <v>0</v>
      </c>
      <c r="AB610" s="28">
        <f>Parameters!Z306</f>
        <v>0</v>
      </c>
      <c r="AC610" s="23">
        <f>Parameters!AA306</f>
        <v>0</v>
      </c>
    </row>
    <row r="611" spans="1:29">
      <c r="A611" s="29" t="str">
        <f>UPPER(A610)</f>
        <v>0</v>
      </c>
      <c r="B611" s="29">
        <f>B610</f>
        <v>0</v>
      </c>
      <c r="C611" s="30">
        <f>C610</f>
        <v>0</v>
      </c>
      <c r="D611" s="30">
        <f>D610</f>
        <v>0</v>
      </c>
      <c r="E611" s="29">
        <f>E610</f>
        <v>0</v>
      </c>
      <c r="F611" s="29">
        <f>F610</f>
        <v>0</v>
      </c>
      <c r="G611" s="29" t="e">
        <f>IF(C610=1,IF(D610="BUY",E610+(ROUND(F610*G610/B610,0)*B610),E610-(ROUND(F610*G610/B610,0)*B610)),IF(D610="BUY",E610-(ROUND(F610*G610/B610,0)*B610),E610+(ROUND(F610*G610/B610,0)*B610)))</f>
        <v>#DIV/0!</v>
      </c>
      <c r="H611" s="29" t="e">
        <f>IF(C610=1,IF(D610="BUY",G611-(ROUND(F610*H610/B610,0)*B610),G611+(ROUND(F610*H610/B610,0)*B610)),IF(D610="BUY",G611+(ROUND(F610*H610/B610,0)*B610),G611-(ROUND(F610*H610/B610,0)*B610)))</f>
        <v>#DIV/0!</v>
      </c>
      <c r="I611" s="29" t="e">
        <f>IF(D610="BUY",G611+(ROUND(F610*I610/(B610*100),0)*B610),G611-(ROUND(F610*I610/(B610*100),0)*B610))</f>
        <v>#DIV/0!</v>
      </c>
      <c r="J611" s="29" t="e">
        <f>IF(C610=1,IF(D610="BUY",E610+(ROUND(F610*J610/B610,0)*B610),E610-(ROUND(F610*J610/B610,0)*B610)),IF(D610="BUY",E610-(ROUND(F610*J610/B610,0)*B610),E610+(ROUND(F610*J610/B610,0)*B610)))</f>
        <v>#DIV/0!</v>
      </c>
      <c r="K611" s="29" t="e">
        <f>IF(C610=1,IF(D610="BUY",E610-(ROUND(F610*K610/B610,0)*B610),E610+(ROUND(F610*K610/B610,0)*B610)),IF(D610="BUY",E610-(ROUND(F610*K610/B610,0)*B610),E610+(ROUND(F610*K610/B610,0)*B610)))</f>
        <v>#DIV/0!</v>
      </c>
      <c r="L611" s="29" t="e">
        <f t="shared" ref="L611" si="911">IF(D611="BUY",I611+(R611*B611),I611-(R611*B611))</f>
        <v>#DIV/0!</v>
      </c>
      <c r="M611" s="29" t="e">
        <f>IF(D610="BUY",E610+(ROUND(F610*M610/B610,0)*B610),E610-(ROUND(F610*M610/B610,0)*B610))</f>
        <v>#DIV/0!</v>
      </c>
      <c r="N611" s="29" t="e">
        <f>IF(D610="BUY",E610-(ROUND(F610*N610/B610,0)*B610),E610+(ROUND(F610*N610/B610,0)*B610))</f>
        <v>#DIV/0!</v>
      </c>
      <c r="O611" s="31" t="e">
        <f>IF(D611="BUY",N611-VLOOKUP(A611,Symbols!A$1:D$1000,4,FALSE),N611+VLOOKUP(A611,Symbols!A$1:D$1000,4,FALSE))</f>
        <v>#DIV/0!</v>
      </c>
      <c r="P611" s="29">
        <f>P610</f>
        <v>0</v>
      </c>
      <c r="Q611" s="29">
        <f>Q610</f>
        <v>0</v>
      </c>
      <c r="R611" s="29">
        <f>R610</f>
        <v>0</v>
      </c>
      <c r="S611" s="29">
        <f>S610</f>
        <v>0</v>
      </c>
      <c r="T611" s="29">
        <f>T610</f>
        <v>0</v>
      </c>
      <c r="U611" s="29" t="e">
        <f>DATEDIF(DATE(1970,1,1),U610,"D")*86400</f>
        <v>#NUM!</v>
      </c>
      <c r="V611" s="29">
        <f>HOUR(V610)*3600+MINUTE(V610)*60+SECOND(V610)</f>
        <v>0</v>
      </c>
      <c r="W611" s="29" t="e">
        <f>DATEDIF(DATE(1970,1,1),W610,"D")*86400</f>
        <v>#NUM!</v>
      </c>
      <c r="X611" s="29">
        <f>HOUR(X610)*3600+MINUTE(X610)*60+SECOND(X610)</f>
        <v>0</v>
      </c>
      <c r="Y611" s="31">
        <f>(Y610*B611)</f>
        <v>0</v>
      </c>
      <c r="Z611" s="29">
        <f>Z610</f>
        <v>0</v>
      </c>
      <c r="AA611" s="29" t="e">
        <f>DATEDIF(DATE(1970,1,1),AA610,"D")*86400</f>
        <v>#NUM!</v>
      </c>
      <c r="AB611" s="29">
        <f>HOUR(AB610)*3600+MINUTE(AB610)*60+SECOND(AB610)</f>
        <v>0</v>
      </c>
      <c r="AC611" s="29">
        <f>AC610</f>
        <v>0</v>
      </c>
    </row>
    <row r="612" spans="1:29">
      <c r="A612" s="23">
        <f>Parameters!A307</f>
        <v>0</v>
      </c>
      <c r="B612" s="23">
        <f>Parameters!B307</f>
        <v>0</v>
      </c>
      <c r="C612" s="24">
        <f>Parameters!C307</f>
        <v>0</v>
      </c>
      <c r="D612" s="24">
        <f>Parameters!D307</f>
        <v>0</v>
      </c>
      <c r="E612" s="23">
        <f>Parameters!E307</f>
        <v>0</v>
      </c>
      <c r="F612" s="23">
        <f>Parameters!F307</f>
        <v>0</v>
      </c>
      <c r="G612" s="25">
        <f>Parameters!G307</f>
        <v>0</v>
      </c>
      <c r="H612" s="25">
        <f>Parameters!H307</f>
        <v>0</v>
      </c>
      <c r="I612" s="25">
        <f>Parameters!I307</f>
        <v>0</v>
      </c>
      <c r="J612" s="25">
        <f>Parameters!J307</f>
        <v>0</v>
      </c>
      <c r="K612" s="25">
        <f>Parameters!K307</f>
        <v>0</v>
      </c>
      <c r="L612" s="26" t="e">
        <f t="shared" ref="L612" si="912">L613</f>
        <v>#DIV/0!</v>
      </c>
      <c r="M612" s="25">
        <f>Parameters!L307</f>
        <v>0</v>
      </c>
      <c r="N612" s="25">
        <f>Parameters!M307</f>
        <v>0</v>
      </c>
      <c r="O612" s="26" t="e">
        <f t="shared" ref="O612" si="913">O613</f>
        <v>#DIV/0!</v>
      </c>
      <c r="P612" s="23">
        <f>Parameters!N307</f>
        <v>0</v>
      </c>
      <c r="Q612" s="23">
        <f>Parameters!O307</f>
        <v>0</v>
      </c>
      <c r="R612" s="23">
        <f>Parameters!P307</f>
        <v>0</v>
      </c>
      <c r="S612" s="23">
        <f>Parameters!Q307</f>
        <v>0</v>
      </c>
      <c r="T612" s="23">
        <f>Parameters!R307</f>
        <v>0</v>
      </c>
      <c r="U612" s="27">
        <f>Parameters!S307</f>
        <v>0</v>
      </c>
      <c r="V612" s="28">
        <f>Parameters!T307</f>
        <v>0</v>
      </c>
      <c r="W612" s="27">
        <f>Parameters!U307</f>
        <v>0</v>
      </c>
      <c r="X612" s="28">
        <f>Parameters!V307</f>
        <v>0</v>
      </c>
      <c r="Y612" s="25">
        <f>Parameters!W307</f>
        <v>0</v>
      </c>
      <c r="Z612" s="23">
        <f>Parameters!X307</f>
        <v>0</v>
      </c>
      <c r="AA612" s="27">
        <f>Parameters!Y307</f>
        <v>0</v>
      </c>
      <c r="AB612" s="28">
        <f>Parameters!Z307</f>
        <v>0</v>
      </c>
      <c r="AC612" s="23">
        <f>Parameters!AA307</f>
        <v>0</v>
      </c>
    </row>
    <row r="613" spans="1:29">
      <c r="A613" s="29" t="str">
        <f>UPPER(A612)</f>
        <v>0</v>
      </c>
      <c r="B613" s="29">
        <f>B612</f>
        <v>0</v>
      </c>
      <c r="C613" s="30">
        <f>C612</f>
        <v>0</v>
      </c>
      <c r="D613" s="30">
        <f>D612</f>
        <v>0</v>
      </c>
      <c r="E613" s="29">
        <f>E612</f>
        <v>0</v>
      </c>
      <c r="F613" s="29">
        <f>F612</f>
        <v>0</v>
      </c>
      <c r="G613" s="29" t="e">
        <f>IF(C612=1,IF(D612="BUY",E612+(ROUND(F612*G612/B612,0)*B612),E612-(ROUND(F612*G612/B612,0)*B612)),IF(D612="BUY",E612-(ROUND(F612*G612/B612,0)*B612),E612+(ROUND(F612*G612/B612,0)*B612)))</f>
        <v>#DIV/0!</v>
      </c>
      <c r="H613" s="29" t="e">
        <f>IF(C612=1,IF(D612="BUY",G613-(ROUND(F612*H612/B612,0)*B612),G613+(ROUND(F612*H612/B612,0)*B612)),IF(D612="BUY",G613+(ROUND(F612*H612/B612,0)*B612),G613-(ROUND(F612*H612/B612,0)*B612)))</f>
        <v>#DIV/0!</v>
      </c>
      <c r="I613" s="29" t="e">
        <f>IF(D612="BUY",G613+(ROUND(F612*I612/(B612*100),0)*B612),G613-(ROUND(F612*I612/(B612*100),0)*B612))</f>
        <v>#DIV/0!</v>
      </c>
      <c r="J613" s="29" t="e">
        <f>IF(C612=1,IF(D612="BUY",E612+(ROUND(F612*J612/B612,0)*B612),E612-(ROUND(F612*J612/B612,0)*B612)),IF(D612="BUY",E612-(ROUND(F612*J612/B612,0)*B612),E612+(ROUND(F612*J612/B612,0)*B612)))</f>
        <v>#DIV/0!</v>
      </c>
      <c r="K613" s="29" t="e">
        <f>IF(C612=1,IF(D612="BUY",E612-(ROUND(F612*K612/B612,0)*B612),E612+(ROUND(F612*K612/B612,0)*B612)),IF(D612="BUY",E612-(ROUND(F612*K612/B612,0)*B612),E612+(ROUND(F612*K612/B612,0)*B612)))</f>
        <v>#DIV/0!</v>
      </c>
      <c r="L613" s="29" t="e">
        <f t="shared" ref="L613" si="914">IF(D613="BUY",I613+(R613*B613),I613-(R613*B613))</f>
        <v>#DIV/0!</v>
      </c>
      <c r="M613" s="29" t="e">
        <f>IF(D612="BUY",E612+(ROUND(F612*M612/B612,0)*B612),E612-(ROUND(F612*M612/B612,0)*B612))</f>
        <v>#DIV/0!</v>
      </c>
      <c r="N613" s="29" t="e">
        <f>IF(D612="BUY",E612-(ROUND(F612*N612/B612,0)*B612),E612+(ROUND(F612*N612/B612,0)*B612))</f>
        <v>#DIV/0!</v>
      </c>
      <c r="O613" s="31" t="e">
        <f>IF(D613="BUY",N613-VLOOKUP(A613,Symbols!A$1:D$1000,4,FALSE),N613+VLOOKUP(A613,Symbols!A$1:D$1000,4,FALSE))</f>
        <v>#DIV/0!</v>
      </c>
      <c r="P613" s="29">
        <f>P612</f>
        <v>0</v>
      </c>
      <c r="Q613" s="29">
        <f>Q612</f>
        <v>0</v>
      </c>
      <c r="R613" s="29">
        <f>R612</f>
        <v>0</v>
      </c>
      <c r="S613" s="29">
        <f>S612</f>
        <v>0</v>
      </c>
      <c r="T613" s="29">
        <f>T612</f>
        <v>0</v>
      </c>
      <c r="U613" s="29" t="e">
        <f>DATEDIF(DATE(1970,1,1),U612,"D")*86400</f>
        <v>#NUM!</v>
      </c>
      <c r="V613" s="29">
        <f>HOUR(V612)*3600+MINUTE(V612)*60+SECOND(V612)</f>
        <v>0</v>
      </c>
      <c r="W613" s="29" t="e">
        <f>DATEDIF(DATE(1970,1,1),W612,"D")*86400</f>
        <v>#NUM!</v>
      </c>
      <c r="X613" s="29">
        <f>HOUR(X612)*3600+MINUTE(X612)*60+SECOND(X612)</f>
        <v>0</v>
      </c>
      <c r="Y613" s="31">
        <f>(Y612*B613)</f>
        <v>0</v>
      </c>
      <c r="Z613" s="29">
        <f>Z612</f>
        <v>0</v>
      </c>
      <c r="AA613" s="29" t="e">
        <f>DATEDIF(DATE(1970,1,1),AA612,"D")*86400</f>
        <v>#NUM!</v>
      </c>
      <c r="AB613" s="29">
        <f>HOUR(AB612)*3600+MINUTE(AB612)*60+SECOND(AB612)</f>
        <v>0</v>
      </c>
      <c r="AC613" s="29">
        <f>AC612</f>
        <v>0</v>
      </c>
    </row>
    <row r="614" spans="1:29">
      <c r="A614" s="23">
        <f>Parameters!A308</f>
        <v>0</v>
      </c>
      <c r="B614" s="23">
        <f>Parameters!B308</f>
        <v>0</v>
      </c>
      <c r="C614" s="24">
        <f>Parameters!C308</f>
        <v>0</v>
      </c>
      <c r="D614" s="24">
        <f>Parameters!D308</f>
        <v>0</v>
      </c>
      <c r="E614" s="23">
        <f>Parameters!E308</f>
        <v>0</v>
      </c>
      <c r="F614" s="23">
        <f>Parameters!F308</f>
        <v>0</v>
      </c>
      <c r="G614" s="25">
        <f>Parameters!G308</f>
        <v>0</v>
      </c>
      <c r="H614" s="25">
        <f>Parameters!H308</f>
        <v>0</v>
      </c>
      <c r="I614" s="25">
        <f>Parameters!I308</f>
        <v>0</v>
      </c>
      <c r="J614" s="25">
        <f>Parameters!J308</f>
        <v>0</v>
      </c>
      <c r="K614" s="25">
        <f>Parameters!K308</f>
        <v>0</v>
      </c>
      <c r="L614" s="26" t="e">
        <f t="shared" ref="L614" si="915">L615</f>
        <v>#DIV/0!</v>
      </c>
      <c r="M614" s="25">
        <f>Parameters!L308</f>
        <v>0</v>
      </c>
      <c r="N614" s="25">
        <f>Parameters!M308</f>
        <v>0</v>
      </c>
      <c r="O614" s="26" t="e">
        <f t="shared" ref="O614" si="916">O615</f>
        <v>#DIV/0!</v>
      </c>
      <c r="P614" s="23">
        <f>Parameters!N308</f>
        <v>0</v>
      </c>
      <c r="Q614" s="23">
        <f>Parameters!O308</f>
        <v>0</v>
      </c>
      <c r="R614" s="23">
        <f>Parameters!P308</f>
        <v>0</v>
      </c>
      <c r="S614" s="23">
        <f>Parameters!Q308</f>
        <v>0</v>
      </c>
      <c r="T614" s="23">
        <f>Parameters!R308</f>
        <v>0</v>
      </c>
      <c r="U614" s="27">
        <f>Parameters!S308</f>
        <v>0</v>
      </c>
      <c r="V614" s="28">
        <f>Parameters!T308</f>
        <v>0</v>
      </c>
      <c r="W614" s="27">
        <f>Parameters!U308</f>
        <v>0</v>
      </c>
      <c r="X614" s="28">
        <f>Parameters!V308</f>
        <v>0</v>
      </c>
      <c r="Y614" s="25">
        <f>Parameters!W308</f>
        <v>0</v>
      </c>
      <c r="Z614" s="23">
        <f>Parameters!X308</f>
        <v>0</v>
      </c>
      <c r="AA614" s="27">
        <f>Parameters!Y308</f>
        <v>0</v>
      </c>
      <c r="AB614" s="28">
        <f>Parameters!Z308</f>
        <v>0</v>
      </c>
      <c r="AC614" s="23">
        <f>Parameters!AA308</f>
        <v>0</v>
      </c>
    </row>
    <row r="615" spans="1:29">
      <c r="A615" s="29" t="str">
        <f>UPPER(A614)</f>
        <v>0</v>
      </c>
      <c r="B615" s="29">
        <f>B614</f>
        <v>0</v>
      </c>
      <c r="C615" s="30">
        <f>C614</f>
        <v>0</v>
      </c>
      <c r="D615" s="30">
        <f>D614</f>
        <v>0</v>
      </c>
      <c r="E615" s="29">
        <f>E614</f>
        <v>0</v>
      </c>
      <c r="F615" s="29">
        <f>F614</f>
        <v>0</v>
      </c>
      <c r="G615" s="29" t="e">
        <f>IF(C614=1,IF(D614="BUY",E614+(ROUND(F614*G614/B614,0)*B614),E614-(ROUND(F614*G614/B614,0)*B614)),IF(D614="BUY",E614-(ROUND(F614*G614/B614,0)*B614),E614+(ROUND(F614*G614/B614,0)*B614)))</f>
        <v>#DIV/0!</v>
      </c>
      <c r="H615" s="29" t="e">
        <f>IF(C614=1,IF(D614="BUY",G615-(ROUND(F614*H614/B614,0)*B614),G615+(ROUND(F614*H614/B614,0)*B614)),IF(D614="BUY",G615+(ROUND(F614*H614/B614,0)*B614),G615-(ROUND(F614*H614/B614,0)*B614)))</f>
        <v>#DIV/0!</v>
      </c>
      <c r="I615" s="29" t="e">
        <f>IF(D614="BUY",G615+(ROUND(F614*I614/(B614*100),0)*B614),G615-(ROUND(F614*I614/(B614*100),0)*B614))</f>
        <v>#DIV/0!</v>
      </c>
      <c r="J615" s="29" t="e">
        <f>IF(C614=1,IF(D614="BUY",E614+(ROUND(F614*J614/B614,0)*B614),E614-(ROUND(F614*J614/B614,0)*B614)),IF(D614="BUY",E614-(ROUND(F614*J614/B614,0)*B614),E614+(ROUND(F614*J614/B614,0)*B614)))</f>
        <v>#DIV/0!</v>
      </c>
      <c r="K615" s="29" t="e">
        <f>IF(C614=1,IF(D614="BUY",E614-(ROUND(F614*K614/B614,0)*B614),E614+(ROUND(F614*K614/B614,0)*B614)),IF(D614="BUY",E614-(ROUND(F614*K614/B614,0)*B614),E614+(ROUND(F614*K614/B614,0)*B614)))</f>
        <v>#DIV/0!</v>
      </c>
      <c r="L615" s="29" t="e">
        <f t="shared" ref="L615" si="917">IF(D615="BUY",I615+(R615*B615),I615-(R615*B615))</f>
        <v>#DIV/0!</v>
      </c>
      <c r="M615" s="29" t="e">
        <f>IF(D614="BUY",E614+(ROUND(F614*M614/B614,0)*B614),E614-(ROUND(F614*M614/B614,0)*B614))</f>
        <v>#DIV/0!</v>
      </c>
      <c r="N615" s="29" t="e">
        <f>IF(D614="BUY",E614-(ROUND(F614*N614/B614,0)*B614),E614+(ROUND(F614*N614/B614,0)*B614))</f>
        <v>#DIV/0!</v>
      </c>
      <c r="O615" s="31" t="e">
        <f>IF(D615="BUY",N615-VLOOKUP(A615,Symbols!A$1:D$1000,4,FALSE),N615+VLOOKUP(A615,Symbols!A$1:D$1000,4,FALSE))</f>
        <v>#DIV/0!</v>
      </c>
      <c r="P615" s="29">
        <f>P614</f>
        <v>0</v>
      </c>
      <c r="Q615" s="29">
        <f>Q614</f>
        <v>0</v>
      </c>
      <c r="R615" s="29">
        <f>R614</f>
        <v>0</v>
      </c>
      <c r="S615" s="29">
        <f>S614</f>
        <v>0</v>
      </c>
      <c r="T615" s="29">
        <f>T614</f>
        <v>0</v>
      </c>
      <c r="U615" s="29" t="e">
        <f>DATEDIF(DATE(1970,1,1),U614,"D")*86400</f>
        <v>#NUM!</v>
      </c>
      <c r="V615" s="29">
        <f>HOUR(V614)*3600+MINUTE(V614)*60+SECOND(V614)</f>
        <v>0</v>
      </c>
      <c r="W615" s="29" t="e">
        <f>DATEDIF(DATE(1970,1,1),W614,"D")*86400</f>
        <v>#NUM!</v>
      </c>
      <c r="X615" s="29">
        <f>HOUR(X614)*3600+MINUTE(X614)*60+SECOND(X614)</f>
        <v>0</v>
      </c>
      <c r="Y615" s="31">
        <f>(Y614*B615)</f>
        <v>0</v>
      </c>
      <c r="Z615" s="29">
        <f>Z614</f>
        <v>0</v>
      </c>
      <c r="AA615" s="29" t="e">
        <f>DATEDIF(DATE(1970,1,1),AA614,"D")*86400</f>
        <v>#NUM!</v>
      </c>
      <c r="AB615" s="29">
        <f>HOUR(AB614)*3600+MINUTE(AB614)*60+SECOND(AB614)</f>
        <v>0</v>
      </c>
      <c r="AC615" s="29">
        <f>AC614</f>
        <v>0</v>
      </c>
    </row>
    <row r="616" spans="1:29">
      <c r="A616" s="23">
        <f>Parameters!A309</f>
        <v>0</v>
      </c>
      <c r="B616" s="23">
        <f>Parameters!B309</f>
        <v>0</v>
      </c>
      <c r="C616" s="24">
        <f>Parameters!C309</f>
        <v>0</v>
      </c>
      <c r="D616" s="24">
        <f>Parameters!D309</f>
        <v>0</v>
      </c>
      <c r="E616" s="23">
        <f>Parameters!E309</f>
        <v>0</v>
      </c>
      <c r="F616" s="23">
        <f>Parameters!F309</f>
        <v>0</v>
      </c>
      <c r="G616" s="25">
        <f>Parameters!G309</f>
        <v>0</v>
      </c>
      <c r="H616" s="25">
        <f>Parameters!H309</f>
        <v>0</v>
      </c>
      <c r="I616" s="25">
        <f>Parameters!I309</f>
        <v>0</v>
      </c>
      <c r="J616" s="25">
        <f>Parameters!J309</f>
        <v>0</v>
      </c>
      <c r="K616" s="25">
        <f>Parameters!K309</f>
        <v>0</v>
      </c>
      <c r="L616" s="26" t="e">
        <f t="shared" ref="L616" si="918">L617</f>
        <v>#DIV/0!</v>
      </c>
      <c r="M616" s="25">
        <f>Parameters!L309</f>
        <v>0</v>
      </c>
      <c r="N616" s="25">
        <f>Parameters!M309</f>
        <v>0</v>
      </c>
      <c r="O616" s="26" t="e">
        <f t="shared" ref="O616" si="919">O617</f>
        <v>#DIV/0!</v>
      </c>
      <c r="P616" s="23">
        <f>Parameters!N309</f>
        <v>0</v>
      </c>
      <c r="Q616" s="23">
        <f>Parameters!O309</f>
        <v>0</v>
      </c>
      <c r="R616" s="23">
        <f>Parameters!P309</f>
        <v>0</v>
      </c>
      <c r="S616" s="23">
        <f>Parameters!Q309</f>
        <v>0</v>
      </c>
      <c r="T616" s="23">
        <f>Parameters!R309</f>
        <v>0</v>
      </c>
      <c r="U616" s="27">
        <f>Parameters!S309</f>
        <v>0</v>
      </c>
      <c r="V616" s="28">
        <f>Parameters!T309</f>
        <v>0</v>
      </c>
      <c r="W616" s="27">
        <f>Parameters!U309</f>
        <v>0</v>
      </c>
      <c r="X616" s="28">
        <f>Parameters!V309</f>
        <v>0</v>
      </c>
      <c r="Y616" s="25">
        <f>Parameters!W309</f>
        <v>0</v>
      </c>
      <c r="Z616" s="23">
        <f>Parameters!X309</f>
        <v>0</v>
      </c>
      <c r="AA616" s="27">
        <f>Parameters!Y309</f>
        <v>0</v>
      </c>
      <c r="AB616" s="28">
        <f>Parameters!Z309</f>
        <v>0</v>
      </c>
      <c r="AC616" s="23">
        <f>Parameters!AA309</f>
        <v>0</v>
      </c>
    </row>
    <row r="617" spans="1:29">
      <c r="A617" s="29" t="str">
        <f>UPPER(A616)</f>
        <v>0</v>
      </c>
      <c r="B617" s="29">
        <f>B616</f>
        <v>0</v>
      </c>
      <c r="C617" s="30">
        <f>C616</f>
        <v>0</v>
      </c>
      <c r="D617" s="30">
        <f>D616</f>
        <v>0</v>
      </c>
      <c r="E617" s="29">
        <f>E616</f>
        <v>0</v>
      </c>
      <c r="F617" s="29">
        <f>F616</f>
        <v>0</v>
      </c>
      <c r="G617" s="29" t="e">
        <f>IF(C616=1,IF(D616="BUY",E616+(ROUND(F616*G616/B616,0)*B616),E616-(ROUND(F616*G616/B616,0)*B616)),IF(D616="BUY",E616-(ROUND(F616*G616/B616,0)*B616),E616+(ROUND(F616*G616/B616,0)*B616)))</f>
        <v>#DIV/0!</v>
      </c>
      <c r="H617" s="29" t="e">
        <f>IF(C616=1,IF(D616="BUY",G617-(ROUND(F616*H616/B616,0)*B616),G617+(ROUND(F616*H616/B616,0)*B616)),IF(D616="BUY",G617+(ROUND(F616*H616/B616,0)*B616),G617-(ROUND(F616*H616/B616,0)*B616)))</f>
        <v>#DIV/0!</v>
      </c>
      <c r="I617" s="29" t="e">
        <f>IF(D616="BUY",G617+(ROUND(F616*I616/(B616*100),0)*B616),G617-(ROUND(F616*I616/(B616*100),0)*B616))</f>
        <v>#DIV/0!</v>
      </c>
      <c r="J617" s="29" t="e">
        <f>IF(C616=1,IF(D616="BUY",E616+(ROUND(F616*J616/B616,0)*B616),E616-(ROUND(F616*J616/B616,0)*B616)),IF(D616="BUY",E616-(ROUND(F616*J616/B616,0)*B616),E616+(ROUND(F616*J616/B616,0)*B616)))</f>
        <v>#DIV/0!</v>
      </c>
      <c r="K617" s="29" t="e">
        <f>IF(C616=1,IF(D616="BUY",E616-(ROUND(F616*K616/B616,0)*B616),E616+(ROUND(F616*K616/B616,0)*B616)),IF(D616="BUY",E616-(ROUND(F616*K616/B616,0)*B616),E616+(ROUND(F616*K616/B616,0)*B616)))</f>
        <v>#DIV/0!</v>
      </c>
      <c r="L617" s="29" t="e">
        <f t="shared" ref="L617" si="920">IF(D617="BUY",I617+(R617*B617),I617-(R617*B617))</f>
        <v>#DIV/0!</v>
      </c>
      <c r="M617" s="29" t="e">
        <f>IF(D616="BUY",E616+(ROUND(F616*M616/B616,0)*B616),E616-(ROUND(F616*M616/B616,0)*B616))</f>
        <v>#DIV/0!</v>
      </c>
      <c r="N617" s="29" t="e">
        <f>IF(D616="BUY",E616-(ROUND(F616*N616/B616,0)*B616),E616+(ROUND(F616*N616/B616,0)*B616))</f>
        <v>#DIV/0!</v>
      </c>
      <c r="O617" s="31" t="e">
        <f>IF(D617="BUY",N617-VLOOKUP(A617,Symbols!A$1:D$1000,4,FALSE),N617+VLOOKUP(A617,Symbols!A$1:D$1000,4,FALSE))</f>
        <v>#DIV/0!</v>
      </c>
      <c r="P617" s="29">
        <f>P616</f>
        <v>0</v>
      </c>
      <c r="Q617" s="29">
        <f>Q616</f>
        <v>0</v>
      </c>
      <c r="R617" s="29">
        <f>R616</f>
        <v>0</v>
      </c>
      <c r="S617" s="29">
        <f>S616</f>
        <v>0</v>
      </c>
      <c r="T617" s="29">
        <f>T616</f>
        <v>0</v>
      </c>
      <c r="U617" s="29" t="e">
        <f>DATEDIF(DATE(1970,1,1),U616,"D")*86400</f>
        <v>#NUM!</v>
      </c>
      <c r="V617" s="29">
        <f>HOUR(V616)*3600+MINUTE(V616)*60+SECOND(V616)</f>
        <v>0</v>
      </c>
      <c r="W617" s="29" t="e">
        <f>DATEDIF(DATE(1970,1,1),W616,"D")*86400</f>
        <v>#NUM!</v>
      </c>
      <c r="X617" s="29">
        <f>HOUR(X616)*3600+MINUTE(X616)*60+SECOND(X616)</f>
        <v>0</v>
      </c>
      <c r="Y617" s="31">
        <f>(Y616*B617)</f>
        <v>0</v>
      </c>
      <c r="Z617" s="29">
        <f>Z616</f>
        <v>0</v>
      </c>
      <c r="AA617" s="29" t="e">
        <f>DATEDIF(DATE(1970,1,1),AA616,"D")*86400</f>
        <v>#NUM!</v>
      </c>
      <c r="AB617" s="29">
        <f>HOUR(AB616)*3600+MINUTE(AB616)*60+SECOND(AB616)</f>
        <v>0</v>
      </c>
      <c r="AC617" s="29">
        <f>AC616</f>
        <v>0</v>
      </c>
    </row>
    <row r="618" spans="1:29">
      <c r="A618" s="23">
        <f>Parameters!A310</f>
        <v>0</v>
      </c>
      <c r="B618" s="23">
        <f>Parameters!B310</f>
        <v>0</v>
      </c>
      <c r="C618" s="24">
        <f>Parameters!C310</f>
        <v>0</v>
      </c>
      <c r="D618" s="24">
        <f>Parameters!D310</f>
        <v>0</v>
      </c>
      <c r="E618" s="23">
        <f>Parameters!E310</f>
        <v>0</v>
      </c>
      <c r="F618" s="23">
        <f>Parameters!F310</f>
        <v>0</v>
      </c>
      <c r="G618" s="25">
        <f>Parameters!G310</f>
        <v>0</v>
      </c>
      <c r="H618" s="25">
        <f>Parameters!H310</f>
        <v>0</v>
      </c>
      <c r="I618" s="25">
        <f>Parameters!I310</f>
        <v>0</v>
      </c>
      <c r="J618" s="25">
        <f>Parameters!J310</f>
        <v>0</v>
      </c>
      <c r="K618" s="25">
        <f>Parameters!K310</f>
        <v>0</v>
      </c>
      <c r="L618" s="26" t="e">
        <f t="shared" ref="L618" si="921">L619</f>
        <v>#DIV/0!</v>
      </c>
      <c r="M618" s="25">
        <f>Parameters!L310</f>
        <v>0</v>
      </c>
      <c r="N618" s="25">
        <f>Parameters!M310</f>
        <v>0</v>
      </c>
      <c r="O618" s="26" t="e">
        <f t="shared" ref="O618" si="922">O619</f>
        <v>#DIV/0!</v>
      </c>
      <c r="P618" s="23">
        <f>Parameters!N310</f>
        <v>0</v>
      </c>
      <c r="Q618" s="23">
        <f>Parameters!O310</f>
        <v>0</v>
      </c>
      <c r="R618" s="23">
        <f>Parameters!P310</f>
        <v>0</v>
      </c>
      <c r="S618" s="23">
        <f>Parameters!Q310</f>
        <v>0</v>
      </c>
      <c r="T618" s="23">
        <f>Parameters!R310</f>
        <v>0</v>
      </c>
      <c r="U618" s="27">
        <f>Parameters!S310</f>
        <v>0</v>
      </c>
      <c r="V618" s="28">
        <f>Parameters!T310</f>
        <v>0</v>
      </c>
      <c r="W618" s="27">
        <f>Parameters!U310</f>
        <v>0</v>
      </c>
      <c r="X618" s="28">
        <f>Parameters!V310</f>
        <v>0</v>
      </c>
      <c r="Y618" s="25">
        <f>Parameters!W310</f>
        <v>0</v>
      </c>
      <c r="Z618" s="23">
        <f>Parameters!X310</f>
        <v>0</v>
      </c>
      <c r="AA618" s="27">
        <f>Parameters!Y310</f>
        <v>0</v>
      </c>
      <c r="AB618" s="28">
        <f>Parameters!Z310</f>
        <v>0</v>
      </c>
      <c r="AC618" s="23">
        <f>Parameters!AA310</f>
        <v>0</v>
      </c>
    </row>
    <row r="619" spans="1:29">
      <c r="A619" s="29" t="str">
        <f>UPPER(A618)</f>
        <v>0</v>
      </c>
      <c r="B619" s="29">
        <f>B618</f>
        <v>0</v>
      </c>
      <c r="C619" s="30">
        <f>C618</f>
        <v>0</v>
      </c>
      <c r="D619" s="30">
        <f>D618</f>
        <v>0</v>
      </c>
      <c r="E619" s="29">
        <f>E618</f>
        <v>0</v>
      </c>
      <c r="F619" s="29">
        <f>F618</f>
        <v>0</v>
      </c>
      <c r="G619" s="29" t="e">
        <f>IF(C618=1,IF(D618="BUY",E618+(ROUND(F618*G618/B618,0)*B618),E618-(ROUND(F618*G618/B618,0)*B618)),IF(D618="BUY",E618-(ROUND(F618*G618/B618,0)*B618),E618+(ROUND(F618*G618/B618,0)*B618)))</f>
        <v>#DIV/0!</v>
      </c>
      <c r="H619" s="29" t="e">
        <f>IF(C618=1,IF(D618="BUY",G619-(ROUND(F618*H618/B618,0)*B618),G619+(ROUND(F618*H618/B618,0)*B618)),IF(D618="BUY",G619+(ROUND(F618*H618/B618,0)*B618),G619-(ROUND(F618*H618/B618,0)*B618)))</f>
        <v>#DIV/0!</v>
      </c>
      <c r="I619" s="29" t="e">
        <f>IF(D618="BUY",G619+(ROUND(F618*I618/(B618*100),0)*B618),G619-(ROUND(F618*I618/(B618*100),0)*B618))</f>
        <v>#DIV/0!</v>
      </c>
      <c r="J619" s="29" t="e">
        <f>IF(C618=1,IF(D618="BUY",E618+(ROUND(F618*J618/B618,0)*B618),E618-(ROUND(F618*J618/B618,0)*B618)),IF(D618="BUY",E618-(ROUND(F618*J618/B618,0)*B618),E618+(ROUND(F618*J618/B618,0)*B618)))</f>
        <v>#DIV/0!</v>
      </c>
      <c r="K619" s="29" t="e">
        <f>IF(C618=1,IF(D618="BUY",E618-(ROUND(F618*K618/B618,0)*B618),E618+(ROUND(F618*K618/B618,0)*B618)),IF(D618="BUY",E618-(ROUND(F618*K618/B618,0)*B618),E618+(ROUND(F618*K618/B618,0)*B618)))</f>
        <v>#DIV/0!</v>
      </c>
      <c r="L619" s="29" t="e">
        <f t="shared" ref="L619" si="923">IF(D619="BUY",I619+(R619*B619),I619-(R619*B619))</f>
        <v>#DIV/0!</v>
      </c>
      <c r="M619" s="29" t="e">
        <f>IF(D618="BUY",E618+(ROUND(F618*M618/B618,0)*B618),E618-(ROUND(F618*M618/B618,0)*B618))</f>
        <v>#DIV/0!</v>
      </c>
      <c r="N619" s="29" t="e">
        <f>IF(D618="BUY",E618-(ROUND(F618*N618/B618,0)*B618),E618+(ROUND(F618*N618/B618,0)*B618))</f>
        <v>#DIV/0!</v>
      </c>
      <c r="O619" s="31" t="e">
        <f>IF(D619="BUY",N619-VLOOKUP(A619,Symbols!A$1:D$1000,4,FALSE),N619+VLOOKUP(A619,Symbols!A$1:D$1000,4,FALSE))</f>
        <v>#DIV/0!</v>
      </c>
      <c r="P619" s="29">
        <f>P618</f>
        <v>0</v>
      </c>
      <c r="Q619" s="29">
        <f>Q618</f>
        <v>0</v>
      </c>
      <c r="R619" s="29">
        <f>R618</f>
        <v>0</v>
      </c>
      <c r="S619" s="29">
        <f>S618</f>
        <v>0</v>
      </c>
      <c r="T619" s="29">
        <f>T618</f>
        <v>0</v>
      </c>
      <c r="U619" s="29" t="e">
        <f>DATEDIF(DATE(1970,1,1),U618,"D")*86400</f>
        <v>#NUM!</v>
      </c>
      <c r="V619" s="29">
        <f>HOUR(V618)*3600+MINUTE(V618)*60+SECOND(V618)</f>
        <v>0</v>
      </c>
      <c r="W619" s="29" t="e">
        <f>DATEDIF(DATE(1970,1,1),W618,"D")*86400</f>
        <v>#NUM!</v>
      </c>
      <c r="X619" s="29">
        <f>HOUR(X618)*3600+MINUTE(X618)*60+SECOND(X618)</f>
        <v>0</v>
      </c>
      <c r="Y619" s="31">
        <f>(Y618*B619)</f>
        <v>0</v>
      </c>
      <c r="Z619" s="29">
        <f>Z618</f>
        <v>0</v>
      </c>
      <c r="AA619" s="29" t="e">
        <f>DATEDIF(DATE(1970,1,1),AA618,"D")*86400</f>
        <v>#NUM!</v>
      </c>
      <c r="AB619" s="29">
        <f>HOUR(AB618)*3600+MINUTE(AB618)*60+SECOND(AB618)</f>
        <v>0</v>
      </c>
      <c r="AC619" s="29">
        <f>AC618</f>
        <v>0</v>
      </c>
    </row>
    <row r="620" spans="1:29">
      <c r="A620" s="23">
        <f>Parameters!A311</f>
        <v>0</v>
      </c>
      <c r="B620" s="23">
        <f>Parameters!B311</f>
        <v>0</v>
      </c>
      <c r="C620" s="24">
        <f>Parameters!C311</f>
        <v>0</v>
      </c>
      <c r="D620" s="24">
        <f>Parameters!D311</f>
        <v>0</v>
      </c>
      <c r="E620" s="23">
        <f>Parameters!E311</f>
        <v>0</v>
      </c>
      <c r="F620" s="23">
        <f>Parameters!F311</f>
        <v>0</v>
      </c>
      <c r="G620" s="25">
        <f>Parameters!G311</f>
        <v>0</v>
      </c>
      <c r="H620" s="25">
        <f>Parameters!H311</f>
        <v>0</v>
      </c>
      <c r="I620" s="25">
        <f>Parameters!I311</f>
        <v>0</v>
      </c>
      <c r="J620" s="25">
        <f>Parameters!J311</f>
        <v>0</v>
      </c>
      <c r="K620" s="25">
        <f>Parameters!K311</f>
        <v>0</v>
      </c>
      <c r="L620" s="26" t="e">
        <f t="shared" ref="L620" si="924">L621</f>
        <v>#DIV/0!</v>
      </c>
      <c r="M620" s="25">
        <f>Parameters!L311</f>
        <v>0</v>
      </c>
      <c r="N620" s="25">
        <f>Parameters!M311</f>
        <v>0</v>
      </c>
      <c r="O620" s="26" t="e">
        <f t="shared" ref="O620" si="925">O621</f>
        <v>#DIV/0!</v>
      </c>
      <c r="P620" s="23">
        <f>Parameters!N311</f>
        <v>0</v>
      </c>
      <c r="Q620" s="23">
        <f>Parameters!O311</f>
        <v>0</v>
      </c>
      <c r="R620" s="23">
        <f>Parameters!P311</f>
        <v>0</v>
      </c>
      <c r="S620" s="23">
        <f>Parameters!Q311</f>
        <v>0</v>
      </c>
      <c r="T620" s="23">
        <f>Parameters!R311</f>
        <v>0</v>
      </c>
      <c r="U620" s="27">
        <f>Parameters!S311</f>
        <v>0</v>
      </c>
      <c r="V620" s="28">
        <f>Parameters!T311</f>
        <v>0</v>
      </c>
      <c r="W620" s="27">
        <f>Parameters!U311</f>
        <v>0</v>
      </c>
      <c r="X620" s="28">
        <f>Parameters!V311</f>
        <v>0</v>
      </c>
      <c r="Y620" s="25">
        <f>Parameters!W311</f>
        <v>0</v>
      </c>
      <c r="Z620" s="23">
        <f>Parameters!X311</f>
        <v>0</v>
      </c>
      <c r="AA620" s="27">
        <f>Parameters!Y311</f>
        <v>0</v>
      </c>
      <c r="AB620" s="28">
        <f>Parameters!Z311</f>
        <v>0</v>
      </c>
      <c r="AC620" s="23">
        <f>Parameters!AA311</f>
        <v>0</v>
      </c>
    </row>
    <row r="621" spans="1:29">
      <c r="A621" s="29" t="str">
        <f>UPPER(A620)</f>
        <v>0</v>
      </c>
      <c r="B621" s="29">
        <f>B620</f>
        <v>0</v>
      </c>
      <c r="C621" s="30">
        <f>C620</f>
        <v>0</v>
      </c>
      <c r="D621" s="30">
        <f>D620</f>
        <v>0</v>
      </c>
      <c r="E621" s="29">
        <f>E620</f>
        <v>0</v>
      </c>
      <c r="F621" s="29">
        <f>F620</f>
        <v>0</v>
      </c>
      <c r="G621" s="29" t="e">
        <f>IF(C620=1,IF(D620="BUY",E620+(ROUND(F620*G620/B620,0)*B620),E620-(ROUND(F620*G620/B620,0)*B620)),IF(D620="BUY",E620-(ROUND(F620*G620/B620,0)*B620),E620+(ROUND(F620*G620/B620,0)*B620)))</f>
        <v>#DIV/0!</v>
      </c>
      <c r="H621" s="29" t="e">
        <f>IF(C620=1,IF(D620="BUY",G621-(ROUND(F620*H620/B620,0)*B620),G621+(ROUND(F620*H620/B620,0)*B620)),IF(D620="BUY",G621+(ROUND(F620*H620/B620,0)*B620),G621-(ROUND(F620*H620/B620,0)*B620)))</f>
        <v>#DIV/0!</v>
      </c>
      <c r="I621" s="29" t="e">
        <f>IF(D620="BUY",G621+(ROUND(F620*I620/(B620*100),0)*B620),G621-(ROUND(F620*I620/(B620*100),0)*B620))</f>
        <v>#DIV/0!</v>
      </c>
      <c r="J621" s="29" t="e">
        <f>IF(C620=1,IF(D620="BUY",E620+(ROUND(F620*J620/B620,0)*B620),E620-(ROUND(F620*J620/B620,0)*B620)),IF(D620="BUY",E620-(ROUND(F620*J620/B620,0)*B620),E620+(ROUND(F620*J620/B620,0)*B620)))</f>
        <v>#DIV/0!</v>
      </c>
      <c r="K621" s="29" t="e">
        <f>IF(C620=1,IF(D620="BUY",E620-(ROUND(F620*K620/B620,0)*B620),E620+(ROUND(F620*K620/B620,0)*B620)),IF(D620="BUY",E620-(ROUND(F620*K620/B620,0)*B620),E620+(ROUND(F620*K620/B620,0)*B620)))</f>
        <v>#DIV/0!</v>
      </c>
      <c r="L621" s="29" t="e">
        <f t="shared" ref="L621" si="926">IF(D621="BUY",I621+(R621*B621),I621-(R621*B621))</f>
        <v>#DIV/0!</v>
      </c>
      <c r="M621" s="29" t="e">
        <f>IF(D620="BUY",E620+(ROUND(F620*M620/B620,0)*B620),E620-(ROUND(F620*M620/B620,0)*B620))</f>
        <v>#DIV/0!</v>
      </c>
      <c r="N621" s="29" t="e">
        <f>IF(D620="BUY",E620-(ROUND(F620*N620/B620,0)*B620),E620+(ROUND(F620*N620/B620,0)*B620))</f>
        <v>#DIV/0!</v>
      </c>
      <c r="O621" s="31" t="e">
        <f>IF(D621="BUY",N621-VLOOKUP(A621,Symbols!A$1:D$1000,4,FALSE),N621+VLOOKUP(A621,Symbols!A$1:D$1000,4,FALSE))</f>
        <v>#DIV/0!</v>
      </c>
      <c r="P621" s="29">
        <f>P620</f>
        <v>0</v>
      </c>
      <c r="Q621" s="29">
        <f>Q620</f>
        <v>0</v>
      </c>
      <c r="R621" s="29">
        <f>R620</f>
        <v>0</v>
      </c>
      <c r="S621" s="29">
        <f>S620</f>
        <v>0</v>
      </c>
      <c r="T621" s="29">
        <f>T620</f>
        <v>0</v>
      </c>
      <c r="U621" s="29" t="e">
        <f>DATEDIF(DATE(1970,1,1),U620,"D")*86400</f>
        <v>#NUM!</v>
      </c>
      <c r="V621" s="29">
        <f>HOUR(V620)*3600+MINUTE(V620)*60+SECOND(V620)</f>
        <v>0</v>
      </c>
      <c r="W621" s="29" t="e">
        <f>DATEDIF(DATE(1970,1,1),W620,"D")*86400</f>
        <v>#NUM!</v>
      </c>
      <c r="X621" s="29">
        <f>HOUR(X620)*3600+MINUTE(X620)*60+SECOND(X620)</f>
        <v>0</v>
      </c>
      <c r="Y621" s="31">
        <f>(Y620*B621)</f>
        <v>0</v>
      </c>
      <c r="Z621" s="29">
        <f>Z620</f>
        <v>0</v>
      </c>
      <c r="AA621" s="29" t="e">
        <f>DATEDIF(DATE(1970,1,1),AA620,"D")*86400</f>
        <v>#NUM!</v>
      </c>
      <c r="AB621" s="29">
        <f>HOUR(AB620)*3600+MINUTE(AB620)*60+SECOND(AB620)</f>
        <v>0</v>
      </c>
      <c r="AC621" s="29">
        <f>AC620</f>
        <v>0</v>
      </c>
    </row>
    <row r="622" spans="1:29">
      <c r="A622" s="23">
        <f>Parameters!A312</f>
        <v>0</v>
      </c>
      <c r="B622" s="23">
        <f>Parameters!B312</f>
        <v>0</v>
      </c>
      <c r="C622" s="24">
        <f>Parameters!C312</f>
        <v>0</v>
      </c>
      <c r="D622" s="24">
        <f>Parameters!D312</f>
        <v>0</v>
      </c>
      <c r="E622" s="23">
        <f>Parameters!E312</f>
        <v>0</v>
      </c>
      <c r="F622" s="23">
        <f>Parameters!F312</f>
        <v>0</v>
      </c>
      <c r="G622" s="25">
        <f>Parameters!G312</f>
        <v>0</v>
      </c>
      <c r="H622" s="25">
        <f>Parameters!H312</f>
        <v>0</v>
      </c>
      <c r="I622" s="25">
        <f>Parameters!I312</f>
        <v>0</v>
      </c>
      <c r="J622" s="25">
        <f>Parameters!J312</f>
        <v>0</v>
      </c>
      <c r="K622" s="25">
        <f>Parameters!K312</f>
        <v>0</v>
      </c>
      <c r="L622" s="26" t="e">
        <f t="shared" ref="L622" si="927">L623</f>
        <v>#DIV/0!</v>
      </c>
      <c r="M622" s="25">
        <f>Parameters!L312</f>
        <v>0</v>
      </c>
      <c r="N622" s="25">
        <f>Parameters!M312</f>
        <v>0</v>
      </c>
      <c r="O622" s="26" t="e">
        <f t="shared" ref="O622" si="928">O623</f>
        <v>#DIV/0!</v>
      </c>
      <c r="P622" s="23">
        <f>Parameters!N312</f>
        <v>0</v>
      </c>
      <c r="Q622" s="23">
        <f>Parameters!O312</f>
        <v>0</v>
      </c>
      <c r="R622" s="23">
        <f>Parameters!P312</f>
        <v>0</v>
      </c>
      <c r="S622" s="23">
        <f>Parameters!Q312</f>
        <v>0</v>
      </c>
      <c r="T622" s="23">
        <f>Parameters!R312</f>
        <v>0</v>
      </c>
      <c r="U622" s="27">
        <f>Parameters!S312</f>
        <v>0</v>
      </c>
      <c r="V622" s="28">
        <f>Parameters!T312</f>
        <v>0</v>
      </c>
      <c r="W622" s="27">
        <f>Parameters!U312</f>
        <v>0</v>
      </c>
      <c r="X622" s="28">
        <f>Parameters!V312</f>
        <v>0</v>
      </c>
      <c r="Y622" s="25">
        <f>Parameters!W312</f>
        <v>0</v>
      </c>
      <c r="Z622" s="23">
        <f>Parameters!X312</f>
        <v>0</v>
      </c>
      <c r="AA622" s="27">
        <f>Parameters!Y312</f>
        <v>0</v>
      </c>
      <c r="AB622" s="28">
        <f>Parameters!Z312</f>
        <v>0</v>
      </c>
      <c r="AC622" s="23">
        <f>Parameters!AA312</f>
        <v>0</v>
      </c>
    </row>
    <row r="623" spans="1:29">
      <c r="A623" s="29" t="str">
        <f>UPPER(A622)</f>
        <v>0</v>
      </c>
      <c r="B623" s="29">
        <f>B622</f>
        <v>0</v>
      </c>
      <c r="C623" s="30">
        <f>C622</f>
        <v>0</v>
      </c>
      <c r="D623" s="30">
        <f>D622</f>
        <v>0</v>
      </c>
      <c r="E623" s="29">
        <f>E622</f>
        <v>0</v>
      </c>
      <c r="F623" s="29">
        <f>F622</f>
        <v>0</v>
      </c>
      <c r="G623" s="29" t="e">
        <f>IF(C622=1,IF(D622="BUY",E622+(ROUND(F622*G622/B622,0)*B622),E622-(ROUND(F622*G622/B622,0)*B622)),IF(D622="BUY",E622-(ROUND(F622*G622/B622,0)*B622),E622+(ROUND(F622*G622/B622,0)*B622)))</f>
        <v>#DIV/0!</v>
      </c>
      <c r="H623" s="29" t="e">
        <f>IF(C622=1,IF(D622="BUY",G623-(ROUND(F622*H622/B622,0)*B622),G623+(ROUND(F622*H622/B622,0)*B622)),IF(D622="BUY",G623+(ROUND(F622*H622/B622,0)*B622),G623-(ROUND(F622*H622/B622,0)*B622)))</f>
        <v>#DIV/0!</v>
      </c>
      <c r="I623" s="29" t="e">
        <f>IF(D622="BUY",G623+(ROUND(F622*I622/(B622*100),0)*B622),G623-(ROUND(F622*I622/(B622*100),0)*B622))</f>
        <v>#DIV/0!</v>
      </c>
      <c r="J623" s="29" t="e">
        <f>IF(C622=1,IF(D622="BUY",E622+(ROUND(F622*J622/B622,0)*B622),E622-(ROUND(F622*J622/B622,0)*B622)),IF(D622="BUY",E622-(ROUND(F622*J622/B622,0)*B622),E622+(ROUND(F622*J622/B622,0)*B622)))</f>
        <v>#DIV/0!</v>
      </c>
      <c r="K623" s="29" t="e">
        <f>IF(C622=1,IF(D622="BUY",E622-(ROUND(F622*K622/B622,0)*B622),E622+(ROUND(F622*K622/B622,0)*B622)),IF(D622="BUY",E622-(ROUND(F622*K622/B622,0)*B622),E622+(ROUND(F622*K622/B622,0)*B622)))</f>
        <v>#DIV/0!</v>
      </c>
      <c r="L623" s="29" t="e">
        <f t="shared" ref="L623" si="929">IF(D623="BUY",I623+(R623*B623),I623-(R623*B623))</f>
        <v>#DIV/0!</v>
      </c>
      <c r="M623" s="29" t="e">
        <f>IF(D622="BUY",E622+(ROUND(F622*M622/B622,0)*B622),E622-(ROUND(F622*M622/B622,0)*B622))</f>
        <v>#DIV/0!</v>
      </c>
      <c r="N623" s="29" t="e">
        <f>IF(D622="BUY",E622-(ROUND(F622*N622/B622,0)*B622),E622+(ROUND(F622*N622/B622,0)*B622))</f>
        <v>#DIV/0!</v>
      </c>
      <c r="O623" s="31" t="e">
        <f>IF(D623="BUY",N623-VLOOKUP(A623,Symbols!A$1:D$1000,4,FALSE),N623+VLOOKUP(A623,Symbols!A$1:D$1000,4,FALSE))</f>
        <v>#DIV/0!</v>
      </c>
      <c r="P623" s="29">
        <f>P622</f>
        <v>0</v>
      </c>
      <c r="Q623" s="29">
        <f>Q622</f>
        <v>0</v>
      </c>
      <c r="R623" s="29">
        <f>R622</f>
        <v>0</v>
      </c>
      <c r="S623" s="29">
        <f>S622</f>
        <v>0</v>
      </c>
      <c r="T623" s="29">
        <f>T622</f>
        <v>0</v>
      </c>
      <c r="U623" s="29" t="e">
        <f>DATEDIF(DATE(1970,1,1),U622,"D")*86400</f>
        <v>#NUM!</v>
      </c>
      <c r="V623" s="29">
        <f>HOUR(V622)*3600+MINUTE(V622)*60+SECOND(V622)</f>
        <v>0</v>
      </c>
      <c r="W623" s="29" t="e">
        <f>DATEDIF(DATE(1970,1,1),W622,"D")*86400</f>
        <v>#NUM!</v>
      </c>
      <c r="X623" s="29">
        <f>HOUR(X622)*3600+MINUTE(X622)*60+SECOND(X622)</f>
        <v>0</v>
      </c>
      <c r="Y623" s="31">
        <f>(Y622*B623)</f>
        <v>0</v>
      </c>
      <c r="Z623" s="29">
        <f>Z622</f>
        <v>0</v>
      </c>
      <c r="AA623" s="29" t="e">
        <f>DATEDIF(DATE(1970,1,1),AA622,"D")*86400</f>
        <v>#NUM!</v>
      </c>
      <c r="AB623" s="29">
        <f>HOUR(AB622)*3600+MINUTE(AB622)*60+SECOND(AB622)</f>
        <v>0</v>
      </c>
      <c r="AC623" s="29">
        <f>AC622</f>
        <v>0</v>
      </c>
    </row>
    <row r="624" spans="1:29">
      <c r="A624" s="23">
        <f>Parameters!A313</f>
        <v>0</v>
      </c>
      <c r="B624" s="23">
        <f>Parameters!B313</f>
        <v>0</v>
      </c>
      <c r="C624" s="24">
        <f>Parameters!C313</f>
        <v>0</v>
      </c>
      <c r="D624" s="24">
        <f>Parameters!D313</f>
        <v>0</v>
      </c>
      <c r="E624" s="23">
        <f>Parameters!E313</f>
        <v>0</v>
      </c>
      <c r="F624" s="23">
        <f>Parameters!F313</f>
        <v>0</v>
      </c>
      <c r="G624" s="25">
        <f>Parameters!G313</f>
        <v>0</v>
      </c>
      <c r="H624" s="25">
        <f>Parameters!H313</f>
        <v>0</v>
      </c>
      <c r="I624" s="25">
        <f>Parameters!I313</f>
        <v>0</v>
      </c>
      <c r="J624" s="25">
        <f>Parameters!J313</f>
        <v>0</v>
      </c>
      <c r="K624" s="25">
        <f>Parameters!K313</f>
        <v>0</v>
      </c>
      <c r="L624" s="26" t="e">
        <f t="shared" ref="L624" si="930">L625</f>
        <v>#DIV/0!</v>
      </c>
      <c r="M624" s="25">
        <f>Parameters!L313</f>
        <v>0</v>
      </c>
      <c r="N624" s="25">
        <f>Parameters!M313</f>
        <v>0</v>
      </c>
      <c r="O624" s="26" t="e">
        <f t="shared" ref="O624" si="931">O625</f>
        <v>#DIV/0!</v>
      </c>
      <c r="P624" s="23">
        <f>Parameters!N313</f>
        <v>0</v>
      </c>
      <c r="Q624" s="23">
        <f>Parameters!O313</f>
        <v>0</v>
      </c>
      <c r="R624" s="23">
        <f>Parameters!P313</f>
        <v>0</v>
      </c>
      <c r="S624" s="23">
        <f>Parameters!Q313</f>
        <v>0</v>
      </c>
      <c r="T624" s="23">
        <f>Parameters!R313</f>
        <v>0</v>
      </c>
      <c r="U624" s="27">
        <f>Parameters!S313</f>
        <v>0</v>
      </c>
      <c r="V624" s="28">
        <f>Parameters!T313</f>
        <v>0</v>
      </c>
      <c r="W624" s="27">
        <f>Parameters!U313</f>
        <v>0</v>
      </c>
      <c r="X624" s="28">
        <f>Parameters!V313</f>
        <v>0</v>
      </c>
      <c r="Y624" s="25">
        <f>Parameters!W313</f>
        <v>0</v>
      </c>
      <c r="Z624" s="23">
        <f>Parameters!X313</f>
        <v>0</v>
      </c>
      <c r="AA624" s="27">
        <f>Parameters!Y313</f>
        <v>0</v>
      </c>
      <c r="AB624" s="28">
        <f>Parameters!Z313</f>
        <v>0</v>
      </c>
      <c r="AC624" s="23">
        <f>Parameters!AA313</f>
        <v>0</v>
      </c>
    </row>
    <row r="625" spans="1:29">
      <c r="A625" s="29" t="str">
        <f>UPPER(A624)</f>
        <v>0</v>
      </c>
      <c r="B625" s="29">
        <f>B624</f>
        <v>0</v>
      </c>
      <c r="C625" s="30">
        <f>C624</f>
        <v>0</v>
      </c>
      <c r="D625" s="30">
        <f>D624</f>
        <v>0</v>
      </c>
      <c r="E625" s="29">
        <f>E624</f>
        <v>0</v>
      </c>
      <c r="F625" s="29">
        <f>F624</f>
        <v>0</v>
      </c>
      <c r="G625" s="29" t="e">
        <f>IF(C624=1,IF(D624="BUY",E624+(ROUND(F624*G624/B624,0)*B624),E624-(ROUND(F624*G624/B624,0)*B624)),IF(D624="BUY",E624-(ROUND(F624*G624/B624,0)*B624),E624+(ROUND(F624*G624/B624,0)*B624)))</f>
        <v>#DIV/0!</v>
      </c>
      <c r="H625" s="29" t="e">
        <f>IF(C624=1,IF(D624="BUY",G625-(ROUND(F624*H624/B624,0)*B624),G625+(ROUND(F624*H624/B624,0)*B624)),IF(D624="BUY",G625+(ROUND(F624*H624/B624,0)*B624),G625-(ROUND(F624*H624/B624,0)*B624)))</f>
        <v>#DIV/0!</v>
      </c>
      <c r="I625" s="29" t="e">
        <f>IF(D624="BUY",G625+(ROUND(F624*I624/(B624*100),0)*B624),G625-(ROUND(F624*I624/(B624*100),0)*B624))</f>
        <v>#DIV/0!</v>
      </c>
      <c r="J625" s="29" t="e">
        <f>IF(C624=1,IF(D624="BUY",E624+(ROUND(F624*J624/B624,0)*B624),E624-(ROUND(F624*J624/B624,0)*B624)),IF(D624="BUY",E624-(ROUND(F624*J624/B624,0)*B624),E624+(ROUND(F624*J624/B624,0)*B624)))</f>
        <v>#DIV/0!</v>
      </c>
      <c r="K625" s="29" t="e">
        <f>IF(C624=1,IF(D624="BUY",E624-(ROUND(F624*K624/B624,0)*B624),E624+(ROUND(F624*K624/B624,0)*B624)),IF(D624="BUY",E624-(ROUND(F624*K624/B624,0)*B624),E624+(ROUND(F624*K624/B624,0)*B624)))</f>
        <v>#DIV/0!</v>
      </c>
      <c r="L625" s="29" t="e">
        <f t="shared" ref="L625" si="932">IF(D625="BUY",I625+(R625*B625),I625-(R625*B625))</f>
        <v>#DIV/0!</v>
      </c>
      <c r="M625" s="29" t="e">
        <f>IF(D624="BUY",E624+(ROUND(F624*M624/B624,0)*B624),E624-(ROUND(F624*M624/B624,0)*B624))</f>
        <v>#DIV/0!</v>
      </c>
      <c r="N625" s="29" t="e">
        <f>IF(D624="BUY",E624-(ROUND(F624*N624/B624,0)*B624),E624+(ROUND(F624*N624/B624,0)*B624))</f>
        <v>#DIV/0!</v>
      </c>
      <c r="O625" s="31" t="e">
        <f>IF(D625="BUY",N625-VLOOKUP(A625,Symbols!A$1:D$1000,4,FALSE),N625+VLOOKUP(A625,Symbols!A$1:D$1000,4,FALSE))</f>
        <v>#DIV/0!</v>
      </c>
      <c r="P625" s="29">
        <f>P624</f>
        <v>0</v>
      </c>
      <c r="Q625" s="29">
        <f>Q624</f>
        <v>0</v>
      </c>
      <c r="R625" s="29">
        <f>R624</f>
        <v>0</v>
      </c>
      <c r="S625" s="29">
        <f>S624</f>
        <v>0</v>
      </c>
      <c r="T625" s="29">
        <f>T624</f>
        <v>0</v>
      </c>
      <c r="U625" s="29" t="e">
        <f>DATEDIF(DATE(1970,1,1),U624,"D")*86400</f>
        <v>#NUM!</v>
      </c>
      <c r="V625" s="29">
        <f>HOUR(V624)*3600+MINUTE(V624)*60+SECOND(V624)</f>
        <v>0</v>
      </c>
      <c r="W625" s="29" t="e">
        <f>DATEDIF(DATE(1970,1,1),W624,"D")*86400</f>
        <v>#NUM!</v>
      </c>
      <c r="X625" s="29">
        <f>HOUR(X624)*3600+MINUTE(X624)*60+SECOND(X624)</f>
        <v>0</v>
      </c>
      <c r="Y625" s="31">
        <f>(Y624*B625)</f>
        <v>0</v>
      </c>
      <c r="Z625" s="29">
        <f>Z624</f>
        <v>0</v>
      </c>
      <c r="AA625" s="29" t="e">
        <f>DATEDIF(DATE(1970,1,1),AA624,"D")*86400</f>
        <v>#NUM!</v>
      </c>
      <c r="AB625" s="29">
        <f>HOUR(AB624)*3600+MINUTE(AB624)*60+SECOND(AB624)</f>
        <v>0</v>
      </c>
      <c r="AC625" s="29">
        <f>AC624</f>
        <v>0</v>
      </c>
    </row>
    <row r="626" spans="1:29">
      <c r="A626" s="23">
        <f>Parameters!A314</f>
        <v>0</v>
      </c>
      <c r="B626" s="23">
        <f>Parameters!B314</f>
        <v>0</v>
      </c>
      <c r="C626" s="24">
        <f>Parameters!C314</f>
        <v>0</v>
      </c>
      <c r="D626" s="24">
        <f>Parameters!D314</f>
        <v>0</v>
      </c>
      <c r="E626" s="23">
        <f>Parameters!E314</f>
        <v>0</v>
      </c>
      <c r="F626" s="23">
        <f>Parameters!F314</f>
        <v>0</v>
      </c>
      <c r="G626" s="25">
        <f>Parameters!G314</f>
        <v>0</v>
      </c>
      <c r="H626" s="25">
        <f>Parameters!H314</f>
        <v>0</v>
      </c>
      <c r="I626" s="25">
        <f>Parameters!I314</f>
        <v>0</v>
      </c>
      <c r="J626" s="25">
        <f>Parameters!J314</f>
        <v>0</v>
      </c>
      <c r="K626" s="25">
        <f>Parameters!K314</f>
        <v>0</v>
      </c>
      <c r="L626" s="26" t="e">
        <f t="shared" ref="L626" si="933">L627</f>
        <v>#DIV/0!</v>
      </c>
      <c r="M626" s="25">
        <f>Parameters!L314</f>
        <v>0</v>
      </c>
      <c r="N626" s="25">
        <f>Parameters!M314</f>
        <v>0</v>
      </c>
      <c r="O626" s="26" t="e">
        <f t="shared" ref="O626" si="934">O627</f>
        <v>#DIV/0!</v>
      </c>
      <c r="P626" s="23">
        <f>Parameters!N314</f>
        <v>0</v>
      </c>
      <c r="Q626" s="23">
        <f>Parameters!O314</f>
        <v>0</v>
      </c>
      <c r="R626" s="23">
        <f>Parameters!P314</f>
        <v>0</v>
      </c>
      <c r="S626" s="23">
        <f>Parameters!Q314</f>
        <v>0</v>
      </c>
      <c r="T626" s="23">
        <f>Parameters!R314</f>
        <v>0</v>
      </c>
      <c r="U626" s="27">
        <f>Parameters!S314</f>
        <v>0</v>
      </c>
      <c r="V626" s="28">
        <f>Parameters!T314</f>
        <v>0</v>
      </c>
      <c r="W626" s="27">
        <f>Parameters!U314</f>
        <v>0</v>
      </c>
      <c r="X626" s="28">
        <f>Parameters!V314</f>
        <v>0</v>
      </c>
      <c r="Y626" s="25">
        <f>Parameters!W314</f>
        <v>0</v>
      </c>
      <c r="Z626" s="23">
        <f>Parameters!X314</f>
        <v>0</v>
      </c>
      <c r="AA626" s="27">
        <f>Parameters!Y314</f>
        <v>0</v>
      </c>
      <c r="AB626" s="28">
        <f>Parameters!Z314</f>
        <v>0</v>
      </c>
      <c r="AC626" s="23">
        <f>Parameters!AA314</f>
        <v>0</v>
      </c>
    </row>
    <row r="627" spans="1:29">
      <c r="A627" s="29" t="str">
        <f>UPPER(A626)</f>
        <v>0</v>
      </c>
      <c r="B627" s="29">
        <f>B626</f>
        <v>0</v>
      </c>
      <c r="C627" s="30">
        <f>C626</f>
        <v>0</v>
      </c>
      <c r="D627" s="30">
        <f>D626</f>
        <v>0</v>
      </c>
      <c r="E627" s="29">
        <f>E626</f>
        <v>0</v>
      </c>
      <c r="F627" s="29">
        <f>F626</f>
        <v>0</v>
      </c>
      <c r="G627" s="29" t="e">
        <f>IF(C626=1,IF(D626="BUY",E626+(ROUND(F626*G626/B626,0)*B626),E626-(ROUND(F626*G626/B626,0)*B626)),IF(D626="BUY",E626-(ROUND(F626*G626/B626,0)*B626),E626+(ROUND(F626*G626/B626,0)*B626)))</f>
        <v>#DIV/0!</v>
      </c>
      <c r="H627" s="29" t="e">
        <f>IF(C626=1,IF(D626="BUY",G627-(ROUND(F626*H626/B626,0)*B626),G627+(ROUND(F626*H626/B626,0)*B626)),IF(D626="BUY",G627+(ROUND(F626*H626/B626,0)*B626),G627-(ROUND(F626*H626/B626,0)*B626)))</f>
        <v>#DIV/0!</v>
      </c>
      <c r="I627" s="29" t="e">
        <f>IF(D626="BUY",G627+(ROUND(F626*I626/(B626*100),0)*B626),G627-(ROUND(F626*I626/(B626*100),0)*B626))</f>
        <v>#DIV/0!</v>
      </c>
      <c r="J627" s="29" t="e">
        <f>IF(C626=1,IF(D626="BUY",E626+(ROUND(F626*J626/B626,0)*B626),E626-(ROUND(F626*J626/B626,0)*B626)),IF(D626="BUY",E626-(ROUND(F626*J626/B626,0)*B626),E626+(ROUND(F626*J626/B626,0)*B626)))</f>
        <v>#DIV/0!</v>
      </c>
      <c r="K627" s="29" t="e">
        <f>IF(C626=1,IF(D626="BUY",E626-(ROUND(F626*K626/B626,0)*B626),E626+(ROUND(F626*K626/B626,0)*B626)),IF(D626="BUY",E626-(ROUND(F626*K626/B626,0)*B626),E626+(ROUND(F626*K626/B626,0)*B626)))</f>
        <v>#DIV/0!</v>
      </c>
      <c r="L627" s="29" t="e">
        <f t="shared" ref="L627" si="935">IF(D627="BUY",I627+(R627*B627),I627-(R627*B627))</f>
        <v>#DIV/0!</v>
      </c>
      <c r="M627" s="29" t="e">
        <f>IF(D626="BUY",E626+(ROUND(F626*M626/B626,0)*B626),E626-(ROUND(F626*M626/B626,0)*B626))</f>
        <v>#DIV/0!</v>
      </c>
      <c r="N627" s="29" t="e">
        <f>IF(D626="BUY",E626-(ROUND(F626*N626/B626,0)*B626),E626+(ROUND(F626*N626/B626,0)*B626))</f>
        <v>#DIV/0!</v>
      </c>
      <c r="O627" s="31" t="e">
        <f>IF(D627="BUY",N627-VLOOKUP(A627,Symbols!A$1:D$1000,4,FALSE),N627+VLOOKUP(A627,Symbols!A$1:D$1000,4,FALSE))</f>
        <v>#DIV/0!</v>
      </c>
      <c r="P627" s="29">
        <f>P626</f>
        <v>0</v>
      </c>
      <c r="Q627" s="29">
        <f>Q626</f>
        <v>0</v>
      </c>
      <c r="R627" s="29">
        <f>R626</f>
        <v>0</v>
      </c>
      <c r="S627" s="29">
        <f>S626</f>
        <v>0</v>
      </c>
      <c r="T627" s="29">
        <f>T626</f>
        <v>0</v>
      </c>
      <c r="U627" s="29" t="e">
        <f>DATEDIF(DATE(1970,1,1),U626,"D")*86400</f>
        <v>#NUM!</v>
      </c>
      <c r="V627" s="29">
        <f>HOUR(V626)*3600+MINUTE(V626)*60+SECOND(V626)</f>
        <v>0</v>
      </c>
      <c r="W627" s="29" t="e">
        <f>DATEDIF(DATE(1970,1,1),W626,"D")*86400</f>
        <v>#NUM!</v>
      </c>
      <c r="X627" s="29">
        <f>HOUR(X626)*3600+MINUTE(X626)*60+SECOND(X626)</f>
        <v>0</v>
      </c>
      <c r="Y627" s="31">
        <f>(Y626*B627)</f>
        <v>0</v>
      </c>
      <c r="Z627" s="29">
        <f>Z626</f>
        <v>0</v>
      </c>
      <c r="AA627" s="29" t="e">
        <f>DATEDIF(DATE(1970,1,1),AA626,"D")*86400</f>
        <v>#NUM!</v>
      </c>
      <c r="AB627" s="29">
        <f>HOUR(AB626)*3600+MINUTE(AB626)*60+SECOND(AB626)</f>
        <v>0</v>
      </c>
      <c r="AC627" s="29">
        <f>AC626</f>
        <v>0</v>
      </c>
    </row>
    <row r="628" spans="1:29">
      <c r="A628" s="23">
        <f>Parameters!A315</f>
        <v>0</v>
      </c>
      <c r="B628" s="23">
        <f>Parameters!B315</f>
        <v>0</v>
      </c>
      <c r="C628" s="24">
        <f>Parameters!C315</f>
        <v>0</v>
      </c>
      <c r="D628" s="24">
        <f>Parameters!D315</f>
        <v>0</v>
      </c>
      <c r="E628" s="23">
        <f>Parameters!E315</f>
        <v>0</v>
      </c>
      <c r="F628" s="23">
        <f>Parameters!F315</f>
        <v>0</v>
      </c>
      <c r="G628" s="25">
        <f>Parameters!G315</f>
        <v>0</v>
      </c>
      <c r="H628" s="25">
        <f>Parameters!H315</f>
        <v>0</v>
      </c>
      <c r="I628" s="25">
        <f>Parameters!I315</f>
        <v>0</v>
      </c>
      <c r="J628" s="25">
        <f>Parameters!J315</f>
        <v>0</v>
      </c>
      <c r="K628" s="25">
        <f>Parameters!K315</f>
        <v>0</v>
      </c>
      <c r="L628" s="26" t="e">
        <f t="shared" ref="L628" si="936">L629</f>
        <v>#DIV/0!</v>
      </c>
      <c r="M628" s="25">
        <f>Parameters!L315</f>
        <v>0</v>
      </c>
      <c r="N628" s="25">
        <f>Parameters!M315</f>
        <v>0</v>
      </c>
      <c r="O628" s="26" t="e">
        <f t="shared" ref="O628" si="937">O629</f>
        <v>#DIV/0!</v>
      </c>
      <c r="P628" s="23">
        <f>Parameters!N315</f>
        <v>0</v>
      </c>
      <c r="Q628" s="23">
        <f>Parameters!O315</f>
        <v>0</v>
      </c>
      <c r="R628" s="23">
        <f>Parameters!P315</f>
        <v>0</v>
      </c>
      <c r="S628" s="23">
        <f>Parameters!Q315</f>
        <v>0</v>
      </c>
      <c r="T628" s="23">
        <f>Parameters!R315</f>
        <v>0</v>
      </c>
      <c r="U628" s="27">
        <f>Parameters!S315</f>
        <v>0</v>
      </c>
      <c r="V628" s="28">
        <f>Parameters!T315</f>
        <v>0</v>
      </c>
      <c r="W628" s="27">
        <f>Parameters!U315</f>
        <v>0</v>
      </c>
      <c r="X628" s="28">
        <f>Parameters!V315</f>
        <v>0</v>
      </c>
      <c r="Y628" s="25">
        <f>Parameters!W315</f>
        <v>0</v>
      </c>
      <c r="Z628" s="23">
        <f>Parameters!X315</f>
        <v>0</v>
      </c>
      <c r="AA628" s="27">
        <f>Parameters!Y315</f>
        <v>0</v>
      </c>
      <c r="AB628" s="28">
        <f>Parameters!Z315</f>
        <v>0</v>
      </c>
      <c r="AC628" s="23">
        <f>Parameters!AA315</f>
        <v>0</v>
      </c>
    </row>
    <row r="629" spans="1:29">
      <c r="A629" s="29" t="str">
        <f>UPPER(A628)</f>
        <v>0</v>
      </c>
      <c r="B629" s="29">
        <f>B628</f>
        <v>0</v>
      </c>
      <c r="C629" s="30">
        <f>C628</f>
        <v>0</v>
      </c>
      <c r="D629" s="30">
        <f>D628</f>
        <v>0</v>
      </c>
      <c r="E629" s="29">
        <f>E628</f>
        <v>0</v>
      </c>
      <c r="F629" s="29">
        <f>F628</f>
        <v>0</v>
      </c>
      <c r="G629" s="29" t="e">
        <f>IF(C628=1,IF(D628="BUY",E628+(ROUND(F628*G628/B628,0)*B628),E628-(ROUND(F628*G628/B628,0)*B628)),IF(D628="BUY",E628-(ROUND(F628*G628/B628,0)*B628),E628+(ROUND(F628*G628/B628,0)*B628)))</f>
        <v>#DIV/0!</v>
      </c>
      <c r="H629" s="29" t="e">
        <f>IF(C628=1,IF(D628="BUY",G629-(ROUND(F628*H628/B628,0)*B628),G629+(ROUND(F628*H628/B628,0)*B628)),IF(D628="BUY",G629+(ROUND(F628*H628/B628,0)*B628),G629-(ROUND(F628*H628/B628,0)*B628)))</f>
        <v>#DIV/0!</v>
      </c>
      <c r="I629" s="29" t="e">
        <f>IF(D628="BUY",G629+(ROUND(F628*I628/(B628*100),0)*B628),G629-(ROUND(F628*I628/(B628*100),0)*B628))</f>
        <v>#DIV/0!</v>
      </c>
      <c r="J629" s="29" t="e">
        <f>IF(C628=1,IF(D628="BUY",E628+(ROUND(F628*J628/B628,0)*B628),E628-(ROUND(F628*J628/B628,0)*B628)),IF(D628="BUY",E628-(ROUND(F628*J628/B628,0)*B628),E628+(ROUND(F628*J628/B628,0)*B628)))</f>
        <v>#DIV/0!</v>
      </c>
      <c r="K629" s="29" t="e">
        <f>IF(C628=1,IF(D628="BUY",E628-(ROUND(F628*K628/B628,0)*B628),E628+(ROUND(F628*K628/B628,0)*B628)),IF(D628="BUY",E628-(ROUND(F628*K628/B628,0)*B628),E628+(ROUND(F628*K628/B628,0)*B628)))</f>
        <v>#DIV/0!</v>
      </c>
      <c r="L629" s="29" t="e">
        <f t="shared" ref="L629" si="938">IF(D629="BUY",I629+(R629*B629),I629-(R629*B629))</f>
        <v>#DIV/0!</v>
      </c>
      <c r="M629" s="29" t="e">
        <f>IF(D628="BUY",E628+(ROUND(F628*M628/B628,0)*B628),E628-(ROUND(F628*M628/B628,0)*B628))</f>
        <v>#DIV/0!</v>
      </c>
      <c r="N629" s="29" t="e">
        <f>IF(D628="BUY",E628-(ROUND(F628*N628/B628,0)*B628),E628+(ROUND(F628*N628/B628,0)*B628))</f>
        <v>#DIV/0!</v>
      </c>
      <c r="O629" s="31" t="e">
        <f>IF(D629="BUY",N629-VLOOKUP(A629,Symbols!A$1:D$1000,4,FALSE),N629+VLOOKUP(A629,Symbols!A$1:D$1000,4,FALSE))</f>
        <v>#DIV/0!</v>
      </c>
      <c r="P629" s="29">
        <f>P628</f>
        <v>0</v>
      </c>
      <c r="Q629" s="29">
        <f>Q628</f>
        <v>0</v>
      </c>
      <c r="R629" s="29">
        <f>R628</f>
        <v>0</v>
      </c>
      <c r="S629" s="29">
        <f>S628</f>
        <v>0</v>
      </c>
      <c r="T629" s="29">
        <f>T628</f>
        <v>0</v>
      </c>
      <c r="U629" s="29" t="e">
        <f>DATEDIF(DATE(1970,1,1),U628,"D")*86400</f>
        <v>#NUM!</v>
      </c>
      <c r="V629" s="29">
        <f>HOUR(V628)*3600+MINUTE(V628)*60+SECOND(V628)</f>
        <v>0</v>
      </c>
      <c r="W629" s="29" t="e">
        <f>DATEDIF(DATE(1970,1,1),W628,"D")*86400</f>
        <v>#NUM!</v>
      </c>
      <c r="X629" s="29">
        <f>HOUR(X628)*3600+MINUTE(X628)*60+SECOND(X628)</f>
        <v>0</v>
      </c>
      <c r="Y629" s="31">
        <f>(Y628*B629)</f>
        <v>0</v>
      </c>
      <c r="Z629" s="29">
        <f>Z628</f>
        <v>0</v>
      </c>
      <c r="AA629" s="29" t="e">
        <f>DATEDIF(DATE(1970,1,1),AA628,"D")*86400</f>
        <v>#NUM!</v>
      </c>
      <c r="AB629" s="29">
        <f>HOUR(AB628)*3600+MINUTE(AB628)*60+SECOND(AB628)</f>
        <v>0</v>
      </c>
      <c r="AC629" s="29">
        <f>AC628</f>
        <v>0</v>
      </c>
    </row>
    <row r="630" spans="1:29">
      <c r="A630" s="23">
        <f>Parameters!A316</f>
        <v>0</v>
      </c>
      <c r="B630" s="23">
        <f>Parameters!B316</f>
        <v>0</v>
      </c>
      <c r="C630" s="24">
        <f>Parameters!C316</f>
        <v>0</v>
      </c>
      <c r="D630" s="24">
        <f>Parameters!D316</f>
        <v>0</v>
      </c>
      <c r="E630" s="23">
        <f>Parameters!E316</f>
        <v>0</v>
      </c>
      <c r="F630" s="23">
        <f>Parameters!F316</f>
        <v>0</v>
      </c>
      <c r="G630" s="25">
        <f>Parameters!G316</f>
        <v>0</v>
      </c>
      <c r="H630" s="25">
        <f>Parameters!H316</f>
        <v>0</v>
      </c>
      <c r="I630" s="25">
        <f>Parameters!I316</f>
        <v>0</v>
      </c>
      <c r="J630" s="25">
        <f>Parameters!J316</f>
        <v>0</v>
      </c>
      <c r="K630" s="25">
        <f>Parameters!K316</f>
        <v>0</v>
      </c>
      <c r="L630" s="26" t="e">
        <f t="shared" ref="L630" si="939">L631</f>
        <v>#DIV/0!</v>
      </c>
      <c r="M630" s="25">
        <f>Parameters!L316</f>
        <v>0</v>
      </c>
      <c r="N630" s="25">
        <f>Parameters!M316</f>
        <v>0</v>
      </c>
      <c r="O630" s="26" t="e">
        <f t="shared" ref="O630" si="940">O631</f>
        <v>#DIV/0!</v>
      </c>
      <c r="P630" s="23">
        <f>Parameters!N316</f>
        <v>0</v>
      </c>
      <c r="Q630" s="23">
        <f>Parameters!O316</f>
        <v>0</v>
      </c>
      <c r="R630" s="23">
        <f>Parameters!P316</f>
        <v>0</v>
      </c>
      <c r="S630" s="23">
        <f>Parameters!Q316</f>
        <v>0</v>
      </c>
      <c r="T630" s="23">
        <f>Parameters!R316</f>
        <v>0</v>
      </c>
      <c r="U630" s="27">
        <f>Parameters!S316</f>
        <v>0</v>
      </c>
      <c r="V630" s="28">
        <f>Parameters!T316</f>
        <v>0</v>
      </c>
      <c r="W630" s="27">
        <f>Parameters!U316</f>
        <v>0</v>
      </c>
      <c r="X630" s="28">
        <f>Parameters!V316</f>
        <v>0</v>
      </c>
      <c r="Y630" s="25">
        <f>Parameters!W316</f>
        <v>0</v>
      </c>
      <c r="Z630" s="23">
        <f>Parameters!X316</f>
        <v>0</v>
      </c>
      <c r="AA630" s="27">
        <f>Parameters!Y316</f>
        <v>0</v>
      </c>
      <c r="AB630" s="28">
        <f>Parameters!Z316</f>
        <v>0</v>
      </c>
      <c r="AC630" s="23">
        <f>Parameters!AA316</f>
        <v>0</v>
      </c>
    </row>
    <row r="631" spans="1:29">
      <c r="A631" s="29" t="str">
        <f>UPPER(A630)</f>
        <v>0</v>
      </c>
      <c r="B631" s="29">
        <f>B630</f>
        <v>0</v>
      </c>
      <c r="C631" s="30">
        <f>C630</f>
        <v>0</v>
      </c>
      <c r="D631" s="30">
        <f>D630</f>
        <v>0</v>
      </c>
      <c r="E631" s="29">
        <f>E630</f>
        <v>0</v>
      </c>
      <c r="F631" s="29">
        <f>F630</f>
        <v>0</v>
      </c>
      <c r="G631" s="29" t="e">
        <f>IF(C630=1,IF(D630="BUY",E630+(ROUND(F630*G630/B630,0)*B630),E630-(ROUND(F630*G630/B630,0)*B630)),IF(D630="BUY",E630-(ROUND(F630*G630/B630,0)*B630),E630+(ROUND(F630*G630/B630,0)*B630)))</f>
        <v>#DIV/0!</v>
      </c>
      <c r="H631" s="29" t="e">
        <f>IF(C630=1,IF(D630="BUY",G631-(ROUND(F630*H630/B630,0)*B630),G631+(ROUND(F630*H630/B630,0)*B630)),IF(D630="BUY",G631+(ROUND(F630*H630/B630,0)*B630),G631-(ROUND(F630*H630/B630,0)*B630)))</f>
        <v>#DIV/0!</v>
      </c>
      <c r="I631" s="29" t="e">
        <f>IF(D630="BUY",G631+(ROUND(F630*I630/(B630*100),0)*B630),G631-(ROUND(F630*I630/(B630*100),0)*B630))</f>
        <v>#DIV/0!</v>
      </c>
      <c r="J631" s="29" t="e">
        <f>IF(C630=1,IF(D630="BUY",E630+(ROUND(F630*J630/B630,0)*B630),E630-(ROUND(F630*J630/B630,0)*B630)),IF(D630="BUY",E630-(ROUND(F630*J630/B630,0)*B630),E630+(ROUND(F630*J630/B630,0)*B630)))</f>
        <v>#DIV/0!</v>
      </c>
      <c r="K631" s="29" t="e">
        <f>IF(C630=1,IF(D630="BUY",E630-(ROUND(F630*K630/B630,0)*B630),E630+(ROUND(F630*K630/B630,0)*B630)),IF(D630="BUY",E630-(ROUND(F630*K630/B630,0)*B630),E630+(ROUND(F630*K630/B630,0)*B630)))</f>
        <v>#DIV/0!</v>
      </c>
      <c r="L631" s="29" t="e">
        <f t="shared" ref="L631" si="941">IF(D631="BUY",I631+(R631*B631),I631-(R631*B631))</f>
        <v>#DIV/0!</v>
      </c>
      <c r="M631" s="29" t="e">
        <f>IF(D630="BUY",E630+(ROUND(F630*M630/B630,0)*B630),E630-(ROUND(F630*M630/B630,0)*B630))</f>
        <v>#DIV/0!</v>
      </c>
      <c r="N631" s="29" t="e">
        <f>IF(D630="BUY",E630-(ROUND(F630*N630/B630,0)*B630),E630+(ROUND(F630*N630/B630,0)*B630))</f>
        <v>#DIV/0!</v>
      </c>
      <c r="O631" s="31" t="e">
        <f>IF(D631="BUY",N631-VLOOKUP(A631,Symbols!A$1:D$1000,4,FALSE),N631+VLOOKUP(A631,Symbols!A$1:D$1000,4,FALSE))</f>
        <v>#DIV/0!</v>
      </c>
      <c r="P631" s="29">
        <f>P630</f>
        <v>0</v>
      </c>
      <c r="Q631" s="29">
        <f>Q630</f>
        <v>0</v>
      </c>
      <c r="R631" s="29">
        <f>R630</f>
        <v>0</v>
      </c>
      <c r="S631" s="29">
        <f>S630</f>
        <v>0</v>
      </c>
      <c r="T631" s="29">
        <f>T630</f>
        <v>0</v>
      </c>
      <c r="U631" s="29" t="e">
        <f>DATEDIF(DATE(1970,1,1),U630,"D")*86400</f>
        <v>#NUM!</v>
      </c>
      <c r="V631" s="29">
        <f>HOUR(V630)*3600+MINUTE(V630)*60+SECOND(V630)</f>
        <v>0</v>
      </c>
      <c r="W631" s="29" t="e">
        <f>DATEDIF(DATE(1970,1,1),W630,"D")*86400</f>
        <v>#NUM!</v>
      </c>
      <c r="X631" s="29">
        <f>HOUR(X630)*3600+MINUTE(X630)*60+SECOND(X630)</f>
        <v>0</v>
      </c>
      <c r="Y631" s="31">
        <f>(Y630*B631)</f>
        <v>0</v>
      </c>
      <c r="Z631" s="29">
        <f>Z630</f>
        <v>0</v>
      </c>
      <c r="AA631" s="29" t="e">
        <f>DATEDIF(DATE(1970,1,1),AA630,"D")*86400</f>
        <v>#NUM!</v>
      </c>
      <c r="AB631" s="29">
        <f>HOUR(AB630)*3600+MINUTE(AB630)*60+SECOND(AB630)</f>
        <v>0</v>
      </c>
      <c r="AC631" s="29">
        <f>AC630</f>
        <v>0</v>
      </c>
    </row>
    <row r="632" spans="1:29">
      <c r="A632" s="23">
        <f>Parameters!A317</f>
        <v>0</v>
      </c>
      <c r="B632" s="23">
        <f>Parameters!B317</f>
        <v>0</v>
      </c>
      <c r="C632" s="24">
        <f>Parameters!C317</f>
        <v>0</v>
      </c>
      <c r="D632" s="24">
        <f>Parameters!D317</f>
        <v>0</v>
      </c>
      <c r="E632" s="23">
        <f>Parameters!E317</f>
        <v>0</v>
      </c>
      <c r="F632" s="23">
        <f>Parameters!F317</f>
        <v>0</v>
      </c>
      <c r="G632" s="25">
        <f>Parameters!G317</f>
        <v>0</v>
      </c>
      <c r="H632" s="25">
        <f>Parameters!H317</f>
        <v>0</v>
      </c>
      <c r="I632" s="25">
        <f>Parameters!I317</f>
        <v>0</v>
      </c>
      <c r="J632" s="25">
        <f>Parameters!J317</f>
        <v>0</v>
      </c>
      <c r="K632" s="25">
        <f>Parameters!K317</f>
        <v>0</v>
      </c>
      <c r="L632" s="26" t="e">
        <f t="shared" ref="L632" si="942">L633</f>
        <v>#DIV/0!</v>
      </c>
      <c r="M632" s="25">
        <f>Parameters!L317</f>
        <v>0</v>
      </c>
      <c r="N632" s="25">
        <f>Parameters!M317</f>
        <v>0</v>
      </c>
      <c r="O632" s="26" t="e">
        <f t="shared" ref="O632" si="943">O633</f>
        <v>#DIV/0!</v>
      </c>
      <c r="P632" s="23">
        <f>Parameters!N317</f>
        <v>0</v>
      </c>
      <c r="Q632" s="23">
        <f>Parameters!O317</f>
        <v>0</v>
      </c>
      <c r="R632" s="23">
        <f>Parameters!P317</f>
        <v>0</v>
      </c>
      <c r="S632" s="23">
        <f>Parameters!Q317</f>
        <v>0</v>
      </c>
      <c r="T632" s="23">
        <f>Parameters!R317</f>
        <v>0</v>
      </c>
      <c r="U632" s="27">
        <f>Parameters!S317</f>
        <v>0</v>
      </c>
      <c r="V632" s="28">
        <f>Parameters!T317</f>
        <v>0</v>
      </c>
      <c r="W632" s="27">
        <f>Parameters!U317</f>
        <v>0</v>
      </c>
      <c r="X632" s="28">
        <f>Parameters!V317</f>
        <v>0</v>
      </c>
      <c r="Y632" s="25">
        <f>Parameters!W317</f>
        <v>0</v>
      </c>
      <c r="Z632" s="23">
        <f>Parameters!X317</f>
        <v>0</v>
      </c>
      <c r="AA632" s="27">
        <f>Parameters!Y317</f>
        <v>0</v>
      </c>
      <c r="AB632" s="28">
        <f>Parameters!Z317</f>
        <v>0</v>
      </c>
      <c r="AC632" s="23">
        <f>Parameters!AA317</f>
        <v>0</v>
      </c>
    </row>
    <row r="633" spans="1:29">
      <c r="A633" s="29" t="str">
        <f>UPPER(A632)</f>
        <v>0</v>
      </c>
      <c r="B633" s="29">
        <f>B632</f>
        <v>0</v>
      </c>
      <c r="C633" s="30">
        <f>C632</f>
        <v>0</v>
      </c>
      <c r="D633" s="30">
        <f>D632</f>
        <v>0</v>
      </c>
      <c r="E633" s="29">
        <f>E632</f>
        <v>0</v>
      </c>
      <c r="F633" s="29">
        <f>F632</f>
        <v>0</v>
      </c>
      <c r="G633" s="29" t="e">
        <f>IF(C632=1,IF(D632="BUY",E632+(ROUND(F632*G632/B632,0)*B632),E632-(ROUND(F632*G632/B632,0)*B632)),IF(D632="BUY",E632-(ROUND(F632*G632/B632,0)*B632),E632+(ROUND(F632*G632/B632,0)*B632)))</f>
        <v>#DIV/0!</v>
      </c>
      <c r="H633" s="29" t="e">
        <f>IF(C632=1,IF(D632="BUY",G633-(ROUND(F632*H632/B632,0)*B632),G633+(ROUND(F632*H632/B632,0)*B632)),IF(D632="BUY",G633+(ROUND(F632*H632/B632,0)*B632),G633-(ROUND(F632*H632/B632,0)*B632)))</f>
        <v>#DIV/0!</v>
      </c>
      <c r="I633" s="29" t="e">
        <f>IF(D632="BUY",G633+(ROUND(F632*I632/(B632*100),0)*B632),G633-(ROUND(F632*I632/(B632*100),0)*B632))</f>
        <v>#DIV/0!</v>
      </c>
      <c r="J633" s="29" t="e">
        <f>IF(C632=1,IF(D632="BUY",E632+(ROUND(F632*J632/B632,0)*B632),E632-(ROUND(F632*J632/B632,0)*B632)),IF(D632="BUY",E632-(ROUND(F632*J632/B632,0)*B632),E632+(ROUND(F632*J632/B632,0)*B632)))</f>
        <v>#DIV/0!</v>
      </c>
      <c r="K633" s="29" t="e">
        <f>IF(C632=1,IF(D632="BUY",E632-(ROUND(F632*K632/B632,0)*B632),E632+(ROUND(F632*K632/B632,0)*B632)),IF(D632="BUY",E632-(ROUND(F632*K632/B632,0)*B632),E632+(ROUND(F632*K632/B632,0)*B632)))</f>
        <v>#DIV/0!</v>
      </c>
      <c r="L633" s="29" t="e">
        <f t="shared" ref="L633" si="944">IF(D633="BUY",I633+(R633*B633),I633-(R633*B633))</f>
        <v>#DIV/0!</v>
      </c>
      <c r="M633" s="29" t="e">
        <f>IF(D632="BUY",E632+(ROUND(F632*M632/B632,0)*B632),E632-(ROUND(F632*M632/B632,0)*B632))</f>
        <v>#DIV/0!</v>
      </c>
      <c r="N633" s="29" t="e">
        <f>IF(D632="BUY",E632-(ROUND(F632*N632/B632,0)*B632),E632+(ROUND(F632*N632/B632,0)*B632))</f>
        <v>#DIV/0!</v>
      </c>
      <c r="O633" s="31" t="e">
        <f>IF(D633="BUY",N633-VLOOKUP(A633,Symbols!A$1:D$1000,4,FALSE),N633+VLOOKUP(A633,Symbols!A$1:D$1000,4,FALSE))</f>
        <v>#DIV/0!</v>
      </c>
      <c r="P633" s="29">
        <f>P632</f>
        <v>0</v>
      </c>
      <c r="Q633" s="29">
        <f>Q632</f>
        <v>0</v>
      </c>
      <c r="R633" s="29">
        <f>R632</f>
        <v>0</v>
      </c>
      <c r="S633" s="29">
        <f>S632</f>
        <v>0</v>
      </c>
      <c r="T633" s="29">
        <f>T632</f>
        <v>0</v>
      </c>
      <c r="U633" s="29" t="e">
        <f>DATEDIF(DATE(1970,1,1),U632,"D")*86400</f>
        <v>#NUM!</v>
      </c>
      <c r="V633" s="29">
        <f>HOUR(V632)*3600+MINUTE(V632)*60+SECOND(V632)</f>
        <v>0</v>
      </c>
      <c r="W633" s="29" t="e">
        <f>DATEDIF(DATE(1970,1,1),W632,"D")*86400</f>
        <v>#NUM!</v>
      </c>
      <c r="X633" s="29">
        <f>HOUR(X632)*3600+MINUTE(X632)*60+SECOND(X632)</f>
        <v>0</v>
      </c>
      <c r="Y633" s="31">
        <f>(Y632*B633)</f>
        <v>0</v>
      </c>
      <c r="Z633" s="29">
        <f>Z632</f>
        <v>0</v>
      </c>
      <c r="AA633" s="29" t="e">
        <f>DATEDIF(DATE(1970,1,1),AA632,"D")*86400</f>
        <v>#NUM!</v>
      </c>
      <c r="AB633" s="29">
        <f>HOUR(AB632)*3600+MINUTE(AB632)*60+SECOND(AB632)</f>
        <v>0</v>
      </c>
      <c r="AC633" s="29">
        <f>AC632</f>
        <v>0</v>
      </c>
    </row>
    <row r="634" spans="1:29">
      <c r="A634" s="23">
        <f>Parameters!A318</f>
        <v>0</v>
      </c>
      <c r="B634" s="23">
        <f>Parameters!B318</f>
        <v>0</v>
      </c>
      <c r="C634" s="24">
        <f>Parameters!C318</f>
        <v>0</v>
      </c>
      <c r="D634" s="24">
        <f>Parameters!D318</f>
        <v>0</v>
      </c>
      <c r="E634" s="23">
        <f>Parameters!E318</f>
        <v>0</v>
      </c>
      <c r="F634" s="23">
        <f>Parameters!F318</f>
        <v>0</v>
      </c>
      <c r="G634" s="25">
        <f>Parameters!G318</f>
        <v>0</v>
      </c>
      <c r="H634" s="25">
        <f>Parameters!H318</f>
        <v>0</v>
      </c>
      <c r="I634" s="25">
        <f>Parameters!I318</f>
        <v>0</v>
      </c>
      <c r="J634" s="25">
        <f>Parameters!J318</f>
        <v>0</v>
      </c>
      <c r="K634" s="25">
        <f>Parameters!K318</f>
        <v>0</v>
      </c>
      <c r="L634" s="26" t="e">
        <f t="shared" ref="L634" si="945">L635</f>
        <v>#DIV/0!</v>
      </c>
      <c r="M634" s="25">
        <f>Parameters!L318</f>
        <v>0</v>
      </c>
      <c r="N634" s="25">
        <f>Parameters!M318</f>
        <v>0</v>
      </c>
      <c r="O634" s="26" t="e">
        <f t="shared" ref="O634" si="946">O635</f>
        <v>#DIV/0!</v>
      </c>
      <c r="P634" s="23">
        <f>Parameters!N318</f>
        <v>0</v>
      </c>
      <c r="Q634" s="23">
        <f>Parameters!O318</f>
        <v>0</v>
      </c>
      <c r="R634" s="23">
        <f>Parameters!P318</f>
        <v>0</v>
      </c>
      <c r="S634" s="23">
        <f>Parameters!Q318</f>
        <v>0</v>
      </c>
      <c r="T634" s="23">
        <f>Parameters!R318</f>
        <v>0</v>
      </c>
      <c r="U634" s="27">
        <f>Parameters!S318</f>
        <v>0</v>
      </c>
      <c r="V634" s="28">
        <f>Parameters!T318</f>
        <v>0</v>
      </c>
      <c r="W634" s="27">
        <f>Parameters!U318</f>
        <v>0</v>
      </c>
      <c r="X634" s="28">
        <f>Parameters!V318</f>
        <v>0</v>
      </c>
      <c r="Y634" s="25">
        <f>Parameters!W318</f>
        <v>0</v>
      </c>
      <c r="Z634" s="23">
        <f>Parameters!X318</f>
        <v>0</v>
      </c>
      <c r="AA634" s="27">
        <f>Parameters!Y318</f>
        <v>0</v>
      </c>
      <c r="AB634" s="28">
        <f>Parameters!Z318</f>
        <v>0</v>
      </c>
      <c r="AC634" s="23">
        <f>Parameters!AA318</f>
        <v>0</v>
      </c>
    </row>
    <row r="635" spans="1:29">
      <c r="A635" s="29" t="str">
        <f>UPPER(A634)</f>
        <v>0</v>
      </c>
      <c r="B635" s="29">
        <f>B634</f>
        <v>0</v>
      </c>
      <c r="C635" s="30">
        <f>C634</f>
        <v>0</v>
      </c>
      <c r="D635" s="30">
        <f>D634</f>
        <v>0</v>
      </c>
      <c r="E635" s="29">
        <f>E634</f>
        <v>0</v>
      </c>
      <c r="F635" s="29">
        <f>F634</f>
        <v>0</v>
      </c>
      <c r="G635" s="29" t="e">
        <f>IF(C634=1,IF(D634="BUY",E634+(ROUND(F634*G634/B634,0)*B634),E634-(ROUND(F634*G634/B634,0)*B634)),IF(D634="BUY",E634-(ROUND(F634*G634/B634,0)*B634),E634+(ROUND(F634*G634/B634,0)*B634)))</f>
        <v>#DIV/0!</v>
      </c>
      <c r="H635" s="29" t="e">
        <f>IF(C634=1,IF(D634="BUY",G635-(ROUND(F634*H634/B634,0)*B634),G635+(ROUND(F634*H634/B634,0)*B634)),IF(D634="BUY",G635+(ROUND(F634*H634/B634,0)*B634),G635-(ROUND(F634*H634/B634,0)*B634)))</f>
        <v>#DIV/0!</v>
      </c>
      <c r="I635" s="29" t="e">
        <f>IF(D634="BUY",G635+(ROUND(F634*I634/(B634*100),0)*B634),G635-(ROUND(F634*I634/(B634*100),0)*B634))</f>
        <v>#DIV/0!</v>
      </c>
      <c r="J635" s="29" t="e">
        <f>IF(C634=1,IF(D634="BUY",E634+(ROUND(F634*J634/B634,0)*B634),E634-(ROUND(F634*J634/B634,0)*B634)),IF(D634="BUY",E634-(ROUND(F634*J634/B634,0)*B634),E634+(ROUND(F634*J634/B634,0)*B634)))</f>
        <v>#DIV/0!</v>
      </c>
      <c r="K635" s="29" t="e">
        <f>IF(C634=1,IF(D634="BUY",E634-(ROUND(F634*K634/B634,0)*B634),E634+(ROUND(F634*K634/B634,0)*B634)),IF(D634="BUY",E634-(ROUND(F634*K634/B634,0)*B634),E634+(ROUND(F634*K634/B634,0)*B634)))</f>
        <v>#DIV/0!</v>
      </c>
      <c r="L635" s="29" t="e">
        <f t="shared" ref="L635" si="947">IF(D635="BUY",I635+(R635*B635),I635-(R635*B635))</f>
        <v>#DIV/0!</v>
      </c>
      <c r="M635" s="29" t="e">
        <f>IF(D634="BUY",E634+(ROUND(F634*M634/B634,0)*B634),E634-(ROUND(F634*M634/B634,0)*B634))</f>
        <v>#DIV/0!</v>
      </c>
      <c r="N635" s="29" t="e">
        <f>IF(D634="BUY",E634-(ROUND(F634*N634/B634,0)*B634),E634+(ROUND(F634*N634/B634,0)*B634))</f>
        <v>#DIV/0!</v>
      </c>
      <c r="O635" s="31" t="e">
        <f>IF(D635="BUY",N635-VLOOKUP(A635,Symbols!A$1:D$1000,4,FALSE),N635+VLOOKUP(A635,Symbols!A$1:D$1000,4,FALSE))</f>
        <v>#DIV/0!</v>
      </c>
      <c r="P635" s="29">
        <f>P634</f>
        <v>0</v>
      </c>
      <c r="Q635" s="29">
        <f>Q634</f>
        <v>0</v>
      </c>
      <c r="R635" s="29">
        <f>R634</f>
        <v>0</v>
      </c>
      <c r="S635" s="29">
        <f>S634</f>
        <v>0</v>
      </c>
      <c r="T635" s="29">
        <f>T634</f>
        <v>0</v>
      </c>
      <c r="U635" s="29" t="e">
        <f>DATEDIF(DATE(1970,1,1),U634,"D")*86400</f>
        <v>#NUM!</v>
      </c>
      <c r="V635" s="29">
        <f>HOUR(V634)*3600+MINUTE(V634)*60+SECOND(V634)</f>
        <v>0</v>
      </c>
      <c r="W635" s="29" t="e">
        <f>DATEDIF(DATE(1970,1,1),W634,"D")*86400</f>
        <v>#NUM!</v>
      </c>
      <c r="X635" s="29">
        <f>HOUR(X634)*3600+MINUTE(X634)*60+SECOND(X634)</f>
        <v>0</v>
      </c>
      <c r="Y635" s="31">
        <f>(Y634*B635)</f>
        <v>0</v>
      </c>
      <c r="Z635" s="29">
        <f>Z634</f>
        <v>0</v>
      </c>
      <c r="AA635" s="29" t="e">
        <f>DATEDIF(DATE(1970,1,1),AA634,"D")*86400</f>
        <v>#NUM!</v>
      </c>
      <c r="AB635" s="29">
        <f>HOUR(AB634)*3600+MINUTE(AB634)*60+SECOND(AB634)</f>
        <v>0</v>
      </c>
      <c r="AC635" s="29">
        <f>AC634</f>
        <v>0</v>
      </c>
    </row>
    <row r="636" spans="1:29">
      <c r="A636" s="23">
        <f>Parameters!A319</f>
        <v>0</v>
      </c>
      <c r="B636" s="23">
        <f>Parameters!B319</f>
        <v>0</v>
      </c>
      <c r="C636" s="24">
        <f>Parameters!C319</f>
        <v>0</v>
      </c>
      <c r="D636" s="24">
        <f>Parameters!D319</f>
        <v>0</v>
      </c>
      <c r="E636" s="23">
        <f>Parameters!E319</f>
        <v>0</v>
      </c>
      <c r="F636" s="23">
        <f>Parameters!F319</f>
        <v>0</v>
      </c>
      <c r="G636" s="25">
        <f>Parameters!G319</f>
        <v>0</v>
      </c>
      <c r="H636" s="25">
        <f>Parameters!H319</f>
        <v>0</v>
      </c>
      <c r="I636" s="25">
        <f>Parameters!I319</f>
        <v>0</v>
      </c>
      <c r="J636" s="25">
        <f>Parameters!J319</f>
        <v>0</v>
      </c>
      <c r="K636" s="25">
        <f>Parameters!K319</f>
        <v>0</v>
      </c>
      <c r="L636" s="26" t="e">
        <f t="shared" ref="L636" si="948">L637</f>
        <v>#DIV/0!</v>
      </c>
      <c r="M636" s="25">
        <f>Parameters!L319</f>
        <v>0</v>
      </c>
      <c r="N636" s="25">
        <f>Parameters!M319</f>
        <v>0</v>
      </c>
      <c r="O636" s="26" t="e">
        <f t="shared" ref="O636" si="949">O637</f>
        <v>#DIV/0!</v>
      </c>
      <c r="P636" s="23">
        <f>Parameters!N319</f>
        <v>0</v>
      </c>
      <c r="Q636" s="23">
        <f>Parameters!O319</f>
        <v>0</v>
      </c>
      <c r="R636" s="23">
        <f>Parameters!P319</f>
        <v>0</v>
      </c>
      <c r="S636" s="23">
        <f>Parameters!Q319</f>
        <v>0</v>
      </c>
      <c r="T636" s="23">
        <f>Parameters!R319</f>
        <v>0</v>
      </c>
      <c r="U636" s="27">
        <f>Parameters!S319</f>
        <v>0</v>
      </c>
      <c r="V636" s="28">
        <f>Parameters!T319</f>
        <v>0</v>
      </c>
      <c r="W636" s="27">
        <f>Parameters!U319</f>
        <v>0</v>
      </c>
      <c r="X636" s="28">
        <f>Parameters!V319</f>
        <v>0</v>
      </c>
      <c r="Y636" s="25">
        <f>Parameters!W319</f>
        <v>0</v>
      </c>
      <c r="Z636" s="23">
        <f>Parameters!X319</f>
        <v>0</v>
      </c>
      <c r="AA636" s="27">
        <f>Parameters!Y319</f>
        <v>0</v>
      </c>
      <c r="AB636" s="28">
        <f>Parameters!Z319</f>
        <v>0</v>
      </c>
      <c r="AC636" s="23">
        <f>Parameters!AA319</f>
        <v>0</v>
      </c>
    </row>
    <row r="637" spans="1:29">
      <c r="A637" s="29" t="str">
        <f>UPPER(A636)</f>
        <v>0</v>
      </c>
      <c r="B637" s="29">
        <f>B636</f>
        <v>0</v>
      </c>
      <c r="C637" s="30">
        <f>C636</f>
        <v>0</v>
      </c>
      <c r="D637" s="30">
        <f>D636</f>
        <v>0</v>
      </c>
      <c r="E637" s="29">
        <f>E636</f>
        <v>0</v>
      </c>
      <c r="F637" s="29">
        <f>F636</f>
        <v>0</v>
      </c>
      <c r="G637" s="29" t="e">
        <f>IF(C636=1,IF(D636="BUY",E636+(ROUND(F636*G636/B636,0)*B636),E636-(ROUND(F636*G636/B636,0)*B636)),IF(D636="BUY",E636-(ROUND(F636*G636/B636,0)*B636),E636+(ROUND(F636*G636/B636,0)*B636)))</f>
        <v>#DIV/0!</v>
      </c>
      <c r="H637" s="29" t="e">
        <f>IF(C636=1,IF(D636="BUY",G637-(ROUND(F636*H636/B636,0)*B636),G637+(ROUND(F636*H636/B636,0)*B636)),IF(D636="BUY",G637+(ROUND(F636*H636/B636,0)*B636),G637-(ROUND(F636*H636/B636,0)*B636)))</f>
        <v>#DIV/0!</v>
      </c>
      <c r="I637" s="29" t="e">
        <f>IF(D636="BUY",G637+(ROUND(F636*I636/(B636*100),0)*B636),G637-(ROUND(F636*I636/(B636*100),0)*B636))</f>
        <v>#DIV/0!</v>
      </c>
      <c r="J637" s="29" t="e">
        <f>IF(C636=1,IF(D636="BUY",E636+(ROUND(F636*J636/B636,0)*B636),E636-(ROUND(F636*J636/B636,0)*B636)),IF(D636="BUY",E636-(ROUND(F636*J636/B636,0)*B636),E636+(ROUND(F636*J636/B636,0)*B636)))</f>
        <v>#DIV/0!</v>
      </c>
      <c r="K637" s="29" t="e">
        <f>IF(C636=1,IF(D636="BUY",E636-(ROUND(F636*K636/B636,0)*B636),E636+(ROUND(F636*K636/B636,0)*B636)),IF(D636="BUY",E636-(ROUND(F636*K636/B636,0)*B636),E636+(ROUND(F636*K636/B636,0)*B636)))</f>
        <v>#DIV/0!</v>
      </c>
      <c r="L637" s="29" t="e">
        <f t="shared" ref="L637" si="950">IF(D637="BUY",I637+(R637*B637),I637-(R637*B637))</f>
        <v>#DIV/0!</v>
      </c>
      <c r="M637" s="29" t="e">
        <f>IF(D636="BUY",E636+(ROUND(F636*M636/B636,0)*B636),E636-(ROUND(F636*M636/B636,0)*B636))</f>
        <v>#DIV/0!</v>
      </c>
      <c r="N637" s="29" t="e">
        <f>IF(D636="BUY",E636-(ROUND(F636*N636/B636,0)*B636),E636+(ROUND(F636*N636/B636,0)*B636))</f>
        <v>#DIV/0!</v>
      </c>
      <c r="O637" s="31" t="e">
        <f>IF(D637="BUY",N637-VLOOKUP(A637,Symbols!A$1:D$1000,4,FALSE),N637+VLOOKUP(A637,Symbols!A$1:D$1000,4,FALSE))</f>
        <v>#DIV/0!</v>
      </c>
      <c r="P637" s="29">
        <f>P636</f>
        <v>0</v>
      </c>
      <c r="Q637" s="29">
        <f>Q636</f>
        <v>0</v>
      </c>
      <c r="R637" s="29">
        <f>R636</f>
        <v>0</v>
      </c>
      <c r="S637" s="29">
        <f>S636</f>
        <v>0</v>
      </c>
      <c r="T637" s="29">
        <f>T636</f>
        <v>0</v>
      </c>
      <c r="U637" s="29" t="e">
        <f>DATEDIF(DATE(1970,1,1),U636,"D")*86400</f>
        <v>#NUM!</v>
      </c>
      <c r="V637" s="29">
        <f>HOUR(V636)*3600+MINUTE(V636)*60+SECOND(V636)</f>
        <v>0</v>
      </c>
      <c r="W637" s="29" t="e">
        <f>DATEDIF(DATE(1970,1,1),W636,"D")*86400</f>
        <v>#NUM!</v>
      </c>
      <c r="X637" s="29">
        <f>HOUR(X636)*3600+MINUTE(X636)*60+SECOND(X636)</f>
        <v>0</v>
      </c>
      <c r="Y637" s="31">
        <f>(Y636*B637)</f>
        <v>0</v>
      </c>
      <c r="Z637" s="29">
        <f>Z636</f>
        <v>0</v>
      </c>
      <c r="AA637" s="29" t="e">
        <f>DATEDIF(DATE(1970,1,1),AA636,"D")*86400</f>
        <v>#NUM!</v>
      </c>
      <c r="AB637" s="29">
        <f>HOUR(AB636)*3600+MINUTE(AB636)*60+SECOND(AB636)</f>
        <v>0</v>
      </c>
      <c r="AC637" s="29">
        <f>AC636</f>
        <v>0</v>
      </c>
    </row>
    <row r="638" spans="1:29">
      <c r="A638" s="23">
        <f>Parameters!A320</f>
        <v>0</v>
      </c>
      <c r="B638" s="23">
        <f>Parameters!B320</f>
        <v>0</v>
      </c>
      <c r="C638" s="24">
        <f>Parameters!C320</f>
        <v>0</v>
      </c>
      <c r="D638" s="24">
        <f>Parameters!D320</f>
        <v>0</v>
      </c>
      <c r="E638" s="23">
        <f>Parameters!E320</f>
        <v>0</v>
      </c>
      <c r="F638" s="23">
        <f>Parameters!F320</f>
        <v>0</v>
      </c>
      <c r="G638" s="25">
        <f>Parameters!G320</f>
        <v>0</v>
      </c>
      <c r="H638" s="25">
        <f>Parameters!H320</f>
        <v>0</v>
      </c>
      <c r="I638" s="25">
        <f>Parameters!I320</f>
        <v>0</v>
      </c>
      <c r="J638" s="25">
        <f>Parameters!J320</f>
        <v>0</v>
      </c>
      <c r="K638" s="25">
        <f>Parameters!K320</f>
        <v>0</v>
      </c>
      <c r="L638" s="26" t="e">
        <f t="shared" ref="L638" si="951">L639</f>
        <v>#DIV/0!</v>
      </c>
      <c r="M638" s="25">
        <f>Parameters!L320</f>
        <v>0</v>
      </c>
      <c r="N638" s="25">
        <f>Parameters!M320</f>
        <v>0</v>
      </c>
      <c r="O638" s="26" t="e">
        <f t="shared" ref="O638" si="952">O639</f>
        <v>#DIV/0!</v>
      </c>
      <c r="P638" s="23">
        <f>Parameters!N320</f>
        <v>0</v>
      </c>
      <c r="Q638" s="23">
        <f>Parameters!O320</f>
        <v>0</v>
      </c>
      <c r="R638" s="23">
        <f>Parameters!P320</f>
        <v>0</v>
      </c>
      <c r="S638" s="23">
        <f>Parameters!Q320</f>
        <v>0</v>
      </c>
      <c r="T638" s="23">
        <f>Parameters!R320</f>
        <v>0</v>
      </c>
      <c r="U638" s="27">
        <f>Parameters!S320</f>
        <v>0</v>
      </c>
      <c r="V638" s="28">
        <f>Parameters!T320</f>
        <v>0</v>
      </c>
      <c r="W638" s="27">
        <f>Parameters!U320</f>
        <v>0</v>
      </c>
      <c r="X638" s="28">
        <f>Parameters!V320</f>
        <v>0</v>
      </c>
      <c r="Y638" s="25">
        <f>Parameters!W320</f>
        <v>0</v>
      </c>
      <c r="Z638" s="23">
        <f>Parameters!X320</f>
        <v>0</v>
      </c>
      <c r="AA638" s="27">
        <f>Parameters!Y320</f>
        <v>0</v>
      </c>
      <c r="AB638" s="28">
        <f>Parameters!Z320</f>
        <v>0</v>
      </c>
      <c r="AC638" s="23">
        <f>Parameters!AA320</f>
        <v>0</v>
      </c>
    </row>
    <row r="639" spans="1:29">
      <c r="A639" s="29" t="str">
        <f>UPPER(A638)</f>
        <v>0</v>
      </c>
      <c r="B639" s="29">
        <f>B638</f>
        <v>0</v>
      </c>
      <c r="C639" s="30">
        <f>C638</f>
        <v>0</v>
      </c>
      <c r="D639" s="30">
        <f>D638</f>
        <v>0</v>
      </c>
      <c r="E639" s="29">
        <f>E638</f>
        <v>0</v>
      </c>
      <c r="F639" s="29">
        <f>F638</f>
        <v>0</v>
      </c>
      <c r="G639" s="29" t="e">
        <f>IF(C638=1,IF(D638="BUY",E638+(ROUND(F638*G638/B638,0)*B638),E638-(ROUND(F638*G638/B638,0)*B638)),IF(D638="BUY",E638-(ROUND(F638*G638/B638,0)*B638),E638+(ROUND(F638*G638/B638,0)*B638)))</f>
        <v>#DIV/0!</v>
      </c>
      <c r="H639" s="29" t="e">
        <f>IF(C638=1,IF(D638="BUY",G639-(ROUND(F638*H638/B638,0)*B638),G639+(ROUND(F638*H638/B638,0)*B638)),IF(D638="BUY",G639+(ROUND(F638*H638/B638,0)*B638),G639-(ROUND(F638*H638/B638,0)*B638)))</f>
        <v>#DIV/0!</v>
      </c>
      <c r="I639" s="29" t="e">
        <f>IF(D638="BUY",G639+(ROUND(F638*I638/(B638*100),0)*B638),G639-(ROUND(F638*I638/(B638*100),0)*B638))</f>
        <v>#DIV/0!</v>
      </c>
      <c r="J639" s="29" t="e">
        <f>IF(C638=1,IF(D638="BUY",E638+(ROUND(F638*J638/B638,0)*B638),E638-(ROUND(F638*J638/B638,0)*B638)),IF(D638="BUY",E638-(ROUND(F638*J638/B638,0)*B638),E638+(ROUND(F638*J638/B638,0)*B638)))</f>
        <v>#DIV/0!</v>
      </c>
      <c r="K639" s="29" t="e">
        <f>IF(C638=1,IF(D638="BUY",E638-(ROUND(F638*K638/B638,0)*B638),E638+(ROUND(F638*K638/B638,0)*B638)),IF(D638="BUY",E638-(ROUND(F638*K638/B638,0)*B638),E638+(ROUND(F638*K638/B638,0)*B638)))</f>
        <v>#DIV/0!</v>
      </c>
      <c r="L639" s="29" t="e">
        <f t="shared" ref="L639" si="953">IF(D639="BUY",I639+(R639*B639),I639-(R639*B639))</f>
        <v>#DIV/0!</v>
      </c>
      <c r="M639" s="29" t="e">
        <f>IF(D638="BUY",E638+(ROUND(F638*M638/B638,0)*B638),E638-(ROUND(F638*M638/B638,0)*B638))</f>
        <v>#DIV/0!</v>
      </c>
      <c r="N639" s="29" t="e">
        <f>IF(D638="BUY",E638-(ROUND(F638*N638/B638,0)*B638),E638+(ROUND(F638*N638/B638,0)*B638))</f>
        <v>#DIV/0!</v>
      </c>
      <c r="O639" s="31" t="e">
        <f>IF(D639="BUY",N639-VLOOKUP(A639,Symbols!A$1:D$1000,4,FALSE),N639+VLOOKUP(A639,Symbols!A$1:D$1000,4,FALSE))</f>
        <v>#DIV/0!</v>
      </c>
      <c r="P639" s="29">
        <f>P638</f>
        <v>0</v>
      </c>
      <c r="Q639" s="29">
        <f>Q638</f>
        <v>0</v>
      </c>
      <c r="R639" s="29">
        <f>R638</f>
        <v>0</v>
      </c>
      <c r="S639" s="29">
        <f>S638</f>
        <v>0</v>
      </c>
      <c r="T639" s="29">
        <f>T638</f>
        <v>0</v>
      </c>
      <c r="U639" s="29" t="e">
        <f>DATEDIF(DATE(1970,1,1),U638,"D")*86400</f>
        <v>#NUM!</v>
      </c>
      <c r="V639" s="29">
        <f>HOUR(V638)*3600+MINUTE(V638)*60+SECOND(V638)</f>
        <v>0</v>
      </c>
      <c r="W639" s="29" t="e">
        <f>DATEDIF(DATE(1970,1,1),W638,"D")*86400</f>
        <v>#NUM!</v>
      </c>
      <c r="X639" s="29">
        <f>HOUR(X638)*3600+MINUTE(X638)*60+SECOND(X638)</f>
        <v>0</v>
      </c>
      <c r="Y639" s="31">
        <f>(Y638*B639)</f>
        <v>0</v>
      </c>
      <c r="Z639" s="29">
        <f>Z638</f>
        <v>0</v>
      </c>
      <c r="AA639" s="29" t="e">
        <f>DATEDIF(DATE(1970,1,1),AA638,"D")*86400</f>
        <v>#NUM!</v>
      </c>
      <c r="AB639" s="29">
        <f>HOUR(AB638)*3600+MINUTE(AB638)*60+SECOND(AB638)</f>
        <v>0</v>
      </c>
      <c r="AC639" s="29">
        <f>AC638</f>
        <v>0</v>
      </c>
    </row>
    <row r="640" spans="1:29">
      <c r="A640" s="23">
        <f>Parameters!A321</f>
        <v>0</v>
      </c>
      <c r="B640" s="23">
        <f>Parameters!B321</f>
        <v>0</v>
      </c>
      <c r="C640" s="24">
        <f>Parameters!C321</f>
        <v>0</v>
      </c>
      <c r="D640" s="24">
        <f>Parameters!D321</f>
        <v>0</v>
      </c>
      <c r="E640" s="23">
        <f>Parameters!E321</f>
        <v>0</v>
      </c>
      <c r="F640" s="23">
        <f>Parameters!F321</f>
        <v>0</v>
      </c>
      <c r="G640" s="25">
        <f>Parameters!G321</f>
        <v>0</v>
      </c>
      <c r="H640" s="25">
        <f>Parameters!H321</f>
        <v>0</v>
      </c>
      <c r="I640" s="25">
        <f>Parameters!I321</f>
        <v>0</v>
      </c>
      <c r="J640" s="25">
        <f>Parameters!J321</f>
        <v>0</v>
      </c>
      <c r="K640" s="25">
        <f>Parameters!K321</f>
        <v>0</v>
      </c>
      <c r="L640" s="26" t="e">
        <f t="shared" ref="L640" si="954">L641</f>
        <v>#DIV/0!</v>
      </c>
      <c r="M640" s="25">
        <f>Parameters!L321</f>
        <v>0</v>
      </c>
      <c r="N640" s="25">
        <f>Parameters!M321</f>
        <v>0</v>
      </c>
      <c r="O640" s="26" t="e">
        <f t="shared" ref="O640" si="955">O641</f>
        <v>#DIV/0!</v>
      </c>
      <c r="P640" s="23">
        <f>Parameters!N321</f>
        <v>0</v>
      </c>
      <c r="Q640" s="23">
        <f>Parameters!O321</f>
        <v>0</v>
      </c>
      <c r="R640" s="23">
        <f>Parameters!P321</f>
        <v>0</v>
      </c>
      <c r="S640" s="23">
        <f>Parameters!Q321</f>
        <v>0</v>
      </c>
      <c r="T640" s="23">
        <f>Parameters!R321</f>
        <v>0</v>
      </c>
      <c r="U640" s="27">
        <f>Parameters!S321</f>
        <v>0</v>
      </c>
      <c r="V640" s="28">
        <f>Parameters!T321</f>
        <v>0</v>
      </c>
      <c r="W640" s="27">
        <f>Parameters!U321</f>
        <v>0</v>
      </c>
      <c r="X640" s="28">
        <f>Parameters!V321</f>
        <v>0</v>
      </c>
      <c r="Y640" s="25">
        <f>Parameters!W321</f>
        <v>0</v>
      </c>
      <c r="Z640" s="23">
        <f>Parameters!X321</f>
        <v>0</v>
      </c>
      <c r="AA640" s="27">
        <f>Parameters!Y321</f>
        <v>0</v>
      </c>
      <c r="AB640" s="28">
        <f>Parameters!Z321</f>
        <v>0</v>
      </c>
      <c r="AC640" s="23">
        <f>Parameters!AA321</f>
        <v>0</v>
      </c>
    </row>
    <row r="641" spans="1:29">
      <c r="A641" s="29" t="str">
        <f>UPPER(A640)</f>
        <v>0</v>
      </c>
      <c r="B641" s="29">
        <f>B640</f>
        <v>0</v>
      </c>
      <c r="C641" s="30">
        <f>C640</f>
        <v>0</v>
      </c>
      <c r="D641" s="30">
        <f>D640</f>
        <v>0</v>
      </c>
      <c r="E641" s="29">
        <f>E640</f>
        <v>0</v>
      </c>
      <c r="F641" s="29">
        <f>F640</f>
        <v>0</v>
      </c>
      <c r="G641" s="29" t="e">
        <f>IF(C640=1,IF(D640="BUY",E640+(ROUND(F640*G640/B640,0)*B640),E640-(ROUND(F640*G640/B640,0)*B640)),IF(D640="BUY",E640-(ROUND(F640*G640/B640,0)*B640),E640+(ROUND(F640*G640/B640,0)*B640)))</f>
        <v>#DIV/0!</v>
      </c>
      <c r="H641" s="29" t="e">
        <f>IF(C640=1,IF(D640="BUY",G641-(ROUND(F640*H640/B640,0)*B640),G641+(ROUND(F640*H640/B640,0)*B640)),IF(D640="BUY",G641+(ROUND(F640*H640/B640,0)*B640),G641-(ROUND(F640*H640/B640,0)*B640)))</f>
        <v>#DIV/0!</v>
      </c>
      <c r="I641" s="29" t="e">
        <f>IF(D640="BUY",G641+(ROUND(F640*I640/(B640*100),0)*B640),G641-(ROUND(F640*I640/(B640*100),0)*B640))</f>
        <v>#DIV/0!</v>
      </c>
      <c r="J641" s="29" t="e">
        <f>IF(C640=1,IF(D640="BUY",E640+(ROUND(F640*J640/B640,0)*B640),E640-(ROUND(F640*J640/B640,0)*B640)),IF(D640="BUY",E640-(ROUND(F640*J640/B640,0)*B640),E640+(ROUND(F640*J640/B640,0)*B640)))</f>
        <v>#DIV/0!</v>
      </c>
      <c r="K641" s="29" t="e">
        <f>IF(C640=1,IF(D640="BUY",E640-(ROUND(F640*K640/B640,0)*B640),E640+(ROUND(F640*K640/B640,0)*B640)),IF(D640="BUY",E640-(ROUND(F640*K640/B640,0)*B640),E640+(ROUND(F640*K640/B640,0)*B640)))</f>
        <v>#DIV/0!</v>
      </c>
      <c r="L641" s="29" t="e">
        <f t="shared" ref="L641" si="956">IF(D641="BUY",I641+(R641*B641),I641-(R641*B641))</f>
        <v>#DIV/0!</v>
      </c>
      <c r="M641" s="29" t="e">
        <f>IF(D640="BUY",E640+(ROUND(F640*M640/B640,0)*B640),E640-(ROUND(F640*M640/B640,0)*B640))</f>
        <v>#DIV/0!</v>
      </c>
      <c r="N641" s="29" t="e">
        <f>IF(D640="BUY",E640-(ROUND(F640*N640/B640,0)*B640),E640+(ROUND(F640*N640/B640,0)*B640))</f>
        <v>#DIV/0!</v>
      </c>
      <c r="O641" s="31" t="e">
        <f>IF(D641="BUY",N641-VLOOKUP(A641,Symbols!A$1:D$1000,4,FALSE),N641+VLOOKUP(A641,Symbols!A$1:D$1000,4,FALSE))</f>
        <v>#DIV/0!</v>
      </c>
      <c r="P641" s="29">
        <f>P640</f>
        <v>0</v>
      </c>
      <c r="Q641" s="29">
        <f>Q640</f>
        <v>0</v>
      </c>
      <c r="R641" s="29">
        <f>R640</f>
        <v>0</v>
      </c>
      <c r="S641" s="29">
        <f>S640</f>
        <v>0</v>
      </c>
      <c r="T641" s="29">
        <f>T640</f>
        <v>0</v>
      </c>
      <c r="U641" s="29" t="e">
        <f>DATEDIF(DATE(1970,1,1),U640,"D")*86400</f>
        <v>#NUM!</v>
      </c>
      <c r="V641" s="29">
        <f>HOUR(V640)*3600+MINUTE(V640)*60+SECOND(V640)</f>
        <v>0</v>
      </c>
      <c r="W641" s="29" t="e">
        <f>DATEDIF(DATE(1970,1,1),W640,"D")*86400</f>
        <v>#NUM!</v>
      </c>
      <c r="X641" s="29">
        <f>HOUR(X640)*3600+MINUTE(X640)*60+SECOND(X640)</f>
        <v>0</v>
      </c>
      <c r="Y641" s="31">
        <f>(Y640*B641)</f>
        <v>0</v>
      </c>
      <c r="Z641" s="29">
        <f>Z640</f>
        <v>0</v>
      </c>
      <c r="AA641" s="29" t="e">
        <f>DATEDIF(DATE(1970,1,1),AA640,"D")*86400</f>
        <v>#NUM!</v>
      </c>
      <c r="AB641" s="29">
        <f>HOUR(AB640)*3600+MINUTE(AB640)*60+SECOND(AB640)</f>
        <v>0</v>
      </c>
      <c r="AC641" s="29">
        <f>AC640</f>
        <v>0</v>
      </c>
    </row>
    <row r="642" spans="1:29">
      <c r="A642" s="23">
        <f>Parameters!A322</f>
        <v>0</v>
      </c>
      <c r="B642" s="23">
        <f>Parameters!B322</f>
        <v>0</v>
      </c>
      <c r="C642" s="24">
        <f>Parameters!C322</f>
        <v>0</v>
      </c>
      <c r="D642" s="24">
        <f>Parameters!D322</f>
        <v>0</v>
      </c>
      <c r="E642" s="23">
        <f>Parameters!E322</f>
        <v>0</v>
      </c>
      <c r="F642" s="23">
        <f>Parameters!F322</f>
        <v>0</v>
      </c>
      <c r="G642" s="25">
        <f>Parameters!G322</f>
        <v>0</v>
      </c>
      <c r="H642" s="25">
        <f>Parameters!H322</f>
        <v>0</v>
      </c>
      <c r="I642" s="25">
        <f>Parameters!I322</f>
        <v>0</v>
      </c>
      <c r="J642" s="25">
        <f>Parameters!J322</f>
        <v>0</v>
      </c>
      <c r="K642" s="25">
        <f>Parameters!K322</f>
        <v>0</v>
      </c>
      <c r="L642" s="26" t="e">
        <f t="shared" ref="L642" si="957">L643</f>
        <v>#DIV/0!</v>
      </c>
      <c r="M642" s="25">
        <f>Parameters!L322</f>
        <v>0</v>
      </c>
      <c r="N642" s="25">
        <f>Parameters!M322</f>
        <v>0</v>
      </c>
      <c r="O642" s="26" t="e">
        <f t="shared" ref="O642" si="958">O643</f>
        <v>#DIV/0!</v>
      </c>
      <c r="P642" s="23">
        <f>Parameters!N322</f>
        <v>0</v>
      </c>
      <c r="Q642" s="23">
        <f>Parameters!O322</f>
        <v>0</v>
      </c>
      <c r="R642" s="23">
        <f>Parameters!P322</f>
        <v>0</v>
      </c>
      <c r="S642" s="23">
        <f>Parameters!Q322</f>
        <v>0</v>
      </c>
      <c r="T642" s="23">
        <f>Parameters!R322</f>
        <v>0</v>
      </c>
      <c r="U642" s="27">
        <f>Parameters!S322</f>
        <v>0</v>
      </c>
      <c r="V642" s="28">
        <f>Parameters!T322</f>
        <v>0</v>
      </c>
      <c r="W642" s="27">
        <f>Parameters!U322</f>
        <v>0</v>
      </c>
      <c r="X642" s="28">
        <f>Parameters!V322</f>
        <v>0</v>
      </c>
      <c r="Y642" s="25">
        <f>Parameters!W322</f>
        <v>0</v>
      </c>
      <c r="Z642" s="23">
        <f>Parameters!X322</f>
        <v>0</v>
      </c>
      <c r="AA642" s="27">
        <f>Parameters!Y322</f>
        <v>0</v>
      </c>
      <c r="AB642" s="28">
        <f>Parameters!Z322</f>
        <v>0</v>
      </c>
      <c r="AC642" s="23">
        <f>Parameters!AA322</f>
        <v>0</v>
      </c>
    </row>
    <row r="643" spans="1:29">
      <c r="A643" s="29" t="str">
        <f>UPPER(A642)</f>
        <v>0</v>
      </c>
      <c r="B643" s="29">
        <f>B642</f>
        <v>0</v>
      </c>
      <c r="C643" s="30">
        <f>C642</f>
        <v>0</v>
      </c>
      <c r="D643" s="30">
        <f>D642</f>
        <v>0</v>
      </c>
      <c r="E643" s="29">
        <f>E642</f>
        <v>0</v>
      </c>
      <c r="F643" s="29">
        <f>F642</f>
        <v>0</v>
      </c>
      <c r="G643" s="29" t="e">
        <f>IF(C642=1,IF(D642="BUY",E642+(ROUND(F642*G642/B642,0)*B642),E642-(ROUND(F642*G642/B642,0)*B642)),IF(D642="BUY",E642-(ROUND(F642*G642/B642,0)*B642),E642+(ROUND(F642*G642/B642,0)*B642)))</f>
        <v>#DIV/0!</v>
      </c>
      <c r="H643" s="29" t="e">
        <f>IF(C642=1,IF(D642="BUY",G643-(ROUND(F642*H642/B642,0)*B642),G643+(ROUND(F642*H642/B642,0)*B642)),IF(D642="BUY",G643+(ROUND(F642*H642/B642,0)*B642),G643-(ROUND(F642*H642/B642,0)*B642)))</f>
        <v>#DIV/0!</v>
      </c>
      <c r="I643" s="29" t="e">
        <f>IF(D642="BUY",G643+(ROUND(F642*I642/(B642*100),0)*B642),G643-(ROUND(F642*I642/(B642*100),0)*B642))</f>
        <v>#DIV/0!</v>
      </c>
      <c r="J643" s="29" t="e">
        <f>IF(C642=1,IF(D642="BUY",E642+(ROUND(F642*J642/B642,0)*B642),E642-(ROUND(F642*J642/B642,0)*B642)),IF(D642="BUY",E642-(ROUND(F642*J642/B642,0)*B642),E642+(ROUND(F642*J642/B642,0)*B642)))</f>
        <v>#DIV/0!</v>
      </c>
      <c r="K643" s="29" t="e">
        <f>IF(C642=1,IF(D642="BUY",E642-(ROUND(F642*K642/B642,0)*B642),E642+(ROUND(F642*K642/B642,0)*B642)),IF(D642="BUY",E642-(ROUND(F642*K642/B642,0)*B642),E642+(ROUND(F642*K642/B642,0)*B642)))</f>
        <v>#DIV/0!</v>
      </c>
      <c r="L643" s="29" t="e">
        <f t="shared" ref="L643" si="959">IF(D643="BUY",I643+(R643*B643),I643-(R643*B643))</f>
        <v>#DIV/0!</v>
      </c>
      <c r="M643" s="29" t="e">
        <f>IF(D642="BUY",E642+(ROUND(F642*M642/B642,0)*B642),E642-(ROUND(F642*M642/B642,0)*B642))</f>
        <v>#DIV/0!</v>
      </c>
      <c r="N643" s="29" t="e">
        <f>IF(D642="BUY",E642-(ROUND(F642*N642/B642,0)*B642),E642+(ROUND(F642*N642/B642,0)*B642))</f>
        <v>#DIV/0!</v>
      </c>
      <c r="O643" s="31" t="e">
        <f>IF(D643="BUY",N643-VLOOKUP(A643,Symbols!A$1:D$1000,4,FALSE),N643+VLOOKUP(A643,Symbols!A$1:D$1000,4,FALSE))</f>
        <v>#DIV/0!</v>
      </c>
      <c r="P643" s="29">
        <f>P642</f>
        <v>0</v>
      </c>
      <c r="Q643" s="29">
        <f>Q642</f>
        <v>0</v>
      </c>
      <c r="R643" s="29">
        <f>R642</f>
        <v>0</v>
      </c>
      <c r="S643" s="29">
        <f>S642</f>
        <v>0</v>
      </c>
      <c r="T643" s="29">
        <f>T642</f>
        <v>0</v>
      </c>
      <c r="U643" s="29" t="e">
        <f>DATEDIF(DATE(1970,1,1),U642,"D")*86400</f>
        <v>#NUM!</v>
      </c>
      <c r="V643" s="29">
        <f>HOUR(V642)*3600+MINUTE(V642)*60+SECOND(V642)</f>
        <v>0</v>
      </c>
      <c r="W643" s="29" t="e">
        <f>DATEDIF(DATE(1970,1,1),W642,"D")*86400</f>
        <v>#NUM!</v>
      </c>
      <c r="X643" s="29">
        <f>HOUR(X642)*3600+MINUTE(X642)*60+SECOND(X642)</f>
        <v>0</v>
      </c>
      <c r="Y643" s="31">
        <f>(Y642*B643)</f>
        <v>0</v>
      </c>
      <c r="Z643" s="29">
        <f>Z642</f>
        <v>0</v>
      </c>
      <c r="AA643" s="29" t="e">
        <f>DATEDIF(DATE(1970,1,1),AA642,"D")*86400</f>
        <v>#NUM!</v>
      </c>
      <c r="AB643" s="29">
        <f>HOUR(AB642)*3600+MINUTE(AB642)*60+SECOND(AB642)</f>
        <v>0</v>
      </c>
      <c r="AC643" s="29">
        <f>AC642</f>
        <v>0</v>
      </c>
    </row>
    <row r="644" spans="1:29">
      <c r="A644" s="23">
        <f>Parameters!A323</f>
        <v>0</v>
      </c>
      <c r="B644" s="23">
        <f>Parameters!B323</f>
        <v>0</v>
      </c>
      <c r="C644" s="24">
        <f>Parameters!C323</f>
        <v>0</v>
      </c>
      <c r="D644" s="24">
        <f>Parameters!D323</f>
        <v>0</v>
      </c>
      <c r="E644" s="23">
        <f>Parameters!E323</f>
        <v>0</v>
      </c>
      <c r="F644" s="23">
        <f>Parameters!F323</f>
        <v>0</v>
      </c>
      <c r="G644" s="25">
        <f>Parameters!G323</f>
        <v>0</v>
      </c>
      <c r="H644" s="25">
        <f>Parameters!H323</f>
        <v>0</v>
      </c>
      <c r="I644" s="25">
        <f>Parameters!I323</f>
        <v>0</v>
      </c>
      <c r="J644" s="25">
        <f>Parameters!J323</f>
        <v>0</v>
      </c>
      <c r="K644" s="25">
        <f>Parameters!K323</f>
        <v>0</v>
      </c>
      <c r="L644" s="26" t="e">
        <f t="shared" ref="L644" si="960">L645</f>
        <v>#DIV/0!</v>
      </c>
      <c r="M644" s="25">
        <f>Parameters!L323</f>
        <v>0</v>
      </c>
      <c r="N644" s="25">
        <f>Parameters!M323</f>
        <v>0</v>
      </c>
      <c r="O644" s="26" t="e">
        <f t="shared" ref="O644" si="961">O645</f>
        <v>#DIV/0!</v>
      </c>
      <c r="P644" s="23">
        <f>Parameters!N323</f>
        <v>0</v>
      </c>
      <c r="Q644" s="23">
        <f>Parameters!O323</f>
        <v>0</v>
      </c>
      <c r="R644" s="23">
        <f>Parameters!P323</f>
        <v>0</v>
      </c>
      <c r="S644" s="23">
        <f>Parameters!Q323</f>
        <v>0</v>
      </c>
      <c r="T644" s="23">
        <f>Parameters!R323</f>
        <v>0</v>
      </c>
      <c r="U644" s="27">
        <f>Parameters!S323</f>
        <v>0</v>
      </c>
      <c r="V644" s="28">
        <f>Parameters!T323</f>
        <v>0</v>
      </c>
      <c r="W644" s="27">
        <f>Parameters!U323</f>
        <v>0</v>
      </c>
      <c r="X644" s="28">
        <f>Parameters!V323</f>
        <v>0</v>
      </c>
      <c r="Y644" s="25">
        <f>Parameters!W323</f>
        <v>0</v>
      </c>
      <c r="Z644" s="23">
        <f>Parameters!X323</f>
        <v>0</v>
      </c>
      <c r="AA644" s="27">
        <f>Parameters!Y323</f>
        <v>0</v>
      </c>
      <c r="AB644" s="28">
        <f>Parameters!Z323</f>
        <v>0</v>
      </c>
      <c r="AC644" s="23">
        <f>Parameters!AA323</f>
        <v>0</v>
      </c>
    </row>
    <row r="645" spans="1:29">
      <c r="A645" s="29" t="str">
        <f>UPPER(A644)</f>
        <v>0</v>
      </c>
      <c r="B645" s="29">
        <f>B644</f>
        <v>0</v>
      </c>
      <c r="C645" s="30">
        <f>C644</f>
        <v>0</v>
      </c>
      <c r="D645" s="30">
        <f>D644</f>
        <v>0</v>
      </c>
      <c r="E645" s="29">
        <f>E644</f>
        <v>0</v>
      </c>
      <c r="F645" s="29">
        <f>F644</f>
        <v>0</v>
      </c>
      <c r="G645" s="29" t="e">
        <f>IF(C644=1,IF(D644="BUY",E644+(ROUND(F644*G644/B644,0)*B644),E644-(ROUND(F644*G644/B644,0)*B644)),IF(D644="BUY",E644-(ROUND(F644*G644/B644,0)*B644),E644+(ROUND(F644*G644/B644,0)*B644)))</f>
        <v>#DIV/0!</v>
      </c>
      <c r="H645" s="29" t="e">
        <f>IF(C644=1,IF(D644="BUY",G645-(ROUND(F644*H644/B644,0)*B644),G645+(ROUND(F644*H644/B644,0)*B644)),IF(D644="BUY",G645+(ROUND(F644*H644/B644,0)*B644),G645-(ROUND(F644*H644/B644,0)*B644)))</f>
        <v>#DIV/0!</v>
      </c>
      <c r="I645" s="29" t="e">
        <f>IF(D644="BUY",G645+(ROUND(F644*I644/(B644*100),0)*B644),G645-(ROUND(F644*I644/(B644*100),0)*B644))</f>
        <v>#DIV/0!</v>
      </c>
      <c r="J645" s="29" t="e">
        <f>IF(C644=1,IF(D644="BUY",E644+(ROUND(F644*J644/B644,0)*B644),E644-(ROUND(F644*J644/B644,0)*B644)),IF(D644="BUY",E644-(ROUND(F644*J644/B644,0)*B644),E644+(ROUND(F644*J644/B644,0)*B644)))</f>
        <v>#DIV/0!</v>
      </c>
      <c r="K645" s="29" t="e">
        <f>IF(C644=1,IF(D644="BUY",E644-(ROUND(F644*K644/B644,0)*B644),E644+(ROUND(F644*K644/B644,0)*B644)),IF(D644="BUY",E644-(ROUND(F644*K644/B644,0)*B644),E644+(ROUND(F644*K644/B644,0)*B644)))</f>
        <v>#DIV/0!</v>
      </c>
      <c r="L645" s="29" t="e">
        <f t="shared" ref="L645" si="962">IF(D645="BUY",I645+(R645*B645),I645-(R645*B645))</f>
        <v>#DIV/0!</v>
      </c>
      <c r="M645" s="29" t="e">
        <f>IF(D644="BUY",E644+(ROUND(F644*M644/B644,0)*B644),E644-(ROUND(F644*M644/B644,0)*B644))</f>
        <v>#DIV/0!</v>
      </c>
      <c r="N645" s="29" t="e">
        <f>IF(D644="BUY",E644-(ROUND(F644*N644/B644,0)*B644),E644+(ROUND(F644*N644/B644,0)*B644))</f>
        <v>#DIV/0!</v>
      </c>
      <c r="O645" s="31" t="e">
        <f>IF(D645="BUY",N645-VLOOKUP(A645,Symbols!A$1:D$1000,4,FALSE),N645+VLOOKUP(A645,Symbols!A$1:D$1000,4,FALSE))</f>
        <v>#DIV/0!</v>
      </c>
      <c r="P645" s="29">
        <f>P644</f>
        <v>0</v>
      </c>
      <c r="Q645" s="29">
        <f>Q644</f>
        <v>0</v>
      </c>
      <c r="R645" s="29">
        <f>R644</f>
        <v>0</v>
      </c>
      <c r="S645" s="29">
        <f>S644</f>
        <v>0</v>
      </c>
      <c r="T645" s="29">
        <f>T644</f>
        <v>0</v>
      </c>
      <c r="U645" s="29" t="e">
        <f>DATEDIF(DATE(1970,1,1),U644,"D")*86400</f>
        <v>#NUM!</v>
      </c>
      <c r="V645" s="29">
        <f>HOUR(V644)*3600+MINUTE(V644)*60+SECOND(V644)</f>
        <v>0</v>
      </c>
      <c r="W645" s="29" t="e">
        <f>DATEDIF(DATE(1970,1,1),W644,"D")*86400</f>
        <v>#NUM!</v>
      </c>
      <c r="X645" s="29">
        <f>HOUR(X644)*3600+MINUTE(X644)*60+SECOND(X644)</f>
        <v>0</v>
      </c>
      <c r="Y645" s="31">
        <f>(Y644*B645)</f>
        <v>0</v>
      </c>
      <c r="Z645" s="29">
        <f>Z644</f>
        <v>0</v>
      </c>
      <c r="AA645" s="29" t="e">
        <f>DATEDIF(DATE(1970,1,1),AA644,"D")*86400</f>
        <v>#NUM!</v>
      </c>
      <c r="AB645" s="29">
        <f>HOUR(AB644)*3600+MINUTE(AB644)*60+SECOND(AB644)</f>
        <v>0</v>
      </c>
      <c r="AC645" s="29">
        <f>AC644</f>
        <v>0</v>
      </c>
    </row>
    <row r="646" spans="1:29">
      <c r="A646" s="23">
        <f>Parameters!A324</f>
        <v>0</v>
      </c>
      <c r="B646" s="23">
        <f>Parameters!B324</f>
        <v>0</v>
      </c>
      <c r="C646" s="24">
        <f>Parameters!C324</f>
        <v>0</v>
      </c>
      <c r="D646" s="24">
        <f>Parameters!D324</f>
        <v>0</v>
      </c>
      <c r="E646" s="23">
        <f>Parameters!E324</f>
        <v>0</v>
      </c>
      <c r="F646" s="23">
        <f>Parameters!F324</f>
        <v>0</v>
      </c>
      <c r="G646" s="25">
        <f>Parameters!G324</f>
        <v>0</v>
      </c>
      <c r="H646" s="25">
        <f>Parameters!H324</f>
        <v>0</v>
      </c>
      <c r="I646" s="25">
        <f>Parameters!I324</f>
        <v>0</v>
      </c>
      <c r="J646" s="25">
        <f>Parameters!J324</f>
        <v>0</v>
      </c>
      <c r="K646" s="25">
        <f>Parameters!K324</f>
        <v>0</v>
      </c>
      <c r="L646" s="26" t="e">
        <f t="shared" ref="L646" si="963">L647</f>
        <v>#DIV/0!</v>
      </c>
      <c r="M646" s="25">
        <f>Parameters!L324</f>
        <v>0</v>
      </c>
      <c r="N646" s="25">
        <f>Parameters!M324</f>
        <v>0</v>
      </c>
      <c r="O646" s="26" t="e">
        <f t="shared" ref="O646" si="964">O647</f>
        <v>#DIV/0!</v>
      </c>
      <c r="P646" s="23">
        <f>Parameters!N324</f>
        <v>0</v>
      </c>
      <c r="Q646" s="23">
        <f>Parameters!O324</f>
        <v>0</v>
      </c>
      <c r="R646" s="23">
        <f>Parameters!P324</f>
        <v>0</v>
      </c>
      <c r="S646" s="23">
        <f>Parameters!Q324</f>
        <v>0</v>
      </c>
      <c r="T646" s="23">
        <f>Parameters!R324</f>
        <v>0</v>
      </c>
      <c r="U646" s="27">
        <f>Parameters!S324</f>
        <v>0</v>
      </c>
      <c r="V646" s="28">
        <f>Parameters!T324</f>
        <v>0</v>
      </c>
      <c r="W646" s="27">
        <f>Parameters!U324</f>
        <v>0</v>
      </c>
      <c r="X646" s="28">
        <f>Parameters!V324</f>
        <v>0</v>
      </c>
      <c r="Y646" s="25">
        <f>Parameters!W324</f>
        <v>0</v>
      </c>
      <c r="Z646" s="23">
        <f>Parameters!X324</f>
        <v>0</v>
      </c>
      <c r="AA646" s="27">
        <f>Parameters!Y324</f>
        <v>0</v>
      </c>
      <c r="AB646" s="28">
        <f>Parameters!Z324</f>
        <v>0</v>
      </c>
      <c r="AC646" s="23">
        <f>Parameters!AA324</f>
        <v>0</v>
      </c>
    </row>
    <row r="647" spans="1:29">
      <c r="A647" s="29" t="str">
        <f>UPPER(A646)</f>
        <v>0</v>
      </c>
      <c r="B647" s="29">
        <f>B646</f>
        <v>0</v>
      </c>
      <c r="C647" s="30">
        <f>C646</f>
        <v>0</v>
      </c>
      <c r="D647" s="30">
        <f>D646</f>
        <v>0</v>
      </c>
      <c r="E647" s="29">
        <f>E646</f>
        <v>0</v>
      </c>
      <c r="F647" s="29">
        <f>F646</f>
        <v>0</v>
      </c>
      <c r="G647" s="29" t="e">
        <f>IF(C646=1,IF(D646="BUY",E646+(ROUND(F646*G646/B646,0)*B646),E646-(ROUND(F646*G646/B646,0)*B646)),IF(D646="BUY",E646-(ROUND(F646*G646/B646,0)*B646),E646+(ROUND(F646*G646/B646,0)*B646)))</f>
        <v>#DIV/0!</v>
      </c>
      <c r="H647" s="29" t="e">
        <f>IF(C646=1,IF(D646="BUY",G647-(ROUND(F646*H646/B646,0)*B646),G647+(ROUND(F646*H646/B646,0)*B646)),IF(D646="BUY",G647+(ROUND(F646*H646/B646,0)*B646),G647-(ROUND(F646*H646/B646,0)*B646)))</f>
        <v>#DIV/0!</v>
      </c>
      <c r="I647" s="29" t="e">
        <f>IF(D646="BUY",G647+(ROUND(F646*I646/(B646*100),0)*B646),G647-(ROUND(F646*I646/(B646*100),0)*B646))</f>
        <v>#DIV/0!</v>
      </c>
      <c r="J647" s="29" t="e">
        <f>IF(C646=1,IF(D646="BUY",E646+(ROUND(F646*J646/B646,0)*B646),E646-(ROUND(F646*J646/B646,0)*B646)),IF(D646="BUY",E646-(ROUND(F646*J646/B646,0)*B646),E646+(ROUND(F646*J646/B646,0)*B646)))</f>
        <v>#DIV/0!</v>
      </c>
      <c r="K647" s="29" t="e">
        <f>IF(C646=1,IF(D646="BUY",E646-(ROUND(F646*K646/B646,0)*B646),E646+(ROUND(F646*K646/B646,0)*B646)),IF(D646="BUY",E646-(ROUND(F646*K646/B646,0)*B646),E646+(ROUND(F646*K646/B646,0)*B646)))</f>
        <v>#DIV/0!</v>
      </c>
      <c r="L647" s="29" t="e">
        <f t="shared" ref="L647" si="965">IF(D647="BUY",I647+(R647*B647),I647-(R647*B647))</f>
        <v>#DIV/0!</v>
      </c>
      <c r="M647" s="29" t="e">
        <f>IF(D646="BUY",E646+(ROUND(F646*M646/B646,0)*B646),E646-(ROUND(F646*M646/B646,0)*B646))</f>
        <v>#DIV/0!</v>
      </c>
      <c r="N647" s="29" t="e">
        <f>IF(D646="BUY",E646-(ROUND(F646*N646/B646,0)*B646),E646+(ROUND(F646*N646/B646,0)*B646))</f>
        <v>#DIV/0!</v>
      </c>
      <c r="O647" s="31" t="e">
        <f>IF(D647="BUY",N647-VLOOKUP(A647,Symbols!A$1:D$1000,4,FALSE),N647+VLOOKUP(A647,Symbols!A$1:D$1000,4,FALSE))</f>
        <v>#DIV/0!</v>
      </c>
      <c r="P647" s="29">
        <f>P646</f>
        <v>0</v>
      </c>
      <c r="Q647" s="29">
        <f>Q646</f>
        <v>0</v>
      </c>
      <c r="R647" s="29">
        <f>R646</f>
        <v>0</v>
      </c>
      <c r="S647" s="29">
        <f>S646</f>
        <v>0</v>
      </c>
      <c r="T647" s="29">
        <f>T646</f>
        <v>0</v>
      </c>
      <c r="U647" s="29" t="e">
        <f>DATEDIF(DATE(1970,1,1),U646,"D")*86400</f>
        <v>#NUM!</v>
      </c>
      <c r="V647" s="29">
        <f>HOUR(V646)*3600+MINUTE(V646)*60+SECOND(V646)</f>
        <v>0</v>
      </c>
      <c r="W647" s="29" t="e">
        <f>DATEDIF(DATE(1970,1,1),W646,"D")*86400</f>
        <v>#NUM!</v>
      </c>
      <c r="X647" s="29">
        <f>HOUR(X646)*3600+MINUTE(X646)*60+SECOND(X646)</f>
        <v>0</v>
      </c>
      <c r="Y647" s="31">
        <f>(Y646*B647)</f>
        <v>0</v>
      </c>
      <c r="Z647" s="29">
        <f>Z646</f>
        <v>0</v>
      </c>
      <c r="AA647" s="29" t="e">
        <f>DATEDIF(DATE(1970,1,1),AA646,"D")*86400</f>
        <v>#NUM!</v>
      </c>
      <c r="AB647" s="29">
        <f>HOUR(AB646)*3600+MINUTE(AB646)*60+SECOND(AB646)</f>
        <v>0</v>
      </c>
      <c r="AC647" s="29">
        <f>AC646</f>
        <v>0</v>
      </c>
    </row>
    <row r="648" spans="1:29">
      <c r="A648" s="23">
        <f>Parameters!A325</f>
        <v>0</v>
      </c>
      <c r="B648" s="23">
        <f>Parameters!B325</f>
        <v>0</v>
      </c>
      <c r="C648" s="24">
        <f>Parameters!C325</f>
        <v>0</v>
      </c>
      <c r="D648" s="24">
        <f>Parameters!D325</f>
        <v>0</v>
      </c>
      <c r="E648" s="23">
        <f>Parameters!E325</f>
        <v>0</v>
      </c>
      <c r="F648" s="23">
        <f>Parameters!F325</f>
        <v>0</v>
      </c>
      <c r="G648" s="25">
        <f>Parameters!G325</f>
        <v>0</v>
      </c>
      <c r="H648" s="25">
        <f>Parameters!H325</f>
        <v>0</v>
      </c>
      <c r="I648" s="25">
        <f>Parameters!I325</f>
        <v>0</v>
      </c>
      <c r="J648" s="25">
        <f>Parameters!J325</f>
        <v>0</v>
      </c>
      <c r="K648" s="25">
        <f>Parameters!K325</f>
        <v>0</v>
      </c>
      <c r="L648" s="26" t="e">
        <f t="shared" ref="L648" si="966">L649</f>
        <v>#DIV/0!</v>
      </c>
      <c r="M648" s="25">
        <f>Parameters!L325</f>
        <v>0</v>
      </c>
      <c r="N648" s="25">
        <f>Parameters!M325</f>
        <v>0</v>
      </c>
      <c r="O648" s="26" t="e">
        <f t="shared" ref="O648" si="967">O649</f>
        <v>#DIV/0!</v>
      </c>
      <c r="P648" s="23">
        <f>Parameters!N325</f>
        <v>0</v>
      </c>
      <c r="Q648" s="23">
        <f>Parameters!O325</f>
        <v>0</v>
      </c>
      <c r="R648" s="23">
        <f>Parameters!P325</f>
        <v>0</v>
      </c>
      <c r="S648" s="23">
        <f>Parameters!Q325</f>
        <v>0</v>
      </c>
      <c r="T648" s="23">
        <f>Parameters!R325</f>
        <v>0</v>
      </c>
      <c r="U648" s="27">
        <f>Parameters!S325</f>
        <v>0</v>
      </c>
      <c r="V648" s="28">
        <f>Parameters!T325</f>
        <v>0</v>
      </c>
      <c r="W648" s="27">
        <f>Parameters!U325</f>
        <v>0</v>
      </c>
      <c r="X648" s="28">
        <f>Parameters!V325</f>
        <v>0</v>
      </c>
      <c r="Y648" s="25">
        <f>Parameters!W325</f>
        <v>0</v>
      </c>
      <c r="Z648" s="23">
        <f>Parameters!X325</f>
        <v>0</v>
      </c>
      <c r="AA648" s="27">
        <f>Parameters!Y325</f>
        <v>0</v>
      </c>
      <c r="AB648" s="28">
        <f>Parameters!Z325</f>
        <v>0</v>
      </c>
      <c r="AC648" s="23">
        <f>Parameters!AA325</f>
        <v>0</v>
      </c>
    </row>
    <row r="649" spans="1:29">
      <c r="A649" s="29" t="str">
        <f>UPPER(A648)</f>
        <v>0</v>
      </c>
      <c r="B649" s="29">
        <f>B648</f>
        <v>0</v>
      </c>
      <c r="C649" s="30">
        <f>C648</f>
        <v>0</v>
      </c>
      <c r="D649" s="30">
        <f>D648</f>
        <v>0</v>
      </c>
      <c r="E649" s="29">
        <f>E648</f>
        <v>0</v>
      </c>
      <c r="F649" s="29">
        <f>F648</f>
        <v>0</v>
      </c>
      <c r="G649" s="29" t="e">
        <f>IF(C648=1,IF(D648="BUY",E648+(ROUND(F648*G648/B648,0)*B648),E648-(ROUND(F648*G648/B648,0)*B648)),IF(D648="BUY",E648-(ROUND(F648*G648/B648,0)*B648),E648+(ROUND(F648*G648/B648,0)*B648)))</f>
        <v>#DIV/0!</v>
      </c>
      <c r="H649" s="29" t="e">
        <f>IF(C648=1,IF(D648="BUY",G649-(ROUND(F648*H648/B648,0)*B648),G649+(ROUND(F648*H648/B648,0)*B648)),IF(D648="BUY",G649+(ROUND(F648*H648/B648,0)*B648),G649-(ROUND(F648*H648/B648,0)*B648)))</f>
        <v>#DIV/0!</v>
      </c>
      <c r="I649" s="29" t="e">
        <f>IF(D648="BUY",G649+(ROUND(F648*I648/(B648*100),0)*B648),G649-(ROUND(F648*I648/(B648*100),0)*B648))</f>
        <v>#DIV/0!</v>
      </c>
      <c r="J649" s="29" t="e">
        <f>IF(C648=1,IF(D648="BUY",E648+(ROUND(F648*J648/B648,0)*B648),E648-(ROUND(F648*J648/B648,0)*B648)),IF(D648="BUY",E648-(ROUND(F648*J648/B648,0)*B648),E648+(ROUND(F648*J648/B648,0)*B648)))</f>
        <v>#DIV/0!</v>
      </c>
      <c r="K649" s="29" t="e">
        <f>IF(C648=1,IF(D648="BUY",E648-(ROUND(F648*K648/B648,0)*B648),E648+(ROUND(F648*K648/B648,0)*B648)),IF(D648="BUY",E648-(ROUND(F648*K648/B648,0)*B648),E648+(ROUND(F648*K648/B648,0)*B648)))</f>
        <v>#DIV/0!</v>
      </c>
      <c r="L649" s="29" t="e">
        <f t="shared" ref="L649" si="968">IF(D649="BUY",I649+(R649*B649),I649-(R649*B649))</f>
        <v>#DIV/0!</v>
      </c>
      <c r="M649" s="29" t="e">
        <f>IF(D648="BUY",E648+(ROUND(F648*M648/B648,0)*B648),E648-(ROUND(F648*M648/B648,0)*B648))</f>
        <v>#DIV/0!</v>
      </c>
      <c r="N649" s="29" t="e">
        <f>IF(D648="BUY",E648-(ROUND(F648*N648/B648,0)*B648),E648+(ROUND(F648*N648/B648,0)*B648))</f>
        <v>#DIV/0!</v>
      </c>
      <c r="O649" s="31" t="e">
        <f>IF(D649="BUY",N649-VLOOKUP(A649,Symbols!A$1:D$1000,4,FALSE),N649+VLOOKUP(A649,Symbols!A$1:D$1000,4,FALSE))</f>
        <v>#DIV/0!</v>
      </c>
      <c r="P649" s="29">
        <f>P648</f>
        <v>0</v>
      </c>
      <c r="Q649" s="29">
        <f>Q648</f>
        <v>0</v>
      </c>
      <c r="R649" s="29">
        <f>R648</f>
        <v>0</v>
      </c>
      <c r="S649" s="29">
        <f>S648</f>
        <v>0</v>
      </c>
      <c r="T649" s="29">
        <f>T648</f>
        <v>0</v>
      </c>
      <c r="U649" s="29" t="e">
        <f>DATEDIF(DATE(1970,1,1),U648,"D")*86400</f>
        <v>#NUM!</v>
      </c>
      <c r="V649" s="29">
        <f>HOUR(V648)*3600+MINUTE(V648)*60+SECOND(V648)</f>
        <v>0</v>
      </c>
      <c r="W649" s="29" t="e">
        <f>DATEDIF(DATE(1970,1,1),W648,"D")*86400</f>
        <v>#NUM!</v>
      </c>
      <c r="X649" s="29">
        <f>HOUR(X648)*3600+MINUTE(X648)*60+SECOND(X648)</f>
        <v>0</v>
      </c>
      <c r="Y649" s="31">
        <f>(Y648*B649)</f>
        <v>0</v>
      </c>
      <c r="Z649" s="29">
        <f>Z648</f>
        <v>0</v>
      </c>
      <c r="AA649" s="29" t="e">
        <f>DATEDIF(DATE(1970,1,1),AA648,"D")*86400</f>
        <v>#NUM!</v>
      </c>
      <c r="AB649" s="29">
        <f>HOUR(AB648)*3600+MINUTE(AB648)*60+SECOND(AB648)</f>
        <v>0</v>
      </c>
      <c r="AC649" s="29">
        <f>AC648</f>
        <v>0</v>
      </c>
    </row>
    <row r="650" spans="1:29">
      <c r="A650" s="23">
        <f>Parameters!A326</f>
        <v>0</v>
      </c>
      <c r="B650" s="23">
        <f>Parameters!B326</f>
        <v>0</v>
      </c>
      <c r="C650" s="24">
        <f>Parameters!C326</f>
        <v>0</v>
      </c>
      <c r="D650" s="24">
        <f>Parameters!D326</f>
        <v>0</v>
      </c>
      <c r="E650" s="23">
        <f>Parameters!E326</f>
        <v>0</v>
      </c>
      <c r="F650" s="23">
        <f>Parameters!F326</f>
        <v>0</v>
      </c>
      <c r="G650" s="25">
        <f>Parameters!G326</f>
        <v>0</v>
      </c>
      <c r="H650" s="25">
        <f>Parameters!H326</f>
        <v>0</v>
      </c>
      <c r="I650" s="25">
        <f>Parameters!I326</f>
        <v>0</v>
      </c>
      <c r="J650" s="25">
        <f>Parameters!J326</f>
        <v>0</v>
      </c>
      <c r="K650" s="25">
        <f>Parameters!K326</f>
        <v>0</v>
      </c>
      <c r="L650" s="26" t="e">
        <f t="shared" ref="L650" si="969">L651</f>
        <v>#DIV/0!</v>
      </c>
      <c r="M650" s="25">
        <f>Parameters!L326</f>
        <v>0</v>
      </c>
      <c r="N650" s="25">
        <f>Parameters!M326</f>
        <v>0</v>
      </c>
      <c r="O650" s="26" t="e">
        <f t="shared" ref="O650" si="970">O651</f>
        <v>#DIV/0!</v>
      </c>
      <c r="P650" s="23">
        <f>Parameters!N326</f>
        <v>0</v>
      </c>
      <c r="Q650" s="23">
        <f>Parameters!O326</f>
        <v>0</v>
      </c>
      <c r="R650" s="23">
        <f>Parameters!P326</f>
        <v>0</v>
      </c>
      <c r="S650" s="23">
        <f>Parameters!Q326</f>
        <v>0</v>
      </c>
      <c r="T650" s="23">
        <f>Parameters!R326</f>
        <v>0</v>
      </c>
      <c r="U650" s="27">
        <f>Parameters!S326</f>
        <v>0</v>
      </c>
      <c r="V650" s="28">
        <f>Parameters!T326</f>
        <v>0</v>
      </c>
      <c r="W650" s="27">
        <f>Parameters!U326</f>
        <v>0</v>
      </c>
      <c r="X650" s="28">
        <f>Parameters!V326</f>
        <v>0</v>
      </c>
      <c r="Y650" s="25">
        <f>Parameters!W326</f>
        <v>0</v>
      </c>
      <c r="Z650" s="23">
        <f>Parameters!X326</f>
        <v>0</v>
      </c>
      <c r="AA650" s="27">
        <f>Parameters!Y326</f>
        <v>0</v>
      </c>
      <c r="AB650" s="28">
        <f>Parameters!Z326</f>
        <v>0</v>
      </c>
      <c r="AC650" s="23">
        <f>Parameters!AA326</f>
        <v>0</v>
      </c>
    </row>
    <row r="651" spans="1:29">
      <c r="A651" s="29" t="str">
        <f>UPPER(A650)</f>
        <v>0</v>
      </c>
      <c r="B651" s="29">
        <f>B650</f>
        <v>0</v>
      </c>
      <c r="C651" s="30">
        <f>C650</f>
        <v>0</v>
      </c>
      <c r="D651" s="30">
        <f>D650</f>
        <v>0</v>
      </c>
      <c r="E651" s="29">
        <f>E650</f>
        <v>0</v>
      </c>
      <c r="F651" s="29">
        <f>F650</f>
        <v>0</v>
      </c>
      <c r="G651" s="29" t="e">
        <f>IF(C650=1,IF(D650="BUY",E650+(ROUND(F650*G650/B650,0)*B650),E650-(ROUND(F650*G650/B650,0)*B650)),IF(D650="BUY",E650-(ROUND(F650*G650/B650,0)*B650),E650+(ROUND(F650*G650/B650,0)*B650)))</f>
        <v>#DIV/0!</v>
      </c>
      <c r="H651" s="29" t="e">
        <f>IF(C650=1,IF(D650="BUY",G651-(ROUND(F650*H650/B650,0)*B650),G651+(ROUND(F650*H650/B650,0)*B650)),IF(D650="BUY",G651+(ROUND(F650*H650/B650,0)*B650),G651-(ROUND(F650*H650/B650,0)*B650)))</f>
        <v>#DIV/0!</v>
      </c>
      <c r="I651" s="29" t="e">
        <f>IF(D650="BUY",G651+(ROUND(F650*I650/(B650*100),0)*B650),G651-(ROUND(F650*I650/(B650*100),0)*B650))</f>
        <v>#DIV/0!</v>
      </c>
      <c r="J651" s="29" t="e">
        <f>IF(C650=1,IF(D650="BUY",E650+(ROUND(F650*J650/B650,0)*B650),E650-(ROUND(F650*J650/B650,0)*B650)),IF(D650="BUY",E650-(ROUND(F650*J650/B650,0)*B650),E650+(ROUND(F650*J650/B650,0)*B650)))</f>
        <v>#DIV/0!</v>
      </c>
      <c r="K651" s="29" t="e">
        <f>IF(C650=1,IF(D650="BUY",E650-(ROUND(F650*K650/B650,0)*B650),E650+(ROUND(F650*K650/B650,0)*B650)),IF(D650="BUY",E650-(ROUND(F650*K650/B650,0)*B650),E650+(ROUND(F650*K650/B650,0)*B650)))</f>
        <v>#DIV/0!</v>
      </c>
      <c r="L651" s="29" t="e">
        <f t="shared" ref="L651" si="971">IF(D651="BUY",I651+(R651*B651),I651-(R651*B651))</f>
        <v>#DIV/0!</v>
      </c>
      <c r="M651" s="29" t="e">
        <f>IF(D650="BUY",E650+(ROUND(F650*M650/B650,0)*B650),E650-(ROUND(F650*M650/B650,0)*B650))</f>
        <v>#DIV/0!</v>
      </c>
      <c r="N651" s="29" t="e">
        <f>IF(D650="BUY",E650-(ROUND(F650*N650/B650,0)*B650),E650+(ROUND(F650*N650/B650,0)*B650))</f>
        <v>#DIV/0!</v>
      </c>
      <c r="O651" s="31" t="e">
        <f>IF(D651="BUY",N651-VLOOKUP(A651,Symbols!A$1:D$1000,4,FALSE),N651+VLOOKUP(A651,Symbols!A$1:D$1000,4,FALSE))</f>
        <v>#DIV/0!</v>
      </c>
      <c r="P651" s="29">
        <f>P650</f>
        <v>0</v>
      </c>
      <c r="Q651" s="29">
        <f>Q650</f>
        <v>0</v>
      </c>
      <c r="R651" s="29">
        <f>R650</f>
        <v>0</v>
      </c>
      <c r="S651" s="29">
        <f>S650</f>
        <v>0</v>
      </c>
      <c r="T651" s="29">
        <f>T650</f>
        <v>0</v>
      </c>
      <c r="U651" s="29" t="e">
        <f>DATEDIF(DATE(1970,1,1),U650,"D")*86400</f>
        <v>#NUM!</v>
      </c>
      <c r="V651" s="29">
        <f>HOUR(V650)*3600+MINUTE(V650)*60+SECOND(V650)</f>
        <v>0</v>
      </c>
      <c r="W651" s="29" t="e">
        <f>DATEDIF(DATE(1970,1,1),W650,"D")*86400</f>
        <v>#NUM!</v>
      </c>
      <c r="X651" s="29">
        <f>HOUR(X650)*3600+MINUTE(X650)*60+SECOND(X650)</f>
        <v>0</v>
      </c>
      <c r="Y651" s="31">
        <f>(Y650*B651)</f>
        <v>0</v>
      </c>
      <c r="Z651" s="29">
        <f>Z650</f>
        <v>0</v>
      </c>
      <c r="AA651" s="29" t="e">
        <f>DATEDIF(DATE(1970,1,1),AA650,"D")*86400</f>
        <v>#NUM!</v>
      </c>
      <c r="AB651" s="29">
        <f>HOUR(AB650)*3600+MINUTE(AB650)*60+SECOND(AB650)</f>
        <v>0</v>
      </c>
      <c r="AC651" s="29">
        <f>AC650</f>
        <v>0</v>
      </c>
    </row>
    <row r="652" spans="1:29">
      <c r="A652" s="23">
        <f>Parameters!A327</f>
        <v>0</v>
      </c>
      <c r="B652" s="23">
        <f>Parameters!B327</f>
        <v>0</v>
      </c>
      <c r="C652" s="24">
        <f>Parameters!C327</f>
        <v>0</v>
      </c>
      <c r="D652" s="24">
        <f>Parameters!D327</f>
        <v>0</v>
      </c>
      <c r="E652" s="23">
        <f>Parameters!E327</f>
        <v>0</v>
      </c>
      <c r="F652" s="23">
        <f>Parameters!F327</f>
        <v>0</v>
      </c>
      <c r="G652" s="25">
        <f>Parameters!G327</f>
        <v>0</v>
      </c>
      <c r="H652" s="25">
        <f>Parameters!H327</f>
        <v>0</v>
      </c>
      <c r="I652" s="25">
        <f>Parameters!I327</f>
        <v>0</v>
      </c>
      <c r="J652" s="25">
        <f>Parameters!J327</f>
        <v>0</v>
      </c>
      <c r="K652" s="25">
        <f>Parameters!K327</f>
        <v>0</v>
      </c>
      <c r="L652" s="26" t="e">
        <f t="shared" ref="L652" si="972">L653</f>
        <v>#DIV/0!</v>
      </c>
      <c r="M652" s="25">
        <f>Parameters!L327</f>
        <v>0</v>
      </c>
      <c r="N652" s="25">
        <f>Parameters!M327</f>
        <v>0</v>
      </c>
      <c r="O652" s="26" t="e">
        <f t="shared" ref="O652" si="973">O653</f>
        <v>#DIV/0!</v>
      </c>
      <c r="P652" s="23">
        <f>Parameters!N327</f>
        <v>0</v>
      </c>
      <c r="Q652" s="23">
        <f>Parameters!O327</f>
        <v>0</v>
      </c>
      <c r="R652" s="23">
        <f>Parameters!P327</f>
        <v>0</v>
      </c>
      <c r="S652" s="23">
        <f>Parameters!Q327</f>
        <v>0</v>
      </c>
      <c r="T652" s="23">
        <f>Parameters!R327</f>
        <v>0</v>
      </c>
      <c r="U652" s="27">
        <f>Parameters!S327</f>
        <v>0</v>
      </c>
      <c r="V652" s="28">
        <f>Parameters!T327</f>
        <v>0</v>
      </c>
      <c r="W652" s="27">
        <f>Parameters!U327</f>
        <v>0</v>
      </c>
      <c r="X652" s="28">
        <f>Parameters!V327</f>
        <v>0</v>
      </c>
      <c r="Y652" s="25">
        <f>Parameters!W327</f>
        <v>0</v>
      </c>
      <c r="Z652" s="23">
        <f>Parameters!X327</f>
        <v>0</v>
      </c>
      <c r="AA652" s="27">
        <f>Parameters!Y327</f>
        <v>0</v>
      </c>
      <c r="AB652" s="28">
        <f>Parameters!Z327</f>
        <v>0</v>
      </c>
      <c r="AC652" s="23">
        <f>Parameters!AA327</f>
        <v>0</v>
      </c>
    </row>
    <row r="653" spans="1:29">
      <c r="A653" s="29" t="str">
        <f>UPPER(A652)</f>
        <v>0</v>
      </c>
      <c r="B653" s="29">
        <f>B652</f>
        <v>0</v>
      </c>
      <c r="C653" s="30">
        <f>C652</f>
        <v>0</v>
      </c>
      <c r="D653" s="30">
        <f>D652</f>
        <v>0</v>
      </c>
      <c r="E653" s="29">
        <f>E652</f>
        <v>0</v>
      </c>
      <c r="F653" s="29">
        <f>F652</f>
        <v>0</v>
      </c>
      <c r="G653" s="29" t="e">
        <f>IF(C652=1,IF(D652="BUY",E652+(ROUND(F652*G652/B652,0)*B652),E652-(ROUND(F652*G652/B652,0)*B652)),IF(D652="BUY",E652-(ROUND(F652*G652/B652,0)*B652),E652+(ROUND(F652*G652/B652,0)*B652)))</f>
        <v>#DIV/0!</v>
      </c>
      <c r="H653" s="29" t="e">
        <f>IF(C652=1,IF(D652="BUY",G653-(ROUND(F652*H652/B652,0)*B652),G653+(ROUND(F652*H652/B652,0)*B652)),IF(D652="BUY",G653+(ROUND(F652*H652/B652,0)*B652),G653-(ROUND(F652*H652/B652,0)*B652)))</f>
        <v>#DIV/0!</v>
      </c>
      <c r="I653" s="29" t="e">
        <f>IF(D652="BUY",G653+(ROUND(F652*I652/(B652*100),0)*B652),G653-(ROUND(F652*I652/(B652*100),0)*B652))</f>
        <v>#DIV/0!</v>
      </c>
      <c r="J653" s="29" t="e">
        <f>IF(C652=1,IF(D652="BUY",E652+(ROUND(F652*J652/B652,0)*B652),E652-(ROUND(F652*J652/B652,0)*B652)),IF(D652="BUY",E652-(ROUND(F652*J652/B652,0)*B652),E652+(ROUND(F652*J652/B652,0)*B652)))</f>
        <v>#DIV/0!</v>
      </c>
      <c r="K653" s="29" t="e">
        <f>IF(C652=1,IF(D652="BUY",E652-(ROUND(F652*K652/B652,0)*B652),E652+(ROUND(F652*K652/B652,0)*B652)),IF(D652="BUY",E652-(ROUND(F652*K652/B652,0)*B652),E652+(ROUND(F652*K652/B652,0)*B652)))</f>
        <v>#DIV/0!</v>
      </c>
      <c r="L653" s="29" t="e">
        <f t="shared" ref="L653" si="974">IF(D653="BUY",I653+(R653*B653),I653-(R653*B653))</f>
        <v>#DIV/0!</v>
      </c>
      <c r="M653" s="29" t="e">
        <f>IF(D652="BUY",E652+(ROUND(F652*M652/B652,0)*B652),E652-(ROUND(F652*M652/B652,0)*B652))</f>
        <v>#DIV/0!</v>
      </c>
      <c r="N653" s="29" t="e">
        <f>IF(D652="BUY",E652-(ROUND(F652*N652/B652,0)*B652),E652+(ROUND(F652*N652/B652,0)*B652))</f>
        <v>#DIV/0!</v>
      </c>
      <c r="O653" s="31" t="e">
        <f>IF(D653="BUY",N653-VLOOKUP(A653,Symbols!A$1:D$1000,4,FALSE),N653+VLOOKUP(A653,Symbols!A$1:D$1000,4,FALSE))</f>
        <v>#DIV/0!</v>
      </c>
      <c r="P653" s="29">
        <f>P652</f>
        <v>0</v>
      </c>
      <c r="Q653" s="29">
        <f>Q652</f>
        <v>0</v>
      </c>
      <c r="R653" s="29">
        <f>R652</f>
        <v>0</v>
      </c>
      <c r="S653" s="29">
        <f>S652</f>
        <v>0</v>
      </c>
      <c r="T653" s="29">
        <f>T652</f>
        <v>0</v>
      </c>
      <c r="U653" s="29" t="e">
        <f>DATEDIF(DATE(1970,1,1),U652,"D")*86400</f>
        <v>#NUM!</v>
      </c>
      <c r="V653" s="29">
        <f>HOUR(V652)*3600+MINUTE(V652)*60+SECOND(V652)</f>
        <v>0</v>
      </c>
      <c r="W653" s="29" t="e">
        <f>DATEDIF(DATE(1970,1,1),W652,"D")*86400</f>
        <v>#NUM!</v>
      </c>
      <c r="X653" s="29">
        <f>HOUR(X652)*3600+MINUTE(X652)*60+SECOND(X652)</f>
        <v>0</v>
      </c>
      <c r="Y653" s="31">
        <f>(Y652*B653)</f>
        <v>0</v>
      </c>
      <c r="Z653" s="29">
        <f>Z652</f>
        <v>0</v>
      </c>
      <c r="AA653" s="29" t="e">
        <f>DATEDIF(DATE(1970,1,1),AA652,"D")*86400</f>
        <v>#NUM!</v>
      </c>
      <c r="AB653" s="29">
        <f>HOUR(AB652)*3600+MINUTE(AB652)*60+SECOND(AB652)</f>
        <v>0</v>
      </c>
      <c r="AC653" s="29">
        <f>AC652</f>
        <v>0</v>
      </c>
    </row>
    <row r="654" spans="1:29">
      <c r="A654" s="23">
        <f>Parameters!A328</f>
        <v>0</v>
      </c>
      <c r="B654" s="23">
        <f>Parameters!B328</f>
        <v>0</v>
      </c>
      <c r="C654" s="24">
        <f>Parameters!C328</f>
        <v>0</v>
      </c>
      <c r="D654" s="24">
        <f>Parameters!D328</f>
        <v>0</v>
      </c>
      <c r="E654" s="23">
        <f>Parameters!E328</f>
        <v>0</v>
      </c>
      <c r="F654" s="23">
        <f>Parameters!F328</f>
        <v>0</v>
      </c>
      <c r="G654" s="25">
        <f>Parameters!G328</f>
        <v>0</v>
      </c>
      <c r="H654" s="25">
        <f>Parameters!H328</f>
        <v>0</v>
      </c>
      <c r="I654" s="25">
        <f>Parameters!I328</f>
        <v>0</v>
      </c>
      <c r="J654" s="25">
        <f>Parameters!J328</f>
        <v>0</v>
      </c>
      <c r="K654" s="25">
        <f>Parameters!K328</f>
        <v>0</v>
      </c>
      <c r="L654" s="26" t="e">
        <f t="shared" ref="L654" si="975">L655</f>
        <v>#DIV/0!</v>
      </c>
      <c r="M654" s="25">
        <f>Parameters!L328</f>
        <v>0</v>
      </c>
      <c r="N654" s="25">
        <f>Parameters!M328</f>
        <v>0</v>
      </c>
      <c r="O654" s="26" t="e">
        <f t="shared" ref="O654" si="976">O655</f>
        <v>#DIV/0!</v>
      </c>
      <c r="P654" s="23">
        <f>Parameters!N328</f>
        <v>0</v>
      </c>
      <c r="Q654" s="23">
        <f>Parameters!O328</f>
        <v>0</v>
      </c>
      <c r="R654" s="23">
        <f>Parameters!P328</f>
        <v>0</v>
      </c>
      <c r="S654" s="23">
        <f>Parameters!Q328</f>
        <v>0</v>
      </c>
      <c r="T654" s="23">
        <f>Parameters!R328</f>
        <v>0</v>
      </c>
      <c r="U654" s="27">
        <f>Parameters!S328</f>
        <v>0</v>
      </c>
      <c r="V654" s="28">
        <f>Parameters!T328</f>
        <v>0</v>
      </c>
      <c r="W654" s="27">
        <f>Parameters!U328</f>
        <v>0</v>
      </c>
      <c r="X654" s="28">
        <f>Parameters!V328</f>
        <v>0</v>
      </c>
      <c r="Y654" s="25">
        <f>Parameters!W328</f>
        <v>0</v>
      </c>
      <c r="Z654" s="23">
        <f>Parameters!X328</f>
        <v>0</v>
      </c>
      <c r="AA654" s="27">
        <f>Parameters!Y328</f>
        <v>0</v>
      </c>
      <c r="AB654" s="28">
        <f>Parameters!Z328</f>
        <v>0</v>
      </c>
      <c r="AC654" s="23">
        <f>Parameters!AA328</f>
        <v>0</v>
      </c>
    </row>
    <row r="655" spans="1:29">
      <c r="A655" s="29" t="str">
        <f>UPPER(A654)</f>
        <v>0</v>
      </c>
      <c r="B655" s="29">
        <f>B654</f>
        <v>0</v>
      </c>
      <c r="C655" s="30">
        <f>C654</f>
        <v>0</v>
      </c>
      <c r="D655" s="30">
        <f>D654</f>
        <v>0</v>
      </c>
      <c r="E655" s="29">
        <f>E654</f>
        <v>0</v>
      </c>
      <c r="F655" s="29">
        <f>F654</f>
        <v>0</v>
      </c>
      <c r="G655" s="29" t="e">
        <f>IF(C654=1,IF(D654="BUY",E654+(ROUND(F654*G654/B654,0)*B654),E654-(ROUND(F654*G654/B654,0)*B654)),IF(D654="BUY",E654-(ROUND(F654*G654/B654,0)*B654),E654+(ROUND(F654*G654/B654,0)*B654)))</f>
        <v>#DIV/0!</v>
      </c>
      <c r="H655" s="29" t="e">
        <f>IF(C654=1,IF(D654="BUY",G655-(ROUND(F654*H654/B654,0)*B654),G655+(ROUND(F654*H654/B654,0)*B654)),IF(D654="BUY",G655+(ROUND(F654*H654/B654,0)*B654),G655-(ROUND(F654*H654/B654,0)*B654)))</f>
        <v>#DIV/0!</v>
      </c>
      <c r="I655" s="29" t="e">
        <f>IF(D654="BUY",G655+(ROUND(F654*I654/(B654*100),0)*B654),G655-(ROUND(F654*I654/(B654*100),0)*B654))</f>
        <v>#DIV/0!</v>
      </c>
      <c r="J655" s="29" t="e">
        <f>IF(C654=1,IF(D654="BUY",E654+(ROUND(F654*J654/B654,0)*B654),E654-(ROUND(F654*J654/B654,0)*B654)),IF(D654="BUY",E654-(ROUND(F654*J654/B654,0)*B654),E654+(ROUND(F654*J654/B654,0)*B654)))</f>
        <v>#DIV/0!</v>
      </c>
      <c r="K655" s="29" t="e">
        <f>IF(C654=1,IF(D654="BUY",E654-(ROUND(F654*K654/B654,0)*B654),E654+(ROUND(F654*K654/B654,0)*B654)),IF(D654="BUY",E654-(ROUND(F654*K654/B654,0)*B654),E654+(ROUND(F654*K654/B654,0)*B654)))</f>
        <v>#DIV/0!</v>
      </c>
      <c r="L655" s="29" t="e">
        <f t="shared" ref="L655" si="977">IF(D655="BUY",I655+(R655*B655),I655-(R655*B655))</f>
        <v>#DIV/0!</v>
      </c>
      <c r="M655" s="29" t="e">
        <f>IF(D654="BUY",E654+(ROUND(F654*M654/B654,0)*B654),E654-(ROUND(F654*M654/B654,0)*B654))</f>
        <v>#DIV/0!</v>
      </c>
      <c r="N655" s="29" t="e">
        <f>IF(D654="BUY",E654-(ROUND(F654*N654/B654,0)*B654),E654+(ROUND(F654*N654/B654,0)*B654))</f>
        <v>#DIV/0!</v>
      </c>
      <c r="O655" s="31" t="e">
        <f>IF(D655="BUY",N655-VLOOKUP(A655,Symbols!A$1:D$1000,4,FALSE),N655+VLOOKUP(A655,Symbols!A$1:D$1000,4,FALSE))</f>
        <v>#DIV/0!</v>
      </c>
      <c r="P655" s="29">
        <f>P654</f>
        <v>0</v>
      </c>
      <c r="Q655" s="29">
        <f>Q654</f>
        <v>0</v>
      </c>
      <c r="R655" s="29">
        <f>R654</f>
        <v>0</v>
      </c>
      <c r="S655" s="29">
        <f>S654</f>
        <v>0</v>
      </c>
      <c r="T655" s="29">
        <f>T654</f>
        <v>0</v>
      </c>
      <c r="U655" s="29" t="e">
        <f>DATEDIF(DATE(1970,1,1),U654,"D")*86400</f>
        <v>#NUM!</v>
      </c>
      <c r="V655" s="29">
        <f>HOUR(V654)*3600+MINUTE(V654)*60+SECOND(V654)</f>
        <v>0</v>
      </c>
      <c r="W655" s="29" t="e">
        <f>DATEDIF(DATE(1970,1,1),W654,"D")*86400</f>
        <v>#NUM!</v>
      </c>
      <c r="X655" s="29">
        <f>HOUR(X654)*3600+MINUTE(X654)*60+SECOND(X654)</f>
        <v>0</v>
      </c>
      <c r="Y655" s="31">
        <f>(Y654*B655)</f>
        <v>0</v>
      </c>
      <c r="Z655" s="29">
        <f>Z654</f>
        <v>0</v>
      </c>
      <c r="AA655" s="29" t="e">
        <f>DATEDIF(DATE(1970,1,1),AA654,"D")*86400</f>
        <v>#NUM!</v>
      </c>
      <c r="AB655" s="29">
        <f>HOUR(AB654)*3600+MINUTE(AB654)*60+SECOND(AB654)</f>
        <v>0</v>
      </c>
      <c r="AC655" s="29">
        <f>AC654</f>
        <v>0</v>
      </c>
    </row>
    <row r="656" spans="1:29">
      <c r="A656" s="23">
        <f>Parameters!A329</f>
        <v>0</v>
      </c>
      <c r="B656" s="23">
        <f>Parameters!B329</f>
        <v>0</v>
      </c>
      <c r="C656" s="24">
        <f>Parameters!C329</f>
        <v>0</v>
      </c>
      <c r="D656" s="24">
        <f>Parameters!D329</f>
        <v>0</v>
      </c>
      <c r="E656" s="23">
        <f>Parameters!E329</f>
        <v>0</v>
      </c>
      <c r="F656" s="23">
        <f>Parameters!F329</f>
        <v>0</v>
      </c>
      <c r="G656" s="25">
        <f>Parameters!G329</f>
        <v>0</v>
      </c>
      <c r="H656" s="25">
        <f>Parameters!H329</f>
        <v>0</v>
      </c>
      <c r="I656" s="25">
        <f>Parameters!I329</f>
        <v>0</v>
      </c>
      <c r="J656" s="25">
        <f>Parameters!J329</f>
        <v>0</v>
      </c>
      <c r="K656" s="25">
        <f>Parameters!K329</f>
        <v>0</v>
      </c>
      <c r="L656" s="26" t="e">
        <f t="shared" ref="L656" si="978">L657</f>
        <v>#DIV/0!</v>
      </c>
      <c r="M656" s="25">
        <f>Parameters!L329</f>
        <v>0</v>
      </c>
      <c r="N656" s="25">
        <f>Parameters!M329</f>
        <v>0</v>
      </c>
      <c r="O656" s="26" t="e">
        <f t="shared" ref="O656" si="979">O657</f>
        <v>#DIV/0!</v>
      </c>
      <c r="P656" s="23">
        <f>Parameters!N329</f>
        <v>0</v>
      </c>
      <c r="Q656" s="23">
        <f>Parameters!O329</f>
        <v>0</v>
      </c>
      <c r="R656" s="23">
        <f>Parameters!P329</f>
        <v>0</v>
      </c>
      <c r="S656" s="23">
        <f>Parameters!Q329</f>
        <v>0</v>
      </c>
      <c r="T656" s="23">
        <f>Parameters!R329</f>
        <v>0</v>
      </c>
      <c r="U656" s="27">
        <f>Parameters!S329</f>
        <v>0</v>
      </c>
      <c r="V656" s="28">
        <f>Parameters!T329</f>
        <v>0</v>
      </c>
      <c r="W656" s="27">
        <f>Parameters!U329</f>
        <v>0</v>
      </c>
      <c r="X656" s="28">
        <f>Parameters!V329</f>
        <v>0</v>
      </c>
      <c r="Y656" s="25">
        <f>Parameters!W329</f>
        <v>0</v>
      </c>
      <c r="Z656" s="23">
        <f>Parameters!X329</f>
        <v>0</v>
      </c>
      <c r="AA656" s="27">
        <f>Parameters!Y329</f>
        <v>0</v>
      </c>
      <c r="AB656" s="28">
        <f>Parameters!Z329</f>
        <v>0</v>
      </c>
      <c r="AC656" s="23">
        <f>Parameters!AA329</f>
        <v>0</v>
      </c>
    </row>
    <row r="657" spans="1:29">
      <c r="A657" s="29" t="str">
        <f>UPPER(A656)</f>
        <v>0</v>
      </c>
      <c r="B657" s="29">
        <f>B656</f>
        <v>0</v>
      </c>
      <c r="C657" s="30">
        <f>C656</f>
        <v>0</v>
      </c>
      <c r="D657" s="30">
        <f>D656</f>
        <v>0</v>
      </c>
      <c r="E657" s="29">
        <f>E656</f>
        <v>0</v>
      </c>
      <c r="F657" s="29">
        <f>F656</f>
        <v>0</v>
      </c>
      <c r="G657" s="29" t="e">
        <f>IF(C656=1,IF(D656="BUY",E656+(ROUND(F656*G656/B656,0)*B656),E656-(ROUND(F656*G656/B656,0)*B656)),IF(D656="BUY",E656-(ROUND(F656*G656/B656,0)*B656),E656+(ROUND(F656*G656/B656,0)*B656)))</f>
        <v>#DIV/0!</v>
      </c>
      <c r="H657" s="29" t="e">
        <f>IF(C656=1,IF(D656="BUY",G657-(ROUND(F656*H656/B656,0)*B656),G657+(ROUND(F656*H656/B656,0)*B656)),IF(D656="BUY",G657+(ROUND(F656*H656/B656,0)*B656),G657-(ROUND(F656*H656/B656,0)*B656)))</f>
        <v>#DIV/0!</v>
      </c>
      <c r="I657" s="29" t="e">
        <f>IF(D656="BUY",G657+(ROUND(F656*I656/(B656*100),0)*B656),G657-(ROUND(F656*I656/(B656*100),0)*B656))</f>
        <v>#DIV/0!</v>
      </c>
      <c r="J657" s="29" t="e">
        <f>IF(C656=1,IF(D656="BUY",E656+(ROUND(F656*J656/B656,0)*B656),E656-(ROUND(F656*J656/B656,0)*B656)),IF(D656="BUY",E656-(ROUND(F656*J656/B656,0)*B656),E656+(ROUND(F656*J656/B656,0)*B656)))</f>
        <v>#DIV/0!</v>
      </c>
      <c r="K657" s="29" t="e">
        <f>IF(C656=1,IF(D656="BUY",E656-(ROUND(F656*K656/B656,0)*B656),E656+(ROUND(F656*K656/B656,0)*B656)),IF(D656="BUY",E656-(ROUND(F656*K656/B656,0)*B656),E656+(ROUND(F656*K656/B656,0)*B656)))</f>
        <v>#DIV/0!</v>
      </c>
      <c r="L657" s="29" t="e">
        <f t="shared" ref="L657" si="980">IF(D657="BUY",I657+(R657*B657),I657-(R657*B657))</f>
        <v>#DIV/0!</v>
      </c>
      <c r="M657" s="29" t="e">
        <f>IF(D656="BUY",E656+(ROUND(F656*M656/B656,0)*B656),E656-(ROUND(F656*M656/B656,0)*B656))</f>
        <v>#DIV/0!</v>
      </c>
      <c r="N657" s="29" t="e">
        <f>IF(D656="BUY",E656-(ROUND(F656*N656/B656,0)*B656),E656+(ROUND(F656*N656/B656,0)*B656))</f>
        <v>#DIV/0!</v>
      </c>
      <c r="O657" s="31" t="e">
        <f>IF(D657="BUY",N657-VLOOKUP(A657,Symbols!A$1:D$1000,4,FALSE),N657+VLOOKUP(A657,Symbols!A$1:D$1000,4,FALSE))</f>
        <v>#DIV/0!</v>
      </c>
      <c r="P657" s="29">
        <f>P656</f>
        <v>0</v>
      </c>
      <c r="Q657" s="29">
        <f>Q656</f>
        <v>0</v>
      </c>
      <c r="R657" s="29">
        <f>R656</f>
        <v>0</v>
      </c>
      <c r="S657" s="29">
        <f>S656</f>
        <v>0</v>
      </c>
      <c r="T657" s="29">
        <f>T656</f>
        <v>0</v>
      </c>
      <c r="U657" s="29" t="e">
        <f>DATEDIF(DATE(1970,1,1),U656,"D")*86400</f>
        <v>#NUM!</v>
      </c>
      <c r="V657" s="29">
        <f>HOUR(V656)*3600+MINUTE(V656)*60+SECOND(V656)</f>
        <v>0</v>
      </c>
      <c r="W657" s="29" t="e">
        <f>DATEDIF(DATE(1970,1,1),W656,"D")*86400</f>
        <v>#NUM!</v>
      </c>
      <c r="X657" s="29">
        <f>HOUR(X656)*3600+MINUTE(X656)*60+SECOND(X656)</f>
        <v>0</v>
      </c>
      <c r="Y657" s="31">
        <f>(Y656*B657)</f>
        <v>0</v>
      </c>
      <c r="Z657" s="29">
        <f>Z656</f>
        <v>0</v>
      </c>
      <c r="AA657" s="29" t="e">
        <f>DATEDIF(DATE(1970,1,1),AA656,"D")*86400</f>
        <v>#NUM!</v>
      </c>
      <c r="AB657" s="29">
        <f>HOUR(AB656)*3600+MINUTE(AB656)*60+SECOND(AB656)</f>
        <v>0</v>
      </c>
      <c r="AC657" s="29">
        <f>AC656</f>
        <v>0</v>
      </c>
    </row>
    <row r="658" spans="1:29">
      <c r="A658" s="23">
        <f>Parameters!A330</f>
        <v>0</v>
      </c>
      <c r="B658" s="23">
        <f>Parameters!B330</f>
        <v>0</v>
      </c>
      <c r="C658" s="24">
        <f>Parameters!C330</f>
        <v>0</v>
      </c>
      <c r="D658" s="24">
        <f>Parameters!D330</f>
        <v>0</v>
      </c>
      <c r="E658" s="23">
        <f>Parameters!E330</f>
        <v>0</v>
      </c>
      <c r="F658" s="23">
        <f>Parameters!F330</f>
        <v>0</v>
      </c>
      <c r="G658" s="25">
        <f>Parameters!G330</f>
        <v>0</v>
      </c>
      <c r="H658" s="25">
        <f>Parameters!H330</f>
        <v>0</v>
      </c>
      <c r="I658" s="25">
        <f>Parameters!I330</f>
        <v>0</v>
      </c>
      <c r="J658" s="25">
        <f>Parameters!J330</f>
        <v>0</v>
      </c>
      <c r="K658" s="25">
        <f>Parameters!K330</f>
        <v>0</v>
      </c>
      <c r="L658" s="26" t="e">
        <f t="shared" ref="L658" si="981">L659</f>
        <v>#DIV/0!</v>
      </c>
      <c r="M658" s="25">
        <f>Parameters!L330</f>
        <v>0</v>
      </c>
      <c r="N658" s="25">
        <f>Parameters!M330</f>
        <v>0</v>
      </c>
      <c r="O658" s="26" t="e">
        <f t="shared" ref="O658" si="982">O659</f>
        <v>#DIV/0!</v>
      </c>
      <c r="P658" s="23">
        <f>Parameters!N330</f>
        <v>0</v>
      </c>
      <c r="Q658" s="23">
        <f>Parameters!O330</f>
        <v>0</v>
      </c>
      <c r="R658" s="23">
        <f>Parameters!P330</f>
        <v>0</v>
      </c>
      <c r="S658" s="23">
        <f>Parameters!Q330</f>
        <v>0</v>
      </c>
      <c r="T658" s="23">
        <f>Parameters!R330</f>
        <v>0</v>
      </c>
      <c r="U658" s="27">
        <f>Parameters!S330</f>
        <v>0</v>
      </c>
      <c r="V658" s="28">
        <f>Parameters!T330</f>
        <v>0</v>
      </c>
      <c r="W658" s="27">
        <f>Parameters!U330</f>
        <v>0</v>
      </c>
      <c r="X658" s="28">
        <f>Parameters!V330</f>
        <v>0</v>
      </c>
      <c r="Y658" s="25">
        <f>Parameters!W330</f>
        <v>0</v>
      </c>
      <c r="Z658" s="23">
        <f>Parameters!X330</f>
        <v>0</v>
      </c>
      <c r="AA658" s="27">
        <f>Parameters!Y330</f>
        <v>0</v>
      </c>
      <c r="AB658" s="28">
        <f>Parameters!Z330</f>
        <v>0</v>
      </c>
      <c r="AC658" s="23">
        <f>Parameters!AA330</f>
        <v>0</v>
      </c>
    </row>
    <row r="659" spans="1:29">
      <c r="A659" s="29" t="str">
        <f>UPPER(A658)</f>
        <v>0</v>
      </c>
      <c r="B659" s="29">
        <f>B658</f>
        <v>0</v>
      </c>
      <c r="C659" s="30">
        <f>C658</f>
        <v>0</v>
      </c>
      <c r="D659" s="30">
        <f>D658</f>
        <v>0</v>
      </c>
      <c r="E659" s="29">
        <f>E658</f>
        <v>0</v>
      </c>
      <c r="F659" s="29">
        <f>F658</f>
        <v>0</v>
      </c>
      <c r="G659" s="29" t="e">
        <f>IF(C658=1,IF(D658="BUY",E658+(ROUND(F658*G658/B658,0)*B658),E658-(ROUND(F658*G658/B658,0)*B658)),IF(D658="BUY",E658-(ROUND(F658*G658/B658,0)*B658),E658+(ROUND(F658*G658/B658,0)*B658)))</f>
        <v>#DIV/0!</v>
      </c>
      <c r="H659" s="29" t="e">
        <f>IF(C658=1,IF(D658="BUY",G659-(ROUND(F658*H658/B658,0)*B658),G659+(ROUND(F658*H658/B658,0)*B658)),IF(D658="BUY",G659+(ROUND(F658*H658/B658,0)*B658),G659-(ROUND(F658*H658/B658,0)*B658)))</f>
        <v>#DIV/0!</v>
      </c>
      <c r="I659" s="29" t="e">
        <f>IF(D658="BUY",G659+(ROUND(F658*I658/(B658*100),0)*B658),G659-(ROUND(F658*I658/(B658*100),0)*B658))</f>
        <v>#DIV/0!</v>
      </c>
      <c r="J659" s="29" t="e">
        <f>IF(C658=1,IF(D658="BUY",E658+(ROUND(F658*J658/B658,0)*B658),E658-(ROUND(F658*J658/B658,0)*B658)),IF(D658="BUY",E658-(ROUND(F658*J658/B658,0)*B658),E658+(ROUND(F658*J658/B658,0)*B658)))</f>
        <v>#DIV/0!</v>
      </c>
      <c r="K659" s="29" t="e">
        <f>IF(C658=1,IF(D658="BUY",E658-(ROUND(F658*K658/B658,0)*B658),E658+(ROUND(F658*K658/B658,0)*B658)),IF(D658="BUY",E658-(ROUND(F658*K658/B658,0)*B658),E658+(ROUND(F658*K658/B658,0)*B658)))</f>
        <v>#DIV/0!</v>
      </c>
      <c r="L659" s="29" t="e">
        <f t="shared" ref="L659" si="983">IF(D659="BUY",I659+(R659*B659),I659-(R659*B659))</f>
        <v>#DIV/0!</v>
      </c>
      <c r="M659" s="29" t="e">
        <f>IF(D658="BUY",E658+(ROUND(F658*M658/B658,0)*B658),E658-(ROUND(F658*M658/B658,0)*B658))</f>
        <v>#DIV/0!</v>
      </c>
      <c r="N659" s="29" t="e">
        <f>IF(D658="BUY",E658-(ROUND(F658*N658/B658,0)*B658),E658+(ROUND(F658*N658/B658,0)*B658))</f>
        <v>#DIV/0!</v>
      </c>
      <c r="O659" s="31" t="e">
        <f>IF(D659="BUY",N659-VLOOKUP(A659,Symbols!A$1:D$1000,4,FALSE),N659+VLOOKUP(A659,Symbols!A$1:D$1000,4,FALSE))</f>
        <v>#DIV/0!</v>
      </c>
      <c r="P659" s="29">
        <f>P658</f>
        <v>0</v>
      </c>
      <c r="Q659" s="29">
        <f>Q658</f>
        <v>0</v>
      </c>
      <c r="R659" s="29">
        <f>R658</f>
        <v>0</v>
      </c>
      <c r="S659" s="29">
        <f>S658</f>
        <v>0</v>
      </c>
      <c r="T659" s="29">
        <f>T658</f>
        <v>0</v>
      </c>
      <c r="U659" s="29" t="e">
        <f>DATEDIF(DATE(1970,1,1),U658,"D")*86400</f>
        <v>#NUM!</v>
      </c>
      <c r="V659" s="29">
        <f>HOUR(V658)*3600+MINUTE(V658)*60+SECOND(V658)</f>
        <v>0</v>
      </c>
      <c r="W659" s="29" t="e">
        <f>DATEDIF(DATE(1970,1,1),W658,"D")*86400</f>
        <v>#NUM!</v>
      </c>
      <c r="X659" s="29">
        <f>HOUR(X658)*3600+MINUTE(X658)*60+SECOND(X658)</f>
        <v>0</v>
      </c>
      <c r="Y659" s="31">
        <f>(Y658*B659)</f>
        <v>0</v>
      </c>
      <c r="Z659" s="29">
        <f>Z658</f>
        <v>0</v>
      </c>
      <c r="AA659" s="29" t="e">
        <f>DATEDIF(DATE(1970,1,1),AA658,"D")*86400</f>
        <v>#NUM!</v>
      </c>
      <c r="AB659" s="29">
        <f>HOUR(AB658)*3600+MINUTE(AB658)*60+SECOND(AB658)</f>
        <v>0</v>
      </c>
      <c r="AC659" s="29">
        <f>AC658</f>
        <v>0</v>
      </c>
    </row>
    <row r="660" spans="1:29">
      <c r="A660" s="23">
        <f>Parameters!A331</f>
        <v>0</v>
      </c>
      <c r="B660" s="23">
        <f>Parameters!B331</f>
        <v>0</v>
      </c>
      <c r="C660" s="24">
        <f>Parameters!C331</f>
        <v>0</v>
      </c>
      <c r="D660" s="24">
        <f>Parameters!D331</f>
        <v>0</v>
      </c>
      <c r="E660" s="23">
        <f>Parameters!E331</f>
        <v>0</v>
      </c>
      <c r="F660" s="23">
        <f>Parameters!F331</f>
        <v>0</v>
      </c>
      <c r="G660" s="25">
        <f>Parameters!G331</f>
        <v>0</v>
      </c>
      <c r="H660" s="25">
        <f>Parameters!H331</f>
        <v>0</v>
      </c>
      <c r="I660" s="25">
        <f>Parameters!I331</f>
        <v>0</v>
      </c>
      <c r="J660" s="25">
        <f>Parameters!J331</f>
        <v>0</v>
      </c>
      <c r="K660" s="25">
        <f>Parameters!K331</f>
        <v>0</v>
      </c>
      <c r="L660" s="26" t="e">
        <f t="shared" ref="L660" si="984">L661</f>
        <v>#DIV/0!</v>
      </c>
      <c r="M660" s="25">
        <f>Parameters!L331</f>
        <v>0</v>
      </c>
      <c r="N660" s="25">
        <f>Parameters!M331</f>
        <v>0</v>
      </c>
      <c r="O660" s="26" t="e">
        <f t="shared" ref="O660" si="985">O661</f>
        <v>#DIV/0!</v>
      </c>
      <c r="P660" s="23">
        <f>Parameters!N331</f>
        <v>0</v>
      </c>
      <c r="Q660" s="23">
        <f>Parameters!O331</f>
        <v>0</v>
      </c>
      <c r="R660" s="23">
        <f>Parameters!P331</f>
        <v>0</v>
      </c>
      <c r="S660" s="23">
        <f>Parameters!Q331</f>
        <v>0</v>
      </c>
      <c r="T660" s="23">
        <f>Parameters!R331</f>
        <v>0</v>
      </c>
      <c r="U660" s="27">
        <f>Parameters!S331</f>
        <v>0</v>
      </c>
      <c r="V660" s="28">
        <f>Parameters!T331</f>
        <v>0</v>
      </c>
      <c r="W660" s="27">
        <f>Parameters!U331</f>
        <v>0</v>
      </c>
      <c r="X660" s="28">
        <f>Parameters!V331</f>
        <v>0</v>
      </c>
      <c r="Y660" s="25">
        <f>Parameters!W331</f>
        <v>0</v>
      </c>
      <c r="Z660" s="23">
        <f>Parameters!X331</f>
        <v>0</v>
      </c>
      <c r="AA660" s="27">
        <f>Parameters!Y331</f>
        <v>0</v>
      </c>
      <c r="AB660" s="28">
        <f>Parameters!Z331</f>
        <v>0</v>
      </c>
      <c r="AC660" s="23">
        <f>Parameters!AA331</f>
        <v>0</v>
      </c>
    </row>
    <row r="661" spans="1:29">
      <c r="A661" s="29" t="str">
        <f>UPPER(A660)</f>
        <v>0</v>
      </c>
      <c r="B661" s="29">
        <f>B660</f>
        <v>0</v>
      </c>
      <c r="C661" s="30">
        <f>C660</f>
        <v>0</v>
      </c>
      <c r="D661" s="30">
        <f>D660</f>
        <v>0</v>
      </c>
      <c r="E661" s="29">
        <f>E660</f>
        <v>0</v>
      </c>
      <c r="F661" s="29">
        <f>F660</f>
        <v>0</v>
      </c>
      <c r="G661" s="29" t="e">
        <f>IF(C660=1,IF(D660="BUY",E660+(ROUND(F660*G660/B660,0)*B660),E660-(ROUND(F660*G660/B660,0)*B660)),IF(D660="BUY",E660-(ROUND(F660*G660/B660,0)*B660),E660+(ROUND(F660*G660/B660,0)*B660)))</f>
        <v>#DIV/0!</v>
      </c>
      <c r="H661" s="29" t="e">
        <f>IF(C660=1,IF(D660="BUY",G661-(ROUND(F660*H660/B660,0)*B660),G661+(ROUND(F660*H660/B660,0)*B660)),IF(D660="BUY",G661+(ROUND(F660*H660/B660,0)*B660),G661-(ROUND(F660*H660/B660,0)*B660)))</f>
        <v>#DIV/0!</v>
      </c>
      <c r="I661" s="29" t="e">
        <f>IF(D660="BUY",G661+(ROUND(F660*I660/(B660*100),0)*B660),G661-(ROUND(F660*I660/(B660*100),0)*B660))</f>
        <v>#DIV/0!</v>
      </c>
      <c r="J661" s="29" t="e">
        <f>IF(C660=1,IF(D660="BUY",E660+(ROUND(F660*J660/B660,0)*B660),E660-(ROUND(F660*J660/B660,0)*B660)),IF(D660="BUY",E660-(ROUND(F660*J660/B660,0)*B660),E660+(ROUND(F660*J660/B660,0)*B660)))</f>
        <v>#DIV/0!</v>
      </c>
      <c r="K661" s="29" t="e">
        <f>IF(C660=1,IF(D660="BUY",E660-(ROUND(F660*K660/B660,0)*B660),E660+(ROUND(F660*K660/B660,0)*B660)),IF(D660="BUY",E660-(ROUND(F660*K660/B660,0)*B660),E660+(ROUND(F660*K660/B660,0)*B660)))</f>
        <v>#DIV/0!</v>
      </c>
      <c r="L661" s="29" t="e">
        <f t="shared" ref="L661" si="986">IF(D661="BUY",I661+(R661*B661),I661-(R661*B661))</f>
        <v>#DIV/0!</v>
      </c>
      <c r="M661" s="29" t="e">
        <f>IF(D660="BUY",E660+(ROUND(F660*M660/B660,0)*B660),E660-(ROUND(F660*M660/B660,0)*B660))</f>
        <v>#DIV/0!</v>
      </c>
      <c r="N661" s="29" t="e">
        <f>IF(D660="BUY",E660-(ROUND(F660*N660/B660,0)*B660),E660+(ROUND(F660*N660/B660,0)*B660))</f>
        <v>#DIV/0!</v>
      </c>
      <c r="O661" s="31" t="e">
        <f>IF(D661="BUY",N661-VLOOKUP(A661,Symbols!A$1:D$1000,4,FALSE),N661+VLOOKUP(A661,Symbols!A$1:D$1000,4,FALSE))</f>
        <v>#DIV/0!</v>
      </c>
      <c r="P661" s="29">
        <f>P660</f>
        <v>0</v>
      </c>
      <c r="Q661" s="29">
        <f>Q660</f>
        <v>0</v>
      </c>
      <c r="R661" s="29">
        <f>R660</f>
        <v>0</v>
      </c>
      <c r="S661" s="29">
        <f>S660</f>
        <v>0</v>
      </c>
      <c r="T661" s="29">
        <f>T660</f>
        <v>0</v>
      </c>
      <c r="U661" s="29" t="e">
        <f>DATEDIF(DATE(1970,1,1),U660,"D")*86400</f>
        <v>#NUM!</v>
      </c>
      <c r="V661" s="29">
        <f>HOUR(V660)*3600+MINUTE(V660)*60+SECOND(V660)</f>
        <v>0</v>
      </c>
      <c r="W661" s="29" t="e">
        <f>DATEDIF(DATE(1970,1,1),W660,"D")*86400</f>
        <v>#NUM!</v>
      </c>
      <c r="X661" s="29">
        <f>HOUR(X660)*3600+MINUTE(X660)*60+SECOND(X660)</f>
        <v>0</v>
      </c>
      <c r="Y661" s="31">
        <f>(Y660*B661)</f>
        <v>0</v>
      </c>
      <c r="Z661" s="29">
        <f>Z660</f>
        <v>0</v>
      </c>
      <c r="AA661" s="29" t="e">
        <f>DATEDIF(DATE(1970,1,1),AA660,"D")*86400</f>
        <v>#NUM!</v>
      </c>
      <c r="AB661" s="29">
        <f>HOUR(AB660)*3600+MINUTE(AB660)*60+SECOND(AB660)</f>
        <v>0</v>
      </c>
      <c r="AC661" s="29">
        <f>AC660</f>
        <v>0</v>
      </c>
    </row>
    <row r="662" spans="1:29">
      <c r="A662" s="23">
        <f>Parameters!A332</f>
        <v>0</v>
      </c>
      <c r="B662" s="23">
        <f>Parameters!B332</f>
        <v>0</v>
      </c>
      <c r="C662" s="24">
        <f>Parameters!C332</f>
        <v>0</v>
      </c>
      <c r="D662" s="24">
        <f>Parameters!D332</f>
        <v>0</v>
      </c>
      <c r="E662" s="23">
        <f>Parameters!E332</f>
        <v>0</v>
      </c>
      <c r="F662" s="23">
        <f>Parameters!F332</f>
        <v>0</v>
      </c>
      <c r="G662" s="25">
        <f>Parameters!G332</f>
        <v>0</v>
      </c>
      <c r="H662" s="25">
        <f>Parameters!H332</f>
        <v>0</v>
      </c>
      <c r="I662" s="25">
        <f>Parameters!I332</f>
        <v>0</v>
      </c>
      <c r="J662" s="25">
        <f>Parameters!J332</f>
        <v>0</v>
      </c>
      <c r="K662" s="25">
        <f>Parameters!K332</f>
        <v>0</v>
      </c>
      <c r="L662" s="26" t="e">
        <f t="shared" ref="L662" si="987">L663</f>
        <v>#DIV/0!</v>
      </c>
      <c r="M662" s="25">
        <f>Parameters!L332</f>
        <v>0</v>
      </c>
      <c r="N662" s="25">
        <f>Parameters!M332</f>
        <v>0</v>
      </c>
      <c r="O662" s="26" t="e">
        <f t="shared" ref="O662" si="988">O663</f>
        <v>#DIV/0!</v>
      </c>
      <c r="P662" s="23">
        <f>Parameters!N332</f>
        <v>0</v>
      </c>
      <c r="Q662" s="23">
        <f>Parameters!O332</f>
        <v>0</v>
      </c>
      <c r="R662" s="23">
        <f>Parameters!P332</f>
        <v>0</v>
      </c>
      <c r="S662" s="23">
        <f>Parameters!Q332</f>
        <v>0</v>
      </c>
      <c r="T662" s="23">
        <f>Parameters!R332</f>
        <v>0</v>
      </c>
      <c r="U662" s="27">
        <f>Parameters!S332</f>
        <v>0</v>
      </c>
      <c r="V662" s="28">
        <f>Parameters!T332</f>
        <v>0</v>
      </c>
      <c r="W662" s="27">
        <f>Parameters!U332</f>
        <v>0</v>
      </c>
      <c r="X662" s="28">
        <f>Parameters!V332</f>
        <v>0</v>
      </c>
      <c r="Y662" s="25">
        <f>Parameters!W332</f>
        <v>0</v>
      </c>
      <c r="Z662" s="23">
        <f>Parameters!X332</f>
        <v>0</v>
      </c>
      <c r="AA662" s="27">
        <f>Parameters!Y332</f>
        <v>0</v>
      </c>
      <c r="AB662" s="28">
        <f>Parameters!Z332</f>
        <v>0</v>
      </c>
      <c r="AC662" s="23">
        <f>Parameters!AA332</f>
        <v>0</v>
      </c>
    </row>
    <row r="663" spans="1:29">
      <c r="A663" s="29" t="str">
        <f>UPPER(A662)</f>
        <v>0</v>
      </c>
      <c r="B663" s="29">
        <f>B662</f>
        <v>0</v>
      </c>
      <c r="C663" s="30">
        <f>C662</f>
        <v>0</v>
      </c>
      <c r="D663" s="30">
        <f>D662</f>
        <v>0</v>
      </c>
      <c r="E663" s="29">
        <f>E662</f>
        <v>0</v>
      </c>
      <c r="F663" s="29">
        <f>F662</f>
        <v>0</v>
      </c>
      <c r="G663" s="29" t="e">
        <f>IF(C662=1,IF(D662="BUY",E662+(ROUND(F662*G662/B662,0)*B662),E662-(ROUND(F662*G662/B662,0)*B662)),IF(D662="BUY",E662-(ROUND(F662*G662/B662,0)*B662),E662+(ROUND(F662*G662/B662,0)*B662)))</f>
        <v>#DIV/0!</v>
      </c>
      <c r="H663" s="29" t="e">
        <f>IF(C662=1,IF(D662="BUY",G663-(ROUND(F662*H662/B662,0)*B662),G663+(ROUND(F662*H662/B662,0)*B662)),IF(D662="BUY",G663+(ROUND(F662*H662/B662,0)*B662),G663-(ROUND(F662*H662/B662,0)*B662)))</f>
        <v>#DIV/0!</v>
      </c>
      <c r="I663" s="29" t="e">
        <f>IF(D662="BUY",G663+(ROUND(F662*I662/(B662*100),0)*B662),G663-(ROUND(F662*I662/(B662*100),0)*B662))</f>
        <v>#DIV/0!</v>
      </c>
      <c r="J663" s="29" t="e">
        <f>IF(C662=1,IF(D662="BUY",E662+(ROUND(F662*J662/B662,0)*B662),E662-(ROUND(F662*J662/B662,0)*B662)),IF(D662="BUY",E662-(ROUND(F662*J662/B662,0)*B662),E662+(ROUND(F662*J662/B662,0)*B662)))</f>
        <v>#DIV/0!</v>
      </c>
      <c r="K663" s="29" t="e">
        <f>IF(C662=1,IF(D662="BUY",E662-(ROUND(F662*K662/B662,0)*B662),E662+(ROUND(F662*K662/B662,0)*B662)),IF(D662="BUY",E662-(ROUND(F662*K662/B662,0)*B662),E662+(ROUND(F662*K662/B662,0)*B662)))</f>
        <v>#DIV/0!</v>
      </c>
      <c r="L663" s="29" t="e">
        <f t="shared" ref="L663" si="989">IF(D663="BUY",I663+(R663*B663),I663-(R663*B663))</f>
        <v>#DIV/0!</v>
      </c>
      <c r="M663" s="29" t="e">
        <f>IF(D662="BUY",E662+(ROUND(F662*M662/B662,0)*B662),E662-(ROUND(F662*M662/B662,0)*B662))</f>
        <v>#DIV/0!</v>
      </c>
      <c r="N663" s="29" t="e">
        <f>IF(D662="BUY",E662-(ROUND(F662*N662/B662,0)*B662),E662+(ROUND(F662*N662/B662,0)*B662))</f>
        <v>#DIV/0!</v>
      </c>
      <c r="O663" s="31" t="e">
        <f>IF(D663="BUY",N663-VLOOKUP(A663,Symbols!A$1:D$1000,4,FALSE),N663+VLOOKUP(A663,Symbols!A$1:D$1000,4,FALSE))</f>
        <v>#DIV/0!</v>
      </c>
      <c r="P663" s="29">
        <f>P662</f>
        <v>0</v>
      </c>
      <c r="Q663" s="29">
        <f>Q662</f>
        <v>0</v>
      </c>
      <c r="R663" s="29">
        <f>R662</f>
        <v>0</v>
      </c>
      <c r="S663" s="29">
        <f>S662</f>
        <v>0</v>
      </c>
      <c r="T663" s="29">
        <f>T662</f>
        <v>0</v>
      </c>
      <c r="U663" s="29" t="e">
        <f>DATEDIF(DATE(1970,1,1),U662,"D")*86400</f>
        <v>#NUM!</v>
      </c>
      <c r="V663" s="29">
        <f>HOUR(V662)*3600+MINUTE(V662)*60+SECOND(V662)</f>
        <v>0</v>
      </c>
      <c r="W663" s="29" t="e">
        <f>DATEDIF(DATE(1970,1,1),W662,"D")*86400</f>
        <v>#NUM!</v>
      </c>
      <c r="X663" s="29">
        <f>HOUR(X662)*3600+MINUTE(X662)*60+SECOND(X662)</f>
        <v>0</v>
      </c>
      <c r="Y663" s="31">
        <f>(Y662*B663)</f>
        <v>0</v>
      </c>
      <c r="Z663" s="29">
        <f>Z662</f>
        <v>0</v>
      </c>
      <c r="AA663" s="29" t="e">
        <f>DATEDIF(DATE(1970,1,1),AA662,"D")*86400</f>
        <v>#NUM!</v>
      </c>
      <c r="AB663" s="29">
        <f>HOUR(AB662)*3600+MINUTE(AB662)*60+SECOND(AB662)</f>
        <v>0</v>
      </c>
      <c r="AC663" s="29">
        <f>AC662</f>
        <v>0</v>
      </c>
    </row>
    <row r="664" spans="1:29">
      <c r="A664" s="23">
        <f>Parameters!A333</f>
        <v>0</v>
      </c>
      <c r="B664" s="23">
        <f>Parameters!B333</f>
        <v>0</v>
      </c>
      <c r="C664" s="24">
        <f>Parameters!C333</f>
        <v>0</v>
      </c>
      <c r="D664" s="24">
        <f>Parameters!D333</f>
        <v>0</v>
      </c>
      <c r="E664" s="23">
        <f>Parameters!E333</f>
        <v>0</v>
      </c>
      <c r="F664" s="23">
        <f>Parameters!F333</f>
        <v>0</v>
      </c>
      <c r="G664" s="25">
        <f>Parameters!G333</f>
        <v>0</v>
      </c>
      <c r="H664" s="25">
        <f>Parameters!H333</f>
        <v>0</v>
      </c>
      <c r="I664" s="25">
        <f>Parameters!I333</f>
        <v>0</v>
      </c>
      <c r="J664" s="25">
        <f>Parameters!J333</f>
        <v>0</v>
      </c>
      <c r="K664" s="25">
        <f>Parameters!K333</f>
        <v>0</v>
      </c>
      <c r="L664" s="26" t="e">
        <f t="shared" ref="L664" si="990">L665</f>
        <v>#DIV/0!</v>
      </c>
      <c r="M664" s="25">
        <f>Parameters!L333</f>
        <v>0</v>
      </c>
      <c r="N664" s="25">
        <f>Parameters!M333</f>
        <v>0</v>
      </c>
      <c r="O664" s="26" t="e">
        <f t="shared" ref="O664" si="991">O665</f>
        <v>#DIV/0!</v>
      </c>
      <c r="P664" s="23">
        <f>Parameters!N333</f>
        <v>0</v>
      </c>
      <c r="Q664" s="23">
        <f>Parameters!O333</f>
        <v>0</v>
      </c>
      <c r="R664" s="23">
        <f>Parameters!P333</f>
        <v>0</v>
      </c>
      <c r="S664" s="23">
        <f>Parameters!Q333</f>
        <v>0</v>
      </c>
      <c r="T664" s="23">
        <f>Parameters!R333</f>
        <v>0</v>
      </c>
      <c r="U664" s="27">
        <f>Parameters!S333</f>
        <v>0</v>
      </c>
      <c r="V664" s="28">
        <f>Parameters!T333</f>
        <v>0</v>
      </c>
      <c r="W664" s="27">
        <f>Parameters!U333</f>
        <v>0</v>
      </c>
      <c r="X664" s="28">
        <f>Parameters!V333</f>
        <v>0</v>
      </c>
      <c r="Y664" s="25">
        <f>Parameters!W333</f>
        <v>0</v>
      </c>
      <c r="Z664" s="23">
        <f>Parameters!X333</f>
        <v>0</v>
      </c>
      <c r="AA664" s="27">
        <f>Parameters!Y333</f>
        <v>0</v>
      </c>
      <c r="AB664" s="28">
        <f>Parameters!Z333</f>
        <v>0</v>
      </c>
      <c r="AC664" s="23">
        <f>Parameters!AA333</f>
        <v>0</v>
      </c>
    </row>
    <row r="665" spans="1:29">
      <c r="A665" s="29" t="str">
        <f>UPPER(A664)</f>
        <v>0</v>
      </c>
      <c r="B665" s="29">
        <f>B664</f>
        <v>0</v>
      </c>
      <c r="C665" s="30">
        <f>C664</f>
        <v>0</v>
      </c>
      <c r="D665" s="30">
        <f>D664</f>
        <v>0</v>
      </c>
      <c r="E665" s="29">
        <f>E664</f>
        <v>0</v>
      </c>
      <c r="F665" s="29">
        <f>F664</f>
        <v>0</v>
      </c>
      <c r="G665" s="29" t="e">
        <f>IF(C664=1,IF(D664="BUY",E664+(ROUND(F664*G664/B664,0)*B664),E664-(ROUND(F664*G664/B664,0)*B664)),IF(D664="BUY",E664-(ROUND(F664*G664/B664,0)*B664),E664+(ROUND(F664*G664/B664,0)*B664)))</f>
        <v>#DIV/0!</v>
      </c>
      <c r="H665" s="29" t="e">
        <f>IF(C664=1,IF(D664="BUY",G665-(ROUND(F664*H664/B664,0)*B664),G665+(ROUND(F664*H664/B664,0)*B664)),IF(D664="BUY",G665+(ROUND(F664*H664/B664,0)*B664),G665-(ROUND(F664*H664/B664,0)*B664)))</f>
        <v>#DIV/0!</v>
      </c>
      <c r="I665" s="29" t="e">
        <f>IF(D664="BUY",G665+(ROUND(F664*I664/(B664*100),0)*B664),G665-(ROUND(F664*I664/(B664*100),0)*B664))</f>
        <v>#DIV/0!</v>
      </c>
      <c r="J665" s="29" t="e">
        <f>IF(C664=1,IF(D664="BUY",E664+(ROUND(F664*J664/B664,0)*B664),E664-(ROUND(F664*J664/B664,0)*B664)),IF(D664="BUY",E664-(ROUND(F664*J664/B664,0)*B664),E664+(ROUND(F664*J664/B664,0)*B664)))</f>
        <v>#DIV/0!</v>
      </c>
      <c r="K665" s="29" t="e">
        <f>IF(C664=1,IF(D664="BUY",E664-(ROUND(F664*K664/B664,0)*B664),E664+(ROUND(F664*K664/B664,0)*B664)),IF(D664="BUY",E664-(ROUND(F664*K664/B664,0)*B664),E664+(ROUND(F664*K664/B664,0)*B664)))</f>
        <v>#DIV/0!</v>
      </c>
      <c r="L665" s="29" t="e">
        <f t="shared" ref="L665" si="992">IF(D665="BUY",I665+(R665*B665),I665-(R665*B665))</f>
        <v>#DIV/0!</v>
      </c>
      <c r="M665" s="29" t="e">
        <f>IF(D664="BUY",E664+(ROUND(F664*M664/B664,0)*B664),E664-(ROUND(F664*M664/B664,0)*B664))</f>
        <v>#DIV/0!</v>
      </c>
      <c r="N665" s="29" t="e">
        <f>IF(D664="BUY",E664-(ROUND(F664*N664/B664,0)*B664),E664+(ROUND(F664*N664/B664,0)*B664))</f>
        <v>#DIV/0!</v>
      </c>
      <c r="O665" s="31" t="e">
        <f>IF(D665="BUY",N665-VLOOKUP(A665,Symbols!A$1:D$1000,4,FALSE),N665+VLOOKUP(A665,Symbols!A$1:D$1000,4,FALSE))</f>
        <v>#DIV/0!</v>
      </c>
      <c r="P665" s="29">
        <f>P664</f>
        <v>0</v>
      </c>
      <c r="Q665" s="29">
        <f>Q664</f>
        <v>0</v>
      </c>
      <c r="R665" s="29">
        <f>R664</f>
        <v>0</v>
      </c>
      <c r="S665" s="29">
        <f>S664</f>
        <v>0</v>
      </c>
      <c r="T665" s="29">
        <f>T664</f>
        <v>0</v>
      </c>
      <c r="U665" s="29" t="e">
        <f>DATEDIF(DATE(1970,1,1),U664,"D")*86400</f>
        <v>#NUM!</v>
      </c>
      <c r="V665" s="29">
        <f>HOUR(V664)*3600+MINUTE(V664)*60+SECOND(V664)</f>
        <v>0</v>
      </c>
      <c r="W665" s="29" t="e">
        <f>DATEDIF(DATE(1970,1,1),W664,"D")*86400</f>
        <v>#NUM!</v>
      </c>
      <c r="X665" s="29">
        <f>HOUR(X664)*3600+MINUTE(X664)*60+SECOND(X664)</f>
        <v>0</v>
      </c>
      <c r="Y665" s="31">
        <f>(Y664*B665)</f>
        <v>0</v>
      </c>
      <c r="Z665" s="29">
        <f>Z664</f>
        <v>0</v>
      </c>
      <c r="AA665" s="29" t="e">
        <f>DATEDIF(DATE(1970,1,1),AA664,"D")*86400</f>
        <v>#NUM!</v>
      </c>
      <c r="AB665" s="29">
        <f>HOUR(AB664)*3600+MINUTE(AB664)*60+SECOND(AB664)</f>
        <v>0</v>
      </c>
      <c r="AC665" s="29">
        <f>AC664</f>
        <v>0</v>
      </c>
    </row>
    <row r="666" spans="1:29">
      <c r="A666" s="23">
        <f>Parameters!A334</f>
        <v>0</v>
      </c>
      <c r="B666" s="23">
        <f>Parameters!B334</f>
        <v>0</v>
      </c>
      <c r="C666" s="24">
        <f>Parameters!C334</f>
        <v>0</v>
      </c>
      <c r="D666" s="24">
        <f>Parameters!D334</f>
        <v>0</v>
      </c>
      <c r="E666" s="23">
        <f>Parameters!E334</f>
        <v>0</v>
      </c>
      <c r="F666" s="23">
        <f>Parameters!F334</f>
        <v>0</v>
      </c>
      <c r="G666" s="25">
        <f>Parameters!G334</f>
        <v>0</v>
      </c>
      <c r="H666" s="25">
        <f>Parameters!H334</f>
        <v>0</v>
      </c>
      <c r="I666" s="25">
        <f>Parameters!I334</f>
        <v>0</v>
      </c>
      <c r="J666" s="25">
        <f>Parameters!J334</f>
        <v>0</v>
      </c>
      <c r="K666" s="25">
        <f>Parameters!K334</f>
        <v>0</v>
      </c>
      <c r="L666" s="26" t="e">
        <f t="shared" ref="L666" si="993">L667</f>
        <v>#DIV/0!</v>
      </c>
      <c r="M666" s="25">
        <f>Parameters!L334</f>
        <v>0</v>
      </c>
      <c r="N666" s="25">
        <f>Parameters!M334</f>
        <v>0</v>
      </c>
      <c r="O666" s="26" t="e">
        <f t="shared" ref="O666" si="994">O667</f>
        <v>#DIV/0!</v>
      </c>
      <c r="P666" s="23">
        <f>Parameters!N334</f>
        <v>0</v>
      </c>
      <c r="Q666" s="23">
        <f>Parameters!O334</f>
        <v>0</v>
      </c>
      <c r="R666" s="23">
        <f>Parameters!P334</f>
        <v>0</v>
      </c>
      <c r="S666" s="23">
        <f>Parameters!Q334</f>
        <v>0</v>
      </c>
      <c r="T666" s="23">
        <f>Parameters!R334</f>
        <v>0</v>
      </c>
      <c r="U666" s="27">
        <f>Parameters!S334</f>
        <v>0</v>
      </c>
      <c r="V666" s="28">
        <f>Parameters!T334</f>
        <v>0</v>
      </c>
      <c r="W666" s="27">
        <f>Parameters!U334</f>
        <v>0</v>
      </c>
      <c r="X666" s="28">
        <f>Parameters!V334</f>
        <v>0</v>
      </c>
      <c r="Y666" s="25">
        <f>Parameters!W334</f>
        <v>0</v>
      </c>
      <c r="Z666" s="23">
        <f>Parameters!X334</f>
        <v>0</v>
      </c>
      <c r="AA666" s="27">
        <f>Parameters!Y334</f>
        <v>0</v>
      </c>
      <c r="AB666" s="28">
        <f>Parameters!Z334</f>
        <v>0</v>
      </c>
      <c r="AC666" s="23">
        <f>Parameters!AA334</f>
        <v>0</v>
      </c>
    </row>
    <row r="667" spans="1:29">
      <c r="A667" s="29" t="str">
        <f>UPPER(A666)</f>
        <v>0</v>
      </c>
      <c r="B667" s="29">
        <f>B666</f>
        <v>0</v>
      </c>
      <c r="C667" s="30">
        <f>C666</f>
        <v>0</v>
      </c>
      <c r="D667" s="30">
        <f>D666</f>
        <v>0</v>
      </c>
      <c r="E667" s="29">
        <f>E666</f>
        <v>0</v>
      </c>
      <c r="F667" s="29">
        <f>F666</f>
        <v>0</v>
      </c>
      <c r="G667" s="29" t="e">
        <f>IF(C666=1,IF(D666="BUY",E666+(ROUND(F666*G666/B666,0)*B666),E666-(ROUND(F666*G666/B666,0)*B666)),IF(D666="BUY",E666-(ROUND(F666*G666/B666,0)*B666),E666+(ROUND(F666*G666/B666,0)*B666)))</f>
        <v>#DIV/0!</v>
      </c>
      <c r="H667" s="29" t="e">
        <f>IF(C666=1,IF(D666="BUY",G667-(ROUND(F666*H666/B666,0)*B666),G667+(ROUND(F666*H666/B666,0)*B666)),IF(D666="BUY",G667+(ROUND(F666*H666/B666,0)*B666),G667-(ROUND(F666*H666/B666,0)*B666)))</f>
        <v>#DIV/0!</v>
      </c>
      <c r="I667" s="29" t="e">
        <f>IF(D666="BUY",G667+(ROUND(F666*I666/(B666*100),0)*B666),G667-(ROUND(F666*I666/(B666*100),0)*B666))</f>
        <v>#DIV/0!</v>
      </c>
      <c r="J667" s="29" t="e">
        <f>IF(C666=1,IF(D666="BUY",E666+(ROUND(F666*J666/B666,0)*B666),E666-(ROUND(F666*J666/B666,0)*B666)),IF(D666="BUY",E666-(ROUND(F666*J666/B666,0)*B666),E666+(ROUND(F666*J666/B666,0)*B666)))</f>
        <v>#DIV/0!</v>
      </c>
      <c r="K667" s="29" t="e">
        <f>IF(C666=1,IF(D666="BUY",E666-(ROUND(F666*K666/B666,0)*B666),E666+(ROUND(F666*K666/B666,0)*B666)),IF(D666="BUY",E666-(ROUND(F666*K666/B666,0)*B666),E666+(ROUND(F666*K666/B666,0)*B666)))</f>
        <v>#DIV/0!</v>
      </c>
      <c r="L667" s="29" t="e">
        <f t="shared" ref="L667" si="995">IF(D667="BUY",I667+(R667*B667),I667-(R667*B667))</f>
        <v>#DIV/0!</v>
      </c>
      <c r="M667" s="29" t="e">
        <f>IF(D666="BUY",E666+(ROUND(F666*M666/B666,0)*B666),E666-(ROUND(F666*M666/B666,0)*B666))</f>
        <v>#DIV/0!</v>
      </c>
      <c r="N667" s="29" t="e">
        <f>IF(D666="BUY",E666-(ROUND(F666*N666/B666,0)*B666),E666+(ROUND(F666*N666/B666,0)*B666))</f>
        <v>#DIV/0!</v>
      </c>
      <c r="O667" s="31" t="e">
        <f>IF(D667="BUY",N667-VLOOKUP(A667,Symbols!A$1:D$1000,4,FALSE),N667+VLOOKUP(A667,Symbols!A$1:D$1000,4,FALSE))</f>
        <v>#DIV/0!</v>
      </c>
      <c r="P667" s="29">
        <f>P666</f>
        <v>0</v>
      </c>
      <c r="Q667" s="29">
        <f>Q666</f>
        <v>0</v>
      </c>
      <c r="R667" s="29">
        <f>R666</f>
        <v>0</v>
      </c>
      <c r="S667" s="29">
        <f>S666</f>
        <v>0</v>
      </c>
      <c r="T667" s="29">
        <f>T666</f>
        <v>0</v>
      </c>
      <c r="U667" s="29" t="e">
        <f>DATEDIF(DATE(1970,1,1),U666,"D")*86400</f>
        <v>#NUM!</v>
      </c>
      <c r="V667" s="29">
        <f>HOUR(V666)*3600+MINUTE(V666)*60+SECOND(V666)</f>
        <v>0</v>
      </c>
      <c r="W667" s="29" t="e">
        <f>DATEDIF(DATE(1970,1,1),W666,"D")*86400</f>
        <v>#NUM!</v>
      </c>
      <c r="X667" s="29">
        <f>HOUR(X666)*3600+MINUTE(X666)*60+SECOND(X666)</f>
        <v>0</v>
      </c>
      <c r="Y667" s="31">
        <f>(Y666*B667)</f>
        <v>0</v>
      </c>
      <c r="Z667" s="29">
        <f>Z666</f>
        <v>0</v>
      </c>
      <c r="AA667" s="29" t="e">
        <f>DATEDIF(DATE(1970,1,1),AA666,"D")*86400</f>
        <v>#NUM!</v>
      </c>
      <c r="AB667" s="29">
        <f>HOUR(AB666)*3600+MINUTE(AB666)*60+SECOND(AB666)</f>
        <v>0</v>
      </c>
      <c r="AC667" s="29">
        <f>AC666</f>
        <v>0</v>
      </c>
    </row>
    <row r="668" spans="1:29">
      <c r="A668" s="23">
        <f>Parameters!A335</f>
        <v>0</v>
      </c>
      <c r="B668" s="23">
        <f>Parameters!B335</f>
        <v>0</v>
      </c>
      <c r="C668" s="24">
        <f>Parameters!C335</f>
        <v>0</v>
      </c>
      <c r="D668" s="24">
        <f>Parameters!D335</f>
        <v>0</v>
      </c>
      <c r="E668" s="23">
        <f>Parameters!E335</f>
        <v>0</v>
      </c>
      <c r="F668" s="23">
        <f>Parameters!F335</f>
        <v>0</v>
      </c>
      <c r="G668" s="25">
        <f>Parameters!G335</f>
        <v>0</v>
      </c>
      <c r="H668" s="25">
        <f>Parameters!H335</f>
        <v>0</v>
      </c>
      <c r="I668" s="25">
        <f>Parameters!I335</f>
        <v>0</v>
      </c>
      <c r="J668" s="25">
        <f>Parameters!J335</f>
        <v>0</v>
      </c>
      <c r="K668" s="25">
        <f>Parameters!K335</f>
        <v>0</v>
      </c>
      <c r="L668" s="26" t="e">
        <f t="shared" ref="L668" si="996">L669</f>
        <v>#DIV/0!</v>
      </c>
      <c r="M668" s="25">
        <f>Parameters!L335</f>
        <v>0</v>
      </c>
      <c r="N668" s="25">
        <f>Parameters!M335</f>
        <v>0</v>
      </c>
      <c r="O668" s="26" t="e">
        <f t="shared" ref="O668" si="997">O669</f>
        <v>#DIV/0!</v>
      </c>
      <c r="P668" s="23">
        <f>Parameters!N335</f>
        <v>0</v>
      </c>
      <c r="Q668" s="23">
        <f>Parameters!O335</f>
        <v>0</v>
      </c>
      <c r="R668" s="23">
        <f>Parameters!P335</f>
        <v>0</v>
      </c>
      <c r="S668" s="23">
        <f>Parameters!Q335</f>
        <v>0</v>
      </c>
      <c r="T668" s="23">
        <f>Parameters!R335</f>
        <v>0</v>
      </c>
      <c r="U668" s="27">
        <f>Parameters!S335</f>
        <v>0</v>
      </c>
      <c r="V668" s="28">
        <f>Parameters!T335</f>
        <v>0</v>
      </c>
      <c r="W668" s="27">
        <f>Parameters!U335</f>
        <v>0</v>
      </c>
      <c r="X668" s="28">
        <f>Parameters!V335</f>
        <v>0</v>
      </c>
      <c r="Y668" s="25">
        <f>Parameters!W335</f>
        <v>0</v>
      </c>
      <c r="Z668" s="23">
        <f>Parameters!X335</f>
        <v>0</v>
      </c>
      <c r="AA668" s="27">
        <f>Parameters!Y335</f>
        <v>0</v>
      </c>
      <c r="AB668" s="28">
        <f>Parameters!Z335</f>
        <v>0</v>
      </c>
      <c r="AC668" s="23">
        <f>Parameters!AA335</f>
        <v>0</v>
      </c>
    </row>
    <row r="669" spans="1:29">
      <c r="A669" s="29" t="str">
        <f>UPPER(A668)</f>
        <v>0</v>
      </c>
      <c r="B669" s="29">
        <f>B668</f>
        <v>0</v>
      </c>
      <c r="C669" s="30">
        <f>C668</f>
        <v>0</v>
      </c>
      <c r="D669" s="30">
        <f>D668</f>
        <v>0</v>
      </c>
      <c r="E669" s="29">
        <f>E668</f>
        <v>0</v>
      </c>
      <c r="F669" s="29">
        <f>F668</f>
        <v>0</v>
      </c>
      <c r="G669" s="29" t="e">
        <f>IF(C668=1,IF(D668="BUY",E668+(ROUND(F668*G668/B668,0)*B668),E668-(ROUND(F668*G668/B668,0)*B668)),IF(D668="BUY",E668-(ROUND(F668*G668/B668,0)*B668),E668+(ROUND(F668*G668/B668,0)*B668)))</f>
        <v>#DIV/0!</v>
      </c>
      <c r="H669" s="29" t="e">
        <f>IF(C668=1,IF(D668="BUY",G669-(ROUND(F668*H668/B668,0)*B668),G669+(ROUND(F668*H668/B668,0)*B668)),IF(D668="BUY",G669+(ROUND(F668*H668/B668,0)*B668),G669-(ROUND(F668*H668/B668,0)*B668)))</f>
        <v>#DIV/0!</v>
      </c>
      <c r="I669" s="29" t="e">
        <f>IF(D668="BUY",G669+(ROUND(F668*I668/(B668*100),0)*B668),G669-(ROUND(F668*I668/(B668*100),0)*B668))</f>
        <v>#DIV/0!</v>
      </c>
      <c r="J669" s="29" t="e">
        <f>IF(C668=1,IF(D668="BUY",E668+(ROUND(F668*J668/B668,0)*B668),E668-(ROUND(F668*J668/B668,0)*B668)),IF(D668="BUY",E668-(ROUND(F668*J668/B668,0)*B668),E668+(ROUND(F668*J668/B668,0)*B668)))</f>
        <v>#DIV/0!</v>
      </c>
      <c r="K669" s="29" t="e">
        <f>IF(C668=1,IF(D668="BUY",E668-(ROUND(F668*K668/B668,0)*B668),E668+(ROUND(F668*K668/B668,0)*B668)),IF(D668="BUY",E668-(ROUND(F668*K668/B668,0)*B668),E668+(ROUND(F668*K668/B668,0)*B668)))</f>
        <v>#DIV/0!</v>
      </c>
      <c r="L669" s="29" t="e">
        <f t="shared" ref="L669" si="998">IF(D669="BUY",I669+(R669*B669),I669-(R669*B669))</f>
        <v>#DIV/0!</v>
      </c>
      <c r="M669" s="29" t="e">
        <f>IF(D668="BUY",E668+(ROUND(F668*M668/B668,0)*B668),E668-(ROUND(F668*M668/B668,0)*B668))</f>
        <v>#DIV/0!</v>
      </c>
      <c r="N669" s="29" t="e">
        <f>IF(D668="BUY",E668-(ROUND(F668*N668/B668,0)*B668),E668+(ROUND(F668*N668/B668,0)*B668))</f>
        <v>#DIV/0!</v>
      </c>
      <c r="O669" s="31" t="e">
        <f>IF(D669="BUY",N669-VLOOKUP(A669,Symbols!A$1:D$1000,4,FALSE),N669+VLOOKUP(A669,Symbols!A$1:D$1000,4,FALSE))</f>
        <v>#DIV/0!</v>
      </c>
      <c r="P669" s="29">
        <f>P668</f>
        <v>0</v>
      </c>
      <c r="Q669" s="29">
        <f>Q668</f>
        <v>0</v>
      </c>
      <c r="R669" s="29">
        <f>R668</f>
        <v>0</v>
      </c>
      <c r="S669" s="29">
        <f>S668</f>
        <v>0</v>
      </c>
      <c r="T669" s="29">
        <f>T668</f>
        <v>0</v>
      </c>
      <c r="U669" s="29" t="e">
        <f>DATEDIF(DATE(1970,1,1),U668,"D")*86400</f>
        <v>#NUM!</v>
      </c>
      <c r="V669" s="29">
        <f>HOUR(V668)*3600+MINUTE(V668)*60+SECOND(V668)</f>
        <v>0</v>
      </c>
      <c r="W669" s="29" t="e">
        <f>DATEDIF(DATE(1970,1,1),W668,"D")*86400</f>
        <v>#NUM!</v>
      </c>
      <c r="X669" s="29">
        <f>HOUR(X668)*3600+MINUTE(X668)*60+SECOND(X668)</f>
        <v>0</v>
      </c>
      <c r="Y669" s="31">
        <f>(Y668*B669)</f>
        <v>0</v>
      </c>
      <c r="Z669" s="29">
        <f>Z668</f>
        <v>0</v>
      </c>
      <c r="AA669" s="29" t="e">
        <f>DATEDIF(DATE(1970,1,1),AA668,"D")*86400</f>
        <v>#NUM!</v>
      </c>
      <c r="AB669" s="29">
        <f>HOUR(AB668)*3600+MINUTE(AB668)*60+SECOND(AB668)</f>
        <v>0</v>
      </c>
      <c r="AC669" s="29">
        <f>AC668</f>
        <v>0</v>
      </c>
    </row>
    <row r="670" spans="1:29">
      <c r="A670" s="23">
        <f>Parameters!A336</f>
        <v>0</v>
      </c>
      <c r="B670" s="23">
        <f>Parameters!B336</f>
        <v>0</v>
      </c>
      <c r="C670" s="24">
        <f>Parameters!C336</f>
        <v>0</v>
      </c>
      <c r="D670" s="24">
        <f>Parameters!D336</f>
        <v>0</v>
      </c>
      <c r="E670" s="23">
        <f>Parameters!E336</f>
        <v>0</v>
      </c>
      <c r="F670" s="23">
        <f>Parameters!F336</f>
        <v>0</v>
      </c>
      <c r="G670" s="25">
        <f>Parameters!G336</f>
        <v>0</v>
      </c>
      <c r="H670" s="25">
        <f>Parameters!H336</f>
        <v>0</v>
      </c>
      <c r="I670" s="25">
        <f>Parameters!I336</f>
        <v>0</v>
      </c>
      <c r="J670" s="25">
        <f>Parameters!J336</f>
        <v>0</v>
      </c>
      <c r="K670" s="25">
        <f>Parameters!K336</f>
        <v>0</v>
      </c>
      <c r="L670" s="26" t="e">
        <f t="shared" ref="L670" si="999">L671</f>
        <v>#DIV/0!</v>
      </c>
      <c r="M670" s="25">
        <f>Parameters!L336</f>
        <v>0</v>
      </c>
      <c r="N670" s="25">
        <f>Parameters!M336</f>
        <v>0</v>
      </c>
      <c r="O670" s="26" t="e">
        <f t="shared" ref="O670" si="1000">O671</f>
        <v>#DIV/0!</v>
      </c>
      <c r="P670" s="23">
        <f>Parameters!N336</f>
        <v>0</v>
      </c>
      <c r="Q670" s="23">
        <f>Parameters!O336</f>
        <v>0</v>
      </c>
      <c r="R670" s="23">
        <f>Parameters!P336</f>
        <v>0</v>
      </c>
      <c r="S670" s="23">
        <f>Parameters!Q336</f>
        <v>0</v>
      </c>
      <c r="T670" s="23">
        <f>Parameters!R336</f>
        <v>0</v>
      </c>
      <c r="U670" s="27">
        <f>Parameters!S336</f>
        <v>0</v>
      </c>
      <c r="V670" s="28">
        <f>Parameters!T336</f>
        <v>0</v>
      </c>
      <c r="W670" s="27">
        <f>Parameters!U336</f>
        <v>0</v>
      </c>
      <c r="X670" s="28">
        <f>Parameters!V336</f>
        <v>0</v>
      </c>
      <c r="Y670" s="25">
        <f>Parameters!W336</f>
        <v>0</v>
      </c>
      <c r="Z670" s="23">
        <f>Parameters!X336</f>
        <v>0</v>
      </c>
      <c r="AA670" s="27">
        <f>Parameters!Y336</f>
        <v>0</v>
      </c>
      <c r="AB670" s="28">
        <f>Parameters!Z336</f>
        <v>0</v>
      </c>
      <c r="AC670" s="23">
        <f>Parameters!AA336</f>
        <v>0</v>
      </c>
    </row>
    <row r="671" spans="1:29">
      <c r="A671" s="29" t="str">
        <f>UPPER(A670)</f>
        <v>0</v>
      </c>
      <c r="B671" s="29">
        <f>B670</f>
        <v>0</v>
      </c>
      <c r="C671" s="30">
        <f>C670</f>
        <v>0</v>
      </c>
      <c r="D671" s="30">
        <f>D670</f>
        <v>0</v>
      </c>
      <c r="E671" s="29">
        <f>E670</f>
        <v>0</v>
      </c>
      <c r="F671" s="29">
        <f>F670</f>
        <v>0</v>
      </c>
      <c r="G671" s="29" t="e">
        <f>IF(C670=1,IF(D670="BUY",E670+(ROUND(F670*G670/B670,0)*B670),E670-(ROUND(F670*G670/B670,0)*B670)),IF(D670="BUY",E670-(ROUND(F670*G670/B670,0)*B670),E670+(ROUND(F670*G670/B670,0)*B670)))</f>
        <v>#DIV/0!</v>
      </c>
      <c r="H671" s="29" t="e">
        <f>IF(C670=1,IF(D670="BUY",G671-(ROUND(F670*H670/B670,0)*B670),G671+(ROUND(F670*H670/B670,0)*B670)),IF(D670="BUY",G671+(ROUND(F670*H670/B670,0)*B670),G671-(ROUND(F670*H670/B670,0)*B670)))</f>
        <v>#DIV/0!</v>
      </c>
      <c r="I671" s="29" t="e">
        <f>IF(D670="BUY",G671+(ROUND(F670*I670/(B670*100),0)*B670),G671-(ROUND(F670*I670/(B670*100),0)*B670))</f>
        <v>#DIV/0!</v>
      </c>
      <c r="J671" s="29" t="e">
        <f>IF(C670=1,IF(D670="BUY",E670+(ROUND(F670*J670/B670,0)*B670),E670-(ROUND(F670*J670/B670,0)*B670)),IF(D670="BUY",E670-(ROUND(F670*J670/B670,0)*B670),E670+(ROUND(F670*J670/B670,0)*B670)))</f>
        <v>#DIV/0!</v>
      </c>
      <c r="K671" s="29" t="e">
        <f>IF(C670=1,IF(D670="BUY",E670-(ROUND(F670*K670/B670,0)*B670),E670+(ROUND(F670*K670/B670,0)*B670)),IF(D670="BUY",E670-(ROUND(F670*K670/B670,0)*B670),E670+(ROUND(F670*K670/B670,0)*B670)))</f>
        <v>#DIV/0!</v>
      </c>
      <c r="L671" s="29" t="e">
        <f t="shared" ref="L671" si="1001">IF(D671="BUY",I671+(R671*B671),I671-(R671*B671))</f>
        <v>#DIV/0!</v>
      </c>
      <c r="M671" s="29" t="e">
        <f>IF(D670="BUY",E670+(ROUND(F670*M670/B670,0)*B670),E670-(ROUND(F670*M670/B670,0)*B670))</f>
        <v>#DIV/0!</v>
      </c>
      <c r="N671" s="29" t="e">
        <f>IF(D670="BUY",E670-(ROUND(F670*N670/B670,0)*B670),E670+(ROUND(F670*N670/B670,0)*B670))</f>
        <v>#DIV/0!</v>
      </c>
      <c r="O671" s="31" t="e">
        <f>IF(D671="BUY",N671-VLOOKUP(A671,Symbols!A$1:D$1000,4,FALSE),N671+VLOOKUP(A671,Symbols!A$1:D$1000,4,FALSE))</f>
        <v>#DIV/0!</v>
      </c>
      <c r="P671" s="29">
        <f>P670</f>
        <v>0</v>
      </c>
      <c r="Q671" s="29">
        <f>Q670</f>
        <v>0</v>
      </c>
      <c r="R671" s="29">
        <f>R670</f>
        <v>0</v>
      </c>
      <c r="S671" s="29">
        <f>S670</f>
        <v>0</v>
      </c>
      <c r="T671" s="29">
        <f>T670</f>
        <v>0</v>
      </c>
      <c r="U671" s="29" t="e">
        <f>DATEDIF(DATE(1970,1,1),U670,"D")*86400</f>
        <v>#NUM!</v>
      </c>
      <c r="V671" s="29">
        <f>HOUR(V670)*3600+MINUTE(V670)*60+SECOND(V670)</f>
        <v>0</v>
      </c>
      <c r="W671" s="29" t="e">
        <f>DATEDIF(DATE(1970,1,1),W670,"D")*86400</f>
        <v>#NUM!</v>
      </c>
      <c r="X671" s="29">
        <f>HOUR(X670)*3600+MINUTE(X670)*60+SECOND(X670)</f>
        <v>0</v>
      </c>
      <c r="Y671" s="31">
        <f>(Y670*B671)</f>
        <v>0</v>
      </c>
      <c r="Z671" s="29">
        <f>Z670</f>
        <v>0</v>
      </c>
      <c r="AA671" s="29" t="e">
        <f>DATEDIF(DATE(1970,1,1),AA670,"D")*86400</f>
        <v>#NUM!</v>
      </c>
      <c r="AB671" s="29">
        <f>HOUR(AB670)*3600+MINUTE(AB670)*60+SECOND(AB670)</f>
        <v>0</v>
      </c>
      <c r="AC671" s="29">
        <f>AC670</f>
        <v>0</v>
      </c>
    </row>
    <row r="672" spans="1:29">
      <c r="A672" s="23">
        <f>Parameters!A337</f>
        <v>0</v>
      </c>
      <c r="B672" s="23">
        <f>Parameters!B337</f>
        <v>0</v>
      </c>
      <c r="C672" s="24">
        <f>Parameters!C337</f>
        <v>0</v>
      </c>
      <c r="D672" s="24">
        <f>Parameters!D337</f>
        <v>0</v>
      </c>
      <c r="E672" s="23">
        <f>Parameters!E337</f>
        <v>0</v>
      </c>
      <c r="F672" s="23">
        <f>Parameters!F337</f>
        <v>0</v>
      </c>
      <c r="G672" s="25">
        <f>Parameters!G337</f>
        <v>0</v>
      </c>
      <c r="H672" s="25">
        <f>Parameters!H337</f>
        <v>0</v>
      </c>
      <c r="I672" s="25">
        <f>Parameters!I337</f>
        <v>0</v>
      </c>
      <c r="J672" s="25">
        <f>Parameters!J337</f>
        <v>0</v>
      </c>
      <c r="K672" s="25">
        <f>Parameters!K337</f>
        <v>0</v>
      </c>
      <c r="L672" s="26" t="e">
        <f t="shared" ref="L672" si="1002">L673</f>
        <v>#DIV/0!</v>
      </c>
      <c r="M672" s="25">
        <f>Parameters!L337</f>
        <v>0</v>
      </c>
      <c r="N672" s="25">
        <f>Parameters!M337</f>
        <v>0</v>
      </c>
      <c r="O672" s="26" t="e">
        <f t="shared" ref="O672" si="1003">O673</f>
        <v>#DIV/0!</v>
      </c>
      <c r="P672" s="23">
        <f>Parameters!N337</f>
        <v>0</v>
      </c>
      <c r="Q672" s="23">
        <f>Parameters!O337</f>
        <v>0</v>
      </c>
      <c r="R672" s="23">
        <f>Parameters!P337</f>
        <v>0</v>
      </c>
      <c r="S672" s="23">
        <f>Parameters!Q337</f>
        <v>0</v>
      </c>
      <c r="T672" s="23">
        <f>Parameters!R337</f>
        <v>0</v>
      </c>
      <c r="U672" s="27">
        <f>Parameters!S337</f>
        <v>0</v>
      </c>
      <c r="V672" s="28">
        <f>Parameters!T337</f>
        <v>0</v>
      </c>
      <c r="W672" s="27">
        <f>Parameters!U337</f>
        <v>0</v>
      </c>
      <c r="X672" s="28">
        <f>Parameters!V337</f>
        <v>0</v>
      </c>
      <c r="Y672" s="25">
        <f>Parameters!W337</f>
        <v>0</v>
      </c>
      <c r="Z672" s="23">
        <f>Parameters!X337</f>
        <v>0</v>
      </c>
      <c r="AA672" s="27">
        <f>Parameters!Y337</f>
        <v>0</v>
      </c>
      <c r="AB672" s="28">
        <f>Parameters!Z337</f>
        <v>0</v>
      </c>
      <c r="AC672" s="23">
        <f>Parameters!AA337</f>
        <v>0</v>
      </c>
    </row>
    <row r="673" spans="1:29">
      <c r="A673" s="29" t="str">
        <f>UPPER(A672)</f>
        <v>0</v>
      </c>
      <c r="B673" s="29">
        <f>B672</f>
        <v>0</v>
      </c>
      <c r="C673" s="30">
        <f>C672</f>
        <v>0</v>
      </c>
      <c r="D673" s="30">
        <f>D672</f>
        <v>0</v>
      </c>
      <c r="E673" s="29">
        <f>E672</f>
        <v>0</v>
      </c>
      <c r="F673" s="29">
        <f>F672</f>
        <v>0</v>
      </c>
      <c r="G673" s="29" t="e">
        <f>IF(C672=1,IF(D672="BUY",E672+(ROUND(F672*G672/B672,0)*B672),E672-(ROUND(F672*G672/B672,0)*B672)),IF(D672="BUY",E672-(ROUND(F672*G672/B672,0)*B672),E672+(ROUND(F672*G672/B672,0)*B672)))</f>
        <v>#DIV/0!</v>
      </c>
      <c r="H673" s="29" t="e">
        <f>IF(C672=1,IF(D672="BUY",G673-(ROUND(F672*H672/B672,0)*B672),G673+(ROUND(F672*H672/B672,0)*B672)),IF(D672="BUY",G673+(ROUND(F672*H672/B672,0)*B672),G673-(ROUND(F672*H672/B672,0)*B672)))</f>
        <v>#DIV/0!</v>
      </c>
      <c r="I673" s="29" t="e">
        <f>IF(D672="BUY",G673+(ROUND(F672*I672/(B672*100),0)*B672),G673-(ROUND(F672*I672/(B672*100),0)*B672))</f>
        <v>#DIV/0!</v>
      </c>
      <c r="J673" s="29" t="e">
        <f>IF(C672=1,IF(D672="BUY",E672+(ROUND(F672*J672/B672,0)*B672),E672-(ROUND(F672*J672/B672,0)*B672)),IF(D672="BUY",E672-(ROUND(F672*J672/B672,0)*B672),E672+(ROUND(F672*J672/B672,0)*B672)))</f>
        <v>#DIV/0!</v>
      </c>
      <c r="K673" s="29" t="e">
        <f>IF(C672=1,IF(D672="BUY",E672-(ROUND(F672*K672/B672,0)*B672),E672+(ROUND(F672*K672/B672,0)*B672)),IF(D672="BUY",E672-(ROUND(F672*K672/B672,0)*B672),E672+(ROUND(F672*K672/B672,0)*B672)))</f>
        <v>#DIV/0!</v>
      </c>
      <c r="L673" s="29" t="e">
        <f t="shared" ref="L673" si="1004">IF(D673="BUY",I673+(R673*B673),I673-(R673*B673))</f>
        <v>#DIV/0!</v>
      </c>
      <c r="M673" s="29" t="e">
        <f>IF(D672="BUY",E672+(ROUND(F672*M672/B672,0)*B672),E672-(ROUND(F672*M672/B672,0)*B672))</f>
        <v>#DIV/0!</v>
      </c>
      <c r="N673" s="29" t="e">
        <f>IF(D672="BUY",E672-(ROUND(F672*N672/B672,0)*B672),E672+(ROUND(F672*N672/B672,0)*B672))</f>
        <v>#DIV/0!</v>
      </c>
      <c r="O673" s="31" t="e">
        <f>IF(D673="BUY",N673-VLOOKUP(A673,Symbols!A$1:D$1000,4,FALSE),N673+VLOOKUP(A673,Symbols!A$1:D$1000,4,FALSE))</f>
        <v>#DIV/0!</v>
      </c>
      <c r="P673" s="29">
        <f>P672</f>
        <v>0</v>
      </c>
      <c r="Q673" s="29">
        <f>Q672</f>
        <v>0</v>
      </c>
      <c r="R673" s="29">
        <f>R672</f>
        <v>0</v>
      </c>
      <c r="S673" s="29">
        <f>S672</f>
        <v>0</v>
      </c>
      <c r="T673" s="29">
        <f>T672</f>
        <v>0</v>
      </c>
      <c r="U673" s="29" t="e">
        <f>DATEDIF(DATE(1970,1,1),U672,"D")*86400</f>
        <v>#NUM!</v>
      </c>
      <c r="V673" s="29">
        <f>HOUR(V672)*3600+MINUTE(V672)*60+SECOND(V672)</f>
        <v>0</v>
      </c>
      <c r="W673" s="29" t="e">
        <f>DATEDIF(DATE(1970,1,1),W672,"D")*86400</f>
        <v>#NUM!</v>
      </c>
      <c r="X673" s="29">
        <f>HOUR(X672)*3600+MINUTE(X672)*60+SECOND(X672)</f>
        <v>0</v>
      </c>
      <c r="Y673" s="31">
        <f>(Y672*B673)</f>
        <v>0</v>
      </c>
      <c r="Z673" s="29">
        <f>Z672</f>
        <v>0</v>
      </c>
      <c r="AA673" s="29" t="e">
        <f>DATEDIF(DATE(1970,1,1),AA672,"D")*86400</f>
        <v>#NUM!</v>
      </c>
      <c r="AB673" s="29">
        <f>HOUR(AB672)*3600+MINUTE(AB672)*60+SECOND(AB672)</f>
        <v>0</v>
      </c>
      <c r="AC673" s="29">
        <f>AC672</f>
        <v>0</v>
      </c>
    </row>
    <row r="674" spans="1:29">
      <c r="A674" s="23">
        <f>Parameters!A338</f>
        <v>0</v>
      </c>
      <c r="B674" s="23">
        <f>Parameters!B338</f>
        <v>0</v>
      </c>
      <c r="C674" s="24">
        <f>Parameters!C338</f>
        <v>0</v>
      </c>
      <c r="D674" s="24">
        <f>Parameters!D338</f>
        <v>0</v>
      </c>
      <c r="E674" s="23">
        <f>Parameters!E338</f>
        <v>0</v>
      </c>
      <c r="F674" s="23">
        <f>Parameters!F338</f>
        <v>0</v>
      </c>
      <c r="G674" s="25">
        <f>Parameters!G338</f>
        <v>0</v>
      </c>
      <c r="H674" s="25">
        <f>Parameters!H338</f>
        <v>0</v>
      </c>
      <c r="I674" s="25">
        <f>Parameters!I338</f>
        <v>0</v>
      </c>
      <c r="J674" s="25">
        <f>Parameters!J338</f>
        <v>0</v>
      </c>
      <c r="K674" s="25">
        <f>Parameters!K338</f>
        <v>0</v>
      </c>
      <c r="L674" s="26" t="e">
        <f t="shared" ref="L674" si="1005">L675</f>
        <v>#DIV/0!</v>
      </c>
      <c r="M674" s="25">
        <f>Parameters!L338</f>
        <v>0</v>
      </c>
      <c r="N674" s="25">
        <f>Parameters!M338</f>
        <v>0</v>
      </c>
      <c r="O674" s="26" t="e">
        <f t="shared" ref="O674" si="1006">O675</f>
        <v>#DIV/0!</v>
      </c>
      <c r="P674" s="23">
        <f>Parameters!N338</f>
        <v>0</v>
      </c>
      <c r="Q674" s="23">
        <f>Parameters!O338</f>
        <v>0</v>
      </c>
      <c r="R674" s="23">
        <f>Parameters!P338</f>
        <v>0</v>
      </c>
      <c r="S674" s="23">
        <f>Parameters!Q338</f>
        <v>0</v>
      </c>
      <c r="T674" s="23">
        <f>Parameters!R338</f>
        <v>0</v>
      </c>
      <c r="U674" s="27">
        <f>Parameters!S338</f>
        <v>0</v>
      </c>
      <c r="V674" s="28">
        <f>Parameters!T338</f>
        <v>0</v>
      </c>
      <c r="W674" s="27">
        <f>Parameters!U338</f>
        <v>0</v>
      </c>
      <c r="X674" s="28">
        <f>Parameters!V338</f>
        <v>0</v>
      </c>
      <c r="Y674" s="25">
        <f>Parameters!W338</f>
        <v>0</v>
      </c>
      <c r="Z674" s="23">
        <f>Parameters!X338</f>
        <v>0</v>
      </c>
      <c r="AA674" s="27">
        <f>Parameters!Y338</f>
        <v>0</v>
      </c>
      <c r="AB674" s="28">
        <f>Parameters!Z338</f>
        <v>0</v>
      </c>
      <c r="AC674" s="23">
        <f>Parameters!AA338</f>
        <v>0</v>
      </c>
    </row>
    <row r="675" spans="1:29">
      <c r="A675" s="29" t="str">
        <f>UPPER(A674)</f>
        <v>0</v>
      </c>
      <c r="B675" s="29">
        <f>B674</f>
        <v>0</v>
      </c>
      <c r="C675" s="30">
        <f>C674</f>
        <v>0</v>
      </c>
      <c r="D675" s="30">
        <f>D674</f>
        <v>0</v>
      </c>
      <c r="E675" s="29">
        <f>E674</f>
        <v>0</v>
      </c>
      <c r="F675" s="29">
        <f>F674</f>
        <v>0</v>
      </c>
      <c r="G675" s="29" t="e">
        <f>IF(C674=1,IF(D674="BUY",E674+(ROUND(F674*G674/B674,0)*B674),E674-(ROUND(F674*G674/B674,0)*B674)),IF(D674="BUY",E674-(ROUND(F674*G674/B674,0)*B674),E674+(ROUND(F674*G674/B674,0)*B674)))</f>
        <v>#DIV/0!</v>
      </c>
      <c r="H675" s="29" t="e">
        <f>IF(C674=1,IF(D674="BUY",G675-(ROUND(F674*H674/B674,0)*B674),G675+(ROUND(F674*H674/B674,0)*B674)),IF(D674="BUY",G675+(ROUND(F674*H674/B674,0)*B674),G675-(ROUND(F674*H674/B674,0)*B674)))</f>
        <v>#DIV/0!</v>
      </c>
      <c r="I675" s="29" t="e">
        <f>IF(D674="BUY",G675+(ROUND(F674*I674/(B674*100),0)*B674),G675-(ROUND(F674*I674/(B674*100),0)*B674))</f>
        <v>#DIV/0!</v>
      </c>
      <c r="J675" s="29" t="e">
        <f>IF(C674=1,IF(D674="BUY",E674+(ROUND(F674*J674/B674,0)*B674),E674-(ROUND(F674*J674/B674,0)*B674)),IF(D674="BUY",E674-(ROUND(F674*J674/B674,0)*B674),E674+(ROUND(F674*J674/B674,0)*B674)))</f>
        <v>#DIV/0!</v>
      </c>
      <c r="K675" s="29" t="e">
        <f>IF(C674=1,IF(D674="BUY",E674-(ROUND(F674*K674/B674,0)*B674),E674+(ROUND(F674*K674/B674,0)*B674)),IF(D674="BUY",E674-(ROUND(F674*K674/B674,0)*B674),E674+(ROUND(F674*K674/B674,0)*B674)))</f>
        <v>#DIV/0!</v>
      </c>
      <c r="L675" s="29" t="e">
        <f t="shared" ref="L675" si="1007">IF(D675="BUY",I675+(R675*B675),I675-(R675*B675))</f>
        <v>#DIV/0!</v>
      </c>
      <c r="M675" s="29" t="e">
        <f>IF(D674="BUY",E674+(ROUND(F674*M674/B674,0)*B674),E674-(ROUND(F674*M674/B674,0)*B674))</f>
        <v>#DIV/0!</v>
      </c>
      <c r="N675" s="29" t="e">
        <f>IF(D674="BUY",E674-(ROUND(F674*N674/B674,0)*B674),E674+(ROUND(F674*N674/B674,0)*B674))</f>
        <v>#DIV/0!</v>
      </c>
      <c r="O675" s="31" t="e">
        <f>IF(D675="BUY",N675-VLOOKUP(A675,Symbols!A$1:D$1000,4,FALSE),N675+VLOOKUP(A675,Symbols!A$1:D$1000,4,FALSE))</f>
        <v>#DIV/0!</v>
      </c>
      <c r="P675" s="29">
        <f>P674</f>
        <v>0</v>
      </c>
      <c r="Q675" s="29">
        <f>Q674</f>
        <v>0</v>
      </c>
      <c r="R675" s="29">
        <f>R674</f>
        <v>0</v>
      </c>
      <c r="S675" s="29">
        <f>S674</f>
        <v>0</v>
      </c>
      <c r="T675" s="29">
        <f>T674</f>
        <v>0</v>
      </c>
      <c r="U675" s="29" t="e">
        <f>DATEDIF(DATE(1970,1,1),U674,"D")*86400</f>
        <v>#NUM!</v>
      </c>
      <c r="V675" s="29">
        <f>HOUR(V674)*3600+MINUTE(V674)*60+SECOND(V674)</f>
        <v>0</v>
      </c>
      <c r="W675" s="29" t="e">
        <f>DATEDIF(DATE(1970,1,1),W674,"D")*86400</f>
        <v>#NUM!</v>
      </c>
      <c r="X675" s="29">
        <f>HOUR(X674)*3600+MINUTE(X674)*60+SECOND(X674)</f>
        <v>0</v>
      </c>
      <c r="Y675" s="31">
        <f>(Y674*B675)</f>
        <v>0</v>
      </c>
      <c r="Z675" s="29">
        <f>Z674</f>
        <v>0</v>
      </c>
      <c r="AA675" s="29" t="e">
        <f>DATEDIF(DATE(1970,1,1),AA674,"D")*86400</f>
        <v>#NUM!</v>
      </c>
      <c r="AB675" s="29">
        <f>HOUR(AB674)*3600+MINUTE(AB674)*60+SECOND(AB674)</f>
        <v>0</v>
      </c>
      <c r="AC675" s="29">
        <f>AC674</f>
        <v>0</v>
      </c>
    </row>
    <row r="676" spans="1:29">
      <c r="A676" s="23">
        <f>Parameters!A339</f>
        <v>0</v>
      </c>
      <c r="B676" s="23">
        <f>Parameters!B339</f>
        <v>0</v>
      </c>
      <c r="C676" s="24">
        <f>Parameters!C339</f>
        <v>0</v>
      </c>
      <c r="D676" s="24">
        <f>Parameters!D339</f>
        <v>0</v>
      </c>
      <c r="E676" s="23">
        <f>Parameters!E339</f>
        <v>0</v>
      </c>
      <c r="F676" s="23">
        <f>Parameters!F339</f>
        <v>0</v>
      </c>
      <c r="G676" s="25">
        <f>Parameters!G339</f>
        <v>0</v>
      </c>
      <c r="H676" s="25">
        <f>Parameters!H339</f>
        <v>0</v>
      </c>
      <c r="I676" s="25">
        <f>Parameters!I339</f>
        <v>0</v>
      </c>
      <c r="J676" s="25">
        <f>Parameters!J339</f>
        <v>0</v>
      </c>
      <c r="K676" s="25">
        <f>Parameters!K339</f>
        <v>0</v>
      </c>
      <c r="L676" s="26" t="e">
        <f t="shared" ref="L676" si="1008">L677</f>
        <v>#DIV/0!</v>
      </c>
      <c r="M676" s="25">
        <f>Parameters!L339</f>
        <v>0</v>
      </c>
      <c r="N676" s="25">
        <f>Parameters!M339</f>
        <v>0</v>
      </c>
      <c r="O676" s="26" t="e">
        <f t="shared" ref="O676" si="1009">O677</f>
        <v>#DIV/0!</v>
      </c>
      <c r="P676" s="23">
        <f>Parameters!N339</f>
        <v>0</v>
      </c>
      <c r="Q676" s="23">
        <f>Parameters!O339</f>
        <v>0</v>
      </c>
      <c r="R676" s="23">
        <f>Parameters!P339</f>
        <v>0</v>
      </c>
      <c r="S676" s="23">
        <f>Parameters!Q339</f>
        <v>0</v>
      </c>
      <c r="T676" s="23">
        <f>Parameters!R339</f>
        <v>0</v>
      </c>
      <c r="U676" s="27">
        <f>Parameters!S339</f>
        <v>0</v>
      </c>
      <c r="V676" s="28">
        <f>Parameters!T339</f>
        <v>0</v>
      </c>
      <c r="W676" s="27">
        <f>Parameters!U339</f>
        <v>0</v>
      </c>
      <c r="X676" s="28">
        <f>Parameters!V339</f>
        <v>0</v>
      </c>
      <c r="Y676" s="25">
        <f>Parameters!W339</f>
        <v>0</v>
      </c>
      <c r="Z676" s="23">
        <f>Parameters!X339</f>
        <v>0</v>
      </c>
      <c r="AA676" s="27">
        <f>Parameters!Y339</f>
        <v>0</v>
      </c>
      <c r="AB676" s="28">
        <f>Parameters!Z339</f>
        <v>0</v>
      </c>
      <c r="AC676" s="23">
        <f>Parameters!AA339</f>
        <v>0</v>
      </c>
    </row>
    <row r="677" spans="1:29">
      <c r="A677" s="29" t="str">
        <f>UPPER(A676)</f>
        <v>0</v>
      </c>
      <c r="B677" s="29">
        <f>B676</f>
        <v>0</v>
      </c>
      <c r="C677" s="30">
        <f>C676</f>
        <v>0</v>
      </c>
      <c r="D677" s="30">
        <f>D676</f>
        <v>0</v>
      </c>
      <c r="E677" s="29">
        <f>E676</f>
        <v>0</v>
      </c>
      <c r="F677" s="29">
        <f>F676</f>
        <v>0</v>
      </c>
      <c r="G677" s="29" t="e">
        <f>IF(C676=1,IF(D676="BUY",E676+(ROUND(F676*G676/B676,0)*B676),E676-(ROUND(F676*G676/B676,0)*B676)),IF(D676="BUY",E676-(ROUND(F676*G676/B676,0)*B676),E676+(ROUND(F676*G676/B676,0)*B676)))</f>
        <v>#DIV/0!</v>
      </c>
      <c r="H677" s="29" t="e">
        <f>IF(C676=1,IF(D676="BUY",G677-(ROUND(F676*H676/B676,0)*B676),G677+(ROUND(F676*H676/B676,0)*B676)),IF(D676="BUY",G677+(ROUND(F676*H676/B676,0)*B676),G677-(ROUND(F676*H676/B676,0)*B676)))</f>
        <v>#DIV/0!</v>
      </c>
      <c r="I677" s="29" t="e">
        <f>IF(D676="BUY",G677+(ROUND(F676*I676/(B676*100),0)*B676),G677-(ROUND(F676*I676/(B676*100),0)*B676))</f>
        <v>#DIV/0!</v>
      </c>
      <c r="J677" s="29" t="e">
        <f>IF(C676=1,IF(D676="BUY",E676+(ROUND(F676*J676/B676,0)*B676),E676-(ROUND(F676*J676/B676,0)*B676)),IF(D676="BUY",E676-(ROUND(F676*J676/B676,0)*B676),E676+(ROUND(F676*J676/B676,0)*B676)))</f>
        <v>#DIV/0!</v>
      </c>
      <c r="K677" s="29" t="e">
        <f>IF(C676=1,IF(D676="BUY",E676-(ROUND(F676*K676/B676,0)*B676),E676+(ROUND(F676*K676/B676,0)*B676)),IF(D676="BUY",E676-(ROUND(F676*K676/B676,0)*B676),E676+(ROUND(F676*K676/B676,0)*B676)))</f>
        <v>#DIV/0!</v>
      </c>
      <c r="L677" s="29" t="e">
        <f t="shared" ref="L677" si="1010">IF(D677="BUY",I677+(R677*B677),I677-(R677*B677))</f>
        <v>#DIV/0!</v>
      </c>
      <c r="M677" s="29" t="e">
        <f>IF(D676="BUY",E676+(ROUND(F676*M676/B676,0)*B676),E676-(ROUND(F676*M676/B676,0)*B676))</f>
        <v>#DIV/0!</v>
      </c>
      <c r="N677" s="29" t="e">
        <f>IF(D676="BUY",E676-(ROUND(F676*N676/B676,0)*B676),E676+(ROUND(F676*N676/B676,0)*B676))</f>
        <v>#DIV/0!</v>
      </c>
      <c r="O677" s="31" t="e">
        <f>IF(D677="BUY",N677-VLOOKUP(A677,Symbols!A$1:D$1000,4,FALSE),N677+VLOOKUP(A677,Symbols!A$1:D$1000,4,FALSE))</f>
        <v>#DIV/0!</v>
      </c>
      <c r="P677" s="29">
        <f>P676</f>
        <v>0</v>
      </c>
      <c r="Q677" s="29">
        <f>Q676</f>
        <v>0</v>
      </c>
      <c r="R677" s="29">
        <f>R676</f>
        <v>0</v>
      </c>
      <c r="S677" s="29">
        <f>S676</f>
        <v>0</v>
      </c>
      <c r="T677" s="29">
        <f>T676</f>
        <v>0</v>
      </c>
      <c r="U677" s="29" t="e">
        <f>DATEDIF(DATE(1970,1,1),U676,"D")*86400</f>
        <v>#NUM!</v>
      </c>
      <c r="V677" s="29">
        <f>HOUR(V676)*3600+MINUTE(V676)*60+SECOND(V676)</f>
        <v>0</v>
      </c>
      <c r="W677" s="29" t="e">
        <f>DATEDIF(DATE(1970,1,1),W676,"D")*86400</f>
        <v>#NUM!</v>
      </c>
      <c r="X677" s="29">
        <f>HOUR(X676)*3600+MINUTE(X676)*60+SECOND(X676)</f>
        <v>0</v>
      </c>
      <c r="Y677" s="31">
        <f>(Y676*B677)</f>
        <v>0</v>
      </c>
      <c r="Z677" s="29">
        <f>Z676</f>
        <v>0</v>
      </c>
      <c r="AA677" s="29" t="e">
        <f>DATEDIF(DATE(1970,1,1),AA676,"D")*86400</f>
        <v>#NUM!</v>
      </c>
      <c r="AB677" s="29">
        <f>HOUR(AB676)*3600+MINUTE(AB676)*60+SECOND(AB676)</f>
        <v>0</v>
      </c>
      <c r="AC677" s="29">
        <f>AC676</f>
        <v>0</v>
      </c>
    </row>
    <row r="678" spans="1:29">
      <c r="A678" s="23">
        <f>Parameters!A340</f>
        <v>0</v>
      </c>
      <c r="B678" s="23">
        <f>Parameters!B340</f>
        <v>0</v>
      </c>
      <c r="C678" s="24">
        <f>Parameters!C340</f>
        <v>0</v>
      </c>
      <c r="D678" s="24">
        <f>Parameters!D340</f>
        <v>0</v>
      </c>
      <c r="E678" s="23">
        <f>Parameters!E340</f>
        <v>0</v>
      </c>
      <c r="F678" s="23">
        <f>Parameters!F340</f>
        <v>0</v>
      </c>
      <c r="G678" s="25">
        <f>Parameters!G340</f>
        <v>0</v>
      </c>
      <c r="H678" s="25">
        <f>Parameters!H340</f>
        <v>0</v>
      </c>
      <c r="I678" s="25">
        <f>Parameters!I340</f>
        <v>0</v>
      </c>
      <c r="J678" s="25">
        <f>Parameters!J340</f>
        <v>0</v>
      </c>
      <c r="K678" s="25">
        <f>Parameters!K340</f>
        <v>0</v>
      </c>
      <c r="L678" s="26" t="e">
        <f t="shared" ref="L678" si="1011">L679</f>
        <v>#DIV/0!</v>
      </c>
      <c r="M678" s="25">
        <f>Parameters!L340</f>
        <v>0</v>
      </c>
      <c r="N678" s="25">
        <f>Parameters!M340</f>
        <v>0</v>
      </c>
      <c r="O678" s="26" t="e">
        <f t="shared" ref="O678" si="1012">O679</f>
        <v>#DIV/0!</v>
      </c>
      <c r="P678" s="23">
        <f>Parameters!N340</f>
        <v>0</v>
      </c>
      <c r="Q678" s="23">
        <f>Parameters!O340</f>
        <v>0</v>
      </c>
      <c r="R678" s="23">
        <f>Parameters!P340</f>
        <v>0</v>
      </c>
      <c r="S678" s="23">
        <f>Parameters!Q340</f>
        <v>0</v>
      </c>
      <c r="T678" s="23">
        <f>Parameters!R340</f>
        <v>0</v>
      </c>
      <c r="U678" s="27">
        <f>Parameters!S340</f>
        <v>0</v>
      </c>
      <c r="V678" s="28">
        <f>Parameters!T340</f>
        <v>0</v>
      </c>
      <c r="W678" s="27">
        <f>Parameters!U340</f>
        <v>0</v>
      </c>
      <c r="X678" s="28">
        <f>Parameters!V340</f>
        <v>0</v>
      </c>
      <c r="Y678" s="25">
        <f>Parameters!W340</f>
        <v>0</v>
      </c>
      <c r="Z678" s="23">
        <f>Parameters!X340</f>
        <v>0</v>
      </c>
      <c r="AA678" s="27">
        <f>Parameters!Y340</f>
        <v>0</v>
      </c>
      <c r="AB678" s="28">
        <f>Parameters!Z340</f>
        <v>0</v>
      </c>
      <c r="AC678" s="23">
        <f>Parameters!AA340</f>
        <v>0</v>
      </c>
    </row>
    <row r="679" spans="1:29">
      <c r="A679" s="29" t="str">
        <f>UPPER(A678)</f>
        <v>0</v>
      </c>
      <c r="B679" s="29">
        <f>B678</f>
        <v>0</v>
      </c>
      <c r="C679" s="30">
        <f>C678</f>
        <v>0</v>
      </c>
      <c r="D679" s="30">
        <f>D678</f>
        <v>0</v>
      </c>
      <c r="E679" s="29">
        <f>E678</f>
        <v>0</v>
      </c>
      <c r="F679" s="29">
        <f>F678</f>
        <v>0</v>
      </c>
      <c r="G679" s="29" t="e">
        <f>IF(C678=1,IF(D678="BUY",E678+(ROUND(F678*G678/B678,0)*B678),E678-(ROUND(F678*G678/B678,0)*B678)),IF(D678="BUY",E678-(ROUND(F678*G678/B678,0)*B678),E678+(ROUND(F678*G678/B678,0)*B678)))</f>
        <v>#DIV/0!</v>
      </c>
      <c r="H679" s="29" t="e">
        <f>IF(C678=1,IF(D678="BUY",G679-(ROUND(F678*H678/B678,0)*B678),G679+(ROUND(F678*H678/B678,0)*B678)),IF(D678="BUY",G679+(ROUND(F678*H678/B678,0)*B678),G679-(ROUND(F678*H678/B678,0)*B678)))</f>
        <v>#DIV/0!</v>
      </c>
      <c r="I679" s="29" t="e">
        <f>IF(D678="BUY",G679+(ROUND(F678*I678/(B678*100),0)*B678),G679-(ROUND(F678*I678/(B678*100),0)*B678))</f>
        <v>#DIV/0!</v>
      </c>
      <c r="J679" s="29" t="e">
        <f>IF(C678=1,IF(D678="BUY",E678+(ROUND(F678*J678/B678,0)*B678),E678-(ROUND(F678*J678/B678,0)*B678)),IF(D678="BUY",E678-(ROUND(F678*J678/B678,0)*B678),E678+(ROUND(F678*J678/B678,0)*B678)))</f>
        <v>#DIV/0!</v>
      </c>
      <c r="K679" s="29" t="e">
        <f>IF(C678=1,IF(D678="BUY",E678-(ROUND(F678*K678/B678,0)*B678),E678+(ROUND(F678*K678/B678,0)*B678)),IF(D678="BUY",E678-(ROUND(F678*K678/B678,0)*B678),E678+(ROUND(F678*K678/B678,0)*B678)))</f>
        <v>#DIV/0!</v>
      </c>
      <c r="L679" s="29" t="e">
        <f t="shared" ref="L679" si="1013">IF(D679="BUY",I679+(R679*B679),I679-(R679*B679))</f>
        <v>#DIV/0!</v>
      </c>
      <c r="M679" s="29" t="e">
        <f>IF(D678="BUY",E678+(ROUND(F678*M678/B678,0)*B678),E678-(ROUND(F678*M678/B678,0)*B678))</f>
        <v>#DIV/0!</v>
      </c>
      <c r="N679" s="29" t="e">
        <f>IF(D678="BUY",E678-(ROUND(F678*N678/B678,0)*B678),E678+(ROUND(F678*N678/B678,0)*B678))</f>
        <v>#DIV/0!</v>
      </c>
      <c r="O679" s="31" t="e">
        <f>IF(D679="BUY",N679-VLOOKUP(A679,Symbols!A$1:D$1000,4,FALSE),N679+VLOOKUP(A679,Symbols!A$1:D$1000,4,FALSE))</f>
        <v>#DIV/0!</v>
      </c>
      <c r="P679" s="29">
        <f>P678</f>
        <v>0</v>
      </c>
      <c r="Q679" s="29">
        <f>Q678</f>
        <v>0</v>
      </c>
      <c r="R679" s="29">
        <f>R678</f>
        <v>0</v>
      </c>
      <c r="S679" s="29">
        <f>S678</f>
        <v>0</v>
      </c>
      <c r="T679" s="29">
        <f>T678</f>
        <v>0</v>
      </c>
      <c r="U679" s="29" t="e">
        <f>DATEDIF(DATE(1970,1,1),U678,"D")*86400</f>
        <v>#NUM!</v>
      </c>
      <c r="V679" s="29">
        <f>HOUR(V678)*3600+MINUTE(V678)*60+SECOND(V678)</f>
        <v>0</v>
      </c>
      <c r="W679" s="29" t="e">
        <f>DATEDIF(DATE(1970,1,1),W678,"D")*86400</f>
        <v>#NUM!</v>
      </c>
      <c r="X679" s="29">
        <f>HOUR(X678)*3600+MINUTE(X678)*60+SECOND(X678)</f>
        <v>0</v>
      </c>
      <c r="Y679" s="31">
        <f>(Y678*B679)</f>
        <v>0</v>
      </c>
      <c r="Z679" s="29">
        <f>Z678</f>
        <v>0</v>
      </c>
      <c r="AA679" s="29" t="e">
        <f>DATEDIF(DATE(1970,1,1),AA678,"D")*86400</f>
        <v>#NUM!</v>
      </c>
      <c r="AB679" s="29">
        <f>HOUR(AB678)*3600+MINUTE(AB678)*60+SECOND(AB678)</f>
        <v>0</v>
      </c>
      <c r="AC679" s="29">
        <f>AC678</f>
        <v>0</v>
      </c>
    </row>
    <row r="680" spans="1:29">
      <c r="A680" s="23">
        <f>Parameters!A341</f>
        <v>0</v>
      </c>
      <c r="B680" s="23">
        <f>Parameters!B341</f>
        <v>0</v>
      </c>
      <c r="C680" s="24">
        <f>Parameters!C341</f>
        <v>0</v>
      </c>
      <c r="D680" s="24">
        <f>Parameters!D341</f>
        <v>0</v>
      </c>
      <c r="E680" s="23">
        <f>Parameters!E341</f>
        <v>0</v>
      </c>
      <c r="F680" s="23">
        <f>Parameters!F341</f>
        <v>0</v>
      </c>
      <c r="G680" s="25">
        <f>Parameters!G341</f>
        <v>0</v>
      </c>
      <c r="H680" s="25">
        <f>Parameters!H341</f>
        <v>0</v>
      </c>
      <c r="I680" s="25">
        <f>Parameters!I341</f>
        <v>0</v>
      </c>
      <c r="J680" s="25">
        <f>Parameters!J341</f>
        <v>0</v>
      </c>
      <c r="K680" s="25">
        <f>Parameters!K341</f>
        <v>0</v>
      </c>
      <c r="L680" s="26" t="e">
        <f t="shared" ref="L680" si="1014">L681</f>
        <v>#DIV/0!</v>
      </c>
      <c r="M680" s="25">
        <f>Parameters!L341</f>
        <v>0</v>
      </c>
      <c r="N680" s="25">
        <f>Parameters!M341</f>
        <v>0</v>
      </c>
      <c r="O680" s="26" t="e">
        <f t="shared" ref="O680" si="1015">O681</f>
        <v>#DIV/0!</v>
      </c>
      <c r="P680" s="23">
        <f>Parameters!N341</f>
        <v>0</v>
      </c>
      <c r="Q680" s="23">
        <f>Parameters!O341</f>
        <v>0</v>
      </c>
      <c r="R680" s="23">
        <f>Parameters!P341</f>
        <v>0</v>
      </c>
      <c r="S680" s="23">
        <f>Parameters!Q341</f>
        <v>0</v>
      </c>
      <c r="T680" s="23">
        <f>Parameters!R341</f>
        <v>0</v>
      </c>
      <c r="U680" s="27">
        <f>Parameters!S341</f>
        <v>0</v>
      </c>
      <c r="V680" s="28">
        <f>Parameters!T341</f>
        <v>0</v>
      </c>
      <c r="W680" s="27">
        <f>Parameters!U341</f>
        <v>0</v>
      </c>
      <c r="X680" s="28">
        <f>Parameters!V341</f>
        <v>0</v>
      </c>
      <c r="Y680" s="25">
        <f>Parameters!W341</f>
        <v>0</v>
      </c>
      <c r="Z680" s="23">
        <f>Parameters!X341</f>
        <v>0</v>
      </c>
      <c r="AA680" s="27">
        <f>Parameters!Y341</f>
        <v>0</v>
      </c>
      <c r="AB680" s="28">
        <f>Parameters!Z341</f>
        <v>0</v>
      </c>
      <c r="AC680" s="23">
        <f>Parameters!AA341</f>
        <v>0</v>
      </c>
    </row>
    <row r="681" spans="1:29">
      <c r="A681" s="29" t="str">
        <f>UPPER(A680)</f>
        <v>0</v>
      </c>
      <c r="B681" s="29">
        <f>B680</f>
        <v>0</v>
      </c>
      <c r="C681" s="30">
        <f>C680</f>
        <v>0</v>
      </c>
      <c r="D681" s="30">
        <f>D680</f>
        <v>0</v>
      </c>
      <c r="E681" s="29">
        <f>E680</f>
        <v>0</v>
      </c>
      <c r="F681" s="29">
        <f>F680</f>
        <v>0</v>
      </c>
      <c r="G681" s="29" t="e">
        <f>IF(C680=1,IF(D680="BUY",E680+(ROUND(F680*G680/B680,0)*B680),E680-(ROUND(F680*G680/B680,0)*B680)),IF(D680="BUY",E680-(ROUND(F680*G680/B680,0)*B680),E680+(ROUND(F680*G680/B680,0)*B680)))</f>
        <v>#DIV/0!</v>
      </c>
      <c r="H681" s="29" t="e">
        <f>IF(C680=1,IF(D680="BUY",G681-(ROUND(F680*H680/B680,0)*B680),G681+(ROUND(F680*H680/B680,0)*B680)),IF(D680="BUY",G681+(ROUND(F680*H680/B680,0)*B680),G681-(ROUND(F680*H680/B680,0)*B680)))</f>
        <v>#DIV/0!</v>
      </c>
      <c r="I681" s="29" t="e">
        <f>IF(D680="BUY",G681+(ROUND(F680*I680/(B680*100),0)*B680),G681-(ROUND(F680*I680/(B680*100),0)*B680))</f>
        <v>#DIV/0!</v>
      </c>
      <c r="J681" s="29" t="e">
        <f>IF(C680=1,IF(D680="BUY",E680+(ROUND(F680*J680/B680,0)*B680),E680-(ROUND(F680*J680/B680,0)*B680)),IF(D680="BUY",E680-(ROUND(F680*J680/B680,0)*B680),E680+(ROUND(F680*J680/B680,0)*B680)))</f>
        <v>#DIV/0!</v>
      </c>
      <c r="K681" s="29" t="e">
        <f>IF(C680=1,IF(D680="BUY",E680-(ROUND(F680*K680/B680,0)*B680),E680+(ROUND(F680*K680/B680,0)*B680)),IF(D680="BUY",E680-(ROUND(F680*K680/B680,0)*B680),E680+(ROUND(F680*K680/B680,0)*B680)))</f>
        <v>#DIV/0!</v>
      </c>
      <c r="L681" s="29" t="e">
        <f t="shared" ref="L681" si="1016">IF(D681="BUY",I681+(R681*B681),I681-(R681*B681))</f>
        <v>#DIV/0!</v>
      </c>
      <c r="M681" s="29" t="e">
        <f>IF(D680="BUY",E680+(ROUND(F680*M680/B680,0)*B680),E680-(ROUND(F680*M680/B680,0)*B680))</f>
        <v>#DIV/0!</v>
      </c>
      <c r="N681" s="29" t="e">
        <f>IF(D680="BUY",E680-(ROUND(F680*N680/B680,0)*B680),E680+(ROUND(F680*N680/B680,0)*B680))</f>
        <v>#DIV/0!</v>
      </c>
      <c r="O681" s="31" t="e">
        <f>IF(D681="BUY",N681-VLOOKUP(A681,Symbols!A$1:D$1000,4,FALSE),N681+VLOOKUP(A681,Symbols!A$1:D$1000,4,FALSE))</f>
        <v>#DIV/0!</v>
      </c>
      <c r="P681" s="29">
        <f>P680</f>
        <v>0</v>
      </c>
      <c r="Q681" s="29">
        <f>Q680</f>
        <v>0</v>
      </c>
      <c r="R681" s="29">
        <f>R680</f>
        <v>0</v>
      </c>
      <c r="S681" s="29">
        <f>S680</f>
        <v>0</v>
      </c>
      <c r="T681" s="29">
        <f>T680</f>
        <v>0</v>
      </c>
      <c r="U681" s="29" t="e">
        <f>DATEDIF(DATE(1970,1,1),U680,"D")*86400</f>
        <v>#NUM!</v>
      </c>
      <c r="V681" s="29">
        <f>HOUR(V680)*3600+MINUTE(V680)*60+SECOND(V680)</f>
        <v>0</v>
      </c>
      <c r="W681" s="29" t="e">
        <f>DATEDIF(DATE(1970,1,1),W680,"D")*86400</f>
        <v>#NUM!</v>
      </c>
      <c r="X681" s="29">
        <f>HOUR(X680)*3600+MINUTE(X680)*60+SECOND(X680)</f>
        <v>0</v>
      </c>
      <c r="Y681" s="31">
        <f>(Y680*B681)</f>
        <v>0</v>
      </c>
      <c r="Z681" s="29">
        <f>Z680</f>
        <v>0</v>
      </c>
      <c r="AA681" s="29" t="e">
        <f>DATEDIF(DATE(1970,1,1),AA680,"D")*86400</f>
        <v>#NUM!</v>
      </c>
      <c r="AB681" s="29">
        <f>HOUR(AB680)*3600+MINUTE(AB680)*60+SECOND(AB680)</f>
        <v>0</v>
      </c>
      <c r="AC681" s="29">
        <f>AC680</f>
        <v>0</v>
      </c>
    </row>
    <row r="682" spans="1:29">
      <c r="A682" s="23">
        <f>Parameters!A342</f>
        <v>0</v>
      </c>
      <c r="B682" s="23">
        <f>Parameters!B342</f>
        <v>0</v>
      </c>
      <c r="C682" s="24">
        <f>Parameters!C342</f>
        <v>0</v>
      </c>
      <c r="D682" s="24">
        <f>Parameters!D342</f>
        <v>0</v>
      </c>
      <c r="E682" s="23">
        <f>Parameters!E342</f>
        <v>0</v>
      </c>
      <c r="F682" s="23">
        <f>Parameters!F342</f>
        <v>0</v>
      </c>
      <c r="G682" s="25">
        <f>Parameters!G342</f>
        <v>0</v>
      </c>
      <c r="H682" s="25">
        <f>Parameters!H342</f>
        <v>0</v>
      </c>
      <c r="I682" s="25">
        <f>Parameters!I342</f>
        <v>0</v>
      </c>
      <c r="J682" s="25">
        <f>Parameters!J342</f>
        <v>0</v>
      </c>
      <c r="K682" s="25">
        <f>Parameters!K342</f>
        <v>0</v>
      </c>
      <c r="L682" s="26" t="e">
        <f t="shared" ref="L682" si="1017">L683</f>
        <v>#DIV/0!</v>
      </c>
      <c r="M682" s="25">
        <f>Parameters!L342</f>
        <v>0</v>
      </c>
      <c r="N682" s="25">
        <f>Parameters!M342</f>
        <v>0</v>
      </c>
      <c r="O682" s="26" t="e">
        <f t="shared" ref="O682" si="1018">O683</f>
        <v>#DIV/0!</v>
      </c>
      <c r="P682" s="23">
        <f>Parameters!N342</f>
        <v>0</v>
      </c>
      <c r="Q682" s="23">
        <f>Parameters!O342</f>
        <v>0</v>
      </c>
      <c r="R682" s="23">
        <f>Parameters!P342</f>
        <v>0</v>
      </c>
      <c r="S682" s="23">
        <f>Parameters!Q342</f>
        <v>0</v>
      </c>
      <c r="T682" s="23">
        <f>Parameters!R342</f>
        <v>0</v>
      </c>
      <c r="U682" s="27">
        <f>Parameters!S342</f>
        <v>0</v>
      </c>
      <c r="V682" s="28">
        <f>Parameters!T342</f>
        <v>0</v>
      </c>
      <c r="W682" s="27">
        <f>Parameters!U342</f>
        <v>0</v>
      </c>
      <c r="X682" s="28">
        <f>Parameters!V342</f>
        <v>0</v>
      </c>
      <c r="Y682" s="25">
        <f>Parameters!W342</f>
        <v>0</v>
      </c>
      <c r="Z682" s="23">
        <f>Parameters!X342</f>
        <v>0</v>
      </c>
      <c r="AA682" s="27">
        <f>Parameters!Y342</f>
        <v>0</v>
      </c>
      <c r="AB682" s="28">
        <f>Parameters!Z342</f>
        <v>0</v>
      </c>
      <c r="AC682" s="23">
        <f>Parameters!AA342</f>
        <v>0</v>
      </c>
    </row>
    <row r="683" spans="1:29">
      <c r="A683" s="29" t="str">
        <f>UPPER(A682)</f>
        <v>0</v>
      </c>
      <c r="B683" s="29">
        <f>B682</f>
        <v>0</v>
      </c>
      <c r="C683" s="30">
        <f>C682</f>
        <v>0</v>
      </c>
      <c r="D683" s="30">
        <f>D682</f>
        <v>0</v>
      </c>
      <c r="E683" s="29">
        <f>E682</f>
        <v>0</v>
      </c>
      <c r="F683" s="29">
        <f>F682</f>
        <v>0</v>
      </c>
      <c r="G683" s="29" t="e">
        <f>IF(C682=1,IF(D682="BUY",E682+(ROUND(F682*G682/B682,0)*B682),E682-(ROUND(F682*G682/B682,0)*B682)),IF(D682="BUY",E682-(ROUND(F682*G682/B682,0)*B682),E682+(ROUND(F682*G682/B682,0)*B682)))</f>
        <v>#DIV/0!</v>
      </c>
      <c r="H683" s="29" t="e">
        <f>IF(C682=1,IF(D682="BUY",G683-(ROUND(F682*H682/B682,0)*B682),G683+(ROUND(F682*H682/B682,0)*B682)),IF(D682="BUY",G683+(ROUND(F682*H682/B682,0)*B682),G683-(ROUND(F682*H682/B682,0)*B682)))</f>
        <v>#DIV/0!</v>
      </c>
      <c r="I683" s="29" t="e">
        <f>IF(D682="BUY",G683+(ROUND(F682*I682/(B682*100),0)*B682),G683-(ROUND(F682*I682/(B682*100),0)*B682))</f>
        <v>#DIV/0!</v>
      </c>
      <c r="J683" s="29" t="e">
        <f>IF(C682=1,IF(D682="BUY",E682+(ROUND(F682*J682/B682,0)*B682),E682-(ROUND(F682*J682/B682,0)*B682)),IF(D682="BUY",E682-(ROUND(F682*J682/B682,0)*B682),E682+(ROUND(F682*J682/B682,0)*B682)))</f>
        <v>#DIV/0!</v>
      </c>
      <c r="K683" s="29" t="e">
        <f>IF(C682=1,IF(D682="BUY",E682-(ROUND(F682*K682/B682,0)*B682),E682+(ROUND(F682*K682/B682,0)*B682)),IF(D682="BUY",E682-(ROUND(F682*K682/B682,0)*B682),E682+(ROUND(F682*K682/B682,0)*B682)))</f>
        <v>#DIV/0!</v>
      </c>
      <c r="L683" s="29" t="e">
        <f t="shared" ref="L683" si="1019">IF(D683="BUY",I683+(R683*B683),I683-(R683*B683))</f>
        <v>#DIV/0!</v>
      </c>
      <c r="M683" s="29" t="e">
        <f>IF(D682="BUY",E682+(ROUND(F682*M682/B682,0)*B682),E682-(ROUND(F682*M682/B682,0)*B682))</f>
        <v>#DIV/0!</v>
      </c>
      <c r="N683" s="29" t="e">
        <f>IF(D682="BUY",E682-(ROUND(F682*N682/B682,0)*B682),E682+(ROUND(F682*N682/B682,0)*B682))</f>
        <v>#DIV/0!</v>
      </c>
      <c r="O683" s="31" t="e">
        <f>IF(D683="BUY",N683-VLOOKUP(A683,Symbols!A$1:D$1000,4,FALSE),N683+VLOOKUP(A683,Symbols!A$1:D$1000,4,FALSE))</f>
        <v>#DIV/0!</v>
      </c>
      <c r="P683" s="29">
        <f>P682</f>
        <v>0</v>
      </c>
      <c r="Q683" s="29">
        <f>Q682</f>
        <v>0</v>
      </c>
      <c r="R683" s="29">
        <f>R682</f>
        <v>0</v>
      </c>
      <c r="S683" s="29">
        <f>S682</f>
        <v>0</v>
      </c>
      <c r="T683" s="29">
        <f>T682</f>
        <v>0</v>
      </c>
      <c r="U683" s="29" t="e">
        <f>DATEDIF(DATE(1970,1,1),U682,"D")*86400</f>
        <v>#NUM!</v>
      </c>
      <c r="V683" s="29">
        <f>HOUR(V682)*3600+MINUTE(V682)*60+SECOND(V682)</f>
        <v>0</v>
      </c>
      <c r="W683" s="29" t="e">
        <f>DATEDIF(DATE(1970,1,1),W682,"D")*86400</f>
        <v>#NUM!</v>
      </c>
      <c r="X683" s="29">
        <f>HOUR(X682)*3600+MINUTE(X682)*60+SECOND(X682)</f>
        <v>0</v>
      </c>
      <c r="Y683" s="31">
        <f>(Y682*B683)</f>
        <v>0</v>
      </c>
      <c r="Z683" s="29">
        <f>Z682</f>
        <v>0</v>
      </c>
      <c r="AA683" s="29" t="e">
        <f>DATEDIF(DATE(1970,1,1),AA682,"D")*86400</f>
        <v>#NUM!</v>
      </c>
      <c r="AB683" s="29">
        <f>HOUR(AB682)*3600+MINUTE(AB682)*60+SECOND(AB682)</f>
        <v>0</v>
      </c>
      <c r="AC683" s="29">
        <f>AC682</f>
        <v>0</v>
      </c>
    </row>
    <row r="684" spans="1:29">
      <c r="A684" s="23">
        <f>Parameters!A343</f>
        <v>0</v>
      </c>
      <c r="B684" s="23">
        <f>Parameters!B343</f>
        <v>0</v>
      </c>
      <c r="C684" s="24">
        <f>Parameters!C343</f>
        <v>0</v>
      </c>
      <c r="D684" s="24">
        <f>Parameters!D343</f>
        <v>0</v>
      </c>
      <c r="E684" s="23">
        <f>Parameters!E343</f>
        <v>0</v>
      </c>
      <c r="F684" s="23">
        <f>Parameters!F343</f>
        <v>0</v>
      </c>
      <c r="G684" s="25">
        <f>Parameters!G343</f>
        <v>0</v>
      </c>
      <c r="H684" s="25">
        <f>Parameters!H343</f>
        <v>0</v>
      </c>
      <c r="I684" s="25">
        <f>Parameters!I343</f>
        <v>0</v>
      </c>
      <c r="J684" s="25">
        <f>Parameters!J343</f>
        <v>0</v>
      </c>
      <c r="K684" s="25">
        <f>Parameters!K343</f>
        <v>0</v>
      </c>
      <c r="L684" s="26" t="e">
        <f t="shared" ref="L684" si="1020">L685</f>
        <v>#DIV/0!</v>
      </c>
      <c r="M684" s="25">
        <f>Parameters!L343</f>
        <v>0</v>
      </c>
      <c r="N684" s="25">
        <f>Parameters!M343</f>
        <v>0</v>
      </c>
      <c r="O684" s="26" t="e">
        <f t="shared" ref="O684" si="1021">O685</f>
        <v>#DIV/0!</v>
      </c>
      <c r="P684" s="23">
        <f>Parameters!N343</f>
        <v>0</v>
      </c>
      <c r="Q684" s="23">
        <f>Parameters!O343</f>
        <v>0</v>
      </c>
      <c r="R684" s="23">
        <f>Parameters!P343</f>
        <v>0</v>
      </c>
      <c r="S684" s="23">
        <f>Parameters!Q343</f>
        <v>0</v>
      </c>
      <c r="T684" s="23">
        <f>Parameters!R343</f>
        <v>0</v>
      </c>
      <c r="U684" s="27">
        <f>Parameters!S343</f>
        <v>0</v>
      </c>
      <c r="V684" s="28">
        <f>Parameters!T343</f>
        <v>0</v>
      </c>
      <c r="W684" s="27">
        <f>Parameters!U343</f>
        <v>0</v>
      </c>
      <c r="X684" s="28">
        <f>Parameters!V343</f>
        <v>0</v>
      </c>
      <c r="Y684" s="25">
        <f>Parameters!W343</f>
        <v>0</v>
      </c>
      <c r="Z684" s="23">
        <f>Parameters!X343</f>
        <v>0</v>
      </c>
      <c r="AA684" s="27">
        <f>Parameters!Y343</f>
        <v>0</v>
      </c>
      <c r="AB684" s="28">
        <f>Parameters!Z343</f>
        <v>0</v>
      </c>
      <c r="AC684" s="23">
        <f>Parameters!AA343</f>
        <v>0</v>
      </c>
    </row>
    <row r="685" spans="1:29">
      <c r="A685" s="29" t="str">
        <f>UPPER(A684)</f>
        <v>0</v>
      </c>
      <c r="B685" s="29">
        <f>B684</f>
        <v>0</v>
      </c>
      <c r="C685" s="30">
        <f>C684</f>
        <v>0</v>
      </c>
      <c r="D685" s="30">
        <f>D684</f>
        <v>0</v>
      </c>
      <c r="E685" s="29">
        <f>E684</f>
        <v>0</v>
      </c>
      <c r="F685" s="29">
        <f>F684</f>
        <v>0</v>
      </c>
      <c r="G685" s="29" t="e">
        <f>IF(C684=1,IF(D684="BUY",E684+(ROUND(F684*G684/B684,0)*B684),E684-(ROUND(F684*G684/B684,0)*B684)),IF(D684="BUY",E684-(ROUND(F684*G684/B684,0)*B684),E684+(ROUND(F684*G684/B684,0)*B684)))</f>
        <v>#DIV/0!</v>
      </c>
      <c r="H685" s="29" t="e">
        <f>IF(C684=1,IF(D684="BUY",G685-(ROUND(F684*H684/B684,0)*B684),G685+(ROUND(F684*H684/B684,0)*B684)),IF(D684="BUY",G685+(ROUND(F684*H684/B684,0)*B684),G685-(ROUND(F684*H684/B684,0)*B684)))</f>
        <v>#DIV/0!</v>
      </c>
      <c r="I685" s="29" t="e">
        <f>IF(D684="BUY",G685+(ROUND(F684*I684/(B684*100),0)*B684),G685-(ROUND(F684*I684/(B684*100),0)*B684))</f>
        <v>#DIV/0!</v>
      </c>
      <c r="J685" s="29" t="e">
        <f>IF(C684=1,IF(D684="BUY",E684+(ROUND(F684*J684/B684,0)*B684),E684-(ROUND(F684*J684/B684,0)*B684)),IF(D684="BUY",E684-(ROUND(F684*J684/B684,0)*B684),E684+(ROUND(F684*J684/B684,0)*B684)))</f>
        <v>#DIV/0!</v>
      </c>
      <c r="K685" s="29" t="e">
        <f>IF(C684=1,IF(D684="BUY",E684-(ROUND(F684*K684/B684,0)*B684),E684+(ROUND(F684*K684/B684,0)*B684)),IF(D684="BUY",E684-(ROUND(F684*K684/B684,0)*B684),E684+(ROUND(F684*K684/B684,0)*B684)))</f>
        <v>#DIV/0!</v>
      </c>
      <c r="L685" s="29" t="e">
        <f t="shared" ref="L685" si="1022">IF(D685="BUY",I685+(R685*B685),I685-(R685*B685))</f>
        <v>#DIV/0!</v>
      </c>
      <c r="M685" s="29" t="e">
        <f>IF(D684="BUY",E684+(ROUND(F684*M684/B684,0)*B684),E684-(ROUND(F684*M684/B684,0)*B684))</f>
        <v>#DIV/0!</v>
      </c>
      <c r="N685" s="29" t="e">
        <f>IF(D684="BUY",E684-(ROUND(F684*N684/B684,0)*B684),E684+(ROUND(F684*N684/B684,0)*B684))</f>
        <v>#DIV/0!</v>
      </c>
      <c r="O685" s="31" t="e">
        <f>IF(D685="BUY",N685-VLOOKUP(A685,Symbols!A$1:D$1000,4,FALSE),N685+VLOOKUP(A685,Symbols!A$1:D$1000,4,FALSE))</f>
        <v>#DIV/0!</v>
      </c>
      <c r="P685" s="29">
        <f>P684</f>
        <v>0</v>
      </c>
      <c r="Q685" s="29">
        <f>Q684</f>
        <v>0</v>
      </c>
      <c r="R685" s="29">
        <f>R684</f>
        <v>0</v>
      </c>
      <c r="S685" s="29">
        <f>S684</f>
        <v>0</v>
      </c>
      <c r="T685" s="29">
        <f>T684</f>
        <v>0</v>
      </c>
      <c r="U685" s="29" t="e">
        <f>DATEDIF(DATE(1970,1,1),U684,"D")*86400</f>
        <v>#NUM!</v>
      </c>
      <c r="V685" s="29">
        <f>HOUR(V684)*3600+MINUTE(V684)*60+SECOND(V684)</f>
        <v>0</v>
      </c>
      <c r="W685" s="29" t="e">
        <f>DATEDIF(DATE(1970,1,1),W684,"D")*86400</f>
        <v>#NUM!</v>
      </c>
      <c r="X685" s="29">
        <f>HOUR(X684)*3600+MINUTE(X684)*60+SECOND(X684)</f>
        <v>0</v>
      </c>
      <c r="Y685" s="31">
        <f>(Y684*B685)</f>
        <v>0</v>
      </c>
      <c r="Z685" s="29">
        <f>Z684</f>
        <v>0</v>
      </c>
      <c r="AA685" s="29" t="e">
        <f>DATEDIF(DATE(1970,1,1),AA684,"D")*86400</f>
        <v>#NUM!</v>
      </c>
      <c r="AB685" s="29">
        <f>HOUR(AB684)*3600+MINUTE(AB684)*60+SECOND(AB684)</f>
        <v>0</v>
      </c>
      <c r="AC685" s="29">
        <f>AC684</f>
        <v>0</v>
      </c>
    </row>
    <row r="686" spans="1:29">
      <c r="A686" s="23">
        <f>Parameters!A344</f>
        <v>0</v>
      </c>
      <c r="B686" s="23">
        <f>Parameters!B344</f>
        <v>0</v>
      </c>
      <c r="C686" s="24">
        <f>Parameters!C344</f>
        <v>0</v>
      </c>
      <c r="D686" s="24">
        <f>Parameters!D344</f>
        <v>0</v>
      </c>
      <c r="E686" s="23">
        <f>Parameters!E344</f>
        <v>0</v>
      </c>
      <c r="F686" s="23">
        <f>Parameters!F344</f>
        <v>0</v>
      </c>
      <c r="G686" s="25">
        <f>Parameters!G344</f>
        <v>0</v>
      </c>
      <c r="H686" s="25">
        <f>Parameters!H344</f>
        <v>0</v>
      </c>
      <c r="I686" s="25">
        <f>Parameters!I344</f>
        <v>0</v>
      </c>
      <c r="J686" s="25">
        <f>Parameters!J344</f>
        <v>0</v>
      </c>
      <c r="K686" s="25">
        <f>Parameters!K344</f>
        <v>0</v>
      </c>
      <c r="L686" s="26" t="e">
        <f t="shared" ref="L686" si="1023">L687</f>
        <v>#DIV/0!</v>
      </c>
      <c r="M686" s="25">
        <f>Parameters!L344</f>
        <v>0</v>
      </c>
      <c r="N686" s="25">
        <f>Parameters!M344</f>
        <v>0</v>
      </c>
      <c r="O686" s="26" t="e">
        <f t="shared" ref="O686" si="1024">O687</f>
        <v>#DIV/0!</v>
      </c>
      <c r="P686" s="23">
        <f>Parameters!N344</f>
        <v>0</v>
      </c>
      <c r="Q686" s="23">
        <f>Parameters!O344</f>
        <v>0</v>
      </c>
      <c r="R686" s="23">
        <f>Parameters!P344</f>
        <v>0</v>
      </c>
      <c r="S686" s="23">
        <f>Parameters!Q344</f>
        <v>0</v>
      </c>
      <c r="T686" s="23">
        <f>Parameters!R344</f>
        <v>0</v>
      </c>
      <c r="U686" s="27">
        <f>Parameters!S344</f>
        <v>0</v>
      </c>
      <c r="V686" s="28">
        <f>Parameters!T344</f>
        <v>0</v>
      </c>
      <c r="W686" s="27">
        <f>Parameters!U344</f>
        <v>0</v>
      </c>
      <c r="X686" s="28">
        <f>Parameters!V344</f>
        <v>0</v>
      </c>
      <c r="Y686" s="25">
        <f>Parameters!W344</f>
        <v>0</v>
      </c>
      <c r="Z686" s="23">
        <f>Parameters!X344</f>
        <v>0</v>
      </c>
      <c r="AA686" s="27">
        <f>Parameters!Y344</f>
        <v>0</v>
      </c>
      <c r="AB686" s="28">
        <f>Parameters!Z344</f>
        <v>0</v>
      </c>
      <c r="AC686" s="23">
        <f>Parameters!AA344</f>
        <v>0</v>
      </c>
    </row>
    <row r="687" spans="1:29">
      <c r="A687" s="29" t="str">
        <f>UPPER(A686)</f>
        <v>0</v>
      </c>
      <c r="B687" s="29">
        <f>B686</f>
        <v>0</v>
      </c>
      <c r="C687" s="30">
        <f>C686</f>
        <v>0</v>
      </c>
      <c r="D687" s="30">
        <f>D686</f>
        <v>0</v>
      </c>
      <c r="E687" s="29">
        <f>E686</f>
        <v>0</v>
      </c>
      <c r="F687" s="29">
        <f>F686</f>
        <v>0</v>
      </c>
      <c r="G687" s="29" t="e">
        <f>IF(C686=1,IF(D686="BUY",E686+(ROUND(F686*G686/B686,0)*B686),E686-(ROUND(F686*G686/B686,0)*B686)),IF(D686="BUY",E686-(ROUND(F686*G686/B686,0)*B686),E686+(ROUND(F686*G686/B686,0)*B686)))</f>
        <v>#DIV/0!</v>
      </c>
      <c r="H687" s="29" t="e">
        <f>IF(C686=1,IF(D686="BUY",G687-(ROUND(F686*H686/B686,0)*B686),G687+(ROUND(F686*H686/B686,0)*B686)),IF(D686="BUY",G687+(ROUND(F686*H686/B686,0)*B686),G687-(ROUND(F686*H686/B686,0)*B686)))</f>
        <v>#DIV/0!</v>
      </c>
      <c r="I687" s="29" t="e">
        <f>IF(D686="BUY",G687+(ROUND(F686*I686/(B686*100),0)*B686),G687-(ROUND(F686*I686/(B686*100),0)*B686))</f>
        <v>#DIV/0!</v>
      </c>
      <c r="J687" s="29" t="e">
        <f>IF(C686=1,IF(D686="BUY",E686+(ROUND(F686*J686/B686,0)*B686),E686-(ROUND(F686*J686/B686,0)*B686)),IF(D686="BUY",E686-(ROUND(F686*J686/B686,0)*B686),E686+(ROUND(F686*J686/B686,0)*B686)))</f>
        <v>#DIV/0!</v>
      </c>
      <c r="K687" s="29" t="e">
        <f>IF(C686=1,IF(D686="BUY",E686-(ROUND(F686*K686/B686,0)*B686),E686+(ROUND(F686*K686/B686,0)*B686)),IF(D686="BUY",E686-(ROUND(F686*K686/B686,0)*B686),E686+(ROUND(F686*K686/B686,0)*B686)))</f>
        <v>#DIV/0!</v>
      </c>
      <c r="L687" s="29" t="e">
        <f t="shared" ref="L687" si="1025">IF(D687="BUY",I687+(R687*B687),I687-(R687*B687))</f>
        <v>#DIV/0!</v>
      </c>
      <c r="M687" s="29" t="e">
        <f>IF(D686="BUY",E686+(ROUND(F686*M686/B686,0)*B686),E686-(ROUND(F686*M686/B686,0)*B686))</f>
        <v>#DIV/0!</v>
      </c>
      <c r="N687" s="29" t="e">
        <f>IF(D686="BUY",E686-(ROUND(F686*N686/B686,0)*B686),E686+(ROUND(F686*N686/B686,0)*B686))</f>
        <v>#DIV/0!</v>
      </c>
      <c r="O687" s="31" t="e">
        <f>IF(D687="BUY",N687-VLOOKUP(A687,Symbols!A$1:D$1000,4,FALSE),N687+VLOOKUP(A687,Symbols!A$1:D$1000,4,FALSE))</f>
        <v>#DIV/0!</v>
      </c>
      <c r="P687" s="29">
        <f>P686</f>
        <v>0</v>
      </c>
      <c r="Q687" s="29">
        <f>Q686</f>
        <v>0</v>
      </c>
      <c r="R687" s="29">
        <f>R686</f>
        <v>0</v>
      </c>
      <c r="S687" s="29">
        <f>S686</f>
        <v>0</v>
      </c>
      <c r="T687" s="29">
        <f>T686</f>
        <v>0</v>
      </c>
      <c r="U687" s="29" t="e">
        <f>DATEDIF(DATE(1970,1,1),U686,"D")*86400</f>
        <v>#NUM!</v>
      </c>
      <c r="V687" s="29">
        <f>HOUR(V686)*3600+MINUTE(V686)*60+SECOND(V686)</f>
        <v>0</v>
      </c>
      <c r="W687" s="29" t="e">
        <f>DATEDIF(DATE(1970,1,1),W686,"D")*86400</f>
        <v>#NUM!</v>
      </c>
      <c r="X687" s="29">
        <f>HOUR(X686)*3600+MINUTE(X686)*60+SECOND(X686)</f>
        <v>0</v>
      </c>
      <c r="Y687" s="31">
        <f>(Y686*B687)</f>
        <v>0</v>
      </c>
      <c r="Z687" s="29">
        <f>Z686</f>
        <v>0</v>
      </c>
      <c r="AA687" s="29" t="e">
        <f>DATEDIF(DATE(1970,1,1),AA686,"D")*86400</f>
        <v>#NUM!</v>
      </c>
      <c r="AB687" s="29">
        <f>HOUR(AB686)*3600+MINUTE(AB686)*60+SECOND(AB686)</f>
        <v>0</v>
      </c>
      <c r="AC687" s="29">
        <f>AC686</f>
        <v>0</v>
      </c>
    </row>
    <row r="688" spans="1:29">
      <c r="A688" s="23">
        <f>Parameters!A345</f>
        <v>0</v>
      </c>
      <c r="B688" s="23">
        <f>Parameters!B345</f>
        <v>0</v>
      </c>
      <c r="C688" s="24">
        <f>Parameters!C345</f>
        <v>0</v>
      </c>
      <c r="D688" s="24">
        <f>Parameters!D345</f>
        <v>0</v>
      </c>
      <c r="E688" s="23">
        <f>Parameters!E345</f>
        <v>0</v>
      </c>
      <c r="F688" s="23">
        <f>Parameters!F345</f>
        <v>0</v>
      </c>
      <c r="G688" s="25">
        <f>Parameters!G345</f>
        <v>0</v>
      </c>
      <c r="H688" s="25">
        <f>Parameters!H345</f>
        <v>0</v>
      </c>
      <c r="I688" s="25">
        <f>Parameters!I345</f>
        <v>0</v>
      </c>
      <c r="J688" s="25">
        <f>Parameters!J345</f>
        <v>0</v>
      </c>
      <c r="K688" s="25">
        <f>Parameters!K345</f>
        <v>0</v>
      </c>
      <c r="L688" s="26" t="e">
        <f t="shared" ref="L688" si="1026">L689</f>
        <v>#DIV/0!</v>
      </c>
      <c r="M688" s="25">
        <f>Parameters!L345</f>
        <v>0</v>
      </c>
      <c r="N688" s="25">
        <f>Parameters!M345</f>
        <v>0</v>
      </c>
      <c r="O688" s="26" t="e">
        <f t="shared" ref="O688" si="1027">O689</f>
        <v>#DIV/0!</v>
      </c>
      <c r="P688" s="23">
        <f>Parameters!N345</f>
        <v>0</v>
      </c>
      <c r="Q688" s="23">
        <f>Parameters!O345</f>
        <v>0</v>
      </c>
      <c r="R688" s="23">
        <f>Parameters!P345</f>
        <v>0</v>
      </c>
      <c r="S688" s="23">
        <f>Parameters!Q345</f>
        <v>0</v>
      </c>
      <c r="T688" s="23">
        <f>Parameters!R345</f>
        <v>0</v>
      </c>
      <c r="U688" s="27">
        <f>Parameters!S345</f>
        <v>0</v>
      </c>
      <c r="V688" s="28">
        <f>Parameters!T345</f>
        <v>0</v>
      </c>
      <c r="W688" s="27">
        <f>Parameters!U345</f>
        <v>0</v>
      </c>
      <c r="X688" s="28">
        <f>Parameters!V345</f>
        <v>0</v>
      </c>
      <c r="Y688" s="25">
        <f>Parameters!W345</f>
        <v>0</v>
      </c>
      <c r="Z688" s="23">
        <f>Parameters!X345</f>
        <v>0</v>
      </c>
      <c r="AA688" s="27">
        <f>Parameters!Y345</f>
        <v>0</v>
      </c>
      <c r="AB688" s="28">
        <f>Parameters!Z345</f>
        <v>0</v>
      </c>
      <c r="AC688" s="23">
        <f>Parameters!AA345</f>
        <v>0</v>
      </c>
    </row>
    <row r="689" spans="1:29">
      <c r="A689" s="29" t="str">
        <f>UPPER(A688)</f>
        <v>0</v>
      </c>
      <c r="B689" s="29">
        <f>B688</f>
        <v>0</v>
      </c>
      <c r="C689" s="30">
        <f>C688</f>
        <v>0</v>
      </c>
      <c r="D689" s="30">
        <f>D688</f>
        <v>0</v>
      </c>
      <c r="E689" s="29">
        <f>E688</f>
        <v>0</v>
      </c>
      <c r="F689" s="29">
        <f>F688</f>
        <v>0</v>
      </c>
      <c r="G689" s="29" t="e">
        <f>IF(C688=1,IF(D688="BUY",E688+(ROUND(F688*G688/B688,0)*B688),E688-(ROUND(F688*G688/B688,0)*B688)),IF(D688="BUY",E688-(ROUND(F688*G688/B688,0)*B688),E688+(ROUND(F688*G688/B688,0)*B688)))</f>
        <v>#DIV/0!</v>
      </c>
      <c r="H689" s="29" t="e">
        <f>IF(C688=1,IF(D688="BUY",G689-(ROUND(F688*H688/B688,0)*B688),G689+(ROUND(F688*H688/B688,0)*B688)),IF(D688="BUY",G689+(ROUND(F688*H688/B688,0)*B688),G689-(ROUND(F688*H688/B688,0)*B688)))</f>
        <v>#DIV/0!</v>
      </c>
      <c r="I689" s="29" t="e">
        <f>IF(D688="BUY",G689+(ROUND(F688*I688/(B688*100),0)*B688),G689-(ROUND(F688*I688/(B688*100),0)*B688))</f>
        <v>#DIV/0!</v>
      </c>
      <c r="J689" s="29" t="e">
        <f>IF(C688=1,IF(D688="BUY",E688+(ROUND(F688*J688/B688,0)*B688),E688-(ROUND(F688*J688/B688,0)*B688)),IF(D688="BUY",E688-(ROUND(F688*J688/B688,0)*B688),E688+(ROUND(F688*J688/B688,0)*B688)))</f>
        <v>#DIV/0!</v>
      </c>
      <c r="K689" s="29" t="e">
        <f>IF(C688=1,IF(D688="BUY",E688-(ROUND(F688*K688/B688,0)*B688),E688+(ROUND(F688*K688/B688,0)*B688)),IF(D688="BUY",E688-(ROUND(F688*K688/B688,0)*B688),E688+(ROUND(F688*K688/B688,0)*B688)))</f>
        <v>#DIV/0!</v>
      </c>
      <c r="L689" s="29" t="e">
        <f t="shared" ref="L689" si="1028">IF(D689="BUY",I689+(R689*B689),I689-(R689*B689))</f>
        <v>#DIV/0!</v>
      </c>
      <c r="M689" s="29" t="e">
        <f>IF(D688="BUY",E688+(ROUND(F688*M688/B688,0)*B688),E688-(ROUND(F688*M688/B688,0)*B688))</f>
        <v>#DIV/0!</v>
      </c>
      <c r="N689" s="29" t="e">
        <f>IF(D688="BUY",E688-(ROUND(F688*N688/B688,0)*B688),E688+(ROUND(F688*N688/B688,0)*B688))</f>
        <v>#DIV/0!</v>
      </c>
      <c r="O689" s="31" t="e">
        <f>IF(D689="BUY",N689-VLOOKUP(A689,Symbols!A$1:D$1000,4,FALSE),N689+VLOOKUP(A689,Symbols!A$1:D$1000,4,FALSE))</f>
        <v>#DIV/0!</v>
      </c>
      <c r="P689" s="29">
        <f>P688</f>
        <v>0</v>
      </c>
      <c r="Q689" s="29">
        <f>Q688</f>
        <v>0</v>
      </c>
      <c r="R689" s="29">
        <f>R688</f>
        <v>0</v>
      </c>
      <c r="S689" s="29">
        <f>S688</f>
        <v>0</v>
      </c>
      <c r="T689" s="29">
        <f>T688</f>
        <v>0</v>
      </c>
      <c r="U689" s="29" t="e">
        <f>DATEDIF(DATE(1970,1,1),U688,"D")*86400</f>
        <v>#NUM!</v>
      </c>
      <c r="V689" s="29">
        <f>HOUR(V688)*3600+MINUTE(V688)*60+SECOND(V688)</f>
        <v>0</v>
      </c>
      <c r="W689" s="29" t="e">
        <f>DATEDIF(DATE(1970,1,1),W688,"D")*86400</f>
        <v>#NUM!</v>
      </c>
      <c r="X689" s="29">
        <f>HOUR(X688)*3600+MINUTE(X688)*60+SECOND(X688)</f>
        <v>0</v>
      </c>
      <c r="Y689" s="31">
        <f>(Y688*B689)</f>
        <v>0</v>
      </c>
      <c r="Z689" s="29">
        <f>Z688</f>
        <v>0</v>
      </c>
      <c r="AA689" s="29" t="e">
        <f>DATEDIF(DATE(1970,1,1),AA688,"D")*86400</f>
        <v>#NUM!</v>
      </c>
      <c r="AB689" s="29">
        <f>HOUR(AB688)*3600+MINUTE(AB688)*60+SECOND(AB688)</f>
        <v>0</v>
      </c>
      <c r="AC689" s="29">
        <f>AC688</f>
        <v>0</v>
      </c>
    </row>
    <row r="690" spans="1:29">
      <c r="A690" s="23">
        <f>Parameters!A346</f>
        <v>0</v>
      </c>
      <c r="B690" s="23">
        <f>Parameters!B346</f>
        <v>0</v>
      </c>
      <c r="C690" s="24">
        <f>Parameters!C346</f>
        <v>0</v>
      </c>
      <c r="D690" s="24">
        <f>Parameters!D346</f>
        <v>0</v>
      </c>
      <c r="E690" s="23">
        <f>Parameters!E346</f>
        <v>0</v>
      </c>
      <c r="F690" s="23">
        <f>Parameters!F346</f>
        <v>0</v>
      </c>
      <c r="G690" s="25">
        <f>Parameters!G346</f>
        <v>0</v>
      </c>
      <c r="H690" s="25">
        <f>Parameters!H346</f>
        <v>0</v>
      </c>
      <c r="I690" s="25">
        <f>Parameters!I346</f>
        <v>0</v>
      </c>
      <c r="J690" s="25">
        <f>Parameters!J346</f>
        <v>0</v>
      </c>
      <c r="K690" s="25">
        <f>Parameters!K346</f>
        <v>0</v>
      </c>
      <c r="L690" s="26" t="e">
        <f t="shared" ref="L690" si="1029">L691</f>
        <v>#DIV/0!</v>
      </c>
      <c r="M690" s="25">
        <f>Parameters!L346</f>
        <v>0</v>
      </c>
      <c r="N690" s="25">
        <f>Parameters!M346</f>
        <v>0</v>
      </c>
      <c r="O690" s="26" t="e">
        <f t="shared" ref="O690" si="1030">O691</f>
        <v>#DIV/0!</v>
      </c>
      <c r="P690" s="23">
        <f>Parameters!N346</f>
        <v>0</v>
      </c>
      <c r="Q690" s="23">
        <f>Parameters!O346</f>
        <v>0</v>
      </c>
      <c r="R690" s="23">
        <f>Parameters!P346</f>
        <v>0</v>
      </c>
      <c r="S690" s="23">
        <f>Parameters!Q346</f>
        <v>0</v>
      </c>
      <c r="T690" s="23">
        <f>Parameters!R346</f>
        <v>0</v>
      </c>
      <c r="U690" s="27">
        <f>Parameters!S346</f>
        <v>0</v>
      </c>
      <c r="V690" s="28">
        <f>Parameters!T346</f>
        <v>0</v>
      </c>
      <c r="W690" s="27">
        <f>Parameters!U346</f>
        <v>0</v>
      </c>
      <c r="X690" s="28">
        <f>Parameters!V346</f>
        <v>0</v>
      </c>
      <c r="Y690" s="25">
        <f>Parameters!W346</f>
        <v>0</v>
      </c>
      <c r="Z690" s="23">
        <f>Parameters!X346</f>
        <v>0</v>
      </c>
      <c r="AA690" s="27">
        <f>Parameters!Y346</f>
        <v>0</v>
      </c>
      <c r="AB690" s="28">
        <f>Parameters!Z346</f>
        <v>0</v>
      </c>
      <c r="AC690" s="23">
        <f>Parameters!AA346</f>
        <v>0</v>
      </c>
    </row>
    <row r="691" spans="1:29">
      <c r="A691" s="29" t="str">
        <f>UPPER(A690)</f>
        <v>0</v>
      </c>
      <c r="B691" s="29">
        <f>B690</f>
        <v>0</v>
      </c>
      <c r="C691" s="30">
        <f>C690</f>
        <v>0</v>
      </c>
      <c r="D691" s="30">
        <f>D690</f>
        <v>0</v>
      </c>
      <c r="E691" s="29">
        <f>E690</f>
        <v>0</v>
      </c>
      <c r="F691" s="29">
        <f>F690</f>
        <v>0</v>
      </c>
      <c r="G691" s="29" t="e">
        <f>IF(C690=1,IF(D690="BUY",E690+(ROUND(F690*G690/B690,0)*B690),E690-(ROUND(F690*G690/B690,0)*B690)),IF(D690="BUY",E690-(ROUND(F690*G690/B690,0)*B690),E690+(ROUND(F690*G690/B690,0)*B690)))</f>
        <v>#DIV/0!</v>
      </c>
      <c r="H691" s="29" t="e">
        <f>IF(C690=1,IF(D690="BUY",G691-(ROUND(F690*H690/B690,0)*B690),G691+(ROUND(F690*H690/B690,0)*B690)),IF(D690="BUY",G691+(ROUND(F690*H690/B690,0)*B690),G691-(ROUND(F690*H690/B690,0)*B690)))</f>
        <v>#DIV/0!</v>
      </c>
      <c r="I691" s="29" t="e">
        <f>IF(D690="BUY",G691+(ROUND(F690*I690/(B690*100),0)*B690),G691-(ROUND(F690*I690/(B690*100),0)*B690))</f>
        <v>#DIV/0!</v>
      </c>
      <c r="J691" s="29" t="e">
        <f>IF(C690=1,IF(D690="BUY",E690+(ROUND(F690*J690/B690,0)*B690),E690-(ROUND(F690*J690/B690,0)*B690)),IF(D690="BUY",E690-(ROUND(F690*J690/B690,0)*B690),E690+(ROUND(F690*J690/B690,0)*B690)))</f>
        <v>#DIV/0!</v>
      </c>
      <c r="K691" s="29" t="e">
        <f>IF(C690=1,IF(D690="BUY",E690-(ROUND(F690*K690/B690,0)*B690),E690+(ROUND(F690*K690/B690,0)*B690)),IF(D690="BUY",E690-(ROUND(F690*K690/B690,0)*B690),E690+(ROUND(F690*K690/B690,0)*B690)))</f>
        <v>#DIV/0!</v>
      </c>
      <c r="L691" s="29" t="e">
        <f t="shared" ref="L691" si="1031">IF(D691="BUY",I691+(R691*B691),I691-(R691*B691))</f>
        <v>#DIV/0!</v>
      </c>
      <c r="M691" s="29" t="e">
        <f>IF(D690="BUY",E690+(ROUND(F690*M690/B690,0)*B690),E690-(ROUND(F690*M690/B690,0)*B690))</f>
        <v>#DIV/0!</v>
      </c>
      <c r="N691" s="29" t="e">
        <f>IF(D690="BUY",E690-(ROUND(F690*N690/B690,0)*B690),E690+(ROUND(F690*N690/B690,0)*B690))</f>
        <v>#DIV/0!</v>
      </c>
      <c r="O691" s="31" t="e">
        <f>IF(D691="BUY",N691-VLOOKUP(A691,Symbols!A$1:D$1000,4,FALSE),N691+VLOOKUP(A691,Symbols!A$1:D$1000,4,FALSE))</f>
        <v>#DIV/0!</v>
      </c>
      <c r="P691" s="29">
        <f>P690</f>
        <v>0</v>
      </c>
      <c r="Q691" s="29">
        <f>Q690</f>
        <v>0</v>
      </c>
      <c r="R691" s="29">
        <f>R690</f>
        <v>0</v>
      </c>
      <c r="S691" s="29">
        <f>S690</f>
        <v>0</v>
      </c>
      <c r="T691" s="29">
        <f>T690</f>
        <v>0</v>
      </c>
      <c r="U691" s="29" t="e">
        <f>DATEDIF(DATE(1970,1,1),U690,"D")*86400</f>
        <v>#NUM!</v>
      </c>
      <c r="V691" s="29">
        <f>HOUR(V690)*3600+MINUTE(V690)*60+SECOND(V690)</f>
        <v>0</v>
      </c>
      <c r="W691" s="29" t="e">
        <f>DATEDIF(DATE(1970,1,1),W690,"D")*86400</f>
        <v>#NUM!</v>
      </c>
      <c r="X691" s="29">
        <f>HOUR(X690)*3600+MINUTE(X690)*60+SECOND(X690)</f>
        <v>0</v>
      </c>
      <c r="Y691" s="31">
        <f>(Y690*B691)</f>
        <v>0</v>
      </c>
      <c r="Z691" s="29">
        <f>Z690</f>
        <v>0</v>
      </c>
      <c r="AA691" s="29" t="e">
        <f>DATEDIF(DATE(1970,1,1),AA690,"D")*86400</f>
        <v>#NUM!</v>
      </c>
      <c r="AB691" s="29">
        <f>HOUR(AB690)*3600+MINUTE(AB690)*60+SECOND(AB690)</f>
        <v>0</v>
      </c>
      <c r="AC691" s="29">
        <f>AC690</f>
        <v>0</v>
      </c>
    </row>
    <row r="692" spans="1:29">
      <c r="A692" s="23">
        <f>Parameters!A347</f>
        <v>0</v>
      </c>
      <c r="B692" s="23">
        <f>Parameters!B347</f>
        <v>0</v>
      </c>
      <c r="C692" s="24">
        <f>Parameters!C347</f>
        <v>0</v>
      </c>
      <c r="D692" s="24">
        <f>Parameters!D347</f>
        <v>0</v>
      </c>
      <c r="E692" s="23">
        <f>Parameters!E347</f>
        <v>0</v>
      </c>
      <c r="F692" s="23">
        <f>Parameters!F347</f>
        <v>0</v>
      </c>
      <c r="G692" s="25">
        <f>Parameters!G347</f>
        <v>0</v>
      </c>
      <c r="H692" s="25">
        <f>Parameters!H347</f>
        <v>0</v>
      </c>
      <c r="I692" s="25">
        <f>Parameters!I347</f>
        <v>0</v>
      </c>
      <c r="J692" s="25">
        <f>Parameters!J347</f>
        <v>0</v>
      </c>
      <c r="K692" s="25">
        <f>Parameters!K347</f>
        <v>0</v>
      </c>
      <c r="L692" s="26" t="e">
        <f t="shared" ref="L692" si="1032">L693</f>
        <v>#DIV/0!</v>
      </c>
      <c r="M692" s="25">
        <f>Parameters!L347</f>
        <v>0</v>
      </c>
      <c r="N692" s="25">
        <f>Parameters!M347</f>
        <v>0</v>
      </c>
      <c r="O692" s="26" t="e">
        <f t="shared" ref="O692" si="1033">O693</f>
        <v>#DIV/0!</v>
      </c>
      <c r="P692" s="23">
        <f>Parameters!N347</f>
        <v>0</v>
      </c>
      <c r="Q692" s="23">
        <f>Parameters!O347</f>
        <v>0</v>
      </c>
      <c r="R692" s="23">
        <f>Parameters!P347</f>
        <v>0</v>
      </c>
      <c r="S692" s="23">
        <f>Parameters!Q347</f>
        <v>0</v>
      </c>
      <c r="T692" s="23">
        <f>Parameters!R347</f>
        <v>0</v>
      </c>
      <c r="U692" s="27">
        <f>Parameters!S347</f>
        <v>0</v>
      </c>
      <c r="V692" s="28">
        <f>Parameters!T347</f>
        <v>0</v>
      </c>
      <c r="W692" s="27">
        <f>Parameters!U347</f>
        <v>0</v>
      </c>
      <c r="X692" s="28">
        <f>Parameters!V347</f>
        <v>0</v>
      </c>
      <c r="Y692" s="25">
        <f>Parameters!W347</f>
        <v>0</v>
      </c>
      <c r="Z692" s="23">
        <f>Parameters!X347</f>
        <v>0</v>
      </c>
      <c r="AA692" s="27">
        <f>Parameters!Y347</f>
        <v>0</v>
      </c>
      <c r="AB692" s="28">
        <f>Parameters!Z347</f>
        <v>0</v>
      </c>
      <c r="AC692" s="23">
        <f>Parameters!AA347</f>
        <v>0</v>
      </c>
    </row>
    <row r="693" spans="1:29">
      <c r="A693" s="29" t="str">
        <f>UPPER(A692)</f>
        <v>0</v>
      </c>
      <c r="B693" s="29">
        <f>B692</f>
        <v>0</v>
      </c>
      <c r="C693" s="30">
        <f>C692</f>
        <v>0</v>
      </c>
      <c r="D693" s="30">
        <f>D692</f>
        <v>0</v>
      </c>
      <c r="E693" s="29">
        <f>E692</f>
        <v>0</v>
      </c>
      <c r="F693" s="29">
        <f>F692</f>
        <v>0</v>
      </c>
      <c r="G693" s="29" t="e">
        <f>IF(C692=1,IF(D692="BUY",E692+(ROUND(F692*G692/B692,0)*B692),E692-(ROUND(F692*G692/B692,0)*B692)),IF(D692="BUY",E692-(ROUND(F692*G692/B692,0)*B692),E692+(ROUND(F692*G692/B692,0)*B692)))</f>
        <v>#DIV/0!</v>
      </c>
      <c r="H693" s="29" t="e">
        <f>IF(C692=1,IF(D692="BUY",G693-(ROUND(F692*H692/B692,0)*B692),G693+(ROUND(F692*H692/B692,0)*B692)),IF(D692="BUY",G693+(ROUND(F692*H692/B692,0)*B692),G693-(ROUND(F692*H692/B692,0)*B692)))</f>
        <v>#DIV/0!</v>
      </c>
      <c r="I693" s="29" t="e">
        <f>IF(D692="BUY",G693+(ROUND(F692*I692/(B692*100),0)*B692),G693-(ROUND(F692*I692/(B692*100),0)*B692))</f>
        <v>#DIV/0!</v>
      </c>
      <c r="J693" s="29" t="e">
        <f>IF(C692=1,IF(D692="BUY",E692+(ROUND(F692*J692/B692,0)*B692),E692-(ROUND(F692*J692/B692,0)*B692)),IF(D692="BUY",E692-(ROUND(F692*J692/B692,0)*B692),E692+(ROUND(F692*J692/B692,0)*B692)))</f>
        <v>#DIV/0!</v>
      </c>
      <c r="K693" s="29" t="e">
        <f>IF(C692=1,IF(D692="BUY",E692-(ROUND(F692*K692/B692,0)*B692),E692+(ROUND(F692*K692/B692,0)*B692)),IF(D692="BUY",E692-(ROUND(F692*K692/B692,0)*B692),E692+(ROUND(F692*K692/B692,0)*B692)))</f>
        <v>#DIV/0!</v>
      </c>
      <c r="L693" s="29" t="e">
        <f t="shared" ref="L693" si="1034">IF(D693="BUY",I693+(R693*B693),I693-(R693*B693))</f>
        <v>#DIV/0!</v>
      </c>
      <c r="M693" s="29" t="e">
        <f>IF(D692="BUY",E692+(ROUND(F692*M692/B692,0)*B692),E692-(ROUND(F692*M692/B692,0)*B692))</f>
        <v>#DIV/0!</v>
      </c>
      <c r="N693" s="29" t="e">
        <f>IF(D692="BUY",E692-(ROUND(F692*N692/B692,0)*B692),E692+(ROUND(F692*N692/B692,0)*B692))</f>
        <v>#DIV/0!</v>
      </c>
      <c r="O693" s="31" t="e">
        <f>IF(D693="BUY",N693-VLOOKUP(A693,Symbols!A$1:D$1000,4,FALSE),N693+VLOOKUP(A693,Symbols!A$1:D$1000,4,FALSE))</f>
        <v>#DIV/0!</v>
      </c>
      <c r="P693" s="29">
        <f>P692</f>
        <v>0</v>
      </c>
      <c r="Q693" s="29">
        <f>Q692</f>
        <v>0</v>
      </c>
      <c r="R693" s="29">
        <f>R692</f>
        <v>0</v>
      </c>
      <c r="S693" s="29">
        <f>S692</f>
        <v>0</v>
      </c>
      <c r="T693" s="29">
        <f>T692</f>
        <v>0</v>
      </c>
      <c r="U693" s="29" t="e">
        <f>DATEDIF(DATE(1970,1,1),U692,"D")*86400</f>
        <v>#NUM!</v>
      </c>
      <c r="V693" s="29">
        <f>HOUR(V692)*3600+MINUTE(V692)*60+SECOND(V692)</f>
        <v>0</v>
      </c>
      <c r="W693" s="29" t="e">
        <f>DATEDIF(DATE(1970,1,1),W692,"D")*86400</f>
        <v>#NUM!</v>
      </c>
      <c r="X693" s="29">
        <f>HOUR(X692)*3600+MINUTE(X692)*60+SECOND(X692)</f>
        <v>0</v>
      </c>
      <c r="Y693" s="31">
        <f>(Y692*B693)</f>
        <v>0</v>
      </c>
      <c r="Z693" s="29">
        <f>Z692</f>
        <v>0</v>
      </c>
      <c r="AA693" s="29" t="e">
        <f>DATEDIF(DATE(1970,1,1),AA692,"D")*86400</f>
        <v>#NUM!</v>
      </c>
      <c r="AB693" s="29">
        <f>HOUR(AB692)*3600+MINUTE(AB692)*60+SECOND(AB692)</f>
        <v>0</v>
      </c>
      <c r="AC693" s="29">
        <f>AC692</f>
        <v>0</v>
      </c>
    </row>
    <row r="694" spans="1:29">
      <c r="A694" s="23">
        <f>Parameters!A348</f>
        <v>0</v>
      </c>
      <c r="B694" s="23">
        <f>Parameters!B348</f>
        <v>0</v>
      </c>
      <c r="C694" s="24">
        <f>Parameters!C348</f>
        <v>0</v>
      </c>
      <c r="D694" s="24">
        <f>Parameters!D348</f>
        <v>0</v>
      </c>
      <c r="E694" s="23">
        <f>Parameters!E348</f>
        <v>0</v>
      </c>
      <c r="F694" s="23">
        <f>Parameters!F348</f>
        <v>0</v>
      </c>
      <c r="G694" s="25">
        <f>Parameters!G348</f>
        <v>0</v>
      </c>
      <c r="H694" s="25">
        <f>Parameters!H348</f>
        <v>0</v>
      </c>
      <c r="I694" s="25">
        <f>Parameters!I348</f>
        <v>0</v>
      </c>
      <c r="J694" s="25">
        <f>Parameters!J348</f>
        <v>0</v>
      </c>
      <c r="K694" s="25">
        <f>Parameters!K348</f>
        <v>0</v>
      </c>
      <c r="L694" s="26" t="e">
        <f t="shared" ref="L694" si="1035">L695</f>
        <v>#DIV/0!</v>
      </c>
      <c r="M694" s="25">
        <f>Parameters!L348</f>
        <v>0</v>
      </c>
      <c r="N694" s="25">
        <f>Parameters!M348</f>
        <v>0</v>
      </c>
      <c r="O694" s="26" t="e">
        <f t="shared" ref="O694" si="1036">O695</f>
        <v>#DIV/0!</v>
      </c>
      <c r="P694" s="23">
        <f>Parameters!N348</f>
        <v>0</v>
      </c>
      <c r="Q694" s="23">
        <f>Parameters!O348</f>
        <v>0</v>
      </c>
      <c r="R694" s="23">
        <f>Parameters!P348</f>
        <v>0</v>
      </c>
      <c r="S694" s="23">
        <f>Parameters!Q348</f>
        <v>0</v>
      </c>
      <c r="T694" s="23">
        <f>Parameters!R348</f>
        <v>0</v>
      </c>
      <c r="U694" s="27">
        <f>Parameters!S348</f>
        <v>0</v>
      </c>
      <c r="V694" s="28">
        <f>Parameters!T348</f>
        <v>0</v>
      </c>
      <c r="W694" s="27">
        <f>Parameters!U348</f>
        <v>0</v>
      </c>
      <c r="X694" s="28">
        <f>Parameters!V348</f>
        <v>0</v>
      </c>
      <c r="Y694" s="25">
        <f>Parameters!W348</f>
        <v>0</v>
      </c>
      <c r="Z694" s="23">
        <f>Parameters!X348</f>
        <v>0</v>
      </c>
      <c r="AA694" s="27">
        <f>Parameters!Y348</f>
        <v>0</v>
      </c>
      <c r="AB694" s="28">
        <f>Parameters!Z348</f>
        <v>0</v>
      </c>
      <c r="AC694" s="23">
        <f>Parameters!AA348</f>
        <v>0</v>
      </c>
    </row>
    <row r="695" spans="1:29">
      <c r="A695" s="29" t="str">
        <f>UPPER(A694)</f>
        <v>0</v>
      </c>
      <c r="B695" s="29">
        <f>B694</f>
        <v>0</v>
      </c>
      <c r="C695" s="30">
        <f>C694</f>
        <v>0</v>
      </c>
      <c r="D695" s="30">
        <f>D694</f>
        <v>0</v>
      </c>
      <c r="E695" s="29">
        <f>E694</f>
        <v>0</v>
      </c>
      <c r="F695" s="29">
        <f>F694</f>
        <v>0</v>
      </c>
      <c r="G695" s="29" t="e">
        <f>IF(C694=1,IF(D694="BUY",E694+(ROUND(F694*G694/B694,0)*B694),E694-(ROUND(F694*G694/B694,0)*B694)),IF(D694="BUY",E694-(ROUND(F694*G694/B694,0)*B694),E694+(ROUND(F694*G694/B694,0)*B694)))</f>
        <v>#DIV/0!</v>
      </c>
      <c r="H695" s="29" t="e">
        <f>IF(C694=1,IF(D694="BUY",G695-(ROUND(F694*H694/B694,0)*B694),G695+(ROUND(F694*H694/B694,0)*B694)),IF(D694="BUY",G695+(ROUND(F694*H694/B694,0)*B694),G695-(ROUND(F694*H694/B694,0)*B694)))</f>
        <v>#DIV/0!</v>
      </c>
      <c r="I695" s="29" t="e">
        <f>IF(D694="BUY",G695+(ROUND(F694*I694/(B694*100),0)*B694),G695-(ROUND(F694*I694/(B694*100),0)*B694))</f>
        <v>#DIV/0!</v>
      </c>
      <c r="J695" s="29" t="e">
        <f>IF(C694=1,IF(D694="BUY",E694+(ROUND(F694*J694/B694,0)*B694),E694-(ROUND(F694*J694/B694,0)*B694)),IF(D694="BUY",E694-(ROUND(F694*J694/B694,0)*B694),E694+(ROUND(F694*J694/B694,0)*B694)))</f>
        <v>#DIV/0!</v>
      </c>
      <c r="K695" s="29" t="e">
        <f>IF(C694=1,IF(D694="BUY",E694-(ROUND(F694*K694/B694,0)*B694),E694+(ROUND(F694*K694/B694,0)*B694)),IF(D694="BUY",E694-(ROUND(F694*K694/B694,0)*B694),E694+(ROUND(F694*K694/B694,0)*B694)))</f>
        <v>#DIV/0!</v>
      </c>
      <c r="L695" s="29" t="e">
        <f t="shared" ref="L695" si="1037">IF(D695="BUY",I695+(R695*B695),I695-(R695*B695))</f>
        <v>#DIV/0!</v>
      </c>
      <c r="M695" s="29" t="e">
        <f>IF(D694="BUY",E694+(ROUND(F694*M694/B694,0)*B694),E694-(ROUND(F694*M694/B694,0)*B694))</f>
        <v>#DIV/0!</v>
      </c>
      <c r="N695" s="29" t="e">
        <f>IF(D694="BUY",E694-(ROUND(F694*N694/B694,0)*B694),E694+(ROUND(F694*N694/B694,0)*B694))</f>
        <v>#DIV/0!</v>
      </c>
      <c r="O695" s="31" t="e">
        <f>IF(D695="BUY",N695-VLOOKUP(A695,Symbols!A$1:D$1000,4,FALSE),N695+VLOOKUP(A695,Symbols!A$1:D$1000,4,FALSE))</f>
        <v>#DIV/0!</v>
      </c>
      <c r="P695" s="29">
        <f>P694</f>
        <v>0</v>
      </c>
      <c r="Q695" s="29">
        <f>Q694</f>
        <v>0</v>
      </c>
      <c r="R695" s="29">
        <f>R694</f>
        <v>0</v>
      </c>
      <c r="S695" s="29">
        <f>S694</f>
        <v>0</v>
      </c>
      <c r="T695" s="29">
        <f>T694</f>
        <v>0</v>
      </c>
      <c r="U695" s="29" t="e">
        <f>DATEDIF(DATE(1970,1,1),U694,"D")*86400</f>
        <v>#NUM!</v>
      </c>
      <c r="V695" s="29">
        <f>HOUR(V694)*3600+MINUTE(V694)*60+SECOND(V694)</f>
        <v>0</v>
      </c>
      <c r="W695" s="29" t="e">
        <f>DATEDIF(DATE(1970,1,1),W694,"D")*86400</f>
        <v>#NUM!</v>
      </c>
      <c r="X695" s="29">
        <f>HOUR(X694)*3600+MINUTE(X694)*60+SECOND(X694)</f>
        <v>0</v>
      </c>
      <c r="Y695" s="31">
        <f>(Y694*B695)</f>
        <v>0</v>
      </c>
      <c r="Z695" s="29">
        <f>Z694</f>
        <v>0</v>
      </c>
      <c r="AA695" s="29" t="e">
        <f>DATEDIF(DATE(1970,1,1),AA694,"D")*86400</f>
        <v>#NUM!</v>
      </c>
      <c r="AB695" s="29">
        <f>HOUR(AB694)*3600+MINUTE(AB694)*60+SECOND(AB694)</f>
        <v>0</v>
      </c>
      <c r="AC695" s="29">
        <f>AC694</f>
        <v>0</v>
      </c>
    </row>
    <row r="696" spans="1:29">
      <c r="A696" s="23">
        <f>Parameters!A349</f>
        <v>0</v>
      </c>
      <c r="B696" s="23">
        <f>Parameters!B349</f>
        <v>0</v>
      </c>
      <c r="C696" s="24">
        <f>Parameters!C349</f>
        <v>0</v>
      </c>
      <c r="D696" s="24">
        <f>Parameters!D349</f>
        <v>0</v>
      </c>
      <c r="E696" s="23">
        <f>Parameters!E349</f>
        <v>0</v>
      </c>
      <c r="F696" s="23">
        <f>Parameters!F349</f>
        <v>0</v>
      </c>
      <c r="G696" s="25">
        <f>Parameters!G349</f>
        <v>0</v>
      </c>
      <c r="H696" s="25">
        <f>Parameters!H349</f>
        <v>0</v>
      </c>
      <c r="I696" s="25">
        <f>Parameters!I349</f>
        <v>0</v>
      </c>
      <c r="J696" s="25">
        <f>Parameters!J349</f>
        <v>0</v>
      </c>
      <c r="K696" s="25">
        <f>Parameters!K349</f>
        <v>0</v>
      </c>
      <c r="L696" s="26" t="e">
        <f t="shared" ref="L696" si="1038">L697</f>
        <v>#DIV/0!</v>
      </c>
      <c r="M696" s="25">
        <f>Parameters!L349</f>
        <v>0</v>
      </c>
      <c r="N696" s="25">
        <f>Parameters!M349</f>
        <v>0</v>
      </c>
      <c r="O696" s="26" t="e">
        <f t="shared" ref="O696" si="1039">O697</f>
        <v>#DIV/0!</v>
      </c>
      <c r="P696" s="23">
        <f>Parameters!N349</f>
        <v>0</v>
      </c>
      <c r="Q696" s="23">
        <f>Parameters!O349</f>
        <v>0</v>
      </c>
      <c r="R696" s="23">
        <f>Parameters!P349</f>
        <v>0</v>
      </c>
      <c r="S696" s="23">
        <f>Parameters!Q349</f>
        <v>0</v>
      </c>
      <c r="T696" s="23">
        <f>Parameters!R349</f>
        <v>0</v>
      </c>
      <c r="U696" s="27">
        <f>Parameters!S349</f>
        <v>0</v>
      </c>
      <c r="V696" s="28">
        <f>Parameters!T349</f>
        <v>0</v>
      </c>
      <c r="W696" s="27">
        <f>Parameters!U349</f>
        <v>0</v>
      </c>
      <c r="X696" s="28">
        <f>Parameters!V349</f>
        <v>0</v>
      </c>
      <c r="Y696" s="25">
        <f>Parameters!W349</f>
        <v>0</v>
      </c>
      <c r="Z696" s="23">
        <f>Parameters!X349</f>
        <v>0</v>
      </c>
      <c r="AA696" s="27">
        <f>Parameters!Y349</f>
        <v>0</v>
      </c>
      <c r="AB696" s="28">
        <f>Parameters!Z349</f>
        <v>0</v>
      </c>
      <c r="AC696" s="23">
        <f>Parameters!AA349</f>
        <v>0</v>
      </c>
    </row>
    <row r="697" spans="1:29">
      <c r="A697" s="29" t="str">
        <f>UPPER(A696)</f>
        <v>0</v>
      </c>
      <c r="B697" s="29">
        <f>B696</f>
        <v>0</v>
      </c>
      <c r="C697" s="30">
        <f>C696</f>
        <v>0</v>
      </c>
      <c r="D697" s="30">
        <f>D696</f>
        <v>0</v>
      </c>
      <c r="E697" s="29">
        <f>E696</f>
        <v>0</v>
      </c>
      <c r="F697" s="29">
        <f>F696</f>
        <v>0</v>
      </c>
      <c r="G697" s="29" t="e">
        <f>IF(C696=1,IF(D696="BUY",E696+(ROUND(F696*G696/B696,0)*B696),E696-(ROUND(F696*G696/B696,0)*B696)),IF(D696="BUY",E696-(ROUND(F696*G696/B696,0)*B696),E696+(ROUND(F696*G696/B696,0)*B696)))</f>
        <v>#DIV/0!</v>
      </c>
      <c r="H697" s="29" t="e">
        <f>IF(C696=1,IF(D696="BUY",G697-(ROUND(F696*H696/B696,0)*B696),G697+(ROUND(F696*H696/B696,0)*B696)),IF(D696="BUY",G697+(ROUND(F696*H696/B696,0)*B696),G697-(ROUND(F696*H696/B696,0)*B696)))</f>
        <v>#DIV/0!</v>
      </c>
      <c r="I697" s="29" t="e">
        <f>IF(D696="BUY",G697+(ROUND(F696*I696/(B696*100),0)*B696),G697-(ROUND(F696*I696/(B696*100),0)*B696))</f>
        <v>#DIV/0!</v>
      </c>
      <c r="J697" s="29" t="e">
        <f>IF(C696=1,IF(D696="BUY",E696+(ROUND(F696*J696/B696,0)*B696),E696-(ROUND(F696*J696/B696,0)*B696)),IF(D696="BUY",E696-(ROUND(F696*J696/B696,0)*B696),E696+(ROUND(F696*J696/B696,0)*B696)))</f>
        <v>#DIV/0!</v>
      </c>
      <c r="K697" s="29" t="e">
        <f>IF(C696=1,IF(D696="BUY",E696-(ROUND(F696*K696/B696,0)*B696),E696+(ROUND(F696*K696/B696,0)*B696)),IF(D696="BUY",E696-(ROUND(F696*K696/B696,0)*B696),E696+(ROUND(F696*K696/B696,0)*B696)))</f>
        <v>#DIV/0!</v>
      </c>
      <c r="L697" s="29" t="e">
        <f t="shared" ref="L697" si="1040">IF(D697="BUY",I697+(R697*B697),I697-(R697*B697))</f>
        <v>#DIV/0!</v>
      </c>
      <c r="M697" s="29" t="e">
        <f>IF(D696="BUY",E696+(ROUND(F696*M696/B696,0)*B696),E696-(ROUND(F696*M696/B696,0)*B696))</f>
        <v>#DIV/0!</v>
      </c>
      <c r="N697" s="29" t="e">
        <f>IF(D696="BUY",E696-(ROUND(F696*N696/B696,0)*B696),E696+(ROUND(F696*N696/B696,0)*B696))</f>
        <v>#DIV/0!</v>
      </c>
      <c r="O697" s="31" t="e">
        <f>IF(D697="BUY",N697-VLOOKUP(A697,Symbols!A$1:D$1000,4,FALSE),N697+VLOOKUP(A697,Symbols!A$1:D$1000,4,FALSE))</f>
        <v>#DIV/0!</v>
      </c>
      <c r="P697" s="29">
        <f>P696</f>
        <v>0</v>
      </c>
      <c r="Q697" s="29">
        <f>Q696</f>
        <v>0</v>
      </c>
      <c r="R697" s="29">
        <f>R696</f>
        <v>0</v>
      </c>
      <c r="S697" s="29">
        <f>S696</f>
        <v>0</v>
      </c>
      <c r="T697" s="29">
        <f>T696</f>
        <v>0</v>
      </c>
      <c r="U697" s="29" t="e">
        <f>DATEDIF(DATE(1970,1,1),U696,"D")*86400</f>
        <v>#NUM!</v>
      </c>
      <c r="V697" s="29">
        <f>HOUR(V696)*3600+MINUTE(V696)*60+SECOND(V696)</f>
        <v>0</v>
      </c>
      <c r="W697" s="29" t="e">
        <f>DATEDIF(DATE(1970,1,1),W696,"D")*86400</f>
        <v>#NUM!</v>
      </c>
      <c r="X697" s="29">
        <f>HOUR(X696)*3600+MINUTE(X696)*60+SECOND(X696)</f>
        <v>0</v>
      </c>
      <c r="Y697" s="31">
        <f>(Y696*B697)</f>
        <v>0</v>
      </c>
      <c r="Z697" s="29">
        <f>Z696</f>
        <v>0</v>
      </c>
      <c r="AA697" s="29" t="e">
        <f>DATEDIF(DATE(1970,1,1),AA696,"D")*86400</f>
        <v>#NUM!</v>
      </c>
      <c r="AB697" s="29">
        <f>HOUR(AB696)*3600+MINUTE(AB696)*60+SECOND(AB696)</f>
        <v>0</v>
      </c>
      <c r="AC697" s="29">
        <f>AC696</f>
        <v>0</v>
      </c>
    </row>
    <row r="698" spans="1:29">
      <c r="A698" s="23">
        <f>Parameters!A350</f>
        <v>0</v>
      </c>
      <c r="B698" s="23">
        <f>Parameters!B350</f>
        <v>0</v>
      </c>
      <c r="C698" s="24">
        <f>Parameters!C350</f>
        <v>0</v>
      </c>
      <c r="D698" s="24">
        <f>Parameters!D350</f>
        <v>0</v>
      </c>
      <c r="E698" s="23">
        <f>Parameters!E350</f>
        <v>0</v>
      </c>
      <c r="F698" s="23">
        <f>Parameters!F350</f>
        <v>0</v>
      </c>
      <c r="G698" s="25">
        <f>Parameters!G350</f>
        <v>0</v>
      </c>
      <c r="H698" s="25">
        <f>Parameters!H350</f>
        <v>0</v>
      </c>
      <c r="I698" s="25">
        <f>Parameters!I350</f>
        <v>0</v>
      </c>
      <c r="J698" s="25">
        <f>Parameters!J350</f>
        <v>0</v>
      </c>
      <c r="K698" s="25">
        <f>Parameters!K350</f>
        <v>0</v>
      </c>
      <c r="L698" s="26" t="e">
        <f t="shared" ref="L698" si="1041">L699</f>
        <v>#DIV/0!</v>
      </c>
      <c r="M698" s="25">
        <f>Parameters!L350</f>
        <v>0</v>
      </c>
      <c r="N698" s="25">
        <f>Parameters!M350</f>
        <v>0</v>
      </c>
      <c r="O698" s="26" t="e">
        <f t="shared" ref="O698" si="1042">O699</f>
        <v>#DIV/0!</v>
      </c>
      <c r="P698" s="23">
        <f>Parameters!N350</f>
        <v>0</v>
      </c>
      <c r="Q698" s="23">
        <f>Parameters!O350</f>
        <v>0</v>
      </c>
      <c r="R698" s="23">
        <f>Parameters!P350</f>
        <v>0</v>
      </c>
      <c r="S698" s="23">
        <f>Parameters!Q350</f>
        <v>0</v>
      </c>
      <c r="T698" s="23">
        <f>Parameters!R350</f>
        <v>0</v>
      </c>
      <c r="U698" s="27">
        <f>Parameters!S350</f>
        <v>0</v>
      </c>
      <c r="V698" s="28">
        <f>Parameters!T350</f>
        <v>0</v>
      </c>
      <c r="W698" s="27">
        <f>Parameters!U350</f>
        <v>0</v>
      </c>
      <c r="X698" s="28">
        <f>Parameters!V350</f>
        <v>0</v>
      </c>
      <c r="Y698" s="25">
        <f>Parameters!W350</f>
        <v>0</v>
      </c>
      <c r="Z698" s="23">
        <f>Parameters!X350</f>
        <v>0</v>
      </c>
      <c r="AA698" s="27">
        <f>Parameters!Y350</f>
        <v>0</v>
      </c>
      <c r="AB698" s="28">
        <f>Parameters!Z350</f>
        <v>0</v>
      </c>
      <c r="AC698" s="23">
        <f>Parameters!AA350</f>
        <v>0</v>
      </c>
    </row>
    <row r="699" spans="1:29">
      <c r="A699" s="29" t="str">
        <f>UPPER(A698)</f>
        <v>0</v>
      </c>
      <c r="B699" s="29">
        <f>B698</f>
        <v>0</v>
      </c>
      <c r="C699" s="30">
        <f>C698</f>
        <v>0</v>
      </c>
      <c r="D699" s="30">
        <f>D698</f>
        <v>0</v>
      </c>
      <c r="E699" s="29">
        <f>E698</f>
        <v>0</v>
      </c>
      <c r="F699" s="29">
        <f>F698</f>
        <v>0</v>
      </c>
      <c r="G699" s="29" t="e">
        <f>IF(C698=1,IF(D698="BUY",E698+(ROUND(F698*G698/B698,0)*B698),E698-(ROUND(F698*G698/B698,0)*B698)),IF(D698="BUY",E698-(ROUND(F698*G698/B698,0)*B698),E698+(ROUND(F698*G698/B698,0)*B698)))</f>
        <v>#DIV/0!</v>
      </c>
      <c r="H699" s="29" t="e">
        <f>IF(C698=1,IF(D698="BUY",G699-(ROUND(F698*H698/B698,0)*B698),G699+(ROUND(F698*H698/B698,0)*B698)),IF(D698="BUY",G699+(ROUND(F698*H698/B698,0)*B698),G699-(ROUND(F698*H698/B698,0)*B698)))</f>
        <v>#DIV/0!</v>
      </c>
      <c r="I699" s="29" t="e">
        <f>IF(D698="BUY",G699+(ROUND(F698*I698/(B698*100),0)*B698),G699-(ROUND(F698*I698/(B698*100),0)*B698))</f>
        <v>#DIV/0!</v>
      </c>
      <c r="J699" s="29" t="e">
        <f>IF(C698=1,IF(D698="BUY",E698+(ROUND(F698*J698/B698,0)*B698),E698-(ROUND(F698*J698/B698,0)*B698)),IF(D698="BUY",E698-(ROUND(F698*J698/B698,0)*B698),E698+(ROUND(F698*J698/B698,0)*B698)))</f>
        <v>#DIV/0!</v>
      </c>
      <c r="K699" s="29" t="e">
        <f>IF(C698=1,IF(D698="BUY",E698-(ROUND(F698*K698/B698,0)*B698),E698+(ROUND(F698*K698/B698,0)*B698)),IF(D698="BUY",E698-(ROUND(F698*K698/B698,0)*B698),E698+(ROUND(F698*K698/B698,0)*B698)))</f>
        <v>#DIV/0!</v>
      </c>
      <c r="L699" s="29" t="e">
        <f t="shared" ref="L699" si="1043">IF(D699="BUY",I699+(R699*B699),I699-(R699*B699))</f>
        <v>#DIV/0!</v>
      </c>
      <c r="M699" s="29" t="e">
        <f>IF(D698="BUY",E698+(ROUND(F698*M698/B698,0)*B698),E698-(ROUND(F698*M698/B698,0)*B698))</f>
        <v>#DIV/0!</v>
      </c>
      <c r="N699" s="29" t="e">
        <f>IF(D698="BUY",E698-(ROUND(F698*N698/B698,0)*B698),E698+(ROUND(F698*N698/B698,0)*B698))</f>
        <v>#DIV/0!</v>
      </c>
      <c r="O699" s="31" t="e">
        <f>IF(D699="BUY",N699-VLOOKUP(A699,Symbols!A$1:D$1000,4,FALSE),N699+VLOOKUP(A699,Symbols!A$1:D$1000,4,FALSE))</f>
        <v>#DIV/0!</v>
      </c>
      <c r="P699" s="29">
        <f>P698</f>
        <v>0</v>
      </c>
      <c r="Q699" s="29">
        <f>Q698</f>
        <v>0</v>
      </c>
      <c r="R699" s="29">
        <f>R698</f>
        <v>0</v>
      </c>
      <c r="S699" s="29">
        <f>S698</f>
        <v>0</v>
      </c>
      <c r="T699" s="29">
        <f>T698</f>
        <v>0</v>
      </c>
      <c r="U699" s="29" t="e">
        <f>DATEDIF(DATE(1970,1,1),U698,"D")*86400</f>
        <v>#NUM!</v>
      </c>
      <c r="V699" s="29">
        <f>HOUR(V698)*3600+MINUTE(V698)*60+SECOND(V698)</f>
        <v>0</v>
      </c>
      <c r="W699" s="29" t="e">
        <f>DATEDIF(DATE(1970,1,1),W698,"D")*86400</f>
        <v>#NUM!</v>
      </c>
      <c r="X699" s="29">
        <f>HOUR(X698)*3600+MINUTE(X698)*60+SECOND(X698)</f>
        <v>0</v>
      </c>
      <c r="Y699" s="31">
        <f>(Y698*B699)</f>
        <v>0</v>
      </c>
      <c r="Z699" s="29">
        <f>Z698</f>
        <v>0</v>
      </c>
      <c r="AA699" s="29" t="e">
        <f>DATEDIF(DATE(1970,1,1),AA698,"D")*86400</f>
        <v>#NUM!</v>
      </c>
      <c r="AB699" s="29">
        <f>HOUR(AB698)*3600+MINUTE(AB698)*60+SECOND(AB698)</f>
        <v>0</v>
      </c>
      <c r="AC699" s="29">
        <f>AC698</f>
        <v>0</v>
      </c>
    </row>
    <row r="700" spans="1:29">
      <c r="A700" s="23">
        <f>Parameters!A351</f>
        <v>0</v>
      </c>
      <c r="B700" s="23">
        <f>Parameters!B351</f>
        <v>0</v>
      </c>
      <c r="C700" s="24">
        <f>Parameters!C351</f>
        <v>0</v>
      </c>
      <c r="D700" s="24">
        <f>Parameters!D351</f>
        <v>0</v>
      </c>
      <c r="E700" s="23">
        <f>Parameters!E351</f>
        <v>0</v>
      </c>
      <c r="F700" s="23">
        <f>Parameters!F351</f>
        <v>0</v>
      </c>
      <c r="G700" s="25">
        <f>Parameters!G351</f>
        <v>0</v>
      </c>
      <c r="H700" s="25">
        <f>Parameters!H351</f>
        <v>0</v>
      </c>
      <c r="I700" s="25">
        <f>Parameters!I351</f>
        <v>0</v>
      </c>
      <c r="J700" s="25">
        <f>Parameters!J351</f>
        <v>0</v>
      </c>
      <c r="K700" s="25">
        <f>Parameters!K351</f>
        <v>0</v>
      </c>
      <c r="L700" s="26" t="e">
        <f t="shared" ref="L700" si="1044">L701</f>
        <v>#DIV/0!</v>
      </c>
      <c r="M700" s="25">
        <f>Parameters!L351</f>
        <v>0</v>
      </c>
      <c r="N700" s="25">
        <f>Parameters!M351</f>
        <v>0</v>
      </c>
      <c r="O700" s="26" t="e">
        <f t="shared" ref="O700" si="1045">O701</f>
        <v>#DIV/0!</v>
      </c>
      <c r="P700" s="23">
        <f>Parameters!N351</f>
        <v>0</v>
      </c>
      <c r="Q700" s="23">
        <f>Parameters!O351</f>
        <v>0</v>
      </c>
      <c r="R700" s="23">
        <f>Parameters!P351</f>
        <v>0</v>
      </c>
      <c r="S700" s="23">
        <f>Parameters!Q351</f>
        <v>0</v>
      </c>
      <c r="T700" s="23">
        <f>Parameters!R351</f>
        <v>0</v>
      </c>
      <c r="U700" s="27">
        <f>Parameters!S351</f>
        <v>0</v>
      </c>
      <c r="V700" s="28">
        <f>Parameters!T351</f>
        <v>0</v>
      </c>
      <c r="W700" s="27">
        <f>Parameters!U351</f>
        <v>0</v>
      </c>
      <c r="X700" s="28">
        <f>Parameters!V351</f>
        <v>0</v>
      </c>
      <c r="Y700" s="25">
        <f>Parameters!W351</f>
        <v>0</v>
      </c>
      <c r="Z700" s="23">
        <f>Parameters!X351</f>
        <v>0</v>
      </c>
      <c r="AA700" s="27">
        <f>Parameters!Y351</f>
        <v>0</v>
      </c>
      <c r="AB700" s="28">
        <f>Parameters!Z351</f>
        <v>0</v>
      </c>
      <c r="AC700" s="23">
        <f>Parameters!AA351</f>
        <v>0</v>
      </c>
    </row>
    <row r="701" spans="1:29">
      <c r="A701" s="29" t="str">
        <f>UPPER(A700)</f>
        <v>0</v>
      </c>
      <c r="B701" s="29">
        <f>B700</f>
        <v>0</v>
      </c>
      <c r="C701" s="30">
        <f>C700</f>
        <v>0</v>
      </c>
      <c r="D701" s="30">
        <f>D700</f>
        <v>0</v>
      </c>
      <c r="E701" s="29">
        <f>E700</f>
        <v>0</v>
      </c>
      <c r="F701" s="29">
        <f>F700</f>
        <v>0</v>
      </c>
      <c r="G701" s="29" t="e">
        <f>IF(C700=1,IF(D700="BUY",E700+(ROUND(F700*G700/B700,0)*B700),E700-(ROUND(F700*G700/B700,0)*B700)),IF(D700="BUY",E700-(ROUND(F700*G700/B700,0)*B700),E700+(ROUND(F700*G700/B700,0)*B700)))</f>
        <v>#DIV/0!</v>
      </c>
      <c r="H701" s="29" t="e">
        <f>IF(C700=1,IF(D700="BUY",G701-(ROUND(F700*H700/B700,0)*B700),G701+(ROUND(F700*H700/B700,0)*B700)),IF(D700="BUY",G701+(ROUND(F700*H700/B700,0)*B700),G701-(ROUND(F700*H700/B700,0)*B700)))</f>
        <v>#DIV/0!</v>
      </c>
      <c r="I701" s="29" t="e">
        <f>IF(D700="BUY",G701+(ROUND(F700*I700/(B700*100),0)*B700),G701-(ROUND(F700*I700/(B700*100),0)*B700))</f>
        <v>#DIV/0!</v>
      </c>
      <c r="J701" s="29" t="e">
        <f>IF(C700=1,IF(D700="BUY",E700+(ROUND(F700*J700/B700,0)*B700),E700-(ROUND(F700*J700/B700,0)*B700)),IF(D700="BUY",E700-(ROUND(F700*J700/B700,0)*B700),E700+(ROUND(F700*J700/B700,0)*B700)))</f>
        <v>#DIV/0!</v>
      </c>
      <c r="K701" s="29" t="e">
        <f>IF(C700=1,IF(D700="BUY",E700-(ROUND(F700*K700/B700,0)*B700),E700+(ROUND(F700*K700/B700,0)*B700)),IF(D700="BUY",E700-(ROUND(F700*K700/B700,0)*B700),E700+(ROUND(F700*K700/B700,0)*B700)))</f>
        <v>#DIV/0!</v>
      </c>
      <c r="L701" s="29" t="e">
        <f t="shared" ref="L701" si="1046">IF(D701="BUY",I701+(R701*B701),I701-(R701*B701))</f>
        <v>#DIV/0!</v>
      </c>
      <c r="M701" s="29" t="e">
        <f>IF(D700="BUY",E700+(ROUND(F700*M700/B700,0)*B700),E700-(ROUND(F700*M700/B700,0)*B700))</f>
        <v>#DIV/0!</v>
      </c>
      <c r="N701" s="29" t="e">
        <f>IF(D700="BUY",E700-(ROUND(F700*N700/B700,0)*B700),E700+(ROUND(F700*N700/B700,0)*B700))</f>
        <v>#DIV/0!</v>
      </c>
      <c r="O701" s="31" t="e">
        <f>IF(D701="BUY",N701-VLOOKUP(A701,Symbols!A$1:D$1000,4,FALSE),N701+VLOOKUP(A701,Symbols!A$1:D$1000,4,FALSE))</f>
        <v>#DIV/0!</v>
      </c>
      <c r="P701" s="29">
        <f>P700</f>
        <v>0</v>
      </c>
      <c r="Q701" s="29">
        <f>Q700</f>
        <v>0</v>
      </c>
      <c r="R701" s="29">
        <f>R700</f>
        <v>0</v>
      </c>
      <c r="S701" s="29">
        <f>S700</f>
        <v>0</v>
      </c>
      <c r="T701" s="29">
        <f>T700</f>
        <v>0</v>
      </c>
      <c r="U701" s="29" t="e">
        <f>DATEDIF(DATE(1970,1,1),U700,"D")*86400</f>
        <v>#NUM!</v>
      </c>
      <c r="V701" s="29">
        <f>HOUR(V700)*3600+MINUTE(V700)*60+SECOND(V700)</f>
        <v>0</v>
      </c>
      <c r="W701" s="29" t="e">
        <f>DATEDIF(DATE(1970,1,1),W700,"D")*86400</f>
        <v>#NUM!</v>
      </c>
      <c r="X701" s="29">
        <f>HOUR(X700)*3600+MINUTE(X700)*60+SECOND(X700)</f>
        <v>0</v>
      </c>
      <c r="Y701" s="31">
        <f>(Y700*B701)</f>
        <v>0</v>
      </c>
      <c r="Z701" s="29">
        <f>Z700</f>
        <v>0</v>
      </c>
      <c r="AA701" s="29" t="e">
        <f>DATEDIF(DATE(1970,1,1),AA700,"D")*86400</f>
        <v>#NUM!</v>
      </c>
      <c r="AB701" s="29">
        <f>HOUR(AB700)*3600+MINUTE(AB700)*60+SECOND(AB700)</f>
        <v>0</v>
      </c>
      <c r="AC701" s="29">
        <f>AC700</f>
        <v>0</v>
      </c>
    </row>
    <row r="702" spans="1:29">
      <c r="A702" s="23">
        <f>Parameters!A352</f>
        <v>0</v>
      </c>
      <c r="B702" s="23">
        <f>Parameters!B352</f>
        <v>0</v>
      </c>
      <c r="C702" s="24">
        <f>Parameters!C352</f>
        <v>0</v>
      </c>
      <c r="D702" s="24">
        <f>Parameters!D352</f>
        <v>0</v>
      </c>
      <c r="E702" s="23">
        <f>Parameters!E352</f>
        <v>0</v>
      </c>
      <c r="F702" s="23">
        <f>Parameters!F352</f>
        <v>0</v>
      </c>
      <c r="G702" s="25">
        <f>Parameters!G352</f>
        <v>0</v>
      </c>
      <c r="H702" s="25">
        <f>Parameters!H352</f>
        <v>0</v>
      </c>
      <c r="I702" s="25">
        <f>Parameters!I352</f>
        <v>0</v>
      </c>
      <c r="J702" s="25">
        <f>Parameters!J352</f>
        <v>0</v>
      </c>
      <c r="K702" s="25">
        <f>Parameters!K352</f>
        <v>0</v>
      </c>
      <c r="L702" s="26" t="e">
        <f t="shared" ref="L702" si="1047">L703</f>
        <v>#DIV/0!</v>
      </c>
      <c r="M702" s="25">
        <f>Parameters!L352</f>
        <v>0</v>
      </c>
      <c r="N702" s="25">
        <f>Parameters!M352</f>
        <v>0</v>
      </c>
      <c r="O702" s="26" t="e">
        <f t="shared" ref="O702" si="1048">O703</f>
        <v>#DIV/0!</v>
      </c>
      <c r="P702" s="23">
        <f>Parameters!N352</f>
        <v>0</v>
      </c>
      <c r="Q702" s="23">
        <f>Parameters!O352</f>
        <v>0</v>
      </c>
      <c r="R702" s="23">
        <f>Parameters!P352</f>
        <v>0</v>
      </c>
      <c r="S702" s="23">
        <f>Parameters!Q352</f>
        <v>0</v>
      </c>
      <c r="T702" s="23">
        <f>Parameters!R352</f>
        <v>0</v>
      </c>
      <c r="U702" s="27">
        <f>Parameters!S352</f>
        <v>0</v>
      </c>
      <c r="V702" s="28">
        <f>Parameters!T352</f>
        <v>0</v>
      </c>
      <c r="W702" s="27">
        <f>Parameters!U352</f>
        <v>0</v>
      </c>
      <c r="X702" s="28">
        <f>Parameters!V352</f>
        <v>0</v>
      </c>
      <c r="Y702" s="25">
        <f>Parameters!W352</f>
        <v>0</v>
      </c>
      <c r="Z702" s="23">
        <f>Parameters!X352</f>
        <v>0</v>
      </c>
      <c r="AA702" s="27">
        <f>Parameters!Y352</f>
        <v>0</v>
      </c>
      <c r="AB702" s="28">
        <f>Parameters!Z352</f>
        <v>0</v>
      </c>
      <c r="AC702" s="23">
        <f>Parameters!AA352</f>
        <v>0</v>
      </c>
    </row>
    <row r="703" spans="1:29">
      <c r="A703" s="29" t="str">
        <f>UPPER(A702)</f>
        <v>0</v>
      </c>
      <c r="B703" s="29">
        <f>B702</f>
        <v>0</v>
      </c>
      <c r="C703" s="30">
        <f>C702</f>
        <v>0</v>
      </c>
      <c r="D703" s="30">
        <f>D702</f>
        <v>0</v>
      </c>
      <c r="E703" s="29">
        <f>E702</f>
        <v>0</v>
      </c>
      <c r="F703" s="29">
        <f>F702</f>
        <v>0</v>
      </c>
      <c r="G703" s="29" t="e">
        <f>IF(C702=1,IF(D702="BUY",E702+(ROUND(F702*G702/B702,0)*B702),E702-(ROUND(F702*G702/B702,0)*B702)),IF(D702="BUY",E702-(ROUND(F702*G702/B702,0)*B702),E702+(ROUND(F702*G702/B702,0)*B702)))</f>
        <v>#DIV/0!</v>
      </c>
      <c r="H703" s="29" t="e">
        <f>IF(C702=1,IF(D702="BUY",G703-(ROUND(F702*H702/B702,0)*B702),G703+(ROUND(F702*H702/B702,0)*B702)),IF(D702="BUY",G703+(ROUND(F702*H702/B702,0)*B702),G703-(ROUND(F702*H702/B702,0)*B702)))</f>
        <v>#DIV/0!</v>
      </c>
      <c r="I703" s="29" t="e">
        <f>IF(D702="BUY",G703+(ROUND(F702*I702/(B702*100),0)*B702),G703-(ROUND(F702*I702/(B702*100),0)*B702))</f>
        <v>#DIV/0!</v>
      </c>
      <c r="J703" s="29" t="e">
        <f>IF(C702=1,IF(D702="BUY",E702+(ROUND(F702*J702/B702,0)*B702),E702-(ROUND(F702*J702/B702,0)*B702)),IF(D702="BUY",E702-(ROUND(F702*J702/B702,0)*B702),E702+(ROUND(F702*J702/B702,0)*B702)))</f>
        <v>#DIV/0!</v>
      </c>
      <c r="K703" s="29" t="e">
        <f>IF(C702=1,IF(D702="BUY",E702-(ROUND(F702*K702/B702,0)*B702),E702+(ROUND(F702*K702/B702,0)*B702)),IF(D702="BUY",E702-(ROUND(F702*K702/B702,0)*B702),E702+(ROUND(F702*K702/B702,0)*B702)))</f>
        <v>#DIV/0!</v>
      </c>
      <c r="L703" s="29" t="e">
        <f t="shared" ref="L703" si="1049">IF(D703="BUY",I703+(R703*B703),I703-(R703*B703))</f>
        <v>#DIV/0!</v>
      </c>
      <c r="M703" s="29" t="e">
        <f>IF(D702="BUY",E702+(ROUND(F702*M702/B702,0)*B702),E702-(ROUND(F702*M702/B702,0)*B702))</f>
        <v>#DIV/0!</v>
      </c>
      <c r="N703" s="29" t="e">
        <f>IF(D702="BUY",E702-(ROUND(F702*N702/B702,0)*B702),E702+(ROUND(F702*N702/B702,0)*B702))</f>
        <v>#DIV/0!</v>
      </c>
      <c r="O703" s="31" t="e">
        <f>IF(D703="BUY",N703-VLOOKUP(A703,Symbols!A$1:D$1000,4,FALSE),N703+VLOOKUP(A703,Symbols!A$1:D$1000,4,FALSE))</f>
        <v>#DIV/0!</v>
      </c>
      <c r="P703" s="29">
        <f>P702</f>
        <v>0</v>
      </c>
      <c r="Q703" s="29">
        <f>Q702</f>
        <v>0</v>
      </c>
      <c r="R703" s="29">
        <f>R702</f>
        <v>0</v>
      </c>
      <c r="S703" s="29">
        <f>S702</f>
        <v>0</v>
      </c>
      <c r="T703" s="29">
        <f>T702</f>
        <v>0</v>
      </c>
      <c r="U703" s="29" t="e">
        <f>DATEDIF(DATE(1970,1,1),U702,"D")*86400</f>
        <v>#NUM!</v>
      </c>
      <c r="V703" s="29">
        <f>HOUR(V702)*3600+MINUTE(V702)*60+SECOND(V702)</f>
        <v>0</v>
      </c>
      <c r="W703" s="29" t="e">
        <f>DATEDIF(DATE(1970,1,1),W702,"D")*86400</f>
        <v>#NUM!</v>
      </c>
      <c r="X703" s="29">
        <f>HOUR(X702)*3600+MINUTE(X702)*60+SECOND(X702)</f>
        <v>0</v>
      </c>
      <c r="Y703" s="31">
        <f>(Y702*B703)</f>
        <v>0</v>
      </c>
      <c r="Z703" s="29">
        <f>Z702</f>
        <v>0</v>
      </c>
      <c r="AA703" s="29" t="e">
        <f>DATEDIF(DATE(1970,1,1),AA702,"D")*86400</f>
        <v>#NUM!</v>
      </c>
      <c r="AB703" s="29">
        <f>HOUR(AB702)*3600+MINUTE(AB702)*60+SECOND(AB702)</f>
        <v>0</v>
      </c>
      <c r="AC703" s="29">
        <f>AC702</f>
        <v>0</v>
      </c>
    </row>
    <row r="704" spans="1:29">
      <c r="A704" s="23">
        <f>Parameters!A353</f>
        <v>0</v>
      </c>
      <c r="B704" s="23">
        <f>Parameters!B353</f>
        <v>0</v>
      </c>
      <c r="C704" s="24">
        <f>Parameters!C353</f>
        <v>0</v>
      </c>
      <c r="D704" s="24">
        <f>Parameters!D353</f>
        <v>0</v>
      </c>
      <c r="E704" s="23">
        <f>Parameters!E353</f>
        <v>0</v>
      </c>
      <c r="F704" s="23">
        <f>Parameters!F353</f>
        <v>0</v>
      </c>
      <c r="G704" s="25">
        <f>Parameters!G353</f>
        <v>0</v>
      </c>
      <c r="H704" s="25">
        <f>Parameters!H353</f>
        <v>0</v>
      </c>
      <c r="I704" s="25">
        <f>Parameters!I353</f>
        <v>0</v>
      </c>
      <c r="J704" s="25">
        <f>Parameters!J353</f>
        <v>0</v>
      </c>
      <c r="K704" s="25">
        <f>Parameters!K353</f>
        <v>0</v>
      </c>
      <c r="L704" s="26" t="e">
        <f t="shared" ref="L704" si="1050">L705</f>
        <v>#DIV/0!</v>
      </c>
      <c r="M704" s="25">
        <f>Parameters!L353</f>
        <v>0</v>
      </c>
      <c r="N704" s="25">
        <f>Parameters!M353</f>
        <v>0</v>
      </c>
      <c r="O704" s="26" t="e">
        <f t="shared" ref="O704" si="1051">O705</f>
        <v>#DIV/0!</v>
      </c>
      <c r="P704" s="23">
        <f>Parameters!N353</f>
        <v>0</v>
      </c>
      <c r="Q704" s="23">
        <f>Parameters!O353</f>
        <v>0</v>
      </c>
      <c r="R704" s="23">
        <f>Parameters!P353</f>
        <v>0</v>
      </c>
      <c r="S704" s="23">
        <f>Parameters!Q353</f>
        <v>0</v>
      </c>
      <c r="T704" s="23">
        <f>Parameters!R353</f>
        <v>0</v>
      </c>
      <c r="U704" s="27">
        <f>Parameters!S353</f>
        <v>0</v>
      </c>
      <c r="V704" s="28">
        <f>Parameters!T353</f>
        <v>0</v>
      </c>
      <c r="W704" s="27">
        <f>Parameters!U353</f>
        <v>0</v>
      </c>
      <c r="X704" s="28">
        <f>Parameters!V353</f>
        <v>0</v>
      </c>
      <c r="Y704" s="25">
        <f>Parameters!W353</f>
        <v>0</v>
      </c>
      <c r="Z704" s="23">
        <f>Parameters!X353</f>
        <v>0</v>
      </c>
      <c r="AA704" s="27">
        <f>Parameters!Y353</f>
        <v>0</v>
      </c>
      <c r="AB704" s="28">
        <f>Parameters!Z353</f>
        <v>0</v>
      </c>
      <c r="AC704" s="23">
        <f>Parameters!AA353</f>
        <v>0</v>
      </c>
    </row>
    <row r="705" spans="1:29">
      <c r="A705" s="29" t="str">
        <f>UPPER(A704)</f>
        <v>0</v>
      </c>
      <c r="B705" s="29">
        <f>B704</f>
        <v>0</v>
      </c>
      <c r="C705" s="30">
        <f>C704</f>
        <v>0</v>
      </c>
      <c r="D705" s="30">
        <f>D704</f>
        <v>0</v>
      </c>
      <c r="E705" s="29">
        <f>E704</f>
        <v>0</v>
      </c>
      <c r="F705" s="29">
        <f>F704</f>
        <v>0</v>
      </c>
      <c r="G705" s="29" t="e">
        <f>IF(C704=1,IF(D704="BUY",E704+(ROUND(F704*G704/B704,0)*B704),E704-(ROUND(F704*G704/B704,0)*B704)),IF(D704="BUY",E704-(ROUND(F704*G704/B704,0)*B704),E704+(ROUND(F704*G704/B704,0)*B704)))</f>
        <v>#DIV/0!</v>
      </c>
      <c r="H705" s="29" t="e">
        <f>IF(C704=1,IF(D704="BUY",G705-(ROUND(F704*H704/B704,0)*B704),G705+(ROUND(F704*H704/B704,0)*B704)),IF(D704="BUY",G705+(ROUND(F704*H704/B704,0)*B704),G705-(ROUND(F704*H704/B704,0)*B704)))</f>
        <v>#DIV/0!</v>
      </c>
      <c r="I705" s="29" t="e">
        <f>IF(D704="BUY",G705+(ROUND(F704*I704/(B704*100),0)*B704),G705-(ROUND(F704*I704/(B704*100),0)*B704))</f>
        <v>#DIV/0!</v>
      </c>
      <c r="J705" s="29" t="e">
        <f>IF(C704=1,IF(D704="BUY",E704+(ROUND(F704*J704/B704,0)*B704),E704-(ROUND(F704*J704/B704,0)*B704)),IF(D704="BUY",E704-(ROUND(F704*J704/B704,0)*B704),E704+(ROUND(F704*J704/B704,0)*B704)))</f>
        <v>#DIV/0!</v>
      </c>
      <c r="K705" s="29" t="e">
        <f>IF(C704=1,IF(D704="BUY",E704-(ROUND(F704*K704/B704,0)*B704),E704+(ROUND(F704*K704/B704,0)*B704)),IF(D704="BUY",E704-(ROUND(F704*K704/B704,0)*B704),E704+(ROUND(F704*K704/B704,0)*B704)))</f>
        <v>#DIV/0!</v>
      </c>
      <c r="L705" s="29" t="e">
        <f t="shared" ref="L705" si="1052">IF(D705="BUY",I705+(R705*B705),I705-(R705*B705))</f>
        <v>#DIV/0!</v>
      </c>
      <c r="M705" s="29" t="e">
        <f>IF(D704="BUY",E704+(ROUND(F704*M704/B704,0)*B704),E704-(ROUND(F704*M704/B704,0)*B704))</f>
        <v>#DIV/0!</v>
      </c>
      <c r="N705" s="29" t="e">
        <f>IF(D704="BUY",E704-(ROUND(F704*N704/B704,0)*B704),E704+(ROUND(F704*N704/B704,0)*B704))</f>
        <v>#DIV/0!</v>
      </c>
      <c r="O705" s="31" t="e">
        <f>IF(D705="BUY",N705-VLOOKUP(A705,Symbols!A$1:D$1000,4,FALSE),N705+VLOOKUP(A705,Symbols!A$1:D$1000,4,FALSE))</f>
        <v>#DIV/0!</v>
      </c>
      <c r="P705" s="29">
        <f>P704</f>
        <v>0</v>
      </c>
      <c r="Q705" s="29">
        <f>Q704</f>
        <v>0</v>
      </c>
      <c r="R705" s="29">
        <f>R704</f>
        <v>0</v>
      </c>
      <c r="S705" s="29">
        <f>S704</f>
        <v>0</v>
      </c>
      <c r="T705" s="29">
        <f>T704</f>
        <v>0</v>
      </c>
      <c r="U705" s="29" t="e">
        <f>DATEDIF(DATE(1970,1,1),U704,"D")*86400</f>
        <v>#NUM!</v>
      </c>
      <c r="V705" s="29">
        <f>HOUR(V704)*3600+MINUTE(V704)*60+SECOND(V704)</f>
        <v>0</v>
      </c>
      <c r="W705" s="29" t="e">
        <f>DATEDIF(DATE(1970,1,1),W704,"D")*86400</f>
        <v>#NUM!</v>
      </c>
      <c r="X705" s="29">
        <f>HOUR(X704)*3600+MINUTE(X704)*60+SECOND(X704)</f>
        <v>0</v>
      </c>
      <c r="Y705" s="31">
        <f>(Y704*B705)</f>
        <v>0</v>
      </c>
      <c r="Z705" s="29">
        <f>Z704</f>
        <v>0</v>
      </c>
      <c r="AA705" s="29" t="e">
        <f>DATEDIF(DATE(1970,1,1),AA704,"D")*86400</f>
        <v>#NUM!</v>
      </c>
      <c r="AB705" s="29">
        <f>HOUR(AB704)*3600+MINUTE(AB704)*60+SECOND(AB704)</f>
        <v>0</v>
      </c>
      <c r="AC705" s="29">
        <f>AC704</f>
        <v>0</v>
      </c>
    </row>
    <row r="706" spans="1:29">
      <c r="A706" s="23">
        <f>Parameters!A354</f>
        <v>0</v>
      </c>
      <c r="B706" s="23">
        <f>Parameters!B354</f>
        <v>0</v>
      </c>
      <c r="C706" s="24">
        <f>Parameters!C354</f>
        <v>0</v>
      </c>
      <c r="D706" s="24">
        <f>Parameters!D354</f>
        <v>0</v>
      </c>
      <c r="E706" s="23">
        <f>Parameters!E354</f>
        <v>0</v>
      </c>
      <c r="F706" s="23">
        <f>Parameters!F354</f>
        <v>0</v>
      </c>
      <c r="G706" s="25">
        <f>Parameters!G354</f>
        <v>0</v>
      </c>
      <c r="H706" s="25">
        <f>Parameters!H354</f>
        <v>0</v>
      </c>
      <c r="I706" s="25">
        <f>Parameters!I354</f>
        <v>0</v>
      </c>
      <c r="J706" s="25">
        <f>Parameters!J354</f>
        <v>0</v>
      </c>
      <c r="K706" s="25">
        <f>Parameters!K354</f>
        <v>0</v>
      </c>
      <c r="L706" s="26" t="e">
        <f t="shared" ref="L706" si="1053">L707</f>
        <v>#DIV/0!</v>
      </c>
      <c r="M706" s="25">
        <f>Parameters!L354</f>
        <v>0</v>
      </c>
      <c r="N706" s="25">
        <f>Parameters!M354</f>
        <v>0</v>
      </c>
      <c r="O706" s="26" t="e">
        <f t="shared" ref="O706" si="1054">O707</f>
        <v>#DIV/0!</v>
      </c>
      <c r="P706" s="23">
        <f>Parameters!N354</f>
        <v>0</v>
      </c>
      <c r="Q706" s="23">
        <f>Parameters!O354</f>
        <v>0</v>
      </c>
      <c r="R706" s="23">
        <f>Parameters!P354</f>
        <v>0</v>
      </c>
      <c r="S706" s="23">
        <f>Parameters!Q354</f>
        <v>0</v>
      </c>
      <c r="T706" s="23">
        <f>Parameters!R354</f>
        <v>0</v>
      </c>
      <c r="U706" s="27">
        <f>Parameters!S354</f>
        <v>0</v>
      </c>
      <c r="V706" s="28">
        <f>Parameters!T354</f>
        <v>0</v>
      </c>
      <c r="W706" s="27">
        <f>Parameters!U354</f>
        <v>0</v>
      </c>
      <c r="X706" s="28">
        <f>Parameters!V354</f>
        <v>0</v>
      </c>
      <c r="Y706" s="25">
        <f>Parameters!W354</f>
        <v>0</v>
      </c>
      <c r="Z706" s="23">
        <f>Parameters!X354</f>
        <v>0</v>
      </c>
      <c r="AA706" s="27">
        <f>Parameters!Y354</f>
        <v>0</v>
      </c>
      <c r="AB706" s="28">
        <f>Parameters!Z354</f>
        <v>0</v>
      </c>
      <c r="AC706" s="23">
        <f>Parameters!AA354</f>
        <v>0</v>
      </c>
    </row>
    <row r="707" spans="1:29">
      <c r="A707" s="29" t="str">
        <f>UPPER(A706)</f>
        <v>0</v>
      </c>
      <c r="B707" s="29">
        <f>B706</f>
        <v>0</v>
      </c>
      <c r="C707" s="30">
        <f>C706</f>
        <v>0</v>
      </c>
      <c r="D707" s="30">
        <f>D706</f>
        <v>0</v>
      </c>
      <c r="E707" s="29">
        <f>E706</f>
        <v>0</v>
      </c>
      <c r="F707" s="29">
        <f>F706</f>
        <v>0</v>
      </c>
      <c r="G707" s="29" t="e">
        <f>IF(C706=1,IF(D706="BUY",E706+(ROUND(F706*G706/B706,0)*B706),E706-(ROUND(F706*G706/B706,0)*B706)),IF(D706="BUY",E706-(ROUND(F706*G706/B706,0)*B706),E706+(ROUND(F706*G706/B706,0)*B706)))</f>
        <v>#DIV/0!</v>
      </c>
      <c r="H707" s="29" t="e">
        <f>IF(C706=1,IF(D706="BUY",G707-(ROUND(F706*H706/B706,0)*B706),G707+(ROUND(F706*H706/B706,0)*B706)),IF(D706="BUY",G707+(ROUND(F706*H706/B706,0)*B706),G707-(ROUND(F706*H706/B706,0)*B706)))</f>
        <v>#DIV/0!</v>
      </c>
      <c r="I707" s="29" t="e">
        <f>IF(D706="BUY",G707+(ROUND(F706*I706/(B706*100),0)*B706),G707-(ROUND(F706*I706/(B706*100),0)*B706))</f>
        <v>#DIV/0!</v>
      </c>
      <c r="J707" s="29" t="e">
        <f>IF(C706=1,IF(D706="BUY",E706+(ROUND(F706*J706/B706,0)*B706),E706-(ROUND(F706*J706/B706,0)*B706)),IF(D706="BUY",E706-(ROUND(F706*J706/B706,0)*B706),E706+(ROUND(F706*J706/B706,0)*B706)))</f>
        <v>#DIV/0!</v>
      </c>
      <c r="K707" s="29" t="e">
        <f>IF(C706=1,IF(D706="BUY",E706-(ROUND(F706*K706/B706,0)*B706),E706+(ROUND(F706*K706/B706,0)*B706)),IF(D706="BUY",E706-(ROUND(F706*K706/B706,0)*B706),E706+(ROUND(F706*K706/B706,0)*B706)))</f>
        <v>#DIV/0!</v>
      </c>
      <c r="L707" s="29" t="e">
        <f t="shared" ref="L707" si="1055">IF(D707="BUY",I707+(R707*B707),I707-(R707*B707))</f>
        <v>#DIV/0!</v>
      </c>
      <c r="M707" s="29" t="e">
        <f>IF(D706="BUY",E706+(ROUND(F706*M706/B706,0)*B706),E706-(ROUND(F706*M706/B706,0)*B706))</f>
        <v>#DIV/0!</v>
      </c>
      <c r="N707" s="29" t="e">
        <f>IF(D706="BUY",E706-(ROUND(F706*N706/B706,0)*B706),E706+(ROUND(F706*N706/B706,0)*B706))</f>
        <v>#DIV/0!</v>
      </c>
      <c r="O707" s="31" t="e">
        <f>IF(D707="BUY",N707-VLOOKUP(A707,Symbols!A$1:D$1000,4,FALSE),N707+VLOOKUP(A707,Symbols!A$1:D$1000,4,FALSE))</f>
        <v>#DIV/0!</v>
      </c>
      <c r="P707" s="29">
        <f>P706</f>
        <v>0</v>
      </c>
      <c r="Q707" s="29">
        <f>Q706</f>
        <v>0</v>
      </c>
      <c r="R707" s="29">
        <f>R706</f>
        <v>0</v>
      </c>
      <c r="S707" s="29">
        <f>S706</f>
        <v>0</v>
      </c>
      <c r="T707" s="29">
        <f>T706</f>
        <v>0</v>
      </c>
      <c r="U707" s="29" t="e">
        <f>DATEDIF(DATE(1970,1,1),U706,"D")*86400</f>
        <v>#NUM!</v>
      </c>
      <c r="V707" s="29">
        <f>HOUR(V706)*3600+MINUTE(V706)*60+SECOND(V706)</f>
        <v>0</v>
      </c>
      <c r="W707" s="29" t="e">
        <f>DATEDIF(DATE(1970,1,1),W706,"D")*86400</f>
        <v>#NUM!</v>
      </c>
      <c r="X707" s="29">
        <f>HOUR(X706)*3600+MINUTE(X706)*60+SECOND(X706)</f>
        <v>0</v>
      </c>
      <c r="Y707" s="31">
        <f>(Y706*B707)</f>
        <v>0</v>
      </c>
      <c r="Z707" s="29">
        <f>Z706</f>
        <v>0</v>
      </c>
      <c r="AA707" s="29" t="e">
        <f>DATEDIF(DATE(1970,1,1),AA706,"D")*86400</f>
        <v>#NUM!</v>
      </c>
      <c r="AB707" s="29">
        <f>HOUR(AB706)*3600+MINUTE(AB706)*60+SECOND(AB706)</f>
        <v>0</v>
      </c>
      <c r="AC707" s="29">
        <f>AC706</f>
        <v>0</v>
      </c>
    </row>
    <row r="708" spans="1:29">
      <c r="A708" s="23">
        <f>Parameters!A355</f>
        <v>0</v>
      </c>
      <c r="B708" s="23">
        <f>Parameters!B355</f>
        <v>0</v>
      </c>
      <c r="C708" s="24">
        <f>Parameters!C355</f>
        <v>0</v>
      </c>
      <c r="D708" s="24">
        <f>Parameters!D355</f>
        <v>0</v>
      </c>
      <c r="E708" s="23">
        <f>Parameters!E355</f>
        <v>0</v>
      </c>
      <c r="F708" s="23">
        <f>Parameters!F355</f>
        <v>0</v>
      </c>
      <c r="G708" s="25">
        <f>Parameters!G355</f>
        <v>0</v>
      </c>
      <c r="H708" s="25">
        <f>Parameters!H355</f>
        <v>0</v>
      </c>
      <c r="I708" s="25">
        <f>Parameters!I355</f>
        <v>0</v>
      </c>
      <c r="J708" s="25">
        <f>Parameters!J355</f>
        <v>0</v>
      </c>
      <c r="K708" s="25">
        <f>Parameters!K355</f>
        <v>0</v>
      </c>
      <c r="L708" s="26" t="e">
        <f t="shared" ref="L708" si="1056">L709</f>
        <v>#DIV/0!</v>
      </c>
      <c r="M708" s="25">
        <f>Parameters!L355</f>
        <v>0</v>
      </c>
      <c r="N708" s="25">
        <f>Parameters!M355</f>
        <v>0</v>
      </c>
      <c r="O708" s="26" t="e">
        <f t="shared" ref="O708" si="1057">O709</f>
        <v>#DIV/0!</v>
      </c>
      <c r="P708" s="23">
        <f>Parameters!N355</f>
        <v>0</v>
      </c>
      <c r="Q708" s="23">
        <f>Parameters!O355</f>
        <v>0</v>
      </c>
      <c r="R708" s="23">
        <f>Parameters!P355</f>
        <v>0</v>
      </c>
      <c r="S708" s="23">
        <f>Parameters!Q355</f>
        <v>0</v>
      </c>
      <c r="T708" s="23">
        <f>Parameters!R355</f>
        <v>0</v>
      </c>
      <c r="U708" s="27">
        <f>Parameters!S355</f>
        <v>0</v>
      </c>
      <c r="V708" s="28">
        <f>Parameters!T355</f>
        <v>0</v>
      </c>
      <c r="W708" s="27">
        <f>Parameters!U355</f>
        <v>0</v>
      </c>
      <c r="X708" s="28">
        <f>Parameters!V355</f>
        <v>0</v>
      </c>
      <c r="Y708" s="25">
        <f>Parameters!W355</f>
        <v>0</v>
      </c>
      <c r="Z708" s="23">
        <f>Parameters!X355</f>
        <v>0</v>
      </c>
      <c r="AA708" s="27">
        <f>Parameters!Y355</f>
        <v>0</v>
      </c>
      <c r="AB708" s="28">
        <f>Parameters!Z355</f>
        <v>0</v>
      </c>
      <c r="AC708" s="23">
        <f>Parameters!AA355</f>
        <v>0</v>
      </c>
    </row>
    <row r="709" spans="1:29">
      <c r="A709" s="29" t="str">
        <f>UPPER(A708)</f>
        <v>0</v>
      </c>
      <c r="B709" s="29">
        <f>B708</f>
        <v>0</v>
      </c>
      <c r="C709" s="30">
        <f>C708</f>
        <v>0</v>
      </c>
      <c r="D709" s="30">
        <f>D708</f>
        <v>0</v>
      </c>
      <c r="E709" s="29">
        <f>E708</f>
        <v>0</v>
      </c>
      <c r="F709" s="29">
        <f>F708</f>
        <v>0</v>
      </c>
      <c r="G709" s="29" t="e">
        <f>IF(C708=1,IF(D708="BUY",E708+(ROUND(F708*G708/B708,0)*B708),E708-(ROUND(F708*G708/B708,0)*B708)),IF(D708="BUY",E708-(ROUND(F708*G708/B708,0)*B708),E708+(ROUND(F708*G708/B708,0)*B708)))</f>
        <v>#DIV/0!</v>
      </c>
      <c r="H709" s="29" t="e">
        <f>IF(C708=1,IF(D708="BUY",G709-(ROUND(F708*H708/B708,0)*B708),G709+(ROUND(F708*H708/B708,0)*B708)),IF(D708="BUY",G709+(ROUND(F708*H708/B708,0)*B708),G709-(ROUND(F708*H708/B708,0)*B708)))</f>
        <v>#DIV/0!</v>
      </c>
      <c r="I709" s="29" t="e">
        <f>IF(D708="BUY",G709+(ROUND(F708*I708/(B708*100),0)*B708),G709-(ROUND(F708*I708/(B708*100),0)*B708))</f>
        <v>#DIV/0!</v>
      </c>
      <c r="J709" s="29" t="e">
        <f>IF(C708=1,IF(D708="BUY",E708+(ROUND(F708*J708/B708,0)*B708),E708-(ROUND(F708*J708/B708,0)*B708)),IF(D708="BUY",E708-(ROUND(F708*J708/B708,0)*B708),E708+(ROUND(F708*J708/B708,0)*B708)))</f>
        <v>#DIV/0!</v>
      </c>
      <c r="K709" s="29" t="e">
        <f>IF(C708=1,IF(D708="BUY",E708-(ROUND(F708*K708/B708,0)*B708),E708+(ROUND(F708*K708/B708,0)*B708)),IF(D708="BUY",E708-(ROUND(F708*K708/B708,0)*B708),E708+(ROUND(F708*K708/B708,0)*B708)))</f>
        <v>#DIV/0!</v>
      </c>
      <c r="L709" s="29" t="e">
        <f t="shared" ref="L709" si="1058">IF(D709="BUY",I709+(R709*B709),I709-(R709*B709))</f>
        <v>#DIV/0!</v>
      </c>
      <c r="M709" s="29" t="e">
        <f>IF(D708="BUY",E708+(ROUND(F708*M708/B708,0)*B708),E708-(ROUND(F708*M708/B708,0)*B708))</f>
        <v>#DIV/0!</v>
      </c>
      <c r="N709" s="29" t="e">
        <f>IF(D708="BUY",E708-(ROUND(F708*N708/B708,0)*B708),E708+(ROUND(F708*N708/B708,0)*B708))</f>
        <v>#DIV/0!</v>
      </c>
      <c r="O709" s="31" t="e">
        <f>IF(D709="BUY",N709-VLOOKUP(A709,Symbols!A$1:D$1000,4,FALSE),N709+VLOOKUP(A709,Symbols!A$1:D$1000,4,FALSE))</f>
        <v>#DIV/0!</v>
      </c>
      <c r="P709" s="29">
        <f>P708</f>
        <v>0</v>
      </c>
      <c r="Q709" s="29">
        <f>Q708</f>
        <v>0</v>
      </c>
      <c r="R709" s="29">
        <f>R708</f>
        <v>0</v>
      </c>
      <c r="S709" s="29">
        <f>S708</f>
        <v>0</v>
      </c>
      <c r="T709" s="29">
        <f>T708</f>
        <v>0</v>
      </c>
      <c r="U709" s="29" t="e">
        <f>DATEDIF(DATE(1970,1,1),U708,"D")*86400</f>
        <v>#NUM!</v>
      </c>
      <c r="V709" s="29">
        <f>HOUR(V708)*3600+MINUTE(V708)*60+SECOND(V708)</f>
        <v>0</v>
      </c>
      <c r="W709" s="29" t="e">
        <f>DATEDIF(DATE(1970,1,1),W708,"D")*86400</f>
        <v>#NUM!</v>
      </c>
      <c r="X709" s="29">
        <f>HOUR(X708)*3600+MINUTE(X708)*60+SECOND(X708)</f>
        <v>0</v>
      </c>
      <c r="Y709" s="31">
        <f>(Y708*B709)</f>
        <v>0</v>
      </c>
      <c r="Z709" s="29">
        <f>Z708</f>
        <v>0</v>
      </c>
      <c r="AA709" s="29" t="e">
        <f>DATEDIF(DATE(1970,1,1),AA708,"D")*86400</f>
        <v>#NUM!</v>
      </c>
      <c r="AB709" s="29">
        <f>HOUR(AB708)*3600+MINUTE(AB708)*60+SECOND(AB708)</f>
        <v>0</v>
      </c>
      <c r="AC709" s="29">
        <f>AC708</f>
        <v>0</v>
      </c>
    </row>
    <row r="710" spans="1:29">
      <c r="A710" s="23">
        <f>Parameters!A356</f>
        <v>0</v>
      </c>
      <c r="B710" s="23">
        <f>Parameters!B356</f>
        <v>0</v>
      </c>
      <c r="C710" s="24">
        <f>Parameters!C356</f>
        <v>0</v>
      </c>
      <c r="D710" s="24">
        <f>Parameters!D356</f>
        <v>0</v>
      </c>
      <c r="E710" s="23">
        <f>Parameters!E356</f>
        <v>0</v>
      </c>
      <c r="F710" s="23">
        <f>Parameters!F356</f>
        <v>0</v>
      </c>
      <c r="G710" s="25">
        <f>Parameters!G356</f>
        <v>0</v>
      </c>
      <c r="H710" s="25">
        <f>Parameters!H356</f>
        <v>0</v>
      </c>
      <c r="I710" s="25">
        <f>Parameters!I356</f>
        <v>0</v>
      </c>
      <c r="J710" s="25">
        <f>Parameters!J356</f>
        <v>0</v>
      </c>
      <c r="K710" s="25">
        <f>Parameters!K356</f>
        <v>0</v>
      </c>
      <c r="L710" s="26" t="e">
        <f t="shared" ref="L710" si="1059">L711</f>
        <v>#DIV/0!</v>
      </c>
      <c r="M710" s="25">
        <f>Parameters!L356</f>
        <v>0</v>
      </c>
      <c r="N710" s="25">
        <f>Parameters!M356</f>
        <v>0</v>
      </c>
      <c r="O710" s="26" t="e">
        <f t="shared" ref="O710" si="1060">O711</f>
        <v>#DIV/0!</v>
      </c>
      <c r="P710" s="23">
        <f>Parameters!N356</f>
        <v>0</v>
      </c>
      <c r="Q710" s="23">
        <f>Parameters!O356</f>
        <v>0</v>
      </c>
      <c r="R710" s="23">
        <f>Parameters!P356</f>
        <v>0</v>
      </c>
      <c r="S710" s="23">
        <f>Parameters!Q356</f>
        <v>0</v>
      </c>
      <c r="T710" s="23">
        <f>Parameters!R356</f>
        <v>0</v>
      </c>
      <c r="U710" s="27">
        <f>Parameters!S356</f>
        <v>0</v>
      </c>
      <c r="V710" s="28">
        <f>Parameters!T356</f>
        <v>0</v>
      </c>
      <c r="W710" s="27">
        <f>Parameters!U356</f>
        <v>0</v>
      </c>
      <c r="X710" s="28">
        <f>Parameters!V356</f>
        <v>0</v>
      </c>
      <c r="Y710" s="25">
        <f>Parameters!W356</f>
        <v>0</v>
      </c>
      <c r="Z710" s="23">
        <f>Parameters!X356</f>
        <v>0</v>
      </c>
      <c r="AA710" s="27">
        <f>Parameters!Y356</f>
        <v>0</v>
      </c>
      <c r="AB710" s="28">
        <f>Parameters!Z356</f>
        <v>0</v>
      </c>
      <c r="AC710" s="23">
        <f>Parameters!AA356</f>
        <v>0</v>
      </c>
    </row>
    <row r="711" spans="1:29">
      <c r="A711" s="29" t="str">
        <f>UPPER(A710)</f>
        <v>0</v>
      </c>
      <c r="B711" s="29">
        <f>B710</f>
        <v>0</v>
      </c>
      <c r="C711" s="30">
        <f>C710</f>
        <v>0</v>
      </c>
      <c r="D711" s="30">
        <f>D710</f>
        <v>0</v>
      </c>
      <c r="E711" s="29">
        <f>E710</f>
        <v>0</v>
      </c>
      <c r="F711" s="29">
        <f>F710</f>
        <v>0</v>
      </c>
      <c r="G711" s="29" t="e">
        <f>IF(C710=1,IF(D710="BUY",E710+(ROUND(F710*G710/B710,0)*B710),E710-(ROUND(F710*G710/B710,0)*B710)),IF(D710="BUY",E710-(ROUND(F710*G710/B710,0)*B710),E710+(ROUND(F710*G710/B710,0)*B710)))</f>
        <v>#DIV/0!</v>
      </c>
      <c r="H711" s="29" t="e">
        <f>IF(C710=1,IF(D710="BUY",G711-(ROUND(F710*H710/B710,0)*B710),G711+(ROUND(F710*H710/B710,0)*B710)),IF(D710="BUY",G711+(ROUND(F710*H710/B710,0)*B710),G711-(ROUND(F710*H710/B710,0)*B710)))</f>
        <v>#DIV/0!</v>
      </c>
      <c r="I711" s="29" t="e">
        <f>IF(D710="BUY",G711+(ROUND(F710*I710/(B710*100),0)*B710),G711-(ROUND(F710*I710/(B710*100),0)*B710))</f>
        <v>#DIV/0!</v>
      </c>
      <c r="J711" s="29" t="e">
        <f>IF(C710=1,IF(D710="BUY",E710+(ROUND(F710*J710/B710,0)*B710),E710-(ROUND(F710*J710/B710,0)*B710)),IF(D710="BUY",E710-(ROUND(F710*J710/B710,0)*B710),E710+(ROUND(F710*J710/B710,0)*B710)))</f>
        <v>#DIV/0!</v>
      </c>
      <c r="K711" s="29" t="e">
        <f>IF(C710=1,IF(D710="BUY",E710-(ROUND(F710*K710/B710,0)*B710),E710+(ROUND(F710*K710/B710,0)*B710)),IF(D710="BUY",E710-(ROUND(F710*K710/B710,0)*B710),E710+(ROUND(F710*K710/B710,0)*B710)))</f>
        <v>#DIV/0!</v>
      </c>
      <c r="L711" s="29" t="e">
        <f t="shared" ref="L711" si="1061">IF(D711="BUY",I711+(R711*B711),I711-(R711*B711))</f>
        <v>#DIV/0!</v>
      </c>
      <c r="M711" s="29" t="e">
        <f>IF(D710="BUY",E710+(ROUND(F710*M710/B710,0)*B710),E710-(ROUND(F710*M710/B710,0)*B710))</f>
        <v>#DIV/0!</v>
      </c>
      <c r="N711" s="29" t="e">
        <f>IF(D710="BUY",E710-(ROUND(F710*N710/B710,0)*B710),E710+(ROUND(F710*N710/B710,0)*B710))</f>
        <v>#DIV/0!</v>
      </c>
      <c r="O711" s="31" t="e">
        <f>IF(D711="BUY",N711-VLOOKUP(A711,Symbols!A$1:D$1000,4,FALSE),N711+VLOOKUP(A711,Symbols!A$1:D$1000,4,FALSE))</f>
        <v>#DIV/0!</v>
      </c>
      <c r="P711" s="29">
        <f>P710</f>
        <v>0</v>
      </c>
      <c r="Q711" s="29">
        <f>Q710</f>
        <v>0</v>
      </c>
      <c r="R711" s="29">
        <f>R710</f>
        <v>0</v>
      </c>
      <c r="S711" s="29">
        <f>S710</f>
        <v>0</v>
      </c>
      <c r="T711" s="29">
        <f>T710</f>
        <v>0</v>
      </c>
      <c r="U711" s="29" t="e">
        <f>DATEDIF(DATE(1970,1,1),U710,"D")*86400</f>
        <v>#NUM!</v>
      </c>
      <c r="V711" s="29">
        <f>HOUR(V710)*3600+MINUTE(V710)*60+SECOND(V710)</f>
        <v>0</v>
      </c>
      <c r="W711" s="29" t="e">
        <f>DATEDIF(DATE(1970,1,1),W710,"D")*86400</f>
        <v>#NUM!</v>
      </c>
      <c r="X711" s="29">
        <f>HOUR(X710)*3600+MINUTE(X710)*60+SECOND(X710)</f>
        <v>0</v>
      </c>
      <c r="Y711" s="31">
        <f>(Y710*B711)</f>
        <v>0</v>
      </c>
      <c r="Z711" s="29">
        <f>Z710</f>
        <v>0</v>
      </c>
      <c r="AA711" s="29" t="e">
        <f>DATEDIF(DATE(1970,1,1),AA710,"D")*86400</f>
        <v>#NUM!</v>
      </c>
      <c r="AB711" s="29">
        <f>HOUR(AB710)*3600+MINUTE(AB710)*60+SECOND(AB710)</f>
        <v>0</v>
      </c>
      <c r="AC711" s="29">
        <f>AC710</f>
        <v>0</v>
      </c>
    </row>
    <row r="712" spans="1:29">
      <c r="A712" s="23">
        <f>Parameters!A357</f>
        <v>0</v>
      </c>
      <c r="B712" s="23">
        <f>Parameters!B357</f>
        <v>0</v>
      </c>
      <c r="C712" s="24">
        <f>Parameters!C357</f>
        <v>0</v>
      </c>
      <c r="D712" s="24">
        <f>Parameters!D357</f>
        <v>0</v>
      </c>
      <c r="E712" s="23">
        <f>Parameters!E357</f>
        <v>0</v>
      </c>
      <c r="F712" s="23">
        <f>Parameters!F357</f>
        <v>0</v>
      </c>
      <c r="G712" s="25">
        <f>Parameters!G357</f>
        <v>0</v>
      </c>
      <c r="H712" s="25">
        <f>Parameters!H357</f>
        <v>0</v>
      </c>
      <c r="I712" s="25">
        <f>Parameters!I357</f>
        <v>0</v>
      </c>
      <c r="J712" s="25">
        <f>Parameters!J357</f>
        <v>0</v>
      </c>
      <c r="K712" s="25">
        <f>Parameters!K357</f>
        <v>0</v>
      </c>
      <c r="L712" s="26" t="e">
        <f t="shared" ref="L712" si="1062">L713</f>
        <v>#DIV/0!</v>
      </c>
      <c r="M712" s="25">
        <f>Parameters!L357</f>
        <v>0</v>
      </c>
      <c r="N712" s="25">
        <f>Parameters!M357</f>
        <v>0</v>
      </c>
      <c r="O712" s="26" t="e">
        <f t="shared" ref="O712" si="1063">O713</f>
        <v>#DIV/0!</v>
      </c>
      <c r="P712" s="23">
        <f>Parameters!N357</f>
        <v>0</v>
      </c>
      <c r="Q712" s="23">
        <f>Parameters!O357</f>
        <v>0</v>
      </c>
      <c r="R712" s="23">
        <f>Parameters!P357</f>
        <v>0</v>
      </c>
      <c r="S712" s="23">
        <f>Parameters!Q357</f>
        <v>0</v>
      </c>
      <c r="T712" s="23">
        <f>Parameters!R357</f>
        <v>0</v>
      </c>
      <c r="U712" s="27">
        <f>Parameters!S357</f>
        <v>0</v>
      </c>
      <c r="V712" s="28">
        <f>Parameters!T357</f>
        <v>0</v>
      </c>
      <c r="W712" s="27">
        <f>Parameters!U357</f>
        <v>0</v>
      </c>
      <c r="X712" s="28">
        <f>Parameters!V357</f>
        <v>0</v>
      </c>
      <c r="Y712" s="25">
        <f>Parameters!W357</f>
        <v>0</v>
      </c>
      <c r="Z712" s="23">
        <f>Parameters!X357</f>
        <v>0</v>
      </c>
      <c r="AA712" s="27">
        <f>Parameters!Y357</f>
        <v>0</v>
      </c>
      <c r="AB712" s="28">
        <f>Parameters!Z357</f>
        <v>0</v>
      </c>
      <c r="AC712" s="23">
        <f>Parameters!AA357</f>
        <v>0</v>
      </c>
    </row>
    <row r="713" spans="1:29">
      <c r="A713" s="29" t="str">
        <f>UPPER(A712)</f>
        <v>0</v>
      </c>
      <c r="B713" s="29">
        <f>B712</f>
        <v>0</v>
      </c>
      <c r="C713" s="30">
        <f>C712</f>
        <v>0</v>
      </c>
      <c r="D713" s="30">
        <f>D712</f>
        <v>0</v>
      </c>
      <c r="E713" s="29">
        <f>E712</f>
        <v>0</v>
      </c>
      <c r="F713" s="29">
        <f>F712</f>
        <v>0</v>
      </c>
      <c r="G713" s="29" t="e">
        <f>IF(C712=1,IF(D712="BUY",E712+(ROUND(F712*G712/B712,0)*B712),E712-(ROUND(F712*G712/B712,0)*B712)),IF(D712="BUY",E712-(ROUND(F712*G712/B712,0)*B712),E712+(ROUND(F712*G712/B712,0)*B712)))</f>
        <v>#DIV/0!</v>
      </c>
      <c r="H713" s="29" t="e">
        <f>IF(C712=1,IF(D712="BUY",G713-(ROUND(F712*H712/B712,0)*B712),G713+(ROUND(F712*H712/B712,0)*B712)),IF(D712="BUY",G713+(ROUND(F712*H712/B712,0)*B712),G713-(ROUND(F712*H712/B712,0)*B712)))</f>
        <v>#DIV/0!</v>
      </c>
      <c r="I713" s="29" t="e">
        <f>IF(D712="BUY",G713+(ROUND(F712*I712/(B712*100),0)*B712),G713-(ROUND(F712*I712/(B712*100),0)*B712))</f>
        <v>#DIV/0!</v>
      </c>
      <c r="J713" s="29" t="e">
        <f>IF(C712=1,IF(D712="BUY",E712+(ROUND(F712*J712/B712,0)*B712),E712-(ROUND(F712*J712/B712,0)*B712)),IF(D712="BUY",E712-(ROUND(F712*J712/B712,0)*B712),E712+(ROUND(F712*J712/B712,0)*B712)))</f>
        <v>#DIV/0!</v>
      </c>
      <c r="K713" s="29" t="e">
        <f>IF(C712=1,IF(D712="BUY",E712-(ROUND(F712*K712/B712,0)*B712),E712+(ROUND(F712*K712/B712,0)*B712)),IF(D712="BUY",E712-(ROUND(F712*K712/B712,0)*B712),E712+(ROUND(F712*K712/B712,0)*B712)))</f>
        <v>#DIV/0!</v>
      </c>
      <c r="L713" s="29" t="e">
        <f t="shared" ref="L713" si="1064">IF(D713="BUY",I713+(R713*B713),I713-(R713*B713))</f>
        <v>#DIV/0!</v>
      </c>
      <c r="M713" s="29" t="e">
        <f>IF(D712="BUY",E712+(ROUND(F712*M712/B712,0)*B712),E712-(ROUND(F712*M712/B712,0)*B712))</f>
        <v>#DIV/0!</v>
      </c>
      <c r="N713" s="29" t="e">
        <f>IF(D712="BUY",E712-(ROUND(F712*N712/B712,0)*B712),E712+(ROUND(F712*N712/B712,0)*B712))</f>
        <v>#DIV/0!</v>
      </c>
      <c r="O713" s="31" t="e">
        <f>IF(D713="BUY",N713-VLOOKUP(A713,Symbols!A$1:D$1000,4,FALSE),N713+VLOOKUP(A713,Symbols!A$1:D$1000,4,FALSE))</f>
        <v>#DIV/0!</v>
      </c>
      <c r="P713" s="29">
        <f>P712</f>
        <v>0</v>
      </c>
      <c r="Q713" s="29">
        <f>Q712</f>
        <v>0</v>
      </c>
      <c r="R713" s="29">
        <f>R712</f>
        <v>0</v>
      </c>
      <c r="S713" s="29">
        <f>S712</f>
        <v>0</v>
      </c>
      <c r="T713" s="29">
        <f>T712</f>
        <v>0</v>
      </c>
      <c r="U713" s="29" t="e">
        <f>DATEDIF(DATE(1970,1,1),U712,"D")*86400</f>
        <v>#NUM!</v>
      </c>
      <c r="V713" s="29">
        <f>HOUR(V712)*3600+MINUTE(V712)*60+SECOND(V712)</f>
        <v>0</v>
      </c>
      <c r="W713" s="29" t="e">
        <f>DATEDIF(DATE(1970,1,1),W712,"D")*86400</f>
        <v>#NUM!</v>
      </c>
      <c r="X713" s="29">
        <f>HOUR(X712)*3600+MINUTE(X712)*60+SECOND(X712)</f>
        <v>0</v>
      </c>
      <c r="Y713" s="31">
        <f>(Y712*B713)</f>
        <v>0</v>
      </c>
      <c r="Z713" s="29">
        <f>Z712</f>
        <v>0</v>
      </c>
      <c r="AA713" s="29" t="e">
        <f>DATEDIF(DATE(1970,1,1),AA712,"D")*86400</f>
        <v>#NUM!</v>
      </c>
      <c r="AB713" s="29">
        <f>HOUR(AB712)*3600+MINUTE(AB712)*60+SECOND(AB712)</f>
        <v>0</v>
      </c>
      <c r="AC713" s="29">
        <f>AC712</f>
        <v>0</v>
      </c>
    </row>
    <row r="714" spans="1:29">
      <c r="A714" s="23">
        <f>Parameters!A358</f>
        <v>0</v>
      </c>
      <c r="B714" s="23">
        <f>Parameters!B358</f>
        <v>0</v>
      </c>
      <c r="C714" s="24">
        <f>Parameters!C358</f>
        <v>0</v>
      </c>
      <c r="D714" s="24">
        <f>Parameters!D358</f>
        <v>0</v>
      </c>
      <c r="E714" s="23">
        <f>Parameters!E358</f>
        <v>0</v>
      </c>
      <c r="F714" s="23">
        <f>Parameters!F358</f>
        <v>0</v>
      </c>
      <c r="G714" s="25">
        <f>Parameters!G358</f>
        <v>0</v>
      </c>
      <c r="H714" s="25">
        <f>Parameters!H358</f>
        <v>0</v>
      </c>
      <c r="I714" s="25">
        <f>Parameters!I358</f>
        <v>0</v>
      </c>
      <c r="J714" s="25">
        <f>Parameters!J358</f>
        <v>0</v>
      </c>
      <c r="K714" s="25">
        <f>Parameters!K358</f>
        <v>0</v>
      </c>
      <c r="L714" s="26" t="e">
        <f t="shared" ref="L714" si="1065">L715</f>
        <v>#DIV/0!</v>
      </c>
      <c r="M714" s="25">
        <f>Parameters!L358</f>
        <v>0</v>
      </c>
      <c r="N714" s="25">
        <f>Parameters!M358</f>
        <v>0</v>
      </c>
      <c r="O714" s="26" t="e">
        <f t="shared" ref="O714" si="1066">O715</f>
        <v>#DIV/0!</v>
      </c>
      <c r="P714" s="23">
        <f>Parameters!N358</f>
        <v>0</v>
      </c>
      <c r="Q714" s="23">
        <f>Parameters!O358</f>
        <v>0</v>
      </c>
      <c r="R714" s="23">
        <f>Parameters!P358</f>
        <v>0</v>
      </c>
      <c r="S714" s="23">
        <f>Parameters!Q358</f>
        <v>0</v>
      </c>
      <c r="T714" s="23">
        <f>Parameters!R358</f>
        <v>0</v>
      </c>
      <c r="U714" s="27">
        <f>Parameters!S358</f>
        <v>0</v>
      </c>
      <c r="V714" s="28">
        <f>Parameters!T358</f>
        <v>0</v>
      </c>
      <c r="W714" s="27">
        <f>Parameters!U358</f>
        <v>0</v>
      </c>
      <c r="X714" s="28">
        <f>Parameters!V358</f>
        <v>0</v>
      </c>
      <c r="Y714" s="25">
        <f>Parameters!W358</f>
        <v>0</v>
      </c>
      <c r="Z714" s="23">
        <f>Parameters!X358</f>
        <v>0</v>
      </c>
      <c r="AA714" s="27">
        <f>Parameters!Y358</f>
        <v>0</v>
      </c>
      <c r="AB714" s="28">
        <f>Parameters!Z358</f>
        <v>0</v>
      </c>
      <c r="AC714" s="23">
        <f>Parameters!AA358</f>
        <v>0</v>
      </c>
    </row>
    <row r="715" spans="1:29">
      <c r="A715" s="29" t="str">
        <f>UPPER(A714)</f>
        <v>0</v>
      </c>
      <c r="B715" s="29">
        <f>B714</f>
        <v>0</v>
      </c>
      <c r="C715" s="30">
        <f>C714</f>
        <v>0</v>
      </c>
      <c r="D715" s="30">
        <f>D714</f>
        <v>0</v>
      </c>
      <c r="E715" s="29">
        <f>E714</f>
        <v>0</v>
      </c>
      <c r="F715" s="29">
        <f>F714</f>
        <v>0</v>
      </c>
      <c r="G715" s="29" t="e">
        <f>IF(C714=1,IF(D714="BUY",E714+(ROUND(F714*G714/B714,0)*B714),E714-(ROUND(F714*G714/B714,0)*B714)),IF(D714="BUY",E714-(ROUND(F714*G714/B714,0)*B714),E714+(ROUND(F714*G714/B714,0)*B714)))</f>
        <v>#DIV/0!</v>
      </c>
      <c r="H715" s="29" t="e">
        <f>IF(C714=1,IF(D714="BUY",G715-(ROUND(F714*H714/B714,0)*B714),G715+(ROUND(F714*H714/B714,0)*B714)),IF(D714="BUY",G715+(ROUND(F714*H714/B714,0)*B714),G715-(ROUND(F714*H714/B714,0)*B714)))</f>
        <v>#DIV/0!</v>
      </c>
      <c r="I715" s="29" t="e">
        <f>IF(D714="BUY",G715+(ROUND(F714*I714/(B714*100),0)*B714),G715-(ROUND(F714*I714/(B714*100),0)*B714))</f>
        <v>#DIV/0!</v>
      </c>
      <c r="J715" s="29" t="e">
        <f>IF(C714=1,IF(D714="BUY",E714+(ROUND(F714*J714/B714,0)*B714),E714-(ROUND(F714*J714/B714,0)*B714)),IF(D714="BUY",E714-(ROUND(F714*J714/B714,0)*B714),E714+(ROUND(F714*J714/B714,0)*B714)))</f>
        <v>#DIV/0!</v>
      </c>
      <c r="K715" s="29" t="e">
        <f>IF(C714=1,IF(D714="BUY",E714-(ROUND(F714*K714/B714,0)*B714),E714+(ROUND(F714*K714/B714,0)*B714)),IF(D714="BUY",E714-(ROUND(F714*K714/B714,0)*B714),E714+(ROUND(F714*K714/B714,0)*B714)))</f>
        <v>#DIV/0!</v>
      </c>
      <c r="L715" s="29" t="e">
        <f t="shared" ref="L715" si="1067">IF(D715="BUY",I715+(R715*B715),I715-(R715*B715))</f>
        <v>#DIV/0!</v>
      </c>
      <c r="M715" s="29" t="e">
        <f>IF(D714="BUY",E714+(ROUND(F714*M714/B714,0)*B714),E714-(ROUND(F714*M714/B714,0)*B714))</f>
        <v>#DIV/0!</v>
      </c>
      <c r="N715" s="29" t="e">
        <f>IF(D714="BUY",E714-(ROUND(F714*N714/B714,0)*B714),E714+(ROUND(F714*N714/B714,0)*B714))</f>
        <v>#DIV/0!</v>
      </c>
      <c r="O715" s="31" t="e">
        <f>IF(D715="BUY",N715-VLOOKUP(A715,Symbols!A$1:D$1000,4,FALSE),N715+VLOOKUP(A715,Symbols!A$1:D$1000,4,FALSE))</f>
        <v>#DIV/0!</v>
      </c>
      <c r="P715" s="29">
        <f>P714</f>
        <v>0</v>
      </c>
      <c r="Q715" s="29">
        <f>Q714</f>
        <v>0</v>
      </c>
      <c r="R715" s="29">
        <f>R714</f>
        <v>0</v>
      </c>
      <c r="S715" s="29">
        <f>S714</f>
        <v>0</v>
      </c>
      <c r="T715" s="29">
        <f>T714</f>
        <v>0</v>
      </c>
      <c r="U715" s="29" t="e">
        <f>DATEDIF(DATE(1970,1,1),U714,"D")*86400</f>
        <v>#NUM!</v>
      </c>
      <c r="V715" s="29">
        <f>HOUR(V714)*3600+MINUTE(V714)*60+SECOND(V714)</f>
        <v>0</v>
      </c>
      <c r="W715" s="29" t="e">
        <f>DATEDIF(DATE(1970,1,1),W714,"D")*86400</f>
        <v>#NUM!</v>
      </c>
      <c r="X715" s="29">
        <f>HOUR(X714)*3600+MINUTE(X714)*60+SECOND(X714)</f>
        <v>0</v>
      </c>
      <c r="Y715" s="31">
        <f>(Y714*B715)</f>
        <v>0</v>
      </c>
      <c r="Z715" s="29">
        <f>Z714</f>
        <v>0</v>
      </c>
      <c r="AA715" s="29" t="e">
        <f>DATEDIF(DATE(1970,1,1),AA714,"D")*86400</f>
        <v>#NUM!</v>
      </c>
      <c r="AB715" s="29">
        <f>HOUR(AB714)*3600+MINUTE(AB714)*60+SECOND(AB714)</f>
        <v>0</v>
      </c>
      <c r="AC715" s="29">
        <f>AC714</f>
        <v>0</v>
      </c>
    </row>
    <row r="716" spans="1:29">
      <c r="A716" s="23">
        <f>Parameters!A359</f>
        <v>0</v>
      </c>
      <c r="B716" s="23">
        <f>Parameters!B359</f>
        <v>0</v>
      </c>
      <c r="C716" s="24">
        <f>Parameters!C359</f>
        <v>0</v>
      </c>
      <c r="D716" s="24">
        <f>Parameters!D359</f>
        <v>0</v>
      </c>
      <c r="E716" s="23">
        <f>Parameters!E359</f>
        <v>0</v>
      </c>
      <c r="F716" s="23">
        <f>Parameters!F359</f>
        <v>0</v>
      </c>
      <c r="G716" s="25">
        <f>Parameters!G359</f>
        <v>0</v>
      </c>
      <c r="H716" s="25">
        <f>Parameters!H359</f>
        <v>0</v>
      </c>
      <c r="I716" s="25">
        <f>Parameters!I359</f>
        <v>0</v>
      </c>
      <c r="J716" s="25">
        <f>Parameters!J359</f>
        <v>0</v>
      </c>
      <c r="K716" s="25">
        <f>Parameters!K359</f>
        <v>0</v>
      </c>
      <c r="L716" s="26" t="e">
        <f t="shared" ref="L716" si="1068">L717</f>
        <v>#DIV/0!</v>
      </c>
      <c r="M716" s="25">
        <f>Parameters!L359</f>
        <v>0</v>
      </c>
      <c r="N716" s="25">
        <f>Parameters!M359</f>
        <v>0</v>
      </c>
      <c r="O716" s="26" t="e">
        <f t="shared" ref="O716" si="1069">O717</f>
        <v>#DIV/0!</v>
      </c>
      <c r="P716" s="23">
        <f>Parameters!N359</f>
        <v>0</v>
      </c>
      <c r="Q716" s="23">
        <f>Parameters!O359</f>
        <v>0</v>
      </c>
      <c r="R716" s="23">
        <f>Parameters!P359</f>
        <v>0</v>
      </c>
      <c r="S716" s="23">
        <f>Parameters!Q359</f>
        <v>0</v>
      </c>
      <c r="T716" s="23">
        <f>Parameters!R359</f>
        <v>0</v>
      </c>
      <c r="U716" s="27">
        <f>Parameters!S359</f>
        <v>0</v>
      </c>
      <c r="V716" s="28">
        <f>Parameters!T359</f>
        <v>0</v>
      </c>
      <c r="W716" s="27">
        <f>Parameters!U359</f>
        <v>0</v>
      </c>
      <c r="X716" s="28">
        <f>Parameters!V359</f>
        <v>0</v>
      </c>
      <c r="Y716" s="25">
        <f>Parameters!W359</f>
        <v>0</v>
      </c>
      <c r="Z716" s="23">
        <f>Parameters!X359</f>
        <v>0</v>
      </c>
      <c r="AA716" s="27">
        <f>Parameters!Y359</f>
        <v>0</v>
      </c>
      <c r="AB716" s="28">
        <f>Parameters!Z359</f>
        <v>0</v>
      </c>
      <c r="AC716" s="23">
        <f>Parameters!AA359</f>
        <v>0</v>
      </c>
    </row>
    <row r="717" spans="1:29">
      <c r="A717" s="29" t="str">
        <f>UPPER(A716)</f>
        <v>0</v>
      </c>
      <c r="B717" s="29">
        <f>B716</f>
        <v>0</v>
      </c>
      <c r="C717" s="30">
        <f>C716</f>
        <v>0</v>
      </c>
      <c r="D717" s="30">
        <f>D716</f>
        <v>0</v>
      </c>
      <c r="E717" s="29">
        <f>E716</f>
        <v>0</v>
      </c>
      <c r="F717" s="29">
        <f>F716</f>
        <v>0</v>
      </c>
      <c r="G717" s="29" t="e">
        <f>IF(C716=1,IF(D716="BUY",E716+(ROUND(F716*G716/B716,0)*B716),E716-(ROUND(F716*G716/B716,0)*B716)),IF(D716="BUY",E716-(ROUND(F716*G716/B716,0)*B716),E716+(ROUND(F716*G716/B716,0)*B716)))</f>
        <v>#DIV/0!</v>
      </c>
      <c r="H717" s="29" t="e">
        <f>IF(C716=1,IF(D716="BUY",G717-(ROUND(F716*H716/B716,0)*B716),G717+(ROUND(F716*H716/B716,0)*B716)),IF(D716="BUY",G717+(ROUND(F716*H716/B716,0)*B716),G717-(ROUND(F716*H716/B716,0)*B716)))</f>
        <v>#DIV/0!</v>
      </c>
      <c r="I717" s="29" t="e">
        <f>IF(D716="BUY",G717+(ROUND(F716*I716/(B716*100),0)*B716),G717-(ROUND(F716*I716/(B716*100),0)*B716))</f>
        <v>#DIV/0!</v>
      </c>
      <c r="J717" s="29" t="e">
        <f>IF(C716=1,IF(D716="BUY",E716+(ROUND(F716*J716/B716,0)*B716),E716-(ROUND(F716*J716/B716,0)*B716)),IF(D716="BUY",E716-(ROUND(F716*J716/B716,0)*B716),E716+(ROUND(F716*J716/B716,0)*B716)))</f>
        <v>#DIV/0!</v>
      </c>
      <c r="K717" s="29" t="e">
        <f>IF(C716=1,IF(D716="BUY",E716-(ROUND(F716*K716/B716,0)*B716),E716+(ROUND(F716*K716/B716,0)*B716)),IF(D716="BUY",E716-(ROUND(F716*K716/B716,0)*B716),E716+(ROUND(F716*K716/B716,0)*B716)))</f>
        <v>#DIV/0!</v>
      </c>
      <c r="L717" s="29" t="e">
        <f t="shared" ref="L717" si="1070">IF(D717="BUY",I717+(R717*B717),I717-(R717*B717))</f>
        <v>#DIV/0!</v>
      </c>
      <c r="M717" s="29" t="e">
        <f>IF(D716="BUY",E716+(ROUND(F716*M716/B716,0)*B716),E716-(ROUND(F716*M716/B716,0)*B716))</f>
        <v>#DIV/0!</v>
      </c>
      <c r="N717" s="29" t="e">
        <f>IF(D716="BUY",E716-(ROUND(F716*N716/B716,0)*B716),E716+(ROUND(F716*N716/B716,0)*B716))</f>
        <v>#DIV/0!</v>
      </c>
      <c r="O717" s="31" t="e">
        <f>IF(D717="BUY",N717-VLOOKUP(A717,Symbols!A$1:D$1000,4,FALSE),N717+VLOOKUP(A717,Symbols!A$1:D$1000,4,FALSE))</f>
        <v>#DIV/0!</v>
      </c>
      <c r="P717" s="29">
        <f>P716</f>
        <v>0</v>
      </c>
      <c r="Q717" s="29">
        <f>Q716</f>
        <v>0</v>
      </c>
      <c r="R717" s="29">
        <f>R716</f>
        <v>0</v>
      </c>
      <c r="S717" s="29">
        <f>S716</f>
        <v>0</v>
      </c>
      <c r="T717" s="29">
        <f>T716</f>
        <v>0</v>
      </c>
      <c r="U717" s="29" t="e">
        <f>DATEDIF(DATE(1970,1,1),U716,"D")*86400</f>
        <v>#NUM!</v>
      </c>
      <c r="V717" s="29">
        <f>HOUR(V716)*3600+MINUTE(V716)*60+SECOND(V716)</f>
        <v>0</v>
      </c>
      <c r="W717" s="29" t="e">
        <f>DATEDIF(DATE(1970,1,1),W716,"D")*86400</f>
        <v>#NUM!</v>
      </c>
      <c r="X717" s="29">
        <f>HOUR(X716)*3600+MINUTE(X716)*60+SECOND(X716)</f>
        <v>0</v>
      </c>
      <c r="Y717" s="31">
        <f>(Y716*B717)</f>
        <v>0</v>
      </c>
      <c r="Z717" s="29">
        <f>Z716</f>
        <v>0</v>
      </c>
      <c r="AA717" s="29" t="e">
        <f>DATEDIF(DATE(1970,1,1),AA716,"D")*86400</f>
        <v>#NUM!</v>
      </c>
      <c r="AB717" s="29">
        <f>HOUR(AB716)*3600+MINUTE(AB716)*60+SECOND(AB716)</f>
        <v>0</v>
      </c>
      <c r="AC717" s="29">
        <f>AC716</f>
        <v>0</v>
      </c>
    </row>
    <row r="718" spans="1:29">
      <c r="A718" s="23">
        <f>Parameters!A360</f>
        <v>0</v>
      </c>
      <c r="B718" s="23">
        <f>Parameters!B360</f>
        <v>0</v>
      </c>
      <c r="C718" s="24">
        <f>Parameters!C360</f>
        <v>0</v>
      </c>
      <c r="D718" s="24">
        <f>Parameters!D360</f>
        <v>0</v>
      </c>
      <c r="E718" s="23">
        <f>Parameters!E360</f>
        <v>0</v>
      </c>
      <c r="F718" s="23">
        <f>Parameters!F360</f>
        <v>0</v>
      </c>
      <c r="G718" s="25">
        <f>Parameters!G360</f>
        <v>0</v>
      </c>
      <c r="H718" s="25">
        <f>Parameters!H360</f>
        <v>0</v>
      </c>
      <c r="I718" s="25">
        <f>Parameters!I360</f>
        <v>0</v>
      </c>
      <c r="J718" s="25">
        <f>Parameters!J360</f>
        <v>0</v>
      </c>
      <c r="K718" s="25">
        <f>Parameters!K360</f>
        <v>0</v>
      </c>
      <c r="L718" s="26" t="e">
        <f t="shared" ref="L718" si="1071">L719</f>
        <v>#DIV/0!</v>
      </c>
      <c r="M718" s="25">
        <f>Parameters!L360</f>
        <v>0</v>
      </c>
      <c r="N718" s="25">
        <f>Parameters!M360</f>
        <v>0</v>
      </c>
      <c r="O718" s="26" t="e">
        <f t="shared" ref="O718" si="1072">O719</f>
        <v>#DIV/0!</v>
      </c>
      <c r="P718" s="23">
        <f>Parameters!N360</f>
        <v>0</v>
      </c>
      <c r="Q718" s="23">
        <f>Parameters!O360</f>
        <v>0</v>
      </c>
      <c r="R718" s="23">
        <f>Parameters!P360</f>
        <v>0</v>
      </c>
      <c r="S718" s="23">
        <f>Parameters!Q360</f>
        <v>0</v>
      </c>
      <c r="T718" s="23">
        <f>Parameters!R360</f>
        <v>0</v>
      </c>
      <c r="U718" s="27">
        <f>Parameters!S360</f>
        <v>0</v>
      </c>
      <c r="V718" s="28">
        <f>Parameters!T360</f>
        <v>0</v>
      </c>
      <c r="W718" s="27">
        <f>Parameters!U360</f>
        <v>0</v>
      </c>
      <c r="X718" s="28">
        <f>Parameters!V360</f>
        <v>0</v>
      </c>
      <c r="Y718" s="25">
        <f>Parameters!W360</f>
        <v>0</v>
      </c>
      <c r="Z718" s="23">
        <f>Parameters!X360</f>
        <v>0</v>
      </c>
      <c r="AA718" s="27">
        <f>Parameters!Y360</f>
        <v>0</v>
      </c>
      <c r="AB718" s="28">
        <f>Parameters!Z360</f>
        <v>0</v>
      </c>
      <c r="AC718" s="23">
        <f>Parameters!AA360</f>
        <v>0</v>
      </c>
    </row>
    <row r="719" spans="1:29">
      <c r="A719" s="29" t="str">
        <f>UPPER(A718)</f>
        <v>0</v>
      </c>
      <c r="B719" s="29">
        <f>B718</f>
        <v>0</v>
      </c>
      <c r="C719" s="30">
        <f>C718</f>
        <v>0</v>
      </c>
      <c r="D719" s="30">
        <f>D718</f>
        <v>0</v>
      </c>
      <c r="E719" s="29">
        <f>E718</f>
        <v>0</v>
      </c>
      <c r="F719" s="29">
        <f>F718</f>
        <v>0</v>
      </c>
      <c r="G719" s="29" t="e">
        <f>IF(C718=1,IF(D718="BUY",E718+(ROUND(F718*G718/B718,0)*B718),E718-(ROUND(F718*G718/B718,0)*B718)),IF(D718="BUY",E718-(ROUND(F718*G718/B718,0)*B718),E718+(ROUND(F718*G718/B718,0)*B718)))</f>
        <v>#DIV/0!</v>
      </c>
      <c r="H719" s="29" t="e">
        <f>IF(C718=1,IF(D718="BUY",G719-(ROUND(F718*H718/B718,0)*B718),G719+(ROUND(F718*H718/B718,0)*B718)),IF(D718="BUY",G719+(ROUND(F718*H718/B718,0)*B718),G719-(ROUND(F718*H718/B718,0)*B718)))</f>
        <v>#DIV/0!</v>
      </c>
      <c r="I719" s="29" t="e">
        <f>IF(D718="BUY",G719+(ROUND(F718*I718/(B718*100),0)*B718),G719-(ROUND(F718*I718/(B718*100),0)*B718))</f>
        <v>#DIV/0!</v>
      </c>
      <c r="J719" s="29" t="e">
        <f>IF(C718=1,IF(D718="BUY",E718+(ROUND(F718*J718/B718,0)*B718),E718-(ROUND(F718*J718/B718,0)*B718)),IF(D718="BUY",E718-(ROUND(F718*J718/B718,0)*B718),E718+(ROUND(F718*J718/B718,0)*B718)))</f>
        <v>#DIV/0!</v>
      </c>
      <c r="K719" s="29" t="e">
        <f>IF(C718=1,IF(D718="BUY",E718-(ROUND(F718*K718/B718,0)*B718),E718+(ROUND(F718*K718/B718,0)*B718)),IF(D718="BUY",E718-(ROUND(F718*K718/B718,0)*B718),E718+(ROUND(F718*K718/B718,0)*B718)))</f>
        <v>#DIV/0!</v>
      </c>
      <c r="L719" s="29" t="e">
        <f t="shared" ref="L719" si="1073">IF(D719="BUY",I719+(R719*B719),I719-(R719*B719))</f>
        <v>#DIV/0!</v>
      </c>
      <c r="M719" s="29" t="e">
        <f>IF(D718="BUY",E718+(ROUND(F718*M718/B718,0)*B718),E718-(ROUND(F718*M718/B718,0)*B718))</f>
        <v>#DIV/0!</v>
      </c>
      <c r="N719" s="29" t="e">
        <f>IF(D718="BUY",E718-(ROUND(F718*N718/B718,0)*B718),E718+(ROUND(F718*N718/B718,0)*B718))</f>
        <v>#DIV/0!</v>
      </c>
      <c r="O719" s="31" t="e">
        <f>IF(D719="BUY",N719-VLOOKUP(A719,Symbols!A$1:D$1000,4,FALSE),N719+VLOOKUP(A719,Symbols!A$1:D$1000,4,FALSE))</f>
        <v>#DIV/0!</v>
      </c>
      <c r="P719" s="29">
        <f>P718</f>
        <v>0</v>
      </c>
      <c r="Q719" s="29">
        <f>Q718</f>
        <v>0</v>
      </c>
      <c r="R719" s="29">
        <f>R718</f>
        <v>0</v>
      </c>
      <c r="S719" s="29">
        <f>S718</f>
        <v>0</v>
      </c>
      <c r="T719" s="29">
        <f>T718</f>
        <v>0</v>
      </c>
      <c r="U719" s="29" t="e">
        <f>DATEDIF(DATE(1970,1,1),U718,"D")*86400</f>
        <v>#NUM!</v>
      </c>
      <c r="V719" s="29">
        <f>HOUR(V718)*3600+MINUTE(V718)*60+SECOND(V718)</f>
        <v>0</v>
      </c>
      <c r="W719" s="29" t="e">
        <f>DATEDIF(DATE(1970,1,1),W718,"D")*86400</f>
        <v>#NUM!</v>
      </c>
      <c r="X719" s="29">
        <f>HOUR(X718)*3600+MINUTE(X718)*60+SECOND(X718)</f>
        <v>0</v>
      </c>
      <c r="Y719" s="31">
        <f>(Y718*B719)</f>
        <v>0</v>
      </c>
      <c r="Z719" s="29">
        <f>Z718</f>
        <v>0</v>
      </c>
      <c r="AA719" s="29" t="e">
        <f>DATEDIF(DATE(1970,1,1),AA718,"D")*86400</f>
        <v>#NUM!</v>
      </c>
      <c r="AB719" s="29">
        <f>HOUR(AB718)*3600+MINUTE(AB718)*60+SECOND(AB718)</f>
        <v>0</v>
      </c>
      <c r="AC719" s="29">
        <f>AC718</f>
        <v>0</v>
      </c>
    </row>
    <row r="720" spans="1:29">
      <c r="A720" s="23">
        <f>Parameters!A361</f>
        <v>0</v>
      </c>
      <c r="B720" s="23">
        <f>Parameters!B361</f>
        <v>0</v>
      </c>
      <c r="C720" s="24">
        <f>Parameters!C361</f>
        <v>0</v>
      </c>
      <c r="D720" s="24">
        <f>Parameters!D361</f>
        <v>0</v>
      </c>
      <c r="E720" s="23">
        <f>Parameters!E361</f>
        <v>0</v>
      </c>
      <c r="F720" s="23">
        <f>Parameters!F361</f>
        <v>0</v>
      </c>
      <c r="G720" s="25">
        <f>Parameters!G361</f>
        <v>0</v>
      </c>
      <c r="H720" s="25">
        <f>Parameters!H361</f>
        <v>0</v>
      </c>
      <c r="I720" s="25">
        <f>Parameters!I361</f>
        <v>0</v>
      </c>
      <c r="J720" s="25">
        <f>Parameters!J361</f>
        <v>0</v>
      </c>
      <c r="K720" s="25">
        <f>Parameters!K361</f>
        <v>0</v>
      </c>
      <c r="L720" s="26" t="e">
        <f t="shared" ref="L720" si="1074">L721</f>
        <v>#DIV/0!</v>
      </c>
      <c r="M720" s="25">
        <f>Parameters!L361</f>
        <v>0</v>
      </c>
      <c r="N720" s="25">
        <f>Parameters!M361</f>
        <v>0</v>
      </c>
      <c r="O720" s="26" t="e">
        <f t="shared" ref="O720" si="1075">O721</f>
        <v>#DIV/0!</v>
      </c>
      <c r="P720" s="23">
        <f>Parameters!N361</f>
        <v>0</v>
      </c>
      <c r="Q720" s="23">
        <f>Parameters!O361</f>
        <v>0</v>
      </c>
      <c r="R720" s="23">
        <f>Parameters!P361</f>
        <v>0</v>
      </c>
      <c r="S720" s="23">
        <f>Parameters!Q361</f>
        <v>0</v>
      </c>
      <c r="T720" s="23">
        <f>Parameters!R361</f>
        <v>0</v>
      </c>
      <c r="U720" s="27">
        <f>Parameters!S361</f>
        <v>0</v>
      </c>
      <c r="V720" s="28">
        <f>Parameters!T361</f>
        <v>0</v>
      </c>
      <c r="W720" s="27">
        <f>Parameters!U361</f>
        <v>0</v>
      </c>
      <c r="X720" s="28">
        <f>Parameters!V361</f>
        <v>0</v>
      </c>
      <c r="Y720" s="25">
        <f>Parameters!W361</f>
        <v>0</v>
      </c>
      <c r="Z720" s="23">
        <f>Parameters!X361</f>
        <v>0</v>
      </c>
      <c r="AA720" s="27">
        <f>Parameters!Y361</f>
        <v>0</v>
      </c>
      <c r="AB720" s="28">
        <f>Parameters!Z361</f>
        <v>0</v>
      </c>
      <c r="AC720" s="23">
        <f>Parameters!AA361</f>
        <v>0</v>
      </c>
    </row>
    <row r="721" spans="1:29">
      <c r="A721" s="29" t="str">
        <f>UPPER(A720)</f>
        <v>0</v>
      </c>
      <c r="B721" s="29">
        <f>B720</f>
        <v>0</v>
      </c>
      <c r="C721" s="30">
        <f>C720</f>
        <v>0</v>
      </c>
      <c r="D721" s="30">
        <f>D720</f>
        <v>0</v>
      </c>
      <c r="E721" s="29">
        <f>E720</f>
        <v>0</v>
      </c>
      <c r="F721" s="29">
        <f>F720</f>
        <v>0</v>
      </c>
      <c r="G721" s="29" t="e">
        <f>IF(C720=1,IF(D720="BUY",E720+(ROUND(F720*G720/B720,0)*B720),E720-(ROUND(F720*G720/B720,0)*B720)),IF(D720="BUY",E720-(ROUND(F720*G720/B720,0)*B720),E720+(ROUND(F720*G720/B720,0)*B720)))</f>
        <v>#DIV/0!</v>
      </c>
      <c r="H721" s="29" t="e">
        <f>IF(C720=1,IF(D720="BUY",G721-(ROUND(F720*H720/B720,0)*B720),G721+(ROUND(F720*H720/B720,0)*B720)),IF(D720="BUY",G721+(ROUND(F720*H720/B720,0)*B720),G721-(ROUND(F720*H720/B720,0)*B720)))</f>
        <v>#DIV/0!</v>
      </c>
      <c r="I721" s="29" t="e">
        <f>IF(D720="BUY",G721+(ROUND(F720*I720/(B720*100),0)*B720),G721-(ROUND(F720*I720/(B720*100),0)*B720))</f>
        <v>#DIV/0!</v>
      </c>
      <c r="J721" s="29" t="e">
        <f>IF(C720=1,IF(D720="BUY",E720+(ROUND(F720*J720/B720,0)*B720),E720-(ROUND(F720*J720/B720,0)*B720)),IF(D720="BUY",E720-(ROUND(F720*J720/B720,0)*B720),E720+(ROUND(F720*J720/B720,0)*B720)))</f>
        <v>#DIV/0!</v>
      </c>
      <c r="K721" s="29" t="e">
        <f>IF(C720=1,IF(D720="BUY",E720-(ROUND(F720*K720/B720,0)*B720),E720+(ROUND(F720*K720/B720,0)*B720)),IF(D720="BUY",E720-(ROUND(F720*K720/B720,0)*B720),E720+(ROUND(F720*K720/B720,0)*B720)))</f>
        <v>#DIV/0!</v>
      </c>
      <c r="L721" s="29" t="e">
        <f t="shared" ref="L721" si="1076">IF(D721="BUY",I721+(R721*B721),I721-(R721*B721))</f>
        <v>#DIV/0!</v>
      </c>
      <c r="M721" s="29" t="e">
        <f>IF(D720="BUY",E720+(ROUND(F720*M720/B720,0)*B720),E720-(ROUND(F720*M720/B720,0)*B720))</f>
        <v>#DIV/0!</v>
      </c>
      <c r="N721" s="29" t="e">
        <f>IF(D720="BUY",E720-(ROUND(F720*N720/B720,0)*B720),E720+(ROUND(F720*N720/B720,0)*B720))</f>
        <v>#DIV/0!</v>
      </c>
      <c r="O721" s="31" t="e">
        <f>IF(D721="BUY",N721-VLOOKUP(A721,Symbols!A$1:D$1000,4,FALSE),N721+VLOOKUP(A721,Symbols!A$1:D$1000,4,FALSE))</f>
        <v>#DIV/0!</v>
      </c>
      <c r="P721" s="29">
        <f>P720</f>
        <v>0</v>
      </c>
      <c r="Q721" s="29">
        <f>Q720</f>
        <v>0</v>
      </c>
      <c r="R721" s="29">
        <f>R720</f>
        <v>0</v>
      </c>
      <c r="S721" s="29">
        <f>S720</f>
        <v>0</v>
      </c>
      <c r="T721" s="29">
        <f>T720</f>
        <v>0</v>
      </c>
      <c r="U721" s="29" t="e">
        <f>DATEDIF(DATE(1970,1,1),U720,"D")*86400</f>
        <v>#NUM!</v>
      </c>
      <c r="V721" s="29">
        <f>HOUR(V720)*3600+MINUTE(V720)*60+SECOND(V720)</f>
        <v>0</v>
      </c>
      <c r="W721" s="29" t="e">
        <f>DATEDIF(DATE(1970,1,1),W720,"D")*86400</f>
        <v>#NUM!</v>
      </c>
      <c r="X721" s="29">
        <f>HOUR(X720)*3600+MINUTE(X720)*60+SECOND(X720)</f>
        <v>0</v>
      </c>
      <c r="Y721" s="31">
        <f>(Y720*B721)</f>
        <v>0</v>
      </c>
      <c r="Z721" s="29">
        <f>Z720</f>
        <v>0</v>
      </c>
      <c r="AA721" s="29" t="e">
        <f>DATEDIF(DATE(1970,1,1),AA720,"D")*86400</f>
        <v>#NUM!</v>
      </c>
      <c r="AB721" s="29">
        <f>HOUR(AB720)*3600+MINUTE(AB720)*60+SECOND(AB720)</f>
        <v>0</v>
      </c>
      <c r="AC721" s="29">
        <f>AC720</f>
        <v>0</v>
      </c>
    </row>
    <row r="722" spans="1:29">
      <c r="A722" s="23">
        <f>Parameters!A362</f>
        <v>0</v>
      </c>
      <c r="B722" s="23">
        <f>Parameters!B362</f>
        <v>0</v>
      </c>
      <c r="C722" s="24">
        <f>Parameters!C362</f>
        <v>0</v>
      </c>
      <c r="D722" s="24">
        <f>Parameters!D362</f>
        <v>0</v>
      </c>
      <c r="E722" s="23">
        <f>Parameters!E362</f>
        <v>0</v>
      </c>
      <c r="F722" s="23">
        <f>Parameters!F362</f>
        <v>0</v>
      </c>
      <c r="G722" s="25">
        <f>Parameters!G362</f>
        <v>0</v>
      </c>
      <c r="H722" s="25">
        <f>Parameters!H362</f>
        <v>0</v>
      </c>
      <c r="I722" s="25">
        <f>Parameters!I362</f>
        <v>0</v>
      </c>
      <c r="J722" s="25">
        <f>Parameters!J362</f>
        <v>0</v>
      </c>
      <c r="K722" s="25">
        <f>Parameters!K362</f>
        <v>0</v>
      </c>
      <c r="L722" s="26" t="e">
        <f t="shared" ref="L722" si="1077">L723</f>
        <v>#DIV/0!</v>
      </c>
      <c r="M722" s="25">
        <f>Parameters!L362</f>
        <v>0</v>
      </c>
      <c r="N722" s="25">
        <f>Parameters!M362</f>
        <v>0</v>
      </c>
      <c r="O722" s="26" t="e">
        <f t="shared" ref="O722" si="1078">O723</f>
        <v>#DIV/0!</v>
      </c>
      <c r="P722" s="23">
        <f>Parameters!N362</f>
        <v>0</v>
      </c>
      <c r="Q722" s="23">
        <f>Parameters!O362</f>
        <v>0</v>
      </c>
      <c r="R722" s="23">
        <f>Parameters!P362</f>
        <v>0</v>
      </c>
      <c r="S722" s="23">
        <f>Parameters!Q362</f>
        <v>0</v>
      </c>
      <c r="T722" s="23">
        <f>Parameters!R362</f>
        <v>0</v>
      </c>
      <c r="U722" s="27">
        <f>Parameters!S362</f>
        <v>0</v>
      </c>
      <c r="V722" s="28">
        <f>Parameters!T362</f>
        <v>0</v>
      </c>
      <c r="W722" s="27">
        <f>Parameters!U362</f>
        <v>0</v>
      </c>
      <c r="X722" s="28">
        <f>Parameters!V362</f>
        <v>0</v>
      </c>
      <c r="Y722" s="25">
        <f>Parameters!W362</f>
        <v>0</v>
      </c>
      <c r="Z722" s="23">
        <f>Parameters!X362</f>
        <v>0</v>
      </c>
      <c r="AA722" s="27">
        <f>Parameters!Y362</f>
        <v>0</v>
      </c>
      <c r="AB722" s="28">
        <f>Parameters!Z362</f>
        <v>0</v>
      </c>
      <c r="AC722" s="23">
        <f>Parameters!AA362</f>
        <v>0</v>
      </c>
    </row>
    <row r="723" spans="1:29">
      <c r="A723" s="29" t="str">
        <f>UPPER(A722)</f>
        <v>0</v>
      </c>
      <c r="B723" s="29">
        <f>B722</f>
        <v>0</v>
      </c>
      <c r="C723" s="30">
        <f>C722</f>
        <v>0</v>
      </c>
      <c r="D723" s="30">
        <f>D722</f>
        <v>0</v>
      </c>
      <c r="E723" s="29">
        <f>E722</f>
        <v>0</v>
      </c>
      <c r="F723" s="29">
        <f>F722</f>
        <v>0</v>
      </c>
      <c r="G723" s="29" t="e">
        <f>IF(C722=1,IF(D722="BUY",E722+(ROUND(F722*G722/B722,0)*B722),E722-(ROUND(F722*G722/B722,0)*B722)),IF(D722="BUY",E722-(ROUND(F722*G722/B722,0)*B722),E722+(ROUND(F722*G722/B722,0)*B722)))</f>
        <v>#DIV/0!</v>
      </c>
      <c r="H723" s="29" t="e">
        <f>IF(C722=1,IF(D722="BUY",G723-(ROUND(F722*H722/B722,0)*B722),G723+(ROUND(F722*H722/B722,0)*B722)),IF(D722="BUY",G723+(ROUND(F722*H722/B722,0)*B722),G723-(ROUND(F722*H722/B722,0)*B722)))</f>
        <v>#DIV/0!</v>
      </c>
      <c r="I723" s="29" t="e">
        <f>IF(D722="BUY",G723+(ROUND(F722*I722/(B722*100),0)*B722),G723-(ROUND(F722*I722/(B722*100),0)*B722))</f>
        <v>#DIV/0!</v>
      </c>
      <c r="J723" s="29" t="e">
        <f>IF(C722=1,IF(D722="BUY",E722+(ROUND(F722*J722/B722,0)*B722),E722-(ROUND(F722*J722/B722,0)*B722)),IF(D722="BUY",E722-(ROUND(F722*J722/B722,0)*B722),E722+(ROUND(F722*J722/B722,0)*B722)))</f>
        <v>#DIV/0!</v>
      </c>
      <c r="K723" s="29" t="e">
        <f>IF(C722=1,IF(D722="BUY",E722-(ROUND(F722*K722/B722,0)*B722),E722+(ROUND(F722*K722/B722,0)*B722)),IF(D722="BUY",E722-(ROUND(F722*K722/B722,0)*B722),E722+(ROUND(F722*K722/B722,0)*B722)))</f>
        <v>#DIV/0!</v>
      </c>
      <c r="L723" s="29" t="e">
        <f t="shared" ref="L723" si="1079">IF(D723="BUY",I723+(R723*B723),I723-(R723*B723))</f>
        <v>#DIV/0!</v>
      </c>
      <c r="M723" s="29" t="e">
        <f>IF(D722="BUY",E722+(ROUND(F722*M722/B722,0)*B722),E722-(ROUND(F722*M722/B722,0)*B722))</f>
        <v>#DIV/0!</v>
      </c>
      <c r="N723" s="29" t="e">
        <f>IF(D722="BUY",E722-(ROUND(F722*N722/B722,0)*B722),E722+(ROUND(F722*N722/B722,0)*B722))</f>
        <v>#DIV/0!</v>
      </c>
      <c r="O723" s="31" t="e">
        <f>IF(D723="BUY",N723-VLOOKUP(A723,Symbols!A$1:D$1000,4,FALSE),N723+VLOOKUP(A723,Symbols!A$1:D$1000,4,FALSE))</f>
        <v>#DIV/0!</v>
      </c>
      <c r="P723" s="29">
        <f>P722</f>
        <v>0</v>
      </c>
      <c r="Q723" s="29">
        <f>Q722</f>
        <v>0</v>
      </c>
      <c r="R723" s="29">
        <f>R722</f>
        <v>0</v>
      </c>
      <c r="S723" s="29">
        <f>S722</f>
        <v>0</v>
      </c>
      <c r="T723" s="29">
        <f>T722</f>
        <v>0</v>
      </c>
      <c r="U723" s="29" t="e">
        <f>DATEDIF(DATE(1970,1,1),U722,"D")*86400</f>
        <v>#NUM!</v>
      </c>
      <c r="V723" s="29">
        <f>HOUR(V722)*3600+MINUTE(V722)*60+SECOND(V722)</f>
        <v>0</v>
      </c>
      <c r="W723" s="29" t="e">
        <f>DATEDIF(DATE(1970,1,1),W722,"D")*86400</f>
        <v>#NUM!</v>
      </c>
      <c r="X723" s="29">
        <f>HOUR(X722)*3600+MINUTE(X722)*60+SECOND(X722)</f>
        <v>0</v>
      </c>
      <c r="Y723" s="31">
        <f>(Y722*B723)</f>
        <v>0</v>
      </c>
      <c r="Z723" s="29">
        <f>Z722</f>
        <v>0</v>
      </c>
      <c r="AA723" s="29" t="e">
        <f>DATEDIF(DATE(1970,1,1),AA722,"D")*86400</f>
        <v>#NUM!</v>
      </c>
      <c r="AB723" s="29">
        <f>HOUR(AB722)*3600+MINUTE(AB722)*60+SECOND(AB722)</f>
        <v>0</v>
      </c>
      <c r="AC723" s="29">
        <f>AC722</f>
        <v>0</v>
      </c>
    </row>
    <row r="724" spans="1:29">
      <c r="A724" s="23">
        <f>Parameters!A363</f>
        <v>0</v>
      </c>
      <c r="B724" s="23">
        <f>Parameters!B363</f>
        <v>0</v>
      </c>
      <c r="C724" s="24">
        <f>Parameters!C363</f>
        <v>0</v>
      </c>
      <c r="D724" s="24">
        <f>Parameters!D363</f>
        <v>0</v>
      </c>
      <c r="E724" s="23">
        <f>Parameters!E363</f>
        <v>0</v>
      </c>
      <c r="F724" s="23">
        <f>Parameters!F363</f>
        <v>0</v>
      </c>
      <c r="G724" s="25">
        <f>Parameters!G363</f>
        <v>0</v>
      </c>
      <c r="H724" s="25">
        <f>Parameters!H363</f>
        <v>0</v>
      </c>
      <c r="I724" s="25">
        <f>Parameters!I363</f>
        <v>0</v>
      </c>
      <c r="J724" s="25">
        <f>Parameters!J363</f>
        <v>0</v>
      </c>
      <c r="K724" s="25">
        <f>Parameters!K363</f>
        <v>0</v>
      </c>
      <c r="L724" s="26" t="e">
        <f t="shared" ref="L724" si="1080">L725</f>
        <v>#DIV/0!</v>
      </c>
      <c r="M724" s="25">
        <f>Parameters!L363</f>
        <v>0</v>
      </c>
      <c r="N724" s="25">
        <f>Parameters!M363</f>
        <v>0</v>
      </c>
      <c r="O724" s="26" t="e">
        <f t="shared" ref="O724" si="1081">O725</f>
        <v>#DIV/0!</v>
      </c>
      <c r="P724" s="23">
        <f>Parameters!N363</f>
        <v>0</v>
      </c>
      <c r="Q724" s="23">
        <f>Parameters!O363</f>
        <v>0</v>
      </c>
      <c r="R724" s="23">
        <f>Parameters!P363</f>
        <v>0</v>
      </c>
      <c r="S724" s="23">
        <f>Parameters!Q363</f>
        <v>0</v>
      </c>
      <c r="T724" s="23">
        <f>Parameters!R363</f>
        <v>0</v>
      </c>
      <c r="U724" s="27">
        <f>Parameters!S363</f>
        <v>0</v>
      </c>
      <c r="V724" s="28">
        <f>Parameters!T363</f>
        <v>0</v>
      </c>
      <c r="W724" s="27">
        <f>Parameters!U363</f>
        <v>0</v>
      </c>
      <c r="X724" s="28">
        <f>Parameters!V363</f>
        <v>0</v>
      </c>
      <c r="Y724" s="25">
        <f>Parameters!W363</f>
        <v>0</v>
      </c>
      <c r="Z724" s="23">
        <f>Parameters!X363</f>
        <v>0</v>
      </c>
      <c r="AA724" s="27">
        <f>Parameters!Y363</f>
        <v>0</v>
      </c>
      <c r="AB724" s="28">
        <f>Parameters!Z363</f>
        <v>0</v>
      </c>
      <c r="AC724" s="23">
        <f>Parameters!AA363</f>
        <v>0</v>
      </c>
    </row>
    <row r="725" spans="1:29">
      <c r="A725" s="29" t="str">
        <f>UPPER(A724)</f>
        <v>0</v>
      </c>
      <c r="B725" s="29">
        <f>B724</f>
        <v>0</v>
      </c>
      <c r="C725" s="30">
        <f>C724</f>
        <v>0</v>
      </c>
      <c r="D725" s="30">
        <f>D724</f>
        <v>0</v>
      </c>
      <c r="E725" s="29">
        <f>E724</f>
        <v>0</v>
      </c>
      <c r="F725" s="29">
        <f>F724</f>
        <v>0</v>
      </c>
      <c r="G725" s="29" t="e">
        <f>IF(C724=1,IF(D724="BUY",E724+(ROUND(F724*G724/B724,0)*B724),E724-(ROUND(F724*G724/B724,0)*B724)),IF(D724="BUY",E724-(ROUND(F724*G724/B724,0)*B724),E724+(ROUND(F724*G724/B724,0)*B724)))</f>
        <v>#DIV/0!</v>
      </c>
      <c r="H725" s="29" t="e">
        <f>IF(C724=1,IF(D724="BUY",G725-(ROUND(F724*H724/B724,0)*B724),G725+(ROUND(F724*H724/B724,0)*B724)),IF(D724="BUY",G725+(ROUND(F724*H724/B724,0)*B724),G725-(ROUND(F724*H724/B724,0)*B724)))</f>
        <v>#DIV/0!</v>
      </c>
      <c r="I725" s="29" t="e">
        <f>IF(D724="BUY",G725+(ROUND(F724*I724/(B724*100),0)*B724),G725-(ROUND(F724*I724/(B724*100),0)*B724))</f>
        <v>#DIV/0!</v>
      </c>
      <c r="J725" s="29" t="e">
        <f>IF(C724=1,IF(D724="BUY",E724+(ROUND(F724*J724/B724,0)*B724),E724-(ROUND(F724*J724/B724,0)*B724)),IF(D724="BUY",E724-(ROUND(F724*J724/B724,0)*B724),E724+(ROUND(F724*J724/B724,0)*B724)))</f>
        <v>#DIV/0!</v>
      </c>
      <c r="K725" s="29" t="e">
        <f>IF(C724=1,IF(D724="BUY",E724-(ROUND(F724*K724/B724,0)*B724),E724+(ROUND(F724*K724/B724,0)*B724)),IF(D724="BUY",E724-(ROUND(F724*K724/B724,0)*B724),E724+(ROUND(F724*K724/B724,0)*B724)))</f>
        <v>#DIV/0!</v>
      </c>
      <c r="L725" s="29" t="e">
        <f t="shared" ref="L725" si="1082">IF(D725="BUY",I725+(R725*B725),I725-(R725*B725))</f>
        <v>#DIV/0!</v>
      </c>
      <c r="M725" s="29" t="e">
        <f>IF(D724="BUY",E724+(ROUND(F724*M724/B724,0)*B724),E724-(ROUND(F724*M724/B724,0)*B724))</f>
        <v>#DIV/0!</v>
      </c>
      <c r="N725" s="29" t="e">
        <f>IF(D724="BUY",E724-(ROUND(F724*N724/B724,0)*B724),E724+(ROUND(F724*N724/B724,0)*B724))</f>
        <v>#DIV/0!</v>
      </c>
      <c r="O725" s="31" t="e">
        <f>IF(D725="BUY",N725-VLOOKUP(A725,Symbols!A$1:D$1000,4,FALSE),N725+VLOOKUP(A725,Symbols!A$1:D$1000,4,FALSE))</f>
        <v>#DIV/0!</v>
      </c>
      <c r="P725" s="29">
        <f>P724</f>
        <v>0</v>
      </c>
      <c r="Q725" s="29">
        <f>Q724</f>
        <v>0</v>
      </c>
      <c r="R725" s="29">
        <f>R724</f>
        <v>0</v>
      </c>
      <c r="S725" s="29">
        <f>S724</f>
        <v>0</v>
      </c>
      <c r="T725" s="29">
        <f>T724</f>
        <v>0</v>
      </c>
      <c r="U725" s="29" t="e">
        <f>DATEDIF(DATE(1970,1,1),U724,"D")*86400</f>
        <v>#NUM!</v>
      </c>
      <c r="V725" s="29">
        <f>HOUR(V724)*3600+MINUTE(V724)*60+SECOND(V724)</f>
        <v>0</v>
      </c>
      <c r="W725" s="29" t="e">
        <f>DATEDIF(DATE(1970,1,1),W724,"D")*86400</f>
        <v>#NUM!</v>
      </c>
      <c r="X725" s="29">
        <f>HOUR(X724)*3600+MINUTE(X724)*60+SECOND(X724)</f>
        <v>0</v>
      </c>
      <c r="Y725" s="31">
        <f>(Y724*B725)</f>
        <v>0</v>
      </c>
      <c r="Z725" s="29">
        <f>Z724</f>
        <v>0</v>
      </c>
      <c r="AA725" s="29" t="e">
        <f>DATEDIF(DATE(1970,1,1),AA724,"D")*86400</f>
        <v>#NUM!</v>
      </c>
      <c r="AB725" s="29">
        <f>HOUR(AB724)*3600+MINUTE(AB724)*60+SECOND(AB724)</f>
        <v>0</v>
      </c>
      <c r="AC725" s="29">
        <f>AC724</f>
        <v>0</v>
      </c>
    </row>
    <row r="726" spans="1:29">
      <c r="A726" s="23">
        <f>Parameters!A364</f>
        <v>0</v>
      </c>
      <c r="B726" s="23">
        <f>Parameters!B364</f>
        <v>0</v>
      </c>
      <c r="C726" s="24">
        <f>Parameters!C364</f>
        <v>0</v>
      </c>
      <c r="D726" s="24">
        <f>Parameters!D364</f>
        <v>0</v>
      </c>
      <c r="E726" s="23">
        <f>Parameters!E364</f>
        <v>0</v>
      </c>
      <c r="F726" s="23">
        <f>Parameters!F364</f>
        <v>0</v>
      </c>
      <c r="G726" s="25">
        <f>Parameters!G364</f>
        <v>0</v>
      </c>
      <c r="H726" s="25">
        <f>Parameters!H364</f>
        <v>0</v>
      </c>
      <c r="I726" s="25">
        <f>Parameters!I364</f>
        <v>0</v>
      </c>
      <c r="J726" s="25">
        <f>Parameters!J364</f>
        <v>0</v>
      </c>
      <c r="K726" s="25">
        <f>Parameters!K364</f>
        <v>0</v>
      </c>
      <c r="L726" s="26" t="e">
        <f t="shared" ref="L726" si="1083">L727</f>
        <v>#DIV/0!</v>
      </c>
      <c r="M726" s="25">
        <f>Parameters!L364</f>
        <v>0</v>
      </c>
      <c r="N726" s="25">
        <f>Parameters!M364</f>
        <v>0</v>
      </c>
      <c r="O726" s="26" t="e">
        <f t="shared" ref="O726" si="1084">O727</f>
        <v>#DIV/0!</v>
      </c>
      <c r="P726" s="23">
        <f>Parameters!N364</f>
        <v>0</v>
      </c>
      <c r="Q726" s="23">
        <f>Parameters!O364</f>
        <v>0</v>
      </c>
      <c r="R726" s="23">
        <f>Parameters!P364</f>
        <v>0</v>
      </c>
      <c r="S726" s="23">
        <f>Parameters!Q364</f>
        <v>0</v>
      </c>
      <c r="T726" s="23">
        <f>Parameters!R364</f>
        <v>0</v>
      </c>
      <c r="U726" s="27">
        <f>Parameters!S364</f>
        <v>0</v>
      </c>
      <c r="V726" s="28">
        <f>Parameters!T364</f>
        <v>0</v>
      </c>
      <c r="W726" s="27">
        <f>Parameters!U364</f>
        <v>0</v>
      </c>
      <c r="X726" s="28">
        <f>Parameters!V364</f>
        <v>0</v>
      </c>
      <c r="Y726" s="25">
        <f>Parameters!W364</f>
        <v>0</v>
      </c>
      <c r="Z726" s="23">
        <f>Parameters!X364</f>
        <v>0</v>
      </c>
      <c r="AA726" s="27">
        <f>Parameters!Y364</f>
        <v>0</v>
      </c>
      <c r="AB726" s="28">
        <f>Parameters!Z364</f>
        <v>0</v>
      </c>
      <c r="AC726" s="23">
        <f>Parameters!AA364</f>
        <v>0</v>
      </c>
    </row>
    <row r="727" spans="1:29">
      <c r="A727" s="29" t="str">
        <f>UPPER(A726)</f>
        <v>0</v>
      </c>
      <c r="B727" s="29">
        <f>B726</f>
        <v>0</v>
      </c>
      <c r="C727" s="30">
        <f>C726</f>
        <v>0</v>
      </c>
      <c r="D727" s="30">
        <f>D726</f>
        <v>0</v>
      </c>
      <c r="E727" s="29">
        <f>E726</f>
        <v>0</v>
      </c>
      <c r="F727" s="29">
        <f>F726</f>
        <v>0</v>
      </c>
      <c r="G727" s="29" t="e">
        <f>IF(C726=1,IF(D726="BUY",E726+(ROUND(F726*G726/B726,0)*B726),E726-(ROUND(F726*G726/B726,0)*B726)),IF(D726="BUY",E726-(ROUND(F726*G726/B726,0)*B726),E726+(ROUND(F726*G726/B726,0)*B726)))</f>
        <v>#DIV/0!</v>
      </c>
      <c r="H727" s="29" t="e">
        <f>IF(C726=1,IF(D726="BUY",G727-(ROUND(F726*H726/B726,0)*B726),G727+(ROUND(F726*H726/B726,0)*B726)),IF(D726="BUY",G727+(ROUND(F726*H726/B726,0)*B726),G727-(ROUND(F726*H726/B726,0)*B726)))</f>
        <v>#DIV/0!</v>
      </c>
      <c r="I727" s="29" t="e">
        <f>IF(D726="BUY",G727+(ROUND(F726*I726/(B726*100),0)*B726),G727-(ROUND(F726*I726/(B726*100),0)*B726))</f>
        <v>#DIV/0!</v>
      </c>
      <c r="J727" s="29" t="e">
        <f>IF(C726=1,IF(D726="BUY",E726+(ROUND(F726*J726/B726,0)*B726),E726-(ROUND(F726*J726/B726,0)*B726)),IF(D726="BUY",E726-(ROUND(F726*J726/B726,0)*B726),E726+(ROUND(F726*J726/B726,0)*B726)))</f>
        <v>#DIV/0!</v>
      </c>
      <c r="K727" s="29" t="e">
        <f>IF(C726=1,IF(D726="BUY",E726-(ROUND(F726*K726/B726,0)*B726),E726+(ROUND(F726*K726/B726,0)*B726)),IF(D726="BUY",E726-(ROUND(F726*K726/B726,0)*B726),E726+(ROUND(F726*K726/B726,0)*B726)))</f>
        <v>#DIV/0!</v>
      </c>
      <c r="L727" s="29" t="e">
        <f t="shared" ref="L727" si="1085">IF(D727="BUY",I727+(R727*B727),I727-(R727*B727))</f>
        <v>#DIV/0!</v>
      </c>
      <c r="M727" s="29" t="e">
        <f>IF(D726="BUY",E726+(ROUND(F726*M726/B726,0)*B726),E726-(ROUND(F726*M726/B726,0)*B726))</f>
        <v>#DIV/0!</v>
      </c>
      <c r="N727" s="29" t="e">
        <f>IF(D726="BUY",E726-(ROUND(F726*N726/B726,0)*B726),E726+(ROUND(F726*N726/B726,0)*B726))</f>
        <v>#DIV/0!</v>
      </c>
      <c r="O727" s="31" t="e">
        <f>IF(D727="BUY",N727-VLOOKUP(A727,Symbols!A$1:D$1000,4,FALSE),N727+VLOOKUP(A727,Symbols!A$1:D$1000,4,FALSE))</f>
        <v>#DIV/0!</v>
      </c>
      <c r="P727" s="29">
        <f>P726</f>
        <v>0</v>
      </c>
      <c r="Q727" s="29">
        <f>Q726</f>
        <v>0</v>
      </c>
      <c r="R727" s="29">
        <f>R726</f>
        <v>0</v>
      </c>
      <c r="S727" s="29">
        <f>S726</f>
        <v>0</v>
      </c>
      <c r="T727" s="29">
        <f>T726</f>
        <v>0</v>
      </c>
      <c r="U727" s="29" t="e">
        <f>DATEDIF(DATE(1970,1,1),U726,"D")*86400</f>
        <v>#NUM!</v>
      </c>
      <c r="V727" s="29">
        <f>HOUR(V726)*3600+MINUTE(V726)*60+SECOND(V726)</f>
        <v>0</v>
      </c>
      <c r="W727" s="29" t="e">
        <f>DATEDIF(DATE(1970,1,1),W726,"D")*86400</f>
        <v>#NUM!</v>
      </c>
      <c r="X727" s="29">
        <f>HOUR(X726)*3600+MINUTE(X726)*60+SECOND(X726)</f>
        <v>0</v>
      </c>
      <c r="Y727" s="31">
        <f>(Y726*B727)</f>
        <v>0</v>
      </c>
      <c r="Z727" s="29">
        <f>Z726</f>
        <v>0</v>
      </c>
      <c r="AA727" s="29" t="e">
        <f>DATEDIF(DATE(1970,1,1),AA726,"D")*86400</f>
        <v>#NUM!</v>
      </c>
      <c r="AB727" s="29">
        <f>HOUR(AB726)*3600+MINUTE(AB726)*60+SECOND(AB726)</f>
        <v>0</v>
      </c>
      <c r="AC727" s="29">
        <f>AC726</f>
        <v>0</v>
      </c>
    </row>
    <row r="728" spans="1:29">
      <c r="A728" s="23">
        <f>Parameters!A365</f>
        <v>0</v>
      </c>
      <c r="B728" s="23">
        <f>Parameters!B365</f>
        <v>0</v>
      </c>
      <c r="C728" s="24">
        <f>Parameters!C365</f>
        <v>0</v>
      </c>
      <c r="D728" s="24">
        <f>Parameters!D365</f>
        <v>0</v>
      </c>
      <c r="E728" s="23">
        <f>Parameters!E365</f>
        <v>0</v>
      </c>
      <c r="F728" s="23">
        <f>Parameters!F365</f>
        <v>0</v>
      </c>
      <c r="G728" s="25">
        <f>Parameters!G365</f>
        <v>0</v>
      </c>
      <c r="H728" s="25">
        <f>Parameters!H365</f>
        <v>0</v>
      </c>
      <c r="I728" s="25">
        <f>Parameters!I365</f>
        <v>0</v>
      </c>
      <c r="J728" s="25">
        <f>Parameters!J365</f>
        <v>0</v>
      </c>
      <c r="K728" s="25">
        <f>Parameters!K365</f>
        <v>0</v>
      </c>
      <c r="L728" s="26" t="e">
        <f t="shared" ref="L728" si="1086">L729</f>
        <v>#DIV/0!</v>
      </c>
      <c r="M728" s="25">
        <f>Parameters!L365</f>
        <v>0</v>
      </c>
      <c r="N728" s="25">
        <f>Parameters!M365</f>
        <v>0</v>
      </c>
      <c r="O728" s="26" t="e">
        <f t="shared" ref="O728" si="1087">O729</f>
        <v>#DIV/0!</v>
      </c>
      <c r="P728" s="23">
        <f>Parameters!N365</f>
        <v>0</v>
      </c>
      <c r="Q728" s="23">
        <f>Parameters!O365</f>
        <v>0</v>
      </c>
      <c r="R728" s="23">
        <f>Parameters!P365</f>
        <v>0</v>
      </c>
      <c r="S728" s="23">
        <f>Parameters!Q365</f>
        <v>0</v>
      </c>
      <c r="T728" s="23">
        <f>Parameters!R365</f>
        <v>0</v>
      </c>
      <c r="U728" s="27">
        <f>Parameters!S365</f>
        <v>0</v>
      </c>
      <c r="V728" s="28">
        <f>Parameters!T365</f>
        <v>0</v>
      </c>
      <c r="W728" s="27">
        <f>Parameters!U365</f>
        <v>0</v>
      </c>
      <c r="X728" s="28">
        <f>Parameters!V365</f>
        <v>0</v>
      </c>
      <c r="Y728" s="25">
        <f>Parameters!W365</f>
        <v>0</v>
      </c>
      <c r="Z728" s="23">
        <f>Parameters!X365</f>
        <v>0</v>
      </c>
      <c r="AA728" s="27">
        <f>Parameters!Y365</f>
        <v>0</v>
      </c>
      <c r="AB728" s="28">
        <f>Parameters!Z365</f>
        <v>0</v>
      </c>
      <c r="AC728" s="23">
        <f>Parameters!AA365</f>
        <v>0</v>
      </c>
    </row>
    <row r="729" spans="1:29">
      <c r="A729" s="29" t="str">
        <f>UPPER(A728)</f>
        <v>0</v>
      </c>
      <c r="B729" s="29">
        <f>B728</f>
        <v>0</v>
      </c>
      <c r="C729" s="30">
        <f>C728</f>
        <v>0</v>
      </c>
      <c r="D729" s="30">
        <f>D728</f>
        <v>0</v>
      </c>
      <c r="E729" s="29">
        <f>E728</f>
        <v>0</v>
      </c>
      <c r="F729" s="29">
        <f>F728</f>
        <v>0</v>
      </c>
      <c r="G729" s="29" t="e">
        <f>IF(C728=1,IF(D728="BUY",E728+(ROUND(F728*G728/B728,0)*B728),E728-(ROUND(F728*G728/B728,0)*B728)),IF(D728="BUY",E728-(ROUND(F728*G728/B728,0)*B728),E728+(ROUND(F728*G728/B728,0)*B728)))</f>
        <v>#DIV/0!</v>
      </c>
      <c r="H729" s="29" t="e">
        <f>IF(C728=1,IF(D728="BUY",G729-(ROUND(F728*H728/B728,0)*B728),G729+(ROUND(F728*H728/B728,0)*B728)),IF(D728="BUY",G729+(ROUND(F728*H728/B728,0)*B728),G729-(ROUND(F728*H728/B728,0)*B728)))</f>
        <v>#DIV/0!</v>
      </c>
      <c r="I729" s="29" t="e">
        <f>IF(D728="BUY",G729+(ROUND(F728*I728/(B728*100),0)*B728),G729-(ROUND(F728*I728/(B728*100),0)*B728))</f>
        <v>#DIV/0!</v>
      </c>
      <c r="J729" s="29" t="e">
        <f>IF(C728=1,IF(D728="BUY",E728+(ROUND(F728*J728/B728,0)*B728),E728-(ROUND(F728*J728/B728,0)*B728)),IF(D728="BUY",E728-(ROUND(F728*J728/B728,0)*B728),E728+(ROUND(F728*J728/B728,0)*B728)))</f>
        <v>#DIV/0!</v>
      </c>
      <c r="K729" s="29" t="e">
        <f>IF(C728=1,IF(D728="BUY",E728-(ROUND(F728*K728/B728,0)*B728),E728+(ROUND(F728*K728/B728,0)*B728)),IF(D728="BUY",E728-(ROUND(F728*K728/B728,0)*B728),E728+(ROUND(F728*K728/B728,0)*B728)))</f>
        <v>#DIV/0!</v>
      </c>
      <c r="L729" s="29" t="e">
        <f t="shared" ref="L729" si="1088">IF(D729="BUY",I729+(R729*B729),I729-(R729*B729))</f>
        <v>#DIV/0!</v>
      </c>
      <c r="M729" s="29" t="e">
        <f>IF(D728="BUY",E728+(ROUND(F728*M728/B728,0)*B728),E728-(ROUND(F728*M728/B728,0)*B728))</f>
        <v>#DIV/0!</v>
      </c>
      <c r="N729" s="29" t="e">
        <f>IF(D728="BUY",E728-(ROUND(F728*N728/B728,0)*B728),E728+(ROUND(F728*N728/B728,0)*B728))</f>
        <v>#DIV/0!</v>
      </c>
      <c r="O729" s="31" t="e">
        <f>IF(D729="BUY",N729-VLOOKUP(A729,Symbols!A$1:D$1000,4,FALSE),N729+VLOOKUP(A729,Symbols!A$1:D$1000,4,FALSE))</f>
        <v>#DIV/0!</v>
      </c>
      <c r="P729" s="29">
        <f>P728</f>
        <v>0</v>
      </c>
      <c r="Q729" s="29">
        <f>Q728</f>
        <v>0</v>
      </c>
      <c r="R729" s="29">
        <f>R728</f>
        <v>0</v>
      </c>
      <c r="S729" s="29">
        <f>S728</f>
        <v>0</v>
      </c>
      <c r="T729" s="29">
        <f>T728</f>
        <v>0</v>
      </c>
      <c r="U729" s="29" t="e">
        <f>DATEDIF(DATE(1970,1,1),U728,"D")*86400</f>
        <v>#NUM!</v>
      </c>
      <c r="V729" s="29">
        <f>HOUR(V728)*3600+MINUTE(V728)*60+SECOND(V728)</f>
        <v>0</v>
      </c>
      <c r="W729" s="29" t="e">
        <f>DATEDIF(DATE(1970,1,1),W728,"D")*86400</f>
        <v>#NUM!</v>
      </c>
      <c r="X729" s="29">
        <f>HOUR(X728)*3600+MINUTE(X728)*60+SECOND(X728)</f>
        <v>0</v>
      </c>
      <c r="Y729" s="31">
        <f>(Y728*B729)</f>
        <v>0</v>
      </c>
      <c r="Z729" s="29">
        <f>Z728</f>
        <v>0</v>
      </c>
      <c r="AA729" s="29" t="e">
        <f>DATEDIF(DATE(1970,1,1),AA728,"D")*86400</f>
        <v>#NUM!</v>
      </c>
      <c r="AB729" s="29">
        <f>HOUR(AB728)*3600+MINUTE(AB728)*60+SECOND(AB728)</f>
        <v>0</v>
      </c>
      <c r="AC729" s="29">
        <f>AC728</f>
        <v>0</v>
      </c>
    </row>
    <row r="730" spans="1:29">
      <c r="A730" s="23">
        <f>Parameters!A366</f>
        <v>0</v>
      </c>
      <c r="B730" s="23">
        <f>Parameters!B366</f>
        <v>0</v>
      </c>
      <c r="C730" s="24">
        <f>Parameters!C366</f>
        <v>0</v>
      </c>
      <c r="D730" s="24">
        <f>Parameters!D366</f>
        <v>0</v>
      </c>
      <c r="E730" s="23">
        <f>Parameters!E366</f>
        <v>0</v>
      </c>
      <c r="F730" s="23">
        <f>Parameters!F366</f>
        <v>0</v>
      </c>
      <c r="G730" s="25">
        <f>Parameters!G366</f>
        <v>0</v>
      </c>
      <c r="H730" s="25">
        <f>Parameters!H366</f>
        <v>0</v>
      </c>
      <c r="I730" s="25">
        <f>Parameters!I366</f>
        <v>0</v>
      </c>
      <c r="J730" s="25">
        <f>Parameters!J366</f>
        <v>0</v>
      </c>
      <c r="K730" s="25">
        <f>Parameters!K366</f>
        <v>0</v>
      </c>
      <c r="L730" s="26" t="e">
        <f t="shared" ref="L730" si="1089">L731</f>
        <v>#DIV/0!</v>
      </c>
      <c r="M730" s="25">
        <f>Parameters!L366</f>
        <v>0</v>
      </c>
      <c r="N730" s="25">
        <f>Parameters!M366</f>
        <v>0</v>
      </c>
      <c r="O730" s="26" t="e">
        <f t="shared" ref="O730" si="1090">O731</f>
        <v>#DIV/0!</v>
      </c>
      <c r="P730" s="23">
        <f>Parameters!N366</f>
        <v>0</v>
      </c>
      <c r="Q730" s="23">
        <f>Parameters!O366</f>
        <v>0</v>
      </c>
      <c r="R730" s="23">
        <f>Parameters!P366</f>
        <v>0</v>
      </c>
      <c r="S730" s="23">
        <f>Parameters!Q366</f>
        <v>0</v>
      </c>
      <c r="T730" s="23">
        <f>Parameters!R366</f>
        <v>0</v>
      </c>
      <c r="U730" s="27">
        <f>Parameters!S366</f>
        <v>0</v>
      </c>
      <c r="V730" s="28">
        <f>Parameters!T366</f>
        <v>0</v>
      </c>
      <c r="W730" s="27">
        <f>Parameters!U366</f>
        <v>0</v>
      </c>
      <c r="X730" s="28">
        <f>Parameters!V366</f>
        <v>0</v>
      </c>
      <c r="Y730" s="25">
        <f>Parameters!W366</f>
        <v>0</v>
      </c>
      <c r="Z730" s="23">
        <f>Parameters!X366</f>
        <v>0</v>
      </c>
      <c r="AA730" s="27">
        <f>Parameters!Y366</f>
        <v>0</v>
      </c>
      <c r="AB730" s="28">
        <f>Parameters!Z366</f>
        <v>0</v>
      </c>
      <c r="AC730" s="23">
        <f>Parameters!AA366</f>
        <v>0</v>
      </c>
    </row>
    <row r="731" spans="1:29">
      <c r="A731" s="29" t="str">
        <f>UPPER(A730)</f>
        <v>0</v>
      </c>
      <c r="B731" s="29">
        <f>B730</f>
        <v>0</v>
      </c>
      <c r="C731" s="30">
        <f>C730</f>
        <v>0</v>
      </c>
      <c r="D731" s="30">
        <f>D730</f>
        <v>0</v>
      </c>
      <c r="E731" s="29">
        <f>E730</f>
        <v>0</v>
      </c>
      <c r="F731" s="29">
        <f>F730</f>
        <v>0</v>
      </c>
      <c r="G731" s="29" t="e">
        <f>IF(C730=1,IF(D730="BUY",E730+(ROUND(F730*G730/B730,0)*B730),E730-(ROUND(F730*G730/B730,0)*B730)),IF(D730="BUY",E730-(ROUND(F730*G730/B730,0)*B730),E730+(ROUND(F730*G730/B730,0)*B730)))</f>
        <v>#DIV/0!</v>
      </c>
      <c r="H731" s="29" t="e">
        <f>IF(C730=1,IF(D730="BUY",G731-(ROUND(F730*H730/B730,0)*B730),G731+(ROUND(F730*H730/B730,0)*B730)),IF(D730="BUY",G731+(ROUND(F730*H730/B730,0)*B730),G731-(ROUND(F730*H730/B730,0)*B730)))</f>
        <v>#DIV/0!</v>
      </c>
      <c r="I731" s="29" t="e">
        <f>IF(D730="BUY",G731+(ROUND(F730*I730/(B730*100),0)*B730),G731-(ROUND(F730*I730/(B730*100),0)*B730))</f>
        <v>#DIV/0!</v>
      </c>
      <c r="J731" s="29" t="e">
        <f>IF(C730=1,IF(D730="BUY",E730+(ROUND(F730*J730/B730,0)*B730),E730-(ROUND(F730*J730/B730,0)*B730)),IF(D730="BUY",E730-(ROUND(F730*J730/B730,0)*B730),E730+(ROUND(F730*J730/B730,0)*B730)))</f>
        <v>#DIV/0!</v>
      </c>
      <c r="K731" s="29" t="e">
        <f>IF(C730=1,IF(D730="BUY",E730-(ROUND(F730*K730/B730,0)*B730),E730+(ROUND(F730*K730/B730,0)*B730)),IF(D730="BUY",E730-(ROUND(F730*K730/B730,0)*B730),E730+(ROUND(F730*K730/B730,0)*B730)))</f>
        <v>#DIV/0!</v>
      </c>
      <c r="L731" s="29" t="e">
        <f t="shared" ref="L731" si="1091">IF(D731="BUY",I731+(R731*B731),I731-(R731*B731))</f>
        <v>#DIV/0!</v>
      </c>
      <c r="M731" s="29" t="e">
        <f>IF(D730="BUY",E730+(ROUND(F730*M730/B730,0)*B730),E730-(ROUND(F730*M730/B730,0)*B730))</f>
        <v>#DIV/0!</v>
      </c>
      <c r="N731" s="29" t="e">
        <f>IF(D730="BUY",E730-(ROUND(F730*N730/B730,0)*B730),E730+(ROUND(F730*N730/B730,0)*B730))</f>
        <v>#DIV/0!</v>
      </c>
      <c r="O731" s="31" t="e">
        <f>IF(D731="BUY",N731-VLOOKUP(A731,Symbols!A$1:D$1000,4,FALSE),N731+VLOOKUP(A731,Symbols!A$1:D$1000,4,FALSE))</f>
        <v>#DIV/0!</v>
      </c>
      <c r="P731" s="29">
        <f>P730</f>
        <v>0</v>
      </c>
      <c r="Q731" s="29">
        <f>Q730</f>
        <v>0</v>
      </c>
      <c r="R731" s="29">
        <f>R730</f>
        <v>0</v>
      </c>
      <c r="S731" s="29">
        <f>S730</f>
        <v>0</v>
      </c>
      <c r="T731" s="29">
        <f>T730</f>
        <v>0</v>
      </c>
      <c r="U731" s="29" t="e">
        <f>DATEDIF(DATE(1970,1,1),U730,"D")*86400</f>
        <v>#NUM!</v>
      </c>
      <c r="V731" s="29">
        <f>HOUR(V730)*3600+MINUTE(V730)*60+SECOND(V730)</f>
        <v>0</v>
      </c>
      <c r="W731" s="29" t="e">
        <f>DATEDIF(DATE(1970,1,1),W730,"D")*86400</f>
        <v>#NUM!</v>
      </c>
      <c r="X731" s="29">
        <f>HOUR(X730)*3600+MINUTE(X730)*60+SECOND(X730)</f>
        <v>0</v>
      </c>
      <c r="Y731" s="31">
        <f>(Y730*B731)</f>
        <v>0</v>
      </c>
      <c r="Z731" s="29">
        <f>Z730</f>
        <v>0</v>
      </c>
      <c r="AA731" s="29" t="e">
        <f>DATEDIF(DATE(1970,1,1),AA730,"D")*86400</f>
        <v>#NUM!</v>
      </c>
      <c r="AB731" s="29">
        <f>HOUR(AB730)*3600+MINUTE(AB730)*60+SECOND(AB730)</f>
        <v>0</v>
      </c>
      <c r="AC731" s="29">
        <f>AC730</f>
        <v>0</v>
      </c>
    </row>
    <row r="732" spans="1:29">
      <c r="A732" s="23">
        <f>Parameters!A367</f>
        <v>0</v>
      </c>
      <c r="B732" s="23">
        <f>Parameters!B367</f>
        <v>0</v>
      </c>
      <c r="C732" s="24">
        <f>Parameters!C367</f>
        <v>0</v>
      </c>
      <c r="D732" s="24">
        <f>Parameters!D367</f>
        <v>0</v>
      </c>
      <c r="E732" s="23">
        <f>Parameters!E367</f>
        <v>0</v>
      </c>
      <c r="F732" s="23">
        <f>Parameters!F367</f>
        <v>0</v>
      </c>
      <c r="G732" s="25">
        <f>Parameters!G367</f>
        <v>0</v>
      </c>
      <c r="H732" s="25">
        <f>Parameters!H367</f>
        <v>0</v>
      </c>
      <c r="I732" s="25">
        <f>Parameters!I367</f>
        <v>0</v>
      </c>
      <c r="J732" s="25">
        <f>Parameters!J367</f>
        <v>0</v>
      </c>
      <c r="K732" s="25">
        <f>Parameters!K367</f>
        <v>0</v>
      </c>
      <c r="L732" s="26" t="e">
        <f t="shared" ref="L732" si="1092">L733</f>
        <v>#DIV/0!</v>
      </c>
      <c r="M732" s="25">
        <f>Parameters!L367</f>
        <v>0</v>
      </c>
      <c r="N732" s="25">
        <f>Parameters!M367</f>
        <v>0</v>
      </c>
      <c r="O732" s="26" t="e">
        <f t="shared" ref="O732" si="1093">O733</f>
        <v>#DIV/0!</v>
      </c>
      <c r="P732" s="23">
        <f>Parameters!N367</f>
        <v>0</v>
      </c>
      <c r="Q732" s="23">
        <f>Parameters!O367</f>
        <v>0</v>
      </c>
      <c r="R732" s="23">
        <f>Parameters!P367</f>
        <v>0</v>
      </c>
      <c r="S732" s="23">
        <f>Parameters!Q367</f>
        <v>0</v>
      </c>
      <c r="T732" s="23">
        <f>Parameters!R367</f>
        <v>0</v>
      </c>
      <c r="U732" s="27">
        <f>Parameters!S367</f>
        <v>0</v>
      </c>
      <c r="V732" s="28">
        <f>Parameters!T367</f>
        <v>0</v>
      </c>
      <c r="W732" s="27">
        <f>Parameters!U367</f>
        <v>0</v>
      </c>
      <c r="X732" s="28">
        <f>Parameters!V367</f>
        <v>0</v>
      </c>
      <c r="Y732" s="25">
        <f>Parameters!W367</f>
        <v>0</v>
      </c>
      <c r="Z732" s="23">
        <f>Parameters!X367</f>
        <v>0</v>
      </c>
      <c r="AA732" s="27">
        <f>Parameters!Y367</f>
        <v>0</v>
      </c>
      <c r="AB732" s="28">
        <f>Parameters!Z367</f>
        <v>0</v>
      </c>
      <c r="AC732" s="23">
        <f>Parameters!AA367</f>
        <v>0</v>
      </c>
    </row>
    <row r="733" spans="1:29">
      <c r="A733" s="29" t="str">
        <f>UPPER(A732)</f>
        <v>0</v>
      </c>
      <c r="B733" s="29">
        <f>B732</f>
        <v>0</v>
      </c>
      <c r="C733" s="30">
        <f>C732</f>
        <v>0</v>
      </c>
      <c r="D733" s="30">
        <f>D732</f>
        <v>0</v>
      </c>
      <c r="E733" s="29">
        <f>E732</f>
        <v>0</v>
      </c>
      <c r="F733" s="29">
        <f>F732</f>
        <v>0</v>
      </c>
      <c r="G733" s="29" t="e">
        <f>IF(C732=1,IF(D732="BUY",E732+(ROUND(F732*G732/B732,0)*B732),E732-(ROUND(F732*G732/B732,0)*B732)),IF(D732="BUY",E732-(ROUND(F732*G732/B732,0)*B732),E732+(ROUND(F732*G732/B732,0)*B732)))</f>
        <v>#DIV/0!</v>
      </c>
      <c r="H733" s="29" t="e">
        <f>IF(C732=1,IF(D732="BUY",G733-(ROUND(F732*H732/B732,0)*B732),G733+(ROUND(F732*H732/B732,0)*B732)),IF(D732="BUY",G733+(ROUND(F732*H732/B732,0)*B732),G733-(ROUND(F732*H732/B732,0)*B732)))</f>
        <v>#DIV/0!</v>
      </c>
      <c r="I733" s="29" t="e">
        <f>IF(D732="BUY",G733+(ROUND(F732*I732/(B732*100),0)*B732),G733-(ROUND(F732*I732/(B732*100),0)*B732))</f>
        <v>#DIV/0!</v>
      </c>
      <c r="J733" s="29" t="e">
        <f>IF(C732=1,IF(D732="BUY",E732+(ROUND(F732*J732/B732,0)*B732),E732-(ROUND(F732*J732/B732,0)*B732)),IF(D732="BUY",E732-(ROUND(F732*J732/B732,0)*B732),E732+(ROUND(F732*J732/B732,0)*B732)))</f>
        <v>#DIV/0!</v>
      </c>
      <c r="K733" s="29" t="e">
        <f>IF(C732=1,IF(D732="BUY",E732-(ROUND(F732*K732/B732,0)*B732),E732+(ROUND(F732*K732/B732,0)*B732)),IF(D732="BUY",E732-(ROUND(F732*K732/B732,0)*B732),E732+(ROUND(F732*K732/B732,0)*B732)))</f>
        <v>#DIV/0!</v>
      </c>
      <c r="L733" s="29" t="e">
        <f t="shared" ref="L733" si="1094">IF(D733="BUY",I733+(R733*B733),I733-(R733*B733))</f>
        <v>#DIV/0!</v>
      </c>
      <c r="M733" s="29" t="e">
        <f>IF(D732="BUY",E732+(ROUND(F732*M732/B732,0)*B732),E732-(ROUND(F732*M732/B732,0)*B732))</f>
        <v>#DIV/0!</v>
      </c>
      <c r="N733" s="29" t="e">
        <f>IF(D732="BUY",E732-(ROUND(F732*N732/B732,0)*B732),E732+(ROUND(F732*N732/B732,0)*B732))</f>
        <v>#DIV/0!</v>
      </c>
      <c r="O733" s="31" t="e">
        <f>IF(D733="BUY",N733-VLOOKUP(A733,Symbols!A$1:D$1000,4,FALSE),N733+VLOOKUP(A733,Symbols!A$1:D$1000,4,FALSE))</f>
        <v>#DIV/0!</v>
      </c>
      <c r="P733" s="29">
        <f>P732</f>
        <v>0</v>
      </c>
      <c r="Q733" s="29">
        <f>Q732</f>
        <v>0</v>
      </c>
      <c r="R733" s="29">
        <f>R732</f>
        <v>0</v>
      </c>
      <c r="S733" s="29">
        <f>S732</f>
        <v>0</v>
      </c>
      <c r="T733" s="29">
        <f>T732</f>
        <v>0</v>
      </c>
      <c r="U733" s="29" t="e">
        <f>DATEDIF(DATE(1970,1,1),U732,"D")*86400</f>
        <v>#NUM!</v>
      </c>
      <c r="V733" s="29">
        <f>HOUR(V732)*3600+MINUTE(V732)*60+SECOND(V732)</f>
        <v>0</v>
      </c>
      <c r="W733" s="29" t="e">
        <f>DATEDIF(DATE(1970,1,1),W732,"D")*86400</f>
        <v>#NUM!</v>
      </c>
      <c r="X733" s="29">
        <f>HOUR(X732)*3600+MINUTE(X732)*60+SECOND(X732)</f>
        <v>0</v>
      </c>
      <c r="Y733" s="31">
        <f>(Y732*B733)</f>
        <v>0</v>
      </c>
      <c r="Z733" s="29">
        <f>Z732</f>
        <v>0</v>
      </c>
      <c r="AA733" s="29" t="e">
        <f>DATEDIF(DATE(1970,1,1),AA732,"D")*86400</f>
        <v>#NUM!</v>
      </c>
      <c r="AB733" s="29">
        <f>HOUR(AB732)*3600+MINUTE(AB732)*60+SECOND(AB732)</f>
        <v>0</v>
      </c>
      <c r="AC733" s="29">
        <f>AC732</f>
        <v>0</v>
      </c>
    </row>
    <row r="734" spans="1:29">
      <c r="A734" s="23">
        <f>Parameters!A368</f>
        <v>0</v>
      </c>
      <c r="B734" s="23">
        <f>Parameters!B368</f>
        <v>0</v>
      </c>
      <c r="C734" s="24">
        <f>Parameters!C368</f>
        <v>0</v>
      </c>
      <c r="D734" s="24">
        <f>Parameters!D368</f>
        <v>0</v>
      </c>
      <c r="E734" s="23">
        <f>Parameters!E368</f>
        <v>0</v>
      </c>
      <c r="F734" s="23">
        <f>Parameters!F368</f>
        <v>0</v>
      </c>
      <c r="G734" s="25">
        <f>Parameters!G368</f>
        <v>0</v>
      </c>
      <c r="H734" s="25">
        <f>Parameters!H368</f>
        <v>0</v>
      </c>
      <c r="I734" s="25">
        <f>Parameters!I368</f>
        <v>0</v>
      </c>
      <c r="J734" s="25">
        <f>Parameters!J368</f>
        <v>0</v>
      </c>
      <c r="K734" s="25">
        <f>Parameters!K368</f>
        <v>0</v>
      </c>
      <c r="L734" s="26" t="e">
        <f t="shared" ref="L734" si="1095">L735</f>
        <v>#DIV/0!</v>
      </c>
      <c r="M734" s="25">
        <f>Parameters!L368</f>
        <v>0</v>
      </c>
      <c r="N734" s="25">
        <f>Parameters!M368</f>
        <v>0</v>
      </c>
      <c r="O734" s="26" t="e">
        <f t="shared" ref="O734" si="1096">O735</f>
        <v>#DIV/0!</v>
      </c>
      <c r="P734" s="23">
        <f>Parameters!N368</f>
        <v>0</v>
      </c>
      <c r="Q734" s="23">
        <f>Parameters!O368</f>
        <v>0</v>
      </c>
      <c r="R734" s="23">
        <f>Parameters!P368</f>
        <v>0</v>
      </c>
      <c r="S734" s="23">
        <f>Parameters!Q368</f>
        <v>0</v>
      </c>
      <c r="T734" s="23">
        <f>Parameters!R368</f>
        <v>0</v>
      </c>
      <c r="U734" s="27">
        <f>Parameters!S368</f>
        <v>0</v>
      </c>
      <c r="V734" s="28">
        <f>Parameters!T368</f>
        <v>0</v>
      </c>
      <c r="W734" s="27">
        <f>Parameters!U368</f>
        <v>0</v>
      </c>
      <c r="X734" s="28">
        <f>Parameters!V368</f>
        <v>0</v>
      </c>
      <c r="Y734" s="25">
        <f>Parameters!W368</f>
        <v>0</v>
      </c>
      <c r="Z734" s="23">
        <f>Parameters!X368</f>
        <v>0</v>
      </c>
      <c r="AA734" s="27">
        <f>Parameters!Y368</f>
        <v>0</v>
      </c>
      <c r="AB734" s="28">
        <f>Parameters!Z368</f>
        <v>0</v>
      </c>
      <c r="AC734" s="23">
        <f>Parameters!AA368</f>
        <v>0</v>
      </c>
    </row>
    <row r="735" spans="1:29">
      <c r="A735" s="29" t="str">
        <f>UPPER(A734)</f>
        <v>0</v>
      </c>
      <c r="B735" s="29">
        <f>B734</f>
        <v>0</v>
      </c>
      <c r="C735" s="30">
        <f>C734</f>
        <v>0</v>
      </c>
      <c r="D735" s="30">
        <f>D734</f>
        <v>0</v>
      </c>
      <c r="E735" s="29">
        <f>E734</f>
        <v>0</v>
      </c>
      <c r="F735" s="29">
        <f>F734</f>
        <v>0</v>
      </c>
      <c r="G735" s="29" t="e">
        <f>IF(C734=1,IF(D734="BUY",E734+(ROUND(F734*G734/B734,0)*B734),E734-(ROUND(F734*G734/B734,0)*B734)),IF(D734="BUY",E734-(ROUND(F734*G734/B734,0)*B734),E734+(ROUND(F734*G734/B734,0)*B734)))</f>
        <v>#DIV/0!</v>
      </c>
      <c r="H735" s="29" t="e">
        <f>IF(C734=1,IF(D734="BUY",G735-(ROUND(F734*H734/B734,0)*B734),G735+(ROUND(F734*H734/B734,0)*B734)),IF(D734="BUY",G735+(ROUND(F734*H734/B734,0)*B734),G735-(ROUND(F734*H734/B734,0)*B734)))</f>
        <v>#DIV/0!</v>
      </c>
      <c r="I735" s="29" t="e">
        <f>IF(D734="BUY",G735+(ROUND(F734*I734/(B734*100),0)*B734),G735-(ROUND(F734*I734/(B734*100),0)*B734))</f>
        <v>#DIV/0!</v>
      </c>
      <c r="J735" s="29" t="e">
        <f>IF(C734=1,IF(D734="BUY",E734+(ROUND(F734*J734/B734,0)*B734),E734-(ROUND(F734*J734/B734,0)*B734)),IF(D734="BUY",E734-(ROUND(F734*J734/B734,0)*B734),E734+(ROUND(F734*J734/B734,0)*B734)))</f>
        <v>#DIV/0!</v>
      </c>
      <c r="K735" s="29" t="e">
        <f>IF(C734=1,IF(D734="BUY",E734-(ROUND(F734*K734/B734,0)*B734),E734+(ROUND(F734*K734/B734,0)*B734)),IF(D734="BUY",E734-(ROUND(F734*K734/B734,0)*B734),E734+(ROUND(F734*K734/B734,0)*B734)))</f>
        <v>#DIV/0!</v>
      </c>
      <c r="L735" s="29" t="e">
        <f t="shared" ref="L735" si="1097">IF(D735="BUY",I735+(R735*B735),I735-(R735*B735))</f>
        <v>#DIV/0!</v>
      </c>
      <c r="M735" s="29" t="e">
        <f>IF(D734="BUY",E734+(ROUND(F734*M734/B734,0)*B734),E734-(ROUND(F734*M734/B734,0)*B734))</f>
        <v>#DIV/0!</v>
      </c>
      <c r="N735" s="29" t="e">
        <f>IF(D734="BUY",E734-(ROUND(F734*N734/B734,0)*B734),E734+(ROUND(F734*N734/B734,0)*B734))</f>
        <v>#DIV/0!</v>
      </c>
      <c r="O735" s="31" t="e">
        <f>IF(D735="BUY",N735-VLOOKUP(A735,Symbols!A$1:D$1000,4,FALSE),N735+VLOOKUP(A735,Symbols!A$1:D$1000,4,FALSE))</f>
        <v>#DIV/0!</v>
      </c>
      <c r="P735" s="29">
        <f>P734</f>
        <v>0</v>
      </c>
      <c r="Q735" s="29">
        <f>Q734</f>
        <v>0</v>
      </c>
      <c r="R735" s="29">
        <f>R734</f>
        <v>0</v>
      </c>
      <c r="S735" s="29">
        <f>S734</f>
        <v>0</v>
      </c>
      <c r="T735" s="29">
        <f>T734</f>
        <v>0</v>
      </c>
      <c r="U735" s="29" t="e">
        <f>DATEDIF(DATE(1970,1,1),U734,"D")*86400</f>
        <v>#NUM!</v>
      </c>
      <c r="V735" s="29">
        <f>HOUR(V734)*3600+MINUTE(V734)*60+SECOND(V734)</f>
        <v>0</v>
      </c>
      <c r="W735" s="29" t="e">
        <f>DATEDIF(DATE(1970,1,1),W734,"D")*86400</f>
        <v>#NUM!</v>
      </c>
      <c r="X735" s="29">
        <f>HOUR(X734)*3600+MINUTE(X734)*60+SECOND(X734)</f>
        <v>0</v>
      </c>
      <c r="Y735" s="31">
        <f>(Y734*B735)</f>
        <v>0</v>
      </c>
      <c r="Z735" s="29">
        <f>Z734</f>
        <v>0</v>
      </c>
      <c r="AA735" s="29" t="e">
        <f>DATEDIF(DATE(1970,1,1),AA734,"D")*86400</f>
        <v>#NUM!</v>
      </c>
      <c r="AB735" s="29">
        <f>HOUR(AB734)*3600+MINUTE(AB734)*60+SECOND(AB734)</f>
        <v>0</v>
      </c>
      <c r="AC735" s="29">
        <f>AC734</f>
        <v>0</v>
      </c>
    </row>
    <row r="736" spans="1:29">
      <c r="A736" s="23">
        <f>Parameters!A369</f>
        <v>0</v>
      </c>
      <c r="B736" s="23">
        <f>Parameters!B369</f>
        <v>0</v>
      </c>
      <c r="C736" s="24">
        <f>Parameters!C369</f>
        <v>0</v>
      </c>
      <c r="D736" s="24">
        <f>Parameters!D369</f>
        <v>0</v>
      </c>
      <c r="E736" s="23">
        <f>Parameters!E369</f>
        <v>0</v>
      </c>
      <c r="F736" s="23">
        <f>Parameters!F369</f>
        <v>0</v>
      </c>
      <c r="G736" s="25">
        <f>Parameters!G369</f>
        <v>0</v>
      </c>
      <c r="H736" s="25">
        <f>Parameters!H369</f>
        <v>0</v>
      </c>
      <c r="I736" s="25">
        <f>Parameters!I369</f>
        <v>0</v>
      </c>
      <c r="J736" s="25">
        <f>Parameters!J369</f>
        <v>0</v>
      </c>
      <c r="K736" s="25">
        <f>Parameters!K369</f>
        <v>0</v>
      </c>
      <c r="L736" s="26" t="e">
        <f t="shared" ref="L736" si="1098">L737</f>
        <v>#DIV/0!</v>
      </c>
      <c r="M736" s="25">
        <f>Parameters!L369</f>
        <v>0</v>
      </c>
      <c r="N736" s="25">
        <f>Parameters!M369</f>
        <v>0</v>
      </c>
      <c r="O736" s="26" t="e">
        <f t="shared" ref="O736" si="1099">O737</f>
        <v>#DIV/0!</v>
      </c>
      <c r="P736" s="23">
        <f>Parameters!N369</f>
        <v>0</v>
      </c>
      <c r="Q736" s="23">
        <f>Parameters!O369</f>
        <v>0</v>
      </c>
      <c r="R736" s="23">
        <f>Parameters!P369</f>
        <v>0</v>
      </c>
      <c r="S736" s="23">
        <f>Parameters!Q369</f>
        <v>0</v>
      </c>
      <c r="T736" s="23">
        <f>Parameters!R369</f>
        <v>0</v>
      </c>
      <c r="U736" s="27">
        <f>Parameters!S369</f>
        <v>0</v>
      </c>
      <c r="V736" s="28">
        <f>Parameters!T369</f>
        <v>0</v>
      </c>
      <c r="W736" s="27">
        <f>Parameters!U369</f>
        <v>0</v>
      </c>
      <c r="X736" s="28">
        <f>Parameters!V369</f>
        <v>0</v>
      </c>
      <c r="Y736" s="25">
        <f>Parameters!W369</f>
        <v>0</v>
      </c>
      <c r="Z736" s="23">
        <f>Parameters!X369</f>
        <v>0</v>
      </c>
      <c r="AA736" s="27">
        <f>Parameters!Y369</f>
        <v>0</v>
      </c>
      <c r="AB736" s="28">
        <f>Parameters!Z369</f>
        <v>0</v>
      </c>
      <c r="AC736" s="23">
        <f>Parameters!AA369</f>
        <v>0</v>
      </c>
    </row>
    <row r="737" spans="1:29">
      <c r="A737" s="29" t="str">
        <f>UPPER(A736)</f>
        <v>0</v>
      </c>
      <c r="B737" s="29">
        <f>B736</f>
        <v>0</v>
      </c>
      <c r="C737" s="30">
        <f>C736</f>
        <v>0</v>
      </c>
      <c r="D737" s="30">
        <f>D736</f>
        <v>0</v>
      </c>
      <c r="E737" s="29">
        <f>E736</f>
        <v>0</v>
      </c>
      <c r="F737" s="29">
        <f>F736</f>
        <v>0</v>
      </c>
      <c r="G737" s="29" t="e">
        <f>IF(C736=1,IF(D736="BUY",E736+(ROUND(F736*G736/B736,0)*B736),E736-(ROUND(F736*G736/B736,0)*B736)),IF(D736="BUY",E736-(ROUND(F736*G736/B736,0)*B736),E736+(ROUND(F736*G736/B736,0)*B736)))</f>
        <v>#DIV/0!</v>
      </c>
      <c r="H737" s="29" t="e">
        <f>IF(C736=1,IF(D736="BUY",G737-(ROUND(F736*H736/B736,0)*B736),G737+(ROUND(F736*H736/B736,0)*B736)),IF(D736="BUY",G737+(ROUND(F736*H736/B736,0)*B736),G737-(ROUND(F736*H736/B736,0)*B736)))</f>
        <v>#DIV/0!</v>
      </c>
      <c r="I737" s="29" t="e">
        <f>IF(D736="BUY",G737+(ROUND(F736*I736/(B736*100),0)*B736),G737-(ROUND(F736*I736/(B736*100),0)*B736))</f>
        <v>#DIV/0!</v>
      </c>
      <c r="J737" s="29" t="e">
        <f>IF(C736=1,IF(D736="BUY",E736+(ROUND(F736*J736/B736,0)*B736),E736-(ROUND(F736*J736/B736,0)*B736)),IF(D736="BUY",E736-(ROUND(F736*J736/B736,0)*B736),E736+(ROUND(F736*J736/B736,0)*B736)))</f>
        <v>#DIV/0!</v>
      </c>
      <c r="K737" s="29" t="e">
        <f>IF(C736=1,IF(D736="BUY",E736-(ROUND(F736*K736/B736,0)*B736),E736+(ROUND(F736*K736/B736,0)*B736)),IF(D736="BUY",E736-(ROUND(F736*K736/B736,0)*B736),E736+(ROUND(F736*K736/B736,0)*B736)))</f>
        <v>#DIV/0!</v>
      </c>
      <c r="L737" s="29" t="e">
        <f t="shared" ref="L737" si="1100">IF(D737="BUY",I737+(R737*B737),I737-(R737*B737))</f>
        <v>#DIV/0!</v>
      </c>
      <c r="M737" s="29" t="e">
        <f>IF(D736="BUY",E736+(ROUND(F736*M736/B736,0)*B736),E736-(ROUND(F736*M736/B736,0)*B736))</f>
        <v>#DIV/0!</v>
      </c>
      <c r="N737" s="29" t="e">
        <f>IF(D736="BUY",E736-(ROUND(F736*N736/B736,0)*B736),E736+(ROUND(F736*N736/B736,0)*B736))</f>
        <v>#DIV/0!</v>
      </c>
      <c r="O737" s="31" t="e">
        <f>IF(D737="BUY",N737-VLOOKUP(A737,Symbols!A$1:D$1000,4,FALSE),N737+VLOOKUP(A737,Symbols!A$1:D$1000,4,FALSE))</f>
        <v>#DIV/0!</v>
      </c>
      <c r="P737" s="29">
        <f>P736</f>
        <v>0</v>
      </c>
      <c r="Q737" s="29">
        <f>Q736</f>
        <v>0</v>
      </c>
      <c r="R737" s="29">
        <f>R736</f>
        <v>0</v>
      </c>
      <c r="S737" s="29">
        <f>S736</f>
        <v>0</v>
      </c>
      <c r="T737" s="29">
        <f>T736</f>
        <v>0</v>
      </c>
      <c r="U737" s="29" t="e">
        <f>DATEDIF(DATE(1970,1,1),U736,"D")*86400</f>
        <v>#NUM!</v>
      </c>
      <c r="V737" s="29">
        <f>HOUR(V736)*3600+MINUTE(V736)*60+SECOND(V736)</f>
        <v>0</v>
      </c>
      <c r="W737" s="29" t="e">
        <f>DATEDIF(DATE(1970,1,1),W736,"D")*86400</f>
        <v>#NUM!</v>
      </c>
      <c r="X737" s="29">
        <f>HOUR(X736)*3600+MINUTE(X736)*60+SECOND(X736)</f>
        <v>0</v>
      </c>
      <c r="Y737" s="31">
        <f>(Y736*B737)</f>
        <v>0</v>
      </c>
      <c r="Z737" s="29">
        <f>Z736</f>
        <v>0</v>
      </c>
      <c r="AA737" s="29" t="e">
        <f>DATEDIF(DATE(1970,1,1),AA736,"D")*86400</f>
        <v>#NUM!</v>
      </c>
      <c r="AB737" s="29">
        <f>HOUR(AB736)*3600+MINUTE(AB736)*60+SECOND(AB736)</f>
        <v>0</v>
      </c>
      <c r="AC737" s="29">
        <f>AC736</f>
        <v>0</v>
      </c>
    </row>
    <row r="738" spans="1:29">
      <c r="A738" s="23">
        <f>Parameters!A370</f>
        <v>0</v>
      </c>
      <c r="B738" s="23">
        <f>Parameters!B370</f>
        <v>0</v>
      </c>
      <c r="C738" s="24">
        <f>Parameters!C370</f>
        <v>0</v>
      </c>
      <c r="D738" s="24">
        <f>Parameters!D370</f>
        <v>0</v>
      </c>
      <c r="E738" s="23">
        <f>Parameters!E370</f>
        <v>0</v>
      </c>
      <c r="F738" s="23">
        <f>Parameters!F370</f>
        <v>0</v>
      </c>
      <c r="G738" s="25">
        <f>Parameters!G370</f>
        <v>0</v>
      </c>
      <c r="H738" s="25">
        <f>Parameters!H370</f>
        <v>0</v>
      </c>
      <c r="I738" s="25">
        <f>Parameters!I370</f>
        <v>0</v>
      </c>
      <c r="J738" s="25">
        <f>Parameters!J370</f>
        <v>0</v>
      </c>
      <c r="K738" s="25">
        <f>Parameters!K370</f>
        <v>0</v>
      </c>
      <c r="L738" s="26" t="e">
        <f t="shared" ref="L738" si="1101">L739</f>
        <v>#DIV/0!</v>
      </c>
      <c r="M738" s="25">
        <f>Parameters!L370</f>
        <v>0</v>
      </c>
      <c r="N738" s="25">
        <f>Parameters!M370</f>
        <v>0</v>
      </c>
      <c r="O738" s="26" t="e">
        <f t="shared" ref="O738" si="1102">O739</f>
        <v>#DIV/0!</v>
      </c>
      <c r="P738" s="23">
        <f>Parameters!N370</f>
        <v>0</v>
      </c>
      <c r="Q738" s="23">
        <f>Parameters!O370</f>
        <v>0</v>
      </c>
      <c r="R738" s="23">
        <f>Parameters!P370</f>
        <v>0</v>
      </c>
      <c r="S738" s="23">
        <f>Parameters!Q370</f>
        <v>0</v>
      </c>
      <c r="T738" s="23">
        <f>Parameters!R370</f>
        <v>0</v>
      </c>
      <c r="U738" s="27">
        <f>Parameters!S370</f>
        <v>0</v>
      </c>
      <c r="V738" s="28">
        <f>Parameters!T370</f>
        <v>0</v>
      </c>
      <c r="W738" s="27">
        <f>Parameters!U370</f>
        <v>0</v>
      </c>
      <c r="X738" s="28">
        <f>Parameters!V370</f>
        <v>0</v>
      </c>
      <c r="Y738" s="25">
        <f>Parameters!W370</f>
        <v>0</v>
      </c>
      <c r="Z738" s="23">
        <f>Parameters!X370</f>
        <v>0</v>
      </c>
      <c r="AA738" s="27">
        <f>Parameters!Y370</f>
        <v>0</v>
      </c>
      <c r="AB738" s="28">
        <f>Parameters!Z370</f>
        <v>0</v>
      </c>
      <c r="AC738" s="23">
        <f>Parameters!AA370</f>
        <v>0</v>
      </c>
    </row>
    <row r="739" spans="1:29">
      <c r="A739" s="29" t="str">
        <f>UPPER(A738)</f>
        <v>0</v>
      </c>
      <c r="B739" s="29">
        <f>B738</f>
        <v>0</v>
      </c>
      <c r="C739" s="30">
        <f>C738</f>
        <v>0</v>
      </c>
      <c r="D739" s="30">
        <f>D738</f>
        <v>0</v>
      </c>
      <c r="E739" s="29">
        <f>E738</f>
        <v>0</v>
      </c>
      <c r="F739" s="29">
        <f>F738</f>
        <v>0</v>
      </c>
      <c r="G739" s="29" t="e">
        <f>IF(C738=1,IF(D738="BUY",E738+(ROUND(F738*G738/B738,0)*B738),E738-(ROUND(F738*G738/B738,0)*B738)),IF(D738="BUY",E738-(ROUND(F738*G738/B738,0)*B738),E738+(ROUND(F738*G738/B738,0)*B738)))</f>
        <v>#DIV/0!</v>
      </c>
      <c r="H739" s="29" t="e">
        <f>IF(C738=1,IF(D738="BUY",G739-(ROUND(F738*H738/B738,0)*B738),G739+(ROUND(F738*H738/B738,0)*B738)),IF(D738="BUY",G739+(ROUND(F738*H738/B738,0)*B738),G739-(ROUND(F738*H738/B738,0)*B738)))</f>
        <v>#DIV/0!</v>
      </c>
      <c r="I739" s="29" t="e">
        <f>IF(D738="BUY",G739+(ROUND(F738*I738/(B738*100),0)*B738),G739-(ROUND(F738*I738/(B738*100),0)*B738))</f>
        <v>#DIV/0!</v>
      </c>
      <c r="J739" s="29" t="e">
        <f>IF(C738=1,IF(D738="BUY",E738+(ROUND(F738*J738/B738,0)*B738),E738-(ROUND(F738*J738/B738,0)*B738)),IF(D738="BUY",E738-(ROUND(F738*J738/B738,0)*B738),E738+(ROUND(F738*J738/B738,0)*B738)))</f>
        <v>#DIV/0!</v>
      </c>
      <c r="K739" s="29" t="e">
        <f>IF(C738=1,IF(D738="BUY",E738-(ROUND(F738*K738/B738,0)*B738),E738+(ROUND(F738*K738/B738,0)*B738)),IF(D738="BUY",E738-(ROUND(F738*K738/B738,0)*B738),E738+(ROUND(F738*K738/B738,0)*B738)))</f>
        <v>#DIV/0!</v>
      </c>
      <c r="L739" s="29" t="e">
        <f t="shared" ref="L739" si="1103">IF(D739="BUY",I739+(R739*B739),I739-(R739*B739))</f>
        <v>#DIV/0!</v>
      </c>
      <c r="M739" s="29" t="e">
        <f>IF(D738="BUY",E738+(ROUND(F738*M738/B738,0)*B738),E738-(ROUND(F738*M738/B738,0)*B738))</f>
        <v>#DIV/0!</v>
      </c>
      <c r="N739" s="29" t="e">
        <f>IF(D738="BUY",E738-(ROUND(F738*N738/B738,0)*B738),E738+(ROUND(F738*N738/B738,0)*B738))</f>
        <v>#DIV/0!</v>
      </c>
      <c r="O739" s="31" t="e">
        <f>IF(D739="BUY",N739-VLOOKUP(A739,Symbols!A$1:D$1000,4,FALSE),N739+VLOOKUP(A739,Symbols!A$1:D$1000,4,FALSE))</f>
        <v>#DIV/0!</v>
      </c>
      <c r="P739" s="29">
        <f>P738</f>
        <v>0</v>
      </c>
      <c r="Q739" s="29">
        <f>Q738</f>
        <v>0</v>
      </c>
      <c r="R739" s="29">
        <f>R738</f>
        <v>0</v>
      </c>
      <c r="S739" s="29">
        <f>S738</f>
        <v>0</v>
      </c>
      <c r="T739" s="29">
        <f>T738</f>
        <v>0</v>
      </c>
      <c r="U739" s="29" t="e">
        <f>DATEDIF(DATE(1970,1,1),U738,"D")*86400</f>
        <v>#NUM!</v>
      </c>
      <c r="V739" s="29">
        <f>HOUR(V738)*3600+MINUTE(V738)*60+SECOND(V738)</f>
        <v>0</v>
      </c>
      <c r="W739" s="29" t="e">
        <f>DATEDIF(DATE(1970,1,1),W738,"D")*86400</f>
        <v>#NUM!</v>
      </c>
      <c r="X739" s="29">
        <f>HOUR(X738)*3600+MINUTE(X738)*60+SECOND(X738)</f>
        <v>0</v>
      </c>
      <c r="Y739" s="31">
        <f>(Y738*B739)</f>
        <v>0</v>
      </c>
      <c r="Z739" s="29">
        <f>Z738</f>
        <v>0</v>
      </c>
      <c r="AA739" s="29" t="e">
        <f>DATEDIF(DATE(1970,1,1),AA738,"D")*86400</f>
        <v>#NUM!</v>
      </c>
      <c r="AB739" s="29">
        <f>HOUR(AB738)*3600+MINUTE(AB738)*60+SECOND(AB738)</f>
        <v>0</v>
      </c>
      <c r="AC739" s="29">
        <f>AC738</f>
        <v>0</v>
      </c>
    </row>
    <row r="740" spans="1:29">
      <c r="A740" s="23">
        <f>Parameters!A371</f>
        <v>0</v>
      </c>
      <c r="B740" s="23">
        <f>Parameters!B371</f>
        <v>0</v>
      </c>
      <c r="C740" s="24">
        <f>Parameters!C371</f>
        <v>0</v>
      </c>
      <c r="D740" s="24">
        <f>Parameters!D371</f>
        <v>0</v>
      </c>
      <c r="E740" s="23">
        <f>Parameters!E371</f>
        <v>0</v>
      </c>
      <c r="F740" s="23">
        <f>Parameters!F371</f>
        <v>0</v>
      </c>
      <c r="G740" s="25">
        <f>Parameters!G371</f>
        <v>0</v>
      </c>
      <c r="H740" s="25">
        <f>Parameters!H371</f>
        <v>0</v>
      </c>
      <c r="I740" s="25">
        <f>Parameters!I371</f>
        <v>0</v>
      </c>
      <c r="J740" s="25">
        <f>Parameters!J371</f>
        <v>0</v>
      </c>
      <c r="K740" s="25">
        <f>Parameters!K371</f>
        <v>0</v>
      </c>
      <c r="L740" s="26" t="e">
        <f t="shared" ref="L740" si="1104">L741</f>
        <v>#DIV/0!</v>
      </c>
      <c r="M740" s="25">
        <f>Parameters!L371</f>
        <v>0</v>
      </c>
      <c r="N740" s="25">
        <f>Parameters!M371</f>
        <v>0</v>
      </c>
      <c r="O740" s="26" t="e">
        <f t="shared" ref="O740" si="1105">O741</f>
        <v>#DIV/0!</v>
      </c>
      <c r="P740" s="23">
        <f>Parameters!N371</f>
        <v>0</v>
      </c>
      <c r="Q740" s="23">
        <f>Parameters!O371</f>
        <v>0</v>
      </c>
      <c r="R740" s="23">
        <f>Parameters!P371</f>
        <v>0</v>
      </c>
      <c r="S740" s="23">
        <f>Parameters!Q371</f>
        <v>0</v>
      </c>
      <c r="T740" s="23">
        <f>Parameters!R371</f>
        <v>0</v>
      </c>
      <c r="U740" s="27">
        <f>Parameters!S371</f>
        <v>0</v>
      </c>
      <c r="V740" s="28">
        <f>Parameters!T371</f>
        <v>0</v>
      </c>
      <c r="W740" s="27">
        <f>Parameters!U371</f>
        <v>0</v>
      </c>
      <c r="X740" s="28">
        <f>Parameters!V371</f>
        <v>0</v>
      </c>
      <c r="Y740" s="25">
        <f>Parameters!W371</f>
        <v>0</v>
      </c>
      <c r="Z740" s="23">
        <f>Parameters!X371</f>
        <v>0</v>
      </c>
      <c r="AA740" s="27">
        <f>Parameters!Y371</f>
        <v>0</v>
      </c>
      <c r="AB740" s="28">
        <f>Parameters!Z371</f>
        <v>0</v>
      </c>
      <c r="AC740" s="23">
        <f>Parameters!AA371</f>
        <v>0</v>
      </c>
    </row>
    <row r="741" spans="1:29">
      <c r="A741" s="29" t="str">
        <f>UPPER(A740)</f>
        <v>0</v>
      </c>
      <c r="B741" s="29">
        <f>B740</f>
        <v>0</v>
      </c>
      <c r="C741" s="30">
        <f>C740</f>
        <v>0</v>
      </c>
      <c r="D741" s="30">
        <f>D740</f>
        <v>0</v>
      </c>
      <c r="E741" s="29">
        <f>E740</f>
        <v>0</v>
      </c>
      <c r="F741" s="29">
        <f>F740</f>
        <v>0</v>
      </c>
      <c r="G741" s="29" t="e">
        <f>IF(C740=1,IF(D740="BUY",E740+(ROUND(F740*G740/B740,0)*B740),E740-(ROUND(F740*G740/B740,0)*B740)),IF(D740="BUY",E740-(ROUND(F740*G740/B740,0)*B740),E740+(ROUND(F740*G740/B740,0)*B740)))</f>
        <v>#DIV/0!</v>
      </c>
      <c r="H741" s="29" t="e">
        <f>IF(C740=1,IF(D740="BUY",G741-(ROUND(F740*H740/B740,0)*B740),G741+(ROUND(F740*H740/B740,0)*B740)),IF(D740="BUY",G741+(ROUND(F740*H740/B740,0)*B740),G741-(ROUND(F740*H740/B740,0)*B740)))</f>
        <v>#DIV/0!</v>
      </c>
      <c r="I741" s="29" t="e">
        <f>IF(D740="BUY",G741+(ROUND(F740*I740/(B740*100),0)*B740),G741-(ROUND(F740*I740/(B740*100),0)*B740))</f>
        <v>#DIV/0!</v>
      </c>
      <c r="J741" s="29" t="e">
        <f>IF(C740=1,IF(D740="BUY",E740+(ROUND(F740*J740/B740,0)*B740),E740-(ROUND(F740*J740/B740,0)*B740)),IF(D740="BUY",E740-(ROUND(F740*J740/B740,0)*B740),E740+(ROUND(F740*J740/B740,0)*B740)))</f>
        <v>#DIV/0!</v>
      </c>
      <c r="K741" s="29" t="e">
        <f>IF(C740=1,IF(D740="BUY",E740-(ROUND(F740*K740/B740,0)*B740),E740+(ROUND(F740*K740/B740,0)*B740)),IF(D740="BUY",E740-(ROUND(F740*K740/B740,0)*B740),E740+(ROUND(F740*K740/B740,0)*B740)))</f>
        <v>#DIV/0!</v>
      </c>
      <c r="L741" s="29" t="e">
        <f t="shared" ref="L741" si="1106">IF(D741="BUY",I741+(R741*B741),I741-(R741*B741))</f>
        <v>#DIV/0!</v>
      </c>
      <c r="M741" s="29" t="e">
        <f>IF(D740="BUY",E740+(ROUND(F740*M740/B740,0)*B740),E740-(ROUND(F740*M740/B740,0)*B740))</f>
        <v>#DIV/0!</v>
      </c>
      <c r="N741" s="29" t="e">
        <f>IF(D740="BUY",E740-(ROUND(F740*N740/B740,0)*B740),E740+(ROUND(F740*N740/B740,0)*B740))</f>
        <v>#DIV/0!</v>
      </c>
      <c r="O741" s="31" t="e">
        <f>IF(D741="BUY",N741-VLOOKUP(A741,Symbols!A$1:D$1000,4,FALSE),N741+VLOOKUP(A741,Symbols!A$1:D$1000,4,FALSE))</f>
        <v>#DIV/0!</v>
      </c>
      <c r="P741" s="29">
        <f>P740</f>
        <v>0</v>
      </c>
      <c r="Q741" s="29">
        <f>Q740</f>
        <v>0</v>
      </c>
      <c r="R741" s="29">
        <f>R740</f>
        <v>0</v>
      </c>
      <c r="S741" s="29">
        <f>S740</f>
        <v>0</v>
      </c>
      <c r="T741" s="29">
        <f>T740</f>
        <v>0</v>
      </c>
      <c r="U741" s="29" t="e">
        <f>DATEDIF(DATE(1970,1,1),U740,"D")*86400</f>
        <v>#NUM!</v>
      </c>
      <c r="V741" s="29">
        <f>HOUR(V740)*3600+MINUTE(V740)*60+SECOND(V740)</f>
        <v>0</v>
      </c>
      <c r="W741" s="29" t="e">
        <f>DATEDIF(DATE(1970,1,1),W740,"D")*86400</f>
        <v>#NUM!</v>
      </c>
      <c r="X741" s="29">
        <f>HOUR(X740)*3600+MINUTE(X740)*60+SECOND(X740)</f>
        <v>0</v>
      </c>
      <c r="Y741" s="31">
        <f>(Y740*B741)</f>
        <v>0</v>
      </c>
      <c r="Z741" s="29">
        <f>Z740</f>
        <v>0</v>
      </c>
      <c r="AA741" s="29" t="e">
        <f>DATEDIF(DATE(1970,1,1),AA740,"D")*86400</f>
        <v>#NUM!</v>
      </c>
      <c r="AB741" s="29">
        <f>HOUR(AB740)*3600+MINUTE(AB740)*60+SECOND(AB740)</f>
        <v>0</v>
      </c>
      <c r="AC741" s="29">
        <f>AC740</f>
        <v>0</v>
      </c>
    </row>
    <row r="742" spans="1:29">
      <c r="A742" s="23">
        <f>Parameters!A372</f>
        <v>0</v>
      </c>
      <c r="B742" s="23">
        <f>Parameters!B372</f>
        <v>0</v>
      </c>
      <c r="C742" s="24">
        <f>Parameters!C372</f>
        <v>0</v>
      </c>
      <c r="D742" s="24">
        <f>Parameters!D372</f>
        <v>0</v>
      </c>
      <c r="E742" s="23">
        <f>Parameters!E372</f>
        <v>0</v>
      </c>
      <c r="F742" s="23">
        <f>Parameters!F372</f>
        <v>0</v>
      </c>
      <c r="G742" s="25">
        <f>Parameters!G372</f>
        <v>0</v>
      </c>
      <c r="H742" s="25">
        <f>Parameters!H372</f>
        <v>0</v>
      </c>
      <c r="I742" s="25">
        <f>Parameters!I372</f>
        <v>0</v>
      </c>
      <c r="J742" s="25">
        <f>Parameters!J372</f>
        <v>0</v>
      </c>
      <c r="K742" s="25">
        <f>Parameters!K372</f>
        <v>0</v>
      </c>
      <c r="L742" s="26" t="e">
        <f t="shared" ref="L742" si="1107">L743</f>
        <v>#DIV/0!</v>
      </c>
      <c r="M742" s="25">
        <f>Parameters!L372</f>
        <v>0</v>
      </c>
      <c r="N742" s="25">
        <f>Parameters!M372</f>
        <v>0</v>
      </c>
      <c r="O742" s="26" t="e">
        <f t="shared" ref="O742" si="1108">O743</f>
        <v>#DIV/0!</v>
      </c>
      <c r="P742" s="23">
        <f>Parameters!N372</f>
        <v>0</v>
      </c>
      <c r="Q742" s="23">
        <f>Parameters!O372</f>
        <v>0</v>
      </c>
      <c r="R742" s="23">
        <f>Parameters!P372</f>
        <v>0</v>
      </c>
      <c r="S742" s="23">
        <f>Parameters!Q372</f>
        <v>0</v>
      </c>
      <c r="T742" s="23">
        <f>Parameters!R372</f>
        <v>0</v>
      </c>
      <c r="U742" s="27">
        <f>Parameters!S372</f>
        <v>0</v>
      </c>
      <c r="V742" s="28">
        <f>Parameters!T372</f>
        <v>0</v>
      </c>
      <c r="W742" s="27">
        <f>Parameters!U372</f>
        <v>0</v>
      </c>
      <c r="X742" s="28">
        <f>Parameters!V372</f>
        <v>0</v>
      </c>
      <c r="Y742" s="25">
        <f>Parameters!W372</f>
        <v>0</v>
      </c>
      <c r="Z742" s="23">
        <f>Parameters!X372</f>
        <v>0</v>
      </c>
      <c r="AA742" s="27">
        <f>Parameters!Y372</f>
        <v>0</v>
      </c>
      <c r="AB742" s="28">
        <f>Parameters!Z372</f>
        <v>0</v>
      </c>
      <c r="AC742" s="23">
        <f>Parameters!AA372</f>
        <v>0</v>
      </c>
    </row>
    <row r="743" spans="1:29">
      <c r="A743" s="29" t="str">
        <f>UPPER(A742)</f>
        <v>0</v>
      </c>
      <c r="B743" s="29">
        <f>B742</f>
        <v>0</v>
      </c>
      <c r="C743" s="30">
        <f>C742</f>
        <v>0</v>
      </c>
      <c r="D743" s="30">
        <f>D742</f>
        <v>0</v>
      </c>
      <c r="E743" s="29">
        <f>E742</f>
        <v>0</v>
      </c>
      <c r="F743" s="29">
        <f>F742</f>
        <v>0</v>
      </c>
      <c r="G743" s="29" t="e">
        <f>IF(C742=1,IF(D742="BUY",E742+(ROUND(F742*G742/B742,0)*B742),E742-(ROUND(F742*G742/B742,0)*B742)),IF(D742="BUY",E742-(ROUND(F742*G742/B742,0)*B742),E742+(ROUND(F742*G742/B742,0)*B742)))</f>
        <v>#DIV/0!</v>
      </c>
      <c r="H743" s="29" t="e">
        <f>IF(C742=1,IF(D742="BUY",G743-(ROUND(F742*H742/B742,0)*B742),G743+(ROUND(F742*H742/B742,0)*B742)),IF(D742="BUY",G743+(ROUND(F742*H742/B742,0)*B742),G743-(ROUND(F742*H742/B742,0)*B742)))</f>
        <v>#DIV/0!</v>
      </c>
      <c r="I743" s="29" t="e">
        <f>IF(D742="BUY",G743+(ROUND(F742*I742/(B742*100),0)*B742),G743-(ROUND(F742*I742/(B742*100),0)*B742))</f>
        <v>#DIV/0!</v>
      </c>
      <c r="J743" s="29" t="e">
        <f>IF(C742=1,IF(D742="BUY",E742+(ROUND(F742*J742/B742,0)*B742),E742-(ROUND(F742*J742/B742,0)*B742)),IF(D742="BUY",E742-(ROUND(F742*J742/B742,0)*B742),E742+(ROUND(F742*J742/B742,0)*B742)))</f>
        <v>#DIV/0!</v>
      </c>
      <c r="K743" s="29" t="e">
        <f>IF(C742=1,IF(D742="BUY",E742-(ROUND(F742*K742/B742,0)*B742),E742+(ROUND(F742*K742/B742,0)*B742)),IF(D742="BUY",E742-(ROUND(F742*K742/B742,0)*B742),E742+(ROUND(F742*K742/B742,0)*B742)))</f>
        <v>#DIV/0!</v>
      </c>
      <c r="L743" s="29" t="e">
        <f t="shared" ref="L743" si="1109">IF(D743="BUY",I743+(R743*B743),I743-(R743*B743))</f>
        <v>#DIV/0!</v>
      </c>
      <c r="M743" s="29" t="e">
        <f>IF(D742="BUY",E742+(ROUND(F742*M742/B742,0)*B742),E742-(ROUND(F742*M742/B742,0)*B742))</f>
        <v>#DIV/0!</v>
      </c>
      <c r="N743" s="29" t="e">
        <f>IF(D742="BUY",E742-(ROUND(F742*N742/B742,0)*B742),E742+(ROUND(F742*N742/B742,0)*B742))</f>
        <v>#DIV/0!</v>
      </c>
      <c r="O743" s="31" t="e">
        <f>IF(D743="BUY",N743-VLOOKUP(A743,Symbols!A$1:D$1000,4,FALSE),N743+VLOOKUP(A743,Symbols!A$1:D$1000,4,FALSE))</f>
        <v>#DIV/0!</v>
      </c>
      <c r="P743" s="29">
        <f>P742</f>
        <v>0</v>
      </c>
      <c r="Q743" s="29">
        <f>Q742</f>
        <v>0</v>
      </c>
      <c r="R743" s="29">
        <f>R742</f>
        <v>0</v>
      </c>
      <c r="S743" s="29">
        <f>S742</f>
        <v>0</v>
      </c>
      <c r="T743" s="29">
        <f>T742</f>
        <v>0</v>
      </c>
      <c r="U743" s="29" t="e">
        <f>DATEDIF(DATE(1970,1,1),U742,"D")*86400</f>
        <v>#NUM!</v>
      </c>
      <c r="V743" s="29">
        <f>HOUR(V742)*3600+MINUTE(V742)*60+SECOND(V742)</f>
        <v>0</v>
      </c>
      <c r="W743" s="29" t="e">
        <f>DATEDIF(DATE(1970,1,1),W742,"D")*86400</f>
        <v>#NUM!</v>
      </c>
      <c r="X743" s="29">
        <f>HOUR(X742)*3600+MINUTE(X742)*60+SECOND(X742)</f>
        <v>0</v>
      </c>
      <c r="Y743" s="31">
        <f>(Y742*B743)</f>
        <v>0</v>
      </c>
      <c r="Z743" s="29">
        <f>Z742</f>
        <v>0</v>
      </c>
      <c r="AA743" s="29" t="e">
        <f>DATEDIF(DATE(1970,1,1),AA742,"D")*86400</f>
        <v>#NUM!</v>
      </c>
      <c r="AB743" s="29">
        <f>HOUR(AB742)*3600+MINUTE(AB742)*60+SECOND(AB742)</f>
        <v>0</v>
      </c>
      <c r="AC743" s="29">
        <f>AC742</f>
        <v>0</v>
      </c>
    </row>
    <row r="744" spans="1:29">
      <c r="A744" s="23">
        <f>Parameters!A373</f>
        <v>0</v>
      </c>
      <c r="B744" s="23">
        <f>Parameters!B373</f>
        <v>0</v>
      </c>
      <c r="C744" s="24">
        <f>Parameters!C373</f>
        <v>0</v>
      </c>
      <c r="D744" s="24">
        <f>Parameters!D373</f>
        <v>0</v>
      </c>
      <c r="E744" s="23">
        <f>Parameters!E373</f>
        <v>0</v>
      </c>
      <c r="F744" s="23">
        <f>Parameters!F373</f>
        <v>0</v>
      </c>
      <c r="G744" s="25">
        <f>Parameters!G373</f>
        <v>0</v>
      </c>
      <c r="H744" s="25">
        <f>Parameters!H373</f>
        <v>0</v>
      </c>
      <c r="I744" s="25">
        <f>Parameters!I373</f>
        <v>0</v>
      </c>
      <c r="J744" s="25">
        <f>Parameters!J373</f>
        <v>0</v>
      </c>
      <c r="K744" s="25">
        <f>Parameters!K373</f>
        <v>0</v>
      </c>
      <c r="L744" s="26" t="e">
        <f t="shared" ref="L744" si="1110">L745</f>
        <v>#DIV/0!</v>
      </c>
      <c r="M744" s="25">
        <f>Parameters!L373</f>
        <v>0</v>
      </c>
      <c r="N744" s="25">
        <f>Parameters!M373</f>
        <v>0</v>
      </c>
      <c r="O744" s="26" t="e">
        <f t="shared" ref="O744" si="1111">O745</f>
        <v>#DIV/0!</v>
      </c>
      <c r="P744" s="23">
        <f>Parameters!N373</f>
        <v>0</v>
      </c>
      <c r="Q744" s="23">
        <f>Parameters!O373</f>
        <v>0</v>
      </c>
      <c r="R744" s="23">
        <f>Parameters!P373</f>
        <v>0</v>
      </c>
      <c r="S744" s="23">
        <f>Parameters!Q373</f>
        <v>0</v>
      </c>
      <c r="T744" s="23">
        <f>Parameters!R373</f>
        <v>0</v>
      </c>
      <c r="U744" s="27">
        <f>Parameters!S373</f>
        <v>0</v>
      </c>
      <c r="V744" s="28">
        <f>Parameters!T373</f>
        <v>0</v>
      </c>
      <c r="W744" s="27">
        <f>Parameters!U373</f>
        <v>0</v>
      </c>
      <c r="X744" s="28">
        <f>Parameters!V373</f>
        <v>0</v>
      </c>
      <c r="Y744" s="25">
        <f>Parameters!W373</f>
        <v>0</v>
      </c>
      <c r="Z744" s="23">
        <f>Parameters!X373</f>
        <v>0</v>
      </c>
      <c r="AA744" s="27">
        <f>Parameters!Y373</f>
        <v>0</v>
      </c>
      <c r="AB744" s="28">
        <f>Parameters!Z373</f>
        <v>0</v>
      </c>
      <c r="AC744" s="23">
        <f>Parameters!AA373</f>
        <v>0</v>
      </c>
    </row>
    <row r="745" spans="1:29">
      <c r="A745" s="29" t="str">
        <f>UPPER(A744)</f>
        <v>0</v>
      </c>
      <c r="B745" s="29">
        <f>B744</f>
        <v>0</v>
      </c>
      <c r="C745" s="30">
        <f>C744</f>
        <v>0</v>
      </c>
      <c r="D745" s="30">
        <f>D744</f>
        <v>0</v>
      </c>
      <c r="E745" s="29">
        <f>E744</f>
        <v>0</v>
      </c>
      <c r="F745" s="29">
        <f>F744</f>
        <v>0</v>
      </c>
      <c r="G745" s="29" t="e">
        <f>IF(C744=1,IF(D744="BUY",E744+(ROUND(F744*G744/B744,0)*B744),E744-(ROUND(F744*G744/B744,0)*B744)),IF(D744="BUY",E744-(ROUND(F744*G744/B744,0)*B744),E744+(ROUND(F744*G744/B744,0)*B744)))</f>
        <v>#DIV/0!</v>
      </c>
      <c r="H745" s="29" t="e">
        <f>IF(C744=1,IF(D744="BUY",G745-(ROUND(F744*H744/B744,0)*B744),G745+(ROUND(F744*H744/B744,0)*B744)),IF(D744="BUY",G745+(ROUND(F744*H744/B744,0)*B744),G745-(ROUND(F744*H744/B744,0)*B744)))</f>
        <v>#DIV/0!</v>
      </c>
      <c r="I745" s="29" t="e">
        <f>IF(D744="BUY",G745+(ROUND(F744*I744/(B744*100),0)*B744),G745-(ROUND(F744*I744/(B744*100),0)*B744))</f>
        <v>#DIV/0!</v>
      </c>
      <c r="J745" s="29" t="e">
        <f>IF(C744=1,IF(D744="BUY",E744+(ROUND(F744*J744/B744,0)*B744),E744-(ROUND(F744*J744/B744,0)*B744)),IF(D744="BUY",E744-(ROUND(F744*J744/B744,0)*B744),E744+(ROUND(F744*J744/B744,0)*B744)))</f>
        <v>#DIV/0!</v>
      </c>
      <c r="K745" s="29" t="e">
        <f>IF(C744=1,IF(D744="BUY",E744-(ROUND(F744*K744/B744,0)*B744),E744+(ROUND(F744*K744/B744,0)*B744)),IF(D744="BUY",E744-(ROUND(F744*K744/B744,0)*B744),E744+(ROUND(F744*K744/B744,0)*B744)))</f>
        <v>#DIV/0!</v>
      </c>
      <c r="L745" s="29" t="e">
        <f t="shared" ref="L745" si="1112">IF(D745="BUY",I745+(R745*B745),I745-(R745*B745))</f>
        <v>#DIV/0!</v>
      </c>
      <c r="M745" s="29" t="e">
        <f>IF(D744="BUY",E744+(ROUND(F744*M744/B744,0)*B744),E744-(ROUND(F744*M744/B744,0)*B744))</f>
        <v>#DIV/0!</v>
      </c>
      <c r="N745" s="29" t="e">
        <f>IF(D744="BUY",E744-(ROUND(F744*N744/B744,0)*B744),E744+(ROUND(F744*N744/B744,0)*B744))</f>
        <v>#DIV/0!</v>
      </c>
      <c r="O745" s="31" t="e">
        <f>IF(D745="BUY",N745-VLOOKUP(A745,Symbols!A$1:D$1000,4,FALSE),N745+VLOOKUP(A745,Symbols!A$1:D$1000,4,FALSE))</f>
        <v>#DIV/0!</v>
      </c>
      <c r="P745" s="29">
        <f>P744</f>
        <v>0</v>
      </c>
      <c r="Q745" s="29">
        <f>Q744</f>
        <v>0</v>
      </c>
      <c r="R745" s="29">
        <f>R744</f>
        <v>0</v>
      </c>
      <c r="S745" s="29">
        <f>S744</f>
        <v>0</v>
      </c>
      <c r="T745" s="29">
        <f>T744</f>
        <v>0</v>
      </c>
      <c r="U745" s="29" t="e">
        <f>DATEDIF(DATE(1970,1,1),U744,"D")*86400</f>
        <v>#NUM!</v>
      </c>
      <c r="V745" s="29">
        <f>HOUR(V744)*3600+MINUTE(V744)*60+SECOND(V744)</f>
        <v>0</v>
      </c>
      <c r="W745" s="29" t="e">
        <f>DATEDIF(DATE(1970,1,1),W744,"D")*86400</f>
        <v>#NUM!</v>
      </c>
      <c r="X745" s="29">
        <f>HOUR(X744)*3600+MINUTE(X744)*60+SECOND(X744)</f>
        <v>0</v>
      </c>
      <c r="Y745" s="31">
        <f>(Y744*B745)</f>
        <v>0</v>
      </c>
      <c r="Z745" s="29">
        <f>Z744</f>
        <v>0</v>
      </c>
      <c r="AA745" s="29" t="e">
        <f>DATEDIF(DATE(1970,1,1),AA744,"D")*86400</f>
        <v>#NUM!</v>
      </c>
      <c r="AB745" s="29">
        <f>HOUR(AB744)*3600+MINUTE(AB744)*60+SECOND(AB744)</f>
        <v>0</v>
      </c>
      <c r="AC745" s="29">
        <f>AC744</f>
        <v>0</v>
      </c>
    </row>
    <row r="746" spans="1:29">
      <c r="A746" s="23">
        <f>Parameters!A374</f>
        <v>0</v>
      </c>
      <c r="B746" s="23">
        <f>Parameters!B374</f>
        <v>0</v>
      </c>
      <c r="C746" s="24">
        <f>Parameters!C374</f>
        <v>0</v>
      </c>
      <c r="D746" s="24">
        <f>Parameters!D374</f>
        <v>0</v>
      </c>
      <c r="E746" s="23">
        <f>Parameters!E374</f>
        <v>0</v>
      </c>
      <c r="F746" s="23">
        <f>Parameters!F374</f>
        <v>0</v>
      </c>
      <c r="G746" s="25">
        <f>Parameters!G374</f>
        <v>0</v>
      </c>
      <c r="H746" s="25">
        <f>Parameters!H374</f>
        <v>0</v>
      </c>
      <c r="I746" s="25">
        <f>Parameters!I374</f>
        <v>0</v>
      </c>
      <c r="J746" s="25">
        <f>Parameters!J374</f>
        <v>0</v>
      </c>
      <c r="K746" s="25">
        <f>Parameters!K374</f>
        <v>0</v>
      </c>
      <c r="L746" s="26" t="e">
        <f t="shared" ref="L746" si="1113">L747</f>
        <v>#DIV/0!</v>
      </c>
      <c r="M746" s="25">
        <f>Parameters!L374</f>
        <v>0</v>
      </c>
      <c r="N746" s="25">
        <f>Parameters!M374</f>
        <v>0</v>
      </c>
      <c r="O746" s="26" t="e">
        <f t="shared" ref="O746" si="1114">O747</f>
        <v>#DIV/0!</v>
      </c>
      <c r="P746" s="23">
        <f>Parameters!N374</f>
        <v>0</v>
      </c>
      <c r="Q746" s="23">
        <f>Parameters!O374</f>
        <v>0</v>
      </c>
      <c r="R746" s="23">
        <f>Parameters!P374</f>
        <v>0</v>
      </c>
      <c r="S746" s="23">
        <f>Parameters!Q374</f>
        <v>0</v>
      </c>
      <c r="T746" s="23">
        <f>Parameters!R374</f>
        <v>0</v>
      </c>
      <c r="U746" s="27">
        <f>Parameters!S374</f>
        <v>0</v>
      </c>
      <c r="V746" s="28">
        <f>Parameters!T374</f>
        <v>0</v>
      </c>
      <c r="W746" s="27">
        <f>Parameters!U374</f>
        <v>0</v>
      </c>
      <c r="X746" s="28">
        <f>Parameters!V374</f>
        <v>0</v>
      </c>
      <c r="Y746" s="25">
        <f>Parameters!W374</f>
        <v>0</v>
      </c>
      <c r="Z746" s="23">
        <f>Parameters!X374</f>
        <v>0</v>
      </c>
      <c r="AA746" s="27">
        <f>Parameters!Y374</f>
        <v>0</v>
      </c>
      <c r="AB746" s="28">
        <f>Parameters!Z374</f>
        <v>0</v>
      </c>
      <c r="AC746" s="23">
        <f>Parameters!AA374</f>
        <v>0</v>
      </c>
    </row>
    <row r="747" spans="1:29">
      <c r="A747" s="29" t="str">
        <f>UPPER(A746)</f>
        <v>0</v>
      </c>
      <c r="B747" s="29">
        <f>B746</f>
        <v>0</v>
      </c>
      <c r="C747" s="30">
        <f>C746</f>
        <v>0</v>
      </c>
      <c r="D747" s="30">
        <f>D746</f>
        <v>0</v>
      </c>
      <c r="E747" s="29">
        <f>E746</f>
        <v>0</v>
      </c>
      <c r="F747" s="29">
        <f>F746</f>
        <v>0</v>
      </c>
      <c r="G747" s="29" t="e">
        <f>IF(C746=1,IF(D746="BUY",E746+(ROUND(F746*G746/B746,0)*B746),E746-(ROUND(F746*G746/B746,0)*B746)),IF(D746="BUY",E746-(ROUND(F746*G746/B746,0)*B746),E746+(ROUND(F746*G746/B746,0)*B746)))</f>
        <v>#DIV/0!</v>
      </c>
      <c r="H747" s="29" t="e">
        <f>IF(C746=1,IF(D746="BUY",G747-(ROUND(F746*H746/B746,0)*B746),G747+(ROUND(F746*H746/B746,0)*B746)),IF(D746="BUY",G747+(ROUND(F746*H746/B746,0)*B746),G747-(ROUND(F746*H746/B746,0)*B746)))</f>
        <v>#DIV/0!</v>
      </c>
      <c r="I747" s="29" t="e">
        <f>IF(D746="BUY",G747+(ROUND(F746*I746/(B746*100),0)*B746),G747-(ROUND(F746*I746/(B746*100),0)*B746))</f>
        <v>#DIV/0!</v>
      </c>
      <c r="J747" s="29" t="e">
        <f>IF(C746=1,IF(D746="BUY",E746+(ROUND(F746*J746/B746,0)*B746),E746-(ROUND(F746*J746/B746,0)*B746)),IF(D746="BUY",E746-(ROUND(F746*J746/B746,0)*B746),E746+(ROUND(F746*J746/B746,0)*B746)))</f>
        <v>#DIV/0!</v>
      </c>
      <c r="K747" s="29" t="e">
        <f>IF(C746=1,IF(D746="BUY",E746-(ROUND(F746*K746/B746,0)*B746),E746+(ROUND(F746*K746/B746,0)*B746)),IF(D746="BUY",E746-(ROUND(F746*K746/B746,0)*B746),E746+(ROUND(F746*K746/B746,0)*B746)))</f>
        <v>#DIV/0!</v>
      </c>
      <c r="L747" s="29" t="e">
        <f t="shared" ref="L747" si="1115">IF(D747="BUY",I747+(R747*B747),I747-(R747*B747))</f>
        <v>#DIV/0!</v>
      </c>
      <c r="M747" s="29" t="e">
        <f>IF(D746="BUY",E746+(ROUND(F746*M746/B746,0)*B746),E746-(ROUND(F746*M746/B746,0)*B746))</f>
        <v>#DIV/0!</v>
      </c>
      <c r="N747" s="29" t="e">
        <f>IF(D746="BUY",E746-(ROUND(F746*N746/B746,0)*B746),E746+(ROUND(F746*N746/B746,0)*B746))</f>
        <v>#DIV/0!</v>
      </c>
      <c r="O747" s="31" t="e">
        <f>IF(D747="BUY",N747-VLOOKUP(A747,Symbols!A$1:D$1000,4,FALSE),N747+VLOOKUP(A747,Symbols!A$1:D$1000,4,FALSE))</f>
        <v>#DIV/0!</v>
      </c>
      <c r="P747" s="29">
        <f>P746</f>
        <v>0</v>
      </c>
      <c r="Q747" s="29">
        <f>Q746</f>
        <v>0</v>
      </c>
      <c r="R747" s="29">
        <f>R746</f>
        <v>0</v>
      </c>
      <c r="S747" s="29">
        <f>S746</f>
        <v>0</v>
      </c>
      <c r="T747" s="29">
        <f>T746</f>
        <v>0</v>
      </c>
      <c r="U747" s="29" t="e">
        <f>DATEDIF(DATE(1970,1,1),U746,"D")*86400</f>
        <v>#NUM!</v>
      </c>
      <c r="V747" s="29">
        <f>HOUR(V746)*3600+MINUTE(V746)*60+SECOND(V746)</f>
        <v>0</v>
      </c>
      <c r="W747" s="29" t="e">
        <f>DATEDIF(DATE(1970,1,1),W746,"D")*86400</f>
        <v>#NUM!</v>
      </c>
      <c r="X747" s="29">
        <f>HOUR(X746)*3600+MINUTE(X746)*60+SECOND(X746)</f>
        <v>0</v>
      </c>
      <c r="Y747" s="31">
        <f>(Y746*B747)</f>
        <v>0</v>
      </c>
      <c r="Z747" s="29">
        <f>Z746</f>
        <v>0</v>
      </c>
      <c r="AA747" s="29" t="e">
        <f>DATEDIF(DATE(1970,1,1),AA746,"D")*86400</f>
        <v>#NUM!</v>
      </c>
      <c r="AB747" s="29">
        <f>HOUR(AB746)*3600+MINUTE(AB746)*60+SECOND(AB746)</f>
        <v>0</v>
      </c>
      <c r="AC747" s="29">
        <f>AC746</f>
        <v>0</v>
      </c>
    </row>
    <row r="748" spans="1:29">
      <c r="A748" s="23">
        <f>Parameters!A375</f>
        <v>0</v>
      </c>
      <c r="B748" s="23">
        <f>Parameters!B375</f>
        <v>0</v>
      </c>
      <c r="C748" s="24">
        <f>Parameters!C375</f>
        <v>0</v>
      </c>
      <c r="D748" s="24">
        <f>Parameters!D375</f>
        <v>0</v>
      </c>
      <c r="E748" s="23">
        <f>Parameters!E375</f>
        <v>0</v>
      </c>
      <c r="F748" s="23">
        <f>Parameters!F375</f>
        <v>0</v>
      </c>
      <c r="G748" s="25">
        <f>Parameters!G375</f>
        <v>0</v>
      </c>
      <c r="H748" s="25">
        <f>Parameters!H375</f>
        <v>0</v>
      </c>
      <c r="I748" s="25">
        <f>Parameters!I375</f>
        <v>0</v>
      </c>
      <c r="J748" s="25">
        <f>Parameters!J375</f>
        <v>0</v>
      </c>
      <c r="K748" s="25">
        <f>Parameters!K375</f>
        <v>0</v>
      </c>
      <c r="L748" s="26" t="e">
        <f t="shared" ref="L748" si="1116">L749</f>
        <v>#DIV/0!</v>
      </c>
      <c r="M748" s="25">
        <f>Parameters!L375</f>
        <v>0</v>
      </c>
      <c r="N748" s="25">
        <f>Parameters!M375</f>
        <v>0</v>
      </c>
      <c r="O748" s="26" t="e">
        <f t="shared" ref="O748" si="1117">O749</f>
        <v>#DIV/0!</v>
      </c>
      <c r="P748" s="23">
        <f>Parameters!N375</f>
        <v>0</v>
      </c>
      <c r="Q748" s="23">
        <f>Parameters!O375</f>
        <v>0</v>
      </c>
      <c r="R748" s="23">
        <f>Parameters!P375</f>
        <v>0</v>
      </c>
      <c r="S748" s="23">
        <f>Parameters!Q375</f>
        <v>0</v>
      </c>
      <c r="T748" s="23">
        <f>Parameters!R375</f>
        <v>0</v>
      </c>
      <c r="U748" s="27">
        <f>Parameters!S375</f>
        <v>0</v>
      </c>
      <c r="V748" s="28">
        <f>Parameters!T375</f>
        <v>0</v>
      </c>
      <c r="W748" s="27">
        <f>Parameters!U375</f>
        <v>0</v>
      </c>
      <c r="X748" s="28">
        <f>Parameters!V375</f>
        <v>0</v>
      </c>
      <c r="Y748" s="25">
        <f>Parameters!W375</f>
        <v>0</v>
      </c>
      <c r="Z748" s="23">
        <f>Parameters!X375</f>
        <v>0</v>
      </c>
      <c r="AA748" s="27">
        <f>Parameters!Y375</f>
        <v>0</v>
      </c>
      <c r="AB748" s="28">
        <f>Parameters!Z375</f>
        <v>0</v>
      </c>
      <c r="AC748" s="23">
        <f>Parameters!AA375</f>
        <v>0</v>
      </c>
    </row>
    <row r="749" spans="1:29">
      <c r="A749" s="29" t="str">
        <f>UPPER(A748)</f>
        <v>0</v>
      </c>
      <c r="B749" s="29">
        <f>B748</f>
        <v>0</v>
      </c>
      <c r="C749" s="30">
        <f>C748</f>
        <v>0</v>
      </c>
      <c r="D749" s="30">
        <f>D748</f>
        <v>0</v>
      </c>
      <c r="E749" s="29">
        <f>E748</f>
        <v>0</v>
      </c>
      <c r="F749" s="29">
        <f>F748</f>
        <v>0</v>
      </c>
      <c r="G749" s="29" t="e">
        <f>IF(C748=1,IF(D748="BUY",E748+(ROUND(F748*G748/B748,0)*B748),E748-(ROUND(F748*G748/B748,0)*B748)),IF(D748="BUY",E748-(ROUND(F748*G748/B748,0)*B748),E748+(ROUND(F748*G748/B748,0)*B748)))</f>
        <v>#DIV/0!</v>
      </c>
      <c r="H749" s="29" t="e">
        <f>IF(C748=1,IF(D748="BUY",G749-(ROUND(F748*H748/B748,0)*B748),G749+(ROUND(F748*H748/B748,0)*B748)),IF(D748="BUY",G749+(ROUND(F748*H748/B748,0)*B748),G749-(ROUND(F748*H748/B748,0)*B748)))</f>
        <v>#DIV/0!</v>
      </c>
      <c r="I749" s="29" t="e">
        <f>IF(D748="BUY",G749+(ROUND(F748*I748/(B748*100),0)*B748),G749-(ROUND(F748*I748/(B748*100),0)*B748))</f>
        <v>#DIV/0!</v>
      </c>
      <c r="J749" s="29" t="e">
        <f>IF(C748=1,IF(D748="BUY",E748+(ROUND(F748*J748/B748,0)*B748),E748-(ROUND(F748*J748/B748,0)*B748)),IF(D748="BUY",E748-(ROUND(F748*J748/B748,0)*B748),E748+(ROUND(F748*J748/B748,0)*B748)))</f>
        <v>#DIV/0!</v>
      </c>
      <c r="K749" s="29" t="e">
        <f>IF(C748=1,IF(D748="BUY",E748-(ROUND(F748*K748/B748,0)*B748),E748+(ROUND(F748*K748/B748,0)*B748)),IF(D748="BUY",E748-(ROUND(F748*K748/B748,0)*B748),E748+(ROUND(F748*K748/B748,0)*B748)))</f>
        <v>#DIV/0!</v>
      </c>
      <c r="L749" s="29" t="e">
        <f t="shared" ref="L749" si="1118">IF(D749="BUY",I749+(R749*B749),I749-(R749*B749))</f>
        <v>#DIV/0!</v>
      </c>
      <c r="M749" s="29" t="e">
        <f>IF(D748="BUY",E748+(ROUND(F748*M748/B748,0)*B748),E748-(ROUND(F748*M748/B748,0)*B748))</f>
        <v>#DIV/0!</v>
      </c>
      <c r="N749" s="29" t="e">
        <f>IF(D748="BUY",E748-(ROUND(F748*N748/B748,0)*B748),E748+(ROUND(F748*N748/B748,0)*B748))</f>
        <v>#DIV/0!</v>
      </c>
      <c r="O749" s="31" t="e">
        <f>IF(D749="BUY",N749-VLOOKUP(A749,Symbols!A$1:D$1000,4,FALSE),N749+VLOOKUP(A749,Symbols!A$1:D$1000,4,FALSE))</f>
        <v>#DIV/0!</v>
      </c>
      <c r="P749" s="29">
        <f>P748</f>
        <v>0</v>
      </c>
      <c r="Q749" s="29">
        <f>Q748</f>
        <v>0</v>
      </c>
      <c r="R749" s="29">
        <f>R748</f>
        <v>0</v>
      </c>
      <c r="S749" s="29">
        <f>S748</f>
        <v>0</v>
      </c>
      <c r="T749" s="29">
        <f>T748</f>
        <v>0</v>
      </c>
      <c r="U749" s="29" t="e">
        <f>DATEDIF(DATE(1970,1,1),U748,"D")*86400</f>
        <v>#NUM!</v>
      </c>
      <c r="V749" s="29">
        <f>HOUR(V748)*3600+MINUTE(V748)*60+SECOND(V748)</f>
        <v>0</v>
      </c>
      <c r="W749" s="29" t="e">
        <f>DATEDIF(DATE(1970,1,1),W748,"D")*86400</f>
        <v>#NUM!</v>
      </c>
      <c r="X749" s="29">
        <f>HOUR(X748)*3600+MINUTE(X748)*60+SECOND(X748)</f>
        <v>0</v>
      </c>
      <c r="Y749" s="31">
        <f>(Y748*B749)</f>
        <v>0</v>
      </c>
      <c r="Z749" s="29">
        <f>Z748</f>
        <v>0</v>
      </c>
      <c r="AA749" s="29" t="e">
        <f>DATEDIF(DATE(1970,1,1),AA748,"D")*86400</f>
        <v>#NUM!</v>
      </c>
      <c r="AB749" s="29">
        <f>HOUR(AB748)*3600+MINUTE(AB748)*60+SECOND(AB748)</f>
        <v>0</v>
      </c>
      <c r="AC749" s="29">
        <f>AC748</f>
        <v>0</v>
      </c>
    </row>
    <row r="750" spans="1:29">
      <c r="A750" s="23">
        <f>Parameters!A376</f>
        <v>0</v>
      </c>
      <c r="B750" s="23">
        <f>Parameters!B376</f>
        <v>0</v>
      </c>
      <c r="C750" s="24">
        <f>Parameters!C376</f>
        <v>0</v>
      </c>
      <c r="D750" s="24">
        <f>Parameters!D376</f>
        <v>0</v>
      </c>
      <c r="E750" s="23">
        <f>Parameters!E376</f>
        <v>0</v>
      </c>
      <c r="F750" s="23">
        <f>Parameters!F376</f>
        <v>0</v>
      </c>
      <c r="G750" s="25">
        <f>Parameters!G376</f>
        <v>0</v>
      </c>
      <c r="H750" s="25">
        <f>Parameters!H376</f>
        <v>0</v>
      </c>
      <c r="I750" s="25">
        <f>Parameters!I376</f>
        <v>0</v>
      </c>
      <c r="J750" s="25">
        <f>Parameters!J376</f>
        <v>0</v>
      </c>
      <c r="K750" s="25">
        <f>Parameters!K376</f>
        <v>0</v>
      </c>
      <c r="L750" s="26" t="e">
        <f t="shared" ref="L750" si="1119">L751</f>
        <v>#DIV/0!</v>
      </c>
      <c r="M750" s="25">
        <f>Parameters!L376</f>
        <v>0</v>
      </c>
      <c r="N750" s="25">
        <f>Parameters!M376</f>
        <v>0</v>
      </c>
      <c r="O750" s="26" t="e">
        <f t="shared" ref="O750" si="1120">O751</f>
        <v>#DIV/0!</v>
      </c>
      <c r="P750" s="23">
        <f>Parameters!N376</f>
        <v>0</v>
      </c>
      <c r="Q750" s="23">
        <f>Parameters!O376</f>
        <v>0</v>
      </c>
      <c r="R750" s="23">
        <f>Parameters!P376</f>
        <v>0</v>
      </c>
      <c r="S750" s="23">
        <f>Parameters!Q376</f>
        <v>0</v>
      </c>
      <c r="T750" s="23">
        <f>Parameters!R376</f>
        <v>0</v>
      </c>
      <c r="U750" s="27">
        <f>Parameters!S376</f>
        <v>0</v>
      </c>
      <c r="V750" s="28">
        <f>Parameters!T376</f>
        <v>0</v>
      </c>
      <c r="W750" s="27">
        <f>Parameters!U376</f>
        <v>0</v>
      </c>
      <c r="X750" s="28">
        <f>Parameters!V376</f>
        <v>0</v>
      </c>
      <c r="Y750" s="25">
        <f>Parameters!W376</f>
        <v>0</v>
      </c>
      <c r="Z750" s="23">
        <f>Parameters!X376</f>
        <v>0</v>
      </c>
      <c r="AA750" s="27">
        <f>Parameters!Y376</f>
        <v>0</v>
      </c>
      <c r="AB750" s="28">
        <f>Parameters!Z376</f>
        <v>0</v>
      </c>
      <c r="AC750" s="23">
        <f>Parameters!AA376</f>
        <v>0</v>
      </c>
    </row>
    <row r="751" spans="1:29">
      <c r="A751" s="29" t="str">
        <f>UPPER(A750)</f>
        <v>0</v>
      </c>
      <c r="B751" s="29">
        <f>B750</f>
        <v>0</v>
      </c>
      <c r="C751" s="30">
        <f>C750</f>
        <v>0</v>
      </c>
      <c r="D751" s="30">
        <f>D750</f>
        <v>0</v>
      </c>
      <c r="E751" s="29">
        <f>E750</f>
        <v>0</v>
      </c>
      <c r="F751" s="29">
        <f>F750</f>
        <v>0</v>
      </c>
      <c r="G751" s="29" t="e">
        <f>IF(C750=1,IF(D750="BUY",E750+(ROUND(F750*G750/B750,0)*B750),E750-(ROUND(F750*G750/B750,0)*B750)),IF(D750="BUY",E750-(ROUND(F750*G750/B750,0)*B750),E750+(ROUND(F750*G750/B750,0)*B750)))</f>
        <v>#DIV/0!</v>
      </c>
      <c r="H751" s="29" t="e">
        <f>IF(C750=1,IF(D750="BUY",G751-(ROUND(F750*H750/B750,0)*B750),G751+(ROUND(F750*H750/B750,0)*B750)),IF(D750="BUY",G751+(ROUND(F750*H750/B750,0)*B750),G751-(ROUND(F750*H750/B750,0)*B750)))</f>
        <v>#DIV/0!</v>
      </c>
      <c r="I751" s="29" t="e">
        <f>IF(D750="BUY",G751+(ROUND(F750*I750/(B750*100),0)*B750),G751-(ROUND(F750*I750/(B750*100),0)*B750))</f>
        <v>#DIV/0!</v>
      </c>
      <c r="J751" s="29" t="e">
        <f>IF(C750=1,IF(D750="BUY",E750+(ROUND(F750*J750/B750,0)*B750),E750-(ROUND(F750*J750/B750,0)*B750)),IF(D750="BUY",E750-(ROUND(F750*J750/B750,0)*B750),E750+(ROUND(F750*J750/B750,0)*B750)))</f>
        <v>#DIV/0!</v>
      </c>
      <c r="K751" s="29" t="e">
        <f>IF(C750=1,IF(D750="BUY",E750-(ROUND(F750*K750/B750,0)*B750),E750+(ROUND(F750*K750/B750,0)*B750)),IF(D750="BUY",E750-(ROUND(F750*K750/B750,0)*B750),E750+(ROUND(F750*K750/B750,0)*B750)))</f>
        <v>#DIV/0!</v>
      </c>
      <c r="L751" s="29" t="e">
        <f t="shared" ref="L751" si="1121">IF(D751="BUY",I751+(R751*B751),I751-(R751*B751))</f>
        <v>#DIV/0!</v>
      </c>
      <c r="M751" s="29" t="e">
        <f>IF(D750="BUY",E750+(ROUND(F750*M750/B750,0)*B750),E750-(ROUND(F750*M750/B750,0)*B750))</f>
        <v>#DIV/0!</v>
      </c>
      <c r="N751" s="29" t="e">
        <f>IF(D750="BUY",E750-(ROUND(F750*N750/B750,0)*B750),E750+(ROUND(F750*N750/B750,0)*B750))</f>
        <v>#DIV/0!</v>
      </c>
      <c r="O751" s="31" t="e">
        <f>IF(D751="BUY",N751-VLOOKUP(A751,Symbols!A$1:D$1000,4,FALSE),N751+VLOOKUP(A751,Symbols!A$1:D$1000,4,FALSE))</f>
        <v>#DIV/0!</v>
      </c>
      <c r="P751" s="29">
        <f>P750</f>
        <v>0</v>
      </c>
      <c r="Q751" s="29">
        <f>Q750</f>
        <v>0</v>
      </c>
      <c r="R751" s="29">
        <f>R750</f>
        <v>0</v>
      </c>
      <c r="S751" s="29">
        <f>S750</f>
        <v>0</v>
      </c>
      <c r="T751" s="29">
        <f>T750</f>
        <v>0</v>
      </c>
      <c r="U751" s="29" t="e">
        <f>DATEDIF(DATE(1970,1,1),U750,"D")*86400</f>
        <v>#NUM!</v>
      </c>
      <c r="V751" s="29">
        <f>HOUR(V750)*3600+MINUTE(V750)*60+SECOND(V750)</f>
        <v>0</v>
      </c>
      <c r="W751" s="29" t="e">
        <f>DATEDIF(DATE(1970,1,1),W750,"D")*86400</f>
        <v>#NUM!</v>
      </c>
      <c r="X751" s="29">
        <f>HOUR(X750)*3600+MINUTE(X750)*60+SECOND(X750)</f>
        <v>0</v>
      </c>
      <c r="Y751" s="31">
        <f>(Y750*B751)</f>
        <v>0</v>
      </c>
      <c r="Z751" s="29">
        <f>Z750</f>
        <v>0</v>
      </c>
      <c r="AA751" s="29" t="e">
        <f>DATEDIF(DATE(1970,1,1),AA750,"D")*86400</f>
        <v>#NUM!</v>
      </c>
      <c r="AB751" s="29">
        <f>HOUR(AB750)*3600+MINUTE(AB750)*60+SECOND(AB750)</f>
        <v>0</v>
      </c>
      <c r="AC751" s="29">
        <f>AC750</f>
        <v>0</v>
      </c>
    </row>
    <row r="752" spans="1:29">
      <c r="A752" s="23">
        <f>Parameters!A377</f>
        <v>0</v>
      </c>
      <c r="B752" s="23">
        <f>Parameters!B377</f>
        <v>0</v>
      </c>
      <c r="C752" s="24">
        <f>Parameters!C377</f>
        <v>0</v>
      </c>
      <c r="D752" s="24">
        <f>Parameters!D377</f>
        <v>0</v>
      </c>
      <c r="E752" s="23">
        <f>Parameters!E377</f>
        <v>0</v>
      </c>
      <c r="F752" s="23">
        <f>Parameters!F377</f>
        <v>0</v>
      </c>
      <c r="G752" s="25">
        <f>Parameters!G377</f>
        <v>0</v>
      </c>
      <c r="H752" s="25">
        <f>Parameters!H377</f>
        <v>0</v>
      </c>
      <c r="I752" s="25">
        <f>Parameters!I377</f>
        <v>0</v>
      </c>
      <c r="J752" s="25">
        <f>Parameters!J377</f>
        <v>0</v>
      </c>
      <c r="K752" s="25">
        <f>Parameters!K377</f>
        <v>0</v>
      </c>
      <c r="L752" s="26" t="e">
        <f t="shared" ref="L752" si="1122">L753</f>
        <v>#DIV/0!</v>
      </c>
      <c r="M752" s="25">
        <f>Parameters!L377</f>
        <v>0</v>
      </c>
      <c r="N752" s="25">
        <f>Parameters!M377</f>
        <v>0</v>
      </c>
      <c r="O752" s="26" t="e">
        <f t="shared" ref="O752" si="1123">O753</f>
        <v>#DIV/0!</v>
      </c>
      <c r="P752" s="23">
        <f>Parameters!N377</f>
        <v>0</v>
      </c>
      <c r="Q752" s="23">
        <f>Parameters!O377</f>
        <v>0</v>
      </c>
      <c r="R752" s="23">
        <f>Parameters!P377</f>
        <v>0</v>
      </c>
      <c r="S752" s="23">
        <f>Parameters!Q377</f>
        <v>0</v>
      </c>
      <c r="T752" s="23">
        <f>Parameters!R377</f>
        <v>0</v>
      </c>
      <c r="U752" s="27">
        <f>Parameters!S377</f>
        <v>0</v>
      </c>
      <c r="V752" s="28">
        <f>Parameters!T377</f>
        <v>0</v>
      </c>
      <c r="W752" s="27">
        <f>Parameters!U377</f>
        <v>0</v>
      </c>
      <c r="X752" s="28">
        <f>Parameters!V377</f>
        <v>0</v>
      </c>
      <c r="Y752" s="25">
        <f>Parameters!W377</f>
        <v>0</v>
      </c>
      <c r="Z752" s="23">
        <f>Parameters!X377</f>
        <v>0</v>
      </c>
      <c r="AA752" s="27">
        <f>Parameters!Y377</f>
        <v>0</v>
      </c>
      <c r="AB752" s="28">
        <f>Parameters!Z377</f>
        <v>0</v>
      </c>
      <c r="AC752" s="23">
        <f>Parameters!AA377</f>
        <v>0</v>
      </c>
    </row>
    <row r="753" spans="1:29">
      <c r="A753" s="29" t="str">
        <f>UPPER(A752)</f>
        <v>0</v>
      </c>
      <c r="B753" s="29">
        <f>B752</f>
        <v>0</v>
      </c>
      <c r="C753" s="30">
        <f>C752</f>
        <v>0</v>
      </c>
      <c r="D753" s="30">
        <f>D752</f>
        <v>0</v>
      </c>
      <c r="E753" s="29">
        <f>E752</f>
        <v>0</v>
      </c>
      <c r="F753" s="29">
        <f>F752</f>
        <v>0</v>
      </c>
      <c r="G753" s="29" t="e">
        <f>IF(C752=1,IF(D752="BUY",E752+(ROUND(F752*G752/B752,0)*B752),E752-(ROUND(F752*G752/B752,0)*B752)),IF(D752="BUY",E752-(ROUND(F752*G752/B752,0)*B752),E752+(ROUND(F752*G752/B752,0)*B752)))</f>
        <v>#DIV/0!</v>
      </c>
      <c r="H753" s="29" t="e">
        <f>IF(C752=1,IF(D752="BUY",G753-(ROUND(F752*H752/B752,0)*B752),G753+(ROUND(F752*H752/B752,0)*B752)),IF(D752="BUY",G753+(ROUND(F752*H752/B752,0)*B752),G753-(ROUND(F752*H752/B752,0)*B752)))</f>
        <v>#DIV/0!</v>
      </c>
      <c r="I753" s="29" t="e">
        <f>IF(D752="BUY",G753+(ROUND(F752*I752/(B752*100),0)*B752),G753-(ROUND(F752*I752/(B752*100),0)*B752))</f>
        <v>#DIV/0!</v>
      </c>
      <c r="J753" s="29" t="e">
        <f>IF(C752=1,IF(D752="BUY",E752+(ROUND(F752*J752/B752,0)*B752),E752-(ROUND(F752*J752/B752,0)*B752)),IF(D752="BUY",E752-(ROUND(F752*J752/B752,0)*B752),E752+(ROUND(F752*J752/B752,0)*B752)))</f>
        <v>#DIV/0!</v>
      </c>
      <c r="K753" s="29" t="e">
        <f>IF(C752=1,IF(D752="BUY",E752-(ROUND(F752*K752/B752,0)*B752),E752+(ROUND(F752*K752/B752,0)*B752)),IF(D752="BUY",E752-(ROUND(F752*K752/B752,0)*B752),E752+(ROUND(F752*K752/B752,0)*B752)))</f>
        <v>#DIV/0!</v>
      </c>
      <c r="L753" s="29" t="e">
        <f t="shared" ref="L753" si="1124">IF(D753="BUY",I753+(R753*B753),I753-(R753*B753))</f>
        <v>#DIV/0!</v>
      </c>
      <c r="M753" s="29" t="e">
        <f>IF(D752="BUY",E752+(ROUND(F752*M752/B752,0)*B752),E752-(ROUND(F752*M752/B752,0)*B752))</f>
        <v>#DIV/0!</v>
      </c>
      <c r="N753" s="29" t="e">
        <f>IF(D752="BUY",E752-(ROUND(F752*N752/B752,0)*B752),E752+(ROUND(F752*N752/B752,0)*B752))</f>
        <v>#DIV/0!</v>
      </c>
      <c r="O753" s="31" t="e">
        <f>IF(D753="BUY",N753-VLOOKUP(A753,Symbols!A$1:D$1000,4,FALSE),N753+VLOOKUP(A753,Symbols!A$1:D$1000,4,FALSE))</f>
        <v>#DIV/0!</v>
      </c>
      <c r="P753" s="29">
        <f>P752</f>
        <v>0</v>
      </c>
      <c r="Q753" s="29">
        <f>Q752</f>
        <v>0</v>
      </c>
      <c r="R753" s="29">
        <f>R752</f>
        <v>0</v>
      </c>
      <c r="S753" s="29">
        <f>S752</f>
        <v>0</v>
      </c>
      <c r="T753" s="29">
        <f>T752</f>
        <v>0</v>
      </c>
      <c r="U753" s="29" t="e">
        <f>DATEDIF(DATE(1970,1,1),U752,"D")*86400</f>
        <v>#NUM!</v>
      </c>
      <c r="V753" s="29">
        <f>HOUR(V752)*3600+MINUTE(V752)*60+SECOND(V752)</f>
        <v>0</v>
      </c>
      <c r="W753" s="29" t="e">
        <f>DATEDIF(DATE(1970,1,1),W752,"D")*86400</f>
        <v>#NUM!</v>
      </c>
      <c r="X753" s="29">
        <f>HOUR(X752)*3600+MINUTE(X752)*60+SECOND(X752)</f>
        <v>0</v>
      </c>
      <c r="Y753" s="31">
        <f>(Y752*B753)</f>
        <v>0</v>
      </c>
      <c r="Z753" s="29">
        <f>Z752</f>
        <v>0</v>
      </c>
      <c r="AA753" s="29" t="e">
        <f>DATEDIF(DATE(1970,1,1),AA752,"D")*86400</f>
        <v>#NUM!</v>
      </c>
      <c r="AB753" s="29">
        <f>HOUR(AB752)*3600+MINUTE(AB752)*60+SECOND(AB752)</f>
        <v>0</v>
      </c>
      <c r="AC753" s="29">
        <f>AC752</f>
        <v>0</v>
      </c>
    </row>
    <row r="754" spans="1:29">
      <c r="A754" s="23">
        <f>Parameters!A378</f>
        <v>0</v>
      </c>
      <c r="B754" s="23">
        <f>Parameters!B378</f>
        <v>0</v>
      </c>
      <c r="C754" s="24">
        <f>Parameters!C378</f>
        <v>0</v>
      </c>
      <c r="D754" s="24">
        <f>Parameters!D378</f>
        <v>0</v>
      </c>
      <c r="E754" s="23">
        <f>Parameters!E378</f>
        <v>0</v>
      </c>
      <c r="F754" s="23">
        <f>Parameters!F378</f>
        <v>0</v>
      </c>
      <c r="G754" s="25">
        <f>Parameters!G378</f>
        <v>0</v>
      </c>
      <c r="H754" s="25">
        <f>Parameters!H378</f>
        <v>0</v>
      </c>
      <c r="I754" s="25">
        <f>Parameters!I378</f>
        <v>0</v>
      </c>
      <c r="J754" s="25">
        <f>Parameters!J378</f>
        <v>0</v>
      </c>
      <c r="K754" s="25">
        <f>Parameters!K378</f>
        <v>0</v>
      </c>
      <c r="L754" s="26" t="e">
        <f t="shared" ref="L754" si="1125">L755</f>
        <v>#DIV/0!</v>
      </c>
      <c r="M754" s="25">
        <f>Parameters!L378</f>
        <v>0</v>
      </c>
      <c r="N754" s="25">
        <f>Parameters!M378</f>
        <v>0</v>
      </c>
      <c r="O754" s="26" t="e">
        <f t="shared" ref="O754" si="1126">O755</f>
        <v>#DIV/0!</v>
      </c>
      <c r="P754" s="23">
        <f>Parameters!N378</f>
        <v>0</v>
      </c>
      <c r="Q754" s="23">
        <f>Parameters!O378</f>
        <v>0</v>
      </c>
      <c r="R754" s="23">
        <f>Parameters!P378</f>
        <v>0</v>
      </c>
      <c r="S754" s="23">
        <f>Parameters!Q378</f>
        <v>0</v>
      </c>
      <c r="T754" s="23">
        <f>Parameters!R378</f>
        <v>0</v>
      </c>
      <c r="U754" s="27">
        <f>Parameters!S378</f>
        <v>0</v>
      </c>
      <c r="V754" s="28">
        <f>Parameters!T378</f>
        <v>0</v>
      </c>
      <c r="W754" s="27">
        <f>Parameters!U378</f>
        <v>0</v>
      </c>
      <c r="X754" s="28">
        <f>Parameters!V378</f>
        <v>0</v>
      </c>
      <c r="Y754" s="25">
        <f>Parameters!W378</f>
        <v>0</v>
      </c>
      <c r="Z754" s="23">
        <f>Parameters!X378</f>
        <v>0</v>
      </c>
      <c r="AA754" s="27">
        <f>Parameters!Y378</f>
        <v>0</v>
      </c>
      <c r="AB754" s="28">
        <f>Parameters!Z378</f>
        <v>0</v>
      </c>
      <c r="AC754" s="23">
        <f>Parameters!AA378</f>
        <v>0</v>
      </c>
    </row>
    <row r="755" spans="1:29">
      <c r="A755" s="29" t="str">
        <f>UPPER(A754)</f>
        <v>0</v>
      </c>
      <c r="B755" s="29">
        <f>B754</f>
        <v>0</v>
      </c>
      <c r="C755" s="30">
        <f>C754</f>
        <v>0</v>
      </c>
      <c r="D755" s="30">
        <f>D754</f>
        <v>0</v>
      </c>
      <c r="E755" s="29">
        <f>E754</f>
        <v>0</v>
      </c>
      <c r="F755" s="29">
        <f>F754</f>
        <v>0</v>
      </c>
      <c r="G755" s="29" t="e">
        <f>IF(C754=1,IF(D754="BUY",E754+(ROUND(F754*G754/B754,0)*B754),E754-(ROUND(F754*G754/B754,0)*B754)),IF(D754="BUY",E754-(ROUND(F754*G754/B754,0)*B754),E754+(ROUND(F754*G754/B754,0)*B754)))</f>
        <v>#DIV/0!</v>
      </c>
      <c r="H755" s="29" t="e">
        <f>IF(C754=1,IF(D754="BUY",G755-(ROUND(F754*H754/B754,0)*B754),G755+(ROUND(F754*H754/B754,0)*B754)),IF(D754="BUY",G755+(ROUND(F754*H754/B754,0)*B754),G755-(ROUND(F754*H754/B754,0)*B754)))</f>
        <v>#DIV/0!</v>
      </c>
      <c r="I755" s="29" t="e">
        <f>IF(D754="BUY",G755+(ROUND(F754*I754/(B754*100),0)*B754),G755-(ROUND(F754*I754/(B754*100),0)*B754))</f>
        <v>#DIV/0!</v>
      </c>
      <c r="J755" s="29" t="e">
        <f>IF(C754=1,IF(D754="BUY",E754+(ROUND(F754*J754/B754,0)*B754),E754-(ROUND(F754*J754/B754,0)*B754)),IF(D754="BUY",E754-(ROUND(F754*J754/B754,0)*B754),E754+(ROUND(F754*J754/B754,0)*B754)))</f>
        <v>#DIV/0!</v>
      </c>
      <c r="K755" s="29" t="e">
        <f>IF(C754=1,IF(D754="BUY",E754-(ROUND(F754*K754/B754,0)*B754),E754+(ROUND(F754*K754/B754,0)*B754)),IF(D754="BUY",E754-(ROUND(F754*K754/B754,0)*B754),E754+(ROUND(F754*K754/B754,0)*B754)))</f>
        <v>#DIV/0!</v>
      </c>
      <c r="L755" s="29" t="e">
        <f t="shared" ref="L755" si="1127">IF(D755="BUY",I755+(R755*B755),I755-(R755*B755))</f>
        <v>#DIV/0!</v>
      </c>
      <c r="M755" s="29" t="e">
        <f>IF(D754="BUY",E754+(ROUND(F754*M754/B754,0)*B754),E754-(ROUND(F754*M754/B754,0)*B754))</f>
        <v>#DIV/0!</v>
      </c>
      <c r="N755" s="29" t="e">
        <f>IF(D754="BUY",E754-(ROUND(F754*N754/B754,0)*B754),E754+(ROUND(F754*N754/B754,0)*B754))</f>
        <v>#DIV/0!</v>
      </c>
      <c r="O755" s="31" t="e">
        <f>IF(D755="BUY",N755-VLOOKUP(A755,Symbols!A$1:D$1000,4,FALSE),N755+VLOOKUP(A755,Symbols!A$1:D$1000,4,FALSE))</f>
        <v>#DIV/0!</v>
      </c>
      <c r="P755" s="29">
        <f>P754</f>
        <v>0</v>
      </c>
      <c r="Q755" s="29">
        <f>Q754</f>
        <v>0</v>
      </c>
      <c r="R755" s="29">
        <f>R754</f>
        <v>0</v>
      </c>
      <c r="S755" s="29">
        <f>S754</f>
        <v>0</v>
      </c>
      <c r="T755" s="29">
        <f>T754</f>
        <v>0</v>
      </c>
      <c r="U755" s="29" t="e">
        <f>DATEDIF(DATE(1970,1,1),U754,"D")*86400</f>
        <v>#NUM!</v>
      </c>
      <c r="V755" s="29">
        <f>HOUR(V754)*3600+MINUTE(V754)*60+SECOND(V754)</f>
        <v>0</v>
      </c>
      <c r="W755" s="29" t="e">
        <f>DATEDIF(DATE(1970,1,1),W754,"D")*86400</f>
        <v>#NUM!</v>
      </c>
      <c r="X755" s="29">
        <f>HOUR(X754)*3600+MINUTE(X754)*60+SECOND(X754)</f>
        <v>0</v>
      </c>
      <c r="Y755" s="31">
        <f>(Y754*B755)</f>
        <v>0</v>
      </c>
      <c r="Z755" s="29">
        <f>Z754</f>
        <v>0</v>
      </c>
      <c r="AA755" s="29" t="e">
        <f>DATEDIF(DATE(1970,1,1),AA754,"D")*86400</f>
        <v>#NUM!</v>
      </c>
      <c r="AB755" s="29">
        <f>HOUR(AB754)*3600+MINUTE(AB754)*60+SECOND(AB754)</f>
        <v>0</v>
      </c>
      <c r="AC755" s="29">
        <f>AC754</f>
        <v>0</v>
      </c>
    </row>
    <row r="756" spans="1:29">
      <c r="A756" s="23">
        <f>Parameters!A379</f>
        <v>0</v>
      </c>
      <c r="B756" s="23">
        <f>Parameters!B379</f>
        <v>0</v>
      </c>
      <c r="C756" s="24">
        <f>Parameters!C379</f>
        <v>0</v>
      </c>
      <c r="D756" s="24">
        <f>Parameters!D379</f>
        <v>0</v>
      </c>
      <c r="E756" s="23">
        <f>Parameters!E379</f>
        <v>0</v>
      </c>
      <c r="F756" s="23">
        <f>Parameters!F379</f>
        <v>0</v>
      </c>
      <c r="G756" s="25">
        <f>Parameters!G379</f>
        <v>0</v>
      </c>
      <c r="H756" s="25">
        <f>Parameters!H379</f>
        <v>0</v>
      </c>
      <c r="I756" s="25">
        <f>Parameters!I379</f>
        <v>0</v>
      </c>
      <c r="J756" s="25">
        <f>Parameters!J379</f>
        <v>0</v>
      </c>
      <c r="K756" s="25">
        <f>Parameters!K379</f>
        <v>0</v>
      </c>
      <c r="L756" s="26" t="e">
        <f t="shared" ref="L756" si="1128">L757</f>
        <v>#DIV/0!</v>
      </c>
      <c r="M756" s="25">
        <f>Parameters!L379</f>
        <v>0</v>
      </c>
      <c r="N756" s="25">
        <f>Parameters!M379</f>
        <v>0</v>
      </c>
      <c r="O756" s="26" t="e">
        <f t="shared" ref="O756" si="1129">O757</f>
        <v>#DIV/0!</v>
      </c>
      <c r="P756" s="23">
        <f>Parameters!N379</f>
        <v>0</v>
      </c>
      <c r="Q756" s="23">
        <f>Parameters!O379</f>
        <v>0</v>
      </c>
      <c r="R756" s="23">
        <f>Parameters!P379</f>
        <v>0</v>
      </c>
      <c r="S756" s="23">
        <f>Parameters!Q379</f>
        <v>0</v>
      </c>
      <c r="T756" s="23">
        <f>Parameters!R379</f>
        <v>0</v>
      </c>
      <c r="U756" s="27">
        <f>Parameters!S379</f>
        <v>0</v>
      </c>
      <c r="V756" s="28">
        <f>Parameters!T379</f>
        <v>0</v>
      </c>
      <c r="W756" s="27">
        <f>Parameters!U379</f>
        <v>0</v>
      </c>
      <c r="X756" s="28">
        <f>Parameters!V379</f>
        <v>0</v>
      </c>
      <c r="Y756" s="25">
        <f>Parameters!W379</f>
        <v>0</v>
      </c>
      <c r="Z756" s="23">
        <f>Parameters!X379</f>
        <v>0</v>
      </c>
      <c r="AA756" s="27">
        <f>Parameters!Y379</f>
        <v>0</v>
      </c>
      <c r="AB756" s="28">
        <f>Parameters!Z379</f>
        <v>0</v>
      </c>
      <c r="AC756" s="23">
        <f>Parameters!AA379</f>
        <v>0</v>
      </c>
    </row>
    <row r="757" spans="1:29">
      <c r="A757" s="29" t="str">
        <f>UPPER(A756)</f>
        <v>0</v>
      </c>
      <c r="B757" s="29">
        <f>B756</f>
        <v>0</v>
      </c>
      <c r="C757" s="30">
        <f>C756</f>
        <v>0</v>
      </c>
      <c r="D757" s="30">
        <f>D756</f>
        <v>0</v>
      </c>
      <c r="E757" s="29">
        <f>E756</f>
        <v>0</v>
      </c>
      <c r="F757" s="29">
        <f>F756</f>
        <v>0</v>
      </c>
      <c r="G757" s="29" t="e">
        <f>IF(C756=1,IF(D756="BUY",E756+(ROUND(F756*G756/B756,0)*B756),E756-(ROUND(F756*G756/B756,0)*B756)),IF(D756="BUY",E756-(ROUND(F756*G756/B756,0)*B756),E756+(ROUND(F756*G756/B756,0)*B756)))</f>
        <v>#DIV/0!</v>
      </c>
      <c r="H757" s="29" t="e">
        <f>IF(C756=1,IF(D756="BUY",G757-(ROUND(F756*H756/B756,0)*B756),G757+(ROUND(F756*H756/B756,0)*B756)),IF(D756="BUY",G757+(ROUND(F756*H756/B756,0)*B756),G757-(ROUND(F756*H756/B756,0)*B756)))</f>
        <v>#DIV/0!</v>
      </c>
      <c r="I757" s="29" t="e">
        <f>IF(D756="BUY",G757+(ROUND(F756*I756/(B756*100),0)*B756),G757-(ROUND(F756*I756/(B756*100),0)*B756))</f>
        <v>#DIV/0!</v>
      </c>
      <c r="J757" s="29" t="e">
        <f>IF(C756=1,IF(D756="BUY",E756+(ROUND(F756*J756/B756,0)*B756),E756-(ROUND(F756*J756/B756,0)*B756)),IF(D756="BUY",E756-(ROUND(F756*J756/B756,0)*B756),E756+(ROUND(F756*J756/B756,0)*B756)))</f>
        <v>#DIV/0!</v>
      </c>
      <c r="K757" s="29" t="e">
        <f>IF(C756=1,IF(D756="BUY",E756-(ROUND(F756*K756/B756,0)*B756),E756+(ROUND(F756*K756/B756,0)*B756)),IF(D756="BUY",E756-(ROUND(F756*K756/B756,0)*B756),E756+(ROUND(F756*K756/B756,0)*B756)))</f>
        <v>#DIV/0!</v>
      </c>
      <c r="L757" s="29" t="e">
        <f t="shared" ref="L757" si="1130">IF(D757="BUY",I757+(R757*B757),I757-(R757*B757))</f>
        <v>#DIV/0!</v>
      </c>
      <c r="M757" s="29" t="e">
        <f>IF(D756="BUY",E756+(ROUND(F756*M756/B756,0)*B756),E756-(ROUND(F756*M756/B756,0)*B756))</f>
        <v>#DIV/0!</v>
      </c>
      <c r="N757" s="29" t="e">
        <f>IF(D756="BUY",E756-(ROUND(F756*N756/B756,0)*B756),E756+(ROUND(F756*N756/B756,0)*B756))</f>
        <v>#DIV/0!</v>
      </c>
      <c r="O757" s="31" t="e">
        <f>IF(D757="BUY",N757-VLOOKUP(A757,Symbols!A$1:D$1000,4,FALSE),N757+VLOOKUP(A757,Symbols!A$1:D$1000,4,FALSE))</f>
        <v>#DIV/0!</v>
      </c>
      <c r="P757" s="29">
        <f>P756</f>
        <v>0</v>
      </c>
      <c r="Q757" s="29">
        <f>Q756</f>
        <v>0</v>
      </c>
      <c r="R757" s="29">
        <f>R756</f>
        <v>0</v>
      </c>
      <c r="S757" s="29">
        <f>S756</f>
        <v>0</v>
      </c>
      <c r="T757" s="29">
        <f>T756</f>
        <v>0</v>
      </c>
      <c r="U757" s="29" t="e">
        <f>DATEDIF(DATE(1970,1,1),U756,"D")*86400</f>
        <v>#NUM!</v>
      </c>
      <c r="V757" s="29">
        <f>HOUR(V756)*3600+MINUTE(V756)*60+SECOND(V756)</f>
        <v>0</v>
      </c>
      <c r="W757" s="29" t="e">
        <f>DATEDIF(DATE(1970,1,1),W756,"D")*86400</f>
        <v>#NUM!</v>
      </c>
      <c r="X757" s="29">
        <f>HOUR(X756)*3600+MINUTE(X756)*60+SECOND(X756)</f>
        <v>0</v>
      </c>
      <c r="Y757" s="31">
        <f>(Y756*B757)</f>
        <v>0</v>
      </c>
      <c r="Z757" s="29">
        <f>Z756</f>
        <v>0</v>
      </c>
      <c r="AA757" s="29" t="e">
        <f>DATEDIF(DATE(1970,1,1),AA756,"D")*86400</f>
        <v>#NUM!</v>
      </c>
      <c r="AB757" s="29">
        <f>HOUR(AB756)*3600+MINUTE(AB756)*60+SECOND(AB756)</f>
        <v>0</v>
      </c>
      <c r="AC757" s="29">
        <f>AC756</f>
        <v>0</v>
      </c>
    </row>
    <row r="758" spans="1:29">
      <c r="A758" s="23">
        <f>Parameters!A380</f>
        <v>0</v>
      </c>
      <c r="B758" s="23">
        <f>Parameters!B380</f>
        <v>0</v>
      </c>
      <c r="C758" s="24">
        <f>Parameters!C380</f>
        <v>0</v>
      </c>
      <c r="D758" s="24">
        <f>Parameters!D380</f>
        <v>0</v>
      </c>
      <c r="E758" s="23">
        <f>Parameters!E380</f>
        <v>0</v>
      </c>
      <c r="F758" s="23">
        <f>Parameters!F380</f>
        <v>0</v>
      </c>
      <c r="G758" s="25">
        <f>Parameters!G380</f>
        <v>0</v>
      </c>
      <c r="H758" s="25">
        <f>Parameters!H380</f>
        <v>0</v>
      </c>
      <c r="I758" s="25">
        <f>Parameters!I380</f>
        <v>0</v>
      </c>
      <c r="J758" s="25">
        <f>Parameters!J380</f>
        <v>0</v>
      </c>
      <c r="K758" s="25">
        <f>Parameters!K380</f>
        <v>0</v>
      </c>
      <c r="L758" s="26" t="e">
        <f t="shared" ref="L758" si="1131">L759</f>
        <v>#DIV/0!</v>
      </c>
      <c r="M758" s="25">
        <f>Parameters!L380</f>
        <v>0</v>
      </c>
      <c r="N758" s="25">
        <f>Parameters!M380</f>
        <v>0</v>
      </c>
      <c r="O758" s="26" t="e">
        <f t="shared" ref="O758" si="1132">O759</f>
        <v>#DIV/0!</v>
      </c>
      <c r="P758" s="23">
        <f>Parameters!N380</f>
        <v>0</v>
      </c>
      <c r="Q758" s="23">
        <f>Parameters!O380</f>
        <v>0</v>
      </c>
      <c r="R758" s="23">
        <f>Parameters!P380</f>
        <v>0</v>
      </c>
      <c r="S758" s="23">
        <f>Parameters!Q380</f>
        <v>0</v>
      </c>
      <c r="T758" s="23">
        <f>Parameters!R380</f>
        <v>0</v>
      </c>
      <c r="U758" s="27">
        <f>Parameters!S380</f>
        <v>0</v>
      </c>
      <c r="V758" s="28">
        <f>Parameters!T380</f>
        <v>0</v>
      </c>
      <c r="W758" s="27">
        <f>Parameters!U380</f>
        <v>0</v>
      </c>
      <c r="X758" s="28">
        <f>Parameters!V380</f>
        <v>0</v>
      </c>
      <c r="Y758" s="25">
        <f>Parameters!W380</f>
        <v>0</v>
      </c>
      <c r="Z758" s="23">
        <f>Parameters!X380</f>
        <v>0</v>
      </c>
      <c r="AA758" s="27">
        <f>Parameters!Y380</f>
        <v>0</v>
      </c>
      <c r="AB758" s="28">
        <f>Parameters!Z380</f>
        <v>0</v>
      </c>
      <c r="AC758" s="23">
        <f>Parameters!AA380</f>
        <v>0</v>
      </c>
    </row>
    <row r="759" spans="1:29">
      <c r="A759" s="29" t="str">
        <f>UPPER(A758)</f>
        <v>0</v>
      </c>
      <c r="B759" s="29">
        <f>B758</f>
        <v>0</v>
      </c>
      <c r="C759" s="30">
        <f>C758</f>
        <v>0</v>
      </c>
      <c r="D759" s="30">
        <f>D758</f>
        <v>0</v>
      </c>
      <c r="E759" s="29">
        <f>E758</f>
        <v>0</v>
      </c>
      <c r="F759" s="29">
        <f>F758</f>
        <v>0</v>
      </c>
      <c r="G759" s="29" t="e">
        <f>IF(C758=1,IF(D758="BUY",E758+(ROUND(F758*G758/B758,0)*B758),E758-(ROUND(F758*G758/B758,0)*B758)),IF(D758="BUY",E758-(ROUND(F758*G758/B758,0)*B758),E758+(ROUND(F758*G758/B758,0)*B758)))</f>
        <v>#DIV/0!</v>
      </c>
      <c r="H759" s="29" t="e">
        <f>IF(C758=1,IF(D758="BUY",G759-(ROUND(F758*H758/B758,0)*B758),G759+(ROUND(F758*H758/B758,0)*B758)),IF(D758="BUY",G759+(ROUND(F758*H758/B758,0)*B758),G759-(ROUND(F758*H758/B758,0)*B758)))</f>
        <v>#DIV/0!</v>
      </c>
      <c r="I759" s="29" t="e">
        <f>IF(D758="BUY",G759+(ROUND(F758*I758/(B758*100),0)*B758),G759-(ROUND(F758*I758/(B758*100),0)*B758))</f>
        <v>#DIV/0!</v>
      </c>
      <c r="J759" s="29" t="e">
        <f>IF(C758=1,IF(D758="BUY",E758+(ROUND(F758*J758/B758,0)*B758),E758-(ROUND(F758*J758/B758,0)*B758)),IF(D758="BUY",E758-(ROUND(F758*J758/B758,0)*B758),E758+(ROUND(F758*J758/B758,0)*B758)))</f>
        <v>#DIV/0!</v>
      </c>
      <c r="K759" s="29" t="e">
        <f>IF(C758=1,IF(D758="BUY",E758-(ROUND(F758*K758/B758,0)*B758),E758+(ROUND(F758*K758/B758,0)*B758)),IF(D758="BUY",E758-(ROUND(F758*K758/B758,0)*B758),E758+(ROUND(F758*K758/B758,0)*B758)))</f>
        <v>#DIV/0!</v>
      </c>
      <c r="L759" s="29" t="e">
        <f t="shared" ref="L759" si="1133">IF(D759="BUY",I759+(R759*B759),I759-(R759*B759))</f>
        <v>#DIV/0!</v>
      </c>
      <c r="M759" s="29" t="e">
        <f>IF(D758="BUY",E758+(ROUND(F758*M758/B758,0)*B758),E758-(ROUND(F758*M758/B758,0)*B758))</f>
        <v>#DIV/0!</v>
      </c>
      <c r="N759" s="29" t="e">
        <f>IF(D758="BUY",E758-(ROUND(F758*N758/B758,0)*B758),E758+(ROUND(F758*N758/B758,0)*B758))</f>
        <v>#DIV/0!</v>
      </c>
      <c r="O759" s="31" t="e">
        <f>IF(D759="BUY",N759-VLOOKUP(A759,Symbols!A$1:D$1000,4,FALSE),N759+VLOOKUP(A759,Symbols!A$1:D$1000,4,FALSE))</f>
        <v>#DIV/0!</v>
      </c>
      <c r="P759" s="29">
        <f>P758</f>
        <v>0</v>
      </c>
      <c r="Q759" s="29">
        <f>Q758</f>
        <v>0</v>
      </c>
      <c r="R759" s="29">
        <f>R758</f>
        <v>0</v>
      </c>
      <c r="S759" s="29">
        <f>S758</f>
        <v>0</v>
      </c>
      <c r="T759" s="29">
        <f>T758</f>
        <v>0</v>
      </c>
      <c r="U759" s="29" t="e">
        <f>DATEDIF(DATE(1970,1,1),U758,"D")*86400</f>
        <v>#NUM!</v>
      </c>
      <c r="V759" s="29">
        <f>HOUR(V758)*3600+MINUTE(V758)*60+SECOND(V758)</f>
        <v>0</v>
      </c>
      <c r="W759" s="29" t="e">
        <f>DATEDIF(DATE(1970,1,1),W758,"D")*86400</f>
        <v>#NUM!</v>
      </c>
      <c r="X759" s="29">
        <f>HOUR(X758)*3600+MINUTE(X758)*60+SECOND(X758)</f>
        <v>0</v>
      </c>
      <c r="Y759" s="31">
        <f>(Y758*B759)</f>
        <v>0</v>
      </c>
      <c r="Z759" s="29">
        <f>Z758</f>
        <v>0</v>
      </c>
      <c r="AA759" s="29" t="e">
        <f>DATEDIF(DATE(1970,1,1),AA758,"D")*86400</f>
        <v>#NUM!</v>
      </c>
      <c r="AB759" s="29">
        <f>HOUR(AB758)*3600+MINUTE(AB758)*60+SECOND(AB758)</f>
        <v>0</v>
      </c>
      <c r="AC759" s="29">
        <f>AC758</f>
        <v>0</v>
      </c>
    </row>
    <row r="760" spans="1:29">
      <c r="A760" s="23">
        <f>Parameters!A381</f>
        <v>0</v>
      </c>
      <c r="B760" s="23">
        <f>Parameters!B381</f>
        <v>0</v>
      </c>
      <c r="C760" s="24">
        <f>Parameters!C381</f>
        <v>0</v>
      </c>
      <c r="D760" s="24">
        <f>Parameters!D381</f>
        <v>0</v>
      </c>
      <c r="E760" s="23">
        <f>Parameters!E381</f>
        <v>0</v>
      </c>
      <c r="F760" s="23">
        <f>Parameters!F381</f>
        <v>0</v>
      </c>
      <c r="G760" s="25">
        <f>Parameters!G381</f>
        <v>0</v>
      </c>
      <c r="H760" s="25">
        <f>Parameters!H381</f>
        <v>0</v>
      </c>
      <c r="I760" s="25">
        <f>Parameters!I381</f>
        <v>0</v>
      </c>
      <c r="J760" s="25">
        <f>Parameters!J381</f>
        <v>0</v>
      </c>
      <c r="K760" s="25">
        <f>Parameters!K381</f>
        <v>0</v>
      </c>
      <c r="L760" s="26" t="e">
        <f t="shared" ref="L760" si="1134">L761</f>
        <v>#DIV/0!</v>
      </c>
      <c r="M760" s="25">
        <f>Parameters!L381</f>
        <v>0</v>
      </c>
      <c r="N760" s="25">
        <f>Parameters!M381</f>
        <v>0</v>
      </c>
      <c r="O760" s="26" t="e">
        <f t="shared" ref="O760" si="1135">O761</f>
        <v>#DIV/0!</v>
      </c>
      <c r="P760" s="23">
        <f>Parameters!N381</f>
        <v>0</v>
      </c>
      <c r="Q760" s="23">
        <f>Parameters!O381</f>
        <v>0</v>
      </c>
      <c r="R760" s="23">
        <f>Parameters!P381</f>
        <v>0</v>
      </c>
      <c r="S760" s="23">
        <f>Parameters!Q381</f>
        <v>0</v>
      </c>
      <c r="T760" s="23">
        <f>Parameters!R381</f>
        <v>0</v>
      </c>
      <c r="U760" s="27">
        <f>Parameters!S381</f>
        <v>0</v>
      </c>
      <c r="V760" s="28">
        <f>Parameters!T381</f>
        <v>0</v>
      </c>
      <c r="W760" s="27">
        <f>Parameters!U381</f>
        <v>0</v>
      </c>
      <c r="X760" s="28">
        <f>Parameters!V381</f>
        <v>0</v>
      </c>
      <c r="Y760" s="25">
        <f>Parameters!W381</f>
        <v>0</v>
      </c>
      <c r="Z760" s="23">
        <f>Parameters!X381</f>
        <v>0</v>
      </c>
      <c r="AA760" s="27">
        <f>Parameters!Y381</f>
        <v>0</v>
      </c>
      <c r="AB760" s="28">
        <f>Parameters!Z381</f>
        <v>0</v>
      </c>
      <c r="AC760" s="23">
        <f>Parameters!AA381</f>
        <v>0</v>
      </c>
    </row>
    <row r="761" spans="1:29">
      <c r="A761" s="29" t="str">
        <f>UPPER(A760)</f>
        <v>0</v>
      </c>
      <c r="B761" s="29">
        <f>B760</f>
        <v>0</v>
      </c>
      <c r="C761" s="30">
        <f>C760</f>
        <v>0</v>
      </c>
      <c r="D761" s="30">
        <f>D760</f>
        <v>0</v>
      </c>
      <c r="E761" s="29">
        <f>E760</f>
        <v>0</v>
      </c>
      <c r="F761" s="29">
        <f>F760</f>
        <v>0</v>
      </c>
      <c r="G761" s="29" t="e">
        <f>IF(C760=1,IF(D760="BUY",E760+(ROUND(F760*G760/B760,0)*B760),E760-(ROUND(F760*G760/B760,0)*B760)),IF(D760="BUY",E760-(ROUND(F760*G760/B760,0)*B760),E760+(ROUND(F760*G760/B760,0)*B760)))</f>
        <v>#DIV/0!</v>
      </c>
      <c r="H761" s="29" t="e">
        <f>IF(C760=1,IF(D760="BUY",G761-(ROUND(F760*H760/B760,0)*B760),G761+(ROUND(F760*H760/B760,0)*B760)),IF(D760="BUY",G761+(ROUND(F760*H760/B760,0)*B760),G761-(ROUND(F760*H760/B760,0)*B760)))</f>
        <v>#DIV/0!</v>
      </c>
      <c r="I761" s="29" t="e">
        <f>IF(D760="BUY",G761+(ROUND(F760*I760/(B760*100),0)*B760),G761-(ROUND(F760*I760/(B760*100),0)*B760))</f>
        <v>#DIV/0!</v>
      </c>
      <c r="J761" s="29" t="e">
        <f>IF(C760=1,IF(D760="BUY",E760+(ROUND(F760*J760/B760,0)*B760),E760-(ROUND(F760*J760/B760,0)*B760)),IF(D760="BUY",E760-(ROUND(F760*J760/B760,0)*B760),E760+(ROUND(F760*J760/B760,0)*B760)))</f>
        <v>#DIV/0!</v>
      </c>
      <c r="K761" s="29" t="e">
        <f>IF(C760=1,IF(D760="BUY",E760-(ROUND(F760*K760/B760,0)*B760),E760+(ROUND(F760*K760/B760,0)*B760)),IF(D760="BUY",E760-(ROUND(F760*K760/B760,0)*B760),E760+(ROUND(F760*K760/B760,0)*B760)))</f>
        <v>#DIV/0!</v>
      </c>
      <c r="L761" s="29" t="e">
        <f t="shared" ref="L761" si="1136">IF(D761="BUY",I761+(R761*B761),I761-(R761*B761))</f>
        <v>#DIV/0!</v>
      </c>
      <c r="M761" s="29" t="e">
        <f>IF(D760="BUY",E760+(ROUND(F760*M760/B760,0)*B760),E760-(ROUND(F760*M760/B760,0)*B760))</f>
        <v>#DIV/0!</v>
      </c>
      <c r="N761" s="29" t="e">
        <f>IF(D760="BUY",E760-(ROUND(F760*N760/B760,0)*B760),E760+(ROUND(F760*N760/B760,0)*B760))</f>
        <v>#DIV/0!</v>
      </c>
      <c r="O761" s="31" t="e">
        <f>IF(D761="BUY",N761-VLOOKUP(A761,Symbols!A$1:D$1000,4,FALSE),N761+VLOOKUP(A761,Symbols!A$1:D$1000,4,FALSE))</f>
        <v>#DIV/0!</v>
      </c>
      <c r="P761" s="29">
        <f>P760</f>
        <v>0</v>
      </c>
      <c r="Q761" s="29">
        <f>Q760</f>
        <v>0</v>
      </c>
      <c r="R761" s="29">
        <f>R760</f>
        <v>0</v>
      </c>
      <c r="S761" s="29">
        <f>S760</f>
        <v>0</v>
      </c>
      <c r="T761" s="29">
        <f>T760</f>
        <v>0</v>
      </c>
      <c r="U761" s="29" t="e">
        <f>DATEDIF(DATE(1970,1,1),U760,"D")*86400</f>
        <v>#NUM!</v>
      </c>
      <c r="V761" s="29">
        <f>HOUR(V760)*3600+MINUTE(V760)*60+SECOND(V760)</f>
        <v>0</v>
      </c>
      <c r="W761" s="29" t="e">
        <f>DATEDIF(DATE(1970,1,1),W760,"D")*86400</f>
        <v>#NUM!</v>
      </c>
      <c r="X761" s="29">
        <f>HOUR(X760)*3600+MINUTE(X760)*60+SECOND(X760)</f>
        <v>0</v>
      </c>
      <c r="Y761" s="31">
        <f>(Y760*B761)</f>
        <v>0</v>
      </c>
      <c r="Z761" s="29">
        <f>Z760</f>
        <v>0</v>
      </c>
      <c r="AA761" s="29" t="e">
        <f>DATEDIF(DATE(1970,1,1),AA760,"D")*86400</f>
        <v>#NUM!</v>
      </c>
      <c r="AB761" s="29">
        <f>HOUR(AB760)*3600+MINUTE(AB760)*60+SECOND(AB760)</f>
        <v>0</v>
      </c>
      <c r="AC761" s="29">
        <f>AC760</f>
        <v>0</v>
      </c>
    </row>
    <row r="762" spans="1:29">
      <c r="A762" s="23">
        <f>Parameters!A382</f>
        <v>0</v>
      </c>
      <c r="B762" s="23">
        <f>Parameters!B382</f>
        <v>0</v>
      </c>
      <c r="C762" s="24">
        <f>Parameters!C382</f>
        <v>0</v>
      </c>
      <c r="D762" s="24">
        <f>Parameters!D382</f>
        <v>0</v>
      </c>
      <c r="E762" s="23">
        <f>Parameters!E382</f>
        <v>0</v>
      </c>
      <c r="F762" s="23">
        <f>Parameters!F382</f>
        <v>0</v>
      </c>
      <c r="G762" s="25">
        <f>Parameters!G382</f>
        <v>0</v>
      </c>
      <c r="H762" s="25">
        <f>Parameters!H382</f>
        <v>0</v>
      </c>
      <c r="I762" s="25">
        <f>Parameters!I382</f>
        <v>0</v>
      </c>
      <c r="J762" s="25">
        <f>Parameters!J382</f>
        <v>0</v>
      </c>
      <c r="K762" s="25">
        <f>Parameters!K382</f>
        <v>0</v>
      </c>
      <c r="L762" s="26" t="e">
        <f t="shared" ref="L762" si="1137">L763</f>
        <v>#DIV/0!</v>
      </c>
      <c r="M762" s="25">
        <f>Parameters!L382</f>
        <v>0</v>
      </c>
      <c r="N762" s="25">
        <f>Parameters!M382</f>
        <v>0</v>
      </c>
      <c r="O762" s="26" t="e">
        <f t="shared" ref="O762" si="1138">O763</f>
        <v>#DIV/0!</v>
      </c>
      <c r="P762" s="23">
        <f>Parameters!N382</f>
        <v>0</v>
      </c>
      <c r="Q762" s="23">
        <f>Parameters!O382</f>
        <v>0</v>
      </c>
      <c r="R762" s="23">
        <f>Parameters!P382</f>
        <v>0</v>
      </c>
      <c r="S762" s="23">
        <f>Parameters!Q382</f>
        <v>0</v>
      </c>
      <c r="T762" s="23">
        <f>Parameters!R382</f>
        <v>0</v>
      </c>
      <c r="U762" s="27">
        <f>Parameters!S382</f>
        <v>0</v>
      </c>
      <c r="V762" s="28">
        <f>Parameters!T382</f>
        <v>0</v>
      </c>
      <c r="W762" s="27">
        <f>Parameters!U382</f>
        <v>0</v>
      </c>
      <c r="X762" s="28">
        <f>Parameters!V382</f>
        <v>0</v>
      </c>
      <c r="Y762" s="25">
        <f>Parameters!W382</f>
        <v>0</v>
      </c>
      <c r="Z762" s="23">
        <f>Parameters!X382</f>
        <v>0</v>
      </c>
      <c r="AA762" s="27">
        <f>Parameters!Y382</f>
        <v>0</v>
      </c>
      <c r="AB762" s="28">
        <f>Parameters!Z382</f>
        <v>0</v>
      </c>
      <c r="AC762" s="23">
        <f>Parameters!AA382</f>
        <v>0</v>
      </c>
    </row>
    <row r="763" spans="1:29">
      <c r="A763" s="29" t="str">
        <f>UPPER(A762)</f>
        <v>0</v>
      </c>
      <c r="B763" s="29">
        <f>B762</f>
        <v>0</v>
      </c>
      <c r="C763" s="30">
        <f>C762</f>
        <v>0</v>
      </c>
      <c r="D763" s="30">
        <f>D762</f>
        <v>0</v>
      </c>
      <c r="E763" s="29">
        <f>E762</f>
        <v>0</v>
      </c>
      <c r="F763" s="29">
        <f>F762</f>
        <v>0</v>
      </c>
      <c r="G763" s="29" t="e">
        <f>IF(C762=1,IF(D762="BUY",E762+(ROUND(F762*G762/B762,0)*B762),E762-(ROUND(F762*G762/B762,0)*B762)),IF(D762="BUY",E762-(ROUND(F762*G762/B762,0)*B762),E762+(ROUND(F762*G762/B762,0)*B762)))</f>
        <v>#DIV/0!</v>
      </c>
      <c r="H763" s="29" t="e">
        <f>IF(C762=1,IF(D762="BUY",G763-(ROUND(F762*H762/B762,0)*B762),G763+(ROUND(F762*H762/B762,0)*B762)),IF(D762="BUY",G763+(ROUND(F762*H762/B762,0)*B762),G763-(ROUND(F762*H762/B762,0)*B762)))</f>
        <v>#DIV/0!</v>
      </c>
      <c r="I763" s="29" t="e">
        <f>IF(D762="BUY",G763+(ROUND(F762*I762/(B762*100),0)*B762),G763-(ROUND(F762*I762/(B762*100),0)*B762))</f>
        <v>#DIV/0!</v>
      </c>
      <c r="J763" s="29" t="e">
        <f>IF(C762=1,IF(D762="BUY",E762+(ROUND(F762*J762/B762,0)*B762),E762-(ROUND(F762*J762/B762,0)*B762)),IF(D762="BUY",E762-(ROUND(F762*J762/B762,0)*B762),E762+(ROUND(F762*J762/B762,0)*B762)))</f>
        <v>#DIV/0!</v>
      </c>
      <c r="K763" s="29" t="e">
        <f>IF(C762=1,IF(D762="BUY",E762-(ROUND(F762*K762/B762,0)*B762),E762+(ROUND(F762*K762/B762,0)*B762)),IF(D762="BUY",E762-(ROUND(F762*K762/B762,0)*B762),E762+(ROUND(F762*K762/B762,0)*B762)))</f>
        <v>#DIV/0!</v>
      </c>
      <c r="L763" s="29" t="e">
        <f t="shared" ref="L763" si="1139">IF(D763="BUY",I763+(R763*B763),I763-(R763*B763))</f>
        <v>#DIV/0!</v>
      </c>
      <c r="M763" s="29" t="e">
        <f>IF(D762="BUY",E762+(ROUND(F762*M762/B762,0)*B762),E762-(ROUND(F762*M762/B762,0)*B762))</f>
        <v>#DIV/0!</v>
      </c>
      <c r="N763" s="29" t="e">
        <f>IF(D762="BUY",E762-(ROUND(F762*N762/B762,0)*B762),E762+(ROUND(F762*N762/B762,0)*B762))</f>
        <v>#DIV/0!</v>
      </c>
      <c r="O763" s="31" t="e">
        <f>IF(D763="BUY",N763-VLOOKUP(A763,Symbols!A$1:D$1000,4,FALSE),N763+VLOOKUP(A763,Symbols!A$1:D$1000,4,FALSE))</f>
        <v>#DIV/0!</v>
      </c>
      <c r="P763" s="29">
        <f>P762</f>
        <v>0</v>
      </c>
      <c r="Q763" s="29">
        <f>Q762</f>
        <v>0</v>
      </c>
      <c r="R763" s="29">
        <f>R762</f>
        <v>0</v>
      </c>
      <c r="S763" s="29">
        <f>S762</f>
        <v>0</v>
      </c>
      <c r="T763" s="29">
        <f>T762</f>
        <v>0</v>
      </c>
      <c r="U763" s="29" t="e">
        <f>DATEDIF(DATE(1970,1,1),U762,"D")*86400</f>
        <v>#NUM!</v>
      </c>
      <c r="V763" s="29">
        <f>HOUR(V762)*3600+MINUTE(V762)*60+SECOND(V762)</f>
        <v>0</v>
      </c>
      <c r="W763" s="29" t="e">
        <f>DATEDIF(DATE(1970,1,1),W762,"D")*86400</f>
        <v>#NUM!</v>
      </c>
      <c r="X763" s="29">
        <f>HOUR(X762)*3600+MINUTE(X762)*60+SECOND(X762)</f>
        <v>0</v>
      </c>
      <c r="Y763" s="31">
        <f>(Y762*B763)</f>
        <v>0</v>
      </c>
      <c r="Z763" s="29">
        <f>Z762</f>
        <v>0</v>
      </c>
      <c r="AA763" s="29" t="e">
        <f>DATEDIF(DATE(1970,1,1),AA762,"D")*86400</f>
        <v>#NUM!</v>
      </c>
      <c r="AB763" s="29">
        <f>HOUR(AB762)*3600+MINUTE(AB762)*60+SECOND(AB762)</f>
        <v>0</v>
      </c>
      <c r="AC763" s="29">
        <f>AC762</f>
        <v>0</v>
      </c>
    </row>
    <row r="764" spans="1:29">
      <c r="A764" s="23">
        <f>Parameters!A383</f>
        <v>0</v>
      </c>
      <c r="B764" s="23">
        <f>Parameters!B383</f>
        <v>0</v>
      </c>
      <c r="C764" s="24">
        <f>Parameters!C383</f>
        <v>0</v>
      </c>
      <c r="D764" s="24">
        <f>Parameters!D383</f>
        <v>0</v>
      </c>
      <c r="E764" s="23">
        <f>Parameters!E383</f>
        <v>0</v>
      </c>
      <c r="F764" s="23">
        <f>Parameters!F383</f>
        <v>0</v>
      </c>
      <c r="G764" s="25">
        <f>Parameters!G383</f>
        <v>0</v>
      </c>
      <c r="H764" s="25">
        <f>Parameters!H383</f>
        <v>0</v>
      </c>
      <c r="I764" s="25">
        <f>Parameters!I383</f>
        <v>0</v>
      </c>
      <c r="J764" s="25">
        <f>Parameters!J383</f>
        <v>0</v>
      </c>
      <c r="K764" s="25">
        <f>Parameters!K383</f>
        <v>0</v>
      </c>
      <c r="L764" s="26" t="e">
        <f t="shared" ref="L764" si="1140">L765</f>
        <v>#DIV/0!</v>
      </c>
      <c r="M764" s="25">
        <f>Parameters!L383</f>
        <v>0</v>
      </c>
      <c r="N764" s="25">
        <f>Parameters!M383</f>
        <v>0</v>
      </c>
      <c r="O764" s="26" t="e">
        <f t="shared" ref="O764" si="1141">O765</f>
        <v>#DIV/0!</v>
      </c>
      <c r="P764" s="23">
        <f>Parameters!N383</f>
        <v>0</v>
      </c>
      <c r="Q764" s="23">
        <f>Parameters!O383</f>
        <v>0</v>
      </c>
      <c r="R764" s="23">
        <f>Parameters!P383</f>
        <v>0</v>
      </c>
      <c r="S764" s="23">
        <f>Parameters!Q383</f>
        <v>0</v>
      </c>
      <c r="T764" s="23">
        <f>Parameters!R383</f>
        <v>0</v>
      </c>
      <c r="U764" s="27">
        <f>Parameters!S383</f>
        <v>0</v>
      </c>
      <c r="V764" s="28">
        <f>Parameters!T383</f>
        <v>0</v>
      </c>
      <c r="W764" s="27">
        <f>Parameters!U383</f>
        <v>0</v>
      </c>
      <c r="X764" s="28">
        <f>Parameters!V383</f>
        <v>0</v>
      </c>
      <c r="Y764" s="25">
        <f>Parameters!W383</f>
        <v>0</v>
      </c>
      <c r="Z764" s="23">
        <f>Parameters!X383</f>
        <v>0</v>
      </c>
      <c r="AA764" s="27">
        <f>Parameters!Y383</f>
        <v>0</v>
      </c>
      <c r="AB764" s="28">
        <f>Parameters!Z383</f>
        <v>0</v>
      </c>
      <c r="AC764" s="23">
        <f>Parameters!AA383</f>
        <v>0</v>
      </c>
    </row>
    <row r="765" spans="1:29">
      <c r="A765" s="29" t="str">
        <f>UPPER(A764)</f>
        <v>0</v>
      </c>
      <c r="B765" s="29">
        <f>B764</f>
        <v>0</v>
      </c>
      <c r="C765" s="30">
        <f>C764</f>
        <v>0</v>
      </c>
      <c r="D765" s="30">
        <f>D764</f>
        <v>0</v>
      </c>
      <c r="E765" s="29">
        <f>E764</f>
        <v>0</v>
      </c>
      <c r="F765" s="29">
        <f>F764</f>
        <v>0</v>
      </c>
      <c r="G765" s="29" t="e">
        <f>IF(C764=1,IF(D764="BUY",E764+(ROUND(F764*G764/B764,0)*B764),E764-(ROUND(F764*G764/B764,0)*B764)),IF(D764="BUY",E764-(ROUND(F764*G764/B764,0)*B764),E764+(ROUND(F764*G764/B764,0)*B764)))</f>
        <v>#DIV/0!</v>
      </c>
      <c r="H765" s="29" t="e">
        <f>IF(C764=1,IF(D764="BUY",G765-(ROUND(F764*H764/B764,0)*B764),G765+(ROUND(F764*H764/B764,0)*B764)),IF(D764="BUY",G765+(ROUND(F764*H764/B764,0)*B764),G765-(ROUND(F764*H764/B764,0)*B764)))</f>
        <v>#DIV/0!</v>
      </c>
      <c r="I765" s="29" t="e">
        <f>IF(D764="BUY",G765+(ROUND(F764*I764/(B764*100),0)*B764),G765-(ROUND(F764*I764/(B764*100),0)*B764))</f>
        <v>#DIV/0!</v>
      </c>
      <c r="J765" s="29" t="e">
        <f>IF(C764=1,IF(D764="BUY",E764+(ROUND(F764*J764/B764,0)*B764),E764-(ROUND(F764*J764/B764,0)*B764)),IF(D764="BUY",E764-(ROUND(F764*J764/B764,0)*B764),E764+(ROUND(F764*J764/B764,0)*B764)))</f>
        <v>#DIV/0!</v>
      </c>
      <c r="K765" s="29" t="e">
        <f>IF(C764=1,IF(D764="BUY",E764-(ROUND(F764*K764/B764,0)*B764),E764+(ROUND(F764*K764/B764,0)*B764)),IF(D764="BUY",E764-(ROUND(F764*K764/B764,0)*B764),E764+(ROUND(F764*K764/B764,0)*B764)))</f>
        <v>#DIV/0!</v>
      </c>
      <c r="L765" s="29" t="e">
        <f t="shared" ref="L765" si="1142">IF(D765="BUY",I765+(R765*B765),I765-(R765*B765))</f>
        <v>#DIV/0!</v>
      </c>
      <c r="M765" s="29" t="e">
        <f>IF(D764="BUY",E764+(ROUND(F764*M764/B764,0)*B764),E764-(ROUND(F764*M764/B764,0)*B764))</f>
        <v>#DIV/0!</v>
      </c>
      <c r="N765" s="29" t="e">
        <f>IF(D764="BUY",E764-(ROUND(F764*N764/B764,0)*B764),E764+(ROUND(F764*N764/B764,0)*B764))</f>
        <v>#DIV/0!</v>
      </c>
      <c r="O765" s="31" t="e">
        <f>IF(D765="BUY",N765-VLOOKUP(A765,Symbols!A$1:D$1000,4,FALSE),N765+VLOOKUP(A765,Symbols!A$1:D$1000,4,FALSE))</f>
        <v>#DIV/0!</v>
      </c>
      <c r="P765" s="29">
        <f>P764</f>
        <v>0</v>
      </c>
      <c r="Q765" s="29">
        <f>Q764</f>
        <v>0</v>
      </c>
      <c r="R765" s="29">
        <f>R764</f>
        <v>0</v>
      </c>
      <c r="S765" s="29">
        <f>S764</f>
        <v>0</v>
      </c>
      <c r="T765" s="29">
        <f>T764</f>
        <v>0</v>
      </c>
      <c r="U765" s="29" t="e">
        <f>DATEDIF(DATE(1970,1,1),U764,"D")*86400</f>
        <v>#NUM!</v>
      </c>
      <c r="V765" s="29">
        <f>HOUR(V764)*3600+MINUTE(V764)*60+SECOND(V764)</f>
        <v>0</v>
      </c>
      <c r="W765" s="29" t="e">
        <f>DATEDIF(DATE(1970,1,1),W764,"D")*86400</f>
        <v>#NUM!</v>
      </c>
      <c r="X765" s="29">
        <f>HOUR(X764)*3600+MINUTE(X764)*60+SECOND(X764)</f>
        <v>0</v>
      </c>
      <c r="Y765" s="31">
        <f>(Y764*B765)</f>
        <v>0</v>
      </c>
      <c r="Z765" s="29">
        <f>Z764</f>
        <v>0</v>
      </c>
      <c r="AA765" s="29" t="e">
        <f>DATEDIF(DATE(1970,1,1),AA764,"D")*86400</f>
        <v>#NUM!</v>
      </c>
      <c r="AB765" s="29">
        <f>HOUR(AB764)*3600+MINUTE(AB764)*60+SECOND(AB764)</f>
        <v>0</v>
      </c>
      <c r="AC765" s="29">
        <f>AC764</f>
        <v>0</v>
      </c>
    </row>
    <row r="766" spans="1:29">
      <c r="A766" s="23">
        <f>Parameters!A384</f>
        <v>0</v>
      </c>
      <c r="B766" s="23">
        <f>Parameters!B384</f>
        <v>0</v>
      </c>
      <c r="C766" s="24">
        <f>Parameters!C384</f>
        <v>0</v>
      </c>
      <c r="D766" s="24">
        <f>Parameters!D384</f>
        <v>0</v>
      </c>
      <c r="E766" s="23">
        <f>Parameters!E384</f>
        <v>0</v>
      </c>
      <c r="F766" s="23">
        <f>Parameters!F384</f>
        <v>0</v>
      </c>
      <c r="G766" s="25">
        <f>Parameters!G384</f>
        <v>0</v>
      </c>
      <c r="H766" s="25">
        <f>Parameters!H384</f>
        <v>0</v>
      </c>
      <c r="I766" s="25">
        <f>Parameters!I384</f>
        <v>0</v>
      </c>
      <c r="J766" s="25">
        <f>Parameters!J384</f>
        <v>0</v>
      </c>
      <c r="K766" s="25">
        <f>Parameters!K384</f>
        <v>0</v>
      </c>
      <c r="L766" s="26" t="e">
        <f t="shared" ref="L766" si="1143">L767</f>
        <v>#DIV/0!</v>
      </c>
      <c r="M766" s="25">
        <f>Parameters!L384</f>
        <v>0</v>
      </c>
      <c r="N766" s="25">
        <f>Parameters!M384</f>
        <v>0</v>
      </c>
      <c r="O766" s="26" t="e">
        <f t="shared" ref="O766" si="1144">O767</f>
        <v>#DIV/0!</v>
      </c>
      <c r="P766" s="23">
        <f>Parameters!N384</f>
        <v>0</v>
      </c>
      <c r="Q766" s="23">
        <f>Parameters!O384</f>
        <v>0</v>
      </c>
      <c r="R766" s="23">
        <f>Parameters!P384</f>
        <v>0</v>
      </c>
      <c r="S766" s="23">
        <f>Parameters!Q384</f>
        <v>0</v>
      </c>
      <c r="T766" s="23">
        <f>Parameters!R384</f>
        <v>0</v>
      </c>
      <c r="U766" s="27">
        <f>Parameters!S384</f>
        <v>0</v>
      </c>
      <c r="V766" s="28">
        <f>Parameters!T384</f>
        <v>0</v>
      </c>
      <c r="W766" s="27">
        <f>Parameters!U384</f>
        <v>0</v>
      </c>
      <c r="X766" s="28">
        <f>Parameters!V384</f>
        <v>0</v>
      </c>
      <c r="Y766" s="25">
        <f>Parameters!W384</f>
        <v>0</v>
      </c>
      <c r="Z766" s="23">
        <f>Parameters!X384</f>
        <v>0</v>
      </c>
      <c r="AA766" s="27">
        <f>Parameters!Y384</f>
        <v>0</v>
      </c>
      <c r="AB766" s="28">
        <f>Parameters!Z384</f>
        <v>0</v>
      </c>
      <c r="AC766" s="23">
        <f>Parameters!AA384</f>
        <v>0</v>
      </c>
    </row>
    <row r="767" spans="1:29">
      <c r="A767" s="29" t="str">
        <f>UPPER(A766)</f>
        <v>0</v>
      </c>
      <c r="B767" s="29">
        <f>B766</f>
        <v>0</v>
      </c>
      <c r="C767" s="30">
        <f>C766</f>
        <v>0</v>
      </c>
      <c r="D767" s="30">
        <f>D766</f>
        <v>0</v>
      </c>
      <c r="E767" s="29">
        <f>E766</f>
        <v>0</v>
      </c>
      <c r="F767" s="29">
        <f>F766</f>
        <v>0</v>
      </c>
      <c r="G767" s="29" t="e">
        <f>IF(C766=1,IF(D766="BUY",E766+(ROUND(F766*G766/B766,0)*B766),E766-(ROUND(F766*G766/B766,0)*B766)),IF(D766="BUY",E766-(ROUND(F766*G766/B766,0)*B766),E766+(ROUND(F766*G766/B766,0)*B766)))</f>
        <v>#DIV/0!</v>
      </c>
      <c r="H767" s="29" t="e">
        <f>IF(C766=1,IF(D766="BUY",G767-(ROUND(F766*H766/B766,0)*B766),G767+(ROUND(F766*H766/B766,0)*B766)),IF(D766="BUY",G767+(ROUND(F766*H766/B766,0)*B766),G767-(ROUND(F766*H766/B766,0)*B766)))</f>
        <v>#DIV/0!</v>
      </c>
      <c r="I767" s="29" t="e">
        <f>IF(D766="BUY",G767+(ROUND(F766*I766/(B766*100),0)*B766),G767-(ROUND(F766*I766/(B766*100),0)*B766))</f>
        <v>#DIV/0!</v>
      </c>
      <c r="J767" s="29" t="e">
        <f>IF(C766=1,IF(D766="BUY",E766+(ROUND(F766*J766/B766,0)*B766),E766-(ROUND(F766*J766/B766,0)*B766)),IF(D766="BUY",E766-(ROUND(F766*J766/B766,0)*B766),E766+(ROUND(F766*J766/B766,0)*B766)))</f>
        <v>#DIV/0!</v>
      </c>
      <c r="K767" s="29" t="e">
        <f>IF(C766=1,IF(D766="BUY",E766-(ROUND(F766*K766/B766,0)*B766),E766+(ROUND(F766*K766/B766,0)*B766)),IF(D766="BUY",E766-(ROUND(F766*K766/B766,0)*B766),E766+(ROUND(F766*K766/B766,0)*B766)))</f>
        <v>#DIV/0!</v>
      </c>
      <c r="L767" s="29" t="e">
        <f t="shared" ref="L767" si="1145">IF(D767="BUY",I767+(R767*B767),I767-(R767*B767))</f>
        <v>#DIV/0!</v>
      </c>
      <c r="M767" s="29" t="e">
        <f>IF(D766="BUY",E766+(ROUND(F766*M766/B766,0)*B766),E766-(ROUND(F766*M766/B766,0)*B766))</f>
        <v>#DIV/0!</v>
      </c>
      <c r="N767" s="29" t="e">
        <f>IF(D766="BUY",E766-(ROUND(F766*N766/B766,0)*B766),E766+(ROUND(F766*N766/B766,0)*B766))</f>
        <v>#DIV/0!</v>
      </c>
      <c r="O767" s="31" t="e">
        <f>IF(D767="BUY",N767-VLOOKUP(A767,Symbols!A$1:D$1000,4,FALSE),N767+VLOOKUP(A767,Symbols!A$1:D$1000,4,FALSE))</f>
        <v>#DIV/0!</v>
      </c>
      <c r="P767" s="29">
        <f>P766</f>
        <v>0</v>
      </c>
      <c r="Q767" s="29">
        <f>Q766</f>
        <v>0</v>
      </c>
      <c r="R767" s="29">
        <f>R766</f>
        <v>0</v>
      </c>
      <c r="S767" s="29">
        <f>S766</f>
        <v>0</v>
      </c>
      <c r="T767" s="29">
        <f>T766</f>
        <v>0</v>
      </c>
      <c r="U767" s="29" t="e">
        <f>DATEDIF(DATE(1970,1,1),U766,"D")*86400</f>
        <v>#NUM!</v>
      </c>
      <c r="V767" s="29">
        <f>HOUR(V766)*3600+MINUTE(V766)*60+SECOND(V766)</f>
        <v>0</v>
      </c>
      <c r="W767" s="29" t="e">
        <f>DATEDIF(DATE(1970,1,1),W766,"D")*86400</f>
        <v>#NUM!</v>
      </c>
      <c r="X767" s="29">
        <f>HOUR(X766)*3600+MINUTE(X766)*60+SECOND(X766)</f>
        <v>0</v>
      </c>
      <c r="Y767" s="31">
        <f>(Y766*B767)</f>
        <v>0</v>
      </c>
      <c r="Z767" s="29">
        <f>Z766</f>
        <v>0</v>
      </c>
      <c r="AA767" s="29" t="e">
        <f>DATEDIF(DATE(1970,1,1),AA766,"D")*86400</f>
        <v>#NUM!</v>
      </c>
      <c r="AB767" s="29">
        <f>HOUR(AB766)*3600+MINUTE(AB766)*60+SECOND(AB766)</f>
        <v>0</v>
      </c>
      <c r="AC767" s="29">
        <f>AC766</f>
        <v>0</v>
      </c>
    </row>
    <row r="768" spans="1:29">
      <c r="A768" s="23">
        <f>Parameters!A385</f>
        <v>0</v>
      </c>
      <c r="B768" s="23">
        <f>Parameters!B385</f>
        <v>0</v>
      </c>
      <c r="C768" s="24">
        <f>Parameters!C385</f>
        <v>0</v>
      </c>
      <c r="D768" s="24">
        <f>Parameters!D385</f>
        <v>0</v>
      </c>
      <c r="E768" s="23">
        <f>Parameters!E385</f>
        <v>0</v>
      </c>
      <c r="F768" s="23">
        <f>Parameters!F385</f>
        <v>0</v>
      </c>
      <c r="G768" s="25">
        <f>Parameters!G385</f>
        <v>0</v>
      </c>
      <c r="H768" s="25">
        <f>Parameters!H385</f>
        <v>0</v>
      </c>
      <c r="I768" s="25">
        <f>Parameters!I385</f>
        <v>0</v>
      </c>
      <c r="J768" s="25">
        <f>Parameters!J385</f>
        <v>0</v>
      </c>
      <c r="K768" s="25">
        <f>Parameters!K385</f>
        <v>0</v>
      </c>
      <c r="L768" s="26" t="e">
        <f t="shared" ref="L768" si="1146">L769</f>
        <v>#DIV/0!</v>
      </c>
      <c r="M768" s="25">
        <f>Parameters!L385</f>
        <v>0</v>
      </c>
      <c r="N768" s="25">
        <f>Parameters!M385</f>
        <v>0</v>
      </c>
      <c r="O768" s="26" t="e">
        <f t="shared" ref="O768" si="1147">O769</f>
        <v>#DIV/0!</v>
      </c>
      <c r="P768" s="23">
        <f>Parameters!N385</f>
        <v>0</v>
      </c>
      <c r="Q768" s="23">
        <f>Parameters!O385</f>
        <v>0</v>
      </c>
      <c r="R768" s="23">
        <f>Parameters!P385</f>
        <v>0</v>
      </c>
      <c r="S768" s="23">
        <f>Parameters!Q385</f>
        <v>0</v>
      </c>
      <c r="T768" s="23">
        <f>Parameters!R385</f>
        <v>0</v>
      </c>
      <c r="U768" s="27">
        <f>Parameters!S385</f>
        <v>0</v>
      </c>
      <c r="V768" s="28">
        <f>Parameters!T385</f>
        <v>0</v>
      </c>
      <c r="W768" s="27">
        <f>Parameters!U385</f>
        <v>0</v>
      </c>
      <c r="X768" s="28">
        <f>Parameters!V385</f>
        <v>0</v>
      </c>
      <c r="Y768" s="25">
        <f>Parameters!W385</f>
        <v>0</v>
      </c>
      <c r="Z768" s="23">
        <f>Parameters!X385</f>
        <v>0</v>
      </c>
      <c r="AA768" s="27">
        <f>Parameters!Y385</f>
        <v>0</v>
      </c>
      <c r="AB768" s="28">
        <f>Parameters!Z385</f>
        <v>0</v>
      </c>
      <c r="AC768" s="23">
        <f>Parameters!AA385</f>
        <v>0</v>
      </c>
    </row>
    <row r="769" spans="1:29">
      <c r="A769" s="29" t="str">
        <f>UPPER(A768)</f>
        <v>0</v>
      </c>
      <c r="B769" s="29">
        <f>B768</f>
        <v>0</v>
      </c>
      <c r="C769" s="30">
        <f>C768</f>
        <v>0</v>
      </c>
      <c r="D769" s="30">
        <f>D768</f>
        <v>0</v>
      </c>
      <c r="E769" s="29">
        <f>E768</f>
        <v>0</v>
      </c>
      <c r="F769" s="29">
        <f>F768</f>
        <v>0</v>
      </c>
      <c r="G769" s="29" t="e">
        <f>IF(C768=1,IF(D768="BUY",E768+(ROUND(F768*G768/B768,0)*B768),E768-(ROUND(F768*G768/B768,0)*B768)),IF(D768="BUY",E768-(ROUND(F768*G768/B768,0)*B768),E768+(ROUND(F768*G768/B768,0)*B768)))</f>
        <v>#DIV/0!</v>
      </c>
      <c r="H769" s="29" t="e">
        <f>IF(C768=1,IF(D768="BUY",G769-(ROUND(F768*H768/B768,0)*B768),G769+(ROUND(F768*H768/B768,0)*B768)),IF(D768="BUY",G769+(ROUND(F768*H768/B768,0)*B768),G769-(ROUND(F768*H768/B768,0)*B768)))</f>
        <v>#DIV/0!</v>
      </c>
      <c r="I769" s="29" t="e">
        <f>IF(D768="BUY",G769+(ROUND(F768*I768/(B768*100),0)*B768),G769-(ROUND(F768*I768/(B768*100),0)*B768))</f>
        <v>#DIV/0!</v>
      </c>
      <c r="J769" s="29" t="e">
        <f>IF(C768=1,IF(D768="BUY",E768+(ROUND(F768*J768/B768,0)*B768),E768-(ROUND(F768*J768/B768,0)*B768)),IF(D768="BUY",E768-(ROUND(F768*J768/B768,0)*B768),E768+(ROUND(F768*J768/B768,0)*B768)))</f>
        <v>#DIV/0!</v>
      </c>
      <c r="K769" s="29" t="e">
        <f>IF(C768=1,IF(D768="BUY",E768-(ROUND(F768*K768/B768,0)*B768),E768+(ROUND(F768*K768/B768,0)*B768)),IF(D768="BUY",E768-(ROUND(F768*K768/B768,0)*B768),E768+(ROUND(F768*K768/B768,0)*B768)))</f>
        <v>#DIV/0!</v>
      </c>
      <c r="L769" s="29" t="e">
        <f t="shared" ref="L769" si="1148">IF(D769="BUY",I769+(R769*B769),I769-(R769*B769))</f>
        <v>#DIV/0!</v>
      </c>
      <c r="M769" s="29" t="e">
        <f>IF(D768="BUY",E768+(ROUND(F768*M768/B768,0)*B768),E768-(ROUND(F768*M768/B768,0)*B768))</f>
        <v>#DIV/0!</v>
      </c>
      <c r="N769" s="29" t="e">
        <f>IF(D768="BUY",E768-(ROUND(F768*N768/B768,0)*B768),E768+(ROUND(F768*N768/B768,0)*B768))</f>
        <v>#DIV/0!</v>
      </c>
      <c r="O769" s="31" t="e">
        <f>IF(D769="BUY",N769-VLOOKUP(A769,Symbols!A$1:D$1000,4,FALSE),N769+VLOOKUP(A769,Symbols!A$1:D$1000,4,FALSE))</f>
        <v>#DIV/0!</v>
      </c>
      <c r="P769" s="29">
        <f>P768</f>
        <v>0</v>
      </c>
      <c r="Q769" s="29">
        <f>Q768</f>
        <v>0</v>
      </c>
      <c r="R769" s="29">
        <f>R768</f>
        <v>0</v>
      </c>
      <c r="S769" s="29">
        <f>S768</f>
        <v>0</v>
      </c>
      <c r="T769" s="29">
        <f>T768</f>
        <v>0</v>
      </c>
      <c r="U769" s="29" t="e">
        <f>DATEDIF(DATE(1970,1,1),U768,"D")*86400</f>
        <v>#NUM!</v>
      </c>
      <c r="V769" s="29">
        <f>HOUR(V768)*3600+MINUTE(V768)*60+SECOND(V768)</f>
        <v>0</v>
      </c>
      <c r="W769" s="29" t="e">
        <f>DATEDIF(DATE(1970,1,1),W768,"D")*86400</f>
        <v>#NUM!</v>
      </c>
      <c r="X769" s="29">
        <f>HOUR(X768)*3600+MINUTE(X768)*60+SECOND(X768)</f>
        <v>0</v>
      </c>
      <c r="Y769" s="31">
        <f>(Y768*B769)</f>
        <v>0</v>
      </c>
      <c r="Z769" s="29">
        <f>Z768</f>
        <v>0</v>
      </c>
      <c r="AA769" s="29" t="e">
        <f>DATEDIF(DATE(1970,1,1),AA768,"D")*86400</f>
        <v>#NUM!</v>
      </c>
      <c r="AB769" s="29">
        <f>HOUR(AB768)*3600+MINUTE(AB768)*60+SECOND(AB768)</f>
        <v>0</v>
      </c>
      <c r="AC769" s="29">
        <f>AC768</f>
        <v>0</v>
      </c>
    </row>
    <row r="770" spans="1:29">
      <c r="A770" s="23">
        <f>Parameters!A386</f>
        <v>0</v>
      </c>
      <c r="B770" s="23">
        <f>Parameters!B386</f>
        <v>0</v>
      </c>
      <c r="C770" s="24">
        <f>Parameters!C386</f>
        <v>0</v>
      </c>
      <c r="D770" s="24">
        <f>Parameters!D386</f>
        <v>0</v>
      </c>
      <c r="E770" s="23">
        <f>Parameters!E386</f>
        <v>0</v>
      </c>
      <c r="F770" s="23">
        <f>Parameters!F386</f>
        <v>0</v>
      </c>
      <c r="G770" s="25">
        <f>Parameters!G386</f>
        <v>0</v>
      </c>
      <c r="H770" s="25">
        <f>Parameters!H386</f>
        <v>0</v>
      </c>
      <c r="I770" s="25">
        <f>Parameters!I386</f>
        <v>0</v>
      </c>
      <c r="J770" s="25">
        <f>Parameters!J386</f>
        <v>0</v>
      </c>
      <c r="K770" s="25">
        <f>Parameters!K386</f>
        <v>0</v>
      </c>
      <c r="L770" s="26" t="e">
        <f t="shared" ref="L770" si="1149">L771</f>
        <v>#DIV/0!</v>
      </c>
      <c r="M770" s="25">
        <f>Parameters!L386</f>
        <v>0</v>
      </c>
      <c r="N770" s="25">
        <f>Parameters!M386</f>
        <v>0</v>
      </c>
      <c r="O770" s="26" t="e">
        <f t="shared" ref="O770" si="1150">O771</f>
        <v>#DIV/0!</v>
      </c>
      <c r="P770" s="23">
        <f>Parameters!N386</f>
        <v>0</v>
      </c>
      <c r="Q770" s="23">
        <f>Parameters!O386</f>
        <v>0</v>
      </c>
      <c r="R770" s="23">
        <f>Parameters!P386</f>
        <v>0</v>
      </c>
      <c r="S770" s="23">
        <f>Parameters!Q386</f>
        <v>0</v>
      </c>
      <c r="T770" s="23">
        <f>Parameters!R386</f>
        <v>0</v>
      </c>
      <c r="U770" s="27">
        <f>Parameters!S386</f>
        <v>0</v>
      </c>
      <c r="V770" s="28">
        <f>Parameters!T386</f>
        <v>0</v>
      </c>
      <c r="W770" s="27">
        <f>Parameters!U386</f>
        <v>0</v>
      </c>
      <c r="X770" s="28">
        <f>Parameters!V386</f>
        <v>0</v>
      </c>
      <c r="Y770" s="25">
        <f>Parameters!W386</f>
        <v>0</v>
      </c>
      <c r="Z770" s="23">
        <f>Parameters!X386</f>
        <v>0</v>
      </c>
      <c r="AA770" s="27">
        <f>Parameters!Y386</f>
        <v>0</v>
      </c>
      <c r="AB770" s="28">
        <f>Parameters!Z386</f>
        <v>0</v>
      </c>
      <c r="AC770" s="23">
        <f>Parameters!AA386</f>
        <v>0</v>
      </c>
    </row>
    <row r="771" spans="1:29">
      <c r="A771" s="29" t="str">
        <f>UPPER(A770)</f>
        <v>0</v>
      </c>
      <c r="B771" s="29">
        <f>B770</f>
        <v>0</v>
      </c>
      <c r="C771" s="30">
        <f>C770</f>
        <v>0</v>
      </c>
      <c r="D771" s="30">
        <f>D770</f>
        <v>0</v>
      </c>
      <c r="E771" s="29">
        <f>E770</f>
        <v>0</v>
      </c>
      <c r="F771" s="29">
        <f>F770</f>
        <v>0</v>
      </c>
      <c r="G771" s="29" t="e">
        <f>IF(C770=1,IF(D770="BUY",E770+(ROUND(F770*G770/B770,0)*B770),E770-(ROUND(F770*G770/B770,0)*B770)),IF(D770="BUY",E770-(ROUND(F770*G770/B770,0)*B770),E770+(ROUND(F770*G770/B770,0)*B770)))</f>
        <v>#DIV/0!</v>
      </c>
      <c r="H771" s="29" t="e">
        <f>IF(C770=1,IF(D770="BUY",G771-(ROUND(F770*H770/B770,0)*B770),G771+(ROUND(F770*H770/B770,0)*B770)),IF(D770="BUY",G771+(ROUND(F770*H770/B770,0)*B770),G771-(ROUND(F770*H770/B770,0)*B770)))</f>
        <v>#DIV/0!</v>
      </c>
      <c r="I771" s="29" t="e">
        <f>IF(D770="BUY",G771+(ROUND(F770*I770/(B770*100),0)*B770),G771-(ROUND(F770*I770/(B770*100),0)*B770))</f>
        <v>#DIV/0!</v>
      </c>
      <c r="J771" s="29" t="e">
        <f>IF(C770=1,IF(D770="BUY",E770+(ROUND(F770*J770/B770,0)*B770),E770-(ROUND(F770*J770/B770,0)*B770)),IF(D770="BUY",E770-(ROUND(F770*J770/B770,0)*B770),E770+(ROUND(F770*J770/B770,0)*B770)))</f>
        <v>#DIV/0!</v>
      </c>
      <c r="K771" s="29" t="e">
        <f>IF(C770=1,IF(D770="BUY",E770-(ROUND(F770*K770/B770,0)*B770),E770+(ROUND(F770*K770/B770,0)*B770)),IF(D770="BUY",E770-(ROUND(F770*K770/B770,0)*B770),E770+(ROUND(F770*K770/B770,0)*B770)))</f>
        <v>#DIV/0!</v>
      </c>
      <c r="L771" s="29" t="e">
        <f t="shared" ref="L771" si="1151">IF(D771="BUY",I771+(R771*B771),I771-(R771*B771))</f>
        <v>#DIV/0!</v>
      </c>
      <c r="M771" s="29" t="e">
        <f>IF(D770="BUY",E770+(ROUND(F770*M770/B770,0)*B770),E770-(ROUND(F770*M770/B770,0)*B770))</f>
        <v>#DIV/0!</v>
      </c>
      <c r="N771" s="29" t="e">
        <f>IF(D770="BUY",E770-(ROUND(F770*N770/B770,0)*B770),E770+(ROUND(F770*N770/B770,0)*B770))</f>
        <v>#DIV/0!</v>
      </c>
      <c r="O771" s="31" t="e">
        <f>IF(D771="BUY",N771-VLOOKUP(A771,Symbols!A$1:D$1000,4,FALSE),N771+VLOOKUP(A771,Symbols!A$1:D$1000,4,FALSE))</f>
        <v>#DIV/0!</v>
      </c>
      <c r="P771" s="29">
        <f>P770</f>
        <v>0</v>
      </c>
      <c r="Q771" s="29">
        <f>Q770</f>
        <v>0</v>
      </c>
      <c r="R771" s="29">
        <f>R770</f>
        <v>0</v>
      </c>
      <c r="S771" s="29">
        <f>S770</f>
        <v>0</v>
      </c>
      <c r="T771" s="29">
        <f>T770</f>
        <v>0</v>
      </c>
      <c r="U771" s="29" t="e">
        <f>DATEDIF(DATE(1970,1,1),U770,"D")*86400</f>
        <v>#NUM!</v>
      </c>
      <c r="V771" s="29">
        <f>HOUR(V770)*3600+MINUTE(V770)*60+SECOND(V770)</f>
        <v>0</v>
      </c>
      <c r="W771" s="29" t="e">
        <f>DATEDIF(DATE(1970,1,1),W770,"D")*86400</f>
        <v>#NUM!</v>
      </c>
      <c r="X771" s="29">
        <f>HOUR(X770)*3600+MINUTE(X770)*60+SECOND(X770)</f>
        <v>0</v>
      </c>
      <c r="Y771" s="31">
        <f>(Y770*B771)</f>
        <v>0</v>
      </c>
      <c r="Z771" s="29">
        <f>Z770</f>
        <v>0</v>
      </c>
      <c r="AA771" s="29" t="e">
        <f>DATEDIF(DATE(1970,1,1),AA770,"D")*86400</f>
        <v>#NUM!</v>
      </c>
      <c r="AB771" s="29">
        <f>HOUR(AB770)*3600+MINUTE(AB770)*60+SECOND(AB770)</f>
        <v>0</v>
      </c>
      <c r="AC771" s="29">
        <f>AC770</f>
        <v>0</v>
      </c>
    </row>
    <row r="772" spans="1:29">
      <c r="A772" s="23">
        <f>Parameters!A387</f>
        <v>0</v>
      </c>
      <c r="B772" s="23">
        <f>Parameters!B387</f>
        <v>0</v>
      </c>
      <c r="C772" s="24">
        <f>Parameters!C387</f>
        <v>0</v>
      </c>
      <c r="D772" s="24">
        <f>Parameters!D387</f>
        <v>0</v>
      </c>
      <c r="E772" s="23">
        <f>Parameters!E387</f>
        <v>0</v>
      </c>
      <c r="F772" s="23">
        <f>Parameters!F387</f>
        <v>0</v>
      </c>
      <c r="G772" s="25">
        <f>Parameters!G387</f>
        <v>0</v>
      </c>
      <c r="H772" s="25">
        <f>Parameters!H387</f>
        <v>0</v>
      </c>
      <c r="I772" s="25">
        <f>Parameters!I387</f>
        <v>0</v>
      </c>
      <c r="J772" s="25">
        <f>Parameters!J387</f>
        <v>0</v>
      </c>
      <c r="K772" s="25">
        <f>Parameters!K387</f>
        <v>0</v>
      </c>
      <c r="L772" s="26" t="e">
        <f t="shared" ref="L772" si="1152">L773</f>
        <v>#DIV/0!</v>
      </c>
      <c r="M772" s="25">
        <f>Parameters!L387</f>
        <v>0</v>
      </c>
      <c r="N772" s="25">
        <f>Parameters!M387</f>
        <v>0</v>
      </c>
      <c r="O772" s="26" t="e">
        <f t="shared" ref="O772" si="1153">O773</f>
        <v>#DIV/0!</v>
      </c>
      <c r="P772" s="23">
        <f>Parameters!N387</f>
        <v>0</v>
      </c>
      <c r="Q772" s="23">
        <f>Parameters!O387</f>
        <v>0</v>
      </c>
      <c r="R772" s="23">
        <f>Parameters!P387</f>
        <v>0</v>
      </c>
      <c r="S772" s="23">
        <f>Parameters!Q387</f>
        <v>0</v>
      </c>
      <c r="T772" s="23">
        <f>Parameters!R387</f>
        <v>0</v>
      </c>
      <c r="U772" s="27">
        <f>Parameters!S387</f>
        <v>0</v>
      </c>
      <c r="V772" s="28">
        <f>Parameters!T387</f>
        <v>0</v>
      </c>
      <c r="W772" s="27">
        <f>Parameters!U387</f>
        <v>0</v>
      </c>
      <c r="X772" s="28">
        <f>Parameters!V387</f>
        <v>0</v>
      </c>
      <c r="Y772" s="25">
        <f>Parameters!W387</f>
        <v>0</v>
      </c>
      <c r="Z772" s="23">
        <f>Parameters!X387</f>
        <v>0</v>
      </c>
      <c r="AA772" s="27">
        <f>Parameters!Y387</f>
        <v>0</v>
      </c>
      <c r="AB772" s="28">
        <f>Parameters!Z387</f>
        <v>0</v>
      </c>
      <c r="AC772" s="23">
        <f>Parameters!AA387</f>
        <v>0</v>
      </c>
    </row>
    <row r="773" spans="1:29">
      <c r="A773" s="29" t="str">
        <f>UPPER(A772)</f>
        <v>0</v>
      </c>
      <c r="B773" s="29">
        <f>B772</f>
        <v>0</v>
      </c>
      <c r="C773" s="30">
        <f>C772</f>
        <v>0</v>
      </c>
      <c r="D773" s="30">
        <f>D772</f>
        <v>0</v>
      </c>
      <c r="E773" s="29">
        <f>E772</f>
        <v>0</v>
      </c>
      <c r="F773" s="29">
        <f>F772</f>
        <v>0</v>
      </c>
      <c r="G773" s="29" t="e">
        <f>IF(C772=1,IF(D772="BUY",E772+(ROUND(F772*G772/B772,0)*B772),E772-(ROUND(F772*G772/B772,0)*B772)),IF(D772="BUY",E772-(ROUND(F772*G772/B772,0)*B772),E772+(ROUND(F772*G772/B772,0)*B772)))</f>
        <v>#DIV/0!</v>
      </c>
      <c r="H773" s="29" t="e">
        <f>IF(C772=1,IF(D772="BUY",G773-(ROUND(F772*H772/B772,0)*B772),G773+(ROUND(F772*H772/B772,0)*B772)),IF(D772="BUY",G773+(ROUND(F772*H772/B772,0)*B772),G773-(ROUND(F772*H772/B772,0)*B772)))</f>
        <v>#DIV/0!</v>
      </c>
      <c r="I773" s="29" t="e">
        <f>IF(D772="BUY",G773+(ROUND(F772*I772/(B772*100),0)*B772),G773-(ROUND(F772*I772/(B772*100),0)*B772))</f>
        <v>#DIV/0!</v>
      </c>
      <c r="J773" s="29" t="e">
        <f>IF(C772=1,IF(D772="BUY",E772+(ROUND(F772*J772/B772,0)*B772),E772-(ROUND(F772*J772/B772,0)*B772)),IF(D772="BUY",E772-(ROUND(F772*J772/B772,0)*B772),E772+(ROUND(F772*J772/B772,0)*B772)))</f>
        <v>#DIV/0!</v>
      </c>
      <c r="K773" s="29" t="e">
        <f>IF(C772=1,IF(D772="BUY",E772-(ROUND(F772*K772/B772,0)*B772),E772+(ROUND(F772*K772/B772,0)*B772)),IF(D772="BUY",E772-(ROUND(F772*K772/B772,0)*B772),E772+(ROUND(F772*K772/B772,0)*B772)))</f>
        <v>#DIV/0!</v>
      </c>
      <c r="L773" s="29" t="e">
        <f t="shared" ref="L773" si="1154">IF(D773="BUY",I773+(R773*B773),I773-(R773*B773))</f>
        <v>#DIV/0!</v>
      </c>
      <c r="M773" s="29" t="e">
        <f>IF(D772="BUY",E772+(ROUND(F772*M772/B772,0)*B772),E772-(ROUND(F772*M772/B772,0)*B772))</f>
        <v>#DIV/0!</v>
      </c>
      <c r="N773" s="29" t="e">
        <f>IF(D772="BUY",E772-(ROUND(F772*N772/B772,0)*B772),E772+(ROUND(F772*N772/B772,0)*B772))</f>
        <v>#DIV/0!</v>
      </c>
      <c r="O773" s="31" t="e">
        <f>IF(D773="BUY",N773-VLOOKUP(A773,Symbols!A$1:D$1000,4,FALSE),N773+VLOOKUP(A773,Symbols!A$1:D$1000,4,FALSE))</f>
        <v>#DIV/0!</v>
      </c>
      <c r="P773" s="29">
        <f>P772</f>
        <v>0</v>
      </c>
      <c r="Q773" s="29">
        <f>Q772</f>
        <v>0</v>
      </c>
      <c r="R773" s="29">
        <f>R772</f>
        <v>0</v>
      </c>
      <c r="S773" s="29">
        <f>S772</f>
        <v>0</v>
      </c>
      <c r="T773" s="29">
        <f>T772</f>
        <v>0</v>
      </c>
      <c r="U773" s="29" t="e">
        <f>DATEDIF(DATE(1970,1,1),U772,"D")*86400</f>
        <v>#NUM!</v>
      </c>
      <c r="V773" s="29">
        <f>HOUR(V772)*3600+MINUTE(V772)*60+SECOND(V772)</f>
        <v>0</v>
      </c>
      <c r="W773" s="29" t="e">
        <f>DATEDIF(DATE(1970,1,1),W772,"D")*86400</f>
        <v>#NUM!</v>
      </c>
      <c r="X773" s="29">
        <f>HOUR(X772)*3600+MINUTE(X772)*60+SECOND(X772)</f>
        <v>0</v>
      </c>
      <c r="Y773" s="31">
        <f>(Y772*B773)</f>
        <v>0</v>
      </c>
      <c r="Z773" s="29">
        <f>Z772</f>
        <v>0</v>
      </c>
      <c r="AA773" s="29" t="e">
        <f>DATEDIF(DATE(1970,1,1),AA772,"D")*86400</f>
        <v>#NUM!</v>
      </c>
      <c r="AB773" s="29">
        <f>HOUR(AB772)*3600+MINUTE(AB772)*60+SECOND(AB772)</f>
        <v>0</v>
      </c>
      <c r="AC773" s="29">
        <f>AC772</f>
        <v>0</v>
      </c>
    </row>
    <row r="774" spans="1:29">
      <c r="A774" s="23">
        <f>Parameters!A388</f>
        <v>0</v>
      </c>
      <c r="B774" s="23">
        <f>Parameters!B388</f>
        <v>0</v>
      </c>
      <c r="C774" s="24">
        <f>Parameters!C388</f>
        <v>0</v>
      </c>
      <c r="D774" s="24">
        <f>Parameters!D388</f>
        <v>0</v>
      </c>
      <c r="E774" s="23">
        <f>Parameters!E388</f>
        <v>0</v>
      </c>
      <c r="F774" s="23">
        <f>Parameters!F388</f>
        <v>0</v>
      </c>
      <c r="G774" s="25">
        <f>Parameters!G388</f>
        <v>0</v>
      </c>
      <c r="H774" s="25">
        <f>Parameters!H388</f>
        <v>0</v>
      </c>
      <c r="I774" s="25">
        <f>Parameters!I388</f>
        <v>0</v>
      </c>
      <c r="J774" s="25">
        <f>Parameters!J388</f>
        <v>0</v>
      </c>
      <c r="K774" s="25">
        <f>Parameters!K388</f>
        <v>0</v>
      </c>
      <c r="L774" s="26" t="e">
        <f t="shared" ref="L774" si="1155">L775</f>
        <v>#DIV/0!</v>
      </c>
      <c r="M774" s="25">
        <f>Parameters!L388</f>
        <v>0</v>
      </c>
      <c r="N774" s="25">
        <f>Parameters!M388</f>
        <v>0</v>
      </c>
      <c r="O774" s="26" t="e">
        <f t="shared" ref="O774" si="1156">O775</f>
        <v>#DIV/0!</v>
      </c>
      <c r="P774" s="23">
        <f>Parameters!N388</f>
        <v>0</v>
      </c>
      <c r="Q774" s="23">
        <f>Parameters!O388</f>
        <v>0</v>
      </c>
      <c r="R774" s="23">
        <f>Parameters!P388</f>
        <v>0</v>
      </c>
      <c r="S774" s="23">
        <f>Parameters!Q388</f>
        <v>0</v>
      </c>
      <c r="T774" s="23">
        <f>Parameters!R388</f>
        <v>0</v>
      </c>
      <c r="U774" s="27">
        <f>Parameters!S388</f>
        <v>0</v>
      </c>
      <c r="V774" s="28">
        <f>Parameters!T388</f>
        <v>0</v>
      </c>
      <c r="W774" s="27">
        <f>Parameters!U388</f>
        <v>0</v>
      </c>
      <c r="X774" s="28">
        <f>Parameters!V388</f>
        <v>0</v>
      </c>
      <c r="Y774" s="25">
        <f>Parameters!W388</f>
        <v>0</v>
      </c>
      <c r="Z774" s="23">
        <f>Parameters!X388</f>
        <v>0</v>
      </c>
      <c r="AA774" s="27">
        <f>Parameters!Y388</f>
        <v>0</v>
      </c>
      <c r="AB774" s="28">
        <f>Parameters!Z388</f>
        <v>0</v>
      </c>
      <c r="AC774" s="23">
        <f>Parameters!AA388</f>
        <v>0</v>
      </c>
    </row>
    <row r="775" spans="1:29">
      <c r="A775" s="29" t="str">
        <f>UPPER(A774)</f>
        <v>0</v>
      </c>
      <c r="B775" s="29">
        <f>B774</f>
        <v>0</v>
      </c>
      <c r="C775" s="30">
        <f>C774</f>
        <v>0</v>
      </c>
      <c r="D775" s="30">
        <f>D774</f>
        <v>0</v>
      </c>
      <c r="E775" s="29">
        <f>E774</f>
        <v>0</v>
      </c>
      <c r="F775" s="29">
        <f>F774</f>
        <v>0</v>
      </c>
      <c r="G775" s="29" t="e">
        <f>IF(C774=1,IF(D774="BUY",E774+(ROUND(F774*G774/B774,0)*B774),E774-(ROUND(F774*G774/B774,0)*B774)),IF(D774="BUY",E774-(ROUND(F774*G774/B774,0)*B774),E774+(ROUND(F774*G774/B774,0)*B774)))</f>
        <v>#DIV/0!</v>
      </c>
      <c r="H775" s="29" t="e">
        <f>IF(C774=1,IF(D774="BUY",G775-(ROUND(F774*H774/B774,0)*B774),G775+(ROUND(F774*H774/B774,0)*B774)),IF(D774="BUY",G775+(ROUND(F774*H774/B774,0)*B774),G775-(ROUND(F774*H774/B774,0)*B774)))</f>
        <v>#DIV/0!</v>
      </c>
      <c r="I775" s="29" t="e">
        <f>IF(D774="BUY",G775+(ROUND(F774*I774/(B774*100),0)*B774),G775-(ROUND(F774*I774/(B774*100),0)*B774))</f>
        <v>#DIV/0!</v>
      </c>
      <c r="J775" s="29" t="e">
        <f>IF(C774=1,IF(D774="BUY",E774+(ROUND(F774*J774/B774,0)*B774),E774-(ROUND(F774*J774/B774,0)*B774)),IF(D774="BUY",E774-(ROUND(F774*J774/B774,0)*B774),E774+(ROUND(F774*J774/B774,0)*B774)))</f>
        <v>#DIV/0!</v>
      </c>
      <c r="K775" s="29" t="e">
        <f>IF(C774=1,IF(D774="BUY",E774-(ROUND(F774*K774/B774,0)*B774),E774+(ROUND(F774*K774/B774,0)*B774)),IF(D774="BUY",E774-(ROUND(F774*K774/B774,0)*B774),E774+(ROUND(F774*K774/B774,0)*B774)))</f>
        <v>#DIV/0!</v>
      </c>
      <c r="L775" s="29" t="e">
        <f t="shared" ref="L775" si="1157">IF(D775="BUY",I775+(R775*B775),I775-(R775*B775))</f>
        <v>#DIV/0!</v>
      </c>
      <c r="M775" s="29" t="e">
        <f>IF(D774="BUY",E774+(ROUND(F774*M774/B774,0)*B774),E774-(ROUND(F774*M774/B774,0)*B774))</f>
        <v>#DIV/0!</v>
      </c>
      <c r="N775" s="29" t="e">
        <f>IF(D774="BUY",E774-(ROUND(F774*N774/B774,0)*B774),E774+(ROUND(F774*N774/B774,0)*B774))</f>
        <v>#DIV/0!</v>
      </c>
      <c r="O775" s="31" t="e">
        <f>IF(D775="BUY",N775-VLOOKUP(A775,Symbols!A$1:D$1000,4,FALSE),N775+VLOOKUP(A775,Symbols!A$1:D$1000,4,FALSE))</f>
        <v>#DIV/0!</v>
      </c>
      <c r="P775" s="29">
        <f>P774</f>
        <v>0</v>
      </c>
      <c r="Q775" s="29">
        <f>Q774</f>
        <v>0</v>
      </c>
      <c r="R775" s="29">
        <f>R774</f>
        <v>0</v>
      </c>
      <c r="S775" s="29">
        <f>S774</f>
        <v>0</v>
      </c>
      <c r="T775" s="29">
        <f>T774</f>
        <v>0</v>
      </c>
      <c r="U775" s="29" t="e">
        <f>DATEDIF(DATE(1970,1,1),U774,"D")*86400</f>
        <v>#NUM!</v>
      </c>
      <c r="V775" s="29">
        <f>HOUR(V774)*3600+MINUTE(V774)*60+SECOND(V774)</f>
        <v>0</v>
      </c>
      <c r="W775" s="29" t="e">
        <f>DATEDIF(DATE(1970,1,1),W774,"D")*86400</f>
        <v>#NUM!</v>
      </c>
      <c r="X775" s="29">
        <f>HOUR(X774)*3600+MINUTE(X774)*60+SECOND(X774)</f>
        <v>0</v>
      </c>
      <c r="Y775" s="31">
        <f>(Y774*B775)</f>
        <v>0</v>
      </c>
      <c r="Z775" s="29">
        <f>Z774</f>
        <v>0</v>
      </c>
      <c r="AA775" s="29" t="e">
        <f>DATEDIF(DATE(1970,1,1),AA774,"D")*86400</f>
        <v>#NUM!</v>
      </c>
      <c r="AB775" s="29">
        <f>HOUR(AB774)*3600+MINUTE(AB774)*60+SECOND(AB774)</f>
        <v>0</v>
      </c>
      <c r="AC775" s="29">
        <f>AC774</f>
        <v>0</v>
      </c>
    </row>
    <row r="776" spans="1:29">
      <c r="A776" s="23">
        <f>Parameters!A389</f>
        <v>0</v>
      </c>
      <c r="B776" s="23">
        <f>Parameters!B389</f>
        <v>0</v>
      </c>
      <c r="C776" s="24">
        <f>Parameters!C389</f>
        <v>0</v>
      </c>
      <c r="D776" s="24">
        <f>Parameters!D389</f>
        <v>0</v>
      </c>
      <c r="E776" s="23">
        <f>Parameters!E389</f>
        <v>0</v>
      </c>
      <c r="F776" s="23">
        <f>Parameters!F389</f>
        <v>0</v>
      </c>
      <c r="G776" s="25">
        <f>Parameters!G389</f>
        <v>0</v>
      </c>
      <c r="H776" s="25">
        <f>Parameters!H389</f>
        <v>0</v>
      </c>
      <c r="I776" s="25">
        <f>Parameters!I389</f>
        <v>0</v>
      </c>
      <c r="J776" s="25">
        <f>Parameters!J389</f>
        <v>0</v>
      </c>
      <c r="K776" s="25">
        <f>Parameters!K389</f>
        <v>0</v>
      </c>
      <c r="L776" s="26" t="e">
        <f t="shared" ref="L776" si="1158">L777</f>
        <v>#DIV/0!</v>
      </c>
      <c r="M776" s="25">
        <f>Parameters!L389</f>
        <v>0</v>
      </c>
      <c r="N776" s="25">
        <f>Parameters!M389</f>
        <v>0</v>
      </c>
      <c r="O776" s="26" t="e">
        <f t="shared" ref="O776" si="1159">O777</f>
        <v>#DIV/0!</v>
      </c>
      <c r="P776" s="23">
        <f>Parameters!N389</f>
        <v>0</v>
      </c>
      <c r="Q776" s="23">
        <f>Parameters!O389</f>
        <v>0</v>
      </c>
      <c r="R776" s="23">
        <f>Parameters!P389</f>
        <v>0</v>
      </c>
      <c r="S776" s="23">
        <f>Parameters!Q389</f>
        <v>0</v>
      </c>
      <c r="T776" s="23">
        <f>Parameters!R389</f>
        <v>0</v>
      </c>
      <c r="U776" s="27">
        <f>Parameters!S389</f>
        <v>0</v>
      </c>
      <c r="V776" s="28">
        <f>Parameters!T389</f>
        <v>0</v>
      </c>
      <c r="W776" s="27">
        <f>Parameters!U389</f>
        <v>0</v>
      </c>
      <c r="X776" s="28">
        <f>Parameters!V389</f>
        <v>0</v>
      </c>
      <c r="Y776" s="25">
        <f>Parameters!W389</f>
        <v>0</v>
      </c>
      <c r="Z776" s="23">
        <f>Parameters!X389</f>
        <v>0</v>
      </c>
      <c r="AA776" s="27">
        <f>Parameters!Y389</f>
        <v>0</v>
      </c>
      <c r="AB776" s="28">
        <f>Parameters!Z389</f>
        <v>0</v>
      </c>
      <c r="AC776" s="23">
        <f>Parameters!AA389</f>
        <v>0</v>
      </c>
    </row>
    <row r="777" spans="1:29">
      <c r="A777" s="29" t="str">
        <f>UPPER(A776)</f>
        <v>0</v>
      </c>
      <c r="B777" s="29">
        <f>B776</f>
        <v>0</v>
      </c>
      <c r="C777" s="30">
        <f>C776</f>
        <v>0</v>
      </c>
      <c r="D777" s="30">
        <f>D776</f>
        <v>0</v>
      </c>
      <c r="E777" s="29">
        <f>E776</f>
        <v>0</v>
      </c>
      <c r="F777" s="29">
        <f>F776</f>
        <v>0</v>
      </c>
      <c r="G777" s="29" t="e">
        <f>IF(C776=1,IF(D776="BUY",E776+(ROUND(F776*G776/B776,0)*B776),E776-(ROUND(F776*G776/B776,0)*B776)),IF(D776="BUY",E776-(ROUND(F776*G776/B776,0)*B776),E776+(ROUND(F776*G776/B776,0)*B776)))</f>
        <v>#DIV/0!</v>
      </c>
      <c r="H777" s="29" t="e">
        <f>IF(C776=1,IF(D776="BUY",G777-(ROUND(F776*H776/B776,0)*B776),G777+(ROUND(F776*H776/B776,0)*B776)),IF(D776="BUY",G777+(ROUND(F776*H776/B776,0)*B776),G777-(ROUND(F776*H776/B776,0)*B776)))</f>
        <v>#DIV/0!</v>
      </c>
      <c r="I777" s="29" t="e">
        <f>IF(D776="BUY",G777+(ROUND(F776*I776/(B776*100),0)*B776),G777-(ROUND(F776*I776/(B776*100),0)*B776))</f>
        <v>#DIV/0!</v>
      </c>
      <c r="J777" s="29" t="e">
        <f>IF(C776=1,IF(D776="BUY",E776+(ROUND(F776*J776/B776,0)*B776),E776-(ROUND(F776*J776/B776,0)*B776)),IF(D776="BUY",E776-(ROUND(F776*J776/B776,0)*B776),E776+(ROUND(F776*J776/B776,0)*B776)))</f>
        <v>#DIV/0!</v>
      </c>
      <c r="K777" s="29" t="e">
        <f>IF(C776=1,IF(D776="BUY",E776-(ROUND(F776*K776/B776,0)*B776),E776+(ROUND(F776*K776/B776,0)*B776)),IF(D776="BUY",E776-(ROUND(F776*K776/B776,0)*B776),E776+(ROUND(F776*K776/B776,0)*B776)))</f>
        <v>#DIV/0!</v>
      </c>
      <c r="L777" s="29" t="e">
        <f t="shared" ref="L777" si="1160">IF(D777="BUY",I777+(R777*B777),I777-(R777*B777))</f>
        <v>#DIV/0!</v>
      </c>
      <c r="M777" s="29" t="e">
        <f>IF(D776="BUY",E776+(ROUND(F776*M776/B776,0)*B776),E776-(ROUND(F776*M776/B776,0)*B776))</f>
        <v>#DIV/0!</v>
      </c>
      <c r="N777" s="29" t="e">
        <f>IF(D776="BUY",E776-(ROUND(F776*N776/B776,0)*B776),E776+(ROUND(F776*N776/B776,0)*B776))</f>
        <v>#DIV/0!</v>
      </c>
      <c r="O777" s="31" t="e">
        <f>IF(D777="BUY",N777-VLOOKUP(A777,Symbols!A$1:D$1000,4,FALSE),N777+VLOOKUP(A777,Symbols!A$1:D$1000,4,FALSE))</f>
        <v>#DIV/0!</v>
      </c>
      <c r="P777" s="29">
        <f>P776</f>
        <v>0</v>
      </c>
      <c r="Q777" s="29">
        <f>Q776</f>
        <v>0</v>
      </c>
      <c r="R777" s="29">
        <f>R776</f>
        <v>0</v>
      </c>
      <c r="S777" s="29">
        <f>S776</f>
        <v>0</v>
      </c>
      <c r="T777" s="29">
        <f>T776</f>
        <v>0</v>
      </c>
      <c r="U777" s="29" t="e">
        <f>DATEDIF(DATE(1970,1,1),U776,"D")*86400</f>
        <v>#NUM!</v>
      </c>
      <c r="V777" s="29">
        <f>HOUR(V776)*3600+MINUTE(V776)*60+SECOND(V776)</f>
        <v>0</v>
      </c>
      <c r="W777" s="29" t="e">
        <f>DATEDIF(DATE(1970,1,1),W776,"D")*86400</f>
        <v>#NUM!</v>
      </c>
      <c r="X777" s="29">
        <f>HOUR(X776)*3600+MINUTE(X776)*60+SECOND(X776)</f>
        <v>0</v>
      </c>
      <c r="Y777" s="31">
        <f>(Y776*B777)</f>
        <v>0</v>
      </c>
      <c r="Z777" s="29">
        <f>Z776</f>
        <v>0</v>
      </c>
      <c r="AA777" s="29" t="e">
        <f>DATEDIF(DATE(1970,1,1),AA776,"D")*86400</f>
        <v>#NUM!</v>
      </c>
      <c r="AB777" s="29">
        <f>HOUR(AB776)*3600+MINUTE(AB776)*60+SECOND(AB776)</f>
        <v>0</v>
      </c>
      <c r="AC777" s="29">
        <f>AC776</f>
        <v>0</v>
      </c>
    </row>
    <row r="778" spans="1:29">
      <c r="A778" s="23">
        <f>Parameters!A390</f>
        <v>0</v>
      </c>
      <c r="B778" s="23">
        <f>Parameters!B390</f>
        <v>0</v>
      </c>
      <c r="C778" s="24">
        <f>Parameters!C390</f>
        <v>0</v>
      </c>
      <c r="D778" s="24">
        <f>Parameters!D390</f>
        <v>0</v>
      </c>
      <c r="E778" s="23">
        <f>Parameters!E390</f>
        <v>0</v>
      </c>
      <c r="F778" s="23">
        <f>Parameters!F390</f>
        <v>0</v>
      </c>
      <c r="G778" s="25">
        <f>Parameters!G390</f>
        <v>0</v>
      </c>
      <c r="H778" s="25">
        <f>Parameters!H390</f>
        <v>0</v>
      </c>
      <c r="I778" s="25">
        <f>Parameters!I390</f>
        <v>0</v>
      </c>
      <c r="J778" s="25">
        <f>Parameters!J390</f>
        <v>0</v>
      </c>
      <c r="K778" s="25">
        <f>Parameters!K390</f>
        <v>0</v>
      </c>
      <c r="L778" s="26" t="e">
        <f t="shared" ref="L778" si="1161">L779</f>
        <v>#DIV/0!</v>
      </c>
      <c r="M778" s="25">
        <f>Parameters!L390</f>
        <v>0</v>
      </c>
      <c r="N778" s="25">
        <f>Parameters!M390</f>
        <v>0</v>
      </c>
      <c r="O778" s="26" t="e">
        <f t="shared" ref="O778" si="1162">O779</f>
        <v>#DIV/0!</v>
      </c>
      <c r="P778" s="23">
        <f>Parameters!N390</f>
        <v>0</v>
      </c>
      <c r="Q778" s="23">
        <f>Parameters!O390</f>
        <v>0</v>
      </c>
      <c r="R778" s="23">
        <f>Parameters!P390</f>
        <v>0</v>
      </c>
      <c r="S778" s="23">
        <f>Parameters!Q390</f>
        <v>0</v>
      </c>
      <c r="T778" s="23">
        <f>Parameters!R390</f>
        <v>0</v>
      </c>
      <c r="U778" s="27">
        <f>Parameters!S390</f>
        <v>0</v>
      </c>
      <c r="V778" s="28">
        <f>Parameters!T390</f>
        <v>0</v>
      </c>
      <c r="W778" s="27">
        <f>Parameters!U390</f>
        <v>0</v>
      </c>
      <c r="X778" s="28">
        <f>Parameters!V390</f>
        <v>0</v>
      </c>
      <c r="Y778" s="25">
        <f>Parameters!W390</f>
        <v>0</v>
      </c>
      <c r="Z778" s="23">
        <f>Parameters!X390</f>
        <v>0</v>
      </c>
      <c r="AA778" s="27">
        <f>Parameters!Y390</f>
        <v>0</v>
      </c>
      <c r="AB778" s="28">
        <f>Parameters!Z390</f>
        <v>0</v>
      </c>
      <c r="AC778" s="23">
        <f>Parameters!AA390</f>
        <v>0</v>
      </c>
    </row>
    <row r="779" spans="1:29">
      <c r="A779" s="29" t="str">
        <f>UPPER(A778)</f>
        <v>0</v>
      </c>
      <c r="B779" s="29">
        <f>B778</f>
        <v>0</v>
      </c>
      <c r="C779" s="30">
        <f>C778</f>
        <v>0</v>
      </c>
      <c r="D779" s="30">
        <f>D778</f>
        <v>0</v>
      </c>
      <c r="E779" s="29">
        <f>E778</f>
        <v>0</v>
      </c>
      <c r="F779" s="29">
        <f>F778</f>
        <v>0</v>
      </c>
      <c r="G779" s="29" t="e">
        <f>IF(C778=1,IF(D778="BUY",E778+(ROUND(F778*G778/B778,0)*B778),E778-(ROUND(F778*G778/B778,0)*B778)),IF(D778="BUY",E778-(ROUND(F778*G778/B778,0)*B778),E778+(ROUND(F778*G778/B778,0)*B778)))</f>
        <v>#DIV/0!</v>
      </c>
      <c r="H779" s="29" t="e">
        <f>IF(C778=1,IF(D778="BUY",G779-(ROUND(F778*H778/B778,0)*B778),G779+(ROUND(F778*H778/B778,0)*B778)),IF(D778="BUY",G779+(ROUND(F778*H778/B778,0)*B778),G779-(ROUND(F778*H778/B778,0)*B778)))</f>
        <v>#DIV/0!</v>
      </c>
      <c r="I779" s="29" t="e">
        <f>IF(D778="BUY",G779+(ROUND(F778*I778/(B778*100),0)*B778),G779-(ROUND(F778*I778/(B778*100),0)*B778))</f>
        <v>#DIV/0!</v>
      </c>
      <c r="J779" s="29" t="e">
        <f>IF(C778=1,IF(D778="BUY",E778+(ROUND(F778*J778/B778,0)*B778),E778-(ROUND(F778*J778/B778,0)*B778)),IF(D778="BUY",E778-(ROUND(F778*J778/B778,0)*B778),E778+(ROUND(F778*J778/B778,0)*B778)))</f>
        <v>#DIV/0!</v>
      </c>
      <c r="K779" s="29" t="e">
        <f>IF(C778=1,IF(D778="BUY",E778-(ROUND(F778*K778/B778,0)*B778),E778+(ROUND(F778*K778/B778,0)*B778)),IF(D778="BUY",E778-(ROUND(F778*K778/B778,0)*B778),E778+(ROUND(F778*K778/B778,0)*B778)))</f>
        <v>#DIV/0!</v>
      </c>
      <c r="L779" s="29" t="e">
        <f t="shared" ref="L779" si="1163">IF(D779="BUY",I779+(R779*B779),I779-(R779*B779))</f>
        <v>#DIV/0!</v>
      </c>
      <c r="M779" s="29" t="e">
        <f>IF(D778="BUY",E778+(ROUND(F778*M778/B778,0)*B778),E778-(ROUND(F778*M778/B778,0)*B778))</f>
        <v>#DIV/0!</v>
      </c>
      <c r="N779" s="29" t="e">
        <f>IF(D778="BUY",E778-(ROUND(F778*N778/B778,0)*B778),E778+(ROUND(F778*N778/B778,0)*B778))</f>
        <v>#DIV/0!</v>
      </c>
      <c r="O779" s="31" t="e">
        <f>IF(D779="BUY",N779-VLOOKUP(A779,Symbols!A$1:D$1000,4,FALSE),N779+VLOOKUP(A779,Symbols!A$1:D$1000,4,FALSE))</f>
        <v>#DIV/0!</v>
      </c>
      <c r="P779" s="29">
        <f>P778</f>
        <v>0</v>
      </c>
      <c r="Q779" s="29">
        <f>Q778</f>
        <v>0</v>
      </c>
      <c r="R779" s="29">
        <f>R778</f>
        <v>0</v>
      </c>
      <c r="S779" s="29">
        <f>S778</f>
        <v>0</v>
      </c>
      <c r="T779" s="29">
        <f>T778</f>
        <v>0</v>
      </c>
      <c r="U779" s="29" t="e">
        <f>DATEDIF(DATE(1970,1,1),U778,"D")*86400</f>
        <v>#NUM!</v>
      </c>
      <c r="V779" s="29">
        <f>HOUR(V778)*3600+MINUTE(V778)*60+SECOND(V778)</f>
        <v>0</v>
      </c>
      <c r="W779" s="29" t="e">
        <f>DATEDIF(DATE(1970,1,1),W778,"D")*86400</f>
        <v>#NUM!</v>
      </c>
      <c r="X779" s="29">
        <f>HOUR(X778)*3600+MINUTE(X778)*60+SECOND(X778)</f>
        <v>0</v>
      </c>
      <c r="Y779" s="31">
        <f>(Y778*B779)</f>
        <v>0</v>
      </c>
      <c r="Z779" s="29">
        <f>Z778</f>
        <v>0</v>
      </c>
      <c r="AA779" s="29" t="e">
        <f>DATEDIF(DATE(1970,1,1),AA778,"D")*86400</f>
        <v>#NUM!</v>
      </c>
      <c r="AB779" s="29">
        <f>HOUR(AB778)*3600+MINUTE(AB778)*60+SECOND(AB778)</f>
        <v>0</v>
      </c>
      <c r="AC779" s="29">
        <f>AC778</f>
        <v>0</v>
      </c>
    </row>
    <row r="780" spans="1:29">
      <c r="A780" s="23">
        <f>Parameters!A391</f>
        <v>0</v>
      </c>
      <c r="B780" s="23">
        <f>Parameters!B391</f>
        <v>0</v>
      </c>
      <c r="C780" s="24">
        <f>Parameters!C391</f>
        <v>0</v>
      </c>
      <c r="D780" s="24">
        <f>Parameters!D391</f>
        <v>0</v>
      </c>
      <c r="E780" s="23">
        <f>Parameters!E391</f>
        <v>0</v>
      </c>
      <c r="F780" s="23">
        <f>Parameters!F391</f>
        <v>0</v>
      </c>
      <c r="G780" s="25">
        <f>Parameters!G391</f>
        <v>0</v>
      </c>
      <c r="H780" s="25">
        <f>Parameters!H391</f>
        <v>0</v>
      </c>
      <c r="I780" s="25">
        <f>Parameters!I391</f>
        <v>0</v>
      </c>
      <c r="J780" s="25">
        <f>Parameters!J391</f>
        <v>0</v>
      </c>
      <c r="K780" s="25">
        <f>Parameters!K391</f>
        <v>0</v>
      </c>
      <c r="L780" s="26" t="e">
        <f t="shared" ref="L780" si="1164">L781</f>
        <v>#DIV/0!</v>
      </c>
      <c r="M780" s="25">
        <f>Parameters!L391</f>
        <v>0</v>
      </c>
      <c r="N780" s="25">
        <f>Parameters!M391</f>
        <v>0</v>
      </c>
      <c r="O780" s="26" t="e">
        <f t="shared" ref="O780" si="1165">O781</f>
        <v>#DIV/0!</v>
      </c>
      <c r="P780" s="23">
        <f>Parameters!N391</f>
        <v>0</v>
      </c>
      <c r="Q780" s="23">
        <f>Parameters!O391</f>
        <v>0</v>
      </c>
      <c r="R780" s="23">
        <f>Parameters!P391</f>
        <v>0</v>
      </c>
      <c r="S780" s="23">
        <f>Parameters!Q391</f>
        <v>0</v>
      </c>
      <c r="T780" s="23">
        <f>Parameters!R391</f>
        <v>0</v>
      </c>
      <c r="U780" s="27">
        <f>Parameters!S391</f>
        <v>0</v>
      </c>
      <c r="V780" s="28">
        <f>Parameters!T391</f>
        <v>0</v>
      </c>
      <c r="W780" s="27">
        <f>Parameters!U391</f>
        <v>0</v>
      </c>
      <c r="X780" s="28">
        <f>Parameters!V391</f>
        <v>0</v>
      </c>
      <c r="Y780" s="25">
        <f>Parameters!W391</f>
        <v>0</v>
      </c>
      <c r="Z780" s="23">
        <f>Parameters!X391</f>
        <v>0</v>
      </c>
      <c r="AA780" s="27">
        <f>Parameters!Y391</f>
        <v>0</v>
      </c>
      <c r="AB780" s="28">
        <f>Parameters!Z391</f>
        <v>0</v>
      </c>
      <c r="AC780" s="23">
        <f>Parameters!AA391</f>
        <v>0</v>
      </c>
    </row>
    <row r="781" spans="1:29">
      <c r="A781" s="29" t="str">
        <f>UPPER(A780)</f>
        <v>0</v>
      </c>
      <c r="B781" s="29">
        <f>B780</f>
        <v>0</v>
      </c>
      <c r="C781" s="30">
        <f>C780</f>
        <v>0</v>
      </c>
      <c r="D781" s="30">
        <f>D780</f>
        <v>0</v>
      </c>
      <c r="E781" s="29">
        <f>E780</f>
        <v>0</v>
      </c>
      <c r="F781" s="29">
        <f>F780</f>
        <v>0</v>
      </c>
      <c r="G781" s="29" t="e">
        <f>IF(C780=1,IF(D780="BUY",E780+(ROUND(F780*G780/B780,0)*B780),E780-(ROUND(F780*G780/B780,0)*B780)),IF(D780="BUY",E780-(ROUND(F780*G780/B780,0)*B780),E780+(ROUND(F780*G780/B780,0)*B780)))</f>
        <v>#DIV/0!</v>
      </c>
      <c r="H781" s="29" t="e">
        <f>IF(C780=1,IF(D780="BUY",G781-(ROUND(F780*H780/B780,0)*B780),G781+(ROUND(F780*H780/B780,0)*B780)),IF(D780="BUY",G781+(ROUND(F780*H780/B780,0)*B780),G781-(ROUND(F780*H780/B780,0)*B780)))</f>
        <v>#DIV/0!</v>
      </c>
      <c r="I781" s="29" t="e">
        <f>IF(D780="BUY",G781+(ROUND(F780*I780/(B780*100),0)*B780),G781-(ROUND(F780*I780/(B780*100),0)*B780))</f>
        <v>#DIV/0!</v>
      </c>
      <c r="J781" s="29" t="e">
        <f>IF(C780=1,IF(D780="BUY",E780+(ROUND(F780*J780/B780,0)*B780),E780-(ROUND(F780*J780/B780,0)*B780)),IF(D780="BUY",E780-(ROUND(F780*J780/B780,0)*B780),E780+(ROUND(F780*J780/B780,0)*B780)))</f>
        <v>#DIV/0!</v>
      </c>
      <c r="K781" s="29" t="e">
        <f>IF(C780=1,IF(D780="BUY",E780-(ROUND(F780*K780/B780,0)*B780),E780+(ROUND(F780*K780/B780,0)*B780)),IF(D780="BUY",E780-(ROUND(F780*K780/B780,0)*B780),E780+(ROUND(F780*K780/B780,0)*B780)))</f>
        <v>#DIV/0!</v>
      </c>
      <c r="L781" s="29" t="e">
        <f t="shared" ref="L781" si="1166">IF(D781="BUY",I781+(R781*B781),I781-(R781*B781))</f>
        <v>#DIV/0!</v>
      </c>
      <c r="M781" s="29" t="e">
        <f>IF(D780="BUY",E780+(ROUND(F780*M780/B780,0)*B780),E780-(ROUND(F780*M780/B780,0)*B780))</f>
        <v>#DIV/0!</v>
      </c>
      <c r="N781" s="29" t="e">
        <f>IF(D780="BUY",E780-(ROUND(F780*N780/B780,0)*B780),E780+(ROUND(F780*N780/B780,0)*B780))</f>
        <v>#DIV/0!</v>
      </c>
      <c r="O781" s="31" t="e">
        <f>IF(D781="BUY",N781-VLOOKUP(A781,Symbols!A$1:D$1000,4,FALSE),N781+VLOOKUP(A781,Symbols!A$1:D$1000,4,FALSE))</f>
        <v>#DIV/0!</v>
      </c>
      <c r="P781" s="29">
        <f>P780</f>
        <v>0</v>
      </c>
      <c r="Q781" s="29">
        <f>Q780</f>
        <v>0</v>
      </c>
      <c r="R781" s="29">
        <f>R780</f>
        <v>0</v>
      </c>
      <c r="S781" s="29">
        <f>S780</f>
        <v>0</v>
      </c>
      <c r="T781" s="29">
        <f>T780</f>
        <v>0</v>
      </c>
      <c r="U781" s="29" t="e">
        <f>DATEDIF(DATE(1970,1,1),U780,"D")*86400</f>
        <v>#NUM!</v>
      </c>
      <c r="V781" s="29">
        <f>HOUR(V780)*3600+MINUTE(V780)*60+SECOND(V780)</f>
        <v>0</v>
      </c>
      <c r="W781" s="29" t="e">
        <f>DATEDIF(DATE(1970,1,1),W780,"D")*86400</f>
        <v>#NUM!</v>
      </c>
      <c r="X781" s="29">
        <f>HOUR(X780)*3600+MINUTE(X780)*60+SECOND(X780)</f>
        <v>0</v>
      </c>
      <c r="Y781" s="31">
        <f>(Y780*B781)</f>
        <v>0</v>
      </c>
      <c r="Z781" s="29">
        <f>Z780</f>
        <v>0</v>
      </c>
      <c r="AA781" s="29" t="e">
        <f>DATEDIF(DATE(1970,1,1),AA780,"D")*86400</f>
        <v>#NUM!</v>
      </c>
      <c r="AB781" s="29">
        <f>HOUR(AB780)*3600+MINUTE(AB780)*60+SECOND(AB780)</f>
        <v>0</v>
      </c>
      <c r="AC781" s="29">
        <f>AC780</f>
        <v>0</v>
      </c>
    </row>
    <row r="782" spans="1:29">
      <c r="A782" s="23">
        <f>Parameters!A392</f>
        <v>0</v>
      </c>
      <c r="B782" s="23">
        <f>Parameters!B392</f>
        <v>0</v>
      </c>
      <c r="C782" s="24">
        <f>Parameters!C392</f>
        <v>0</v>
      </c>
      <c r="D782" s="24">
        <f>Parameters!D392</f>
        <v>0</v>
      </c>
      <c r="E782" s="23">
        <f>Parameters!E392</f>
        <v>0</v>
      </c>
      <c r="F782" s="23">
        <f>Parameters!F392</f>
        <v>0</v>
      </c>
      <c r="G782" s="25">
        <f>Parameters!G392</f>
        <v>0</v>
      </c>
      <c r="H782" s="25">
        <f>Parameters!H392</f>
        <v>0</v>
      </c>
      <c r="I782" s="25">
        <f>Parameters!I392</f>
        <v>0</v>
      </c>
      <c r="J782" s="25">
        <f>Parameters!J392</f>
        <v>0</v>
      </c>
      <c r="K782" s="25">
        <f>Parameters!K392</f>
        <v>0</v>
      </c>
      <c r="L782" s="26" t="e">
        <f t="shared" ref="L782" si="1167">L783</f>
        <v>#DIV/0!</v>
      </c>
      <c r="M782" s="25">
        <f>Parameters!L392</f>
        <v>0</v>
      </c>
      <c r="N782" s="25">
        <f>Parameters!M392</f>
        <v>0</v>
      </c>
      <c r="O782" s="26" t="e">
        <f t="shared" ref="O782" si="1168">O783</f>
        <v>#DIV/0!</v>
      </c>
      <c r="P782" s="23">
        <f>Parameters!N392</f>
        <v>0</v>
      </c>
      <c r="Q782" s="23">
        <f>Parameters!O392</f>
        <v>0</v>
      </c>
      <c r="R782" s="23">
        <f>Parameters!P392</f>
        <v>0</v>
      </c>
      <c r="S782" s="23">
        <f>Parameters!Q392</f>
        <v>0</v>
      </c>
      <c r="T782" s="23">
        <f>Parameters!R392</f>
        <v>0</v>
      </c>
      <c r="U782" s="27">
        <f>Parameters!S392</f>
        <v>0</v>
      </c>
      <c r="V782" s="28">
        <f>Parameters!T392</f>
        <v>0</v>
      </c>
      <c r="W782" s="27">
        <f>Parameters!U392</f>
        <v>0</v>
      </c>
      <c r="X782" s="28">
        <f>Parameters!V392</f>
        <v>0</v>
      </c>
      <c r="Y782" s="25">
        <f>Parameters!W392</f>
        <v>0</v>
      </c>
      <c r="Z782" s="23">
        <f>Parameters!X392</f>
        <v>0</v>
      </c>
      <c r="AA782" s="27">
        <f>Parameters!Y392</f>
        <v>0</v>
      </c>
      <c r="AB782" s="28">
        <f>Parameters!Z392</f>
        <v>0</v>
      </c>
      <c r="AC782" s="23">
        <f>Parameters!AA392</f>
        <v>0</v>
      </c>
    </row>
    <row r="783" spans="1:29">
      <c r="A783" s="29" t="str">
        <f>UPPER(A782)</f>
        <v>0</v>
      </c>
      <c r="B783" s="29">
        <f>B782</f>
        <v>0</v>
      </c>
      <c r="C783" s="30">
        <f>C782</f>
        <v>0</v>
      </c>
      <c r="D783" s="30">
        <f>D782</f>
        <v>0</v>
      </c>
      <c r="E783" s="29">
        <f>E782</f>
        <v>0</v>
      </c>
      <c r="F783" s="29">
        <f>F782</f>
        <v>0</v>
      </c>
      <c r="G783" s="29" t="e">
        <f>IF(C782=1,IF(D782="BUY",E782+(ROUND(F782*G782/B782,0)*B782),E782-(ROUND(F782*G782/B782,0)*B782)),IF(D782="BUY",E782-(ROUND(F782*G782/B782,0)*B782),E782+(ROUND(F782*G782/B782,0)*B782)))</f>
        <v>#DIV/0!</v>
      </c>
      <c r="H783" s="29" t="e">
        <f>IF(C782=1,IF(D782="BUY",G783-(ROUND(F782*H782/B782,0)*B782),G783+(ROUND(F782*H782/B782,0)*B782)),IF(D782="BUY",G783+(ROUND(F782*H782/B782,0)*B782),G783-(ROUND(F782*H782/B782,0)*B782)))</f>
        <v>#DIV/0!</v>
      </c>
      <c r="I783" s="29" t="e">
        <f>IF(D782="BUY",G783+(ROUND(F782*I782/(B782*100),0)*B782),G783-(ROUND(F782*I782/(B782*100),0)*B782))</f>
        <v>#DIV/0!</v>
      </c>
      <c r="J783" s="29" t="e">
        <f>IF(C782=1,IF(D782="BUY",E782+(ROUND(F782*J782/B782,0)*B782),E782-(ROUND(F782*J782/B782,0)*B782)),IF(D782="BUY",E782-(ROUND(F782*J782/B782,0)*B782),E782+(ROUND(F782*J782/B782,0)*B782)))</f>
        <v>#DIV/0!</v>
      </c>
      <c r="K783" s="29" t="e">
        <f>IF(C782=1,IF(D782="BUY",E782-(ROUND(F782*K782/B782,0)*B782),E782+(ROUND(F782*K782/B782,0)*B782)),IF(D782="BUY",E782-(ROUND(F782*K782/B782,0)*B782),E782+(ROUND(F782*K782/B782,0)*B782)))</f>
        <v>#DIV/0!</v>
      </c>
      <c r="L783" s="29" t="e">
        <f t="shared" ref="L783" si="1169">IF(D783="BUY",I783+(R783*B783),I783-(R783*B783))</f>
        <v>#DIV/0!</v>
      </c>
      <c r="M783" s="29" t="e">
        <f>IF(D782="BUY",E782+(ROUND(F782*M782/B782,0)*B782),E782-(ROUND(F782*M782/B782,0)*B782))</f>
        <v>#DIV/0!</v>
      </c>
      <c r="N783" s="29" t="e">
        <f>IF(D782="BUY",E782-(ROUND(F782*N782/B782,0)*B782),E782+(ROUND(F782*N782/B782,0)*B782))</f>
        <v>#DIV/0!</v>
      </c>
      <c r="O783" s="31" t="e">
        <f>IF(D783="BUY",N783-VLOOKUP(A783,Symbols!A$1:D$1000,4,FALSE),N783+VLOOKUP(A783,Symbols!A$1:D$1000,4,FALSE))</f>
        <v>#DIV/0!</v>
      </c>
      <c r="P783" s="29">
        <f>P782</f>
        <v>0</v>
      </c>
      <c r="Q783" s="29">
        <f>Q782</f>
        <v>0</v>
      </c>
      <c r="R783" s="29">
        <f>R782</f>
        <v>0</v>
      </c>
      <c r="S783" s="29">
        <f>S782</f>
        <v>0</v>
      </c>
      <c r="T783" s="29">
        <f>T782</f>
        <v>0</v>
      </c>
      <c r="U783" s="29" t="e">
        <f>DATEDIF(DATE(1970,1,1),U782,"D")*86400</f>
        <v>#NUM!</v>
      </c>
      <c r="V783" s="29">
        <f>HOUR(V782)*3600+MINUTE(V782)*60+SECOND(V782)</f>
        <v>0</v>
      </c>
      <c r="W783" s="29" t="e">
        <f>DATEDIF(DATE(1970,1,1),W782,"D")*86400</f>
        <v>#NUM!</v>
      </c>
      <c r="X783" s="29">
        <f>HOUR(X782)*3600+MINUTE(X782)*60+SECOND(X782)</f>
        <v>0</v>
      </c>
      <c r="Y783" s="31">
        <f>(Y782*B783)</f>
        <v>0</v>
      </c>
      <c r="Z783" s="29">
        <f>Z782</f>
        <v>0</v>
      </c>
      <c r="AA783" s="29" t="e">
        <f>DATEDIF(DATE(1970,1,1),AA782,"D")*86400</f>
        <v>#NUM!</v>
      </c>
      <c r="AB783" s="29">
        <f>HOUR(AB782)*3600+MINUTE(AB782)*60+SECOND(AB782)</f>
        <v>0</v>
      </c>
      <c r="AC783" s="29">
        <f>AC782</f>
        <v>0</v>
      </c>
    </row>
    <row r="784" spans="1:29">
      <c r="A784" s="23">
        <f>Parameters!A393</f>
        <v>0</v>
      </c>
      <c r="B784" s="23">
        <f>Parameters!B393</f>
        <v>0</v>
      </c>
      <c r="C784" s="24">
        <f>Parameters!C393</f>
        <v>0</v>
      </c>
      <c r="D784" s="24">
        <f>Parameters!D393</f>
        <v>0</v>
      </c>
      <c r="E784" s="23">
        <f>Parameters!E393</f>
        <v>0</v>
      </c>
      <c r="F784" s="23">
        <f>Parameters!F393</f>
        <v>0</v>
      </c>
      <c r="G784" s="25">
        <f>Parameters!G393</f>
        <v>0</v>
      </c>
      <c r="H784" s="25">
        <f>Parameters!H393</f>
        <v>0</v>
      </c>
      <c r="I784" s="25">
        <f>Parameters!I393</f>
        <v>0</v>
      </c>
      <c r="J784" s="25">
        <f>Parameters!J393</f>
        <v>0</v>
      </c>
      <c r="K784" s="25">
        <f>Parameters!K393</f>
        <v>0</v>
      </c>
      <c r="L784" s="26" t="e">
        <f t="shared" ref="L784" si="1170">L785</f>
        <v>#DIV/0!</v>
      </c>
      <c r="M784" s="25">
        <f>Parameters!L393</f>
        <v>0</v>
      </c>
      <c r="N784" s="25">
        <f>Parameters!M393</f>
        <v>0</v>
      </c>
      <c r="O784" s="26" t="e">
        <f t="shared" ref="O784" si="1171">O785</f>
        <v>#DIV/0!</v>
      </c>
      <c r="P784" s="23">
        <f>Parameters!N393</f>
        <v>0</v>
      </c>
      <c r="Q784" s="23">
        <f>Parameters!O393</f>
        <v>0</v>
      </c>
      <c r="R784" s="23">
        <f>Parameters!P393</f>
        <v>0</v>
      </c>
      <c r="S784" s="23">
        <f>Parameters!Q393</f>
        <v>0</v>
      </c>
      <c r="T784" s="23">
        <f>Parameters!R393</f>
        <v>0</v>
      </c>
      <c r="U784" s="27">
        <f>Parameters!S393</f>
        <v>0</v>
      </c>
      <c r="V784" s="28">
        <f>Parameters!T393</f>
        <v>0</v>
      </c>
      <c r="W784" s="27">
        <f>Parameters!U393</f>
        <v>0</v>
      </c>
      <c r="X784" s="28">
        <f>Parameters!V393</f>
        <v>0</v>
      </c>
      <c r="Y784" s="25">
        <f>Parameters!W393</f>
        <v>0</v>
      </c>
      <c r="Z784" s="23">
        <f>Parameters!X393</f>
        <v>0</v>
      </c>
      <c r="AA784" s="27">
        <f>Parameters!Y393</f>
        <v>0</v>
      </c>
      <c r="AB784" s="28">
        <f>Parameters!Z393</f>
        <v>0</v>
      </c>
      <c r="AC784" s="23">
        <f>Parameters!AA393</f>
        <v>0</v>
      </c>
    </row>
    <row r="785" spans="1:29">
      <c r="A785" s="29" t="str">
        <f>UPPER(A784)</f>
        <v>0</v>
      </c>
      <c r="B785" s="29">
        <f>B784</f>
        <v>0</v>
      </c>
      <c r="C785" s="30">
        <f>C784</f>
        <v>0</v>
      </c>
      <c r="D785" s="30">
        <f>D784</f>
        <v>0</v>
      </c>
      <c r="E785" s="29">
        <f>E784</f>
        <v>0</v>
      </c>
      <c r="F785" s="29">
        <f>F784</f>
        <v>0</v>
      </c>
      <c r="G785" s="29" t="e">
        <f>IF(C784=1,IF(D784="BUY",E784+(ROUND(F784*G784/B784,0)*B784),E784-(ROUND(F784*G784/B784,0)*B784)),IF(D784="BUY",E784-(ROUND(F784*G784/B784,0)*B784),E784+(ROUND(F784*G784/B784,0)*B784)))</f>
        <v>#DIV/0!</v>
      </c>
      <c r="H785" s="29" t="e">
        <f>IF(C784=1,IF(D784="BUY",G785-(ROUND(F784*H784/B784,0)*B784),G785+(ROUND(F784*H784/B784,0)*B784)),IF(D784="BUY",G785+(ROUND(F784*H784/B784,0)*B784),G785-(ROUND(F784*H784/B784,0)*B784)))</f>
        <v>#DIV/0!</v>
      </c>
      <c r="I785" s="29" t="e">
        <f>IF(D784="BUY",G785+(ROUND(F784*I784/(B784*100),0)*B784),G785-(ROUND(F784*I784/(B784*100),0)*B784))</f>
        <v>#DIV/0!</v>
      </c>
      <c r="J785" s="29" t="e">
        <f>IF(C784=1,IF(D784="BUY",E784+(ROUND(F784*J784/B784,0)*B784),E784-(ROUND(F784*J784/B784,0)*B784)),IF(D784="BUY",E784-(ROUND(F784*J784/B784,0)*B784),E784+(ROUND(F784*J784/B784,0)*B784)))</f>
        <v>#DIV/0!</v>
      </c>
      <c r="K785" s="29" t="e">
        <f>IF(C784=1,IF(D784="BUY",E784-(ROUND(F784*K784/B784,0)*B784),E784+(ROUND(F784*K784/B784,0)*B784)),IF(D784="BUY",E784-(ROUND(F784*K784/B784,0)*B784),E784+(ROUND(F784*K784/B784,0)*B784)))</f>
        <v>#DIV/0!</v>
      </c>
      <c r="L785" s="29" t="e">
        <f t="shared" ref="L785" si="1172">IF(D785="BUY",I785+(R785*B785),I785-(R785*B785))</f>
        <v>#DIV/0!</v>
      </c>
      <c r="M785" s="29" t="e">
        <f>IF(D784="BUY",E784+(ROUND(F784*M784/B784,0)*B784),E784-(ROUND(F784*M784/B784,0)*B784))</f>
        <v>#DIV/0!</v>
      </c>
      <c r="N785" s="29" t="e">
        <f>IF(D784="BUY",E784-(ROUND(F784*N784/B784,0)*B784),E784+(ROUND(F784*N784/B784,0)*B784))</f>
        <v>#DIV/0!</v>
      </c>
      <c r="O785" s="31" t="e">
        <f>IF(D785="BUY",N785-VLOOKUP(A785,Symbols!A$1:D$1000,4,FALSE),N785+VLOOKUP(A785,Symbols!A$1:D$1000,4,FALSE))</f>
        <v>#DIV/0!</v>
      </c>
      <c r="P785" s="29">
        <f>P784</f>
        <v>0</v>
      </c>
      <c r="Q785" s="29">
        <f>Q784</f>
        <v>0</v>
      </c>
      <c r="R785" s="29">
        <f>R784</f>
        <v>0</v>
      </c>
      <c r="S785" s="29">
        <f>S784</f>
        <v>0</v>
      </c>
      <c r="T785" s="29">
        <f>T784</f>
        <v>0</v>
      </c>
      <c r="U785" s="29" t="e">
        <f>DATEDIF(DATE(1970,1,1),U784,"D")*86400</f>
        <v>#NUM!</v>
      </c>
      <c r="V785" s="29">
        <f>HOUR(V784)*3600+MINUTE(V784)*60+SECOND(V784)</f>
        <v>0</v>
      </c>
      <c r="W785" s="29" t="e">
        <f>DATEDIF(DATE(1970,1,1),W784,"D")*86400</f>
        <v>#NUM!</v>
      </c>
      <c r="X785" s="29">
        <f>HOUR(X784)*3600+MINUTE(X784)*60+SECOND(X784)</f>
        <v>0</v>
      </c>
      <c r="Y785" s="31">
        <f>(Y784*B785)</f>
        <v>0</v>
      </c>
      <c r="Z785" s="29">
        <f>Z784</f>
        <v>0</v>
      </c>
      <c r="AA785" s="29" t="e">
        <f>DATEDIF(DATE(1970,1,1),AA784,"D")*86400</f>
        <v>#NUM!</v>
      </c>
      <c r="AB785" s="29">
        <f>HOUR(AB784)*3600+MINUTE(AB784)*60+SECOND(AB784)</f>
        <v>0</v>
      </c>
      <c r="AC785" s="29">
        <f>AC784</f>
        <v>0</v>
      </c>
    </row>
    <row r="786" spans="1:29">
      <c r="A786" s="23">
        <f>Parameters!A394</f>
        <v>0</v>
      </c>
      <c r="B786" s="23">
        <f>Parameters!B394</f>
        <v>0</v>
      </c>
      <c r="C786" s="24">
        <f>Parameters!C394</f>
        <v>0</v>
      </c>
      <c r="D786" s="24">
        <f>Parameters!D394</f>
        <v>0</v>
      </c>
      <c r="E786" s="23">
        <f>Parameters!E394</f>
        <v>0</v>
      </c>
      <c r="F786" s="23">
        <f>Parameters!F394</f>
        <v>0</v>
      </c>
      <c r="G786" s="25">
        <f>Parameters!G394</f>
        <v>0</v>
      </c>
      <c r="H786" s="25">
        <f>Parameters!H394</f>
        <v>0</v>
      </c>
      <c r="I786" s="25">
        <f>Parameters!I394</f>
        <v>0</v>
      </c>
      <c r="J786" s="25">
        <f>Parameters!J394</f>
        <v>0</v>
      </c>
      <c r="K786" s="25">
        <f>Parameters!K394</f>
        <v>0</v>
      </c>
      <c r="L786" s="26" t="e">
        <f t="shared" ref="L786" si="1173">L787</f>
        <v>#DIV/0!</v>
      </c>
      <c r="M786" s="25">
        <f>Parameters!L394</f>
        <v>0</v>
      </c>
      <c r="N786" s="25">
        <f>Parameters!M394</f>
        <v>0</v>
      </c>
      <c r="O786" s="26" t="e">
        <f t="shared" ref="O786" si="1174">O787</f>
        <v>#DIV/0!</v>
      </c>
      <c r="P786" s="23">
        <f>Parameters!N394</f>
        <v>0</v>
      </c>
      <c r="Q786" s="23">
        <f>Parameters!O394</f>
        <v>0</v>
      </c>
      <c r="R786" s="23">
        <f>Parameters!P394</f>
        <v>0</v>
      </c>
      <c r="S786" s="23">
        <f>Parameters!Q394</f>
        <v>0</v>
      </c>
      <c r="T786" s="23">
        <f>Parameters!R394</f>
        <v>0</v>
      </c>
      <c r="U786" s="27">
        <f>Parameters!S394</f>
        <v>0</v>
      </c>
      <c r="V786" s="28">
        <f>Parameters!T394</f>
        <v>0</v>
      </c>
      <c r="W786" s="27">
        <f>Parameters!U394</f>
        <v>0</v>
      </c>
      <c r="X786" s="28">
        <f>Parameters!V394</f>
        <v>0</v>
      </c>
      <c r="Y786" s="25">
        <f>Parameters!W394</f>
        <v>0</v>
      </c>
      <c r="Z786" s="23">
        <f>Parameters!X394</f>
        <v>0</v>
      </c>
      <c r="AA786" s="27">
        <f>Parameters!Y394</f>
        <v>0</v>
      </c>
      <c r="AB786" s="28">
        <f>Parameters!Z394</f>
        <v>0</v>
      </c>
      <c r="AC786" s="23">
        <f>Parameters!AA394</f>
        <v>0</v>
      </c>
    </row>
    <row r="787" spans="1:29">
      <c r="A787" s="29" t="str">
        <f>UPPER(A786)</f>
        <v>0</v>
      </c>
      <c r="B787" s="29">
        <f>B786</f>
        <v>0</v>
      </c>
      <c r="C787" s="30">
        <f>C786</f>
        <v>0</v>
      </c>
      <c r="D787" s="30">
        <f>D786</f>
        <v>0</v>
      </c>
      <c r="E787" s="29">
        <f>E786</f>
        <v>0</v>
      </c>
      <c r="F787" s="29">
        <f>F786</f>
        <v>0</v>
      </c>
      <c r="G787" s="29" t="e">
        <f>IF(C786=1,IF(D786="BUY",E786+(ROUND(F786*G786/B786,0)*B786),E786-(ROUND(F786*G786/B786,0)*B786)),IF(D786="BUY",E786-(ROUND(F786*G786/B786,0)*B786),E786+(ROUND(F786*G786/B786,0)*B786)))</f>
        <v>#DIV/0!</v>
      </c>
      <c r="H787" s="29" t="e">
        <f>IF(C786=1,IF(D786="BUY",G787-(ROUND(F786*H786/B786,0)*B786),G787+(ROUND(F786*H786/B786,0)*B786)),IF(D786="BUY",G787+(ROUND(F786*H786/B786,0)*B786),G787-(ROUND(F786*H786/B786,0)*B786)))</f>
        <v>#DIV/0!</v>
      </c>
      <c r="I787" s="29" t="e">
        <f>IF(D786="BUY",G787+(ROUND(F786*I786/(B786*100),0)*B786),G787-(ROUND(F786*I786/(B786*100),0)*B786))</f>
        <v>#DIV/0!</v>
      </c>
      <c r="J787" s="29" t="e">
        <f>IF(C786=1,IF(D786="BUY",E786+(ROUND(F786*J786/B786,0)*B786),E786-(ROUND(F786*J786/B786,0)*B786)),IF(D786="BUY",E786-(ROUND(F786*J786/B786,0)*B786),E786+(ROUND(F786*J786/B786,0)*B786)))</f>
        <v>#DIV/0!</v>
      </c>
      <c r="K787" s="29" t="e">
        <f>IF(C786=1,IF(D786="BUY",E786-(ROUND(F786*K786/B786,0)*B786),E786+(ROUND(F786*K786/B786,0)*B786)),IF(D786="BUY",E786-(ROUND(F786*K786/B786,0)*B786),E786+(ROUND(F786*K786/B786,0)*B786)))</f>
        <v>#DIV/0!</v>
      </c>
      <c r="L787" s="29" t="e">
        <f t="shared" ref="L787" si="1175">IF(D787="BUY",I787+(R787*B787),I787-(R787*B787))</f>
        <v>#DIV/0!</v>
      </c>
      <c r="M787" s="29" t="e">
        <f>IF(D786="BUY",E786+(ROUND(F786*M786/B786,0)*B786),E786-(ROUND(F786*M786/B786,0)*B786))</f>
        <v>#DIV/0!</v>
      </c>
      <c r="N787" s="29" t="e">
        <f>IF(D786="BUY",E786-(ROUND(F786*N786/B786,0)*B786),E786+(ROUND(F786*N786/B786,0)*B786))</f>
        <v>#DIV/0!</v>
      </c>
      <c r="O787" s="31" t="e">
        <f>IF(D787="BUY",N787-VLOOKUP(A787,Symbols!A$1:D$1000,4,FALSE),N787+VLOOKUP(A787,Symbols!A$1:D$1000,4,FALSE))</f>
        <v>#DIV/0!</v>
      </c>
      <c r="P787" s="29">
        <f>P786</f>
        <v>0</v>
      </c>
      <c r="Q787" s="29">
        <f>Q786</f>
        <v>0</v>
      </c>
      <c r="R787" s="29">
        <f>R786</f>
        <v>0</v>
      </c>
      <c r="S787" s="29">
        <f>S786</f>
        <v>0</v>
      </c>
      <c r="T787" s="29">
        <f>T786</f>
        <v>0</v>
      </c>
      <c r="U787" s="29" t="e">
        <f>DATEDIF(DATE(1970,1,1),U786,"D")*86400</f>
        <v>#NUM!</v>
      </c>
      <c r="V787" s="29">
        <f>HOUR(V786)*3600+MINUTE(V786)*60+SECOND(V786)</f>
        <v>0</v>
      </c>
      <c r="W787" s="29" t="e">
        <f>DATEDIF(DATE(1970,1,1),W786,"D")*86400</f>
        <v>#NUM!</v>
      </c>
      <c r="X787" s="29">
        <f>HOUR(X786)*3600+MINUTE(X786)*60+SECOND(X786)</f>
        <v>0</v>
      </c>
      <c r="Y787" s="31">
        <f>(Y786*B787)</f>
        <v>0</v>
      </c>
      <c r="Z787" s="29">
        <f>Z786</f>
        <v>0</v>
      </c>
      <c r="AA787" s="29" t="e">
        <f>DATEDIF(DATE(1970,1,1),AA786,"D")*86400</f>
        <v>#NUM!</v>
      </c>
      <c r="AB787" s="29">
        <f>HOUR(AB786)*3600+MINUTE(AB786)*60+SECOND(AB786)</f>
        <v>0</v>
      </c>
      <c r="AC787" s="29">
        <f>AC786</f>
        <v>0</v>
      </c>
    </row>
    <row r="788" spans="1:29">
      <c r="A788" s="23">
        <f>Parameters!A395</f>
        <v>0</v>
      </c>
      <c r="B788" s="23">
        <f>Parameters!B395</f>
        <v>0</v>
      </c>
      <c r="C788" s="24">
        <f>Parameters!C395</f>
        <v>0</v>
      </c>
      <c r="D788" s="24">
        <f>Parameters!D395</f>
        <v>0</v>
      </c>
      <c r="E788" s="23">
        <f>Parameters!E395</f>
        <v>0</v>
      </c>
      <c r="F788" s="23">
        <f>Parameters!F395</f>
        <v>0</v>
      </c>
      <c r="G788" s="25">
        <f>Parameters!G395</f>
        <v>0</v>
      </c>
      <c r="H788" s="25">
        <f>Parameters!H395</f>
        <v>0</v>
      </c>
      <c r="I788" s="25">
        <f>Parameters!I395</f>
        <v>0</v>
      </c>
      <c r="J788" s="25">
        <f>Parameters!J395</f>
        <v>0</v>
      </c>
      <c r="K788" s="25">
        <f>Parameters!K395</f>
        <v>0</v>
      </c>
      <c r="L788" s="26" t="e">
        <f t="shared" ref="L788" si="1176">L789</f>
        <v>#DIV/0!</v>
      </c>
      <c r="M788" s="25">
        <f>Parameters!L395</f>
        <v>0</v>
      </c>
      <c r="N788" s="25">
        <f>Parameters!M395</f>
        <v>0</v>
      </c>
      <c r="O788" s="26" t="e">
        <f t="shared" ref="O788" si="1177">O789</f>
        <v>#DIV/0!</v>
      </c>
      <c r="P788" s="23">
        <f>Parameters!N395</f>
        <v>0</v>
      </c>
      <c r="Q788" s="23">
        <f>Parameters!O395</f>
        <v>0</v>
      </c>
      <c r="R788" s="23">
        <f>Parameters!P395</f>
        <v>0</v>
      </c>
      <c r="S788" s="23">
        <f>Parameters!Q395</f>
        <v>0</v>
      </c>
      <c r="T788" s="23">
        <f>Parameters!R395</f>
        <v>0</v>
      </c>
      <c r="U788" s="27">
        <f>Parameters!S395</f>
        <v>0</v>
      </c>
      <c r="V788" s="28">
        <f>Parameters!T395</f>
        <v>0</v>
      </c>
      <c r="W788" s="27">
        <f>Parameters!U395</f>
        <v>0</v>
      </c>
      <c r="X788" s="28">
        <f>Parameters!V395</f>
        <v>0</v>
      </c>
      <c r="Y788" s="25">
        <f>Parameters!W395</f>
        <v>0</v>
      </c>
      <c r="Z788" s="23">
        <f>Parameters!X395</f>
        <v>0</v>
      </c>
      <c r="AA788" s="27">
        <f>Parameters!Y395</f>
        <v>0</v>
      </c>
      <c r="AB788" s="28">
        <f>Parameters!Z395</f>
        <v>0</v>
      </c>
      <c r="AC788" s="23">
        <f>Parameters!AA395</f>
        <v>0</v>
      </c>
    </row>
    <row r="789" spans="1:29">
      <c r="A789" s="29" t="str">
        <f>UPPER(A788)</f>
        <v>0</v>
      </c>
      <c r="B789" s="29">
        <f>B788</f>
        <v>0</v>
      </c>
      <c r="C789" s="30">
        <f>C788</f>
        <v>0</v>
      </c>
      <c r="D789" s="30">
        <f>D788</f>
        <v>0</v>
      </c>
      <c r="E789" s="29">
        <f>E788</f>
        <v>0</v>
      </c>
      <c r="F789" s="29">
        <f>F788</f>
        <v>0</v>
      </c>
      <c r="G789" s="29" t="e">
        <f>IF(C788=1,IF(D788="BUY",E788+(ROUND(F788*G788/B788,0)*B788),E788-(ROUND(F788*G788/B788,0)*B788)),IF(D788="BUY",E788-(ROUND(F788*G788/B788,0)*B788),E788+(ROUND(F788*G788/B788,0)*B788)))</f>
        <v>#DIV/0!</v>
      </c>
      <c r="H789" s="29" t="e">
        <f>IF(C788=1,IF(D788="BUY",G789-(ROUND(F788*H788/B788,0)*B788),G789+(ROUND(F788*H788/B788,0)*B788)),IF(D788="BUY",G789+(ROUND(F788*H788/B788,0)*B788),G789-(ROUND(F788*H788/B788,0)*B788)))</f>
        <v>#DIV/0!</v>
      </c>
      <c r="I789" s="29" t="e">
        <f>IF(D788="BUY",G789+(ROUND(F788*I788/(B788*100),0)*B788),G789-(ROUND(F788*I788/(B788*100),0)*B788))</f>
        <v>#DIV/0!</v>
      </c>
      <c r="J789" s="29" t="e">
        <f>IF(C788=1,IF(D788="BUY",E788+(ROUND(F788*J788/B788,0)*B788),E788-(ROUND(F788*J788/B788,0)*B788)),IF(D788="BUY",E788-(ROUND(F788*J788/B788,0)*B788),E788+(ROUND(F788*J788/B788,0)*B788)))</f>
        <v>#DIV/0!</v>
      </c>
      <c r="K789" s="29" t="e">
        <f>IF(C788=1,IF(D788="BUY",E788-(ROUND(F788*K788/B788,0)*B788),E788+(ROUND(F788*K788/B788,0)*B788)),IF(D788="BUY",E788-(ROUND(F788*K788/B788,0)*B788),E788+(ROUND(F788*K788/B788,0)*B788)))</f>
        <v>#DIV/0!</v>
      </c>
      <c r="L789" s="29" t="e">
        <f t="shared" ref="L789" si="1178">IF(D789="BUY",I789+(R789*B789),I789-(R789*B789))</f>
        <v>#DIV/0!</v>
      </c>
      <c r="M789" s="29" t="e">
        <f>IF(D788="BUY",E788+(ROUND(F788*M788/B788,0)*B788),E788-(ROUND(F788*M788/B788,0)*B788))</f>
        <v>#DIV/0!</v>
      </c>
      <c r="N789" s="29" t="e">
        <f>IF(D788="BUY",E788-(ROUND(F788*N788/B788,0)*B788),E788+(ROUND(F788*N788/B788,0)*B788))</f>
        <v>#DIV/0!</v>
      </c>
      <c r="O789" s="31" t="e">
        <f>IF(D789="BUY",N789-VLOOKUP(A789,Symbols!A$1:D$1000,4,FALSE),N789+VLOOKUP(A789,Symbols!A$1:D$1000,4,FALSE))</f>
        <v>#DIV/0!</v>
      </c>
      <c r="P789" s="29">
        <f>P788</f>
        <v>0</v>
      </c>
      <c r="Q789" s="29">
        <f>Q788</f>
        <v>0</v>
      </c>
      <c r="R789" s="29">
        <f>R788</f>
        <v>0</v>
      </c>
      <c r="S789" s="29">
        <f>S788</f>
        <v>0</v>
      </c>
      <c r="T789" s="29">
        <f>T788</f>
        <v>0</v>
      </c>
      <c r="U789" s="29" t="e">
        <f>DATEDIF(DATE(1970,1,1),U788,"D")*86400</f>
        <v>#NUM!</v>
      </c>
      <c r="V789" s="29">
        <f>HOUR(V788)*3600+MINUTE(V788)*60+SECOND(V788)</f>
        <v>0</v>
      </c>
      <c r="W789" s="29" t="e">
        <f>DATEDIF(DATE(1970,1,1),W788,"D")*86400</f>
        <v>#NUM!</v>
      </c>
      <c r="X789" s="29">
        <f>HOUR(X788)*3600+MINUTE(X788)*60+SECOND(X788)</f>
        <v>0</v>
      </c>
      <c r="Y789" s="31">
        <f>(Y788*B789)</f>
        <v>0</v>
      </c>
      <c r="Z789" s="29">
        <f>Z788</f>
        <v>0</v>
      </c>
      <c r="AA789" s="29" t="e">
        <f>DATEDIF(DATE(1970,1,1),AA788,"D")*86400</f>
        <v>#NUM!</v>
      </c>
      <c r="AB789" s="29">
        <f>HOUR(AB788)*3600+MINUTE(AB788)*60+SECOND(AB788)</f>
        <v>0</v>
      </c>
      <c r="AC789" s="29">
        <f>AC788</f>
        <v>0</v>
      </c>
    </row>
    <row r="790" spans="1:29">
      <c r="A790" s="23">
        <f>Parameters!A396</f>
        <v>0</v>
      </c>
      <c r="B790" s="23">
        <f>Parameters!B396</f>
        <v>0</v>
      </c>
      <c r="C790" s="24">
        <f>Parameters!C396</f>
        <v>0</v>
      </c>
      <c r="D790" s="24">
        <f>Parameters!D396</f>
        <v>0</v>
      </c>
      <c r="E790" s="23">
        <f>Parameters!E396</f>
        <v>0</v>
      </c>
      <c r="F790" s="23">
        <f>Parameters!F396</f>
        <v>0</v>
      </c>
      <c r="G790" s="25">
        <f>Parameters!G396</f>
        <v>0</v>
      </c>
      <c r="H790" s="25">
        <f>Parameters!H396</f>
        <v>0</v>
      </c>
      <c r="I790" s="25">
        <f>Parameters!I396</f>
        <v>0</v>
      </c>
      <c r="J790" s="25">
        <f>Parameters!J396</f>
        <v>0</v>
      </c>
      <c r="K790" s="25">
        <f>Parameters!K396</f>
        <v>0</v>
      </c>
      <c r="L790" s="26" t="e">
        <f t="shared" ref="L790" si="1179">L791</f>
        <v>#DIV/0!</v>
      </c>
      <c r="M790" s="25">
        <f>Parameters!L396</f>
        <v>0</v>
      </c>
      <c r="N790" s="25">
        <f>Parameters!M396</f>
        <v>0</v>
      </c>
      <c r="O790" s="26" t="e">
        <f t="shared" ref="O790" si="1180">O791</f>
        <v>#DIV/0!</v>
      </c>
      <c r="P790" s="23">
        <f>Parameters!N396</f>
        <v>0</v>
      </c>
      <c r="Q790" s="23">
        <f>Parameters!O396</f>
        <v>0</v>
      </c>
      <c r="R790" s="23">
        <f>Parameters!P396</f>
        <v>0</v>
      </c>
      <c r="S790" s="23">
        <f>Parameters!Q396</f>
        <v>0</v>
      </c>
      <c r="T790" s="23">
        <f>Parameters!R396</f>
        <v>0</v>
      </c>
      <c r="U790" s="27">
        <f>Parameters!S396</f>
        <v>0</v>
      </c>
      <c r="V790" s="28">
        <f>Parameters!T396</f>
        <v>0</v>
      </c>
      <c r="W790" s="27">
        <f>Parameters!U396</f>
        <v>0</v>
      </c>
      <c r="X790" s="28">
        <f>Parameters!V396</f>
        <v>0</v>
      </c>
      <c r="Y790" s="25">
        <f>Parameters!W396</f>
        <v>0</v>
      </c>
      <c r="Z790" s="23">
        <f>Parameters!X396</f>
        <v>0</v>
      </c>
      <c r="AA790" s="27">
        <f>Parameters!Y396</f>
        <v>0</v>
      </c>
      <c r="AB790" s="28">
        <f>Parameters!Z396</f>
        <v>0</v>
      </c>
      <c r="AC790" s="23">
        <f>Parameters!AA396</f>
        <v>0</v>
      </c>
    </row>
    <row r="791" spans="1:29">
      <c r="A791" s="29" t="str">
        <f>UPPER(A790)</f>
        <v>0</v>
      </c>
      <c r="B791" s="29">
        <f>B790</f>
        <v>0</v>
      </c>
      <c r="C791" s="30">
        <f>C790</f>
        <v>0</v>
      </c>
      <c r="D791" s="30">
        <f>D790</f>
        <v>0</v>
      </c>
      <c r="E791" s="29">
        <f>E790</f>
        <v>0</v>
      </c>
      <c r="F791" s="29">
        <f>F790</f>
        <v>0</v>
      </c>
      <c r="G791" s="29" t="e">
        <f>IF(C790=1,IF(D790="BUY",E790+(ROUND(F790*G790/B790,0)*B790),E790-(ROUND(F790*G790/B790,0)*B790)),IF(D790="BUY",E790-(ROUND(F790*G790/B790,0)*B790),E790+(ROUND(F790*G790/B790,0)*B790)))</f>
        <v>#DIV/0!</v>
      </c>
      <c r="H791" s="29" t="e">
        <f>IF(C790=1,IF(D790="BUY",G791-(ROUND(F790*H790/B790,0)*B790),G791+(ROUND(F790*H790/B790,0)*B790)),IF(D790="BUY",G791+(ROUND(F790*H790/B790,0)*B790),G791-(ROUND(F790*H790/B790,0)*B790)))</f>
        <v>#DIV/0!</v>
      </c>
      <c r="I791" s="29" t="e">
        <f>IF(D790="BUY",G791+(ROUND(F790*I790/(B790*100),0)*B790),G791-(ROUND(F790*I790/(B790*100),0)*B790))</f>
        <v>#DIV/0!</v>
      </c>
      <c r="J791" s="29" t="e">
        <f>IF(C790=1,IF(D790="BUY",E790+(ROUND(F790*J790/B790,0)*B790),E790-(ROUND(F790*J790/B790,0)*B790)),IF(D790="BUY",E790-(ROUND(F790*J790/B790,0)*B790),E790+(ROUND(F790*J790/B790,0)*B790)))</f>
        <v>#DIV/0!</v>
      </c>
      <c r="K791" s="29" t="e">
        <f>IF(C790=1,IF(D790="BUY",E790-(ROUND(F790*K790/B790,0)*B790),E790+(ROUND(F790*K790/B790,0)*B790)),IF(D790="BUY",E790-(ROUND(F790*K790/B790,0)*B790),E790+(ROUND(F790*K790/B790,0)*B790)))</f>
        <v>#DIV/0!</v>
      </c>
      <c r="L791" s="29" t="e">
        <f t="shared" ref="L791" si="1181">IF(D791="BUY",I791+(R791*B791),I791-(R791*B791))</f>
        <v>#DIV/0!</v>
      </c>
      <c r="M791" s="29" t="e">
        <f>IF(D790="BUY",E790+(ROUND(F790*M790/B790,0)*B790),E790-(ROUND(F790*M790/B790,0)*B790))</f>
        <v>#DIV/0!</v>
      </c>
      <c r="N791" s="29" t="e">
        <f>IF(D790="BUY",E790-(ROUND(F790*N790/B790,0)*B790),E790+(ROUND(F790*N790/B790,0)*B790))</f>
        <v>#DIV/0!</v>
      </c>
      <c r="O791" s="31" t="e">
        <f>IF(D791="BUY",N791-VLOOKUP(A791,Symbols!A$1:D$1000,4,FALSE),N791+VLOOKUP(A791,Symbols!A$1:D$1000,4,FALSE))</f>
        <v>#DIV/0!</v>
      </c>
      <c r="P791" s="29">
        <f>P790</f>
        <v>0</v>
      </c>
      <c r="Q791" s="29">
        <f>Q790</f>
        <v>0</v>
      </c>
      <c r="R791" s="29">
        <f>R790</f>
        <v>0</v>
      </c>
      <c r="S791" s="29">
        <f>S790</f>
        <v>0</v>
      </c>
      <c r="T791" s="29">
        <f>T790</f>
        <v>0</v>
      </c>
      <c r="U791" s="29" t="e">
        <f>DATEDIF(DATE(1970,1,1),U790,"D")*86400</f>
        <v>#NUM!</v>
      </c>
      <c r="V791" s="29">
        <f>HOUR(V790)*3600+MINUTE(V790)*60+SECOND(V790)</f>
        <v>0</v>
      </c>
      <c r="W791" s="29" t="e">
        <f>DATEDIF(DATE(1970,1,1),W790,"D")*86400</f>
        <v>#NUM!</v>
      </c>
      <c r="X791" s="29">
        <f>HOUR(X790)*3600+MINUTE(X790)*60+SECOND(X790)</f>
        <v>0</v>
      </c>
      <c r="Y791" s="31">
        <f>(Y790*B791)</f>
        <v>0</v>
      </c>
      <c r="Z791" s="29">
        <f>Z790</f>
        <v>0</v>
      </c>
      <c r="AA791" s="29" t="e">
        <f>DATEDIF(DATE(1970,1,1),AA790,"D")*86400</f>
        <v>#NUM!</v>
      </c>
      <c r="AB791" s="29">
        <f>HOUR(AB790)*3600+MINUTE(AB790)*60+SECOND(AB790)</f>
        <v>0</v>
      </c>
      <c r="AC791" s="29">
        <f>AC790</f>
        <v>0</v>
      </c>
    </row>
    <row r="792" spans="1:29">
      <c r="A792" s="23">
        <f>Parameters!A397</f>
        <v>0</v>
      </c>
      <c r="B792" s="23">
        <f>Parameters!B397</f>
        <v>0</v>
      </c>
      <c r="C792" s="24">
        <f>Parameters!C397</f>
        <v>0</v>
      </c>
      <c r="D792" s="24">
        <f>Parameters!D397</f>
        <v>0</v>
      </c>
      <c r="E792" s="23">
        <f>Parameters!E397</f>
        <v>0</v>
      </c>
      <c r="F792" s="23">
        <f>Parameters!F397</f>
        <v>0</v>
      </c>
      <c r="G792" s="25">
        <f>Parameters!G397</f>
        <v>0</v>
      </c>
      <c r="H792" s="25">
        <f>Parameters!H397</f>
        <v>0</v>
      </c>
      <c r="I792" s="25">
        <f>Parameters!I397</f>
        <v>0</v>
      </c>
      <c r="J792" s="25">
        <f>Parameters!J397</f>
        <v>0</v>
      </c>
      <c r="K792" s="25">
        <f>Parameters!K397</f>
        <v>0</v>
      </c>
      <c r="L792" s="26" t="e">
        <f t="shared" ref="L792" si="1182">L793</f>
        <v>#DIV/0!</v>
      </c>
      <c r="M792" s="25">
        <f>Parameters!L397</f>
        <v>0</v>
      </c>
      <c r="N792" s="25">
        <f>Parameters!M397</f>
        <v>0</v>
      </c>
      <c r="O792" s="26" t="e">
        <f t="shared" ref="O792" si="1183">O793</f>
        <v>#DIV/0!</v>
      </c>
      <c r="P792" s="23">
        <f>Parameters!N397</f>
        <v>0</v>
      </c>
      <c r="Q792" s="23">
        <f>Parameters!O397</f>
        <v>0</v>
      </c>
      <c r="R792" s="23">
        <f>Parameters!P397</f>
        <v>0</v>
      </c>
      <c r="S792" s="23">
        <f>Parameters!Q397</f>
        <v>0</v>
      </c>
      <c r="T792" s="23">
        <f>Parameters!R397</f>
        <v>0</v>
      </c>
      <c r="U792" s="27">
        <f>Parameters!S397</f>
        <v>0</v>
      </c>
      <c r="V792" s="28">
        <f>Parameters!T397</f>
        <v>0</v>
      </c>
      <c r="W792" s="27">
        <f>Parameters!U397</f>
        <v>0</v>
      </c>
      <c r="X792" s="28">
        <f>Parameters!V397</f>
        <v>0</v>
      </c>
      <c r="Y792" s="25">
        <f>Parameters!W397</f>
        <v>0</v>
      </c>
      <c r="Z792" s="23">
        <f>Parameters!X397</f>
        <v>0</v>
      </c>
      <c r="AA792" s="27">
        <f>Parameters!Y397</f>
        <v>0</v>
      </c>
      <c r="AB792" s="28">
        <f>Parameters!Z397</f>
        <v>0</v>
      </c>
      <c r="AC792" s="23">
        <f>Parameters!AA397</f>
        <v>0</v>
      </c>
    </row>
    <row r="793" spans="1:29">
      <c r="A793" s="29" t="str">
        <f>UPPER(A792)</f>
        <v>0</v>
      </c>
      <c r="B793" s="29">
        <f>B792</f>
        <v>0</v>
      </c>
      <c r="C793" s="30">
        <f>C792</f>
        <v>0</v>
      </c>
      <c r="D793" s="30">
        <f>D792</f>
        <v>0</v>
      </c>
      <c r="E793" s="29">
        <f>E792</f>
        <v>0</v>
      </c>
      <c r="F793" s="29">
        <f>F792</f>
        <v>0</v>
      </c>
      <c r="G793" s="29" t="e">
        <f>IF(C792=1,IF(D792="BUY",E792+(ROUND(F792*G792/B792,0)*B792),E792-(ROUND(F792*G792/B792,0)*B792)),IF(D792="BUY",E792-(ROUND(F792*G792/B792,0)*B792),E792+(ROUND(F792*G792/B792,0)*B792)))</f>
        <v>#DIV/0!</v>
      </c>
      <c r="H793" s="29" t="e">
        <f>IF(C792=1,IF(D792="BUY",G793-(ROUND(F792*H792/B792,0)*B792),G793+(ROUND(F792*H792/B792,0)*B792)),IF(D792="BUY",G793+(ROUND(F792*H792/B792,0)*B792),G793-(ROUND(F792*H792/B792,0)*B792)))</f>
        <v>#DIV/0!</v>
      </c>
      <c r="I793" s="29" t="e">
        <f>IF(D792="BUY",G793+(ROUND(F792*I792/(B792*100),0)*B792),G793-(ROUND(F792*I792/(B792*100),0)*B792))</f>
        <v>#DIV/0!</v>
      </c>
      <c r="J793" s="29" t="e">
        <f>IF(C792=1,IF(D792="BUY",E792+(ROUND(F792*J792/B792,0)*B792),E792-(ROUND(F792*J792/B792,0)*B792)),IF(D792="BUY",E792-(ROUND(F792*J792/B792,0)*B792),E792+(ROUND(F792*J792/B792,0)*B792)))</f>
        <v>#DIV/0!</v>
      </c>
      <c r="K793" s="29" t="e">
        <f>IF(C792=1,IF(D792="BUY",E792-(ROUND(F792*K792/B792,0)*B792),E792+(ROUND(F792*K792/B792,0)*B792)),IF(D792="BUY",E792-(ROUND(F792*K792/B792,0)*B792),E792+(ROUND(F792*K792/B792,0)*B792)))</f>
        <v>#DIV/0!</v>
      </c>
      <c r="L793" s="29" t="e">
        <f t="shared" ref="L793" si="1184">IF(D793="BUY",I793+(R793*B793),I793-(R793*B793))</f>
        <v>#DIV/0!</v>
      </c>
      <c r="M793" s="29" t="e">
        <f>IF(D792="BUY",E792+(ROUND(F792*M792/B792,0)*B792),E792-(ROUND(F792*M792/B792,0)*B792))</f>
        <v>#DIV/0!</v>
      </c>
      <c r="N793" s="29" t="e">
        <f>IF(D792="BUY",E792-(ROUND(F792*N792/B792,0)*B792),E792+(ROUND(F792*N792/B792,0)*B792))</f>
        <v>#DIV/0!</v>
      </c>
      <c r="O793" s="31" t="e">
        <f>IF(D793="BUY",N793-VLOOKUP(A793,Symbols!A$1:D$1000,4,FALSE),N793+VLOOKUP(A793,Symbols!A$1:D$1000,4,FALSE))</f>
        <v>#DIV/0!</v>
      </c>
      <c r="P793" s="29">
        <f>P792</f>
        <v>0</v>
      </c>
      <c r="Q793" s="29">
        <f>Q792</f>
        <v>0</v>
      </c>
      <c r="R793" s="29">
        <f>R792</f>
        <v>0</v>
      </c>
      <c r="S793" s="29">
        <f>S792</f>
        <v>0</v>
      </c>
      <c r="T793" s="29">
        <f>T792</f>
        <v>0</v>
      </c>
      <c r="U793" s="29" t="e">
        <f>DATEDIF(DATE(1970,1,1),U792,"D")*86400</f>
        <v>#NUM!</v>
      </c>
      <c r="V793" s="29">
        <f>HOUR(V792)*3600+MINUTE(V792)*60+SECOND(V792)</f>
        <v>0</v>
      </c>
      <c r="W793" s="29" t="e">
        <f>DATEDIF(DATE(1970,1,1),W792,"D")*86400</f>
        <v>#NUM!</v>
      </c>
      <c r="X793" s="29">
        <f>HOUR(X792)*3600+MINUTE(X792)*60+SECOND(X792)</f>
        <v>0</v>
      </c>
      <c r="Y793" s="31">
        <f>(Y792*B793)</f>
        <v>0</v>
      </c>
      <c r="Z793" s="29">
        <f>Z792</f>
        <v>0</v>
      </c>
      <c r="AA793" s="29" t="e">
        <f>DATEDIF(DATE(1970,1,1),AA792,"D")*86400</f>
        <v>#NUM!</v>
      </c>
      <c r="AB793" s="29">
        <f>HOUR(AB792)*3600+MINUTE(AB792)*60+SECOND(AB792)</f>
        <v>0</v>
      </c>
      <c r="AC793" s="29">
        <f>AC792</f>
        <v>0</v>
      </c>
    </row>
    <row r="794" spans="1:29">
      <c r="A794" s="23">
        <f>Parameters!A398</f>
        <v>0</v>
      </c>
      <c r="B794" s="23">
        <f>Parameters!B398</f>
        <v>0</v>
      </c>
      <c r="C794" s="24">
        <f>Parameters!C398</f>
        <v>0</v>
      </c>
      <c r="D794" s="24">
        <f>Parameters!D398</f>
        <v>0</v>
      </c>
      <c r="E794" s="23">
        <f>Parameters!E398</f>
        <v>0</v>
      </c>
      <c r="F794" s="23">
        <f>Parameters!F398</f>
        <v>0</v>
      </c>
      <c r="G794" s="25">
        <f>Parameters!G398</f>
        <v>0</v>
      </c>
      <c r="H794" s="25">
        <f>Parameters!H398</f>
        <v>0</v>
      </c>
      <c r="I794" s="25">
        <f>Parameters!I398</f>
        <v>0</v>
      </c>
      <c r="J794" s="25">
        <f>Parameters!J398</f>
        <v>0</v>
      </c>
      <c r="K794" s="25">
        <f>Parameters!K398</f>
        <v>0</v>
      </c>
      <c r="L794" s="26" t="e">
        <f t="shared" ref="L794" si="1185">L795</f>
        <v>#DIV/0!</v>
      </c>
      <c r="M794" s="25">
        <f>Parameters!L398</f>
        <v>0</v>
      </c>
      <c r="N794" s="25">
        <f>Parameters!M398</f>
        <v>0</v>
      </c>
      <c r="O794" s="26" t="e">
        <f t="shared" ref="O794" si="1186">O795</f>
        <v>#DIV/0!</v>
      </c>
      <c r="P794" s="23">
        <f>Parameters!N398</f>
        <v>0</v>
      </c>
      <c r="Q794" s="23">
        <f>Parameters!O398</f>
        <v>0</v>
      </c>
      <c r="R794" s="23">
        <f>Parameters!P398</f>
        <v>0</v>
      </c>
      <c r="S794" s="23">
        <f>Parameters!Q398</f>
        <v>0</v>
      </c>
      <c r="T794" s="23">
        <f>Parameters!R398</f>
        <v>0</v>
      </c>
      <c r="U794" s="27">
        <f>Parameters!S398</f>
        <v>0</v>
      </c>
      <c r="V794" s="28">
        <f>Parameters!T398</f>
        <v>0</v>
      </c>
      <c r="W794" s="27">
        <f>Parameters!U398</f>
        <v>0</v>
      </c>
      <c r="X794" s="28">
        <f>Parameters!V398</f>
        <v>0</v>
      </c>
      <c r="Y794" s="25">
        <f>Parameters!W398</f>
        <v>0</v>
      </c>
      <c r="Z794" s="23">
        <f>Parameters!X398</f>
        <v>0</v>
      </c>
      <c r="AA794" s="27">
        <f>Parameters!Y398</f>
        <v>0</v>
      </c>
      <c r="AB794" s="28">
        <f>Parameters!Z398</f>
        <v>0</v>
      </c>
      <c r="AC794" s="23">
        <f>Parameters!AA398</f>
        <v>0</v>
      </c>
    </row>
    <row r="795" spans="1:29">
      <c r="A795" s="29" t="str">
        <f>UPPER(A794)</f>
        <v>0</v>
      </c>
      <c r="B795" s="29">
        <f>B794</f>
        <v>0</v>
      </c>
      <c r="C795" s="30">
        <f>C794</f>
        <v>0</v>
      </c>
      <c r="D795" s="30">
        <f>D794</f>
        <v>0</v>
      </c>
      <c r="E795" s="29">
        <f>E794</f>
        <v>0</v>
      </c>
      <c r="F795" s="29">
        <f>F794</f>
        <v>0</v>
      </c>
      <c r="G795" s="29" t="e">
        <f>IF(C794=1,IF(D794="BUY",E794+(ROUND(F794*G794/B794,0)*B794),E794-(ROUND(F794*G794/B794,0)*B794)),IF(D794="BUY",E794-(ROUND(F794*G794/B794,0)*B794),E794+(ROUND(F794*G794/B794,0)*B794)))</f>
        <v>#DIV/0!</v>
      </c>
      <c r="H795" s="29" t="e">
        <f>IF(C794=1,IF(D794="BUY",G795-(ROUND(F794*H794/B794,0)*B794),G795+(ROUND(F794*H794/B794,0)*B794)),IF(D794="BUY",G795+(ROUND(F794*H794/B794,0)*B794),G795-(ROUND(F794*H794/B794,0)*B794)))</f>
        <v>#DIV/0!</v>
      </c>
      <c r="I795" s="29" t="e">
        <f>IF(D794="BUY",G795+(ROUND(F794*I794/(B794*100),0)*B794),G795-(ROUND(F794*I794/(B794*100),0)*B794))</f>
        <v>#DIV/0!</v>
      </c>
      <c r="J795" s="29" t="e">
        <f>IF(C794=1,IF(D794="BUY",E794+(ROUND(F794*J794/B794,0)*B794),E794-(ROUND(F794*J794/B794,0)*B794)),IF(D794="BUY",E794-(ROUND(F794*J794/B794,0)*B794),E794+(ROUND(F794*J794/B794,0)*B794)))</f>
        <v>#DIV/0!</v>
      </c>
      <c r="K795" s="29" t="e">
        <f>IF(C794=1,IF(D794="BUY",E794-(ROUND(F794*K794/B794,0)*B794),E794+(ROUND(F794*K794/B794,0)*B794)),IF(D794="BUY",E794-(ROUND(F794*K794/B794,0)*B794),E794+(ROUND(F794*K794/B794,0)*B794)))</f>
        <v>#DIV/0!</v>
      </c>
      <c r="L795" s="29" t="e">
        <f t="shared" ref="L795" si="1187">IF(D795="BUY",I795+(R795*B795),I795-(R795*B795))</f>
        <v>#DIV/0!</v>
      </c>
      <c r="M795" s="29" t="e">
        <f>IF(D794="BUY",E794+(ROUND(F794*M794/B794,0)*B794),E794-(ROUND(F794*M794/B794,0)*B794))</f>
        <v>#DIV/0!</v>
      </c>
      <c r="N795" s="29" t="e">
        <f>IF(D794="BUY",E794-(ROUND(F794*N794/B794,0)*B794),E794+(ROUND(F794*N794/B794,0)*B794))</f>
        <v>#DIV/0!</v>
      </c>
      <c r="O795" s="31" t="e">
        <f>IF(D795="BUY",N795-VLOOKUP(A795,Symbols!A$1:D$1000,4,FALSE),N795+VLOOKUP(A795,Symbols!A$1:D$1000,4,FALSE))</f>
        <v>#DIV/0!</v>
      </c>
      <c r="P795" s="29">
        <f>P794</f>
        <v>0</v>
      </c>
      <c r="Q795" s="29">
        <f>Q794</f>
        <v>0</v>
      </c>
      <c r="R795" s="29">
        <f>R794</f>
        <v>0</v>
      </c>
      <c r="S795" s="29">
        <f>S794</f>
        <v>0</v>
      </c>
      <c r="T795" s="29">
        <f>T794</f>
        <v>0</v>
      </c>
      <c r="U795" s="29" t="e">
        <f>DATEDIF(DATE(1970,1,1),U794,"D")*86400</f>
        <v>#NUM!</v>
      </c>
      <c r="V795" s="29">
        <f>HOUR(V794)*3600+MINUTE(V794)*60+SECOND(V794)</f>
        <v>0</v>
      </c>
      <c r="W795" s="29" t="e">
        <f>DATEDIF(DATE(1970,1,1),W794,"D")*86400</f>
        <v>#NUM!</v>
      </c>
      <c r="X795" s="29">
        <f>HOUR(X794)*3600+MINUTE(X794)*60+SECOND(X794)</f>
        <v>0</v>
      </c>
      <c r="Y795" s="31">
        <f>(Y794*B795)</f>
        <v>0</v>
      </c>
      <c r="Z795" s="29">
        <f>Z794</f>
        <v>0</v>
      </c>
      <c r="AA795" s="29" t="e">
        <f>DATEDIF(DATE(1970,1,1),AA794,"D")*86400</f>
        <v>#NUM!</v>
      </c>
      <c r="AB795" s="29">
        <f>HOUR(AB794)*3600+MINUTE(AB794)*60+SECOND(AB794)</f>
        <v>0</v>
      </c>
      <c r="AC795" s="29">
        <f>AC794</f>
        <v>0</v>
      </c>
    </row>
    <row r="796" spans="1:29">
      <c r="A796" s="23">
        <f>Parameters!A399</f>
        <v>0</v>
      </c>
      <c r="B796" s="23">
        <f>Parameters!B399</f>
        <v>0</v>
      </c>
      <c r="C796" s="24">
        <f>Parameters!C399</f>
        <v>0</v>
      </c>
      <c r="D796" s="24">
        <f>Parameters!D399</f>
        <v>0</v>
      </c>
      <c r="E796" s="23">
        <f>Parameters!E399</f>
        <v>0</v>
      </c>
      <c r="F796" s="23">
        <f>Parameters!F399</f>
        <v>0</v>
      </c>
      <c r="G796" s="25">
        <f>Parameters!G399</f>
        <v>0</v>
      </c>
      <c r="H796" s="25">
        <f>Parameters!H399</f>
        <v>0</v>
      </c>
      <c r="I796" s="25">
        <f>Parameters!I399</f>
        <v>0</v>
      </c>
      <c r="J796" s="25">
        <f>Parameters!J399</f>
        <v>0</v>
      </c>
      <c r="K796" s="25">
        <f>Parameters!K399</f>
        <v>0</v>
      </c>
      <c r="L796" s="26" t="e">
        <f t="shared" ref="L796" si="1188">L797</f>
        <v>#DIV/0!</v>
      </c>
      <c r="M796" s="25">
        <f>Parameters!L399</f>
        <v>0</v>
      </c>
      <c r="N796" s="25">
        <f>Parameters!M399</f>
        <v>0</v>
      </c>
      <c r="O796" s="26" t="e">
        <f t="shared" ref="O796" si="1189">O797</f>
        <v>#DIV/0!</v>
      </c>
      <c r="P796" s="23">
        <f>Parameters!N399</f>
        <v>0</v>
      </c>
      <c r="Q796" s="23">
        <f>Parameters!O399</f>
        <v>0</v>
      </c>
      <c r="R796" s="23">
        <f>Parameters!P399</f>
        <v>0</v>
      </c>
      <c r="S796" s="23">
        <f>Parameters!Q399</f>
        <v>0</v>
      </c>
      <c r="T796" s="23">
        <f>Parameters!R399</f>
        <v>0</v>
      </c>
      <c r="U796" s="27">
        <f>Parameters!S399</f>
        <v>0</v>
      </c>
      <c r="V796" s="28">
        <f>Parameters!T399</f>
        <v>0</v>
      </c>
      <c r="W796" s="27">
        <f>Parameters!U399</f>
        <v>0</v>
      </c>
      <c r="X796" s="28">
        <f>Parameters!V399</f>
        <v>0</v>
      </c>
      <c r="Y796" s="25">
        <f>Parameters!W399</f>
        <v>0</v>
      </c>
      <c r="Z796" s="23">
        <f>Parameters!X399</f>
        <v>0</v>
      </c>
      <c r="AA796" s="27">
        <f>Parameters!Y399</f>
        <v>0</v>
      </c>
      <c r="AB796" s="28">
        <f>Parameters!Z399</f>
        <v>0</v>
      </c>
      <c r="AC796" s="23">
        <f>Parameters!AA399</f>
        <v>0</v>
      </c>
    </row>
    <row r="797" spans="1:29">
      <c r="A797" s="29" t="str">
        <f>UPPER(A796)</f>
        <v>0</v>
      </c>
      <c r="B797" s="29">
        <f>B796</f>
        <v>0</v>
      </c>
      <c r="C797" s="30">
        <f>C796</f>
        <v>0</v>
      </c>
      <c r="D797" s="30">
        <f>D796</f>
        <v>0</v>
      </c>
      <c r="E797" s="29">
        <f>E796</f>
        <v>0</v>
      </c>
      <c r="F797" s="29">
        <f>F796</f>
        <v>0</v>
      </c>
      <c r="G797" s="29" t="e">
        <f>IF(C796=1,IF(D796="BUY",E796+(ROUND(F796*G796/B796,0)*B796),E796-(ROUND(F796*G796/B796,0)*B796)),IF(D796="BUY",E796-(ROUND(F796*G796/B796,0)*B796),E796+(ROUND(F796*G796/B796,0)*B796)))</f>
        <v>#DIV/0!</v>
      </c>
      <c r="H797" s="29" t="e">
        <f>IF(C796=1,IF(D796="BUY",G797-(ROUND(F796*H796/B796,0)*B796),G797+(ROUND(F796*H796/B796,0)*B796)),IF(D796="BUY",G797+(ROUND(F796*H796/B796,0)*B796),G797-(ROUND(F796*H796/B796,0)*B796)))</f>
        <v>#DIV/0!</v>
      </c>
      <c r="I797" s="29" t="e">
        <f>IF(D796="BUY",G797+(ROUND(F796*I796/(B796*100),0)*B796),G797-(ROUND(F796*I796/(B796*100),0)*B796))</f>
        <v>#DIV/0!</v>
      </c>
      <c r="J797" s="29" t="e">
        <f>IF(C796=1,IF(D796="BUY",E796+(ROUND(F796*J796/B796,0)*B796),E796-(ROUND(F796*J796/B796,0)*B796)),IF(D796="BUY",E796-(ROUND(F796*J796/B796,0)*B796),E796+(ROUND(F796*J796/B796,0)*B796)))</f>
        <v>#DIV/0!</v>
      </c>
      <c r="K797" s="29" t="e">
        <f>IF(C796=1,IF(D796="BUY",E796-(ROUND(F796*K796/B796,0)*B796),E796+(ROUND(F796*K796/B796,0)*B796)),IF(D796="BUY",E796-(ROUND(F796*K796/B796,0)*B796),E796+(ROUND(F796*K796/B796,0)*B796)))</f>
        <v>#DIV/0!</v>
      </c>
      <c r="L797" s="29" t="e">
        <f t="shared" ref="L797" si="1190">IF(D797="BUY",I797+(R797*B797),I797-(R797*B797))</f>
        <v>#DIV/0!</v>
      </c>
      <c r="M797" s="29" t="e">
        <f>IF(D796="BUY",E796+(ROUND(F796*M796/B796,0)*B796),E796-(ROUND(F796*M796/B796,0)*B796))</f>
        <v>#DIV/0!</v>
      </c>
      <c r="N797" s="29" t="e">
        <f>IF(D796="BUY",E796-(ROUND(F796*N796/B796,0)*B796),E796+(ROUND(F796*N796/B796,0)*B796))</f>
        <v>#DIV/0!</v>
      </c>
      <c r="O797" s="31" t="e">
        <f>IF(D797="BUY",N797-VLOOKUP(A797,Symbols!A$1:D$1000,4,FALSE),N797+VLOOKUP(A797,Symbols!A$1:D$1000,4,FALSE))</f>
        <v>#DIV/0!</v>
      </c>
      <c r="P797" s="29">
        <f>P796</f>
        <v>0</v>
      </c>
      <c r="Q797" s="29">
        <f>Q796</f>
        <v>0</v>
      </c>
      <c r="R797" s="29">
        <f>R796</f>
        <v>0</v>
      </c>
      <c r="S797" s="29">
        <f>S796</f>
        <v>0</v>
      </c>
      <c r="T797" s="29">
        <f>T796</f>
        <v>0</v>
      </c>
      <c r="U797" s="29" t="e">
        <f>DATEDIF(DATE(1970,1,1),U796,"D")*86400</f>
        <v>#NUM!</v>
      </c>
      <c r="V797" s="29">
        <f>HOUR(V796)*3600+MINUTE(V796)*60+SECOND(V796)</f>
        <v>0</v>
      </c>
      <c r="W797" s="29" t="e">
        <f>DATEDIF(DATE(1970,1,1),W796,"D")*86400</f>
        <v>#NUM!</v>
      </c>
      <c r="X797" s="29">
        <f>HOUR(X796)*3600+MINUTE(X796)*60+SECOND(X796)</f>
        <v>0</v>
      </c>
      <c r="Y797" s="31">
        <f>(Y796*B797)</f>
        <v>0</v>
      </c>
      <c r="Z797" s="29">
        <f>Z796</f>
        <v>0</v>
      </c>
      <c r="AA797" s="29" t="e">
        <f>DATEDIF(DATE(1970,1,1),AA796,"D")*86400</f>
        <v>#NUM!</v>
      </c>
      <c r="AB797" s="29">
        <f>HOUR(AB796)*3600+MINUTE(AB796)*60+SECOND(AB796)</f>
        <v>0</v>
      </c>
      <c r="AC797" s="29">
        <f>AC796</f>
        <v>0</v>
      </c>
    </row>
    <row r="798" spans="1:29">
      <c r="A798" s="23">
        <f>Parameters!A400</f>
        <v>0</v>
      </c>
      <c r="B798" s="23">
        <f>Parameters!B400</f>
        <v>0</v>
      </c>
      <c r="C798" s="24">
        <f>Parameters!C400</f>
        <v>0</v>
      </c>
      <c r="D798" s="24">
        <f>Parameters!D400</f>
        <v>0</v>
      </c>
      <c r="E798" s="23">
        <f>Parameters!E400</f>
        <v>0</v>
      </c>
      <c r="F798" s="23">
        <f>Parameters!F400</f>
        <v>0</v>
      </c>
      <c r="G798" s="25">
        <f>Parameters!G400</f>
        <v>0</v>
      </c>
      <c r="H798" s="25">
        <f>Parameters!H400</f>
        <v>0</v>
      </c>
      <c r="I798" s="25">
        <f>Parameters!I400</f>
        <v>0</v>
      </c>
      <c r="J798" s="25">
        <f>Parameters!J400</f>
        <v>0</v>
      </c>
      <c r="K798" s="25">
        <f>Parameters!K400</f>
        <v>0</v>
      </c>
      <c r="L798" s="26" t="e">
        <f t="shared" ref="L798" si="1191">L799</f>
        <v>#DIV/0!</v>
      </c>
      <c r="M798" s="25">
        <f>Parameters!L400</f>
        <v>0</v>
      </c>
      <c r="N798" s="25">
        <f>Parameters!M400</f>
        <v>0</v>
      </c>
      <c r="O798" s="26" t="e">
        <f t="shared" ref="O798" si="1192">O799</f>
        <v>#DIV/0!</v>
      </c>
      <c r="P798" s="23">
        <f>Parameters!N400</f>
        <v>0</v>
      </c>
      <c r="Q798" s="23">
        <f>Parameters!O400</f>
        <v>0</v>
      </c>
      <c r="R798" s="23">
        <f>Parameters!P400</f>
        <v>0</v>
      </c>
      <c r="S798" s="23">
        <f>Parameters!Q400</f>
        <v>0</v>
      </c>
      <c r="T798" s="23">
        <f>Parameters!R400</f>
        <v>0</v>
      </c>
      <c r="U798" s="27">
        <f>Parameters!S400</f>
        <v>0</v>
      </c>
      <c r="V798" s="28">
        <f>Parameters!T400</f>
        <v>0</v>
      </c>
      <c r="W798" s="27">
        <f>Parameters!U400</f>
        <v>0</v>
      </c>
      <c r="X798" s="28">
        <f>Parameters!V400</f>
        <v>0</v>
      </c>
      <c r="Y798" s="25">
        <f>Parameters!W400</f>
        <v>0</v>
      </c>
      <c r="Z798" s="23">
        <f>Parameters!X400</f>
        <v>0</v>
      </c>
      <c r="AA798" s="27">
        <f>Parameters!Y400</f>
        <v>0</v>
      </c>
      <c r="AB798" s="28">
        <f>Parameters!Z400</f>
        <v>0</v>
      </c>
      <c r="AC798" s="23">
        <f>Parameters!AA400</f>
        <v>0</v>
      </c>
    </row>
    <row r="799" spans="1:29">
      <c r="A799" s="29" t="str">
        <f>UPPER(A798)</f>
        <v>0</v>
      </c>
      <c r="B799" s="29">
        <f>B798</f>
        <v>0</v>
      </c>
      <c r="C799" s="30">
        <f>C798</f>
        <v>0</v>
      </c>
      <c r="D799" s="30">
        <f>D798</f>
        <v>0</v>
      </c>
      <c r="E799" s="29">
        <f>E798</f>
        <v>0</v>
      </c>
      <c r="F799" s="29">
        <f>F798</f>
        <v>0</v>
      </c>
      <c r="G799" s="29" t="e">
        <f>IF(C798=1,IF(D798="BUY",E798+(ROUND(F798*G798/B798,0)*B798),E798-(ROUND(F798*G798/B798,0)*B798)),IF(D798="BUY",E798-(ROUND(F798*G798/B798,0)*B798),E798+(ROUND(F798*G798/B798,0)*B798)))</f>
        <v>#DIV/0!</v>
      </c>
      <c r="H799" s="29" t="e">
        <f>IF(C798=1,IF(D798="BUY",G799-(ROUND(F798*H798/B798,0)*B798),G799+(ROUND(F798*H798/B798,0)*B798)),IF(D798="BUY",G799+(ROUND(F798*H798/B798,0)*B798),G799-(ROUND(F798*H798/B798,0)*B798)))</f>
        <v>#DIV/0!</v>
      </c>
      <c r="I799" s="29" t="e">
        <f>IF(D798="BUY",G799+(ROUND(F798*I798/(B798*100),0)*B798),G799-(ROUND(F798*I798/(B798*100),0)*B798))</f>
        <v>#DIV/0!</v>
      </c>
      <c r="J799" s="29" t="e">
        <f>IF(C798=1,IF(D798="BUY",E798+(ROUND(F798*J798/B798,0)*B798),E798-(ROUND(F798*J798/B798,0)*B798)),IF(D798="BUY",E798-(ROUND(F798*J798/B798,0)*B798),E798+(ROUND(F798*J798/B798,0)*B798)))</f>
        <v>#DIV/0!</v>
      </c>
      <c r="K799" s="29" t="e">
        <f>IF(C798=1,IF(D798="BUY",E798-(ROUND(F798*K798/B798,0)*B798),E798+(ROUND(F798*K798/B798,0)*B798)),IF(D798="BUY",E798-(ROUND(F798*K798/B798,0)*B798),E798+(ROUND(F798*K798/B798,0)*B798)))</f>
        <v>#DIV/0!</v>
      </c>
      <c r="L799" s="29" t="e">
        <f t="shared" ref="L799" si="1193">IF(D799="BUY",I799+(R799*B799),I799-(R799*B799))</f>
        <v>#DIV/0!</v>
      </c>
      <c r="M799" s="29" t="e">
        <f>IF(D798="BUY",E798+(ROUND(F798*M798/B798,0)*B798),E798-(ROUND(F798*M798/B798,0)*B798))</f>
        <v>#DIV/0!</v>
      </c>
      <c r="N799" s="29" t="e">
        <f>IF(D798="BUY",E798-(ROUND(F798*N798/B798,0)*B798),E798+(ROUND(F798*N798/B798,0)*B798))</f>
        <v>#DIV/0!</v>
      </c>
      <c r="O799" s="31" t="e">
        <f>IF(D799="BUY",N799-VLOOKUP(A799,Symbols!A$1:D$1000,4,FALSE),N799+VLOOKUP(A799,Symbols!A$1:D$1000,4,FALSE))</f>
        <v>#DIV/0!</v>
      </c>
      <c r="P799" s="29">
        <f>P798</f>
        <v>0</v>
      </c>
      <c r="Q799" s="29">
        <f>Q798</f>
        <v>0</v>
      </c>
      <c r="R799" s="29">
        <f>R798</f>
        <v>0</v>
      </c>
      <c r="S799" s="29">
        <f>S798</f>
        <v>0</v>
      </c>
      <c r="T799" s="29">
        <f>T798</f>
        <v>0</v>
      </c>
      <c r="U799" s="29" t="e">
        <f>DATEDIF(DATE(1970,1,1),U798,"D")*86400</f>
        <v>#NUM!</v>
      </c>
      <c r="V799" s="29">
        <f>HOUR(V798)*3600+MINUTE(V798)*60+SECOND(V798)</f>
        <v>0</v>
      </c>
      <c r="W799" s="29" t="e">
        <f>DATEDIF(DATE(1970,1,1),W798,"D")*86400</f>
        <v>#NUM!</v>
      </c>
      <c r="X799" s="29">
        <f>HOUR(X798)*3600+MINUTE(X798)*60+SECOND(X798)</f>
        <v>0</v>
      </c>
      <c r="Y799" s="31">
        <f>(Y798*B799)</f>
        <v>0</v>
      </c>
      <c r="Z799" s="29">
        <f>Z798</f>
        <v>0</v>
      </c>
      <c r="AA799" s="29" t="e">
        <f>DATEDIF(DATE(1970,1,1),AA798,"D")*86400</f>
        <v>#NUM!</v>
      </c>
      <c r="AB799" s="29">
        <f>HOUR(AB798)*3600+MINUTE(AB798)*60+SECOND(AB798)</f>
        <v>0</v>
      </c>
      <c r="AC799" s="29">
        <f>AC798</f>
        <v>0</v>
      </c>
    </row>
    <row r="800" spans="1:29">
      <c r="A800" s="23">
        <f>Parameters!A401</f>
        <v>0</v>
      </c>
      <c r="B800" s="23">
        <f>Parameters!B401</f>
        <v>0</v>
      </c>
      <c r="C800" s="24">
        <f>Parameters!C401</f>
        <v>0</v>
      </c>
      <c r="D800" s="24">
        <f>Parameters!D401</f>
        <v>0</v>
      </c>
      <c r="E800" s="23">
        <f>Parameters!E401</f>
        <v>0</v>
      </c>
      <c r="F800" s="23">
        <f>Parameters!F401</f>
        <v>0</v>
      </c>
      <c r="G800" s="25">
        <f>Parameters!G401</f>
        <v>0</v>
      </c>
      <c r="H800" s="25">
        <f>Parameters!H401</f>
        <v>0</v>
      </c>
      <c r="I800" s="25">
        <f>Parameters!I401</f>
        <v>0</v>
      </c>
      <c r="J800" s="25">
        <f>Parameters!J401</f>
        <v>0</v>
      </c>
      <c r="K800" s="25">
        <f>Parameters!K401</f>
        <v>0</v>
      </c>
      <c r="L800" s="26" t="e">
        <f t="shared" ref="L800" si="1194">L801</f>
        <v>#DIV/0!</v>
      </c>
      <c r="M800" s="25">
        <f>Parameters!L401</f>
        <v>0</v>
      </c>
      <c r="N800" s="25">
        <f>Parameters!M401</f>
        <v>0</v>
      </c>
      <c r="O800" s="26" t="e">
        <f t="shared" ref="O800" si="1195">O801</f>
        <v>#DIV/0!</v>
      </c>
      <c r="P800" s="23">
        <f>Parameters!N401</f>
        <v>0</v>
      </c>
      <c r="Q800" s="23">
        <f>Parameters!O401</f>
        <v>0</v>
      </c>
      <c r="R800" s="23">
        <f>Parameters!P401</f>
        <v>0</v>
      </c>
      <c r="S800" s="23">
        <f>Parameters!Q401</f>
        <v>0</v>
      </c>
      <c r="T800" s="23">
        <f>Parameters!R401</f>
        <v>0</v>
      </c>
      <c r="U800" s="27">
        <f>Parameters!S401</f>
        <v>0</v>
      </c>
      <c r="V800" s="28">
        <f>Parameters!T401</f>
        <v>0</v>
      </c>
      <c r="W800" s="27">
        <f>Parameters!U401</f>
        <v>0</v>
      </c>
      <c r="X800" s="28">
        <f>Parameters!V401</f>
        <v>0</v>
      </c>
      <c r="Y800" s="25">
        <f>Parameters!W401</f>
        <v>0</v>
      </c>
      <c r="Z800" s="23">
        <f>Parameters!X401</f>
        <v>0</v>
      </c>
      <c r="AA800" s="27">
        <f>Parameters!Y401</f>
        <v>0</v>
      </c>
      <c r="AB800" s="28">
        <f>Parameters!Z401</f>
        <v>0</v>
      </c>
      <c r="AC800" s="23">
        <f>Parameters!AA401</f>
        <v>0</v>
      </c>
    </row>
    <row r="801" spans="1:29">
      <c r="A801" s="29" t="str">
        <f>UPPER(A800)</f>
        <v>0</v>
      </c>
      <c r="B801" s="29">
        <f>B800</f>
        <v>0</v>
      </c>
      <c r="C801" s="30">
        <f>C800</f>
        <v>0</v>
      </c>
      <c r="D801" s="30">
        <f>D800</f>
        <v>0</v>
      </c>
      <c r="E801" s="29">
        <f>E800</f>
        <v>0</v>
      </c>
      <c r="F801" s="29">
        <f>F800</f>
        <v>0</v>
      </c>
      <c r="G801" s="29" t="e">
        <f>IF(C800=1,IF(D800="BUY",E800+(ROUND(F800*G800/B800,0)*B800),E800-(ROUND(F800*G800/B800,0)*B800)),IF(D800="BUY",E800-(ROUND(F800*G800/B800,0)*B800),E800+(ROUND(F800*G800/B800,0)*B800)))</f>
        <v>#DIV/0!</v>
      </c>
      <c r="H801" s="29" t="e">
        <f>IF(C800=1,IF(D800="BUY",G801-(ROUND(F800*H800/B800,0)*B800),G801+(ROUND(F800*H800/B800,0)*B800)),IF(D800="BUY",G801+(ROUND(F800*H800/B800,0)*B800),G801-(ROUND(F800*H800/B800,0)*B800)))</f>
        <v>#DIV/0!</v>
      </c>
      <c r="I801" s="29" t="e">
        <f>IF(D800="BUY",G801+(ROUND(F800*I800/(B800*100),0)*B800),G801-(ROUND(F800*I800/(B800*100),0)*B800))</f>
        <v>#DIV/0!</v>
      </c>
      <c r="J801" s="29" t="e">
        <f>IF(C800=1,IF(D800="BUY",E800+(ROUND(F800*J800/B800,0)*B800),E800-(ROUND(F800*J800/B800,0)*B800)),IF(D800="BUY",E800-(ROUND(F800*J800/B800,0)*B800),E800+(ROUND(F800*J800/B800,0)*B800)))</f>
        <v>#DIV/0!</v>
      </c>
      <c r="K801" s="29" t="e">
        <f>IF(C800=1,IF(D800="BUY",E800-(ROUND(F800*K800/B800,0)*B800),E800+(ROUND(F800*K800/B800,0)*B800)),IF(D800="BUY",E800-(ROUND(F800*K800/B800,0)*B800),E800+(ROUND(F800*K800/B800,0)*B800)))</f>
        <v>#DIV/0!</v>
      </c>
      <c r="L801" s="29" t="e">
        <f t="shared" ref="L801" si="1196">IF(D801="BUY",I801+(R801*B801),I801-(R801*B801))</f>
        <v>#DIV/0!</v>
      </c>
      <c r="M801" s="29" t="e">
        <f>IF(D800="BUY",E800+(ROUND(F800*M800/B800,0)*B800),E800-(ROUND(F800*M800/B800,0)*B800))</f>
        <v>#DIV/0!</v>
      </c>
      <c r="N801" s="29" t="e">
        <f>IF(D800="BUY",E800-(ROUND(F800*N800/B800,0)*B800),E800+(ROUND(F800*N800/B800,0)*B800))</f>
        <v>#DIV/0!</v>
      </c>
      <c r="O801" s="31" t="e">
        <f>IF(D801="BUY",N801-VLOOKUP(A801,Symbols!A$1:D$1000,4,FALSE),N801+VLOOKUP(A801,Symbols!A$1:D$1000,4,FALSE))</f>
        <v>#DIV/0!</v>
      </c>
      <c r="P801" s="29">
        <f>P800</f>
        <v>0</v>
      </c>
      <c r="Q801" s="29">
        <f>Q800</f>
        <v>0</v>
      </c>
      <c r="R801" s="29">
        <f>R800</f>
        <v>0</v>
      </c>
      <c r="S801" s="29">
        <f>S800</f>
        <v>0</v>
      </c>
      <c r="T801" s="29">
        <f>T800</f>
        <v>0</v>
      </c>
      <c r="U801" s="29" t="e">
        <f>DATEDIF(DATE(1970,1,1),U800,"D")*86400</f>
        <v>#NUM!</v>
      </c>
      <c r="V801" s="29">
        <f>HOUR(V800)*3600+MINUTE(V800)*60+SECOND(V800)</f>
        <v>0</v>
      </c>
      <c r="W801" s="29" t="e">
        <f>DATEDIF(DATE(1970,1,1),W800,"D")*86400</f>
        <v>#NUM!</v>
      </c>
      <c r="X801" s="29">
        <f>HOUR(X800)*3600+MINUTE(X800)*60+SECOND(X800)</f>
        <v>0</v>
      </c>
      <c r="Y801" s="31">
        <f>(Y800*B801)</f>
        <v>0</v>
      </c>
      <c r="Z801" s="29">
        <f>Z800</f>
        <v>0</v>
      </c>
      <c r="AA801" s="29" t="e">
        <f>DATEDIF(DATE(1970,1,1),AA800,"D")*86400</f>
        <v>#NUM!</v>
      </c>
      <c r="AB801" s="29">
        <f>HOUR(AB800)*3600+MINUTE(AB800)*60+SECOND(AB800)</f>
        <v>0</v>
      </c>
      <c r="AC801" s="29">
        <f>AC800</f>
        <v>0</v>
      </c>
    </row>
    <row r="802" spans="1:29">
      <c r="A802" s="23">
        <f>Parameters!A402</f>
        <v>0</v>
      </c>
      <c r="B802" s="23">
        <f>Parameters!B402</f>
        <v>0</v>
      </c>
      <c r="C802" s="24">
        <f>Parameters!C402</f>
        <v>0</v>
      </c>
      <c r="D802" s="24">
        <f>Parameters!D402</f>
        <v>0</v>
      </c>
      <c r="E802" s="23">
        <f>Parameters!E402</f>
        <v>0</v>
      </c>
      <c r="F802" s="23">
        <f>Parameters!F402</f>
        <v>0</v>
      </c>
      <c r="G802" s="25">
        <f>Parameters!G402</f>
        <v>0</v>
      </c>
      <c r="H802" s="25">
        <f>Parameters!H402</f>
        <v>0</v>
      </c>
      <c r="I802" s="25">
        <f>Parameters!I402</f>
        <v>0</v>
      </c>
      <c r="J802" s="25">
        <f>Parameters!J402</f>
        <v>0</v>
      </c>
      <c r="K802" s="25">
        <f>Parameters!K402</f>
        <v>0</v>
      </c>
      <c r="L802" s="26" t="e">
        <f t="shared" ref="L802" si="1197">L803</f>
        <v>#DIV/0!</v>
      </c>
      <c r="M802" s="25">
        <f>Parameters!L402</f>
        <v>0</v>
      </c>
      <c r="N802" s="25">
        <f>Parameters!M402</f>
        <v>0</v>
      </c>
      <c r="O802" s="26" t="e">
        <f t="shared" ref="O802" si="1198">O803</f>
        <v>#DIV/0!</v>
      </c>
      <c r="P802" s="23">
        <f>Parameters!N402</f>
        <v>0</v>
      </c>
      <c r="Q802" s="23">
        <f>Parameters!O402</f>
        <v>0</v>
      </c>
      <c r="R802" s="23">
        <f>Parameters!P402</f>
        <v>0</v>
      </c>
      <c r="S802" s="23">
        <f>Parameters!Q402</f>
        <v>0</v>
      </c>
      <c r="T802" s="23">
        <f>Parameters!R402</f>
        <v>0</v>
      </c>
      <c r="U802" s="27">
        <f>Parameters!S402</f>
        <v>0</v>
      </c>
      <c r="V802" s="28">
        <f>Parameters!T402</f>
        <v>0</v>
      </c>
      <c r="W802" s="27">
        <f>Parameters!U402</f>
        <v>0</v>
      </c>
      <c r="X802" s="28">
        <f>Parameters!V402</f>
        <v>0</v>
      </c>
      <c r="Y802" s="25">
        <f>Parameters!W402</f>
        <v>0</v>
      </c>
      <c r="Z802" s="23">
        <f>Parameters!X402</f>
        <v>0</v>
      </c>
      <c r="AA802" s="27">
        <f>Parameters!Y402</f>
        <v>0</v>
      </c>
      <c r="AB802" s="28">
        <f>Parameters!Z402</f>
        <v>0</v>
      </c>
      <c r="AC802" s="23">
        <f>Parameters!AA402</f>
        <v>0</v>
      </c>
    </row>
    <row r="803" spans="1:29">
      <c r="A803" s="29" t="str">
        <f>UPPER(A802)</f>
        <v>0</v>
      </c>
      <c r="B803" s="29">
        <f>B802</f>
        <v>0</v>
      </c>
      <c r="C803" s="30">
        <f>C802</f>
        <v>0</v>
      </c>
      <c r="D803" s="30">
        <f>D802</f>
        <v>0</v>
      </c>
      <c r="E803" s="29">
        <f>E802</f>
        <v>0</v>
      </c>
      <c r="F803" s="29">
        <f>F802</f>
        <v>0</v>
      </c>
      <c r="G803" s="29" t="e">
        <f>IF(C802=1,IF(D802="BUY",E802+(ROUND(F802*G802/B802,0)*B802),E802-(ROUND(F802*G802/B802,0)*B802)),IF(D802="BUY",E802-(ROUND(F802*G802/B802,0)*B802),E802+(ROUND(F802*G802/B802,0)*B802)))</f>
        <v>#DIV/0!</v>
      </c>
      <c r="H803" s="29" t="e">
        <f>IF(C802=1,IF(D802="BUY",G803-(ROUND(F802*H802/B802,0)*B802),G803+(ROUND(F802*H802/B802,0)*B802)),IF(D802="BUY",G803+(ROUND(F802*H802/B802,0)*B802),G803-(ROUND(F802*H802/B802,0)*B802)))</f>
        <v>#DIV/0!</v>
      </c>
      <c r="I803" s="29" t="e">
        <f>IF(D802="BUY",G803+(ROUND(F802*I802/(B802*100),0)*B802),G803-(ROUND(F802*I802/(B802*100),0)*B802))</f>
        <v>#DIV/0!</v>
      </c>
      <c r="J803" s="29" t="e">
        <f>IF(C802=1,IF(D802="BUY",E802+(ROUND(F802*J802/B802,0)*B802),E802-(ROUND(F802*J802/B802,0)*B802)),IF(D802="BUY",E802-(ROUND(F802*J802/B802,0)*B802),E802+(ROUND(F802*J802/B802,0)*B802)))</f>
        <v>#DIV/0!</v>
      </c>
      <c r="K803" s="29" t="e">
        <f>IF(C802=1,IF(D802="BUY",E802-(ROUND(F802*K802/B802,0)*B802),E802+(ROUND(F802*K802/B802,0)*B802)),IF(D802="BUY",E802-(ROUND(F802*K802/B802,0)*B802),E802+(ROUND(F802*K802/B802,0)*B802)))</f>
        <v>#DIV/0!</v>
      </c>
      <c r="L803" s="29" t="e">
        <f t="shared" ref="L803" si="1199">IF(D803="BUY",I803+(R803*B803),I803-(R803*B803))</f>
        <v>#DIV/0!</v>
      </c>
      <c r="M803" s="29" t="e">
        <f>IF(D802="BUY",E802+(ROUND(F802*M802/B802,0)*B802),E802-(ROUND(F802*M802/B802,0)*B802))</f>
        <v>#DIV/0!</v>
      </c>
      <c r="N803" s="29" t="e">
        <f>IF(D802="BUY",E802-(ROUND(F802*N802/B802,0)*B802),E802+(ROUND(F802*N802/B802,0)*B802))</f>
        <v>#DIV/0!</v>
      </c>
      <c r="O803" s="31" t="e">
        <f>IF(D803="BUY",N803-VLOOKUP(A803,Symbols!A$1:D$1000,4,FALSE),N803+VLOOKUP(A803,Symbols!A$1:D$1000,4,FALSE))</f>
        <v>#DIV/0!</v>
      </c>
      <c r="P803" s="29">
        <f>P802</f>
        <v>0</v>
      </c>
      <c r="Q803" s="29">
        <f>Q802</f>
        <v>0</v>
      </c>
      <c r="R803" s="29">
        <f>R802</f>
        <v>0</v>
      </c>
      <c r="S803" s="29">
        <f>S802</f>
        <v>0</v>
      </c>
      <c r="T803" s="29">
        <f>T802</f>
        <v>0</v>
      </c>
      <c r="U803" s="29" t="e">
        <f>DATEDIF(DATE(1970,1,1),U802,"D")*86400</f>
        <v>#NUM!</v>
      </c>
      <c r="V803" s="29">
        <f>HOUR(V802)*3600+MINUTE(V802)*60+SECOND(V802)</f>
        <v>0</v>
      </c>
      <c r="W803" s="29" t="e">
        <f>DATEDIF(DATE(1970,1,1),W802,"D")*86400</f>
        <v>#NUM!</v>
      </c>
      <c r="X803" s="29">
        <f>HOUR(X802)*3600+MINUTE(X802)*60+SECOND(X802)</f>
        <v>0</v>
      </c>
      <c r="Y803" s="31">
        <f>(Y802*B803)</f>
        <v>0</v>
      </c>
      <c r="Z803" s="29">
        <f>Z802</f>
        <v>0</v>
      </c>
      <c r="AA803" s="29" t="e">
        <f>DATEDIF(DATE(1970,1,1),AA802,"D")*86400</f>
        <v>#NUM!</v>
      </c>
      <c r="AB803" s="29">
        <f>HOUR(AB802)*3600+MINUTE(AB802)*60+SECOND(AB802)</f>
        <v>0</v>
      </c>
      <c r="AC803" s="29">
        <f>AC802</f>
        <v>0</v>
      </c>
    </row>
    <row r="804" spans="1:29">
      <c r="A804" s="23">
        <f>Parameters!A403</f>
        <v>0</v>
      </c>
      <c r="B804" s="23">
        <f>Parameters!B403</f>
        <v>0</v>
      </c>
      <c r="C804" s="24">
        <f>Parameters!C403</f>
        <v>0</v>
      </c>
      <c r="D804" s="24">
        <f>Parameters!D403</f>
        <v>0</v>
      </c>
      <c r="E804" s="23">
        <f>Parameters!E403</f>
        <v>0</v>
      </c>
      <c r="F804" s="23">
        <f>Parameters!F403</f>
        <v>0</v>
      </c>
      <c r="G804" s="25">
        <f>Parameters!G403</f>
        <v>0</v>
      </c>
      <c r="H804" s="25">
        <f>Parameters!H403</f>
        <v>0</v>
      </c>
      <c r="I804" s="25">
        <f>Parameters!I403</f>
        <v>0</v>
      </c>
      <c r="J804" s="25">
        <f>Parameters!J403</f>
        <v>0</v>
      </c>
      <c r="K804" s="25">
        <f>Parameters!K403</f>
        <v>0</v>
      </c>
      <c r="L804" s="26" t="e">
        <f t="shared" ref="L804" si="1200">L805</f>
        <v>#DIV/0!</v>
      </c>
      <c r="M804" s="25">
        <f>Parameters!L403</f>
        <v>0</v>
      </c>
      <c r="N804" s="25">
        <f>Parameters!M403</f>
        <v>0</v>
      </c>
      <c r="O804" s="26" t="e">
        <f t="shared" ref="O804" si="1201">O805</f>
        <v>#DIV/0!</v>
      </c>
      <c r="P804" s="23">
        <f>Parameters!N403</f>
        <v>0</v>
      </c>
      <c r="Q804" s="23">
        <f>Parameters!O403</f>
        <v>0</v>
      </c>
      <c r="R804" s="23">
        <f>Parameters!P403</f>
        <v>0</v>
      </c>
      <c r="S804" s="23">
        <f>Parameters!Q403</f>
        <v>0</v>
      </c>
      <c r="T804" s="23">
        <f>Parameters!R403</f>
        <v>0</v>
      </c>
      <c r="U804" s="27">
        <f>Parameters!S403</f>
        <v>0</v>
      </c>
      <c r="V804" s="28">
        <f>Parameters!T403</f>
        <v>0</v>
      </c>
      <c r="W804" s="27">
        <f>Parameters!U403</f>
        <v>0</v>
      </c>
      <c r="X804" s="28">
        <f>Parameters!V403</f>
        <v>0</v>
      </c>
      <c r="Y804" s="25">
        <f>Parameters!W403</f>
        <v>0</v>
      </c>
      <c r="Z804" s="23">
        <f>Parameters!X403</f>
        <v>0</v>
      </c>
      <c r="AA804" s="27">
        <f>Parameters!Y403</f>
        <v>0</v>
      </c>
      <c r="AB804" s="28">
        <f>Parameters!Z403</f>
        <v>0</v>
      </c>
      <c r="AC804" s="23">
        <f>Parameters!AA403</f>
        <v>0</v>
      </c>
    </row>
    <row r="805" spans="1:29">
      <c r="A805" s="29" t="str">
        <f>UPPER(A804)</f>
        <v>0</v>
      </c>
      <c r="B805" s="29">
        <f>B804</f>
        <v>0</v>
      </c>
      <c r="C805" s="30">
        <f>C804</f>
        <v>0</v>
      </c>
      <c r="D805" s="30">
        <f>D804</f>
        <v>0</v>
      </c>
      <c r="E805" s="29">
        <f>E804</f>
        <v>0</v>
      </c>
      <c r="F805" s="29">
        <f>F804</f>
        <v>0</v>
      </c>
      <c r="G805" s="29" t="e">
        <f>IF(C804=1,IF(D804="BUY",E804+(ROUND(F804*G804/B804,0)*B804),E804-(ROUND(F804*G804/B804,0)*B804)),IF(D804="BUY",E804-(ROUND(F804*G804/B804,0)*B804),E804+(ROUND(F804*G804/B804,0)*B804)))</f>
        <v>#DIV/0!</v>
      </c>
      <c r="H805" s="29" t="e">
        <f>IF(C804=1,IF(D804="BUY",G805-(ROUND(F804*H804/B804,0)*B804),G805+(ROUND(F804*H804/B804,0)*B804)),IF(D804="BUY",G805+(ROUND(F804*H804/B804,0)*B804),G805-(ROUND(F804*H804/B804,0)*B804)))</f>
        <v>#DIV/0!</v>
      </c>
      <c r="I805" s="29" t="e">
        <f>IF(D804="BUY",G805+(ROUND(F804*I804/(B804*100),0)*B804),G805-(ROUND(F804*I804/(B804*100),0)*B804))</f>
        <v>#DIV/0!</v>
      </c>
      <c r="J805" s="29" t="e">
        <f>IF(C804=1,IF(D804="BUY",E804+(ROUND(F804*J804/B804,0)*B804),E804-(ROUND(F804*J804/B804,0)*B804)),IF(D804="BUY",E804-(ROUND(F804*J804/B804,0)*B804),E804+(ROUND(F804*J804/B804,0)*B804)))</f>
        <v>#DIV/0!</v>
      </c>
      <c r="K805" s="29" t="e">
        <f>IF(C804=1,IF(D804="BUY",E804-(ROUND(F804*K804/B804,0)*B804),E804+(ROUND(F804*K804/B804,0)*B804)),IF(D804="BUY",E804-(ROUND(F804*K804/B804,0)*B804),E804+(ROUND(F804*K804/B804,0)*B804)))</f>
        <v>#DIV/0!</v>
      </c>
      <c r="L805" s="29" t="e">
        <f t="shared" ref="L805" si="1202">IF(D805="BUY",I805+(R805*B805),I805-(R805*B805))</f>
        <v>#DIV/0!</v>
      </c>
      <c r="M805" s="29" t="e">
        <f>IF(D804="BUY",E804+(ROUND(F804*M804/B804,0)*B804),E804-(ROUND(F804*M804/B804,0)*B804))</f>
        <v>#DIV/0!</v>
      </c>
      <c r="N805" s="29" t="e">
        <f>IF(D804="BUY",E804-(ROUND(F804*N804/B804,0)*B804),E804+(ROUND(F804*N804/B804,0)*B804))</f>
        <v>#DIV/0!</v>
      </c>
      <c r="O805" s="31" t="e">
        <f>IF(D805="BUY",N805-VLOOKUP(A805,Symbols!A$1:D$1000,4,FALSE),N805+VLOOKUP(A805,Symbols!A$1:D$1000,4,FALSE))</f>
        <v>#DIV/0!</v>
      </c>
      <c r="P805" s="29">
        <f>P804</f>
        <v>0</v>
      </c>
      <c r="Q805" s="29">
        <f>Q804</f>
        <v>0</v>
      </c>
      <c r="R805" s="29">
        <f>R804</f>
        <v>0</v>
      </c>
      <c r="S805" s="29">
        <f>S804</f>
        <v>0</v>
      </c>
      <c r="T805" s="29">
        <f>T804</f>
        <v>0</v>
      </c>
      <c r="U805" s="29" t="e">
        <f>DATEDIF(DATE(1970,1,1),U804,"D")*86400</f>
        <v>#NUM!</v>
      </c>
      <c r="V805" s="29">
        <f>HOUR(V804)*3600+MINUTE(V804)*60+SECOND(V804)</f>
        <v>0</v>
      </c>
      <c r="W805" s="29" t="e">
        <f>DATEDIF(DATE(1970,1,1),W804,"D")*86400</f>
        <v>#NUM!</v>
      </c>
      <c r="X805" s="29">
        <f>HOUR(X804)*3600+MINUTE(X804)*60+SECOND(X804)</f>
        <v>0</v>
      </c>
      <c r="Y805" s="31">
        <f>(Y804*B805)</f>
        <v>0</v>
      </c>
      <c r="Z805" s="29">
        <f>Z804</f>
        <v>0</v>
      </c>
      <c r="AA805" s="29" t="e">
        <f>DATEDIF(DATE(1970,1,1),AA804,"D")*86400</f>
        <v>#NUM!</v>
      </c>
      <c r="AB805" s="29">
        <f>HOUR(AB804)*3600+MINUTE(AB804)*60+SECOND(AB804)</f>
        <v>0</v>
      </c>
      <c r="AC805" s="29">
        <f>AC804</f>
        <v>0</v>
      </c>
    </row>
    <row r="806" spans="1:29">
      <c r="A806" s="23">
        <f>Parameters!A404</f>
        <v>0</v>
      </c>
      <c r="B806" s="23">
        <f>Parameters!B404</f>
        <v>0</v>
      </c>
      <c r="C806" s="24">
        <f>Parameters!C404</f>
        <v>0</v>
      </c>
      <c r="D806" s="24">
        <f>Parameters!D404</f>
        <v>0</v>
      </c>
      <c r="E806" s="23">
        <f>Parameters!E404</f>
        <v>0</v>
      </c>
      <c r="F806" s="23">
        <f>Parameters!F404</f>
        <v>0</v>
      </c>
      <c r="G806" s="25">
        <f>Parameters!G404</f>
        <v>0</v>
      </c>
      <c r="H806" s="25">
        <f>Parameters!H404</f>
        <v>0</v>
      </c>
      <c r="I806" s="25">
        <f>Parameters!I404</f>
        <v>0</v>
      </c>
      <c r="J806" s="25">
        <f>Parameters!J404</f>
        <v>0</v>
      </c>
      <c r="K806" s="25">
        <f>Parameters!K404</f>
        <v>0</v>
      </c>
      <c r="L806" s="26" t="e">
        <f t="shared" ref="L806" si="1203">L807</f>
        <v>#DIV/0!</v>
      </c>
      <c r="M806" s="25">
        <f>Parameters!L404</f>
        <v>0</v>
      </c>
      <c r="N806" s="25">
        <f>Parameters!M404</f>
        <v>0</v>
      </c>
      <c r="O806" s="26" t="e">
        <f t="shared" ref="O806" si="1204">O807</f>
        <v>#DIV/0!</v>
      </c>
      <c r="P806" s="23">
        <f>Parameters!N404</f>
        <v>0</v>
      </c>
      <c r="Q806" s="23">
        <f>Parameters!O404</f>
        <v>0</v>
      </c>
      <c r="R806" s="23">
        <f>Parameters!P404</f>
        <v>0</v>
      </c>
      <c r="S806" s="23">
        <f>Parameters!Q404</f>
        <v>0</v>
      </c>
      <c r="T806" s="23">
        <f>Parameters!R404</f>
        <v>0</v>
      </c>
      <c r="U806" s="27">
        <f>Parameters!S404</f>
        <v>0</v>
      </c>
      <c r="V806" s="28">
        <f>Parameters!T404</f>
        <v>0</v>
      </c>
      <c r="W806" s="27">
        <f>Parameters!U404</f>
        <v>0</v>
      </c>
      <c r="X806" s="28">
        <f>Parameters!V404</f>
        <v>0</v>
      </c>
      <c r="Y806" s="25">
        <f>Parameters!W404</f>
        <v>0</v>
      </c>
      <c r="Z806" s="23">
        <f>Parameters!X404</f>
        <v>0</v>
      </c>
      <c r="AA806" s="27">
        <f>Parameters!Y404</f>
        <v>0</v>
      </c>
      <c r="AB806" s="28">
        <f>Parameters!Z404</f>
        <v>0</v>
      </c>
      <c r="AC806" s="23">
        <f>Parameters!AA404</f>
        <v>0</v>
      </c>
    </row>
    <row r="807" spans="1:29">
      <c r="A807" s="29" t="str">
        <f>UPPER(A806)</f>
        <v>0</v>
      </c>
      <c r="B807" s="29">
        <f>B806</f>
        <v>0</v>
      </c>
      <c r="C807" s="30">
        <f>C806</f>
        <v>0</v>
      </c>
      <c r="D807" s="30">
        <f>D806</f>
        <v>0</v>
      </c>
      <c r="E807" s="29">
        <f>E806</f>
        <v>0</v>
      </c>
      <c r="F807" s="29">
        <f>F806</f>
        <v>0</v>
      </c>
      <c r="G807" s="29" t="e">
        <f>IF(C806=1,IF(D806="BUY",E806+(ROUND(F806*G806/B806,0)*B806),E806-(ROUND(F806*G806/B806,0)*B806)),IF(D806="BUY",E806-(ROUND(F806*G806/B806,0)*B806),E806+(ROUND(F806*G806/B806,0)*B806)))</f>
        <v>#DIV/0!</v>
      </c>
      <c r="H807" s="29" t="e">
        <f>IF(C806=1,IF(D806="BUY",G807-(ROUND(F806*H806/B806,0)*B806),G807+(ROUND(F806*H806/B806,0)*B806)),IF(D806="BUY",G807+(ROUND(F806*H806/B806,0)*B806),G807-(ROUND(F806*H806/B806,0)*B806)))</f>
        <v>#DIV/0!</v>
      </c>
      <c r="I807" s="29" t="e">
        <f>IF(D806="BUY",G807+(ROUND(F806*I806/(B806*100),0)*B806),G807-(ROUND(F806*I806/(B806*100),0)*B806))</f>
        <v>#DIV/0!</v>
      </c>
      <c r="J807" s="29" t="e">
        <f>IF(C806=1,IF(D806="BUY",E806+(ROUND(F806*J806/B806,0)*B806),E806-(ROUND(F806*J806/B806,0)*B806)),IF(D806="BUY",E806-(ROUND(F806*J806/B806,0)*B806),E806+(ROUND(F806*J806/B806,0)*B806)))</f>
        <v>#DIV/0!</v>
      </c>
      <c r="K807" s="29" t="e">
        <f>IF(C806=1,IF(D806="BUY",E806-(ROUND(F806*K806/B806,0)*B806),E806+(ROUND(F806*K806/B806,0)*B806)),IF(D806="BUY",E806-(ROUND(F806*K806/B806,0)*B806),E806+(ROUND(F806*K806/B806,0)*B806)))</f>
        <v>#DIV/0!</v>
      </c>
      <c r="L807" s="29" t="e">
        <f t="shared" ref="L807" si="1205">IF(D807="BUY",I807+(R807*B807),I807-(R807*B807))</f>
        <v>#DIV/0!</v>
      </c>
      <c r="M807" s="29" t="e">
        <f>IF(D806="BUY",E806+(ROUND(F806*M806/B806,0)*B806),E806-(ROUND(F806*M806/B806,0)*B806))</f>
        <v>#DIV/0!</v>
      </c>
      <c r="N807" s="29" t="e">
        <f>IF(D806="BUY",E806-(ROUND(F806*N806/B806,0)*B806),E806+(ROUND(F806*N806/B806,0)*B806))</f>
        <v>#DIV/0!</v>
      </c>
      <c r="O807" s="31" t="e">
        <f>IF(D807="BUY",N807-VLOOKUP(A807,Symbols!A$1:D$1000,4,FALSE),N807+VLOOKUP(A807,Symbols!A$1:D$1000,4,FALSE))</f>
        <v>#DIV/0!</v>
      </c>
      <c r="P807" s="29">
        <f>P806</f>
        <v>0</v>
      </c>
      <c r="Q807" s="29">
        <f>Q806</f>
        <v>0</v>
      </c>
      <c r="R807" s="29">
        <f>R806</f>
        <v>0</v>
      </c>
      <c r="S807" s="29">
        <f>S806</f>
        <v>0</v>
      </c>
      <c r="T807" s="29">
        <f>T806</f>
        <v>0</v>
      </c>
      <c r="U807" s="29" t="e">
        <f>DATEDIF(DATE(1970,1,1),U806,"D")*86400</f>
        <v>#NUM!</v>
      </c>
      <c r="V807" s="29">
        <f>HOUR(V806)*3600+MINUTE(V806)*60+SECOND(V806)</f>
        <v>0</v>
      </c>
      <c r="W807" s="29" t="e">
        <f>DATEDIF(DATE(1970,1,1),W806,"D")*86400</f>
        <v>#NUM!</v>
      </c>
      <c r="X807" s="29">
        <f>HOUR(X806)*3600+MINUTE(X806)*60+SECOND(X806)</f>
        <v>0</v>
      </c>
      <c r="Y807" s="31">
        <f>(Y806*B807)</f>
        <v>0</v>
      </c>
      <c r="Z807" s="29">
        <f>Z806</f>
        <v>0</v>
      </c>
      <c r="AA807" s="29" t="e">
        <f>DATEDIF(DATE(1970,1,1),AA806,"D")*86400</f>
        <v>#NUM!</v>
      </c>
      <c r="AB807" s="29">
        <f>HOUR(AB806)*3600+MINUTE(AB806)*60+SECOND(AB806)</f>
        <v>0</v>
      </c>
      <c r="AC807" s="29">
        <f>AC806</f>
        <v>0</v>
      </c>
    </row>
    <row r="808" spans="1:29">
      <c r="A808" s="23">
        <f>Parameters!A405</f>
        <v>0</v>
      </c>
      <c r="B808" s="23">
        <f>Parameters!B405</f>
        <v>0</v>
      </c>
      <c r="C808" s="24">
        <f>Parameters!C405</f>
        <v>0</v>
      </c>
      <c r="D808" s="24">
        <f>Parameters!D405</f>
        <v>0</v>
      </c>
      <c r="E808" s="23">
        <f>Parameters!E405</f>
        <v>0</v>
      </c>
      <c r="F808" s="23">
        <f>Parameters!F405</f>
        <v>0</v>
      </c>
      <c r="G808" s="25">
        <f>Parameters!G405</f>
        <v>0</v>
      </c>
      <c r="H808" s="25">
        <f>Parameters!H405</f>
        <v>0</v>
      </c>
      <c r="I808" s="25">
        <f>Parameters!I405</f>
        <v>0</v>
      </c>
      <c r="J808" s="25">
        <f>Parameters!J405</f>
        <v>0</v>
      </c>
      <c r="K808" s="25">
        <f>Parameters!K405</f>
        <v>0</v>
      </c>
      <c r="L808" s="26" t="e">
        <f t="shared" ref="L808" si="1206">L809</f>
        <v>#DIV/0!</v>
      </c>
      <c r="M808" s="25">
        <f>Parameters!L405</f>
        <v>0</v>
      </c>
      <c r="N808" s="25">
        <f>Parameters!M405</f>
        <v>0</v>
      </c>
      <c r="O808" s="26" t="e">
        <f t="shared" ref="O808" si="1207">O809</f>
        <v>#DIV/0!</v>
      </c>
      <c r="P808" s="23">
        <f>Parameters!N405</f>
        <v>0</v>
      </c>
      <c r="Q808" s="23">
        <f>Parameters!O405</f>
        <v>0</v>
      </c>
      <c r="R808" s="23">
        <f>Parameters!P405</f>
        <v>0</v>
      </c>
      <c r="S808" s="23">
        <f>Parameters!Q405</f>
        <v>0</v>
      </c>
      <c r="T808" s="23">
        <f>Parameters!R405</f>
        <v>0</v>
      </c>
      <c r="U808" s="27">
        <f>Parameters!S405</f>
        <v>0</v>
      </c>
      <c r="V808" s="28">
        <f>Parameters!T405</f>
        <v>0</v>
      </c>
      <c r="W808" s="27">
        <f>Parameters!U405</f>
        <v>0</v>
      </c>
      <c r="X808" s="28">
        <f>Parameters!V405</f>
        <v>0</v>
      </c>
      <c r="Y808" s="25">
        <f>Parameters!W405</f>
        <v>0</v>
      </c>
      <c r="Z808" s="23">
        <f>Parameters!X405</f>
        <v>0</v>
      </c>
      <c r="AA808" s="27">
        <f>Parameters!Y405</f>
        <v>0</v>
      </c>
      <c r="AB808" s="28">
        <f>Parameters!Z405</f>
        <v>0</v>
      </c>
      <c r="AC808" s="23">
        <f>Parameters!AA405</f>
        <v>0</v>
      </c>
    </row>
    <row r="809" spans="1:29">
      <c r="A809" s="29" t="str">
        <f>UPPER(A808)</f>
        <v>0</v>
      </c>
      <c r="B809" s="29">
        <f>B808</f>
        <v>0</v>
      </c>
      <c r="C809" s="30">
        <f>C808</f>
        <v>0</v>
      </c>
      <c r="D809" s="30">
        <f>D808</f>
        <v>0</v>
      </c>
      <c r="E809" s="29">
        <f>E808</f>
        <v>0</v>
      </c>
      <c r="F809" s="29">
        <f>F808</f>
        <v>0</v>
      </c>
      <c r="G809" s="29" t="e">
        <f>IF(C808=1,IF(D808="BUY",E808+(ROUND(F808*G808/B808,0)*B808),E808-(ROUND(F808*G808/B808,0)*B808)),IF(D808="BUY",E808-(ROUND(F808*G808/B808,0)*B808),E808+(ROUND(F808*G808/B808,0)*B808)))</f>
        <v>#DIV/0!</v>
      </c>
      <c r="H809" s="29" t="e">
        <f>IF(C808=1,IF(D808="BUY",G809-(ROUND(F808*H808/B808,0)*B808),G809+(ROUND(F808*H808/B808,0)*B808)),IF(D808="BUY",G809+(ROUND(F808*H808/B808,0)*B808),G809-(ROUND(F808*H808/B808,0)*B808)))</f>
        <v>#DIV/0!</v>
      </c>
      <c r="I809" s="29" t="e">
        <f>IF(D808="BUY",G809+(ROUND(F808*I808/(B808*100),0)*B808),G809-(ROUND(F808*I808/(B808*100),0)*B808))</f>
        <v>#DIV/0!</v>
      </c>
      <c r="J809" s="29" t="e">
        <f>IF(C808=1,IF(D808="BUY",E808+(ROUND(F808*J808/B808,0)*B808),E808-(ROUND(F808*J808/B808,0)*B808)),IF(D808="BUY",E808-(ROUND(F808*J808/B808,0)*B808),E808+(ROUND(F808*J808/B808,0)*B808)))</f>
        <v>#DIV/0!</v>
      </c>
      <c r="K809" s="29" t="e">
        <f>IF(C808=1,IF(D808="BUY",E808-(ROUND(F808*K808/B808,0)*B808),E808+(ROUND(F808*K808/B808,0)*B808)),IF(D808="BUY",E808-(ROUND(F808*K808/B808,0)*B808),E808+(ROUND(F808*K808/B808,0)*B808)))</f>
        <v>#DIV/0!</v>
      </c>
      <c r="L809" s="29" t="e">
        <f t="shared" ref="L809" si="1208">IF(D809="BUY",I809+(R809*B809),I809-(R809*B809))</f>
        <v>#DIV/0!</v>
      </c>
      <c r="M809" s="29" t="e">
        <f>IF(D808="BUY",E808+(ROUND(F808*M808/B808,0)*B808),E808-(ROUND(F808*M808/B808,0)*B808))</f>
        <v>#DIV/0!</v>
      </c>
      <c r="N809" s="29" t="e">
        <f>IF(D808="BUY",E808-(ROUND(F808*N808/B808,0)*B808),E808+(ROUND(F808*N808/B808,0)*B808))</f>
        <v>#DIV/0!</v>
      </c>
      <c r="O809" s="31" t="e">
        <f>IF(D809="BUY",N809-VLOOKUP(A809,Symbols!A$1:D$1000,4,FALSE),N809+VLOOKUP(A809,Symbols!A$1:D$1000,4,FALSE))</f>
        <v>#DIV/0!</v>
      </c>
      <c r="P809" s="29">
        <f>P808</f>
        <v>0</v>
      </c>
      <c r="Q809" s="29">
        <f>Q808</f>
        <v>0</v>
      </c>
      <c r="R809" s="29">
        <f>R808</f>
        <v>0</v>
      </c>
      <c r="S809" s="29">
        <f>S808</f>
        <v>0</v>
      </c>
      <c r="T809" s="29">
        <f>T808</f>
        <v>0</v>
      </c>
      <c r="U809" s="29" t="e">
        <f>DATEDIF(DATE(1970,1,1),U808,"D")*86400</f>
        <v>#NUM!</v>
      </c>
      <c r="V809" s="29">
        <f>HOUR(V808)*3600+MINUTE(V808)*60+SECOND(V808)</f>
        <v>0</v>
      </c>
      <c r="W809" s="29" t="e">
        <f>DATEDIF(DATE(1970,1,1),W808,"D")*86400</f>
        <v>#NUM!</v>
      </c>
      <c r="X809" s="29">
        <f>HOUR(X808)*3600+MINUTE(X808)*60+SECOND(X808)</f>
        <v>0</v>
      </c>
      <c r="Y809" s="31">
        <f>(Y808*B809)</f>
        <v>0</v>
      </c>
      <c r="Z809" s="29">
        <f>Z808</f>
        <v>0</v>
      </c>
      <c r="AA809" s="29" t="e">
        <f>DATEDIF(DATE(1970,1,1),AA808,"D")*86400</f>
        <v>#NUM!</v>
      </c>
      <c r="AB809" s="29">
        <f>HOUR(AB808)*3600+MINUTE(AB808)*60+SECOND(AB808)</f>
        <v>0</v>
      </c>
      <c r="AC809" s="29">
        <f>AC808</f>
        <v>0</v>
      </c>
    </row>
    <row r="810" spans="1:29">
      <c r="A810" s="23">
        <f>Parameters!A406</f>
        <v>0</v>
      </c>
      <c r="B810" s="23">
        <f>Parameters!B406</f>
        <v>0</v>
      </c>
      <c r="C810" s="24">
        <f>Parameters!C406</f>
        <v>0</v>
      </c>
      <c r="D810" s="24">
        <f>Parameters!D406</f>
        <v>0</v>
      </c>
      <c r="E810" s="23">
        <f>Parameters!E406</f>
        <v>0</v>
      </c>
      <c r="F810" s="23">
        <f>Parameters!F406</f>
        <v>0</v>
      </c>
      <c r="G810" s="25">
        <f>Parameters!G406</f>
        <v>0</v>
      </c>
      <c r="H810" s="25">
        <f>Parameters!H406</f>
        <v>0</v>
      </c>
      <c r="I810" s="25">
        <f>Parameters!I406</f>
        <v>0</v>
      </c>
      <c r="J810" s="25">
        <f>Parameters!J406</f>
        <v>0</v>
      </c>
      <c r="K810" s="25">
        <f>Parameters!K406</f>
        <v>0</v>
      </c>
      <c r="L810" s="26" t="e">
        <f t="shared" ref="L810" si="1209">L811</f>
        <v>#DIV/0!</v>
      </c>
      <c r="M810" s="25">
        <f>Parameters!L406</f>
        <v>0</v>
      </c>
      <c r="N810" s="25">
        <f>Parameters!M406</f>
        <v>0</v>
      </c>
      <c r="O810" s="26" t="e">
        <f t="shared" ref="O810" si="1210">O811</f>
        <v>#DIV/0!</v>
      </c>
      <c r="P810" s="23">
        <f>Parameters!N406</f>
        <v>0</v>
      </c>
      <c r="Q810" s="23">
        <f>Parameters!O406</f>
        <v>0</v>
      </c>
      <c r="R810" s="23">
        <f>Parameters!P406</f>
        <v>0</v>
      </c>
      <c r="S810" s="23">
        <f>Parameters!Q406</f>
        <v>0</v>
      </c>
      <c r="T810" s="23">
        <f>Parameters!R406</f>
        <v>0</v>
      </c>
      <c r="U810" s="27">
        <f>Parameters!S406</f>
        <v>0</v>
      </c>
      <c r="V810" s="28">
        <f>Parameters!T406</f>
        <v>0</v>
      </c>
      <c r="W810" s="27">
        <f>Parameters!U406</f>
        <v>0</v>
      </c>
      <c r="X810" s="28">
        <f>Parameters!V406</f>
        <v>0</v>
      </c>
      <c r="Y810" s="25">
        <f>Parameters!W406</f>
        <v>0</v>
      </c>
      <c r="Z810" s="23">
        <f>Parameters!X406</f>
        <v>0</v>
      </c>
      <c r="AA810" s="27">
        <f>Parameters!Y406</f>
        <v>0</v>
      </c>
      <c r="AB810" s="28">
        <f>Parameters!Z406</f>
        <v>0</v>
      </c>
      <c r="AC810" s="23">
        <f>Parameters!AA406</f>
        <v>0</v>
      </c>
    </row>
    <row r="811" spans="1:29">
      <c r="A811" s="29" t="str">
        <f>UPPER(A810)</f>
        <v>0</v>
      </c>
      <c r="B811" s="29">
        <f>B810</f>
        <v>0</v>
      </c>
      <c r="C811" s="30">
        <f>C810</f>
        <v>0</v>
      </c>
      <c r="D811" s="30">
        <f>D810</f>
        <v>0</v>
      </c>
      <c r="E811" s="29">
        <f>E810</f>
        <v>0</v>
      </c>
      <c r="F811" s="29">
        <f>F810</f>
        <v>0</v>
      </c>
      <c r="G811" s="29" t="e">
        <f>IF(C810=1,IF(D810="BUY",E810+(ROUND(F810*G810/B810,0)*B810),E810-(ROUND(F810*G810/B810,0)*B810)),IF(D810="BUY",E810-(ROUND(F810*G810/B810,0)*B810),E810+(ROUND(F810*G810/B810,0)*B810)))</f>
        <v>#DIV/0!</v>
      </c>
      <c r="H811" s="29" t="e">
        <f>IF(C810=1,IF(D810="BUY",G811-(ROUND(F810*H810/B810,0)*B810),G811+(ROUND(F810*H810/B810,0)*B810)),IF(D810="BUY",G811+(ROUND(F810*H810/B810,0)*B810),G811-(ROUND(F810*H810/B810,0)*B810)))</f>
        <v>#DIV/0!</v>
      </c>
      <c r="I811" s="29" t="e">
        <f>IF(D810="BUY",G811+(ROUND(F810*I810/(B810*100),0)*B810),G811-(ROUND(F810*I810/(B810*100),0)*B810))</f>
        <v>#DIV/0!</v>
      </c>
      <c r="J811" s="29" t="e">
        <f>IF(C810=1,IF(D810="BUY",E810+(ROUND(F810*J810/B810,0)*B810),E810-(ROUND(F810*J810/B810,0)*B810)),IF(D810="BUY",E810-(ROUND(F810*J810/B810,0)*B810),E810+(ROUND(F810*J810/B810,0)*B810)))</f>
        <v>#DIV/0!</v>
      </c>
      <c r="K811" s="29" t="e">
        <f>IF(C810=1,IF(D810="BUY",E810-(ROUND(F810*K810/B810,0)*B810),E810+(ROUND(F810*K810/B810,0)*B810)),IF(D810="BUY",E810-(ROUND(F810*K810/B810,0)*B810),E810+(ROUND(F810*K810/B810,0)*B810)))</f>
        <v>#DIV/0!</v>
      </c>
      <c r="L811" s="29" t="e">
        <f t="shared" ref="L811" si="1211">IF(D811="BUY",I811+(R811*B811),I811-(R811*B811))</f>
        <v>#DIV/0!</v>
      </c>
      <c r="M811" s="29" t="e">
        <f>IF(D810="BUY",E810+(ROUND(F810*M810/B810,0)*B810),E810-(ROUND(F810*M810/B810,0)*B810))</f>
        <v>#DIV/0!</v>
      </c>
      <c r="N811" s="29" t="e">
        <f>IF(D810="BUY",E810-(ROUND(F810*N810/B810,0)*B810),E810+(ROUND(F810*N810/B810,0)*B810))</f>
        <v>#DIV/0!</v>
      </c>
      <c r="O811" s="31" t="e">
        <f>IF(D811="BUY",N811-VLOOKUP(A811,Symbols!A$1:D$1000,4,FALSE),N811+VLOOKUP(A811,Symbols!A$1:D$1000,4,FALSE))</f>
        <v>#DIV/0!</v>
      </c>
      <c r="P811" s="29">
        <f>P810</f>
        <v>0</v>
      </c>
      <c r="Q811" s="29">
        <f>Q810</f>
        <v>0</v>
      </c>
      <c r="R811" s="29">
        <f>R810</f>
        <v>0</v>
      </c>
      <c r="S811" s="29">
        <f>S810</f>
        <v>0</v>
      </c>
      <c r="T811" s="29">
        <f>T810</f>
        <v>0</v>
      </c>
      <c r="U811" s="29" t="e">
        <f>DATEDIF(DATE(1970,1,1),U810,"D")*86400</f>
        <v>#NUM!</v>
      </c>
      <c r="V811" s="29">
        <f>HOUR(V810)*3600+MINUTE(V810)*60+SECOND(V810)</f>
        <v>0</v>
      </c>
      <c r="W811" s="29" t="e">
        <f>DATEDIF(DATE(1970,1,1),W810,"D")*86400</f>
        <v>#NUM!</v>
      </c>
      <c r="X811" s="29">
        <f>HOUR(X810)*3600+MINUTE(X810)*60+SECOND(X810)</f>
        <v>0</v>
      </c>
      <c r="Y811" s="31">
        <f>(Y810*B811)</f>
        <v>0</v>
      </c>
      <c r="Z811" s="29">
        <f>Z810</f>
        <v>0</v>
      </c>
      <c r="AA811" s="29" t="e">
        <f>DATEDIF(DATE(1970,1,1),AA810,"D")*86400</f>
        <v>#NUM!</v>
      </c>
      <c r="AB811" s="29">
        <f>HOUR(AB810)*3600+MINUTE(AB810)*60+SECOND(AB810)</f>
        <v>0</v>
      </c>
      <c r="AC811" s="29">
        <f>AC810</f>
        <v>0</v>
      </c>
    </row>
    <row r="812" spans="1:29">
      <c r="A812" s="23">
        <f>Parameters!A407</f>
        <v>0</v>
      </c>
      <c r="B812" s="23">
        <f>Parameters!B407</f>
        <v>0</v>
      </c>
      <c r="C812" s="24">
        <f>Parameters!C407</f>
        <v>0</v>
      </c>
      <c r="D812" s="24">
        <f>Parameters!D407</f>
        <v>0</v>
      </c>
      <c r="E812" s="23">
        <f>Parameters!E407</f>
        <v>0</v>
      </c>
      <c r="F812" s="23">
        <f>Parameters!F407</f>
        <v>0</v>
      </c>
      <c r="G812" s="25">
        <f>Parameters!G407</f>
        <v>0</v>
      </c>
      <c r="H812" s="25">
        <f>Parameters!H407</f>
        <v>0</v>
      </c>
      <c r="I812" s="25">
        <f>Parameters!I407</f>
        <v>0</v>
      </c>
      <c r="J812" s="25">
        <f>Parameters!J407</f>
        <v>0</v>
      </c>
      <c r="K812" s="25">
        <f>Parameters!K407</f>
        <v>0</v>
      </c>
      <c r="L812" s="26" t="e">
        <f t="shared" ref="L812" si="1212">L813</f>
        <v>#DIV/0!</v>
      </c>
      <c r="M812" s="25">
        <f>Parameters!L407</f>
        <v>0</v>
      </c>
      <c r="N812" s="25">
        <f>Parameters!M407</f>
        <v>0</v>
      </c>
      <c r="O812" s="26" t="e">
        <f t="shared" ref="O812" si="1213">O813</f>
        <v>#DIV/0!</v>
      </c>
      <c r="P812" s="23">
        <f>Parameters!N407</f>
        <v>0</v>
      </c>
      <c r="Q812" s="23">
        <f>Parameters!O407</f>
        <v>0</v>
      </c>
      <c r="R812" s="23">
        <f>Parameters!P407</f>
        <v>0</v>
      </c>
      <c r="S812" s="23">
        <f>Parameters!Q407</f>
        <v>0</v>
      </c>
      <c r="T812" s="23">
        <f>Parameters!R407</f>
        <v>0</v>
      </c>
      <c r="U812" s="27">
        <f>Parameters!S407</f>
        <v>0</v>
      </c>
      <c r="V812" s="28">
        <f>Parameters!T407</f>
        <v>0</v>
      </c>
      <c r="W812" s="27">
        <f>Parameters!U407</f>
        <v>0</v>
      </c>
      <c r="X812" s="28">
        <f>Parameters!V407</f>
        <v>0</v>
      </c>
      <c r="Y812" s="25">
        <f>Parameters!W407</f>
        <v>0</v>
      </c>
      <c r="Z812" s="23">
        <f>Parameters!X407</f>
        <v>0</v>
      </c>
      <c r="AA812" s="27">
        <f>Parameters!Y407</f>
        <v>0</v>
      </c>
      <c r="AB812" s="28">
        <f>Parameters!Z407</f>
        <v>0</v>
      </c>
      <c r="AC812" s="23">
        <f>Parameters!AA407</f>
        <v>0</v>
      </c>
    </row>
    <row r="813" spans="1:29">
      <c r="A813" s="29" t="str">
        <f>UPPER(A812)</f>
        <v>0</v>
      </c>
      <c r="B813" s="29">
        <f>B812</f>
        <v>0</v>
      </c>
      <c r="C813" s="30">
        <f>C812</f>
        <v>0</v>
      </c>
      <c r="D813" s="30">
        <f>D812</f>
        <v>0</v>
      </c>
      <c r="E813" s="29">
        <f>E812</f>
        <v>0</v>
      </c>
      <c r="F813" s="29">
        <f>F812</f>
        <v>0</v>
      </c>
      <c r="G813" s="29" t="e">
        <f>IF(C812=1,IF(D812="BUY",E812+(ROUND(F812*G812/B812,0)*B812),E812-(ROUND(F812*G812/B812,0)*B812)),IF(D812="BUY",E812-(ROUND(F812*G812/B812,0)*B812),E812+(ROUND(F812*G812/B812,0)*B812)))</f>
        <v>#DIV/0!</v>
      </c>
      <c r="H813" s="29" t="e">
        <f>IF(C812=1,IF(D812="BUY",G813-(ROUND(F812*H812/B812,0)*B812),G813+(ROUND(F812*H812/B812,0)*B812)),IF(D812="BUY",G813+(ROUND(F812*H812/B812,0)*B812),G813-(ROUND(F812*H812/B812,0)*B812)))</f>
        <v>#DIV/0!</v>
      </c>
      <c r="I813" s="29" t="e">
        <f>IF(D812="BUY",G813+(ROUND(F812*I812/(B812*100),0)*B812),G813-(ROUND(F812*I812/(B812*100),0)*B812))</f>
        <v>#DIV/0!</v>
      </c>
      <c r="J813" s="29" t="e">
        <f>IF(C812=1,IF(D812="BUY",E812+(ROUND(F812*J812/B812,0)*B812),E812-(ROUND(F812*J812/B812,0)*B812)),IF(D812="BUY",E812-(ROUND(F812*J812/B812,0)*B812),E812+(ROUND(F812*J812/B812,0)*B812)))</f>
        <v>#DIV/0!</v>
      </c>
      <c r="K813" s="29" t="e">
        <f>IF(C812=1,IF(D812="BUY",E812-(ROUND(F812*K812/B812,0)*B812),E812+(ROUND(F812*K812/B812,0)*B812)),IF(D812="BUY",E812-(ROUND(F812*K812/B812,0)*B812),E812+(ROUND(F812*K812/B812,0)*B812)))</f>
        <v>#DIV/0!</v>
      </c>
      <c r="L813" s="29" t="e">
        <f t="shared" ref="L813" si="1214">IF(D813="BUY",I813+(R813*B813),I813-(R813*B813))</f>
        <v>#DIV/0!</v>
      </c>
      <c r="M813" s="29" t="e">
        <f>IF(D812="BUY",E812+(ROUND(F812*M812/B812,0)*B812),E812-(ROUND(F812*M812/B812,0)*B812))</f>
        <v>#DIV/0!</v>
      </c>
      <c r="N813" s="29" t="e">
        <f>IF(D812="BUY",E812-(ROUND(F812*N812/B812,0)*B812),E812+(ROUND(F812*N812/B812,0)*B812))</f>
        <v>#DIV/0!</v>
      </c>
      <c r="O813" s="31" t="e">
        <f>IF(D813="BUY",N813-VLOOKUP(A813,Symbols!A$1:D$1000,4,FALSE),N813+VLOOKUP(A813,Symbols!A$1:D$1000,4,FALSE))</f>
        <v>#DIV/0!</v>
      </c>
      <c r="P813" s="29">
        <f>P812</f>
        <v>0</v>
      </c>
      <c r="Q813" s="29">
        <f>Q812</f>
        <v>0</v>
      </c>
      <c r="R813" s="29">
        <f>R812</f>
        <v>0</v>
      </c>
      <c r="S813" s="29">
        <f>S812</f>
        <v>0</v>
      </c>
      <c r="T813" s="29">
        <f>T812</f>
        <v>0</v>
      </c>
      <c r="U813" s="29" t="e">
        <f>DATEDIF(DATE(1970,1,1),U812,"D")*86400</f>
        <v>#NUM!</v>
      </c>
      <c r="V813" s="29">
        <f>HOUR(V812)*3600+MINUTE(V812)*60+SECOND(V812)</f>
        <v>0</v>
      </c>
      <c r="W813" s="29" t="e">
        <f>DATEDIF(DATE(1970,1,1),W812,"D")*86400</f>
        <v>#NUM!</v>
      </c>
      <c r="X813" s="29">
        <f>HOUR(X812)*3600+MINUTE(X812)*60+SECOND(X812)</f>
        <v>0</v>
      </c>
      <c r="Y813" s="31">
        <f>(Y812*B813)</f>
        <v>0</v>
      </c>
      <c r="Z813" s="29">
        <f>Z812</f>
        <v>0</v>
      </c>
      <c r="AA813" s="29" t="e">
        <f>DATEDIF(DATE(1970,1,1),AA812,"D")*86400</f>
        <v>#NUM!</v>
      </c>
      <c r="AB813" s="29">
        <f>HOUR(AB812)*3600+MINUTE(AB812)*60+SECOND(AB812)</f>
        <v>0</v>
      </c>
      <c r="AC813" s="29">
        <f>AC812</f>
        <v>0</v>
      </c>
    </row>
    <row r="814" spans="1:29">
      <c r="A814" s="23">
        <f>Parameters!A408</f>
        <v>0</v>
      </c>
      <c r="B814" s="23">
        <f>Parameters!B408</f>
        <v>0</v>
      </c>
      <c r="C814" s="24">
        <f>Parameters!C408</f>
        <v>0</v>
      </c>
      <c r="D814" s="24">
        <f>Parameters!D408</f>
        <v>0</v>
      </c>
      <c r="E814" s="23">
        <f>Parameters!E408</f>
        <v>0</v>
      </c>
      <c r="F814" s="23">
        <f>Parameters!F408</f>
        <v>0</v>
      </c>
      <c r="G814" s="25">
        <f>Parameters!G408</f>
        <v>0</v>
      </c>
      <c r="H814" s="25">
        <f>Parameters!H408</f>
        <v>0</v>
      </c>
      <c r="I814" s="25">
        <f>Parameters!I408</f>
        <v>0</v>
      </c>
      <c r="J814" s="25">
        <f>Parameters!J408</f>
        <v>0</v>
      </c>
      <c r="K814" s="25">
        <f>Parameters!K408</f>
        <v>0</v>
      </c>
      <c r="L814" s="26" t="e">
        <f t="shared" ref="L814" si="1215">L815</f>
        <v>#DIV/0!</v>
      </c>
      <c r="M814" s="25">
        <f>Parameters!L408</f>
        <v>0</v>
      </c>
      <c r="N814" s="25">
        <f>Parameters!M408</f>
        <v>0</v>
      </c>
      <c r="O814" s="26" t="e">
        <f t="shared" ref="O814" si="1216">O815</f>
        <v>#DIV/0!</v>
      </c>
      <c r="P814" s="23">
        <f>Parameters!N408</f>
        <v>0</v>
      </c>
      <c r="Q814" s="23">
        <f>Parameters!O408</f>
        <v>0</v>
      </c>
      <c r="R814" s="23">
        <f>Parameters!P408</f>
        <v>0</v>
      </c>
      <c r="S814" s="23">
        <f>Parameters!Q408</f>
        <v>0</v>
      </c>
      <c r="T814" s="23">
        <f>Parameters!R408</f>
        <v>0</v>
      </c>
      <c r="U814" s="27">
        <f>Parameters!S408</f>
        <v>0</v>
      </c>
      <c r="V814" s="28">
        <f>Parameters!T408</f>
        <v>0</v>
      </c>
      <c r="W814" s="27">
        <f>Parameters!U408</f>
        <v>0</v>
      </c>
      <c r="X814" s="28">
        <f>Parameters!V408</f>
        <v>0</v>
      </c>
      <c r="Y814" s="25">
        <f>Parameters!W408</f>
        <v>0</v>
      </c>
      <c r="Z814" s="23">
        <f>Parameters!X408</f>
        <v>0</v>
      </c>
      <c r="AA814" s="27">
        <f>Parameters!Y408</f>
        <v>0</v>
      </c>
      <c r="AB814" s="28">
        <f>Parameters!Z408</f>
        <v>0</v>
      </c>
      <c r="AC814" s="23">
        <f>Parameters!AA408</f>
        <v>0</v>
      </c>
    </row>
    <row r="815" spans="1:29">
      <c r="A815" s="29" t="str">
        <f>UPPER(A814)</f>
        <v>0</v>
      </c>
      <c r="B815" s="29">
        <f>B814</f>
        <v>0</v>
      </c>
      <c r="C815" s="30">
        <f>C814</f>
        <v>0</v>
      </c>
      <c r="D815" s="30">
        <f>D814</f>
        <v>0</v>
      </c>
      <c r="E815" s="29">
        <f>E814</f>
        <v>0</v>
      </c>
      <c r="F815" s="29">
        <f>F814</f>
        <v>0</v>
      </c>
      <c r="G815" s="29" t="e">
        <f>IF(C814=1,IF(D814="BUY",E814+(ROUND(F814*G814/B814,0)*B814),E814-(ROUND(F814*G814/B814,0)*B814)),IF(D814="BUY",E814-(ROUND(F814*G814/B814,0)*B814),E814+(ROUND(F814*G814/B814,0)*B814)))</f>
        <v>#DIV/0!</v>
      </c>
      <c r="H815" s="29" t="e">
        <f>IF(C814=1,IF(D814="BUY",G815-(ROUND(F814*H814/B814,0)*B814),G815+(ROUND(F814*H814/B814,0)*B814)),IF(D814="BUY",G815+(ROUND(F814*H814/B814,0)*B814),G815-(ROUND(F814*H814/B814,0)*B814)))</f>
        <v>#DIV/0!</v>
      </c>
      <c r="I815" s="29" t="e">
        <f>IF(D814="BUY",G815+(ROUND(F814*I814/(B814*100),0)*B814),G815-(ROUND(F814*I814/(B814*100),0)*B814))</f>
        <v>#DIV/0!</v>
      </c>
      <c r="J815" s="29" t="e">
        <f>IF(C814=1,IF(D814="BUY",E814+(ROUND(F814*J814/B814,0)*B814),E814-(ROUND(F814*J814/B814,0)*B814)),IF(D814="BUY",E814-(ROUND(F814*J814/B814,0)*B814),E814+(ROUND(F814*J814/B814,0)*B814)))</f>
        <v>#DIV/0!</v>
      </c>
      <c r="K815" s="29" t="e">
        <f>IF(C814=1,IF(D814="BUY",E814-(ROUND(F814*K814/B814,0)*B814),E814+(ROUND(F814*K814/B814,0)*B814)),IF(D814="BUY",E814-(ROUND(F814*K814/B814,0)*B814),E814+(ROUND(F814*K814/B814,0)*B814)))</f>
        <v>#DIV/0!</v>
      </c>
      <c r="L815" s="29" t="e">
        <f t="shared" ref="L815" si="1217">IF(D815="BUY",I815+(R815*B815),I815-(R815*B815))</f>
        <v>#DIV/0!</v>
      </c>
      <c r="M815" s="29" t="e">
        <f>IF(D814="BUY",E814+(ROUND(F814*M814/B814,0)*B814),E814-(ROUND(F814*M814/B814,0)*B814))</f>
        <v>#DIV/0!</v>
      </c>
      <c r="N815" s="29" t="e">
        <f>IF(D814="BUY",E814-(ROUND(F814*N814/B814,0)*B814),E814+(ROUND(F814*N814/B814,0)*B814))</f>
        <v>#DIV/0!</v>
      </c>
      <c r="O815" s="31" t="e">
        <f>IF(D815="BUY",N815-VLOOKUP(A815,Symbols!A$1:D$1000,4,FALSE),N815+VLOOKUP(A815,Symbols!A$1:D$1000,4,FALSE))</f>
        <v>#DIV/0!</v>
      </c>
      <c r="P815" s="29">
        <f>P814</f>
        <v>0</v>
      </c>
      <c r="Q815" s="29">
        <f>Q814</f>
        <v>0</v>
      </c>
      <c r="R815" s="29">
        <f>R814</f>
        <v>0</v>
      </c>
      <c r="S815" s="29">
        <f>S814</f>
        <v>0</v>
      </c>
      <c r="T815" s="29">
        <f>T814</f>
        <v>0</v>
      </c>
      <c r="U815" s="29" t="e">
        <f>DATEDIF(DATE(1970,1,1),U814,"D")*86400</f>
        <v>#NUM!</v>
      </c>
      <c r="V815" s="29">
        <f>HOUR(V814)*3600+MINUTE(V814)*60+SECOND(V814)</f>
        <v>0</v>
      </c>
      <c r="W815" s="29" t="e">
        <f>DATEDIF(DATE(1970,1,1),W814,"D")*86400</f>
        <v>#NUM!</v>
      </c>
      <c r="X815" s="29">
        <f>HOUR(X814)*3600+MINUTE(X814)*60+SECOND(X814)</f>
        <v>0</v>
      </c>
      <c r="Y815" s="31">
        <f>(Y814*B815)</f>
        <v>0</v>
      </c>
      <c r="Z815" s="29">
        <f>Z814</f>
        <v>0</v>
      </c>
      <c r="AA815" s="29" t="e">
        <f>DATEDIF(DATE(1970,1,1),AA814,"D")*86400</f>
        <v>#NUM!</v>
      </c>
      <c r="AB815" s="29">
        <f>HOUR(AB814)*3600+MINUTE(AB814)*60+SECOND(AB814)</f>
        <v>0</v>
      </c>
      <c r="AC815" s="29">
        <f>AC814</f>
        <v>0</v>
      </c>
    </row>
    <row r="816" spans="1:29">
      <c r="A816" s="23">
        <f>Parameters!A409</f>
        <v>0</v>
      </c>
      <c r="B816" s="23">
        <f>Parameters!B409</f>
        <v>0</v>
      </c>
      <c r="C816" s="24">
        <f>Parameters!C409</f>
        <v>0</v>
      </c>
      <c r="D816" s="24">
        <f>Parameters!D409</f>
        <v>0</v>
      </c>
      <c r="E816" s="23">
        <f>Parameters!E409</f>
        <v>0</v>
      </c>
      <c r="F816" s="23">
        <f>Parameters!F409</f>
        <v>0</v>
      </c>
      <c r="G816" s="25">
        <f>Parameters!G409</f>
        <v>0</v>
      </c>
      <c r="H816" s="25">
        <f>Parameters!H409</f>
        <v>0</v>
      </c>
      <c r="I816" s="25">
        <f>Parameters!I409</f>
        <v>0</v>
      </c>
      <c r="J816" s="25">
        <f>Parameters!J409</f>
        <v>0</v>
      </c>
      <c r="K816" s="25">
        <f>Parameters!K409</f>
        <v>0</v>
      </c>
      <c r="L816" s="26" t="e">
        <f t="shared" ref="L816" si="1218">L817</f>
        <v>#DIV/0!</v>
      </c>
      <c r="M816" s="25">
        <f>Parameters!L409</f>
        <v>0</v>
      </c>
      <c r="N816" s="25">
        <f>Parameters!M409</f>
        <v>0</v>
      </c>
      <c r="O816" s="26" t="e">
        <f t="shared" ref="O816" si="1219">O817</f>
        <v>#DIV/0!</v>
      </c>
      <c r="P816" s="23">
        <f>Parameters!N409</f>
        <v>0</v>
      </c>
      <c r="Q816" s="23">
        <f>Parameters!O409</f>
        <v>0</v>
      </c>
      <c r="R816" s="23">
        <f>Parameters!P409</f>
        <v>0</v>
      </c>
      <c r="S816" s="23">
        <f>Parameters!Q409</f>
        <v>0</v>
      </c>
      <c r="T816" s="23">
        <f>Parameters!R409</f>
        <v>0</v>
      </c>
      <c r="U816" s="27">
        <f>Parameters!S409</f>
        <v>0</v>
      </c>
      <c r="V816" s="28">
        <f>Parameters!T409</f>
        <v>0</v>
      </c>
      <c r="W816" s="27">
        <f>Parameters!U409</f>
        <v>0</v>
      </c>
      <c r="X816" s="28">
        <f>Parameters!V409</f>
        <v>0</v>
      </c>
      <c r="Y816" s="25">
        <f>Parameters!W409</f>
        <v>0</v>
      </c>
      <c r="Z816" s="23">
        <f>Parameters!X409</f>
        <v>0</v>
      </c>
      <c r="AA816" s="27">
        <f>Parameters!Y409</f>
        <v>0</v>
      </c>
      <c r="AB816" s="28">
        <f>Parameters!Z409</f>
        <v>0</v>
      </c>
      <c r="AC816" s="23">
        <f>Parameters!AA409</f>
        <v>0</v>
      </c>
    </row>
    <row r="817" spans="1:29">
      <c r="A817" s="29" t="str">
        <f>UPPER(A816)</f>
        <v>0</v>
      </c>
      <c r="B817" s="29">
        <f>B816</f>
        <v>0</v>
      </c>
      <c r="C817" s="30">
        <f>C816</f>
        <v>0</v>
      </c>
      <c r="D817" s="30">
        <f>D816</f>
        <v>0</v>
      </c>
      <c r="E817" s="29">
        <f>E816</f>
        <v>0</v>
      </c>
      <c r="F817" s="29">
        <f>F816</f>
        <v>0</v>
      </c>
      <c r="G817" s="29" t="e">
        <f>IF(C816=1,IF(D816="BUY",E816+(ROUND(F816*G816/B816,0)*B816),E816-(ROUND(F816*G816/B816,0)*B816)),IF(D816="BUY",E816-(ROUND(F816*G816/B816,0)*B816),E816+(ROUND(F816*G816/B816,0)*B816)))</f>
        <v>#DIV/0!</v>
      </c>
      <c r="H817" s="29" t="e">
        <f>IF(C816=1,IF(D816="BUY",G817-(ROUND(F816*H816/B816,0)*B816),G817+(ROUND(F816*H816/B816,0)*B816)),IF(D816="BUY",G817+(ROUND(F816*H816/B816,0)*B816),G817-(ROUND(F816*H816/B816,0)*B816)))</f>
        <v>#DIV/0!</v>
      </c>
      <c r="I817" s="29" t="e">
        <f>IF(D816="BUY",G817+(ROUND(F816*I816/(B816*100),0)*B816),G817-(ROUND(F816*I816/(B816*100),0)*B816))</f>
        <v>#DIV/0!</v>
      </c>
      <c r="J817" s="29" t="e">
        <f>IF(C816=1,IF(D816="BUY",E816+(ROUND(F816*J816/B816,0)*B816),E816-(ROUND(F816*J816/B816,0)*B816)),IF(D816="BUY",E816-(ROUND(F816*J816/B816,0)*B816),E816+(ROUND(F816*J816/B816,0)*B816)))</f>
        <v>#DIV/0!</v>
      </c>
      <c r="K817" s="29" t="e">
        <f>IF(C816=1,IF(D816="BUY",E816-(ROUND(F816*K816/B816,0)*B816),E816+(ROUND(F816*K816/B816,0)*B816)),IF(D816="BUY",E816-(ROUND(F816*K816/B816,0)*B816),E816+(ROUND(F816*K816/B816,0)*B816)))</f>
        <v>#DIV/0!</v>
      </c>
      <c r="L817" s="29" t="e">
        <f t="shared" ref="L817" si="1220">IF(D817="BUY",I817+(R817*B817),I817-(R817*B817))</f>
        <v>#DIV/0!</v>
      </c>
      <c r="M817" s="29" t="e">
        <f>IF(D816="BUY",E816+(ROUND(F816*M816/B816,0)*B816),E816-(ROUND(F816*M816/B816,0)*B816))</f>
        <v>#DIV/0!</v>
      </c>
      <c r="N817" s="29" t="e">
        <f>IF(D816="BUY",E816-(ROUND(F816*N816/B816,0)*B816),E816+(ROUND(F816*N816/B816,0)*B816))</f>
        <v>#DIV/0!</v>
      </c>
      <c r="O817" s="31" t="e">
        <f>IF(D817="BUY",N817-VLOOKUP(A817,Symbols!A$1:D$1000,4,FALSE),N817+VLOOKUP(A817,Symbols!A$1:D$1000,4,FALSE))</f>
        <v>#DIV/0!</v>
      </c>
      <c r="P817" s="29">
        <f>P816</f>
        <v>0</v>
      </c>
      <c r="Q817" s="29">
        <f>Q816</f>
        <v>0</v>
      </c>
      <c r="R817" s="29">
        <f>R816</f>
        <v>0</v>
      </c>
      <c r="S817" s="29">
        <f>S816</f>
        <v>0</v>
      </c>
      <c r="T817" s="29">
        <f>T816</f>
        <v>0</v>
      </c>
      <c r="U817" s="29" t="e">
        <f>DATEDIF(DATE(1970,1,1),U816,"D")*86400</f>
        <v>#NUM!</v>
      </c>
      <c r="V817" s="29">
        <f>HOUR(V816)*3600+MINUTE(V816)*60+SECOND(V816)</f>
        <v>0</v>
      </c>
      <c r="W817" s="29" t="e">
        <f>DATEDIF(DATE(1970,1,1),W816,"D")*86400</f>
        <v>#NUM!</v>
      </c>
      <c r="X817" s="29">
        <f>HOUR(X816)*3600+MINUTE(X816)*60+SECOND(X816)</f>
        <v>0</v>
      </c>
      <c r="Y817" s="31">
        <f>(Y816*B817)</f>
        <v>0</v>
      </c>
      <c r="Z817" s="29">
        <f>Z816</f>
        <v>0</v>
      </c>
      <c r="AA817" s="29" t="e">
        <f>DATEDIF(DATE(1970,1,1),AA816,"D")*86400</f>
        <v>#NUM!</v>
      </c>
      <c r="AB817" s="29">
        <f>HOUR(AB816)*3600+MINUTE(AB816)*60+SECOND(AB816)</f>
        <v>0</v>
      </c>
      <c r="AC817" s="29">
        <f>AC816</f>
        <v>0</v>
      </c>
    </row>
    <row r="818" spans="1:29">
      <c r="A818" s="23">
        <f>Parameters!A410</f>
        <v>0</v>
      </c>
      <c r="B818" s="23">
        <f>Parameters!B410</f>
        <v>0</v>
      </c>
      <c r="C818" s="24">
        <f>Parameters!C410</f>
        <v>0</v>
      </c>
      <c r="D818" s="24">
        <f>Parameters!D410</f>
        <v>0</v>
      </c>
      <c r="E818" s="23">
        <f>Parameters!E410</f>
        <v>0</v>
      </c>
      <c r="F818" s="23">
        <f>Parameters!F410</f>
        <v>0</v>
      </c>
      <c r="G818" s="25">
        <f>Parameters!G410</f>
        <v>0</v>
      </c>
      <c r="H818" s="25">
        <f>Parameters!H410</f>
        <v>0</v>
      </c>
      <c r="I818" s="25">
        <f>Parameters!I410</f>
        <v>0</v>
      </c>
      <c r="J818" s="25">
        <f>Parameters!J410</f>
        <v>0</v>
      </c>
      <c r="K818" s="25">
        <f>Parameters!K410</f>
        <v>0</v>
      </c>
      <c r="L818" s="26" t="e">
        <f t="shared" ref="L818" si="1221">L819</f>
        <v>#DIV/0!</v>
      </c>
      <c r="M818" s="25">
        <f>Parameters!L410</f>
        <v>0</v>
      </c>
      <c r="N818" s="25">
        <f>Parameters!M410</f>
        <v>0</v>
      </c>
      <c r="O818" s="26" t="e">
        <f t="shared" ref="O818" si="1222">O819</f>
        <v>#DIV/0!</v>
      </c>
      <c r="P818" s="23">
        <f>Parameters!N410</f>
        <v>0</v>
      </c>
      <c r="Q818" s="23">
        <f>Parameters!O410</f>
        <v>0</v>
      </c>
      <c r="R818" s="23">
        <f>Parameters!P410</f>
        <v>0</v>
      </c>
      <c r="S818" s="23">
        <f>Parameters!Q410</f>
        <v>0</v>
      </c>
      <c r="T818" s="23">
        <f>Parameters!R410</f>
        <v>0</v>
      </c>
      <c r="U818" s="27">
        <f>Parameters!S410</f>
        <v>0</v>
      </c>
      <c r="V818" s="28">
        <f>Parameters!T410</f>
        <v>0</v>
      </c>
      <c r="W818" s="27">
        <f>Parameters!U410</f>
        <v>0</v>
      </c>
      <c r="X818" s="28">
        <f>Parameters!V410</f>
        <v>0</v>
      </c>
      <c r="Y818" s="25">
        <f>Parameters!W410</f>
        <v>0</v>
      </c>
      <c r="Z818" s="23">
        <f>Parameters!X410</f>
        <v>0</v>
      </c>
      <c r="AA818" s="27">
        <f>Parameters!Y410</f>
        <v>0</v>
      </c>
      <c r="AB818" s="28">
        <f>Parameters!Z410</f>
        <v>0</v>
      </c>
      <c r="AC818" s="23">
        <f>Parameters!AA410</f>
        <v>0</v>
      </c>
    </row>
    <row r="819" spans="1:29">
      <c r="A819" s="29" t="str">
        <f>UPPER(A818)</f>
        <v>0</v>
      </c>
      <c r="B819" s="29">
        <f>B818</f>
        <v>0</v>
      </c>
      <c r="C819" s="30">
        <f>C818</f>
        <v>0</v>
      </c>
      <c r="D819" s="30">
        <f>D818</f>
        <v>0</v>
      </c>
      <c r="E819" s="29">
        <f>E818</f>
        <v>0</v>
      </c>
      <c r="F819" s="29">
        <f>F818</f>
        <v>0</v>
      </c>
      <c r="G819" s="29" t="e">
        <f>IF(C818=1,IF(D818="BUY",E818+(ROUND(F818*G818/B818,0)*B818),E818-(ROUND(F818*G818/B818,0)*B818)),IF(D818="BUY",E818-(ROUND(F818*G818/B818,0)*B818),E818+(ROUND(F818*G818/B818,0)*B818)))</f>
        <v>#DIV/0!</v>
      </c>
      <c r="H819" s="29" t="e">
        <f>IF(C818=1,IF(D818="BUY",G819-(ROUND(F818*H818/B818,0)*B818),G819+(ROUND(F818*H818/B818,0)*B818)),IF(D818="BUY",G819+(ROUND(F818*H818/B818,0)*B818),G819-(ROUND(F818*H818/B818,0)*B818)))</f>
        <v>#DIV/0!</v>
      </c>
      <c r="I819" s="29" t="e">
        <f>IF(D818="BUY",G819+(ROUND(F818*I818/(B818*100),0)*B818),G819-(ROUND(F818*I818/(B818*100),0)*B818))</f>
        <v>#DIV/0!</v>
      </c>
      <c r="J819" s="29" t="e">
        <f>IF(C818=1,IF(D818="BUY",E818+(ROUND(F818*J818/B818,0)*B818),E818-(ROUND(F818*J818/B818,0)*B818)),IF(D818="BUY",E818-(ROUND(F818*J818/B818,0)*B818),E818+(ROUND(F818*J818/B818,0)*B818)))</f>
        <v>#DIV/0!</v>
      </c>
      <c r="K819" s="29" t="e">
        <f>IF(C818=1,IF(D818="BUY",E818-(ROUND(F818*K818/B818,0)*B818),E818+(ROUND(F818*K818/B818,0)*B818)),IF(D818="BUY",E818-(ROUND(F818*K818/B818,0)*B818),E818+(ROUND(F818*K818/B818,0)*B818)))</f>
        <v>#DIV/0!</v>
      </c>
      <c r="L819" s="29" t="e">
        <f t="shared" ref="L819" si="1223">IF(D819="BUY",I819+(R819*B819),I819-(R819*B819))</f>
        <v>#DIV/0!</v>
      </c>
      <c r="M819" s="29" t="e">
        <f>IF(D818="BUY",E818+(ROUND(F818*M818/B818,0)*B818),E818-(ROUND(F818*M818/B818,0)*B818))</f>
        <v>#DIV/0!</v>
      </c>
      <c r="N819" s="29" t="e">
        <f>IF(D818="BUY",E818-(ROUND(F818*N818/B818,0)*B818),E818+(ROUND(F818*N818/B818,0)*B818))</f>
        <v>#DIV/0!</v>
      </c>
      <c r="O819" s="31" t="e">
        <f>IF(D819="BUY",N819-VLOOKUP(A819,Symbols!A$1:D$1000,4,FALSE),N819+VLOOKUP(A819,Symbols!A$1:D$1000,4,FALSE))</f>
        <v>#DIV/0!</v>
      </c>
      <c r="P819" s="29">
        <f>P818</f>
        <v>0</v>
      </c>
      <c r="Q819" s="29">
        <f>Q818</f>
        <v>0</v>
      </c>
      <c r="R819" s="29">
        <f>R818</f>
        <v>0</v>
      </c>
      <c r="S819" s="29">
        <f>S818</f>
        <v>0</v>
      </c>
      <c r="T819" s="29">
        <f>T818</f>
        <v>0</v>
      </c>
      <c r="U819" s="29" t="e">
        <f>DATEDIF(DATE(1970,1,1),U818,"D")*86400</f>
        <v>#NUM!</v>
      </c>
      <c r="V819" s="29">
        <f>HOUR(V818)*3600+MINUTE(V818)*60+SECOND(V818)</f>
        <v>0</v>
      </c>
      <c r="W819" s="29" t="e">
        <f>DATEDIF(DATE(1970,1,1),W818,"D")*86400</f>
        <v>#NUM!</v>
      </c>
      <c r="X819" s="29">
        <f>HOUR(X818)*3600+MINUTE(X818)*60+SECOND(X818)</f>
        <v>0</v>
      </c>
      <c r="Y819" s="31">
        <f>(Y818*B819)</f>
        <v>0</v>
      </c>
      <c r="Z819" s="29">
        <f>Z818</f>
        <v>0</v>
      </c>
      <c r="AA819" s="29" t="e">
        <f>DATEDIF(DATE(1970,1,1),AA818,"D")*86400</f>
        <v>#NUM!</v>
      </c>
      <c r="AB819" s="29">
        <f>HOUR(AB818)*3600+MINUTE(AB818)*60+SECOND(AB818)</f>
        <v>0</v>
      </c>
      <c r="AC819" s="29">
        <f>AC818</f>
        <v>0</v>
      </c>
    </row>
    <row r="820" spans="1:29">
      <c r="A820" s="23">
        <f>Parameters!A411</f>
        <v>0</v>
      </c>
      <c r="B820" s="23">
        <f>Parameters!B411</f>
        <v>0</v>
      </c>
      <c r="C820" s="24">
        <f>Parameters!C411</f>
        <v>0</v>
      </c>
      <c r="D820" s="24">
        <f>Parameters!D411</f>
        <v>0</v>
      </c>
      <c r="E820" s="23">
        <f>Parameters!E411</f>
        <v>0</v>
      </c>
      <c r="F820" s="23">
        <f>Parameters!F411</f>
        <v>0</v>
      </c>
      <c r="G820" s="25">
        <f>Parameters!G411</f>
        <v>0</v>
      </c>
      <c r="H820" s="25">
        <f>Parameters!H411</f>
        <v>0</v>
      </c>
      <c r="I820" s="25">
        <f>Parameters!I411</f>
        <v>0</v>
      </c>
      <c r="J820" s="25">
        <f>Parameters!J411</f>
        <v>0</v>
      </c>
      <c r="K820" s="25">
        <f>Parameters!K411</f>
        <v>0</v>
      </c>
      <c r="L820" s="26" t="e">
        <f t="shared" ref="L820" si="1224">L821</f>
        <v>#DIV/0!</v>
      </c>
      <c r="M820" s="25">
        <f>Parameters!L411</f>
        <v>0</v>
      </c>
      <c r="N820" s="25">
        <f>Parameters!M411</f>
        <v>0</v>
      </c>
      <c r="O820" s="26" t="e">
        <f t="shared" ref="O820" si="1225">O821</f>
        <v>#DIV/0!</v>
      </c>
      <c r="P820" s="23">
        <f>Parameters!N411</f>
        <v>0</v>
      </c>
      <c r="Q820" s="23">
        <f>Parameters!O411</f>
        <v>0</v>
      </c>
      <c r="R820" s="23">
        <f>Parameters!P411</f>
        <v>0</v>
      </c>
      <c r="S820" s="23">
        <f>Parameters!Q411</f>
        <v>0</v>
      </c>
      <c r="T820" s="23">
        <f>Parameters!R411</f>
        <v>0</v>
      </c>
      <c r="U820" s="27">
        <f>Parameters!S411</f>
        <v>0</v>
      </c>
      <c r="V820" s="28">
        <f>Parameters!T411</f>
        <v>0</v>
      </c>
      <c r="W820" s="27">
        <f>Parameters!U411</f>
        <v>0</v>
      </c>
      <c r="X820" s="28">
        <f>Parameters!V411</f>
        <v>0</v>
      </c>
      <c r="Y820" s="25">
        <f>Parameters!W411</f>
        <v>0</v>
      </c>
      <c r="Z820" s="23">
        <f>Parameters!X411</f>
        <v>0</v>
      </c>
      <c r="AA820" s="27">
        <f>Parameters!Y411</f>
        <v>0</v>
      </c>
      <c r="AB820" s="28">
        <f>Parameters!Z411</f>
        <v>0</v>
      </c>
      <c r="AC820" s="23">
        <f>Parameters!AA411</f>
        <v>0</v>
      </c>
    </row>
    <row r="821" spans="1:29">
      <c r="A821" s="29" t="str">
        <f>UPPER(A820)</f>
        <v>0</v>
      </c>
      <c r="B821" s="29">
        <f>B820</f>
        <v>0</v>
      </c>
      <c r="C821" s="30">
        <f>C820</f>
        <v>0</v>
      </c>
      <c r="D821" s="30">
        <f>D820</f>
        <v>0</v>
      </c>
      <c r="E821" s="29">
        <f>E820</f>
        <v>0</v>
      </c>
      <c r="F821" s="29">
        <f>F820</f>
        <v>0</v>
      </c>
      <c r="G821" s="29" t="e">
        <f>IF(C820=1,IF(D820="BUY",E820+(ROUND(F820*G820/B820,0)*B820),E820-(ROUND(F820*G820/B820,0)*B820)),IF(D820="BUY",E820-(ROUND(F820*G820/B820,0)*B820),E820+(ROUND(F820*G820/B820,0)*B820)))</f>
        <v>#DIV/0!</v>
      </c>
      <c r="H821" s="29" t="e">
        <f>IF(C820=1,IF(D820="BUY",G821-(ROUND(F820*H820/B820,0)*B820),G821+(ROUND(F820*H820/B820,0)*B820)),IF(D820="BUY",G821+(ROUND(F820*H820/B820,0)*B820),G821-(ROUND(F820*H820/B820,0)*B820)))</f>
        <v>#DIV/0!</v>
      </c>
      <c r="I821" s="29" t="e">
        <f>IF(D820="BUY",G821+(ROUND(F820*I820/(B820*100),0)*B820),G821-(ROUND(F820*I820/(B820*100),0)*B820))</f>
        <v>#DIV/0!</v>
      </c>
      <c r="J821" s="29" t="e">
        <f>IF(C820=1,IF(D820="BUY",E820+(ROUND(F820*J820/B820,0)*B820),E820-(ROUND(F820*J820/B820,0)*B820)),IF(D820="BUY",E820-(ROUND(F820*J820/B820,0)*B820),E820+(ROUND(F820*J820/B820,0)*B820)))</f>
        <v>#DIV/0!</v>
      </c>
      <c r="K821" s="29" t="e">
        <f>IF(C820=1,IF(D820="BUY",E820-(ROUND(F820*K820/B820,0)*B820),E820+(ROUND(F820*K820/B820,0)*B820)),IF(D820="BUY",E820-(ROUND(F820*K820/B820,0)*B820),E820+(ROUND(F820*K820/B820,0)*B820)))</f>
        <v>#DIV/0!</v>
      </c>
      <c r="L821" s="29" t="e">
        <f t="shared" ref="L821" si="1226">IF(D821="BUY",I821+(R821*B821),I821-(R821*B821))</f>
        <v>#DIV/0!</v>
      </c>
      <c r="M821" s="29" t="e">
        <f>IF(D820="BUY",E820+(ROUND(F820*M820/B820,0)*B820),E820-(ROUND(F820*M820/B820,0)*B820))</f>
        <v>#DIV/0!</v>
      </c>
      <c r="N821" s="29" t="e">
        <f>IF(D820="BUY",E820-(ROUND(F820*N820/B820,0)*B820),E820+(ROUND(F820*N820/B820,0)*B820))</f>
        <v>#DIV/0!</v>
      </c>
      <c r="O821" s="31" t="e">
        <f>IF(D821="BUY",N821-VLOOKUP(A821,Symbols!A$1:D$1000,4,FALSE),N821+VLOOKUP(A821,Symbols!A$1:D$1000,4,FALSE))</f>
        <v>#DIV/0!</v>
      </c>
      <c r="P821" s="29">
        <f>P820</f>
        <v>0</v>
      </c>
      <c r="Q821" s="29">
        <f>Q820</f>
        <v>0</v>
      </c>
      <c r="R821" s="29">
        <f>R820</f>
        <v>0</v>
      </c>
      <c r="S821" s="29">
        <f>S820</f>
        <v>0</v>
      </c>
      <c r="T821" s="29">
        <f>T820</f>
        <v>0</v>
      </c>
      <c r="U821" s="29" t="e">
        <f>DATEDIF(DATE(1970,1,1),U820,"D")*86400</f>
        <v>#NUM!</v>
      </c>
      <c r="V821" s="29">
        <f>HOUR(V820)*3600+MINUTE(V820)*60+SECOND(V820)</f>
        <v>0</v>
      </c>
      <c r="W821" s="29" t="e">
        <f>DATEDIF(DATE(1970,1,1),W820,"D")*86400</f>
        <v>#NUM!</v>
      </c>
      <c r="X821" s="29">
        <f>HOUR(X820)*3600+MINUTE(X820)*60+SECOND(X820)</f>
        <v>0</v>
      </c>
      <c r="Y821" s="31">
        <f>(Y820*B821)</f>
        <v>0</v>
      </c>
      <c r="Z821" s="29">
        <f>Z820</f>
        <v>0</v>
      </c>
      <c r="AA821" s="29" t="e">
        <f>DATEDIF(DATE(1970,1,1),AA820,"D")*86400</f>
        <v>#NUM!</v>
      </c>
      <c r="AB821" s="29">
        <f>HOUR(AB820)*3600+MINUTE(AB820)*60+SECOND(AB820)</f>
        <v>0</v>
      </c>
      <c r="AC821" s="29">
        <f>AC820</f>
        <v>0</v>
      </c>
    </row>
    <row r="822" spans="1:29">
      <c r="A822" s="23">
        <f>Parameters!A412</f>
        <v>0</v>
      </c>
      <c r="B822" s="23">
        <f>Parameters!B412</f>
        <v>0</v>
      </c>
      <c r="C822" s="24">
        <f>Parameters!C412</f>
        <v>0</v>
      </c>
      <c r="D822" s="24">
        <f>Parameters!D412</f>
        <v>0</v>
      </c>
      <c r="E822" s="23">
        <f>Parameters!E412</f>
        <v>0</v>
      </c>
      <c r="F822" s="23">
        <f>Parameters!F412</f>
        <v>0</v>
      </c>
      <c r="G822" s="25">
        <f>Parameters!G412</f>
        <v>0</v>
      </c>
      <c r="H822" s="25">
        <f>Parameters!H412</f>
        <v>0</v>
      </c>
      <c r="I822" s="25">
        <f>Parameters!I412</f>
        <v>0</v>
      </c>
      <c r="J822" s="25">
        <f>Parameters!J412</f>
        <v>0</v>
      </c>
      <c r="K822" s="25">
        <f>Parameters!K412</f>
        <v>0</v>
      </c>
      <c r="L822" s="26" t="e">
        <f t="shared" ref="L822" si="1227">L823</f>
        <v>#DIV/0!</v>
      </c>
      <c r="M822" s="25">
        <f>Parameters!L412</f>
        <v>0</v>
      </c>
      <c r="N822" s="25">
        <f>Parameters!M412</f>
        <v>0</v>
      </c>
      <c r="O822" s="26" t="e">
        <f t="shared" ref="O822" si="1228">O823</f>
        <v>#DIV/0!</v>
      </c>
      <c r="P822" s="23">
        <f>Parameters!N412</f>
        <v>0</v>
      </c>
      <c r="Q822" s="23">
        <f>Parameters!O412</f>
        <v>0</v>
      </c>
      <c r="R822" s="23">
        <f>Parameters!P412</f>
        <v>0</v>
      </c>
      <c r="S822" s="23">
        <f>Parameters!Q412</f>
        <v>0</v>
      </c>
      <c r="T822" s="23">
        <f>Parameters!R412</f>
        <v>0</v>
      </c>
      <c r="U822" s="27">
        <f>Parameters!S412</f>
        <v>0</v>
      </c>
      <c r="V822" s="28">
        <f>Parameters!T412</f>
        <v>0</v>
      </c>
      <c r="W822" s="27">
        <f>Parameters!U412</f>
        <v>0</v>
      </c>
      <c r="X822" s="28">
        <f>Parameters!V412</f>
        <v>0</v>
      </c>
      <c r="Y822" s="25">
        <f>Parameters!W412</f>
        <v>0</v>
      </c>
      <c r="Z822" s="23">
        <f>Parameters!X412</f>
        <v>0</v>
      </c>
      <c r="AA822" s="27">
        <f>Parameters!Y412</f>
        <v>0</v>
      </c>
      <c r="AB822" s="28">
        <f>Parameters!Z412</f>
        <v>0</v>
      </c>
      <c r="AC822" s="23">
        <f>Parameters!AA412</f>
        <v>0</v>
      </c>
    </row>
    <row r="823" spans="1:29">
      <c r="A823" s="29" t="str">
        <f>UPPER(A822)</f>
        <v>0</v>
      </c>
      <c r="B823" s="29">
        <f>B822</f>
        <v>0</v>
      </c>
      <c r="C823" s="30">
        <f>C822</f>
        <v>0</v>
      </c>
      <c r="D823" s="30">
        <f>D822</f>
        <v>0</v>
      </c>
      <c r="E823" s="29">
        <f>E822</f>
        <v>0</v>
      </c>
      <c r="F823" s="29">
        <f>F822</f>
        <v>0</v>
      </c>
      <c r="G823" s="29" t="e">
        <f>IF(C822=1,IF(D822="BUY",E822+(ROUND(F822*G822/B822,0)*B822),E822-(ROUND(F822*G822/B822,0)*B822)),IF(D822="BUY",E822-(ROUND(F822*G822/B822,0)*B822),E822+(ROUND(F822*G822/B822,0)*B822)))</f>
        <v>#DIV/0!</v>
      </c>
      <c r="H823" s="29" t="e">
        <f>IF(C822=1,IF(D822="BUY",G823-(ROUND(F822*H822/B822,0)*B822),G823+(ROUND(F822*H822/B822,0)*B822)),IF(D822="BUY",G823+(ROUND(F822*H822/B822,0)*B822),G823-(ROUND(F822*H822/B822,0)*B822)))</f>
        <v>#DIV/0!</v>
      </c>
      <c r="I823" s="29" t="e">
        <f>IF(D822="BUY",G823+(ROUND(F822*I822/(B822*100),0)*B822),G823-(ROUND(F822*I822/(B822*100),0)*B822))</f>
        <v>#DIV/0!</v>
      </c>
      <c r="J823" s="29" t="e">
        <f>IF(C822=1,IF(D822="BUY",E822+(ROUND(F822*J822/B822,0)*B822),E822-(ROUND(F822*J822/B822,0)*B822)),IF(D822="BUY",E822-(ROUND(F822*J822/B822,0)*B822),E822+(ROUND(F822*J822/B822,0)*B822)))</f>
        <v>#DIV/0!</v>
      </c>
      <c r="K823" s="29" t="e">
        <f>IF(C822=1,IF(D822="BUY",E822-(ROUND(F822*K822/B822,0)*B822),E822+(ROUND(F822*K822/B822,0)*B822)),IF(D822="BUY",E822-(ROUND(F822*K822/B822,0)*B822),E822+(ROUND(F822*K822/B822,0)*B822)))</f>
        <v>#DIV/0!</v>
      </c>
      <c r="L823" s="29" t="e">
        <f t="shared" ref="L823" si="1229">IF(D823="BUY",I823+(R823*B823),I823-(R823*B823))</f>
        <v>#DIV/0!</v>
      </c>
      <c r="M823" s="29" t="e">
        <f>IF(D822="BUY",E822+(ROUND(F822*M822/B822,0)*B822),E822-(ROUND(F822*M822/B822,0)*B822))</f>
        <v>#DIV/0!</v>
      </c>
      <c r="N823" s="29" t="e">
        <f>IF(D822="BUY",E822-(ROUND(F822*N822/B822,0)*B822),E822+(ROUND(F822*N822/B822,0)*B822))</f>
        <v>#DIV/0!</v>
      </c>
      <c r="O823" s="31" t="e">
        <f>IF(D823="BUY",N823-VLOOKUP(A823,Symbols!A$1:D$1000,4,FALSE),N823+VLOOKUP(A823,Symbols!A$1:D$1000,4,FALSE))</f>
        <v>#DIV/0!</v>
      </c>
      <c r="P823" s="29">
        <f>P822</f>
        <v>0</v>
      </c>
      <c r="Q823" s="29">
        <f>Q822</f>
        <v>0</v>
      </c>
      <c r="R823" s="29">
        <f>R822</f>
        <v>0</v>
      </c>
      <c r="S823" s="29">
        <f>S822</f>
        <v>0</v>
      </c>
      <c r="T823" s="29">
        <f>T822</f>
        <v>0</v>
      </c>
      <c r="U823" s="29" t="e">
        <f>DATEDIF(DATE(1970,1,1),U822,"D")*86400</f>
        <v>#NUM!</v>
      </c>
      <c r="V823" s="29">
        <f>HOUR(V822)*3600+MINUTE(V822)*60+SECOND(V822)</f>
        <v>0</v>
      </c>
      <c r="W823" s="29" t="e">
        <f>DATEDIF(DATE(1970,1,1),W822,"D")*86400</f>
        <v>#NUM!</v>
      </c>
      <c r="X823" s="29">
        <f>HOUR(X822)*3600+MINUTE(X822)*60+SECOND(X822)</f>
        <v>0</v>
      </c>
      <c r="Y823" s="31">
        <f>(Y822*B823)</f>
        <v>0</v>
      </c>
      <c r="Z823" s="29">
        <f>Z822</f>
        <v>0</v>
      </c>
      <c r="AA823" s="29" t="e">
        <f>DATEDIF(DATE(1970,1,1),AA822,"D")*86400</f>
        <v>#NUM!</v>
      </c>
      <c r="AB823" s="29">
        <f>HOUR(AB822)*3600+MINUTE(AB822)*60+SECOND(AB822)</f>
        <v>0</v>
      </c>
      <c r="AC823" s="29">
        <f>AC822</f>
        <v>0</v>
      </c>
    </row>
    <row r="824" spans="1:29">
      <c r="A824" s="23">
        <f>Parameters!A413</f>
        <v>0</v>
      </c>
      <c r="B824" s="23">
        <f>Parameters!B413</f>
        <v>0</v>
      </c>
      <c r="C824" s="24">
        <f>Parameters!C413</f>
        <v>0</v>
      </c>
      <c r="D824" s="24">
        <f>Parameters!D413</f>
        <v>0</v>
      </c>
      <c r="E824" s="23">
        <f>Parameters!E413</f>
        <v>0</v>
      </c>
      <c r="F824" s="23">
        <f>Parameters!F413</f>
        <v>0</v>
      </c>
      <c r="G824" s="25">
        <f>Parameters!G413</f>
        <v>0</v>
      </c>
      <c r="H824" s="25">
        <f>Parameters!H413</f>
        <v>0</v>
      </c>
      <c r="I824" s="25">
        <f>Parameters!I413</f>
        <v>0</v>
      </c>
      <c r="J824" s="25">
        <f>Parameters!J413</f>
        <v>0</v>
      </c>
      <c r="K824" s="25">
        <f>Parameters!K413</f>
        <v>0</v>
      </c>
      <c r="L824" s="26" t="e">
        <f t="shared" ref="L824" si="1230">L825</f>
        <v>#DIV/0!</v>
      </c>
      <c r="M824" s="25">
        <f>Parameters!L413</f>
        <v>0</v>
      </c>
      <c r="N824" s="25">
        <f>Parameters!M413</f>
        <v>0</v>
      </c>
      <c r="O824" s="26" t="e">
        <f t="shared" ref="O824" si="1231">O825</f>
        <v>#DIV/0!</v>
      </c>
      <c r="P824" s="23">
        <f>Parameters!N413</f>
        <v>0</v>
      </c>
      <c r="Q824" s="23">
        <f>Parameters!O413</f>
        <v>0</v>
      </c>
      <c r="R824" s="23">
        <f>Parameters!P413</f>
        <v>0</v>
      </c>
      <c r="S824" s="23">
        <f>Parameters!Q413</f>
        <v>0</v>
      </c>
      <c r="T824" s="23">
        <f>Parameters!R413</f>
        <v>0</v>
      </c>
      <c r="U824" s="27">
        <f>Parameters!S413</f>
        <v>0</v>
      </c>
      <c r="V824" s="28">
        <f>Parameters!T413</f>
        <v>0</v>
      </c>
      <c r="W824" s="27">
        <f>Parameters!U413</f>
        <v>0</v>
      </c>
      <c r="X824" s="28">
        <f>Parameters!V413</f>
        <v>0</v>
      </c>
      <c r="Y824" s="25">
        <f>Parameters!W413</f>
        <v>0</v>
      </c>
      <c r="Z824" s="23">
        <f>Parameters!X413</f>
        <v>0</v>
      </c>
      <c r="AA824" s="27">
        <f>Parameters!Y413</f>
        <v>0</v>
      </c>
      <c r="AB824" s="28">
        <f>Parameters!Z413</f>
        <v>0</v>
      </c>
      <c r="AC824" s="23">
        <f>Parameters!AA413</f>
        <v>0</v>
      </c>
    </row>
    <row r="825" spans="1:29">
      <c r="A825" s="29" t="str">
        <f>UPPER(A824)</f>
        <v>0</v>
      </c>
      <c r="B825" s="29">
        <f>B824</f>
        <v>0</v>
      </c>
      <c r="C825" s="30">
        <f>C824</f>
        <v>0</v>
      </c>
      <c r="D825" s="30">
        <f>D824</f>
        <v>0</v>
      </c>
      <c r="E825" s="29">
        <f>E824</f>
        <v>0</v>
      </c>
      <c r="F825" s="29">
        <f>F824</f>
        <v>0</v>
      </c>
      <c r="G825" s="29" t="e">
        <f>IF(C824=1,IF(D824="BUY",E824+(ROUND(F824*G824/B824,0)*B824),E824-(ROUND(F824*G824/B824,0)*B824)),IF(D824="BUY",E824-(ROUND(F824*G824/B824,0)*B824),E824+(ROUND(F824*G824/B824,0)*B824)))</f>
        <v>#DIV/0!</v>
      </c>
      <c r="H825" s="29" t="e">
        <f>IF(C824=1,IF(D824="BUY",G825-(ROUND(F824*H824/B824,0)*B824),G825+(ROUND(F824*H824/B824,0)*B824)),IF(D824="BUY",G825+(ROUND(F824*H824/B824,0)*B824),G825-(ROUND(F824*H824/B824,0)*B824)))</f>
        <v>#DIV/0!</v>
      </c>
      <c r="I825" s="29" t="e">
        <f>IF(D824="BUY",G825+(ROUND(F824*I824/(B824*100),0)*B824),G825-(ROUND(F824*I824/(B824*100),0)*B824))</f>
        <v>#DIV/0!</v>
      </c>
      <c r="J825" s="29" t="e">
        <f>IF(C824=1,IF(D824="BUY",E824+(ROUND(F824*J824/B824,0)*B824),E824-(ROUND(F824*J824/B824,0)*B824)),IF(D824="BUY",E824-(ROUND(F824*J824/B824,0)*B824),E824+(ROUND(F824*J824/B824,0)*B824)))</f>
        <v>#DIV/0!</v>
      </c>
      <c r="K825" s="29" t="e">
        <f>IF(C824=1,IF(D824="BUY",E824-(ROUND(F824*K824/B824,0)*B824),E824+(ROUND(F824*K824/B824,0)*B824)),IF(D824="BUY",E824-(ROUND(F824*K824/B824,0)*B824),E824+(ROUND(F824*K824/B824,0)*B824)))</f>
        <v>#DIV/0!</v>
      </c>
      <c r="L825" s="29" t="e">
        <f t="shared" ref="L825" si="1232">IF(D825="BUY",I825+(R825*B825),I825-(R825*B825))</f>
        <v>#DIV/0!</v>
      </c>
      <c r="M825" s="29" t="e">
        <f>IF(D824="BUY",E824+(ROUND(F824*M824/B824,0)*B824),E824-(ROUND(F824*M824/B824,0)*B824))</f>
        <v>#DIV/0!</v>
      </c>
      <c r="N825" s="29" t="e">
        <f>IF(D824="BUY",E824-(ROUND(F824*N824/B824,0)*B824),E824+(ROUND(F824*N824/B824,0)*B824))</f>
        <v>#DIV/0!</v>
      </c>
      <c r="O825" s="31" t="e">
        <f>IF(D825="BUY",N825-VLOOKUP(A825,Symbols!A$1:D$1000,4,FALSE),N825+VLOOKUP(A825,Symbols!A$1:D$1000,4,FALSE))</f>
        <v>#DIV/0!</v>
      </c>
      <c r="P825" s="29">
        <f>P824</f>
        <v>0</v>
      </c>
      <c r="Q825" s="29">
        <f>Q824</f>
        <v>0</v>
      </c>
      <c r="R825" s="29">
        <f>R824</f>
        <v>0</v>
      </c>
      <c r="S825" s="29">
        <f>S824</f>
        <v>0</v>
      </c>
      <c r="T825" s="29">
        <f>T824</f>
        <v>0</v>
      </c>
      <c r="U825" s="29" t="e">
        <f>DATEDIF(DATE(1970,1,1),U824,"D")*86400</f>
        <v>#NUM!</v>
      </c>
      <c r="V825" s="29">
        <f>HOUR(V824)*3600+MINUTE(V824)*60+SECOND(V824)</f>
        <v>0</v>
      </c>
      <c r="W825" s="29" t="e">
        <f>DATEDIF(DATE(1970,1,1),W824,"D")*86400</f>
        <v>#NUM!</v>
      </c>
      <c r="X825" s="29">
        <f>HOUR(X824)*3600+MINUTE(X824)*60+SECOND(X824)</f>
        <v>0</v>
      </c>
      <c r="Y825" s="31">
        <f>(Y824*B825)</f>
        <v>0</v>
      </c>
      <c r="Z825" s="29">
        <f>Z824</f>
        <v>0</v>
      </c>
      <c r="AA825" s="29" t="e">
        <f>DATEDIF(DATE(1970,1,1),AA824,"D")*86400</f>
        <v>#NUM!</v>
      </c>
      <c r="AB825" s="29">
        <f>HOUR(AB824)*3600+MINUTE(AB824)*60+SECOND(AB824)</f>
        <v>0</v>
      </c>
      <c r="AC825" s="29">
        <f>AC824</f>
        <v>0</v>
      </c>
    </row>
    <row r="826" spans="1:29">
      <c r="A826" s="23">
        <f>Parameters!A414</f>
        <v>0</v>
      </c>
      <c r="B826" s="23">
        <f>Parameters!B414</f>
        <v>0</v>
      </c>
      <c r="C826" s="24">
        <f>Parameters!C414</f>
        <v>0</v>
      </c>
      <c r="D826" s="24">
        <f>Parameters!D414</f>
        <v>0</v>
      </c>
      <c r="E826" s="23">
        <f>Parameters!E414</f>
        <v>0</v>
      </c>
      <c r="F826" s="23">
        <f>Parameters!F414</f>
        <v>0</v>
      </c>
      <c r="G826" s="25">
        <f>Parameters!G414</f>
        <v>0</v>
      </c>
      <c r="H826" s="25">
        <f>Parameters!H414</f>
        <v>0</v>
      </c>
      <c r="I826" s="25">
        <f>Parameters!I414</f>
        <v>0</v>
      </c>
      <c r="J826" s="25">
        <f>Parameters!J414</f>
        <v>0</v>
      </c>
      <c r="K826" s="25">
        <f>Parameters!K414</f>
        <v>0</v>
      </c>
      <c r="L826" s="26" t="e">
        <f t="shared" ref="L826" si="1233">L827</f>
        <v>#DIV/0!</v>
      </c>
      <c r="M826" s="25">
        <f>Parameters!L414</f>
        <v>0</v>
      </c>
      <c r="N826" s="25">
        <f>Parameters!M414</f>
        <v>0</v>
      </c>
      <c r="O826" s="26" t="e">
        <f t="shared" ref="O826" si="1234">O827</f>
        <v>#DIV/0!</v>
      </c>
      <c r="P826" s="23">
        <f>Parameters!N414</f>
        <v>0</v>
      </c>
      <c r="Q826" s="23">
        <f>Parameters!O414</f>
        <v>0</v>
      </c>
      <c r="R826" s="23">
        <f>Parameters!P414</f>
        <v>0</v>
      </c>
      <c r="S826" s="23">
        <f>Parameters!Q414</f>
        <v>0</v>
      </c>
      <c r="T826" s="23">
        <f>Parameters!R414</f>
        <v>0</v>
      </c>
      <c r="U826" s="27">
        <f>Parameters!S414</f>
        <v>0</v>
      </c>
      <c r="V826" s="28">
        <f>Parameters!T414</f>
        <v>0</v>
      </c>
      <c r="W826" s="27">
        <f>Parameters!U414</f>
        <v>0</v>
      </c>
      <c r="X826" s="28">
        <f>Parameters!V414</f>
        <v>0</v>
      </c>
      <c r="Y826" s="25">
        <f>Parameters!W414</f>
        <v>0</v>
      </c>
      <c r="Z826" s="23">
        <f>Parameters!X414</f>
        <v>0</v>
      </c>
      <c r="AA826" s="27">
        <f>Parameters!Y414</f>
        <v>0</v>
      </c>
      <c r="AB826" s="28">
        <f>Parameters!Z414</f>
        <v>0</v>
      </c>
      <c r="AC826" s="23">
        <f>Parameters!AA414</f>
        <v>0</v>
      </c>
    </row>
    <row r="827" spans="1:29">
      <c r="A827" s="29" t="str">
        <f>UPPER(A826)</f>
        <v>0</v>
      </c>
      <c r="B827" s="29">
        <f>B826</f>
        <v>0</v>
      </c>
      <c r="C827" s="30">
        <f>C826</f>
        <v>0</v>
      </c>
      <c r="D827" s="30">
        <f>D826</f>
        <v>0</v>
      </c>
      <c r="E827" s="29">
        <f>E826</f>
        <v>0</v>
      </c>
      <c r="F827" s="29">
        <f>F826</f>
        <v>0</v>
      </c>
      <c r="G827" s="29" t="e">
        <f>IF(C826=1,IF(D826="BUY",E826+(ROUND(F826*G826/B826,0)*B826),E826-(ROUND(F826*G826/B826,0)*B826)),IF(D826="BUY",E826-(ROUND(F826*G826/B826,0)*B826),E826+(ROUND(F826*G826/B826,0)*B826)))</f>
        <v>#DIV/0!</v>
      </c>
      <c r="H827" s="29" t="e">
        <f>IF(C826=1,IF(D826="BUY",G827-(ROUND(F826*H826/B826,0)*B826),G827+(ROUND(F826*H826/B826,0)*B826)),IF(D826="BUY",G827+(ROUND(F826*H826/B826,0)*B826),G827-(ROUND(F826*H826/B826,0)*B826)))</f>
        <v>#DIV/0!</v>
      </c>
      <c r="I827" s="29" t="e">
        <f>IF(D826="BUY",G827+(ROUND(F826*I826/(B826*100),0)*B826),G827-(ROUND(F826*I826/(B826*100),0)*B826))</f>
        <v>#DIV/0!</v>
      </c>
      <c r="J827" s="29" t="e">
        <f>IF(C826=1,IF(D826="BUY",E826+(ROUND(F826*J826/B826,0)*B826),E826-(ROUND(F826*J826/B826,0)*B826)),IF(D826="BUY",E826-(ROUND(F826*J826/B826,0)*B826),E826+(ROUND(F826*J826/B826,0)*B826)))</f>
        <v>#DIV/0!</v>
      </c>
      <c r="K827" s="29" t="e">
        <f>IF(C826=1,IF(D826="BUY",E826-(ROUND(F826*K826/B826,0)*B826),E826+(ROUND(F826*K826/B826,0)*B826)),IF(D826="BUY",E826-(ROUND(F826*K826/B826,0)*B826),E826+(ROUND(F826*K826/B826,0)*B826)))</f>
        <v>#DIV/0!</v>
      </c>
      <c r="L827" s="29" t="e">
        <f t="shared" ref="L827" si="1235">IF(D827="BUY",I827+(R827*B827),I827-(R827*B827))</f>
        <v>#DIV/0!</v>
      </c>
      <c r="M827" s="29" t="e">
        <f>IF(D826="BUY",E826+(ROUND(F826*M826/B826,0)*B826),E826-(ROUND(F826*M826/B826,0)*B826))</f>
        <v>#DIV/0!</v>
      </c>
      <c r="N827" s="29" t="e">
        <f>IF(D826="BUY",E826-(ROUND(F826*N826/B826,0)*B826),E826+(ROUND(F826*N826/B826,0)*B826))</f>
        <v>#DIV/0!</v>
      </c>
      <c r="O827" s="31" t="e">
        <f>IF(D827="BUY",N827-VLOOKUP(A827,Symbols!A$1:D$1000,4,FALSE),N827+VLOOKUP(A827,Symbols!A$1:D$1000,4,FALSE))</f>
        <v>#DIV/0!</v>
      </c>
      <c r="P827" s="29">
        <f>P826</f>
        <v>0</v>
      </c>
      <c r="Q827" s="29">
        <f>Q826</f>
        <v>0</v>
      </c>
      <c r="R827" s="29">
        <f>R826</f>
        <v>0</v>
      </c>
      <c r="S827" s="29">
        <f>S826</f>
        <v>0</v>
      </c>
      <c r="T827" s="29">
        <f>T826</f>
        <v>0</v>
      </c>
      <c r="U827" s="29" t="e">
        <f>DATEDIF(DATE(1970,1,1),U826,"D")*86400</f>
        <v>#NUM!</v>
      </c>
      <c r="V827" s="29">
        <f>HOUR(V826)*3600+MINUTE(V826)*60+SECOND(V826)</f>
        <v>0</v>
      </c>
      <c r="W827" s="29" t="e">
        <f>DATEDIF(DATE(1970,1,1),W826,"D")*86400</f>
        <v>#NUM!</v>
      </c>
      <c r="X827" s="29">
        <f>HOUR(X826)*3600+MINUTE(X826)*60+SECOND(X826)</f>
        <v>0</v>
      </c>
      <c r="Y827" s="31">
        <f>(Y826*B827)</f>
        <v>0</v>
      </c>
      <c r="Z827" s="29">
        <f>Z826</f>
        <v>0</v>
      </c>
      <c r="AA827" s="29" t="e">
        <f>DATEDIF(DATE(1970,1,1),AA826,"D")*86400</f>
        <v>#NUM!</v>
      </c>
      <c r="AB827" s="29">
        <f>HOUR(AB826)*3600+MINUTE(AB826)*60+SECOND(AB826)</f>
        <v>0</v>
      </c>
      <c r="AC827" s="29">
        <f>AC826</f>
        <v>0</v>
      </c>
    </row>
    <row r="828" spans="1:29">
      <c r="A828" s="23">
        <f>Parameters!A415</f>
        <v>0</v>
      </c>
      <c r="B828" s="23">
        <f>Parameters!B415</f>
        <v>0</v>
      </c>
      <c r="C828" s="24">
        <f>Parameters!C415</f>
        <v>0</v>
      </c>
      <c r="D828" s="24">
        <f>Parameters!D415</f>
        <v>0</v>
      </c>
      <c r="E828" s="23">
        <f>Parameters!E415</f>
        <v>0</v>
      </c>
      <c r="F828" s="23">
        <f>Parameters!F415</f>
        <v>0</v>
      </c>
      <c r="G828" s="25">
        <f>Parameters!G415</f>
        <v>0</v>
      </c>
      <c r="H828" s="25">
        <f>Parameters!H415</f>
        <v>0</v>
      </c>
      <c r="I828" s="25">
        <f>Parameters!I415</f>
        <v>0</v>
      </c>
      <c r="J828" s="25">
        <f>Parameters!J415</f>
        <v>0</v>
      </c>
      <c r="K828" s="25">
        <f>Parameters!K415</f>
        <v>0</v>
      </c>
      <c r="L828" s="26" t="e">
        <f t="shared" ref="L828" si="1236">L829</f>
        <v>#DIV/0!</v>
      </c>
      <c r="M828" s="25">
        <f>Parameters!L415</f>
        <v>0</v>
      </c>
      <c r="N828" s="25">
        <f>Parameters!M415</f>
        <v>0</v>
      </c>
      <c r="O828" s="26" t="e">
        <f t="shared" ref="O828" si="1237">O829</f>
        <v>#DIV/0!</v>
      </c>
      <c r="P828" s="23">
        <f>Parameters!N415</f>
        <v>0</v>
      </c>
      <c r="Q828" s="23">
        <f>Parameters!O415</f>
        <v>0</v>
      </c>
      <c r="R828" s="23">
        <f>Parameters!P415</f>
        <v>0</v>
      </c>
      <c r="S828" s="23">
        <f>Parameters!Q415</f>
        <v>0</v>
      </c>
      <c r="T828" s="23">
        <f>Parameters!R415</f>
        <v>0</v>
      </c>
      <c r="U828" s="27">
        <f>Parameters!S415</f>
        <v>0</v>
      </c>
      <c r="V828" s="28">
        <f>Parameters!T415</f>
        <v>0</v>
      </c>
      <c r="W828" s="27">
        <f>Parameters!U415</f>
        <v>0</v>
      </c>
      <c r="X828" s="28">
        <f>Parameters!V415</f>
        <v>0</v>
      </c>
      <c r="Y828" s="25">
        <f>Parameters!W415</f>
        <v>0</v>
      </c>
      <c r="Z828" s="23">
        <f>Parameters!X415</f>
        <v>0</v>
      </c>
      <c r="AA828" s="27">
        <f>Parameters!Y415</f>
        <v>0</v>
      </c>
      <c r="AB828" s="28">
        <f>Parameters!Z415</f>
        <v>0</v>
      </c>
      <c r="AC828" s="23">
        <f>Parameters!AA415</f>
        <v>0</v>
      </c>
    </row>
    <row r="829" spans="1:29">
      <c r="A829" s="29" t="str">
        <f>UPPER(A828)</f>
        <v>0</v>
      </c>
      <c r="B829" s="29">
        <f>B828</f>
        <v>0</v>
      </c>
      <c r="C829" s="30">
        <f>C828</f>
        <v>0</v>
      </c>
      <c r="D829" s="30">
        <f>D828</f>
        <v>0</v>
      </c>
      <c r="E829" s="29">
        <f>E828</f>
        <v>0</v>
      </c>
      <c r="F829" s="29">
        <f>F828</f>
        <v>0</v>
      </c>
      <c r="G829" s="29" t="e">
        <f>IF(C828=1,IF(D828="BUY",E828+(ROUND(F828*G828/B828,0)*B828),E828-(ROUND(F828*G828/B828,0)*B828)),IF(D828="BUY",E828-(ROUND(F828*G828/B828,0)*B828),E828+(ROUND(F828*G828/B828,0)*B828)))</f>
        <v>#DIV/0!</v>
      </c>
      <c r="H829" s="29" t="e">
        <f>IF(C828=1,IF(D828="BUY",G829-(ROUND(F828*H828/B828,0)*B828),G829+(ROUND(F828*H828/B828,0)*B828)),IF(D828="BUY",G829+(ROUND(F828*H828/B828,0)*B828),G829-(ROUND(F828*H828/B828,0)*B828)))</f>
        <v>#DIV/0!</v>
      </c>
      <c r="I829" s="29" t="e">
        <f>IF(D828="BUY",G829+(ROUND(F828*I828/(B828*100),0)*B828),G829-(ROUND(F828*I828/(B828*100),0)*B828))</f>
        <v>#DIV/0!</v>
      </c>
      <c r="J829" s="29" t="e">
        <f>IF(C828=1,IF(D828="BUY",E828+(ROUND(F828*J828/B828,0)*B828),E828-(ROUND(F828*J828/B828,0)*B828)),IF(D828="BUY",E828-(ROUND(F828*J828/B828,0)*B828),E828+(ROUND(F828*J828/B828,0)*B828)))</f>
        <v>#DIV/0!</v>
      </c>
      <c r="K829" s="29" t="e">
        <f>IF(C828=1,IF(D828="BUY",E828-(ROUND(F828*K828/B828,0)*B828),E828+(ROUND(F828*K828/B828,0)*B828)),IF(D828="BUY",E828-(ROUND(F828*K828/B828,0)*B828),E828+(ROUND(F828*K828/B828,0)*B828)))</f>
        <v>#DIV/0!</v>
      </c>
      <c r="L829" s="29" t="e">
        <f t="shared" ref="L829" si="1238">IF(D829="BUY",I829+(R829*B829),I829-(R829*B829))</f>
        <v>#DIV/0!</v>
      </c>
      <c r="M829" s="29" t="e">
        <f>IF(D828="BUY",E828+(ROUND(F828*M828/B828,0)*B828),E828-(ROUND(F828*M828/B828,0)*B828))</f>
        <v>#DIV/0!</v>
      </c>
      <c r="N829" s="29" t="e">
        <f>IF(D828="BUY",E828-(ROUND(F828*N828/B828,0)*B828),E828+(ROUND(F828*N828/B828,0)*B828))</f>
        <v>#DIV/0!</v>
      </c>
      <c r="O829" s="31" t="e">
        <f>IF(D829="BUY",N829-VLOOKUP(A829,Symbols!A$1:D$1000,4,FALSE),N829+VLOOKUP(A829,Symbols!A$1:D$1000,4,FALSE))</f>
        <v>#DIV/0!</v>
      </c>
      <c r="P829" s="29">
        <f>P828</f>
        <v>0</v>
      </c>
      <c r="Q829" s="29">
        <f>Q828</f>
        <v>0</v>
      </c>
      <c r="R829" s="29">
        <f>R828</f>
        <v>0</v>
      </c>
      <c r="S829" s="29">
        <f>S828</f>
        <v>0</v>
      </c>
      <c r="T829" s="29">
        <f>T828</f>
        <v>0</v>
      </c>
      <c r="U829" s="29" t="e">
        <f>DATEDIF(DATE(1970,1,1),U828,"D")*86400</f>
        <v>#NUM!</v>
      </c>
      <c r="V829" s="29">
        <f>HOUR(V828)*3600+MINUTE(V828)*60+SECOND(V828)</f>
        <v>0</v>
      </c>
      <c r="W829" s="29" t="e">
        <f>DATEDIF(DATE(1970,1,1),W828,"D")*86400</f>
        <v>#NUM!</v>
      </c>
      <c r="X829" s="29">
        <f>HOUR(X828)*3600+MINUTE(X828)*60+SECOND(X828)</f>
        <v>0</v>
      </c>
      <c r="Y829" s="31">
        <f>(Y828*B829)</f>
        <v>0</v>
      </c>
      <c r="Z829" s="29">
        <f>Z828</f>
        <v>0</v>
      </c>
      <c r="AA829" s="29" t="e">
        <f>DATEDIF(DATE(1970,1,1),AA828,"D")*86400</f>
        <v>#NUM!</v>
      </c>
      <c r="AB829" s="29">
        <f>HOUR(AB828)*3600+MINUTE(AB828)*60+SECOND(AB828)</f>
        <v>0</v>
      </c>
      <c r="AC829" s="29">
        <f>AC828</f>
        <v>0</v>
      </c>
    </row>
    <row r="830" spans="1:29">
      <c r="A830" s="23">
        <f>Parameters!A416</f>
        <v>0</v>
      </c>
      <c r="B830" s="23">
        <f>Parameters!B416</f>
        <v>0</v>
      </c>
      <c r="C830" s="24">
        <f>Parameters!C416</f>
        <v>0</v>
      </c>
      <c r="D830" s="24">
        <f>Parameters!D416</f>
        <v>0</v>
      </c>
      <c r="E830" s="23">
        <f>Parameters!E416</f>
        <v>0</v>
      </c>
      <c r="F830" s="23">
        <f>Parameters!F416</f>
        <v>0</v>
      </c>
      <c r="G830" s="25">
        <f>Parameters!G416</f>
        <v>0</v>
      </c>
      <c r="H830" s="25">
        <f>Parameters!H416</f>
        <v>0</v>
      </c>
      <c r="I830" s="25">
        <f>Parameters!I416</f>
        <v>0</v>
      </c>
      <c r="J830" s="25">
        <f>Parameters!J416</f>
        <v>0</v>
      </c>
      <c r="K830" s="25">
        <f>Parameters!K416</f>
        <v>0</v>
      </c>
      <c r="L830" s="26" t="e">
        <f t="shared" ref="L830" si="1239">L831</f>
        <v>#DIV/0!</v>
      </c>
      <c r="M830" s="25">
        <f>Parameters!L416</f>
        <v>0</v>
      </c>
      <c r="N830" s="25">
        <f>Parameters!M416</f>
        <v>0</v>
      </c>
      <c r="O830" s="26" t="e">
        <f t="shared" ref="O830" si="1240">O831</f>
        <v>#DIV/0!</v>
      </c>
      <c r="P830" s="23">
        <f>Parameters!N416</f>
        <v>0</v>
      </c>
      <c r="Q830" s="23">
        <f>Parameters!O416</f>
        <v>0</v>
      </c>
      <c r="R830" s="23">
        <f>Parameters!P416</f>
        <v>0</v>
      </c>
      <c r="S830" s="23">
        <f>Parameters!Q416</f>
        <v>0</v>
      </c>
      <c r="T830" s="23">
        <f>Parameters!R416</f>
        <v>0</v>
      </c>
      <c r="U830" s="27">
        <f>Parameters!S416</f>
        <v>0</v>
      </c>
      <c r="V830" s="28">
        <f>Parameters!T416</f>
        <v>0</v>
      </c>
      <c r="W830" s="27">
        <f>Parameters!U416</f>
        <v>0</v>
      </c>
      <c r="X830" s="28">
        <f>Parameters!V416</f>
        <v>0</v>
      </c>
      <c r="Y830" s="25">
        <f>Parameters!W416</f>
        <v>0</v>
      </c>
      <c r="Z830" s="23">
        <f>Parameters!X416</f>
        <v>0</v>
      </c>
      <c r="AA830" s="27">
        <f>Parameters!Y416</f>
        <v>0</v>
      </c>
      <c r="AB830" s="28">
        <f>Parameters!Z416</f>
        <v>0</v>
      </c>
      <c r="AC830" s="23">
        <f>Parameters!AA416</f>
        <v>0</v>
      </c>
    </row>
    <row r="831" spans="1:29">
      <c r="A831" s="29" t="str">
        <f>UPPER(A830)</f>
        <v>0</v>
      </c>
      <c r="B831" s="29">
        <f>B830</f>
        <v>0</v>
      </c>
      <c r="C831" s="30">
        <f>C830</f>
        <v>0</v>
      </c>
      <c r="D831" s="30">
        <f>D830</f>
        <v>0</v>
      </c>
      <c r="E831" s="29">
        <f>E830</f>
        <v>0</v>
      </c>
      <c r="F831" s="29">
        <f>F830</f>
        <v>0</v>
      </c>
      <c r="G831" s="29" t="e">
        <f>IF(C830=1,IF(D830="BUY",E830+(ROUND(F830*G830/B830,0)*B830),E830-(ROUND(F830*G830/B830,0)*B830)),IF(D830="BUY",E830-(ROUND(F830*G830/B830,0)*B830),E830+(ROUND(F830*G830/B830,0)*B830)))</f>
        <v>#DIV/0!</v>
      </c>
      <c r="H831" s="29" t="e">
        <f>IF(C830=1,IF(D830="BUY",G831-(ROUND(F830*H830/B830,0)*B830),G831+(ROUND(F830*H830/B830,0)*B830)),IF(D830="BUY",G831+(ROUND(F830*H830/B830,0)*B830),G831-(ROUND(F830*H830/B830,0)*B830)))</f>
        <v>#DIV/0!</v>
      </c>
      <c r="I831" s="29" t="e">
        <f>IF(D830="BUY",G831+(ROUND(F830*I830/(B830*100),0)*B830),G831-(ROUND(F830*I830/(B830*100),0)*B830))</f>
        <v>#DIV/0!</v>
      </c>
      <c r="J831" s="29" t="e">
        <f>IF(C830=1,IF(D830="BUY",E830+(ROUND(F830*J830/B830,0)*B830),E830-(ROUND(F830*J830/B830,0)*B830)),IF(D830="BUY",E830-(ROUND(F830*J830/B830,0)*B830),E830+(ROUND(F830*J830/B830,0)*B830)))</f>
        <v>#DIV/0!</v>
      </c>
      <c r="K831" s="29" t="e">
        <f>IF(C830=1,IF(D830="BUY",E830-(ROUND(F830*K830/B830,0)*B830),E830+(ROUND(F830*K830/B830,0)*B830)),IF(D830="BUY",E830-(ROUND(F830*K830/B830,0)*B830),E830+(ROUND(F830*K830/B830,0)*B830)))</f>
        <v>#DIV/0!</v>
      </c>
      <c r="L831" s="29" t="e">
        <f t="shared" ref="L831" si="1241">IF(D831="BUY",I831+(R831*B831),I831-(R831*B831))</f>
        <v>#DIV/0!</v>
      </c>
      <c r="M831" s="29" t="e">
        <f>IF(D830="BUY",E830+(ROUND(F830*M830/B830,0)*B830),E830-(ROUND(F830*M830/B830,0)*B830))</f>
        <v>#DIV/0!</v>
      </c>
      <c r="N831" s="29" t="e">
        <f>IF(D830="BUY",E830-(ROUND(F830*N830/B830,0)*B830),E830+(ROUND(F830*N830/B830,0)*B830))</f>
        <v>#DIV/0!</v>
      </c>
      <c r="O831" s="31" t="e">
        <f>IF(D831="BUY",N831-VLOOKUP(A831,Symbols!A$1:D$1000,4,FALSE),N831+VLOOKUP(A831,Symbols!A$1:D$1000,4,FALSE))</f>
        <v>#DIV/0!</v>
      </c>
      <c r="P831" s="29">
        <f>P830</f>
        <v>0</v>
      </c>
      <c r="Q831" s="29">
        <f>Q830</f>
        <v>0</v>
      </c>
      <c r="R831" s="29">
        <f>R830</f>
        <v>0</v>
      </c>
      <c r="S831" s="29">
        <f>S830</f>
        <v>0</v>
      </c>
      <c r="T831" s="29">
        <f>T830</f>
        <v>0</v>
      </c>
      <c r="U831" s="29" t="e">
        <f>DATEDIF(DATE(1970,1,1),U830,"D")*86400</f>
        <v>#NUM!</v>
      </c>
      <c r="V831" s="29">
        <f>HOUR(V830)*3600+MINUTE(V830)*60+SECOND(V830)</f>
        <v>0</v>
      </c>
      <c r="W831" s="29" t="e">
        <f>DATEDIF(DATE(1970,1,1),W830,"D")*86400</f>
        <v>#NUM!</v>
      </c>
      <c r="X831" s="29">
        <f>HOUR(X830)*3600+MINUTE(X830)*60+SECOND(X830)</f>
        <v>0</v>
      </c>
      <c r="Y831" s="31">
        <f>(Y830*B831)</f>
        <v>0</v>
      </c>
      <c r="Z831" s="29">
        <f>Z830</f>
        <v>0</v>
      </c>
      <c r="AA831" s="29" t="e">
        <f>DATEDIF(DATE(1970,1,1),AA830,"D")*86400</f>
        <v>#NUM!</v>
      </c>
      <c r="AB831" s="29">
        <f>HOUR(AB830)*3600+MINUTE(AB830)*60+SECOND(AB830)</f>
        <v>0</v>
      </c>
      <c r="AC831" s="29">
        <f>AC830</f>
        <v>0</v>
      </c>
    </row>
    <row r="832" spans="1:29">
      <c r="A832" s="23">
        <f>Parameters!A417</f>
        <v>0</v>
      </c>
      <c r="B832" s="23">
        <f>Parameters!B417</f>
        <v>0</v>
      </c>
      <c r="C832" s="24">
        <f>Parameters!C417</f>
        <v>0</v>
      </c>
      <c r="D832" s="24">
        <f>Parameters!D417</f>
        <v>0</v>
      </c>
      <c r="E832" s="23">
        <f>Parameters!E417</f>
        <v>0</v>
      </c>
      <c r="F832" s="23">
        <f>Parameters!F417</f>
        <v>0</v>
      </c>
      <c r="G832" s="25">
        <f>Parameters!G417</f>
        <v>0</v>
      </c>
      <c r="H832" s="25">
        <f>Parameters!H417</f>
        <v>0</v>
      </c>
      <c r="I832" s="25">
        <f>Parameters!I417</f>
        <v>0</v>
      </c>
      <c r="J832" s="25">
        <f>Parameters!J417</f>
        <v>0</v>
      </c>
      <c r="K832" s="25">
        <f>Parameters!K417</f>
        <v>0</v>
      </c>
      <c r="L832" s="26" t="e">
        <f t="shared" ref="L832" si="1242">L833</f>
        <v>#DIV/0!</v>
      </c>
      <c r="M832" s="25">
        <f>Parameters!L417</f>
        <v>0</v>
      </c>
      <c r="N832" s="25">
        <f>Parameters!M417</f>
        <v>0</v>
      </c>
      <c r="O832" s="26" t="e">
        <f t="shared" ref="O832" si="1243">O833</f>
        <v>#DIV/0!</v>
      </c>
      <c r="P832" s="23">
        <f>Parameters!N417</f>
        <v>0</v>
      </c>
      <c r="Q832" s="23">
        <f>Parameters!O417</f>
        <v>0</v>
      </c>
      <c r="R832" s="23">
        <f>Parameters!P417</f>
        <v>0</v>
      </c>
      <c r="S832" s="23">
        <f>Parameters!Q417</f>
        <v>0</v>
      </c>
      <c r="T832" s="23">
        <f>Parameters!R417</f>
        <v>0</v>
      </c>
      <c r="U832" s="27">
        <f>Parameters!S417</f>
        <v>0</v>
      </c>
      <c r="V832" s="28">
        <f>Parameters!T417</f>
        <v>0</v>
      </c>
      <c r="W832" s="27">
        <f>Parameters!U417</f>
        <v>0</v>
      </c>
      <c r="X832" s="28">
        <f>Parameters!V417</f>
        <v>0</v>
      </c>
      <c r="Y832" s="25">
        <f>Parameters!W417</f>
        <v>0</v>
      </c>
      <c r="Z832" s="23">
        <f>Parameters!X417</f>
        <v>0</v>
      </c>
      <c r="AA832" s="27">
        <f>Parameters!Y417</f>
        <v>0</v>
      </c>
      <c r="AB832" s="28">
        <f>Parameters!Z417</f>
        <v>0</v>
      </c>
      <c r="AC832" s="23">
        <f>Parameters!AA417</f>
        <v>0</v>
      </c>
    </row>
    <row r="833" spans="1:29">
      <c r="A833" s="29" t="str">
        <f>UPPER(A832)</f>
        <v>0</v>
      </c>
      <c r="B833" s="29">
        <f>B832</f>
        <v>0</v>
      </c>
      <c r="C833" s="30">
        <f>C832</f>
        <v>0</v>
      </c>
      <c r="D833" s="30">
        <f>D832</f>
        <v>0</v>
      </c>
      <c r="E833" s="29">
        <f>E832</f>
        <v>0</v>
      </c>
      <c r="F833" s="29">
        <f>F832</f>
        <v>0</v>
      </c>
      <c r="G833" s="29" t="e">
        <f>IF(C832=1,IF(D832="BUY",E832+(ROUND(F832*G832/B832,0)*B832),E832-(ROUND(F832*G832/B832,0)*B832)),IF(D832="BUY",E832-(ROUND(F832*G832/B832,0)*B832),E832+(ROUND(F832*G832/B832,0)*B832)))</f>
        <v>#DIV/0!</v>
      </c>
      <c r="H833" s="29" t="e">
        <f>IF(C832=1,IF(D832="BUY",G833-(ROUND(F832*H832/B832,0)*B832),G833+(ROUND(F832*H832/B832,0)*B832)),IF(D832="BUY",G833+(ROUND(F832*H832/B832,0)*B832),G833-(ROUND(F832*H832/B832,0)*B832)))</f>
        <v>#DIV/0!</v>
      </c>
      <c r="I833" s="29" t="e">
        <f>IF(D832="BUY",G833+(ROUND(F832*I832/(B832*100),0)*B832),G833-(ROUND(F832*I832/(B832*100),0)*B832))</f>
        <v>#DIV/0!</v>
      </c>
      <c r="J833" s="29" t="e">
        <f>IF(C832=1,IF(D832="BUY",E832+(ROUND(F832*J832/B832,0)*B832),E832-(ROUND(F832*J832/B832,0)*B832)),IF(D832="BUY",E832-(ROUND(F832*J832/B832,0)*B832),E832+(ROUND(F832*J832/B832,0)*B832)))</f>
        <v>#DIV/0!</v>
      </c>
      <c r="K833" s="29" t="e">
        <f>IF(C832=1,IF(D832="BUY",E832-(ROUND(F832*K832/B832,0)*B832),E832+(ROUND(F832*K832/B832,0)*B832)),IF(D832="BUY",E832-(ROUND(F832*K832/B832,0)*B832),E832+(ROUND(F832*K832/B832,0)*B832)))</f>
        <v>#DIV/0!</v>
      </c>
      <c r="L833" s="29" t="e">
        <f t="shared" ref="L833" si="1244">IF(D833="BUY",I833+(R833*B833),I833-(R833*B833))</f>
        <v>#DIV/0!</v>
      </c>
      <c r="M833" s="29" t="e">
        <f>IF(D832="BUY",E832+(ROUND(F832*M832/B832,0)*B832),E832-(ROUND(F832*M832/B832,0)*B832))</f>
        <v>#DIV/0!</v>
      </c>
      <c r="N833" s="29" t="e">
        <f>IF(D832="BUY",E832-(ROUND(F832*N832/B832,0)*B832),E832+(ROUND(F832*N832/B832,0)*B832))</f>
        <v>#DIV/0!</v>
      </c>
      <c r="O833" s="31" t="e">
        <f>IF(D833="BUY",N833-VLOOKUP(A833,Symbols!A$1:D$1000,4,FALSE),N833+VLOOKUP(A833,Symbols!A$1:D$1000,4,FALSE))</f>
        <v>#DIV/0!</v>
      </c>
      <c r="P833" s="29">
        <f>P832</f>
        <v>0</v>
      </c>
      <c r="Q833" s="29">
        <f>Q832</f>
        <v>0</v>
      </c>
      <c r="R833" s="29">
        <f>R832</f>
        <v>0</v>
      </c>
      <c r="S833" s="29">
        <f>S832</f>
        <v>0</v>
      </c>
      <c r="T833" s="29">
        <f>T832</f>
        <v>0</v>
      </c>
      <c r="U833" s="29" t="e">
        <f>DATEDIF(DATE(1970,1,1),U832,"D")*86400</f>
        <v>#NUM!</v>
      </c>
      <c r="V833" s="29">
        <f>HOUR(V832)*3600+MINUTE(V832)*60+SECOND(V832)</f>
        <v>0</v>
      </c>
      <c r="W833" s="29" t="e">
        <f>DATEDIF(DATE(1970,1,1),W832,"D")*86400</f>
        <v>#NUM!</v>
      </c>
      <c r="X833" s="29">
        <f>HOUR(X832)*3600+MINUTE(X832)*60+SECOND(X832)</f>
        <v>0</v>
      </c>
      <c r="Y833" s="31">
        <f>(Y832*B833)</f>
        <v>0</v>
      </c>
      <c r="Z833" s="29">
        <f>Z832</f>
        <v>0</v>
      </c>
      <c r="AA833" s="29" t="e">
        <f>DATEDIF(DATE(1970,1,1),AA832,"D")*86400</f>
        <v>#NUM!</v>
      </c>
      <c r="AB833" s="29">
        <f>HOUR(AB832)*3600+MINUTE(AB832)*60+SECOND(AB832)</f>
        <v>0</v>
      </c>
      <c r="AC833" s="29">
        <f>AC832</f>
        <v>0</v>
      </c>
    </row>
    <row r="834" spans="1:29">
      <c r="A834" s="23">
        <f>Parameters!A418</f>
        <v>0</v>
      </c>
      <c r="B834" s="23">
        <f>Parameters!B418</f>
        <v>0</v>
      </c>
      <c r="C834" s="24">
        <f>Parameters!C418</f>
        <v>0</v>
      </c>
      <c r="D834" s="24">
        <f>Parameters!D418</f>
        <v>0</v>
      </c>
      <c r="E834" s="23">
        <f>Parameters!E418</f>
        <v>0</v>
      </c>
      <c r="F834" s="23">
        <f>Parameters!F418</f>
        <v>0</v>
      </c>
      <c r="G834" s="25">
        <f>Parameters!G418</f>
        <v>0</v>
      </c>
      <c r="H834" s="25">
        <f>Parameters!H418</f>
        <v>0</v>
      </c>
      <c r="I834" s="25">
        <f>Parameters!I418</f>
        <v>0</v>
      </c>
      <c r="J834" s="25">
        <f>Parameters!J418</f>
        <v>0</v>
      </c>
      <c r="K834" s="25">
        <f>Parameters!K418</f>
        <v>0</v>
      </c>
      <c r="L834" s="26" t="e">
        <f t="shared" ref="L834" si="1245">L835</f>
        <v>#DIV/0!</v>
      </c>
      <c r="M834" s="25">
        <f>Parameters!L418</f>
        <v>0</v>
      </c>
      <c r="N834" s="25">
        <f>Parameters!M418</f>
        <v>0</v>
      </c>
      <c r="O834" s="26" t="e">
        <f t="shared" ref="O834" si="1246">O835</f>
        <v>#DIV/0!</v>
      </c>
      <c r="P834" s="23">
        <f>Parameters!N418</f>
        <v>0</v>
      </c>
      <c r="Q834" s="23">
        <f>Parameters!O418</f>
        <v>0</v>
      </c>
      <c r="R834" s="23">
        <f>Parameters!P418</f>
        <v>0</v>
      </c>
      <c r="S834" s="23">
        <f>Parameters!Q418</f>
        <v>0</v>
      </c>
      <c r="T834" s="23">
        <f>Parameters!R418</f>
        <v>0</v>
      </c>
      <c r="U834" s="27">
        <f>Parameters!S418</f>
        <v>0</v>
      </c>
      <c r="V834" s="28">
        <f>Parameters!T418</f>
        <v>0</v>
      </c>
      <c r="W834" s="27">
        <f>Parameters!U418</f>
        <v>0</v>
      </c>
      <c r="X834" s="28">
        <f>Parameters!V418</f>
        <v>0</v>
      </c>
      <c r="Y834" s="25">
        <f>Parameters!W418</f>
        <v>0</v>
      </c>
      <c r="Z834" s="23">
        <f>Parameters!X418</f>
        <v>0</v>
      </c>
      <c r="AA834" s="27">
        <f>Parameters!Y418</f>
        <v>0</v>
      </c>
      <c r="AB834" s="28">
        <f>Parameters!Z418</f>
        <v>0</v>
      </c>
      <c r="AC834" s="23">
        <f>Parameters!AA418</f>
        <v>0</v>
      </c>
    </row>
    <row r="835" spans="1:29">
      <c r="A835" s="29" t="str">
        <f>UPPER(A834)</f>
        <v>0</v>
      </c>
      <c r="B835" s="29">
        <f>B834</f>
        <v>0</v>
      </c>
      <c r="C835" s="30">
        <f>C834</f>
        <v>0</v>
      </c>
      <c r="D835" s="30">
        <f>D834</f>
        <v>0</v>
      </c>
      <c r="E835" s="29">
        <f>E834</f>
        <v>0</v>
      </c>
      <c r="F835" s="29">
        <f>F834</f>
        <v>0</v>
      </c>
      <c r="G835" s="29" t="e">
        <f>IF(C834=1,IF(D834="BUY",E834+(ROUND(F834*G834/B834,0)*B834),E834-(ROUND(F834*G834/B834,0)*B834)),IF(D834="BUY",E834-(ROUND(F834*G834/B834,0)*B834),E834+(ROUND(F834*G834/B834,0)*B834)))</f>
        <v>#DIV/0!</v>
      </c>
      <c r="H835" s="29" t="e">
        <f>IF(C834=1,IF(D834="BUY",G835-(ROUND(F834*H834/B834,0)*B834),G835+(ROUND(F834*H834/B834,0)*B834)),IF(D834="BUY",G835+(ROUND(F834*H834/B834,0)*B834),G835-(ROUND(F834*H834/B834,0)*B834)))</f>
        <v>#DIV/0!</v>
      </c>
      <c r="I835" s="29" t="e">
        <f>IF(D834="BUY",G835+(ROUND(F834*I834/(B834*100),0)*B834),G835-(ROUND(F834*I834/(B834*100),0)*B834))</f>
        <v>#DIV/0!</v>
      </c>
      <c r="J835" s="29" t="e">
        <f>IF(C834=1,IF(D834="BUY",E834+(ROUND(F834*J834/B834,0)*B834),E834-(ROUND(F834*J834/B834,0)*B834)),IF(D834="BUY",E834-(ROUND(F834*J834/B834,0)*B834),E834+(ROUND(F834*J834/B834,0)*B834)))</f>
        <v>#DIV/0!</v>
      </c>
      <c r="K835" s="29" t="e">
        <f>IF(C834=1,IF(D834="BUY",E834-(ROUND(F834*K834/B834,0)*B834),E834+(ROUND(F834*K834/B834,0)*B834)),IF(D834="BUY",E834-(ROUND(F834*K834/B834,0)*B834),E834+(ROUND(F834*K834/B834,0)*B834)))</f>
        <v>#DIV/0!</v>
      </c>
      <c r="L835" s="29" t="e">
        <f t="shared" ref="L835" si="1247">IF(D835="BUY",I835+(R835*B835),I835-(R835*B835))</f>
        <v>#DIV/0!</v>
      </c>
      <c r="M835" s="29" t="e">
        <f>IF(D834="BUY",E834+(ROUND(F834*M834/B834,0)*B834),E834-(ROUND(F834*M834/B834,0)*B834))</f>
        <v>#DIV/0!</v>
      </c>
      <c r="N835" s="29" t="e">
        <f>IF(D834="BUY",E834-(ROUND(F834*N834/B834,0)*B834),E834+(ROUND(F834*N834/B834,0)*B834))</f>
        <v>#DIV/0!</v>
      </c>
      <c r="O835" s="31" t="e">
        <f>IF(D835="BUY",N835-VLOOKUP(A835,Symbols!A$1:D$1000,4,FALSE),N835+VLOOKUP(A835,Symbols!A$1:D$1000,4,FALSE))</f>
        <v>#DIV/0!</v>
      </c>
      <c r="P835" s="29">
        <f>P834</f>
        <v>0</v>
      </c>
      <c r="Q835" s="29">
        <f>Q834</f>
        <v>0</v>
      </c>
      <c r="R835" s="29">
        <f>R834</f>
        <v>0</v>
      </c>
      <c r="S835" s="29">
        <f>S834</f>
        <v>0</v>
      </c>
      <c r="T835" s="29">
        <f>T834</f>
        <v>0</v>
      </c>
      <c r="U835" s="29" t="e">
        <f>DATEDIF(DATE(1970,1,1),U834,"D")*86400</f>
        <v>#NUM!</v>
      </c>
      <c r="V835" s="29">
        <f>HOUR(V834)*3600+MINUTE(V834)*60+SECOND(V834)</f>
        <v>0</v>
      </c>
      <c r="W835" s="29" t="e">
        <f>DATEDIF(DATE(1970,1,1),W834,"D")*86400</f>
        <v>#NUM!</v>
      </c>
      <c r="X835" s="29">
        <f>HOUR(X834)*3600+MINUTE(X834)*60+SECOND(X834)</f>
        <v>0</v>
      </c>
      <c r="Y835" s="31">
        <f>(Y834*B835)</f>
        <v>0</v>
      </c>
      <c r="Z835" s="29">
        <f>Z834</f>
        <v>0</v>
      </c>
      <c r="AA835" s="29" t="e">
        <f>DATEDIF(DATE(1970,1,1),AA834,"D")*86400</f>
        <v>#NUM!</v>
      </c>
      <c r="AB835" s="29">
        <f>HOUR(AB834)*3600+MINUTE(AB834)*60+SECOND(AB834)</f>
        <v>0</v>
      </c>
      <c r="AC835" s="29">
        <f>AC834</f>
        <v>0</v>
      </c>
    </row>
    <row r="836" spans="1:29">
      <c r="A836" s="23">
        <f>Parameters!A419</f>
        <v>0</v>
      </c>
      <c r="B836" s="23">
        <f>Parameters!B419</f>
        <v>0</v>
      </c>
      <c r="C836" s="24">
        <f>Parameters!C419</f>
        <v>0</v>
      </c>
      <c r="D836" s="24">
        <f>Parameters!D419</f>
        <v>0</v>
      </c>
      <c r="E836" s="23">
        <f>Parameters!E419</f>
        <v>0</v>
      </c>
      <c r="F836" s="23">
        <f>Parameters!F419</f>
        <v>0</v>
      </c>
      <c r="G836" s="25">
        <f>Parameters!G419</f>
        <v>0</v>
      </c>
      <c r="H836" s="25">
        <f>Parameters!H419</f>
        <v>0</v>
      </c>
      <c r="I836" s="25">
        <f>Parameters!I419</f>
        <v>0</v>
      </c>
      <c r="J836" s="25">
        <f>Parameters!J419</f>
        <v>0</v>
      </c>
      <c r="K836" s="25">
        <f>Parameters!K419</f>
        <v>0</v>
      </c>
      <c r="L836" s="26" t="e">
        <f t="shared" ref="L836" si="1248">L837</f>
        <v>#DIV/0!</v>
      </c>
      <c r="M836" s="25">
        <f>Parameters!L419</f>
        <v>0</v>
      </c>
      <c r="N836" s="25">
        <f>Parameters!M419</f>
        <v>0</v>
      </c>
      <c r="O836" s="26" t="e">
        <f t="shared" ref="O836" si="1249">O837</f>
        <v>#DIV/0!</v>
      </c>
      <c r="P836" s="23">
        <f>Parameters!N419</f>
        <v>0</v>
      </c>
      <c r="Q836" s="23">
        <f>Parameters!O419</f>
        <v>0</v>
      </c>
      <c r="R836" s="23">
        <f>Parameters!P419</f>
        <v>0</v>
      </c>
      <c r="S836" s="23">
        <f>Parameters!Q419</f>
        <v>0</v>
      </c>
      <c r="T836" s="23">
        <f>Parameters!R419</f>
        <v>0</v>
      </c>
      <c r="U836" s="27">
        <f>Parameters!S419</f>
        <v>0</v>
      </c>
      <c r="V836" s="28">
        <f>Parameters!T419</f>
        <v>0</v>
      </c>
      <c r="W836" s="27">
        <f>Parameters!U419</f>
        <v>0</v>
      </c>
      <c r="X836" s="28">
        <f>Parameters!V419</f>
        <v>0</v>
      </c>
      <c r="Y836" s="25">
        <f>Parameters!W419</f>
        <v>0</v>
      </c>
      <c r="Z836" s="23">
        <f>Parameters!X419</f>
        <v>0</v>
      </c>
      <c r="AA836" s="27">
        <f>Parameters!Y419</f>
        <v>0</v>
      </c>
      <c r="AB836" s="28">
        <f>Parameters!Z419</f>
        <v>0</v>
      </c>
      <c r="AC836" s="23">
        <f>Parameters!AA419</f>
        <v>0</v>
      </c>
    </row>
    <row r="837" spans="1:29">
      <c r="A837" s="29" t="str">
        <f>UPPER(A836)</f>
        <v>0</v>
      </c>
      <c r="B837" s="29">
        <f>B836</f>
        <v>0</v>
      </c>
      <c r="C837" s="30">
        <f>C836</f>
        <v>0</v>
      </c>
      <c r="D837" s="30">
        <f>D836</f>
        <v>0</v>
      </c>
      <c r="E837" s="29">
        <f>E836</f>
        <v>0</v>
      </c>
      <c r="F837" s="29">
        <f>F836</f>
        <v>0</v>
      </c>
      <c r="G837" s="29" t="e">
        <f>IF(C836=1,IF(D836="BUY",E836+(ROUND(F836*G836/B836,0)*B836),E836-(ROUND(F836*G836/B836,0)*B836)),IF(D836="BUY",E836-(ROUND(F836*G836/B836,0)*B836),E836+(ROUND(F836*G836/B836,0)*B836)))</f>
        <v>#DIV/0!</v>
      </c>
      <c r="H837" s="29" t="e">
        <f>IF(C836=1,IF(D836="BUY",G837-(ROUND(F836*H836/B836,0)*B836),G837+(ROUND(F836*H836/B836,0)*B836)),IF(D836="BUY",G837+(ROUND(F836*H836/B836,0)*B836),G837-(ROUND(F836*H836/B836,0)*B836)))</f>
        <v>#DIV/0!</v>
      </c>
      <c r="I837" s="29" t="e">
        <f>IF(D836="BUY",G837+(ROUND(F836*I836/(B836*100),0)*B836),G837-(ROUND(F836*I836/(B836*100),0)*B836))</f>
        <v>#DIV/0!</v>
      </c>
      <c r="J837" s="29" t="e">
        <f>IF(C836=1,IF(D836="BUY",E836+(ROUND(F836*J836/B836,0)*B836),E836-(ROUND(F836*J836/B836,0)*B836)),IF(D836="BUY",E836-(ROUND(F836*J836/B836,0)*B836),E836+(ROUND(F836*J836/B836,0)*B836)))</f>
        <v>#DIV/0!</v>
      </c>
      <c r="K837" s="29" t="e">
        <f>IF(C836=1,IF(D836="BUY",E836-(ROUND(F836*K836/B836,0)*B836),E836+(ROUND(F836*K836/B836,0)*B836)),IF(D836="BUY",E836-(ROUND(F836*K836/B836,0)*B836),E836+(ROUND(F836*K836/B836,0)*B836)))</f>
        <v>#DIV/0!</v>
      </c>
      <c r="L837" s="29" t="e">
        <f t="shared" ref="L837" si="1250">IF(D837="BUY",I837+(R837*B837),I837-(R837*B837))</f>
        <v>#DIV/0!</v>
      </c>
      <c r="M837" s="29" t="e">
        <f>IF(D836="BUY",E836+(ROUND(F836*M836/B836,0)*B836),E836-(ROUND(F836*M836/B836,0)*B836))</f>
        <v>#DIV/0!</v>
      </c>
      <c r="N837" s="29" t="e">
        <f>IF(D836="BUY",E836-(ROUND(F836*N836/B836,0)*B836),E836+(ROUND(F836*N836/B836,0)*B836))</f>
        <v>#DIV/0!</v>
      </c>
      <c r="O837" s="31" t="e">
        <f>IF(D837="BUY",N837-VLOOKUP(A837,Symbols!A$1:D$1000,4,FALSE),N837+VLOOKUP(A837,Symbols!A$1:D$1000,4,FALSE))</f>
        <v>#DIV/0!</v>
      </c>
      <c r="P837" s="29">
        <f>P836</f>
        <v>0</v>
      </c>
      <c r="Q837" s="29">
        <f>Q836</f>
        <v>0</v>
      </c>
      <c r="R837" s="29">
        <f>R836</f>
        <v>0</v>
      </c>
      <c r="S837" s="29">
        <f>S836</f>
        <v>0</v>
      </c>
      <c r="T837" s="29">
        <f>T836</f>
        <v>0</v>
      </c>
      <c r="U837" s="29" t="e">
        <f>DATEDIF(DATE(1970,1,1),U836,"D")*86400</f>
        <v>#NUM!</v>
      </c>
      <c r="V837" s="29">
        <f>HOUR(V836)*3600+MINUTE(V836)*60+SECOND(V836)</f>
        <v>0</v>
      </c>
      <c r="W837" s="29" t="e">
        <f>DATEDIF(DATE(1970,1,1),W836,"D")*86400</f>
        <v>#NUM!</v>
      </c>
      <c r="X837" s="29">
        <f>HOUR(X836)*3600+MINUTE(X836)*60+SECOND(X836)</f>
        <v>0</v>
      </c>
      <c r="Y837" s="31">
        <f>(Y836*B837)</f>
        <v>0</v>
      </c>
      <c r="Z837" s="29">
        <f>Z836</f>
        <v>0</v>
      </c>
      <c r="AA837" s="29" t="e">
        <f>DATEDIF(DATE(1970,1,1),AA836,"D")*86400</f>
        <v>#NUM!</v>
      </c>
      <c r="AB837" s="29">
        <f>HOUR(AB836)*3600+MINUTE(AB836)*60+SECOND(AB836)</f>
        <v>0</v>
      </c>
      <c r="AC837" s="29">
        <f>AC836</f>
        <v>0</v>
      </c>
    </row>
    <row r="838" spans="1:29">
      <c r="A838" s="23">
        <f>Parameters!A420</f>
        <v>0</v>
      </c>
      <c r="B838" s="23">
        <f>Parameters!B420</f>
        <v>0</v>
      </c>
      <c r="C838" s="24">
        <f>Parameters!C420</f>
        <v>0</v>
      </c>
      <c r="D838" s="24">
        <f>Parameters!D420</f>
        <v>0</v>
      </c>
      <c r="E838" s="23">
        <f>Parameters!E420</f>
        <v>0</v>
      </c>
      <c r="F838" s="23">
        <f>Parameters!F420</f>
        <v>0</v>
      </c>
      <c r="G838" s="25">
        <f>Parameters!G420</f>
        <v>0</v>
      </c>
      <c r="H838" s="25">
        <f>Parameters!H420</f>
        <v>0</v>
      </c>
      <c r="I838" s="25">
        <f>Parameters!I420</f>
        <v>0</v>
      </c>
      <c r="J838" s="25">
        <f>Parameters!J420</f>
        <v>0</v>
      </c>
      <c r="K838" s="25">
        <f>Parameters!K420</f>
        <v>0</v>
      </c>
      <c r="L838" s="26" t="e">
        <f t="shared" ref="L838" si="1251">L839</f>
        <v>#DIV/0!</v>
      </c>
      <c r="M838" s="25">
        <f>Parameters!L420</f>
        <v>0</v>
      </c>
      <c r="N838" s="25">
        <f>Parameters!M420</f>
        <v>0</v>
      </c>
      <c r="O838" s="26" t="e">
        <f t="shared" ref="O838" si="1252">O839</f>
        <v>#DIV/0!</v>
      </c>
      <c r="P838" s="23">
        <f>Parameters!N420</f>
        <v>0</v>
      </c>
      <c r="Q838" s="23">
        <f>Parameters!O420</f>
        <v>0</v>
      </c>
      <c r="R838" s="23">
        <f>Parameters!P420</f>
        <v>0</v>
      </c>
      <c r="S838" s="23">
        <f>Parameters!Q420</f>
        <v>0</v>
      </c>
      <c r="T838" s="23">
        <f>Parameters!R420</f>
        <v>0</v>
      </c>
      <c r="U838" s="27">
        <f>Parameters!S420</f>
        <v>0</v>
      </c>
      <c r="V838" s="28">
        <f>Parameters!T420</f>
        <v>0</v>
      </c>
      <c r="W838" s="27">
        <f>Parameters!U420</f>
        <v>0</v>
      </c>
      <c r="X838" s="28">
        <f>Parameters!V420</f>
        <v>0</v>
      </c>
      <c r="Y838" s="25">
        <f>Parameters!W420</f>
        <v>0</v>
      </c>
      <c r="Z838" s="23">
        <f>Parameters!X420</f>
        <v>0</v>
      </c>
      <c r="AA838" s="27">
        <f>Parameters!Y420</f>
        <v>0</v>
      </c>
      <c r="AB838" s="28">
        <f>Parameters!Z420</f>
        <v>0</v>
      </c>
      <c r="AC838" s="23">
        <f>Parameters!AA420</f>
        <v>0</v>
      </c>
    </row>
    <row r="839" spans="1:29">
      <c r="A839" s="29" t="str">
        <f>UPPER(A838)</f>
        <v>0</v>
      </c>
      <c r="B839" s="29">
        <f>B838</f>
        <v>0</v>
      </c>
      <c r="C839" s="30">
        <f>C838</f>
        <v>0</v>
      </c>
      <c r="D839" s="30">
        <f>D838</f>
        <v>0</v>
      </c>
      <c r="E839" s="29">
        <f>E838</f>
        <v>0</v>
      </c>
      <c r="F839" s="29">
        <f>F838</f>
        <v>0</v>
      </c>
      <c r="G839" s="29" t="e">
        <f>IF(C838=1,IF(D838="BUY",E838+(ROUND(F838*G838/B838,0)*B838),E838-(ROUND(F838*G838/B838,0)*B838)),IF(D838="BUY",E838-(ROUND(F838*G838/B838,0)*B838),E838+(ROUND(F838*G838/B838,0)*B838)))</f>
        <v>#DIV/0!</v>
      </c>
      <c r="H839" s="29" t="e">
        <f>IF(C838=1,IF(D838="BUY",G839-(ROUND(F838*H838/B838,0)*B838),G839+(ROUND(F838*H838/B838,0)*B838)),IF(D838="BUY",G839+(ROUND(F838*H838/B838,0)*B838),G839-(ROUND(F838*H838/B838,0)*B838)))</f>
        <v>#DIV/0!</v>
      </c>
      <c r="I839" s="29" t="e">
        <f>IF(D838="BUY",G839+(ROUND(F838*I838/(B838*100),0)*B838),G839-(ROUND(F838*I838/(B838*100),0)*B838))</f>
        <v>#DIV/0!</v>
      </c>
      <c r="J839" s="29" t="e">
        <f>IF(C838=1,IF(D838="BUY",E838+(ROUND(F838*J838/B838,0)*B838),E838-(ROUND(F838*J838/B838,0)*B838)),IF(D838="BUY",E838-(ROUND(F838*J838/B838,0)*B838),E838+(ROUND(F838*J838/B838,0)*B838)))</f>
        <v>#DIV/0!</v>
      </c>
      <c r="K839" s="29" t="e">
        <f>IF(C838=1,IF(D838="BUY",E838-(ROUND(F838*K838/B838,0)*B838),E838+(ROUND(F838*K838/B838,0)*B838)),IF(D838="BUY",E838-(ROUND(F838*K838/B838,0)*B838),E838+(ROUND(F838*K838/B838,0)*B838)))</f>
        <v>#DIV/0!</v>
      </c>
      <c r="L839" s="29" t="e">
        <f t="shared" ref="L839" si="1253">IF(D839="BUY",I839+(R839*B839),I839-(R839*B839))</f>
        <v>#DIV/0!</v>
      </c>
      <c r="M839" s="29" t="e">
        <f>IF(D838="BUY",E838+(ROUND(F838*M838/B838,0)*B838),E838-(ROUND(F838*M838/B838,0)*B838))</f>
        <v>#DIV/0!</v>
      </c>
      <c r="N839" s="29" t="e">
        <f>IF(D838="BUY",E838-(ROUND(F838*N838/B838,0)*B838),E838+(ROUND(F838*N838/B838,0)*B838))</f>
        <v>#DIV/0!</v>
      </c>
      <c r="O839" s="31" t="e">
        <f>IF(D839="BUY",N839-VLOOKUP(A839,Symbols!A$1:D$1000,4,FALSE),N839+VLOOKUP(A839,Symbols!A$1:D$1000,4,FALSE))</f>
        <v>#DIV/0!</v>
      </c>
      <c r="P839" s="29">
        <f>P838</f>
        <v>0</v>
      </c>
      <c r="Q839" s="29">
        <f>Q838</f>
        <v>0</v>
      </c>
      <c r="R839" s="29">
        <f>R838</f>
        <v>0</v>
      </c>
      <c r="S839" s="29">
        <f>S838</f>
        <v>0</v>
      </c>
      <c r="T839" s="29">
        <f>T838</f>
        <v>0</v>
      </c>
      <c r="U839" s="29" t="e">
        <f>DATEDIF(DATE(1970,1,1),U838,"D")*86400</f>
        <v>#NUM!</v>
      </c>
      <c r="V839" s="29">
        <f>HOUR(V838)*3600+MINUTE(V838)*60+SECOND(V838)</f>
        <v>0</v>
      </c>
      <c r="W839" s="29" t="e">
        <f>DATEDIF(DATE(1970,1,1),W838,"D")*86400</f>
        <v>#NUM!</v>
      </c>
      <c r="X839" s="29">
        <f>HOUR(X838)*3600+MINUTE(X838)*60+SECOND(X838)</f>
        <v>0</v>
      </c>
      <c r="Y839" s="31">
        <f>(Y838*B839)</f>
        <v>0</v>
      </c>
      <c r="Z839" s="29">
        <f>Z838</f>
        <v>0</v>
      </c>
      <c r="AA839" s="29" t="e">
        <f>DATEDIF(DATE(1970,1,1),AA838,"D")*86400</f>
        <v>#NUM!</v>
      </c>
      <c r="AB839" s="29">
        <f>HOUR(AB838)*3600+MINUTE(AB838)*60+SECOND(AB838)</f>
        <v>0</v>
      </c>
      <c r="AC839" s="29">
        <f>AC838</f>
        <v>0</v>
      </c>
    </row>
    <row r="840" spans="1:29">
      <c r="A840" s="23">
        <f>Parameters!A421</f>
        <v>0</v>
      </c>
      <c r="B840" s="23">
        <f>Parameters!B421</f>
        <v>0</v>
      </c>
      <c r="C840" s="24">
        <f>Parameters!C421</f>
        <v>0</v>
      </c>
      <c r="D840" s="24">
        <f>Parameters!D421</f>
        <v>0</v>
      </c>
      <c r="E840" s="23">
        <f>Parameters!E421</f>
        <v>0</v>
      </c>
      <c r="F840" s="23">
        <f>Parameters!F421</f>
        <v>0</v>
      </c>
      <c r="G840" s="25">
        <f>Parameters!G421</f>
        <v>0</v>
      </c>
      <c r="H840" s="25">
        <f>Parameters!H421</f>
        <v>0</v>
      </c>
      <c r="I840" s="25">
        <f>Parameters!I421</f>
        <v>0</v>
      </c>
      <c r="J840" s="25">
        <f>Parameters!J421</f>
        <v>0</v>
      </c>
      <c r="K840" s="25">
        <f>Parameters!K421</f>
        <v>0</v>
      </c>
      <c r="L840" s="26" t="e">
        <f t="shared" ref="L840" si="1254">L841</f>
        <v>#DIV/0!</v>
      </c>
      <c r="M840" s="25">
        <f>Parameters!L421</f>
        <v>0</v>
      </c>
      <c r="N840" s="25">
        <f>Parameters!M421</f>
        <v>0</v>
      </c>
      <c r="O840" s="26" t="e">
        <f t="shared" ref="O840" si="1255">O841</f>
        <v>#DIV/0!</v>
      </c>
      <c r="P840" s="23">
        <f>Parameters!N421</f>
        <v>0</v>
      </c>
      <c r="Q840" s="23">
        <f>Parameters!O421</f>
        <v>0</v>
      </c>
      <c r="R840" s="23">
        <f>Parameters!P421</f>
        <v>0</v>
      </c>
      <c r="S840" s="23">
        <f>Parameters!Q421</f>
        <v>0</v>
      </c>
      <c r="T840" s="23">
        <f>Parameters!R421</f>
        <v>0</v>
      </c>
      <c r="U840" s="27">
        <f>Parameters!S421</f>
        <v>0</v>
      </c>
      <c r="V840" s="28">
        <f>Parameters!T421</f>
        <v>0</v>
      </c>
      <c r="W840" s="27">
        <f>Parameters!U421</f>
        <v>0</v>
      </c>
      <c r="X840" s="28">
        <f>Parameters!V421</f>
        <v>0</v>
      </c>
      <c r="Y840" s="25">
        <f>Parameters!W421</f>
        <v>0</v>
      </c>
      <c r="Z840" s="23">
        <f>Parameters!X421</f>
        <v>0</v>
      </c>
      <c r="AA840" s="27">
        <f>Parameters!Y421</f>
        <v>0</v>
      </c>
      <c r="AB840" s="28">
        <f>Parameters!Z421</f>
        <v>0</v>
      </c>
      <c r="AC840" s="23">
        <f>Parameters!AA421</f>
        <v>0</v>
      </c>
    </row>
    <row r="841" spans="1:29">
      <c r="A841" s="29" t="str">
        <f>UPPER(A840)</f>
        <v>0</v>
      </c>
      <c r="B841" s="29">
        <f>B840</f>
        <v>0</v>
      </c>
      <c r="C841" s="30">
        <f>C840</f>
        <v>0</v>
      </c>
      <c r="D841" s="30">
        <f>D840</f>
        <v>0</v>
      </c>
      <c r="E841" s="29">
        <f>E840</f>
        <v>0</v>
      </c>
      <c r="F841" s="29">
        <f>F840</f>
        <v>0</v>
      </c>
      <c r="G841" s="29" t="e">
        <f>IF(C840=1,IF(D840="BUY",E840+(ROUND(F840*G840/B840,0)*B840),E840-(ROUND(F840*G840/B840,0)*B840)),IF(D840="BUY",E840-(ROUND(F840*G840/B840,0)*B840),E840+(ROUND(F840*G840/B840,0)*B840)))</f>
        <v>#DIV/0!</v>
      </c>
      <c r="H841" s="29" t="e">
        <f>IF(C840=1,IF(D840="BUY",G841-(ROUND(F840*H840/B840,0)*B840),G841+(ROUND(F840*H840/B840,0)*B840)),IF(D840="BUY",G841+(ROUND(F840*H840/B840,0)*B840),G841-(ROUND(F840*H840/B840,0)*B840)))</f>
        <v>#DIV/0!</v>
      </c>
      <c r="I841" s="29" t="e">
        <f>IF(D840="BUY",G841+(ROUND(F840*I840/(B840*100),0)*B840),G841-(ROUND(F840*I840/(B840*100),0)*B840))</f>
        <v>#DIV/0!</v>
      </c>
      <c r="J841" s="29" t="e">
        <f>IF(C840=1,IF(D840="BUY",E840+(ROUND(F840*J840/B840,0)*B840),E840-(ROUND(F840*J840/B840,0)*B840)),IF(D840="BUY",E840-(ROUND(F840*J840/B840,0)*B840),E840+(ROUND(F840*J840/B840,0)*B840)))</f>
        <v>#DIV/0!</v>
      </c>
      <c r="K841" s="29" t="e">
        <f>IF(C840=1,IF(D840="BUY",E840-(ROUND(F840*K840/B840,0)*B840),E840+(ROUND(F840*K840/B840,0)*B840)),IF(D840="BUY",E840-(ROUND(F840*K840/B840,0)*B840),E840+(ROUND(F840*K840/B840,0)*B840)))</f>
        <v>#DIV/0!</v>
      </c>
      <c r="L841" s="29" t="e">
        <f t="shared" ref="L841" si="1256">IF(D841="BUY",I841+(R841*B841),I841-(R841*B841))</f>
        <v>#DIV/0!</v>
      </c>
      <c r="M841" s="29" t="e">
        <f>IF(D840="BUY",E840+(ROUND(F840*M840/B840,0)*B840),E840-(ROUND(F840*M840/B840,0)*B840))</f>
        <v>#DIV/0!</v>
      </c>
      <c r="N841" s="29" t="e">
        <f>IF(D840="BUY",E840-(ROUND(F840*N840/B840,0)*B840),E840+(ROUND(F840*N840/B840,0)*B840))</f>
        <v>#DIV/0!</v>
      </c>
      <c r="O841" s="31" t="e">
        <f>IF(D841="BUY",N841-VLOOKUP(A841,Symbols!A$1:D$1000,4,FALSE),N841+VLOOKUP(A841,Symbols!A$1:D$1000,4,FALSE))</f>
        <v>#DIV/0!</v>
      </c>
      <c r="P841" s="29">
        <f>P840</f>
        <v>0</v>
      </c>
      <c r="Q841" s="29">
        <f>Q840</f>
        <v>0</v>
      </c>
      <c r="R841" s="29">
        <f>R840</f>
        <v>0</v>
      </c>
      <c r="S841" s="29">
        <f>S840</f>
        <v>0</v>
      </c>
      <c r="T841" s="29">
        <f>T840</f>
        <v>0</v>
      </c>
      <c r="U841" s="29" t="e">
        <f>DATEDIF(DATE(1970,1,1),U840,"D")*86400</f>
        <v>#NUM!</v>
      </c>
      <c r="V841" s="29">
        <f>HOUR(V840)*3600+MINUTE(V840)*60+SECOND(V840)</f>
        <v>0</v>
      </c>
      <c r="W841" s="29" t="e">
        <f>DATEDIF(DATE(1970,1,1),W840,"D")*86400</f>
        <v>#NUM!</v>
      </c>
      <c r="X841" s="29">
        <f>HOUR(X840)*3600+MINUTE(X840)*60+SECOND(X840)</f>
        <v>0</v>
      </c>
      <c r="Y841" s="31">
        <f>(Y840*B841)</f>
        <v>0</v>
      </c>
      <c r="Z841" s="29">
        <f>Z840</f>
        <v>0</v>
      </c>
      <c r="AA841" s="29" t="e">
        <f>DATEDIF(DATE(1970,1,1),AA840,"D")*86400</f>
        <v>#NUM!</v>
      </c>
      <c r="AB841" s="29">
        <f>HOUR(AB840)*3600+MINUTE(AB840)*60+SECOND(AB840)</f>
        <v>0</v>
      </c>
      <c r="AC841" s="29">
        <f>AC840</f>
        <v>0</v>
      </c>
    </row>
    <row r="842" spans="1:29">
      <c r="A842" s="23">
        <f>Parameters!A422</f>
        <v>0</v>
      </c>
      <c r="B842" s="23">
        <f>Parameters!B422</f>
        <v>0</v>
      </c>
      <c r="C842" s="24">
        <f>Parameters!C422</f>
        <v>0</v>
      </c>
      <c r="D842" s="24">
        <f>Parameters!D422</f>
        <v>0</v>
      </c>
      <c r="E842" s="23">
        <f>Parameters!E422</f>
        <v>0</v>
      </c>
      <c r="F842" s="23">
        <f>Parameters!F422</f>
        <v>0</v>
      </c>
      <c r="G842" s="25">
        <f>Parameters!G422</f>
        <v>0</v>
      </c>
      <c r="H842" s="25">
        <f>Parameters!H422</f>
        <v>0</v>
      </c>
      <c r="I842" s="25">
        <f>Parameters!I422</f>
        <v>0</v>
      </c>
      <c r="J842" s="25">
        <f>Parameters!J422</f>
        <v>0</v>
      </c>
      <c r="K842" s="25">
        <f>Parameters!K422</f>
        <v>0</v>
      </c>
      <c r="L842" s="26" t="e">
        <f t="shared" ref="L842" si="1257">L843</f>
        <v>#DIV/0!</v>
      </c>
      <c r="M842" s="25">
        <f>Parameters!L422</f>
        <v>0</v>
      </c>
      <c r="N842" s="25">
        <f>Parameters!M422</f>
        <v>0</v>
      </c>
      <c r="O842" s="26" t="e">
        <f t="shared" ref="O842" si="1258">O843</f>
        <v>#DIV/0!</v>
      </c>
      <c r="P842" s="23">
        <f>Parameters!N422</f>
        <v>0</v>
      </c>
      <c r="Q842" s="23">
        <f>Parameters!O422</f>
        <v>0</v>
      </c>
      <c r="R842" s="23">
        <f>Parameters!P422</f>
        <v>0</v>
      </c>
      <c r="S842" s="23">
        <f>Parameters!Q422</f>
        <v>0</v>
      </c>
      <c r="T842" s="23">
        <f>Parameters!R422</f>
        <v>0</v>
      </c>
      <c r="U842" s="27">
        <f>Parameters!S422</f>
        <v>0</v>
      </c>
      <c r="V842" s="28">
        <f>Parameters!T422</f>
        <v>0</v>
      </c>
      <c r="W842" s="27">
        <f>Parameters!U422</f>
        <v>0</v>
      </c>
      <c r="X842" s="28">
        <f>Parameters!V422</f>
        <v>0</v>
      </c>
      <c r="Y842" s="25">
        <f>Parameters!W422</f>
        <v>0</v>
      </c>
      <c r="Z842" s="23">
        <f>Parameters!X422</f>
        <v>0</v>
      </c>
      <c r="AA842" s="27">
        <f>Parameters!Y422</f>
        <v>0</v>
      </c>
      <c r="AB842" s="28">
        <f>Parameters!Z422</f>
        <v>0</v>
      </c>
      <c r="AC842" s="23">
        <f>Parameters!AA422</f>
        <v>0</v>
      </c>
    </row>
    <row r="843" spans="1:29">
      <c r="A843" s="29" t="str">
        <f>UPPER(A842)</f>
        <v>0</v>
      </c>
      <c r="B843" s="29">
        <f>B842</f>
        <v>0</v>
      </c>
      <c r="C843" s="30">
        <f>C842</f>
        <v>0</v>
      </c>
      <c r="D843" s="30">
        <f>D842</f>
        <v>0</v>
      </c>
      <c r="E843" s="29">
        <f>E842</f>
        <v>0</v>
      </c>
      <c r="F843" s="29">
        <f>F842</f>
        <v>0</v>
      </c>
      <c r="G843" s="29" t="e">
        <f>IF(C842=1,IF(D842="BUY",E842+(ROUND(F842*G842/B842,0)*B842),E842-(ROUND(F842*G842/B842,0)*B842)),IF(D842="BUY",E842-(ROUND(F842*G842/B842,0)*B842),E842+(ROUND(F842*G842/B842,0)*B842)))</f>
        <v>#DIV/0!</v>
      </c>
      <c r="H843" s="29" t="e">
        <f>IF(C842=1,IF(D842="BUY",G843-(ROUND(F842*H842/B842,0)*B842),G843+(ROUND(F842*H842/B842,0)*B842)),IF(D842="BUY",G843+(ROUND(F842*H842/B842,0)*B842),G843-(ROUND(F842*H842/B842,0)*B842)))</f>
        <v>#DIV/0!</v>
      </c>
      <c r="I843" s="29" t="e">
        <f>IF(D842="BUY",G843+(ROUND(F842*I842/(B842*100),0)*B842),G843-(ROUND(F842*I842/(B842*100),0)*B842))</f>
        <v>#DIV/0!</v>
      </c>
      <c r="J843" s="29" t="e">
        <f>IF(C842=1,IF(D842="BUY",E842+(ROUND(F842*J842/B842,0)*B842),E842-(ROUND(F842*J842/B842,0)*B842)),IF(D842="BUY",E842-(ROUND(F842*J842/B842,0)*B842),E842+(ROUND(F842*J842/B842,0)*B842)))</f>
        <v>#DIV/0!</v>
      </c>
      <c r="K843" s="29" t="e">
        <f>IF(C842=1,IF(D842="BUY",E842-(ROUND(F842*K842/B842,0)*B842),E842+(ROUND(F842*K842/B842,0)*B842)),IF(D842="BUY",E842-(ROUND(F842*K842/B842,0)*B842),E842+(ROUND(F842*K842/B842,0)*B842)))</f>
        <v>#DIV/0!</v>
      </c>
      <c r="L843" s="29" t="e">
        <f t="shared" ref="L843" si="1259">IF(D843="BUY",I843+(R843*B843),I843-(R843*B843))</f>
        <v>#DIV/0!</v>
      </c>
      <c r="M843" s="29" t="e">
        <f>IF(D842="BUY",E842+(ROUND(F842*M842/B842,0)*B842),E842-(ROUND(F842*M842/B842,0)*B842))</f>
        <v>#DIV/0!</v>
      </c>
      <c r="N843" s="29" t="e">
        <f>IF(D842="BUY",E842-(ROUND(F842*N842/B842,0)*B842),E842+(ROUND(F842*N842/B842,0)*B842))</f>
        <v>#DIV/0!</v>
      </c>
      <c r="O843" s="31" t="e">
        <f>IF(D843="BUY",N843-VLOOKUP(A843,Symbols!A$1:D$1000,4,FALSE),N843+VLOOKUP(A843,Symbols!A$1:D$1000,4,FALSE))</f>
        <v>#DIV/0!</v>
      </c>
      <c r="P843" s="29">
        <f>P842</f>
        <v>0</v>
      </c>
      <c r="Q843" s="29">
        <f>Q842</f>
        <v>0</v>
      </c>
      <c r="R843" s="29">
        <f>R842</f>
        <v>0</v>
      </c>
      <c r="S843" s="29">
        <f>S842</f>
        <v>0</v>
      </c>
      <c r="T843" s="29">
        <f>T842</f>
        <v>0</v>
      </c>
      <c r="U843" s="29" t="e">
        <f>DATEDIF(DATE(1970,1,1),U842,"D")*86400</f>
        <v>#NUM!</v>
      </c>
      <c r="V843" s="29">
        <f>HOUR(V842)*3600+MINUTE(V842)*60+SECOND(V842)</f>
        <v>0</v>
      </c>
      <c r="W843" s="29" t="e">
        <f>DATEDIF(DATE(1970,1,1),W842,"D")*86400</f>
        <v>#NUM!</v>
      </c>
      <c r="X843" s="29">
        <f>HOUR(X842)*3600+MINUTE(X842)*60+SECOND(X842)</f>
        <v>0</v>
      </c>
      <c r="Y843" s="31">
        <f>(Y842*B843)</f>
        <v>0</v>
      </c>
      <c r="Z843" s="29">
        <f>Z842</f>
        <v>0</v>
      </c>
      <c r="AA843" s="29" t="e">
        <f>DATEDIF(DATE(1970,1,1),AA842,"D")*86400</f>
        <v>#NUM!</v>
      </c>
      <c r="AB843" s="29">
        <f>HOUR(AB842)*3600+MINUTE(AB842)*60+SECOND(AB842)</f>
        <v>0</v>
      </c>
      <c r="AC843" s="29">
        <f>AC842</f>
        <v>0</v>
      </c>
    </row>
    <row r="844" spans="1:29">
      <c r="A844" s="23">
        <f>Parameters!A423</f>
        <v>0</v>
      </c>
      <c r="B844" s="23">
        <f>Parameters!B423</f>
        <v>0</v>
      </c>
      <c r="C844" s="24">
        <f>Parameters!C423</f>
        <v>0</v>
      </c>
      <c r="D844" s="24">
        <f>Parameters!D423</f>
        <v>0</v>
      </c>
      <c r="E844" s="23">
        <f>Parameters!E423</f>
        <v>0</v>
      </c>
      <c r="F844" s="23">
        <f>Parameters!F423</f>
        <v>0</v>
      </c>
      <c r="G844" s="25">
        <f>Parameters!G423</f>
        <v>0</v>
      </c>
      <c r="H844" s="25">
        <f>Parameters!H423</f>
        <v>0</v>
      </c>
      <c r="I844" s="25">
        <f>Parameters!I423</f>
        <v>0</v>
      </c>
      <c r="J844" s="25">
        <f>Parameters!J423</f>
        <v>0</v>
      </c>
      <c r="K844" s="25">
        <f>Parameters!K423</f>
        <v>0</v>
      </c>
      <c r="L844" s="26" t="e">
        <f t="shared" ref="L844" si="1260">L845</f>
        <v>#DIV/0!</v>
      </c>
      <c r="M844" s="25">
        <f>Parameters!L423</f>
        <v>0</v>
      </c>
      <c r="N844" s="25">
        <f>Parameters!M423</f>
        <v>0</v>
      </c>
      <c r="O844" s="26" t="e">
        <f t="shared" ref="O844" si="1261">O845</f>
        <v>#DIV/0!</v>
      </c>
      <c r="P844" s="23">
        <f>Parameters!N423</f>
        <v>0</v>
      </c>
      <c r="Q844" s="23">
        <f>Parameters!O423</f>
        <v>0</v>
      </c>
      <c r="R844" s="23">
        <f>Parameters!P423</f>
        <v>0</v>
      </c>
      <c r="S844" s="23">
        <f>Parameters!Q423</f>
        <v>0</v>
      </c>
      <c r="T844" s="23">
        <f>Parameters!R423</f>
        <v>0</v>
      </c>
      <c r="U844" s="27">
        <f>Parameters!S423</f>
        <v>0</v>
      </c>
      <c r="V844" s="28">
        <f>Parameters!T423</f>
        <v>0</v>
      </c>
      <c r="W844" s="27">
        <f>Parameters!U423</f>
        <v>0</v>
      </c>
      <c r="X844" s="28">
        <f>Parameters!V423</f>
        <v>0</v>
      </c>
      <c r="Y844" s="25">
        <f>Parameters!W423</f>
        <v>0</v>
      </c>
      <c r="Z844" s="23">
        <f>Parameters!X423</f>
        <v>0</v>
      </c>
      <c r="AA844" s="27">
        <f>Parameters!Y423</f>
        <v>0</v>
      </c>
      <c r="AB844" s="28">
        <f>Parameters!Z423</f>
        <v>0</v>
      </c>
      <c r="AC844" s="23">
        <f>Parameters!AA423</f>
        <v>0</v>
      </c>
    </row>
    <row r="845" spans="1:29">
      <c r="A845" s="29" t="str">
        <f>UPPER(A844)</f>
        <v>0</v>
      </c>
      <c r="B845" s="29">
        <f>B844</f>
        <v>0</v>
      </c>
      <c r="C845" s="30">
        <f>C844</f>
        <v>0</v>
      </c>
      <c r="D845" s="30">
        <f>D844</f>
        <v>0</v>
      </c>
      <c r="E845" s="29">
        <f>E844</f>
        <v>0</v>
      </c>
      <c r="F845" s="29">
        <f>F844</f>
        <v>0</v>
      </c>
      <c r="G845" s="29" t="e">
        <f>IF(C844=1,IF(D844="BUY",E844+(ROUND(F844*G844/B844,0)*B844),E844-(ROUND(F844*G844/B844,0)*B844)),IF(D844="BUY",E844-(ROUND(F844*G844/B844,0)*B844),E844+(ROUND(F844*G844/B844,0)*B844)))</f>
        <v>#DIV/0!</v>
      </c>
      <c r="H845" s="29" t="e">
        <f>IF(C844=1,IF(D844="BUY",G845-(ROUND(F844*H844/B844,0)*B844),G845+(ROUND(F844*H844/B844,0)*B844)),IF(D844="BUY",G845+(ROUND(F844*H844/B844,0)*B844),G845-(ROUND(F844*H844/B844,0)*B844)))</f>
        <v>#DIV/0!</v>
      </c>
      <c r="I845" s="29" t="e">
        <f>IF(D844="BUY",G845+(ROUND(F844*I844/(B844*100),0)*B844),G845-(ROUND(F844*I844/(B844*100),0)*B844))</f>
        <v>#DIV/0!</v>
      </c>
      <c r="J845" s="29" t="e">
        <f>IF(C844=1,IF(D844="BUY",E844+(ROUND(F844*J844/B844,0)*B844),E844-(ROUND(F844*J844/B844,0)*B844)),IF(D844="BUY",E844-(ROUND(F844*J844/B844,0)*B844),E844+(ROUND(F844*J844/B844,0)*B844)))</f>
        <v>#DIV/0!</v>
      </c>
      <c r="K845" s="29" t="e">
        <f>IF(C844=1,IF(D844="BUY",E844-(ROUND(F844*K844/B844,0)*B844),E844+(ROUND(F844*K844/B844,0)*B844)),IF(D844="BUY",E844-(ROUND(F844*K844/B844,0)*B844),E844+(ROUND(F844*K844/B844,0)*B844)))</f>
        <v>#DIV/0!</v>
      </c>
      <c r="L845" s="29" t="e">
        <f t="shared" ref="L845" si="1262">IF(D845="BUY",I845+(R845*B845),I845-(R845*B845))</f>
        <v>#DIV/0!</v>
      </c>
      <c r="M845" s="29" t="e">
        <f>IF(D844="BUY",E844+(ROUND(F844*M844/B844,0)*B844),E844-(ROUND(F844*M844/B844,0)*B844))</f>
        <v>#DIV/0!</v>
      </c>
      <c r="N845" s="29" t="e">
        <f>IF(D844="BUY",E844-(ROUND(F844*N844/B844,0)*B844),E844+(ROUND(F844*N844/B844,0)*B844))</f>
        <v>#DIV/0!</v>
      </c>
      <c r="O845" s="31" t="e">
        <f>IF(D845="BUY",N845-VLOOKUP(A845,Symbols!A$1:D$1000,4,FALSE),N845+VLOOKUP(A845,Symbols!A$1:D$1000,4,FALSE))</f>
        <v>#DIV/0!</v>
      </c>
      <c r="P845" s="29">
        <f>P844</f>
        <v>0</v>
      </c>
      <c r="Q845" s="29">
        <f>Q844</f>
        <v>0</v>
      </c>
      <c r="R845" s="29">
        <f>R844</f>
        <v>0</v>
      </c>
      <c r="S845" s="29">
        <f>S844</f>
        <v>0</v>
      </c>
      <c r="T845" s="29">
        <f>T844</f>
        <v>0</v>
      </c>
      <c r="U845" s="29" t="e">
        <f>DATEDIF(DATE(1970,1,1),U844,"D")*86400</f>
        <v>#NUM!</v>
      </c>
      <c r="V845" s="29">
        <f>HOUR(V844)*3600+MINUTE(V844)*60+SECOND(V844)</f>
        <v>0</v>
      </c>
      <c r="W845" s="29" t="e">
        <f>DATEDIF(DATE(1970,1,1),W844,"D")*86400</f>
        <v>#NUM!</v>
      </c>
      <c r="X845" s="29">
        <f>HOUR(X844)*3600+MINUTE(X844)*60+SECOND(X844)</f>
        <v>0</v>
      </c>
      <c r="Y845" s="31">
        <f>(Y844*B845)</f>
        <v>0</v>
      </c>
      <c r="Z845" s="29">
        <f>Z844</f>
        <v>0</v>
      </c>
      <c r="AA845" s="29" t="e">
        <f>DATEDIF(DATE(1970,1,1),AA844,"D")*86400</f>
        <v>#NUM!</v>
      </c>
      <c r="AB845" s="29">
        <f>HOUR(AB844)*3600+MINUTE(AB844)*60+SECOND(AB844)</f>
        <v>0</v>
      </c>
      <c r="AC845" s="29">
        <f>AC844</f>
        <v>0</v>
      </c>
    </row>
    <row r="846" spans="1:29">
      <c r="A846" s="23">
        <f>Parameters!A424</f>
        <v>0</v>
      </c>
      <c r="B846" s="23">
        <f>Parameters!B424</f>
        <v>0</v>
      </c>
      <c r="C846" s="24">
        <f>Parameters!C424</f>
        <v>0</v>
      </c>
      <c r="D846" s="24">
        <f>Parameters!D424</f>
        <v>0</v>
      </c>
      <c r="E846" s="23">
        <f>Parameters!E424</f>
        <v>0</v>
      </c>
      <c r="F846" s="23">
        <f>Parameters!F424</f>
        <v>0</v>
      </c>
      <c r="G846" s="25">
        <f>Parameters!G424</f>
        <v>0</v>
      </c>
      <c r="H846" s="25">
        <f>Parameters!H424</f>
        <v>0</v>
      </c>
      <c r="I846" s="25">
        <f>Parameters!I424</f>
        <v>0</v>
      </c>
      <c r="J846" s="25">
        <f>Parameters!J424</f>
        <v>0</v>
      </c>
      <c r="K846" s="25">
        <f>Parameters!K424</f>
        <v>0</v>
      </c>
      <c r="L846" s="26" t="e">
        <f t="shared" ref="L846" si="1263">L847</f>
        <v>#DIV/0!</v>
      </c>
      <c r="M846" s="25">
        <f>Parameters!L424</f>
        <v>0</v>
      </c>
      <c r="N846" s="25">
        <f>Parameters!M424</f>
        <v>0</v>
      </c>
      <c r="O846" s="26" t="e">
        <f t="shared" ref="O846" si="1264">O847</f>
        <v>#DIV/0!</v>
      </c>
      <c r="P846" s="23">
        <f>Parameters!N424</f>
        <v>0</v>
      </c>
      <c r="Q846" s="23">
        <f>Parameters!O424</f>
        <v>0</v>
      </c>
      <c r="R846" s="23">
        <f>Parameters!P424</f>
        <v>0</v>
      </c>
      <c r="S846" s="23">
        <f>Parameters!Q424</f>
        <v>0</v>
      </c>
      <c r="T846" s="23">
        <f>Parameters!R424</f>
        <v>0</v>
      </c>
      <c r="U846" s="27">
        <f>Parameters!S424</f>
        <v>0</v>
      </c>
      <c r="V846" s="28">
        <f>Parameters!T424</f>
        <v>0</v>
      </c>
      <c r="W846" s="27">
        <f>Parameters!U424</f>
        <v>0</v>
      </c>
      <c r="X846" s="28">
        <f>Parameters!V424</f>
        <v>0</v>
      </c>
      <c r="Y846" s="25">
        <f>Parameters!W424</f>
        <v>0</v>
      </c>
      <c r="Z846" s="23">
        <f>Parameters!X424</f>
        <v>0</v>
      </c>
      <c r="AA846" s="27">
        <f>Parameters!Y424</f>
        <v>0</v>
      </c>
      <c r="AB846" s="28">
        <f>Parameters!Z424</f>
        <v>0</v>
      </c>
      <c r="AC846" s="23">
        <f>Parameters!AA424</f>
        <v>0</v>
      </c>
    </row>
    <row r="847" spans="1:29">
      <c r="A847" s="29" t="str">
        <f>UPPER(A846)</f>
        <v>0</v>
      </c>
      <c r="B847" s="29">
        <f>B846</f>
        <v>0</v>
      </c>
      <c r="C847" s="30">
        <f>C846</f>
        <v>0</v>
      </c>
      <c r="D847" s="30">
        <f>D846</f>
        <v>0</v>
      </c>
      <c r="E847" s="29">
        <f>E846</f>
        <v>0</v>
      </c>
      <c r="F847" s="29">
        <f>F846</f>
        <v>0</v>
      </c>
      <c r="G847" s="29" t="e">
        <f>IF(C846=1,IF(D846="BUY",E846+(ROUND(F846*G846/B846,0)*B846),E846-(ROUND(F846*G846/B846,0)*B846)),IF(D846="BUY",E846-(ROUND(F846*G846/B846,0)*B846),E846+(ROUND(F846*G846/B846,0)*B846)))</f>
        <v>#DIV/0!</v>
      </c>
      <c r="H847" s="29" t="e">
        <f>IF(C846=1,IF(D846="BUY",G847-(ROUND(F846*H846/B846,0)*B846),G847+(ROUND(F846*H846/B846,0)*B846)),IF(D846="BUY",G847+(ROUND(F846*H846/B846,0)*B846),G847-(ROUND(F846*H846/B846,0)*B846)))</f>
        <v>#DIV/0!</v>
      </c>
      <c r="I847" s="29" t="e">
        <f>IF(D846="BUY",G847+(ROUND(F846*I846/(B846*100),0)*B846),G847-(ROUND(F846*I846/(B846*100),0)*B846))</f>
        <v>#DIV/0!</v>
      </c>
      <c r="J847" s="29" t="e">
        <f>IF(C846=1,IF(D846="BUY",E846+(ROUND(F846*J846/B846,0)*B846),E846-(ROUND(F846*J846/B846,0)*B846)),IF(D846="BUY",E846-(ROUND(F846*J846/B846,0)*B846),E846+(ROUND(F846*J846/B846,0)*B846)))</f>
        <v>#DIV/0!</v>
      </c>
      <c r="K847" s="29" t="e">
        <f>IF(C846=1,IF(D846="BUY",E846-(ROUND(F846*K846/B846,0)*B846),E846+(ROUND(F846*K846/B846,0)*B846)),IF(D846="BUY",E846-(ROUND(F846*K846/B846,0)*B846),E846+(ROUND(F846*K846/B846,0)*B846)))</f>
        <v>#DIV/0!</v>
      </c>
      <c r="L847" s="29" t="e">
        <f t="shared" ref="L847" si="1265">IF(D847="BUY",I847+(R847*B847),I847-(R847*B847))</f>
        <v>#DIV/0!</v>
      </c>
      <c r="M847" s="29" t="e">
        <f>IF(D846="BUY",E846+(ROUND(F846*M846/B846,0)*B846),E846-(ROUND(F846*M846/B846,0)*B846))</f>
        <v>#DIV/0!</v>
      </c>
      <c r="N847" s="29" t="e">
        <f>IF(D846="BUY",E846-(ROUND(F846*N846/B846,0)*B846),E846+(ROUND(F846*N846/B846,0)*B846))</f>
        <v>#DIV/0!</v>
      </c>
      <c r="O847" s="31" t="e">
        <f>IF(D847="BUY",N847-VLOOKUP(A847,Symbols!A$1:D$1000,4,FALSE),N847+VLOOKUP(A847,Symbols!A$1:D$1000,4,FALSE))</f>
        <v>#DIV/0!</v>
      </c>
      <c r="P847" s="29">
        <f>P846</f>
        <v>0</v>
      </c>
      <c r="Q847" s="29">
        <f>Q846</f>
        <v>0</v>
      </c>
      <c r="R847" s="29">
        <f>R846</f>
        <v>0</v>
      </c>
      <c r="S847" s="29">
        <f>S846</f>
        <v>0</v>
      </c>
      <c r="T847" s="29">
        <f>T846</f>
        <v>0</v>
      </c>
      <c r="U847" s="29" t="e">
        <f>DATEDIF(DATE(1970,1,1),U846,"D")*86400</f>
        <v>#NUM!</v>
      </c>
      <c r="V847" s="29">
        <f>HOUR(V846)*3600+MINUTE(V846)*60+SECOND(V846)</f>
        <v>0</v>
      </c>
      <c r="W847" s="29" t="e">
        <f>DATEDIF(DATE(1970,1,1),W846,"D")*86400</f>
        <v>#NUM!</v>
      </c>
      <c r="X847" s="29">
        <f>HOUR(X846)*3600+MINUTE(X846)*60+SECOND(X846)</f>
        <v>0</v>
      </c>
      <c r="Y847" s="31">
        <f>(Y846*B847)</f>
        <v>0</v>
      </c>
      <c r="Z847" s="29">
        <f>Z846</f>
        <v>0</v>
      </c>
      <c r="AA847" s="29" t="e">
        <f>DATEDIF(DATE(1970,1,1),AA846,"D")*86400</f>
        <v>#NUM!</v>
      </c>
      <c r="AB847" s="29">
        <f>HOUR(AB846)*3600+MINUTE(AB846)*60+SECOND(AB846)</f>
        <v>0</v>
      </c>
      <c r="AC847" s="29">
        <f>AC846</f>
        <v>0</v>
      </c>
    </row>
    <row r="848" spans="1:29">
      <c r="A848" s="23">
        <f>Parameters!A425</f>
        <v>0</v>
      </c>
      <c r="B848" s="23">
        <f>Parameters!B425</f>
        <v>0</v>
      </c>
      <c r="C848" s="24">
        <f>Parameters!C425</f>
        <v>0</v>
      </c>
      <c r="D848" s="24">
        <f>Parameters!D425</f>
        <v>0</v>
      </c>
      <c r="E848" s="23">
        <f>Parameters!E425</f>
        <v>0</v>
      </c>
      <c r="F848" s="23">
        <f>Parameters!F425</f>
        <v>0</v>
      </c>
      <c r="G848" s="25">
        <f>Parameters!G425</f>
        <v>0</v>
      </c>
      <c r="H848" s="25">
        <f>Parameters!H425</f>
        <v>0</v>
      </c>
      <c r="I848" s="25">
        <f>Parameters!I425</f>
        <v>0</v>
      </c>
      <c r="J848" s="25">
        <f>Parameters!J425</f>
        <v>0</v>
      </c>
      <c r="K848" s="25">
        <f>Parameters!K425</f>
        <v>0</v>
      </c>
      <c r="L848" s="26" t="e">
        <f t="shared" ref="L848" si="1266">L849</f>
        <v>#DIV/0!</v>
      </c>
      <c r="M848" s="25">
        <f>Parameters!L425</f>
        <v>0</v>
      </c>
      <c r="N848" s="25">
        <f>Parameters!M425</f>
        <v>0</v>
      </c>
      <c r="O848" s="26" t="e">
        <f t="shared" ref="O848" si="1267">O849</f>
        <v>#DIV/0!</v>
      </c>
      <c r="P848" s="23">
        <f>Parameters!N425</f>
        <v>0</v>
      </c>
      <c r="Q848" s="23">
        <f>Parameters!O425</f>
        <v>0</v>
      </c>
      <c r="R848" s="23">
        <f>Parameters!P425</f>
        <v>0</v>
      </c>
      <c r="S848" s="23">
        <f>Parameters!Q425</f>
        <v>0</v>
      </c>
      <c r="T848" s="23">
        <f>Parameters!R425</f>
        <v>0</v>
      </c>
      <c r="U848" s="27">
        <f>Parameters!S425</f>
        <v>0</v>
      </c>
      <c r="V848" s="28">
        <f>Parameters!T425</f>
        <v>0</v>
      </c>
      <c r="W848" s="27">
        <f>Parameters!U425</f>
        <v>0</v>
      </c>
      <c r="X848" s="28">
        <f>Parameters!V425</f>
        <v>0</v>
      </c>
      <c r="Y848" s="25">
        <f>Parameters!W425</f>
        <v>0</v>
      </c>
      <c r="Z848" s="23">
        <f>Parameters!X425</f>
        <v>0</v>
      </c>
      <c r="AA848" s="27">
        <f>Parameters!Y425</f>
        <v>0</v>
      </c>
      <c r="AB848" s="28">
        <f>Parameters!Z425</f>
        <v>0</v>
      </c>
      <c r="AC848" s="23">
        <f>Parameters!AA425</f>
        <v>0</v>
      </c>
    </row>
    <row r="849" spans="1:29">
      <c r="A849" s="29" t="str">
        <f>UPPER(A848)</f>
        <v>0</v>
      </c>
      <c r="B849" s="29">
        <f>B848</f>
        <v>0</v>
      </c>
      <c r="C849" s="30">
        <f>C848</f>
        <v>0</v>
      </c>
      <c r="D849" s="30">
        <f>D848</f>
        <v>0</v>
      </c>
      <c r="E849" s="29">
        <f>E848</f>
        <v>0</v>
      </c>
      <c r="F849" s="29">
        <f>F848</f>
        <v>0</v>
      </c>
      <c r="G849" s="29" t="e">
        <f>IF(C848=1,IF(D848="BUY",E848+(ROUND(F848*G848/B848,0)*B848),E848-(ROUND(F848*G848/B848,0)*B848)),IF(D848="BUY",E848-(ROUND(F848*G848/B848,0)*B848),E848+(ROUND(F848*G848/B848,0)*B848)))</f>
        <v>#DIV/0!</v>
      </c>
      <c r="H849" s="29" t="e">
        <f>IF(C848=1,IF(D848="BUY",G849-(ROUND(F848*H848/B848,0)*B848),G849+(ROUND(F848*H848/B848,0)*B848)),IF(D848="BUY",G849+(ROUND(F848*H848/B848,0)*B848),G849-(ROUND(F848*H848/B848,0)*B848)))</f>
        <v>#DIV/0!</v>
      </c>
      <c r="I849" s="29" t="e">
        <f>IF(D848="BUY",G849+(ROUND(F848*I848/(B848*100),0)*B848),G849-(ROUND(F848*I848/(B848*100),0)*B848))</f>
        <v>#DIV/0!</v>
      </c>
      <c r="J849" s="29" t="e">
        <f>IF(C848=1,IF(D848="BUY",E848+(ROUND(F848*J848/B848,0)*B848),E848-(ROUND(F848*J848/B848,0)*B848)),IF(D848="BUY",E848-(ROUND(F848*J848/B848,0)*B848),E848+(ROUND(F848*J848/B848,0)*B848)))</f>
        <v>#DIV/0!</v>
      </c>
      <c r="K849" s="29" t="e">
        <f>IF(C848=1,IF(D848="BUY",E848-(ROUND(F848*K848/B848,0)*B848),E848+(ROUND(F848*K848/B848,0)*B848)),IF(D848="BUY",E848-(ROUND(F848*K848/B848,0)*B848),E848+(ROUND(F848*K848/B848,0)*B848)))</f>
        <v>#DIV/0!</v>
      </c>
      <c r="L849" s="29" t="e">
        <f t="shared" ref="L849" si="1268">IF(D849="BUY",I849+(R849*B849),I849-(R849*B849))</f>
        <v>#DIV/0!</v>
      </c>
      <c r="M849" s="29" t="e">
        <f>IF(D848="BUY",E848+(ROUND(F848*M848/B848,0)*B848),E848-(ROUND(F848*M848/B848,0)*B848))</f>
        <v>#DIV/0!</v>
      </c>
      <c r="N849" s="29" t="e">
        <f>IF(D848="BUY",E848-(ROUND(F848*N848/B848,0)*B848),E848+(ROUND(F848*N848/B848,0)*B848))</f>
        <v>#DIV/0!</v>
      </c>
      <c r="O849" s="31" t="e">
        <f>IF(D849="BUY",N849-VLOOKUP(A849,Symbols!A$1:D$1000,4,FALSE),N849+VLOOKUP(A849,Symbols!A$1:D$1000,4,FALSE))</f>
        <v>#DIV/0!</v>
      </c>
      <c r="P849" s="29">
        <f>P848</f>
        <v>0</v>
      </c>
      <c r="Q849" s="29">
        <f>Q848</f>
        <v>0</v>
      </c>
      <c r="R849" s="29">
        <f>R848</f>
        <v>0</v>
      </c>
      <c r="S849" s="29">
        <f>S848</f>
        <v>0</v>
      </c>
      <c r="T849" s="29">
        <f>T848</f>
        <v>0</v>
      </c>
      <c r="U849" s="29" t="e">
        <f>DATEDIF(DATE(1970,1,1),U848,"D")*86400</f>
        <v>#NUM!</v>
      </c>
      <c r="V849" s="29">
        <f>HOUR(V848)*3600+MINUTE(V848)*60+SECOND(V848)</f>
        <v>0</v>
      </c>
      <c r="W849" s="29" t="e">
        <f>DATEDIF(DATE(1970,1,1),W848,"D")*86400</f>
        <v>#NUM!</v>
      </c>
      <c r="X849" s="29">
        <f>HOUR(X848)*3600+MINUTE(X848)*60+SECOND(X848)</f>
        <v>0</v>
      </c>
      <c r="Y849" s="31">
        <f>(Y848*B849)</f>
        <v>0</v>
      </c>
      <c r="Z849" s="29">
        <f>Z848</f>
        <v>0</v>
      </c>
      <c r="AA849" s="29" t="e">
        <f>DATEDIF(DATE(1970,1,1),AA848,"D")*86400</f>
        <v>#NUM!</v>
      </c>
      <c r="AB849" s="29">
        <f>HOUR(AB848)*3600+MINUTE(AB848)*60+SECOND(AB848)</f>
        <v>0</v>
      </c>
      <c r="AC849" s="29">
        <f>AC848</f>
        <v>0</v>
      </c>
    </row>
    <row r="850" spans="1:29">
      <c r="A850" s="23">
        <f>Parameters!A426</f>
        <v>0</v>
      </c>
      <c r="B850" s="23">
        <f>Parameters!B426</f>
        <v>0</v>
      </c>
      <c r="C850" s="24">
        <f>Parameters!C426</f>
        <v>0</v>
      </c>
      <c r="D850" s="24">
        <f>Parameters!D426</f>
        <v>0</v>
      </c>
      <c r="E850" s="23">
        <f>Parameters!E426</f>
        <v>0</v>
      </c>
      <c r="F850" s="23">
        <f>Parameters!F426</f>
        <v>0</v>
      </c>
      <c r="G850" s="25">
        <f>Parameters!G426</f>
        <v>0</v>
      </c>
      <c r="H850" s="25">
        <f>Parameters!H426</f>
        <v>0</v>
      </c>
      <c r="I850" s="25">
        <f>Parameters!I426</f>
        <v>0</v>
      </c>
      <c r="J850" s="25">
        <f>Parameters!J426</f>
        <v>0</v>
      </c>
      <c r="K850" s="25">
        <f>Parameters!K426</f>
        <v>0</v>
      </c>
      <c r="L850" s="26" t="e">
        <f t="shared" ref="L850" si="1269">L851</f>
        <v>#DIV/0!</v>
      </c>
      <c r="M850" s="25">
        <f>Parameters!L426</f>
        <v>0</v>
      </c>
      <c r="N850" s="25">
        <f>Parameters!M426</f>
        <v>0</v>
      </c>
      <c r="O850" s="26" t="e">
        <f t="shared" ref="O850" si="1270">O851</f>
        <v>#DIV/0!</v>
      </c>
      <c r="P850" s="23">
        <f>Parameters!N426</f>
        <v>0</v>
      </c>
      <c r="Q850" s="23">
        <f>Parameters!O426</f>
        <v>0</v>
      </c>
      <c r="R850" s="23">
        <f>Parameters!P426</f>
        <v>0</v>
      </c>
      <c r="S850" s="23">
        <f>Parameters!Q426</f>
        <v>0</v>
      </c>
      <c r="T850" s="23">
        <f>Parameters!R426</f>
        <v>0</v>
      </c>
      <c r="U850" s="27">
        <f>Parameters!S426</f>
        <v>0</v>
      </c>
      <c r="V850" s="28">
        <f>Parameters!T426</f>
        <v>0</v>
      </c>
      <c r="W850" s="27">
        <f>Parameters!U426</f>
        <v>0</v>
      </c>
      <c r="X850" s="28">
        <f>Parameters!V426</f>
        <v>0</v>
      </c>
      <c r="Y850" s="25">
        <f>Parameters!W426</f>
        <v>0</v>
      </c>
      <c r="Z850" s="23">
        <f>Parameters!X426</f>
        <v>0</v>
      </c>
      <c r="AA850" s="27">
        <f>Parameters!Y426</f>
        <v>0</v>
      </c>
      <c r="AB850" s="28">
        <f>Parameters!Z426</f>
        <v>0</v>
      </c>
      <c r="AC850" s="23">
        <f>Parameters!AA426</f>
        <v>0</v>
      </c>
    </row>
    <row r="851" spans="1:29">
      <c r="A851" s="29" t="str">
        <f>UPPER(A850)</f>
        <v>0</v>
      </c>
      <c r="B851" s="29">
        <f>B850</f>
        <v>0</v>
      </c>
      <c r="C851" s="30">
        <f>C850</f>
        <v>0</v>
      </c>
      <c r="D851" s="30">
        <f>D850</f>
        <v>0</v>
      </c>
      <c r="E851" s="29">
        <f>E850</f>
        <v>0</v>
      </c>
      <c r="F851" s="29">
        <f>F850</f>
        <v>0</v>
      </c>
      <c r="G851" s="29" t="e">
        <f>IF(C850=1,IF(D850="BUY",E850+(ROUND(F850*G850/B850,0)*B850),E850-(ROUND(F850*G850/B850,0)*B850)),IF(D850="BUY",E850-(ROUND(F850*G850/B850,0)*B850),E850+(ROUND(F850*G850/B850,0)*B850)))</f>
        <v>#DIV/0!</v>
      </c>
      <c r="H851" s="29" t="e">
        <f>IF(C850=1,IF(D850="BUY",G851-(ROUND(F850*H850/B850,0)*B850),G851+(ROUND(F850*H850/B850,0)*B850)),IF(D850="BUY",G851+(ROUND(F850*H850/B850,0)*B850),G851-(ROUND(F850*H850/B850,0)*B850)))</f>
        <v>#DIV/0!</v>
      </c>
      <c r="I851" s="29" t="e">
        <f>IF(D850="BUY",G851+(ROUND(F850*I850/(B850*100),0)*B850),G851-(ROUND(F850*I850/(B850*100),0)*B850))</f>
        <v>#DIV/0!</v>
      </c>
      <c r="J851" s="29" t="e">
        <f>IF(C850=1,IF(D850="BUY",E850+(ROUND(F850*J850/B850,0)*B850),E850-(ROUND(F850*J850/B850,0)*B850)),IF(D850="BUY",E850-(ROUND(F850*J850/B850,0)*B850),E850+(ROUND(F850*J850/B850,0)*B850)))</f>
        <v>#DIV/0!</v>
      </c>
      <c r="K851" s="29" t="e">
        <f>IF(C850=1,IF(D850="BUY",E850-(ROUND(F850*K850/B850,0)*B850),E850+(ROUND(F850*K850/B850,0)*B850)),IF(D850="BUY",E850-(ROUND(F850*K850/B850,0)*B850),E850+(ROUND(F850*K850/B850,0)*B850)))</f>
        <v>#DIV/0!</v>
      </c>
      <c r="L851" s="29" t="e">
        <f t="shared" ref="L851" si="1271">IF(D851="BUY",I851+(R851*B851),I851-(R851*B851))</f>
        <v>#DIV/0!</v>
      </c>
      <c r="M851" s="29" t="e">
        <f>IF(D850="BUY",E850+(ROUND(F850*M850/B850,0)*B850),E850-(ROUND(F850*M850/B850,0)*B850))</f>
        <v>#DIV/0!</v>
      </c>
      <c r="N851" s="29" t="e">
        <f>IF(D850="BUY",E850-(ROUND(F850*N850/B850,0)*B850),E850+(ROUND(F850*N850/B850,0)*B850))</f>
        <v>#DIV/0!</v>
      </c>
      <c r="O851" s="31" t="e">
        <f>IF(D851="BUY",N851-VLOOKUP(A851,Symbols!A$1:D$1000,4,FALSE),N851+VLOOKUP(A851,Symbols!A$1:D$1000,4,FALSE))</f>
        <v>#DIV/0!</v>
      </c>
      <c r="P851" s="29">
        <f>P850</f>
        <v>0</v>
      </c>
      <c r="Q851" s="29">
        <f>Q850</f>
        <v>0</v>
      </c>
      <c r="R851" s="29">
        <f>R850</f>
        <v>0</v>
      </c>
      <c r="S851" s="29">
        <f>S850</f>
        <v>0</v>
      </c>
      <c r="T851" s="29">
        <f>T850</f>
        <v>0</v>
      </c>
      <c r="U851" s="29" t="e">
        <f>DATEDIF(DATE(1970,1,1),U850,"D")*86400</f>
        <v>#NUM!</v>
      </c>
      <c r="V851" s="29">
        <f>HOUR(V850)*3600+MINUTE(V850)*60+SECOND(V850)</f>
        <v>0</v>
      </c>
      <c r="W851" s="29" t="e">
        <f>DATEDIF(DATE(1970,1,1),W850,"D")*86400</f>
        <v>#NUM!</v>
      </c>
      <c r="X851" s="29">
        <f>HOUR(X850)*3600+MINUTE(X850)*60+SECOND(X850)</f>
        <v>0</v>
      </c>
      <c r="Y851" s="31">
        <f>(Y850*B851)</f>
        <v>0</v>
      </c>
      <c r="Z851" s="29">
        <f>Z850</f>
        <v>0</v>
      </c>
      <c r="AA851" s="29" t="e">
        <f>DATEDIF(DATE(1970,1,1),AA850,"D")*86400</f>
        <v>#NUM!</v>
      </c>
      <c r="AB851" s="29">
        <f>HOUR(AB850)*3600+MINUTE(AB850)*60+SECOND(AB850)</f>
        <v>0</v>
      </c>
      <c r="AC851" s="29">
        <f>AC850</f>
        <v>0</v>
      </c>
    </row>
    <row r="852" spans="1:29">
      <c r="A852" s="23">
        <f>Parameters!A427</f>
        <v>0</v>
      </c>
      <c r="B852" s="23">
        <f>Parameters!B427</f>
        <v>0</v>
      </c>
      <c r="C852" s="24">
        <f>Parameters!C427</f>
        <v>0</v>
      </c>
      <c r="D852" s="24">
        <f>Parameters!D427</f>
        <v>0</v>
      </c>
      <c r="E852" s="23">
        <f>Parameters!E427</f>
        <v>0</v>
      </c>
      <c r="F852" s="23">
        <f>Parameters!F427</f>
        <v>0</v>
      </c>
      <c r="G852" s="25">
        <f>Parameters!G427</f>
        <v>0</v>
      </c>
      <c r="H852" s="25">
        <f>Parameters!H427</f>
        <v>0</v>
      </c>
      <c r="I852" s="25">
        <f>Parameters!I427</f>
        <v>0</v>
      </c>
      <c r="J852" s="25">
        <f>Parameters!J427</f>
        <v>0</v>
      </c>
      <c r="K852" s="25">
        <f>Parameters!K427</f>
        <v>0</v>
      </c>
      <c r="L852" s="26" t="e">
        <f t="shared" ref="L852" si="1272">L853</f>
        <v>#DIV/0!</v>
      </c>
      <c r="M852" s="25">
        <f>Parameters!L427</f>
        <v>0</v>
      </c>
      <c r="N852" s="25">
        <f>Parameters!M427</f>
        <v>0</v>
      </c>
      <c r="O852" s="26" t="e">
        <f t="shared" ref="O852" si="1273">O853</f>
        <v>#DIV/0!</v>
      </c>
      <c r="P852" s="23">
        <f>Parameters!N427</f>
        <v>0</v>
      </c>
      <c r="Q852" s="23">
        <f>Parameters!O427</f>
        <v>0</v>
      </c>
      <c r="R852" s="23">
        <f>Parameters!P427</f>
        <v>0</v>
      </c>
      <c r="S852" s="23">
        <f>Parameters!Q427</f>
        <v>0</v>
      </c>
      <c r="T852" s="23">
        <f>Parameters!R427</f>
        <v>0</v>
      </c>
      <c r="U852" s="27">
        <f>Parameters!S427</f>
        <v>0</v>
      </c>
      <c r="V852" s="28">
        <f>Parameters!T427</f>
        <v>0</v>
      </c>
      <c r="W852" s="27">
        <f>Parameters!U427</f>
        <v>0</v>
      </c>
      <c r="X852" s="28">
        <f>Parameters!V427</f>
        <v>0</v>
      </c>
      <c r="Y852" s="25">
        <f>Parameters!W427</f>
        <v>0</v>
      </c>
      <c r="Z852" s="23">
        <f>Parameters!X427</f>
        <v>0</v>
      </c>
      <c r="AA852" s="27">
        <f>Parameters!Y427</f>
        <v>0</v>
      </c>
      <c r="AB852" s="28">
        <f>Parameters!Z427</f>
        <v>0</v>
      </c>
      <c r="AC852" s="23">
        <f>Parameters!AA427</f>
        <v>0</v>
      </c>
    </row>
    <row r="853" spans="1:29">
      <c r="A853" s="29" t="str">
        <f>UPPER(A852)</f>
        <v>0</v>
      </c>
      <c r="B853" s="29">
        <f>B852</f>
        <v>0</v>
      </c>
      <c r="C853" s="30">
        <f>C852</f>
        <v>0</v>
      </c>
      <c r="D853" s="30">
        <f>D852</f>
        <v>0</v>
      </c>
      <c r="E853" s="29">
        <f>E852</f>
        <v>0</v>
      </c>
      <c r="F853" s="29">
        <f>F852</f>
        <v>0</v>
      </c>
      <c r="G853" s="29" t="e">
        <f>IF(C852=1,IF(D852="BUY",E852+(ROUND(F852*G852/B852,0)*B852),E852-(ROUND(F852*G852/B852,0)*B852)),IF(D852="BUY",E852-(ROUND(F852*G852/B852,0)*B852),E852+(ROUND(F852*G852/B852,0)*B852)))</f>
        <v>#DIV/0!</v>
      </c>
      <c r="H853" s="29" t="e">
        <f>IF(C852=1,IF(D852="BUY",G853-(ROUND(F852*H852/B852,0)*B852),G853+(ROUND(F852*H852/B852,0)*B852)),IF(D852="BUY",G853+(ROUND(F852*H852/B852,0)*B852),G853-(ROUND(F852*H852/B852,0)*B852)))</f>
        <v>#DIV/0!</v>
      </c>
      <c r="I853" s="29" t="e">
        <f>IF(D852="BUY",G853+(ROUND(F852*I852/(B852*100),0)*B852),G853-(ROUND(F852*I852/(B852*100),0)*B852))</f>
        <v>#DIV/0!</v>
      </c>
      <c r="J853" s="29" t="e">
        <f>IF(C852=1,IF(D852="BUY",E852+(ROUND(F852*J852/B852,0)*B852),E852-(ROUND(F852*J852/B852,0)*B852)),IF(D852="BUY",E852-(ROUND(F852*J852/B852,0)*B852),E852+(ROUND(F852*J852/B852,0)*B852)))</f>
        <v>#DIV/0!</v>
      </c>
      <c r="K853" s="29" t="e">
        <f>IF(C852=1,IF(D852="BUY",E852-(ROUND(F852*K852/B852,0)*B852),E852+(ROUND(F852*K852/B852,0)*B852)),IF(D852="BUY",E852-(ROUND(F852*K852/B852,0)*B852),E852+(ROUND(F852*K852/B852,0)*B852)))</f>
        <v>#DIV/0!</v>
      </c>
      <c r="L853" s="29" t="e">
        <f t="shared" ref="L853" si="1274">IF(D853="BUY",I853+(R853*B853),I853-(R853*B853))</f>
        <v>#DIV/0!</v>
      </c>
      <c r="M853" s="29" t="e">
        <f>IF(D852="BUY",E852+(ROUND(F852*M852/B852,0)*B852),E852-(ROUND(F852*M852/B852,0)*B852))</f>
        <v>#DIV/0!</v>
      </c>
      <c r="N853" s="29" t="e">
        <f>IF(D852="BUY",E852-(ROUND(F852*N852/B852,0)*B852),E852+(ROUND(F852*N852/B852,0)*B852))</f>
        <v>#DIV/0!</v>
      </c>
      <c r="O853" s="31" t="e">
        <f>IF(D853="BUY",N853-VLOOKUP(A853,Symbols!A$1:D$1000,4,FALSE),N853+VLOOKUP(A853,Symbols!A$1:D$1000,4,FALSE))</f>
        <v>#DIV/0!</v>
      </c>
      <c r="P853" s="29">
        <f>P852</f>
        <v>0</v>
      </c>
      <c r="Q853" s="29">
        <f>Q852</f>
        <v>0</v>
      </c>
      <c r="R853" s="29">
        <f>R852</f>
        <v>0</v>
      </c>
      <c r="S853" s="29">
        <f>S852</f>
        <v>0</v>
      </c>
      <c r="T853" s="29">
        <f>T852</f>
        <v>0</v>
      </c>
      <c r="U853" s="29" t="e">
        <f>DATEDIF(DATE(1970,1,1),U852,"D")*86400</f>
        <v>#NUM!</v>
      </c>
      <c r="V853" s="29">
        <f>HOUR(V852)*3600+MINUTE(V852)*60+SECOND(V852)</f>
        <v>0</v>
      </c>
      <c r="W853" s="29" t="e">
        <f>DATEDIF(DATE(1970,1,1),W852,"D")*86400</f>
        <v>#NUM!</v>
      </c>
      <c r="X853" s="29">
        <f>HOUR(X852)*3600+MINUTE(X852)*60+SECOND(X852)</f>
        <v>0</v>
      </c>
      <c r="Y853" s="31">
        <f>(Y852*B853)</f>
        <v>0</v>
      </c>
      <c r="Z853" s="29">
        <f>Z852</f>
        <v>0</v>
      </c>
      <c r="AA853" s="29" t="e">
        <f>DATEDIF(DATE(1970,1,1),AA852,"D")*86400</f>
        <v>#NUM!</v>
      </c>
      <c r="AB853" s="29">
        <f>HOUR(AB852)*3600+MINUTE(AB852)*60+SECOND(AB852)</f>
        <v>0</v>
      </c>
      <c r="AC853" s="29">
        <f>AC852</f>
        <v>0</v>
      </c>
    </row>
    <row r="854" spans="1:29">
      <c r="A854" s="23">
        <f>Parameters!A428</f>
        <v>0</v>
      </c>
      <c r="B854" s="23">
        <f>Parameters!B428</f>
        <v>0</v>
      </c>
      <c r="C854" s="24">
        <f>Parameters!C428</f>
        <v>0</v>
      </c>
      <c r="D854" s="24">
        <f>Parameters!D428</f>
        <v>0</v>
      </c>
      <c r="E854" s="23">
        <f>Parameters!E428</f>
        <v>0</v>
      </c>
      <c r="F854" s="23">
        <f>Parameters!F428</f>
        <v>0</v>
      </c>
      <c r="G854" s="25">
        <f>Parameters!G428</f>
        <v>0</v>
      </c>
      <c r="H854" s="25">
        <f>Parameters!H428</f>
        <v>0</v>
      </c>
      <c r="I854" s="25">
        <f>Parameters!I428</f>
        <v>0</v>
      </c>
      <c r="J854" s="25">
        <f>Parameters!J428</f>
        <v>0</v>
      </c>
      <c r="K854" s="25">
        <f>Parameters!K428</f>
        <v>0</v>
      </c>
      <c r="L854" s="26" t="e">
        <f t="shared" ref="L854" si="1275">L855</f>
        <v>#DIV/0!</v>
      </c>
      <c r="M854" s="25">
        <f>Parameters!L428</f>
        <v>0</v>
      </c>
      <c r="N854" s="25">
        <f>Parameters!M428</f>
        <v>0</v>
      </c>
      <c r="O854" s="26" t="e">
        <f t="shared" ref="O854" si="1276">O855</f>
        <v>#DIV/0!</v>
      </c>
      <c r="P854" s="23">
        <f>Parameters!N428</f>
        <v>0</v>
      </c>
      <c r="Q854" s="23">
        <f>Parameters!O428</f>
        <v>0</v>
      </c>
      <c r="R854" s="23">
        <f>Parameters!P428</f>
        <v>0</v>
      </c>
      <c r="S854" s="23">
        <f>Parameters!Q428</f>
        <v>0</v>
      </c>
      <c r="T854" s="23">
        <f>Parameters!R428</f>
        <v>0</v>
      </c>
      <c r="U854" s="27">
        <f>Parameters!S428</f>
        <v>0</v>
      </c>
      <c r="V854" s="28">
        <f>Parameters!T428</f>
        <v>0</v>
      </c>
      <c r="W854" s="27">
        <f>Parameters!U428</f>
        <v>0</v>
      </c>
      <c r="X854" s="28">
        <f>Parameters!V428</f>
        <v>0</v>
      </c>
      <c r="Y854" s="25">
        <f>Parameters!W428</f>
        <v>0</v>
      </c>
      <c r="Z854" s="23">
        <f>Parameters!X428</f>
        <v>0</v>
      </c>
      <c r="AA854" s="27">
        <f>Parameters!Y428</f>
        <v>0</v>
      </c>
      <c r="AB854" s="28">
        <f>Parameters!Z428</f>
        <v>0</v>
      </c>
      <c r="AC854" s="23">
        <f>Parameters!AA428</f>
        <v>0</v>
      </c>
    </row>
    <row r="855" spans="1:29">
      <c r="A855" s="29" t="str">
        <f>UPPER(A854)</f>
        <v>0</v>
      </c>
      <c r="B855" s="29">
        <f>B854</f>
        <v>0</v>
      </c>
      <c r="C855" s="30">
        <f>C854</f>
        <v>0</v>
      </c>
      <c r="D855" s="30">
        <f>D854</f>
        <v>0</v>
      </c>
      <c r="E855" s="29">
        <f>E854</f>
        <v>0</v>
      </c>
      <c r="F855" s="29">
        <f>F854</f>
        <v>0</v>
      </c>
      <c r="G855" s="29" t="e">
        <f>IF(C854=1,IF(D854="BUY",E854+(ROUND(F854*G854/B854,0)*B854),E854-(ROUND(F854*G854/B854,0)*B854)),IF(D854="BUY",E854-(ROUND(F854*G854/B854,0)*B854),E854+(ROUND(F854*G854/B854,0)*B854)))</f>
        <v>#DIV/0!</v>
      </c>
      <c r="H855" s="29" t="e">
        <f>IF(C854=1,IF(D854="BUY",G855-(ROUND(F854*H854/B854,0)*B854),G855+(ROUND(F854*H854/B854,0)*B854)),IF(D854="BUY",G855+(ROUND(F854*H854/B854,0)*B854),G855-(ROUND(F854*H854/B854,0)*B854)))</f>
        <v>#DIV/0!</v>
      </c>
      <c r="I855" s="29" t="e">
        <f>IF(D854="BUY",G855+(ROUND(F854*I854/(B854*100),0)*B854),G855-(ROUND(F854*I854/(B854*100),0)*B854))</f>
        <v>#DIV/0!</v>
      </c>
      <c r="J855" s="29" t="e">
        <f>IF(C854=1,IF(D854="BUY",E854+(ROUND(F854*J854/B854,0)*B854),E854-(ROUND(F854*J854/B854,0)*B854)),IF(D854="BUY",E854-(ROUND(F854*J854/B854,0)*B854),E854+(ROUND(F854*J854/B854,0)*B854)))</f>
        <v>#DIV/0!</v>
      </c>
      <c r="K855" s="29" t="e">
        <f>IF(C854=1,IF(D854="BUY",E854-(ROUND(F854*K854/B854,0)*B854),E854+(ROUND(F854*K854/B854,0)*B854)),IF(D854="BUY",E854-(ROUND(F854*K854/B854,0)*B854),E854+(ROUND(F854*K854/B854,0)*B854)))</f>
        <v>#DIV/0!</v>
      </c>
      <c r="L855" s="29" t="e">
        <f t="shared" ref="L855" si="1277">IF(D855="BUY",I855+(R855*B855),I855-(R855*B855))</f>
        <v>#DIV/0!</v>
      </c>
      <c r="M855" s="29" t="e">
        <f>IF(D854="BUY",E854+(ROUND(F854*M854/B854,0)*B854),E854-(ROUND(F854*M854/B854,0)*B854))</f>
        <v>#DIV/0!</v>
      </c>
      <c r="N855" s="29" t="e">
        <f>IF(D854="BUY",E854-(ROUND(F854*N854/B854,0)*B854),E854+(ROUND(F854*N854/B854,0)*B854))</f>
        <v>#DIV/0!</v>
      </c>
      <c r="O855" s="31" t="e">
        <f>IF(D855="BUY",N855-VLOOKUP(A855,Symbols!A$1:D$1000,4,FALSE),N855+VLOOKUP(A855,Symbols!A$1:D$1000,4,FALSE))</f>
        <v>#DIV/0!</v>
      </c>
      <c r="P855" s="29">
        <f>P854</f>
        <v>0</v>
      </c>
      <c r="Q855" s="29">
        <f>Q854</f>
        <v>0</v>
      </c>
      <c r="R855" s="29">
        <f>R854</f>
        <v>0</v>
      </c>
      <c r="S855" s="29">
        <f>S854</f>
        <v>0</v>
      </c>
      <c r="T855" s="29">
        <f>T854</f>
        <v>0</v>
      </c>
      <c r="U855" s="29" t="e">
        <f>DATEDIF(DATE(1970,1,1),U854,"D")*86400</f>
        <v>#NUM!</v>
      </c>
      <c r="V855" s="29">
        <f>HOUR(V854)*3600+MINUTE(V854)*60+SECOND(V854)</f>
        <v>0</v>
      </c>
      <c r="W855" s="29" t="e">
        <f>DATEDIF(DATE(1970,1,1),W854,"D")*86400</f>
        <v>#NUM!</v>
      </c>
      <c r="X855" s="29">
        <f>HOUR(X854)*3600+MINUTE(X854)*60+SECOND(X854)</f>
        <v>0</v>
      </c>
      <c r="Y855" s="31">
        <f>(Y854*B855)</f>
        <v>0</v>
      </c>
      <c r="Z855" s="29">
        <f>Z854</f>
        <v>0</v>
      </c>
      <c r="AA855" s="29" t="e">
        <f>DATEDIF(DATE(1970,1,1),AA854,"D")*86400</f>
        <v>#NUM!</v>
      </c>
      <c r="AB855" s="29">
        <f>HOUR(AB854)*3600+MINUTE(AB854)*60+SECOND(AB854)</f>
        <v>0</v>
      </c>
      <c r="AC855" s="29">
        <f>AC854</f>
        <v>0</v>
      </c>
    </row>
    <row r="856" spans="1:29">
      <c r="A856" s="23">
        <f>Parameters!A429</f>
        <v>0</v>
      </c>
      <c r="B856" s="23">
        <f>Parameters!B429</f>
        <v>0</v>
      </c>
      <c r="C856" s="24">
        <f>Parameters!C429</f>
        <v>0</v>
      </c>
      <c r="D856" s="24">
        <f>Parameters!D429</f>
        <v>0</v>
      </c>
      <c r="E856" s="23">
        <f>Parameters!E429</f>
        <v>0</v>
      </c>
      <c r="F856" s="23">
        <f>Parameters!F429</f>
        <v>0</v>
      </c>
      <c r="G856" s="25">
        <f>Parameters!G429</f>
        <v>0</v>
      </c>
      <c r="H856" s="25">
        <f>Parameters!H429</f>
        <v>0</v>
      </c>
      <c r="I856" s="25">
        <f>Parameters!I429</f>
        <v>0</v>
      </c>
      <c r="J856" s="25">
        <f>Parameters!J429</f>
        <v>0</v>
      </c>
      <c r="K856" s="25">
        <f>Parameters!K429</f>
        <v>0</v>
      </c>
      <c r="L856" s="26" t="e">
        <f t="shared" ref="L856" si="1278">L857</f>
        <v>#DIV/0!</v>
      </c>
      <c r="M856" s="25">
        <f>Parameters!L429</f>
        <v>0</v>
      </c>
      <c r="N856" s="25">
        <f>Parameters!M429</f>
        <v>0</v>
      </c>
      <c r="O856" s="26" t="e">
        <f t="shared" ref="O856" si="1279">O857</f>
        <v>#DIV/0!</v>
      </c>
      <c r="P856" s="23">
        <f>Parameters!N429</f>
        <v>0</v>
      </c>
      <c r="Q856" s="23">
        <f>Parameters!O429</f>
        <v>0</v>
      </c>
      <c r="R856" s="23">
        <f>Parameters!P429</f>
        <v>0</v>
      </c>
      <c r="S856" s="23">
        <f>Parameters!Q429</f>
        <v>0</v>
      </c>
      <c r="T856" s="23">
        <f>Parameters!R429</f>
        <v>0</v>
      </c>
      <c r="U856" s="27">
        <f>Parameters!S429</f>
        <v>0</v>
      </c>
      <c r="V856" s="28">
        <f>Parameters!T429</f>
        <v>0</v>
      </c>
      <c r="W856" s="27">
        <f>Parameters!U429</f>
        <v>0</v>
      </c>
      <c r="X856" s="28">
        <f>Parameters!V429</f>
        <v>0</v>
      </c>
      <c r="Y856" s="25">
        <f>Parameters!W429</f>
        <v>0</v>
      </c>
      <c r="Z856" s="23">
        <f>Parameters!X429</f>
        <v>0</v>
      </c>
      <c r="AA856" s="27">
        <f>Parameters!Y429</f>
        <v>0</v>
      </c>
      <c r="AB856" s="28">
        <f>Parameters!Z429</f>
        <v>0</v>
      </c>
      <c r="AC856" s="23">
        <f>Parameters!AA429</f>
        <v>0</v>
      </c>
    </row>
    <row r="857" spans="1:29">
      <c r="A857" s="29" t="str">
        <f>UPPER(A856)</f>
        <v>0</v>
      </c>
      <c r="B857" s="29">
        <f>B856</f>
        <v>0</v>
      </c>
      <c r="C857" s="30">
        <f>C856</f>
        <v>0</v>
      </c>
      <c r="D857" s="30">
        <f>D856</f>
        <v>0</v>
      </c>
      <c r="E857" s="29">
        <f>E856</f>
        <v>0</v>
      </c>
      <c r="F857" s="29">
        <f>F856</f>
        <v>0</v>
      </c>
      <c r="G857" s="29" t="e">
        <f>IF(C856=1,IF(D856="BUY",E856+(ROUND(F856*G856/B856,0)*B856),E856-(ROUND(F856*G856/B856,0)*B856)),IF(D856="BUY",E856-(ROUND(F856*G856/B856,0)*B856),E856+(ROUND(F856*G856/B856,0)*B856)))</f>
        <v>#DIV/0!</v>
      </c>
      <c r="H857" s="29" t="e">
        <f>IF(C856=1,IF(D856="BUY",G857-(ROUND(F856*H856/B856,0)*B856),G857+(ROUND(F856*H856/B856,0)*B856)),IF(D856="BUY",G857+(ROUND(F856*H856/B856,0)*B856),G857-(ROUND(F856*H856/B856,0)*B856)))</f>
        <v>#DIV/0!</v>
      </c>
      <c r="I857" s="29" t="e">
        <f>IF(D856="BUY",G857+(ROUND(F856*I856/(B856*100),0)*B856),G857-(ROUND(F856*I856/(B856*100),0)*B856))</f>
        <v>#DIV/0!</v>
      </c>
      <c r="J857" s="29" t="e">
        <f>IF(C856=1,IF(D856="BUY",E856+(ROUND(F856*J856/B856,0)*B856),E856-(ROUND(F856*J856/B856,0)*B856)),IF(D856="BUY",E856-(ROUND(F856*J856/B856,0)*B856),E856+(ROUND(F856*J856/B856,0)*B856)))</f>
        <v>#DIV/0!</v>
      </c>
      <c r="K857" s="29" t="e">
        <f>IF(C856=1,IF(D856="BUY",E856-(ROUND(F856*K856/B856,0)*B856),E856+(ROUND(F856*K856/B856,0)*B856)),IF(D856="BUY",E856-(ROUND(F856*K856/B856,0)*B856),E856+(ROUND(F856*K856/B856,0)*B856)))</f>
        <v>#DIV/0!</v>
      </c>
      <c r="L857" s="29" t="e">
        <f t="shared" ref="L857" si="1280">IF(D857="BUY",I857+(R857*B857),I857-(R857*B857))</f>
        <v>#DIV/0!</v>
      </c>
      <c r="M857" s="29" t="e">
        <f>IF(D856="BUY",E856+(ROUND(F856*M856/B856,0)*B856),E856-(ROUND(F856*M856/B856,0)*B856))</f>
        <v>#DIV/0!</v>
      </c>
      <c r="N857" s="29" t="e">
        <f>IF(D856="BUY",E856-(ROUND(F856*N856/B856,0)*B856),E856+(ROUND(F856*N856/B856,0)*B856))</f>
        <v>#DIV/0!</v>
      </c>
      <c r="O857" s="31" t="e">
        <f>IF(D857="BUY",N857-VLOOKUP(A857,Symbols!A$1:D$1000,4,FALSE),N857+VLOOKUP(A857,Symbols!A$1:D$1000,4,FALSE))</f>
        <v>#DIV/0!</v>
      </c>
      <c r="P857" s="29">
        <f>P856</f>
        <v>0</v>
      </c>
      <c r="Q857" s="29">
        <f>Q856</f>
        <v>0</v>
      </c>
      <c r="R857" s="29">
        <f>R856</f>
        <v>0</v>
      </c>
      <c r="S857" s="29">
        <f>S856</f>
        <v>0</v>
      </c>
      <c r="T857" s="29">
        <f>T856</f>
        <v>0</v>
      </c>
      <c r="U857" s="29" t="e">
        <f>DATEDIF(DATE(1970,1,1),U856,"D")*86400</f>
        <v>#NUM!</v>
      </c>
      <c r="V857" s="29">
        <f>HOUR(V856)*3600+MINUTE(V856)*60+SECOND(V856)</f>
        <v>0</v>
      </c>
      <c r="W857" s="29" t="e">
        <f>DATEDIF(DATE(1970,1,1),W856,"D")*86400</f>
        <v>#NUM!</v>
      </c>
      <c r="X857" s="29">
        <f>HOUR(X856)*3600+MINUTE(X856)*60+SECOND(X856)</f>
        <v>0</v>
      </c>
      <c r="Y857" s="31">
        <f>(Y856*B857)</f>
        <v>0</v>
      </c>
      <c r="Z857" s="29">
        <f>Z856</f>
        <v>0</v>
      </c>
      <c r="AA857" s="29" t="e">
        <f>DATEDIF(DATE(1970,1,1),AA856,"D")*86400</f>
        <v>#NUM!</v>
      </c>
      <c r="AB857" s="29">
        <f>HOUR(AB856)*3600+MINUTE(AB856)*60+SECOND(AB856)</f>
        <v>0</v>
      </c>
      <c r="AC857" s="29">
        <f>AC856</f>
        <v>0</v>
      </c>
    </row>
    <row r="858" spans="1:29">
      <c r="A858" s="23">
        <f>Parameters!A430</f>
        <v>0</v>
      </c>
      <c r="B858" s="23">
        <f>Parameters!B430</f>
        <v>0</v>
      </c>
      <c r="C858" s="24">
        <f>Parameters!C430</f>
        <v>0</v>
      </c>
      <c r="D858" s="24">
        <f>Parameters!D430</f>
        <v>0</v>
      </c>
      <c r="E858" s="23">
        <f>Parameters!E430</f>
        <v>0</v>
      </c>
      <c r="F858" s="23">
        <f>Parameters!F430</f>
        <v>0</v>
      </c>
      <c r="G858" s="25">
        <f>Parameters!G430</f>
        <v>0</v>
      </c>
      <c r="H858" s="25">
        <f>Parameters!H430</f>
        <v>0</v>
      </c>
      <c r="I858" s="25">
        <f>Parameters!I430</f>
        <v>0</v>
      </c>
      <c r="J858" s="25">
        <f>Parameters!J430</f>
        <v>0</v>
      </c>
      <c r="K858" s="25">
        <f>Parameters!K430</f>
        <v>0</v>
      </c>
      <c r="L858" s="26" t="e">
        <f t="shared" ref="L858" si="1281">L859</f>
        <v>#DIV/0!</v>
      </c>
      <c r="M858" s="25">
        <f>Parameters!L430</f>
        <v>0</v>
      </c>
      <c r="N858" s="25">
        <f>Parameters!M430</f>
        <v>0</v>
      </c>
      <c r="O858" s="26" t="e">
        <f t="shared" ref="O858" si="1282">O859</f>
        <v>#DIV/0!</v>
      </c>
      <c r="P858" s="23">
        <f>Parameters!N430</f>
        <v>0</v>
      </c>
      <c r="Q858" s="23">
        <f>Parameters!O430</f>
        <v>0</v>
      </c>
      <c r="R858" s="23">
        <f>Parameters!P430</f>
        <v>0</v>
      </c>
      <c r="S858" s="23">
        <f>Parameters!Q430</f>
        <v>0</v>
      </c>
      <c r="T858" s="23">
        <f>Parameters!R430</f>
        <v>0</v>
      </c>
      <c r="U858" s="27">
        <f>Parameters!S430</f>
        <v>0</v>
      </c>
      <c r="V858" s="28">
        <f>Parameters!T430</f>
        <v>0</v>
      </c>
      <c r="W858" s="27">
        <f>Parameters!U430</f>
        <v>0</v>
      </c>
      <c r="X858" s="28">
        <f>Parameters!V430</f>
        <v>0</v>
      </c>
      <c r="Y858" s="25">
        <f>Parameters!W430</f>
        <v>0</v>
      </c>
      <c r="Z858" s="23">
        <f>Parameters!X430</f>
        <v>0</v>
      </c>
      <c r="AA858" s="27">
        <f>Parameters!Y430</f>
        <v>0</v>
      </c>
      <c r="AB858" s="28">
        <f>Parameters!Z430</f>
        <v>0</v>
      </c>
      <c r="AC858" s="23">
        <f>Parameters!AA430</f>
        <v>0</v>
      </c>
    </row>
    <row r="859" spans="1:29">
      <c r="A859" s="29" t="str">
        <f>UPPER(A858)</f>
        <v>0</v>
      </c>
      <c r="B859" s="29">
        <f>B858</f>
        <v>0</v>
      </c>
      <c r="C859" s="30">
        <f>C858</f>
        <v>0</v>
      </c>
      <c r="D859" s="30">
        <f>D858</f>
        <v>0</v>
      </c>
      <c r="E859" s="29">
        <f>E858</f>
        <v>0</v>
      </c>
      <c r="F859" s="29">
        <f>F858</f>
        <v>0</v>
      </c>
      <c r="G859" s="29" t="e">
        <f>IF(C858=1,IF(D858="BUY",E858+(ROUND(F858*G858/B858,0)*B858),E858-(ROUND(F858*G858/B858,0)*B858)),IF(D858="BUY",E858-(ROUND(F858*G858/B858,0)*B858),E858+(ROUND(F858*G858/B858,0)*B858)))</f>
        <v>#DIV/0!</v>
      </c>
      <c r="H859" s="29" t="e">
        <f>IF(C858=1,IF(D858="BUY",G859-(ROUND(F858*H858/B858,0)*B858),G859+(ROUND(F858*H858/B858,0)*B858)),IF(D858="BUY",G859+(ROUND(F858*H858/B858,0)*B858),G859-(ROUND(F858*H858/B858,0)*B858)))</f>
        <v>#DIV/0!</v>
      </c>
      <c r="I859" s="29" t="e">
        <f>IF(D858="BUY",G859+(ROUND(F858*I858/(B858*100),0)*B858),G859-(ROUND(F858*I858/(B858*100),0)*B858))</f>
        <v>#DIV/0!</v>
      </c>
      <c r="J859" s="29" t="e">
        <f>IF(C858=1,IF(D858="BUY",E858+(ROUND(F858*J858/B858,0)*B858),E858-(ROUND(F858*J858/B858,0)*B858)),IF(D858="BUY",E858-(ROUND(F858*J858/B858,0)*B858),E858+(ROUND(F858*J858/B858,0)*B858)))</f>
        <v>#DIV/0!</v>
      </c>
      <c r="K859" s="29" t="e">
        <f>IF(C858=1,IF(D858="BUY",E858-(ROUND(F858*K858/B858,0)*B858),E858+(ROUND(F858*K858/B858,0)*B858)),IF(D858="BUY",E858-(ROUND(F858*K858/B858,0)*B858),E858+(ROUND(F858*K858/B858,0)*B858)))</f>
        <v>#DIV/0!</v>
      </c>
      <c r="L859" s="29" t="e">
        <f t="shared" ref="L859" si="1283">IF(D859="BUY",I859+(R859*B859),I859-(R859*B859))</f>
        <v>#DIV/0!</v>
      </c>
      <c r="M859" s="29" t="e">
        <f>IF(D858="BUY",E858+(ROUND(F858*M858/B858,0)*B858),E858-(ROUND(F858*M858/B858,0)*B858))</f>
        <v>#DIV/0!</v>
      </c>
      <c r="N859" s="29" t="e">
        <f>IF(D858="BUY",E858-(ROUND(F858*N858/B858,0)*B858),E858+(ROUND(F858*N858/B858,0)*B858))</f>
        <v>#DIV/0!</v>
      </c>
      <c r="O859" s="31" t="e">
        <f>IF(D859="BUY",N859-VLOOKUP(A859,Symbols!A$1:D$1000,4,FALSE),N859+VLOOKUP(A859,Symbols!A$1:D$1000,4,FALSE))</f>
        <v>#DIV/0!</v>
      </c>
      <c r="P859" s="29">
        <f>P858</f>
        <v>0</v>
      </c>
      <c r="Q859" s="29">
        <f>Q858</f>
        <v>0</v>
      </c>
      <c r="R859" s="29">
        <f>R858</f>
        <v>0</v>
      </c>
      <c r="S859" s="29">
        <f>S858</f>
        <v>0</v>
      </c>
      <c r="T859" s="29">
        <f>T858</f>
        <v>0</v>
      </c>
      <c r="U859" s="29" t="e">
        <f>DATEDIF(DATE(1970,1,1),U858,"D")*86400</f>
        <v>#NUM!</v>
      </c>
      <c r="V859" s="29">
        <f>HOUR(V858)*3600+MINUTE(V858)*60+SECOND(V858)</f>
        <v>0</v>
      </c>
      <c r="W859" s="29" t="e">
        <f>DATEDIF(DATE(1970,1,1),W858,"D")*86400</f>
        <v>#NUM!</v>
      </c>
      <c r="X859" s="29">
        <f>HOUR(X858)*3600+MINUTE(X858)*60+SECOND(X858)</f>
        <v>0</v>
      </c>
      <c r="Y859" s="31">
        <f>(Y858*B859)</f>
        <v>0</v>
      </c>
      <c r="Z859" s="29">
        <f>Z858</f>
        <v>0</v>
      </c>
      <c r="AA859" s="29" t="e">
        <f>DATEDIF(DATE(1970,1,1),AA858,"D")*86400</f>
        <v>#NUM!</v>
      </c>
      <c r="AB859" s="29">
        <f>HOUR(AB858)*3600+MINUTE(AB858)*60+SECOND(AB858)</f>
        <v>0</v>
      </c>
      <c r="AC859" s="29">
        <f>AC858</f>
        <v>0</v>
      </c>
    </row>
    <row r="860" spans="1:29">
      <c r="A860" s="23">
        <f>Parameters!A431</f>
        <v>0</v>
      </c>
      <c r="B860" s="23">
        <f>Parameters!B431</f>
        <v>0</v>
      </c>
      <c r="C860" s="24">
        <f>Parameters!C431</f>
        <v>0</v>
      </c>
      <c r="D860" s="24">
        <f>Parameters!D431</f>
        <v>0</v>
      </c>
      <c r="E860" s="23">
        <f>Parameters!E431</f>
        <v>0</v>
      </c>
      <c r="F860" s="23">
        <f>Parameters!F431</f>
        <v>0</v>
      </c>
      <c r="G860" s="25">
        <f>Parameters!G431</f>
        <v>0</v>
      </c>
      <c r="H860" s="25">
        <f>Parameters!H431</f>
        <v>0</v>
      </c>
      <c r="I860" s="25">
        <f>Parameters!I431</f>
        <v>0</v>
      </c>
      <c r="J860" s="25">
        <f>Parameters!J431</f>
        <v>0</v>
      </c>
      <c r="K860" s="25">
        <f>Parameters!K431</f>
        <v>0</v>
      </c>
      <c r="L860" s="26" t="e">
        <f t="shared" ref="L860" si="1284">L861</f>
        <v>#DIV/0!</v>
      </c>
      <c r="M860" s="25">
        <f>Parameters!L431</f>
        <v>0</v>
      </c>
      <c r="N860" s="25">
        <f>Parameters!M431</f>
        <v>0</v>
      </c>
      <c r="O860" s="26" t="e">
        <f t="shared" ref="O860" si="1285">O861</f>
        <v>#DIV/0!</v>
      </c>
      <c r="P860" s="23">
        <f>Parameters!N431</f>
        <v>0</v>
      </c>
      <c r="Q860" s="23">
        <f>Parameters!O431</f>
        <v>0</v>
      </c>
      <c r="R860" s="23">
        <f>Parameters!P431</f>
        <v>0</v>
      </c>
      <c r="S860" s="23">
        <f>Parameters!Q431</f>
        <v>0</v>
      </c>
      <c r="T860" s="23">
        <f>Parameters!R431</f>
        <v>0</v>
      </c>
      <c r="U860" s="27">
        <f>Parameters!S431</f>
        <v>0</v>
      </c>
      <c r="V860" s="28">
        <f>Parameters!T431</f>
        <v>0</v>
      </c>
      <c r="W860" s="27">
        <f>Parameters!U431</f>
        <v>0</v>
      </c>
      <c r="X860" s="28">
        <f>Parameters!V431</f>
        <v>0</v>
      </c>
      <c r="Y860" s="25">
        <f>Parameters!W431</f>
        <v>0</v>
      </c>
      <c r="Z860" s="23">
        <f>Parameters!X431</f>
        <v>0</v>
      </c>
      <c r="AA860" s="27">
        <f>Parameters!Y431</f>
        <v>0</v>
      </c>
      <c r="AB860" s="28">
        <f>Parameters!Z431</f>
        <v>0</v>
      </c>
      <c r="AC860" s="23">
        <f>Parameters!AA431</f>
        <v>0</v>
      </c>
    </row>
    <row r="861" spans="1:29">
      <c r="A861" s="29" t="str">
        <f>UPPER(A860)</f>
        <v>0</v>
      </c>
      <c r="B861" s="29">
        <f>B860</f>
        <v>0</v>
      </c>
      <c r="C861" s="30">
        <f>C860</f>
        <v>0</v>
      </c>
      <c r="D861" s="30">
        <f>D860</f>
        <v>0</v>
      </c>
      <c r="E861" s="29">
        <f>E860</f>
        <v>0</v>
      </c>
      <c r="F861" s="29">
        <f>F860</f>
        <v>0</v>
      </c>
      <c r="G861" s="29" t="e">
        <f>IF(C860=1,IF(D860="BUY",E860+(ROUND(F860*G860/B860,0)*B860),E860-(ROUND(F860*G860/B860,0)*B860)),IF(D860="BUY",E860-(ROUND(F860*G860/B860,0)*B860),E860+(ROUND(F860*G860/B860,0)*B860)))</f>
        <v>#DIV/0!</v>
      </c>
      <c r="H861" s="29" t="e">
        <f>IF(C860=1,IF(D860="BUY",G861-(ROUND(F860*H860/B860,0)*B860),G861+(ROUND(F860*H860/B860,0)*B860)),IF(D860="BUY",G861+(ROUND(F860*H860/B860,0)*B860),G861-(ROUND(F860*H860/B860,0)*B860)))</f>
        <v>#DIV/0!</v>
      </c>
      <c r="I861" s="29" t="e">
        <f>IF(D860="BUY",G861+(ROUND(F860*I860/(B860*100),0)*B860),G861-(ROUND(F860*I860/(B860*100),0)*B860))</f>
        <v>#DIV/0!</v>
      </c>
      <c r="J861" s="29" t="e">
        <f>IF(C860=1,IF(D860="BUY",E860+(ROUND(F860*J860/B860,0)*B860),E860-(ROUND(F860*J860/B860,0)*B860)),IF(D860="BUY",E860-(ROUND(F860*J860/B860,0)*B860),E860+(ROUND(F860*J860/B860,0)*B860)))</f>
        <v>#DIV/0!</v>
      </c>
      <c r="K861" s="29" t="e">
        <f>IF(C860=1,IF(D860="BUY",E860-(ROUND(F860*K860/B860,0)*B860),E860+(ROUND(F860*K860/B860,0)*B860)),IF(D860="BUY",E860-(ROUND(F860*K860/B860,0)*B860),E860+(ROUND(F860*K860/B860,0)*B860)))</f>
        <v>#DIV/0!</v>
      </c>
      <c r="L861" s="29" t="e">
        <f t="shared" ref="L861" si="1286">IF(D861="BUY",I861+(R861*B861),I861-(R861*B861))</f>
        <v>#DIV/0!</v>
      </c>
      <c r="M861" s="29" t="e">
        <f>IF(D860="BUY",E860+(ROUND(F860*M860/B860,0)*B860),E860-(ROUND(F860*M860/B860,0)*B860))</f>
        <v>#DIV/0!</v>
      </c>
      <c r="N861" s="29" t="e">
        <f>IF(D860="BUY",E860-(ROUND(F860*N860/B860,0)*B860),E860+(ROUND(F860*N860/B860,0)*B860))</f>
        <v>#DIV/0!</v>
      </c>
      <c r="O861" s="31" t="e">
        <f>IF(D861="BUY",N861-VLOOKUP(A861,Symbols!A$1:D$1000,4,FALSE),N861+VLOOKUP(A861,Symbols!A$1:D$1000,4,FALSE))</f>
        <v>#DIV/0!</v>
      </c>
      <c r="P861" s="29">
        <f>P860</f>
        <v>0</v>
      </c>
      <c r="Q861" s="29">
        <f>Q860</f>
        <v>0</v>
      </c>
      <c r="R861" s="29">
        <f>R860</f>
        <v>0</v>
      </c>
      <c r="S861" s="29">
        <f>S860</f>
        <v>0</v>
      </c>
      <c r="T861" s="29">
        <f>T860</f>
        <v>0</v>
      </c>
      <c r="U861" s="29" t="e">
        <f>DATEDIF(DATE(1970,1,1),U860,"D")*86400</f>
        <v>#NUM!</v>
      </c>
      <c r="V861" s="29">
        <f>HOUR(V860)*3600+MINUTE(V860)*60+SECOND(V860)</f>
        <v>0</v>
      </c>
      <c r="W861" s="29" t="e">
        <f>DATEDIF(DATE(1970,1,1),W860,"D")*86400</f>
        <v>#NUM!</v>
      </c>
      <c r="X861" s="29">
        <f>HOUR(X860)*3600+MINUTE(X860)*60+SECOND(X860)</f>
        <v>0</v>
      </c>
      <c r="Y861" s="31">
        <f>(Y860*B861)</f>
        <v>0</v>
      </c>
      <c r="Z861" s="29">
        <f>Z860</f>
        <v>0</v>
      </c>
      <c r="AA861" s="29" t="e">
        <f>DATEDIF(DATE(1970,1,1),AA860,"D")*86400</f>
        <v>#NUM!</v>
      </c>
      <c r="AB861" s="29">
        <f>HOUR(AB860)*3600+MINUTE(AB860)*60+SECOND(AB860)</f>
        <v>0</v>
      </c>
      <c r="AC861" s="29">
        <f>AC860</f>
        <v>0</v>
      </c>
    </row>
    <row r="862" spans="1:29">
      <c r="A862" s="23">
        <f>Parameters!A432</f>
        <v>0</v>
      </c>
      <c r="B862" s="23">
        <f>Parameters!B432</f>
        <v>0</v>
      </c>
      <c r="C862" s="24">
        <f>Parameters!C432</f>
        <v>0</v>
      </c>
      <c r="D862" s="24">
        <f>Parameters!D432</f>
        <v>0</v>
      </c>
      <c r="E862" s="23">
        <f>Parameters!E432</f>
        <v>0</v>
      </c>
      <c r="F862" s="23">
        <f>Parameters!F432</f>
        <v>0</v>
      </c>
      <c r="G862" s="25">
        <f>Parameters!G432</f>
        <v>0</v>
      </c>
      <c r="H862" s="25">
        <f>Parameters!H432</f>
        <v>0</v>
      </c>
      <c r="I862" s="25">
        <f>Parameters!I432</f>
        <v>0</v>
      </c>
      <c r="J862" s="25">
        <f>Parameters!J432</f>
        <v>0</v>
      </c>
      <c r="K862" s="25">
        <f>Parameters!K432</f>
        <v>0</v>
      </c>
      <c r="L862" s="26" t="e">
        <f t="shared" ref="L862" si="1287">L863</f>
        <v>#DIV/0!</v>
      </c>
      <c r="M862" s="25">
        <f>Parameters!L432</f>
        <v>0</v>
      </c>
      <c r="N862" s="25">
        <f>Parameters!M432</f>
        <v>0</v>
      </c>
      <c r="O862" s="26" t="e">
        <f t="shared" ref="O862" si="1288">O863</f>
        <v>#DIV/0!</v>
      </c>
      <c r="P862" s="23">
        <f>Parameters!N432</f>
        <v>0</v>
      </c>
      <c r="Q862" s="23">
        <f>Parameters!O432</f>
        <v>0</v>
      </c>
      <c r="R862" s="23">
        <f>Parameters!P432</f>
        <v>0</v>
      </c>
      <c r="S862" s="23">
        <f>Parameters!Q432</f>
        <v>0</v>
      </c>
      <c r="T862" s="23">
        <f>Parameters!R432</f>
        <v>0</v>
      </c>
      <c r="U862" s="27">
        <f>Parameters!S432</f>
        <v>0</v>
      </c>
      <c r="V862" s="28">
        <f>Parameters!T432</f>
        <v>0</v>
      </c>
      <c r="W862" s="27">
        <f>Parameters!U432</f>
        <v>0</v>
      </c>
      <c r="X862" s="28">
        <f>Parameters!V432</f>
        <v>0</v>
      </c>
      <c r="Y862" s="25">
        <f>Parameters!W432</f>
        <v>0</v>
      </c>
      <c r="Z862" s="23">
        <f>Parameters!X432</f>
        <v>0</v>
      </c>
      <c r="AA862" s="27">
        <f>Parameters!Y432</f>
        <v>0</v>
      </c>
      <c r="AB862" s="28">
        <f>Parameters!Z432</f>
        <v>0</v>
      </c>
      <c r="AC862" s="23">
        <f>Parameters!AA432</f>
        <v>0</v>
      </c>
    </row>
    <row r="863" spans="1:29">
      <c r="A863" s="29" t="str">
        <f>UPPER(A862)</f>
        <v>0</v>
      </c>
      <c r="B863" s="29">
        <f>B862</f>
        <v>0</v>
      </c>
      <c r="C863" s="30">
        <f>C862</f>
        <v>0</v>
      </c>
      <c r="D863" s="30">
        <f>D862</f>
        <v>0</v>
      </c>
      <c r="E863" s="29">
        <f>E862</f>
        <v>0</v>
      </c>
      <c r="F863" s="29">
        <f>F862</f>
        <v>0</v>
      </c>
      <c r="G863" s="29" t="e">
        <f>IF(C862=1,IF(D862="BUY",E862+(ROUND(F862*G862/B862,0)*B862),E862-(ROUND(F862*G862/B862,0)*B862)),IF(D862="BUY",E862-(ROUND(F862*G862/B862,0)*B862),E862+(ROUND(F862*G862/B862,0)*B862)))</f>
        <v>#DIV/0!</v>
      </c>
      <c r="H863" s="29" t="e">
        <f>IF(C862=1,IF(D862="BUY",G863-(ROUND(F862*H862/B862,0)*B862),G863+(ROUND(F862*H862/B862,0)*B862)),IF(D862="BUY",G863+(ROUND(F862*H862/B862,0)*B862),G863-(ROUND(F862*H862/B862,0)*B862)))</f>
        <v>#DIV/0!</v>
      </c>
      <c r="I863" s="29" t="e">
        <f>IF(D862="BUY",G863+(ROUND(F862*I862/(B862*100),0)*B862),G863-(ROUND(F862*I862/(B862*100),0)*B862))</f>
        <v>#DIV/0!</v>
      </c>
      <c r="J863" s="29" t="e">
        <f>IF(C862=1,IF(D862="BUY",E862+(ROUND(F862*J862/B862,0)*B862),E862-(ROUND(F862*J862/B862,0)*B862)),IF(D862="BUY",E862-(ROUND(F862*J862/B862,0)*B862),E862+(ROUND(F862*J862/B862,0)*B862)))</f>
        <v>#DIV/0!</v>
      </c>
      <c r="K863" s="29" t="e">
        <f>IF(C862=1,IF(D862="BUY",E862-(ROUND(F862*K862/B862,0)*B862),E862+(ROUND(F862*K862/B862,0)*B862)),IF(D862="BUY",E862-(ROUND(F862*K862/B862,0)*B862),E862+(ROUND(F862*K862/B862,0)*B862)))</f>
        <v>#DIV/0!</v>
      </c>
      <c r="L863" s="29" t="e">
        <f t="shared" ref="L863" si="1289">IF(D863="BUY",I863+(R863*B863),I863-(R863*B863))</f>
        <v>#DIV/0!</v>
      </c>
      <c r="M863" s="29" t="e">
        <f>IF(D862="BUY",E862+(ROUND(F862*M862/B862,0)*B862),E862-(ROUND(F862*M862/B862,0)*B862))</f>
        <v>#DIV/0!</v>
      </c>
      <c r="N863" s="29" t="e">
        <f>IF(D862="BUY",E862-(ROUND(F862*N862/B862,0)*B862),E862+(ROUND(F862*N862/B862,0)*B862))</f>
        <v>#DIV/0!</v>
      </c>
      <c r="O863" s="31" t="e">
        <f>IF(D863="BUY",N863-VLOOKUP(A863,Symbols!A$1:D$1000,4,FALSE),N863+VLOOKUP(A863,Symbols!A$1:D$1000,4,FALSE))</f>
        <v>#DIV/0!</v>
      </c>
      <c r="P863" s="29">
        <f>P862</f>
        <v>0</v>
      </c>
      <c r="Q863" s="29">
        <f>Q862</f>
        <v>0</v>
      </c>
      <c r="R863" s="29">
        <f>R862</f>
        <v>0</v>
      </c>
      <c r="S863" s="29">
        <f>S862</f>
        <v>0</v>
      </c>
      <c r="T863" s="29">
        <f>T862</f>
        <v>0</v>
      </c>
      <c r="U863" s="29" t="e">
        <f>DATEDIF(DATE(1970,1,1),U862,"D")*86400</f>
        <v>#NUM!</v>
      </c>
      <c r="V863" s="29">
        <f>HOUR(V862)*3600+MINUTE(V862)*60+SECOND(V862)</f>
        <v>0</v>
      </c>
      <c r="W863" s="29" t="e">
        <f>DATEDIF(DATE(1970,1,1),W862,"D")*86400</f>
        <v>#NUM!</v>
      </c>
      <c r="X863" s="29">
        <f>HOUR(X862)*3600+MINUTE(X862)*60+SECOND(X862)</f>
        <v>0</v>
      </c>
      <c r="Y863" s="31">
        <f>(Y862*B863)</f>
        <v>0</v>
      </c>
      <c r="Z863" s="29">
        <f>Z862</f>
        <v>0</v>
      </c>
      <c r="AA863" s="29" t="e">
        <f>DATEDIF(DATE(1970,1,1),AA862,"D")*86400</f>
        <v>#NUM!</v>
      </c>
      <c r="AB863" s="29">
        <f>HOUR(AB862)*3600+MINUTE(AB862)*60+SECOND(AB862)</f>
        <v>0</v>
      </c>
      <c r="AC863" s="29">
        <f>AC862</f>
        <v>0</v>
      </c>
    </row>
    <row r="864" spans="1:29">
      <c r="A864" s="23">
        <f>Parameters!A433</f>
        <v>0</v>
      </c>
      <c r="B864" s="23">
        <f>Parameters!B433</f>
        <v>0</v>
      </c>
      <c r="C864" s="24">
        <f>Parameters!C433</f>
        <v>0</v>
      </c>
      <c r="D864" s="24">
        <f>Parameters!D433</f>
        <v>0</v>
      </c>
      <c r="E864" s="23">
        <f>Parameters!E433</f>
        <v>0</v>
      </c>
      <c r="F864" s="23">
        <f>Parameters!F433</f>
        <v>0</v>
      </c>
      <c r="G864" s="25">
        <f>Parameters!G433</f>
        <v>0</v>
      </c>
      <c r="H864" s="25">
        <f>Parameters!H433</f>
        <v>0</v>
      </c>
      <c r="I864" s="25">
        <f>Parameters!I433</f>
        <v>0</v>
      </c>
      <c r="J864" s="25">
        <f>Parameters!J433</f>
        <v>0</v>
      </c>
      <c r="K864" s="25">
        <f>Parameters!K433</f>
        <v>0</v>
      </c>
      <c r="L864" s="26" t="e">
        <f t="shared" ref="L864" si="1290">L865</f>
        <v>#DIV/0!</v>
      </c>
      <c r="M864" s="25">
        <f>Parameters!L433</f>
        <v>0</v>
      </c>
      <c r="N864" s="25">
        <f>Parameters!M433</f>
        <v>0</v>
      </c>
      <c r="O864" s="26" t="e">
        <f t="shared" ref="O864" si="1291">O865</f>
        <v>#DIV/0!</v>
      </c>
      <c r="P864" s="23">
        <f>Parameters!N433</f>
        <v>0</v>
      </c>
      <c r="Q864" s="23">
        <f>Parameters!O433</f>
        <v>0</v>
      </c>
      <c r="R864" s="23">
        <f>Parameters!P433</f>
        <v>0</v>
      </c>
      <c r="S864" s="23">
        <f>Parameters!Q433</f>
        <v>0</v>
      </c>
      <c r="T864" s="23">
        <f>Parameters!R433</f>
        <v>0</v>
      </c>
      <c r="U864" s="27">
        <f>Parameters!S433</f>
        <v>0</v>
      </c>
      <c r="V864" s="28">
        <f>Parameters!T433</f>
        <v>0</v>
      </c>
      <c r="W864" s="27">
        <f>Parameters!U433</f>
        <v>0</v>
      </c>
      <c r="X864" s="28">
        <f>Parameters!V433</f>
        <v>0</v>
      </c>
      <c r="Y864" s="25">
        <f>Parameters!W433</f>
        <v>0</v>
      </c>
      <c r="Z864" s="23">
        <f>Parameters!X433</f>
        <v>0</v>
      </c>
      <c r="AA864" s="27">
        <f>Parameters!Y433</f>
        <v>0</v>
      </c>
      <c r="AB864" s="28">
        <f>Parameters!Z433</f>
        <v>0</v>
      </c>
      <c r="AC864" s="23">
        <f>Parameters!AA433</f>
        <v>0</v>
      </c>
    </row>
    <row r="865" spans="1:29">
      <c r="A865" s="29" t="str">
        <f>UPPER(A864)</f>
        <v>0</v>
      </c>
      <c r="B865" s="29">
        <f>B864</f>
        <v>0</v>
      </c>
      <c r="C865" s="30">
        <f>C864</f>
        <v>0</v>
      </c>
      <c r="D865" s="30">
        <f>D864</f>
        <v>0</v>
      </c>
      <c r="E865" s="29">
        <f>E864</f>
        <v>0</v>
      </c>
      <c r="F865" s="29">
        <f>F864</f>
        <v>0</v>
      </c>
      <c r="G865" s="29" t="e">
        <f>IF(C864=1,IF(D864="BUY",E864+(ROUND(F864*G864/B864,0)*B864),E864-(ROUND(F864*G864/B864,0)*B864)),IF(D864="BUY",E864-(ROUND(F864*G864/B864,0)*B864),E864+(ROUND(F864*G864/B864,0)*B864)))</f>
        <v>#DIV/0!</v>
      </c>
      <c r="H865" s="29" t="e">
        <f>IF(C864=1,IF(D864="BUY",G865-(ROUND(F864*H864/B864,0)*B864),G865+(ROUND(F864*H864/B864,0)*B864)),IF(D864="BUY",G865+(ROUND(F864*H864/B864,0)*B864),G865-(ROUND(F864*H864/B864,0)*B864)))</f>
        <v>#DIV/0!</v>
      </c>
      <c r="I865" s="29" t="e">
        <f>IF(D864="BUY",G865+(ROUND(F864*I864/(B864*100),0)*B864),G865-(ROUND(F864*I864/(B864*100),0)*B864))</f>
        <v>#DIV/0!</v>
      </c>
      <c r="J865" s="29" t="e">
        <f>IF(C864=1,IF(D864="BUY",E864+(ROUND(F864*J864/B864,0)*B864),E864-(ROUND(F864*J864/B864,0)*B864)),IF(D864="BUY",E864-(ROUND(F864*J864/B864,0)*B864),E864+(ROUND(F864*J864/B864,0)*B864)))</f>
        <v>#DIV/0!</v>
      </c>
      <c r="K865" s="29" t="e">
        <f>IF(C864=1,IF(D864="BUY",E864-(ROUND(F864*K864/B864,0)*B864),E864+(ROUND(F864*K864/B864,0)*B864)),IF(D864="BUY",E864-(ROUND(F864*K864/B864,0)*B864),E864+(ROUND(F864*K864/B864,0)*B864)))</f>
        <v>#DIV/0!</v>
      </c>
      <c r="L865" s="29" t="e">
        <f t="shared" ref="L865" si="1292">IF(D865="BUY",I865+(R865*B865),I865-(R865*B865))</f>
        <v>#DIV/0!</v>
      </c>
      <c r="M865" s="29" t="e">
        <f>IF(D864="BUY",E864+(ROUND(F864*M864/B864,0)*B864),E864-(ROUND(F864*M864/B864,0)*B864))</f>
        <v>#DIV/0!</v>
      </c>
      <c r="N865" s="29" t="e">
        <f>IF(D864="BUY",E864-(ROUND(F864*N864/B864,0)*B864),E864+(ROUND(F864*N864/B864,0)*B864))</f>
        <v>#DIV/0!</v>
      </c>
      <c r="O865" s="31" t="e">
        <f>IF(D865="BUY",N865-VLOOKUP(A865,Symbols!A$1:D$1000,4,FALSE),N865+VLOOKUP(A865,Symbols!A$1:D$1000,4,FALSE))</f>
        <v>#DIV/0!</v>
      </c>
      <c r="P865" s="29">
        <f>P864</f>
        <v>0</v>
      </c>
      <c r="Q865" s="29">
        <f>Q864</f>
        <v>0</v>
      </c>
      <c r="R865" s="29">
        <f>R864</f>
        <v>0</v>
      </c>
      <c r="S865" s="29">
        <f>S864</f>
        <v>0</v>
      </c>
      <c r="T865" s="29">
        <f>T864</f>
        <v>0</v>
      </c>
      <c r="U865" s="29" t="e">
        <f>DATEDIF(DATE(1970,1,1),U864,"D")*86400</f>
        <v>#NUM!</v>
      </c>
      <c r="V865" s="29">
        <f>HOUR(V864)*3600+MINUTE(V864)*60+SECOND(V864)</f>
        <v>0</v>
      </c>
      <c r="W865" s="29" t="e">
        <f>DATEDIF(DATE(1970,1,1),W864,"D")*86400</f>
        <v>#NUM!</v>
      </c>
      <c r="X865" s="29">
        <f>HOUR(X864)*3600+MINUTE(X864)*60+SECOND(X864)</f>
        <v>0</v>
      </c>
      <c r="Y865" s="31">
        <f>(Y864*B865)</f>
        <v>0</v>
      </c>
      <c r="Z865" s="29">
        <f>Z864</f>
        <v>0</v>
      </c>
      <c r="AA865" s="29" t="e">
        <f>DATEDIF(DATE(1970,1,1),AA864,"D")*86400</f>
        <v>#NUM!</v>
      </c>
      <c r="AB865" s="29">
        <f>HOUR(AB864)*3600+MINUTE(AB864)*60+SECOND(AB864)</f>
        <v>0</v>
      </c>
      <c r="AC865" s="29">
        <f>AC864</f>
        <v>0</v>
      </c>
    </row>
    <row r="866" spans="1:29">
      <c r="A866" s="23">
        <f>Parameters!A434</f>
        <v>0</v>
      </c>
      <c r="B866" s="23">
        <f>Parameters!B434</f>
        <v>0</v>
      </c>
      <c r="C866" s="24">
        <f>Parameters!C434</f>
        <v>0</v>
      </c>
      <c r="D866" s="24">
        <f>Parameters!D434</f>
        <v>0</v>
      </c>
      <c r="E866" s="23">
        <f>Parameters!E434</f>
        <v>0</v>
      </c>
      <c r="F866" s="23">
        <f>Parameters!F434</f>
        <v>0</v>
      </c>
      <c r="G866" s="25">
        <f>Parameters!G434</f>
        <v>0</v>
      </c>
      <c r="H866" s="25">
        <f>Parameters!H434</f>
        <v>0</v>
      </c>
      <c r="I866" s="25">
        <f>Parameters!I434</f>
        <v>0</v>
      </c>
      <c r="J866" s="25">
        <f>Parameters!J434</f>
        <v>0</v>
      </c>
      <c r="K866" s="25">
        <f>Parameters!K434</f>
        <v>0</v>
      </c>
      <c r="L866" s="26" t="e">
        <f t="shared" ref="L866" si="1293">L867</f>
        <v>#DIV/0!</v>
      </c>
      <c r="M866" s="25">
        <f>Parameters!L434</f>
        <v>0</v>
      </c>
      <c r="N866" s="25">
        <f>Parameters!M434</f>
        <v>0</v>
      </c>
      <c r="O866" s="26" t="e">
        <f t="shared" ref="O866" si="1294">O867</f>
        <v>#DIV/0!</v>
      </c>
      <c r="P866" s="23">
        <f>Parameters!N434</f>
        <v>0</v>
      </c>
      <c r="Q866" s="23">
        <f>Parameters!O434</f>
        <v>0</v>
      </c>
      <c r="R866" s="23">
        <f>Parameters!P434</f>
        <v>0</v>
      </c>
      <c r="S866" s="23">
        <f>Parameters!Q434</f>
        <v>0</v>
      </c>
      <c r="T866" s="23">
        <f>Parameters!R434</f>
        <v>0</v>
      </c>
      <c r="U866" s="27">
        <f>Parameters!S434</f>
        <v>0</v>
      </c>
      <c r="V866" s="28">
        <f>Parameters!T434</f>
        <v>0</v>
      </c>
      <c r="W866" s="27">
        <f>Parameters!U434</f>
        <v>0</v>
      </c>
      <c r="X866" s="28">
        <f>Parameters!V434</f>
        <v>0</v>
      </c>
      <c r="Y866" s="25">
        <f>Parameters!W434</f>
        <v>0</v>
      </c>
      <c r="Z866" s="23">
        <f>Parameters!X434</f>
        <v>0</v>
      </c>
      <c r="AA866" s="27">
        <f>Parameters!Y434</f>
        <v>0</v>
      </c>
      <c r="AB866" s="28">
        <f>Parameters!Z434</f>
        <v>0</v>
      </c>
      <c r="AC866" s="23">
        <f>Parameters!AA434</f>
        <v>0</v>
      </c>
    </row>
    <row r="867" spans="1:29">
      <c r="A867" s="29" t="str">
        <f>UPPER(A866)</f>
        <v>0</v>
      </c>
      <c r="B867" s="29">
        <f>B866</f>
        <v>0</v>
      </c>
      <c r="C867" s="30">
        <f>C866</f>
        <v>0</v>
      </c>
      <c r="D867" s="30">
        <f>D866</f>
        <v>0</v>
      </c>
      <c r="E867" s="29">
        <f>E866</f>
        <v>0</v>
      </c>
      <c r="F867" s="29">
        <f>F866</f>
        <v>0</v>
      </c>
      <c r="G867" s="29" t="e">
        <f>IF(C866=1,IF(D866="BUY",E866+(ROUND(F866*G866/B866,0)*B866),E866-(ROUND(F866*G866/B866,0)*B866)),IF(D866="BUY",E866-(ROUND(F866*G866/B866,0)*B866),E866+(ROUND(F866*G866/B866,0)*B866)))</f>
        <v>#DIV/0!</v>
      </c>
      <c r="H867" s="29" t="e">
        <f>IF(C866=1,IF(D866="BUY",G867-(ROUND(F866*H866/B866,0)*B866),G867+(ROUND(F866*H866/B866,0)*B866)),IF(D866="BUY",G867+(ROUND(F866*H866/B866,0)*B866),G867-(ROUND(F866*H866/B866,0)*B866)))</f>
        <v>#DIV/0!</v>
      </c>
      <c r="I867" s="29" t="e">
        <f>IF(D866="BUY",G867+(ROUND(F866*I866/(B866*100),0)*B866),G867-(ROUND(F866*I866/(B866*100),0)*B866))</f>
        <v>#DIV/0!</v>
      </c>
      <c r="J867" s="29" t="e">
        <f>IF(C866=1,IF(D866="BUY",E866+(ROUND(F866*J866/B866,0)*B866),E866-(ROUND(F866*J866/B866,0)*B866)),IF(D866="BUY",E866-(ROUND(F866*J866/B866,0)*B866),E866+(ROUND(F866*J866/B866,0)*B866)))</f>
        <v>#DIV/0!</v>
      </c>
      <c r="K867" s="29" t="e">
        <f>IF(C866=1,IF(D866="BUY",E866-(ROUND(F866*K866/B866,0)*B866),E866+(ROUND(F866*K866/B866,0)*B866)),IF(D866="BUY",E866-(ROUND(F866*K866/B866,0)*B866),E866+(ROUND(F866*K866/B866,0)*B866)))</f>
        <v>#DIV/0!</v>
      </c>
      <c r="L867" s="29" t="e">
        <f t="shared" ref="L867" si="1295">IF(D867="BUY",I867+(R867*B867),I867-(R867*B867))</f>
        <v>#DIV/0!</v>
      </c>
      <c r="M867" s="29" t="e">
        <f>IF(D866="BUY",E866+(ROUND(F866*M866/B866,0)*B866),E866-(ROUND(F866*M866/B866,0)*B866))</f>
        <v>#DIV/0!</v>
      </c>
      <c r="N867" s="29" t="e">
        <f>IF(D866="BUY",E866-(ROUND(F866*N866/B866,0)*B866),E866+(ROUND(F866*N866/B866,0)*B866))</f>
        <v>#DIV/0!</v>
      </c>
      <c r="O867" s="31" t="e">
        <f>IF(D867="BUY",N867-VLOOKUP(A867,Symbols!A$1:D$1000,4,FALSE),N867+VLOOKUP(A867,Symbols!A$1:D$1000,4,FALSE))</f>
        <v>#DIV/0!</v>
      </c>
      <c r="P867" s="29">
        <f>P866</f>
        <v>0</v>
      </c>
      <c r="Q867" s="29">
        <f>Q866</f>
        <v>0</v>
      </c>
      <c r="R867" s="29">
        <f>R866</f>
        <v>0</v>
      </c>
      <c r="S867" s="29">
        <f>S866</f>
        <v>0</v>
      </c>
      <c r="T867" s="29">
        <f>T866</f>
        <v>0</v>
      </c>
      <c r="U867" s="29" t="e">
        <f>DATEDIF(DATE(1970,1,1),U866,"D")*86400</f>
        <v>#NUM!</v>
      </c>
      <c r="V867" s="29">
        <f>HOUR(V866)*3600+MINUTE(V866)*60+SECOND(V866)</f>
        <v>0</v>
      </c>
      <c r="W867" s="29" t="e">
        <f>DATEDIF(DATE(1970,1,1),W866,"D")*86400</f>
        <v>#NUM!</v>
      </c>
      <c r="X867" s="29">
        <f>HOUR(X866)*3600+MINUTE(X866)*60+SECOND(X866)</f>
        <v>0</v>
      </c>
      <c r="Y867" s="31">
        <f>(Y866*B867)</f>
        <v>0</v>
      </c>
      <c r="Z867" s="29">
        <f>Z866</f>
        <v>0</v>
      </c>
      <c r="AA867" s="29" t="e">
        <f>DATEDIF(DATE(1970,1,1),AA866,"D")*86400</f>
        <v>#NUM!</v>
      </c>
      <c r="AB867" s="29">
        <f>HOUR(AB866)*3600+MINUTE(AB866)*60+SECOND(AB866)</f>
        <v>0</v>
      </c>
      <c r="AC867" s="29">
        <f>AC866</f>
        <v>0</v>
      </c>
    </row>
    <row r="868" spans="1:29">
      <c r="A868" s="23">
        <f>Parameters!A435</f>
        <v>0</v>
      </c>
      <c r="B868" s="23">
        <f>Parameters!B435</f>
        <v>0</v>
      </c>
      <c r="C868" s="24">
        <f>Parameters!C435</f>
        <v>0</v>
      </c>
      <c r="D868" s="24">
        <f>Parameters!D435</f>
        <v>0</v>
      </c>
      <c r="E868" s="23">
        <f>Parameters!E435</f>
        <v>0</v>
      </c>
      <c r="F868" s="23">
        <f>Parameters!F435</f>
        <v>0</v>
      </c>
      <c r="G868" s="25">
        <f>Parameters!G435</f>
        <v>0</v>
      </c>
      <c r="H868" s="25">
        <f>Parameters!H435</f>
        <v>0</v>
      </c>
      <c r="I868" s="25">
        <f>Parameters!I435</f>
        <v>0</v>
      </c>
      <c r="J868" s="25">
        <f>Parameters!J435</f>
        <v>0</v>
      </c>
      <c r="K868" s="25">
        <f>Parameters!K435</f>
        <v>0</v>
      </c>
      <c r="L868" s="26" t="e">
        <f t="shared" ref="L868" si="1296">L869</f>
        <v>#DIV/0!</v>
      </c>
      <c r="M868" s="25">
        <f>Parameters!L435</f>
        <v>0</v>
      </c>
      <c r="N868" s="25">
        <f>Parameters!M435</f>
        <v>0</v>
      </c>
      <c r="O868" s="26" t="e">
        <f t="shared" ref="O868" si="1297">O869</f>
        <v>#DIV/0!</v>
      </c>
      <c r="P868" s="23">
        <f>Parameters!N435</f>
        <v>0</v>
      </c>
      <c r="Q868" s="23">
        <f>Parameters!O435</f>
        <v>0</v>
      </c>
      <c r="R868" s="23">
        <f>Parameters!P435</f>
        <v>0</v>
      </c>
      <c r="S868" s="23">
        <f>Parameters!Q435</f>
        <v>0</v>
      </c>
      <c r="T868" s="23">
        <f>Parameters!R435</f>
        <v>0</v>
      </c>
      <c r="U868" s="27">
        <f>Parameters!S435</f>
        <v>0</v>
      </c>
      <c r="V868" s="28">
        <f>Parameters!T435</f>
        <v>0</v>
      </c>
      <c r="W868" s="27">
        <f>Parameters!U435</f>
        <v>0</v>
      </c>
      <c r="X868" s="28">
        <f>Parameters!V435</f>
        <v>0</v>
      </c>
      <c r="Y868" s="25">
        <f>Parameters!W435</f>
        <v>0</v>
      </c>
      <c r="Z868" s="23">
        <f>Parameters!X435</f>
        <v>0</v>
      </c>
      <c r="AA868" s="27">
        <f>Parameters!Y435</f>
        <v>0</v>
      </c>
      <c r="AB868" s="28">
        <f>Parameters!Z435</f>
        <v>0</v>
      </c>
      <c r="AC868" s="23">
        <f>Parameters!AA435</f>
        <v>0</v>
      </c>
    </row>
    <row r="869" spans="1:29">
      <c r="A869" s="29" t="str">
        <f>UPPER(A868)</f>
        <v>0</v>
      </c>
      <c r="B869" s="29">
        <f>B868</f>
        <v>0</v>
      </c>
      <c r="C869" s="30">
        <f>C868</f>
        <v>0</v>
      </c>
      <c r="D869" s="30">
        <f>D868</f>
        <v>0</v>
      </c>
      <c r="E869" s="29">
        <f>E868</f>
        <v>0</v>
      </c>
      <c r="F869" s="29">
        <f>F868</f>
        <v>0</v>
      </c>
      <c r="G869" s="29" t="e">
        <f>IF(C868=1,IF(D868="BUY",E868+(ROUND(F868*G868/B868,0)*B868),E868-(ROUND(F868*G868/B868,0)*B868)),IF(D868="BUY",E868-(ROUND(F868*G868/B868,0)*B868),E868+(ROUND(F868*G868/B868,0)*B868)))</f>
        <v>#DIV/0!</v>
      </c>
      <c r="H869" s="29" t="e">
        <f>IF(C868=1,IF(D868="BUY",G869-(ROUND(F868*H868/B868,0)*B868),G869+(ROUND(F868*H868/B868,0)*B868)),IF(D868="BUY",G869+(ROUND(F868*H868/B868,0)*B868),G869-(ROUND(F868*H868/B868,0)*B868)))</f>
        <v>#DIV/0!</v>
      </c>
      <c r="I869" s="29" t="e">
        <f>IF(D868="BUY",G869+(ROUND(F868*I868/(B868*100),0)*B868),G869-(ROUND(F868*I868/(B868*100),0)*B868))</f>
        <v>#DIV/0!</v>
      </c>
      <c r="J869" s="29" t="e">
        <f>IF(C868=1,IF(D868="BUY",E868+(ROUND(F868*J868/B868,0)*B868),E868-(ROUND(F868*J868/B868,0)*B868)),IF(D868="BUY",E868-(ROUND(F868*J868/B868,0)*B868),E868+(ROUND(F868*J868/B868,0)*B868)))</f>
        <v>#DIV/0!</v>
      </c>
      <c r="K869" s="29" t="e">
        <f>IF(C868=1,IF(D868="BUY",E868-(ROUND(F868*K868/B868,0)*B868),E868+(ROUND(F868*K868/B868,0)*B868)),IF(D868="BUY",E868-(ROUND(F868*K868/B868,0)*B868),E868+(ROUND(F868*K868/B868,0)*B868)))</f>
        <v>#DIV/0!</v>
      </c>
      <c r="L869" s="29" t="e">
        <f t="shared" ref="L869" si="1298">IF(D869="BUY",I869+(R869*B869),I869-(R869*B869))</f>
        <v>#DIV/0!</v>
      </c>
      <c r="M869" s="29" t="e">
        <f>IF(D868="BUY",E868+(ROUND(F868*M868/B868,0)*B868),E868-(ROUND(F868*M868/B868,0)*B868))</f>
        <v>#DIV/0!</v>
      </c>
      <c r="N869" s="29" t="e">
        <f>IF(D868="BUY",E868-(ROUND(F868*N868/B868,0)*B868),E868+(ROUND(F868*N868/B868,0)*B868))</f>
        <v>#DIV/0!</v>
      </c>
      <c r="O869" s="31" t="e">
        <f>IF(D869="BUY",N869-VLOOKUP(A869,Symbols!A$1:D$1000,4,FALSE),N869+VLOOKUP(A869,Symbols!A$1:D$1000,4,FALSE))</f>
        <v>#DIV/0!</v>
      </c>
      <c r="P869" s="29">
        <f>P868</f>
        <v>0</v>
      </c>
      <c r="Q869" s="29">
        <f>Q868</f>
        <v>0</v>
      </c>
      <c r="R869" s="29">
        <f>R868</f>
        <v>0</v>
      </c>
      <c r="S869" s="29">
        <f>S868</f>
        <v>0</v>
      </c>
      <c r="T869" s="29">
        <f>T868</f>
        <v>0</v>
      </c>
      <c r="U869" s="29" t="e">
        <f>DATEDIF(DATE(1970,1,1),U868,"D")*86400</f>
        <v>#NUM!</v>
      </c>
      <c r="V869" s="29">
        <f>HOUR(V868)*3600+MINUTE(V868)*60+SECOND(V868)</f>
        <v>0</v>
      </c>
      <c r="W869" s="29" t="e">
        <f>DATEDIF(DATE(1970,1,1),W868,"D")*86400</f>
        <v>#NUM!</v>
      </c>
      <c r="X869" s="29">
        <f>HOUR(X868)*3600+MINUTE(X868)*60+SECOND(X868)</f>
        <v>0</v>
      </c>
      <c r="Y869" s="31">
        <f>(Y868*B869)</f>
        <v>0</v>
      </c>
      <c r="Z869" s="29">
        <f>Z868</f>
        <v>0</v>
      </c>
      <c r="AA869" s="29" t="e">
        <f>DATEDIF(DATE(1970,1,1),AA868,"D")*86400</f>
        <v>#NUM!</v>
      </c>
      <c r="AB869" s="29">
        <f>HOUR(AB868)*3600+MINUTE(AB868)*60+SECOND(AB868)</f>
        <v>0</v>
      </c>
      <c r="AC869" s="29">
        <f>AC868</f>
        <v>0</v>
      </c>
    </row>
    <row r="870" spans="1:29">
      <c r="A870" s="23">
        <f>Parameters!A436</f>
        <v>0</v>
      </c>
      <c r="B870" s="23">
        <f>Parameters!B436</f>
        <v>0</v>
      </c>
      <c r="C870" s="24">
        <f>Parameters!C436</f>
        <v>0</v>
      </c>
      <c r="D870" s="24">
        <f>Parameters!D436</f>
        <v>0</v>
      </c>
      <c r="E870" s="23">
        <f>Parameters!E436</f>
        <v>0</v>
      </c>
      <c r="F870" s="23">
        <f>Parameters!F436</f>
        <v>0</v>
      </c>
      <c r="G870" s="25">
        <f>Parameters!G436</f>
        <v>0</v>
      </c>
      <c r="H870" s="25">
        <f>Parameters!H436</f>
        <v>0</v>
      </c>
      <c r="I870" s="25">
        <f>Parameters!I436</f>
        <v>0</v>
      </c>
      <c r="J870" s="25">
        <f>Parameters!J436</f>
        <v>0</v>
      </c>
      <c r="K870" s="25">
        <f>Parameters!K436</f>
        <v>0</v>
      </c>
      <c r="L870" s="26" t="e">
        <f t="shared" ref="L870" si="1299">L871</f>
        <v>#DIV/0!</v>
      </c>
      <c r="M870" s="25">
        <f>Parameters!L436</f>
        <v>0</v>
      </c>
      <c r="N870" s="25">
        <f>Parameters!M436</f>
        <v>0</v>
      </c>
      <c r="O870" s="26" t="e">
        <f t="shared" ref="O870" si="1300">O871</f>
        <v>#DIV/0!</v>
      </c>
      <c r="P870" s="23">
        <f>Parameters!N436</f>
        <v>0</v>
      </c>
      <c r="Q870" s="23">
        <f>Parameters!O436</f>
        <v>0</v>
      </c>
      <c r="R870" s="23">
        <f>Parameters!P436</f>
        <v>0</v>
      </c>
      <c r="S870" s="23">
        <f>Parameters!Q436</f>
        <v>0</v>
      </c>
      <c r="T870" s="23">
        <f>Parameters!R436</f>
        <v>0</v>
      </c>
      <c r="U870" s="27">
        <f>Parameters!S436</f>
        <v>0</v>
      </c>
      <c r="V870" s="28">
        <f>Parameters!T436</f>
        <v>0</v>
      </c>
      <c r="W870" s="27">
        <f>Parameters!U436</f>
        <v>0</v>
      </c>
      <c r="X870" s="28">
        <f>Parameters!V436</f>
        <v>0</v>
      </c>
      <c r="Y870" s="25">
        <f>Parameters!W436</f>
        <v>0</v>
      </c>
      <c r="Z870" s="23">
        <f>Parameters!X436</f>
        <v>0</v>
      </c>
      <c r="AA870" s="27">
        <f>Parameters!Y436</f>
        <v>0</v>
      </c>
      <c r="AB870" s="28">
        <f>Parameters!Z436</f>
        <v>0</v>
      </c>
      <c r="AC870" s="23">
        <f>Parameters!AA436</f>
        <v>0</v>
      </c>
    </row>
    <row r="871" spans="1:29">
      <c r="A871" s="29" t="str">
        <f>UPPER(A870)</f>
        <v>0</v>
      </c>
      <c r="B871" s="29">
        <f>B870</f>
        <v>0</v>
      </c>
      <c r="C871" s="30">
        <f>C870</f>
        <v>0</v>
      </c>
      <c r="D871" s="30">
        <f>D870</f>
        <v>0</v>
      </c>
      <c r="E871" s="29">
        <f>E870</f>
        <v>0</v>
      </c>
      <c r="F871" s="29">
        <f>F870</f>
        <v>0</v>
      </c>
      <c r="G871" s="29" t="e">
        <f>IF(C870=1,IF(D870="BUY",E870+(ROUND(F870*G870/B870,0)*B870),E870-(ROUND(F870*G870/B870,0)*B870)),IF(D870="BUY",E870-(ROUND(F870*G870/B870,0)*B870),E870+(ROUND(F870*G870/B870,0)*B870)))</f>
        <v>#DIV/0!</v>
      </c>
      <c r="H871" s="29" t="e">
        <f>IF(C870=1,IF(D870="BUY",G871-(ROUND(F870*H870/B870,0)*B870),G871+(ROUND(F870*H870/B870,0)*B870)),IF(D870="BUY",G871+(ROUND(F870*H870/B870,0)*B870),G871-(ROUND(F870*H870/B870,0)*B870)))</f>
        <v>#DIV/0!</v>
      </c>
      <c r="I871" s="29" t="e">
        <f>IF(D870="BUY",G871+(ROUND(F870*I870/(B870*100),0)*B870),G871-(ROUND(F870*I870/(B870*100),0)*B870))</f>
        <v>#DIV/0!</v>
      </c>
      <c r="J871" s="29" t="e">
        <f>IF(C870=1,IF(D870="BUY",E870+(ROUND(F870*J870/B870,0)*B870),E870-(ROUND(F870*J870/B870,0)*B870)),IF(D870="BUY",E870-(ROUND(F870*J870/B870,0)*B870),E870+(ROUND(F870*J870/B870,0)*B870)))</f>
        <v>#DIV/0!</v>
      </c>
      <c r="K871" s="29" t="e">
        <f>IF(C870=1,IF(D870="BUY",E870-(ROUND(F870*K870/B870,0)*B870),E870+(ROUND(F870*K870/B870,0)*B870)),IF(D870="BUY",E870-(ROUND(F870*K870/B870,0)*B870),E870+(ROUND(F870*K870/B870,0)*B870)))</f>
        <v>#DIV/0!</v>
      </c>
      <c r="L871" s="29" t="e">
        <f t="shared" ref="L871" si="1301">IF(D871="BUY",I871+(R871*B871),I871-(R871*B871))</f>
        <v>#DIV/0!</v>
      </c>
      <c r="M871" s="29" t="e">
        <f>IF(D870="BUY",E870+(ROUND(F870*M870/B870,0)*B870),E870-(ROUND(F870*M870/B870,0)*B870))</f>
        <v>#DIV/0!</v>
      </c>
      <c r="N871" s="29" t="e">
        <f>IF(D870="BUY",E870-(ROUND(F870*N870/B870,0)*B870),E870+(ROUND(F870*N870/B870,0)*B870))</f>
        <v>#DIV/0!</v>
      </c>
      <c r="O871" s="31" t="e">
        <f>IF(D871="BUY",N871-VLOOKUP(A871,Symbols!A$1:D$1000,4,FALSE),N871+VLOOKUP(A871,Symbols!A$1:D$1000,4,FALSE))</f>
        <v>#DIV/0!</v>
      </c>
      <c r="P871" s="29">
        <f>P870</f>
        <v>0</v>
      </c>
      <c r="Q871" s="29">
        <f>Q870</f>
        <v>0</v>
      </c>
      <c r="R871" s="29">
        <f>R870</f>
        <v>0</v>
      </c>
      <c r="S871" s="29">
        <f>S870</f>
        <v>0</v>
      </c>
      <c r="T871" s="29">
        <f>T870</f>
        <v>0</v>
      </c>
      <c r="U871" s="29" t="e">
        <f>DATEDIF(DATE(1970,1,1),U870,"D")*86400</f>
        <v>#NUM!</v>
      </c>
      <c r="V871" s="29">
        <f>HOUR(V870)*3600+MINUTE(V870)*60+SECOND(V870)</f>
        <v>0</v>
      </c>
      <c r="W871" s="29" t="e">
        <f>DATEDIF(DATE(1970,1,1),W870,"D")*86400</f>
        <v>#NUM!</v>
      </c>
      <c r="X871" s="29">
        <f>HOUR(X870)*3600+MINUTE(X870)*60+SECOND(X870)</f>
        <v>0</v>
      </c>
      <c r="Y871" s="31">
        <f>(Y870*B871)</f>
        <v>0</v>
      </c>
      <c r="Z871" s="29">
        <f>Z870</f>
        <v>0</v>
      </c>
      <c r="AA871" s="29" t="e">
        <f>DATEDIF(DATE(1970,1,1),AA870,"D")*86400</f>
        <v>#NUM!</v>
      </c>
      <c r="AB871" s="29">
        <f>HOUR(AB870)*3600+MINUTE(AB870)*60+SECOND(AB870)</f>
        <v>0</v>
      </c>
      <c r="AC871" s="29">
        <f>AC870</f>
        <v>0</v>
      </c>
    </row>
    <row r="872" spans="1:29">
      <c r="A872" s="23">
        <f>Parameters!A437</f>
        <v>0</v>
      </c>
      <c r="B872" s="23">
        <f>Parameters!B437</f>
        <v>0</v>
      </c>
      <c r="C872" s="24">
        <f>Parameters!C437</f>
        <v>0</v>
      </c>
      <c r="D872" s="24">
        <f>Parameters!D437</f>
        <v>0</v>
      </c>
      <c r="E872" s="23">
        <f>Parameters!E437</f>
        <v>0</v>
      </c>
      <c r="F872" s="23">
        <f>Parameters!F437</f>
        <v>0</v>
      </c>
      <c r="G872" s="25">
        <f>Parameters!G437</f>
        <v>0</v>
      </c>
      <c r="H872" s="25">
        <f>Parameters!H437</f>
        <v>0</v>
      </c>
      <c r="I872" s="25">
        <f>Parameters!I437</f>
        <v>0</v>
      </c>
      <c r="J872" s="25">
        <f>Parameters!J437</f>
        <v>0</v>
      </c>
      <c r="K872" s="25">
        <f>Parameters!K437</f>
        <v>0</v>
      </c>
      <c r="L872" s="26" t="e">
        <f t="shared" ref="L872" si="1302">L873</f>
        <v>#DIV/0!</v>
      </c>
      <c r="M872" s="25">
        <f>Parameters!L437</f>
        <v>0</v>
      </c>
      <c r="N872" s="25">
        <f>Parameters!M437</f>
        <v>0</v>
      </c>
      <c r="O872" s="26" t="e">
        <f t="shared" ref="O872" si="1303">O873</f>
        <v>#DIV/0!</v>
      </c>
      <c r="P872" s="23">
        <f>Parameters!N437</f>
        <v>0</v>
      </c>
      <c r="Q872" s="23">
        <f>Parameters!O437</f>
        <v>0</v>
      </c>
      <c r="R872" s="23">
        <f>Parameters!P437</f>
        <v>0</v>
      </c>
      <c r="S872" s="23">
        <f>Parameters!Q437</f>
        <v>0</v>
      </c>
      <c r="T872" s="23">
        <f>Parameters!R437</f>
        <v>0</v>
      </c>
      <c r="U872" s="27">
        <f>Parameters!S437</f>
        <v>0</v>
      </c>
      <c r="V872" s="28">
        <f>Parameters!T437</f>
        <v>0</v>
      </c>
      <c r="W872" s="27">
        <f>Parameters!U437</f>
        <v>0</v>
      </c>
      <c r="X872" s="28">
        <f>Parameters!V437</f>
        <v>0</v>
      </c>
      <c r="Y872" s="25">
        <f>Parameters!W437</f>
        <v>0</v>
      </c>
      <c r="Z872" s="23">
        <f>Parameters!X437</f>
        <v>0</v>
      </c>
      <c r="AA872" s="27">
        <f>Parameters!Y437</f>
        <v>0</v>
      </c>
      <c r="AB872" s="28">
        <f>Parameters!Z437</f>
        <v>0</v>
      </c>
      <c r="AC872" s="23">
        <f>Parameters!AA437</f>
        <v>0</v>
      </c>
    </row>
    <row r="873" spans="1:29">
      <c r="A873" s="29" t="str">
        <f>UPPER(A872)</f>
        <v>0</v>
      </c>
      <c r="B873" s="29">
        <f>B872</f>
        <v>0</v>
      </c>
      <c r="C873" s="30">
        <f>C872</f>
        <v>0</v>
      </c>
      <c r="D873" s="30">
        <f>D872</f>
        <v>0</v>
      </c>
      <c r="E873" s="29">
        <f>E872</f>
        <v>0</v>
      </c>
      <c r="F873" s="29">
        <f>F872</f>
        <v>0</v>
      </c>
      <c r="G873" s="29" t="e">
        <f>IF(C872=1,IF(D872="BUY",E872+(ROUND(F872*G872/B872,0)*B872),E872-(ROUND(F872*G872/B872,0)*B872)),IF(D872="BUY",E872-(ROUND(F872*G872/B872,0)*B872),E872+(ROUND(F872*G872/B872,0)*B872)))</f>
        <v>#DIV/0!</v>
      </c>
      <c r="H873" s="29" t="e">
        <f>IF(C872=1,IF(D872="BUY",G873-(ROUND(F872*H872/B872,0)*B872),G873+(ROUND(F872*H872/B872,0)*B872)),IF(D872="BUY",G873+(ROUND(F872*H872/B872,0)*B872),G873-(ROUND(F872*H872/B872,0)*B872)))</f>
        <v>#DIV/0!</v>
      </c>
      <c r="I873" s="29" t="e">
        <f>IF(D872="BUY",G873+(ROUND(F872*I872/(B872*100),0)*B872),G873-(ROUND(F872*I872/(B872*100),0)*B872))</f>
        <v>#DIV/0!</v>
      </c>
      <c r="J873" s="29" t="e">
        <f>IF(C872=1,IF(D872="BUY",E872+(ROUND(F872*J872/B872,0)*B872),E872-(ROUND(F872*J872/B872,0)*B872)),IF(D872="BUY",E872-(ROUND(F872*J872/B872,0)*B872),E872+(ROUND(F872*J872/B872,0)*B872)))</f>
        <v>#DIV/0!</v>
      </c>
      <c r="K873" s="29" t="e">
        <f>IF(C872=1,IF(D872="BUY",E872-(ROUND(F872*K872/B872,0)*B872),E872+(ROUND(F872*K872/B872,0)*B872)),IF(D872="BUY",E872-(ROUND(F872*K872/B872,0)*B872),E872+(ROUND(F872*K872/B872,0)*B872)))</f>
        <v>#DIV/0!</v>
      </c>
      <c r="L873" s="29" t="e">
        <f t="shared" ref="L873" si="1304">IF(D873="BUY",I873+(R873*B873),I873-(R873*B873))</f>
        <v>#DIV/0!</v>
      </c>
      <c r="M873" s="29" t="e">
        <f>IF(D872="BUY",E872+(ROUND(F872*M872/B872,0)*B872),E872-(ROUND(F872*M872/B872,0)*B872))</f>
        <v>#DIV/0!</v>
      </c>
      <c r="N873" s="29" t="e">
        <f>IF(D872="BUY",E872-(ROUND(F872*N872/B872,0)*B872),E872+(ROUND(F872*N872/B872,0)*B872))</f>
        <v>#DIV/0!</v>
      </c>
      <c r="O873" s="31" t="e">
        <f>IF(D873="BUY",N873-VLOOKUP(A873,Symbols!A$1:D$1000,4,FALSE),N873+VLOOKUP(A873,Symbols!A$1:D$1000,4,FALSE))</f>
        <v>#DIV/0!</v>
      </c>
      <c r="P873" s="29">
        <f>P872</f>
        <v>0</v>
      </c>
      <c r="Q873" s="29">
        <f>Q872</f>
        <v>0</v>
      </c>
      <c r="R873" s="29">
        <f>R872</f>
        <v>0</v>
      </c>
      <c r="S873" s="29">
        <f>S872</f>
        <v>0</v>
      </c>
      <c r="T873" s="29">
        <f>T872</f>
        <v>0</v>
      </c>
      <c r="U873" s="29" t="e">
        <f>DATEDIF(DATE(1970,1,1),U872,"D")*86400</f>
        <v>#NUM!</v>
      </c>
      <c r="V873" s="29">
        <f>HOUR(V872)*3600+MINUTE(V872)*60+SECOND(V872)</f>
        <v>0</v>
      </c>
      <c r="W873" s="29" t="e">
        <f>DATEDIF(DATE(1970,1,1),W872,"D")*86400</f>
        <v>#NUM!</v>
      </c>
      <c r="X873" s="29">
        <f>HOUR(X872)*3600+MINUTE(X872)*60+SECOND(X872)</f>
        <v>0</v>
      </c>
      <c r="Y873" s="31">
        <f>(Y872*B873)</f>
        <v>0</v>
      </c>
      <c r="Z873" s="29">
        <f>Z872</f>
        <v>0</v>
      </c>
      <c r="AA873" s="29" t="e">
        <f>DATEDIF(DATE(1970,1,1),AA872,"D")*86400</f>
        <v>#NUM!</v>
      </c>
      <c r="AB873" s="29">
        <f>HOUR(AB872)*3600+MINUTE(AB872)*60+SECOND(AB872)</f>
        <v>0</v>
      </c>
      <c r="AC873" s="29">
        <f>AC872</f>
        <v>0</v>
      </c>
    </row>
    <row r="874" spans="1:29">
      <c r="A874" s="23">
        <f>Parameters!A438</f>
        <v>0</v>
      </c>
      <c r="B874" s="23">
        <f>Parameters!B438</f>
        <v>0</v>
      </c>
      <c r="C874" s="24">
        <f>Parameters!C438</f>
        <v>0</v>
      </c>
      <c r="D874" s="24">
        <f>Parameters!D438</f>
        <v>0</v>
      </c>
      <c r="E874" s="23">
        <f>Parameters!E438</f>
        <v>0</v>
      </c>
      <c r="F874" s="23">
        <f>Parameters!F438</f>
        <v>0</v>
      </c>
      <c r="G874" s="25">
        <f>Parameters!G438</f>
        <v>0</v>
      </c>
      <c r="H874" s="25">
        <f>Parameters!H438</f>
        <v>0</v>
      </c>
      <c r="I874" s="25">
        <f>Parameters!I438</f>
        <v>0</v>
      </c>
      <c r="J874" s="25">
        <f>Parameters!J438</f>
        <v>0</v>
      </c>
      <c r="K874" s="25">
        <f>Parameters!K438</f>
        <v>0</v>
      </c>
      <c r="L874" s="26" t="e">
        <f t="shared" ref="L874" si="1305">L875</f>
        <v>#DIV/0!</v>
      </c>
      <c r="M874" s="25">
        <f>Parameters!L438</f>
        <v>0</v>
      </c>
      <c r="N874" s="25">
        <f>Parameters!M438</f>
        <v>0</v>
      </c>
      <c r="O874" s="26" t="e">
        <f t="shared" ref="O874" si="1306">O875</f>
        <v>#DIV/0!</v>
      </c>
      <c r="P874" s="23">
        <f>Parameters!N438</f>
        <v>0</v>
      </c>
      <c r="Q874" s="23">
        <f>Parameters!O438</f>
        <v>0</v>
      </c>
      <c r="R874" s="23">
        <f>Parameters!P438</f>
        <v>0</v>
      </c>
      <c r="S874" s="23">
        <f>Parameters!Q438</f>
        <v>0</v>
      </c>
      <c r="T874" s="23">
        <f>Parameters!R438</f>
        <v>0</v>
      </c>
      <c r="U874" s="27">
        <f>Parameters!S438</f>
        <v>0</v>
      </c>
      <c r="V874" s="28">
        <f>Parameters!T438</f>
        <v>0</v>
      </c>
      <c r="W874" s="27">
        <f>Parameters!U438</f>
        <v>0</v>
      </c>
      <c r="X874" s="28">
        <f>Parameters!V438</f>
        <v>0</v>
      </c>
      <c r="Y874" s="25">
        <f>Parameters!W438</f>
        <v>0</v>
      </c>
      <c r="Z874" s="23">
        <f>Parameters!X438</f>
        <v>0</v>
      </c>
      <c r="AA874" s="27">
        <f>Parameters!Y438</f>
        <v>0</v>
      </c>
      <c r="AB874" s="28">
        <f>Parameters!Z438</f>
        <v>0</v>
      </c>
      <c r="AC874" s="23">
        <f>Parameters!AA438</f>
        <v>0</v>
      </c>
    </row>
    <row r="875" spans="1:29">
      <c r="A875" s="29" t="str">
        <f>UPPER(A874)</f>
        <v>0</v>
      </c>
      <c r="B875" s="29">
        <f>B874</f>
        <v>0</v>
      </c>
      <c r="C875" s="30">
        <f>C874</f>
        <v>0</v>
      </c>
      <c r="D875" s="30">
        <f>D874</f>
        <v>0</v>
      </c>
      <c r="E875" s="29">
        <f>E874</f>
        <v>0</v>
      </c>
      <c r="F875" s="29">
        <f>F874</f>
        <v>0</v>
      </c>
      <c r="G875" s="29" t="e">
        <f>IF(C874=1,IF(D874="BUY",E874+(ROUND(F874*G874/B874,0)*B874),E874-(ROUND(F874*G874/B874,0)*B874)),IF(D874="BUY",E874-(ROUND(F874*G874/B874,0)*B874),E874+(ROUND(F874*G874/B874,0)*B874)))</f>
        <v>#DIV/0!</v>
      </c>
      <c r="H875" s="29" t="e">
        <f>IF(C874=1,IF(D874="BUY",G875-(ROUND(F874*H874/B874,0)*B874),G875+(ROUND(F874*H874/B874,0)*B874)),IF(D874="BUY",G875+(ROUND(F874*H874/B874,0)*B874),G875-(ROUND(F874*H874/B874,0)*B874)))</f>
        <v>#DIV/0!</v>
      </c>
      <c r="I875" s="29" t="e">
        <f>IF(D874="BUY",G875+(ROUND(F874*I874/(B874*100),0)*B874),G875-(ROUND(F874*I874/(B874*100),0)*B874))</f>
        <v>#DIV/0!</v>
      </c>
      <c r="J875" s="29" t="e">
        <f>IF(C874=1,IF(D874="BUY",E874+(ROUND(F874*J874/B874,0)*B874),E874-(ROUND(F874*J874/B874,0)*B874)),IF(D874="BUY",E874-(ROUND(F874*J874/B874,0)*B874),E874+(ROUND(F874*J874/B874,0)*B874)))</f>
        <v>#DIV/0!</v>
      </c>
      <c r="K875" s="29" t="e">
        <f>IF(C874=1,IF(D874="BUY",E874-(ROUND(F874*K874/B874,0)*B874),E874+(ROUND(F874*K874/B874,0)*B874)),IF(D874="BUY",E874-(ROUND(F874*K874/B874,0)*B874),E874+(ROUND(F874*K874/B874,0)*B874)))</f>
        <v>#DIV/0!</v>
      </c>
      <c r="L875" s="29" t="e">
        <f t="shared" ref="L875" si="1307">IF(D875="BUY",I875+(R875*B875),I875-(R875*B875))</f>
        <v>#DIV/0!</v>
      </c>
      <c r="M875" s="29" t="e">
        <f>IF(D874="BUY",E874+(ROUND(F874*M874/B874,0)*B874),E874-(ROUND(F874*M874/B874,0)*B874))</f>
        <v>#DIV/0!</v>
      </c>
      <c r="N875" s="29" t="e">
        <f>IF(D874="BUY",E874-(ROUND(F874*N874/B874,0)*B874),E874+(ROUND(F874*N874/B874,0)*B874))</f>
        <v>#DIV/0!</v>
      </c>
      <c r="O875" s="31" t="e">
        <f>IF(D875="BUY",N875-VLOOKUP(A875,Symbols!A$1:D$1000,4,FALSE),N875+VLOOKUP(A875,Symbols!A$1:D$1000,4,FALSE))</f>
        <v>#DIV/0!</v>
      </c>
      <c r="P875" s="29">
        <f>P874</f>
        <v>0</v>
      </c>
      <c r="Q875" s="29">
        <f>Q874</f>
        <v>0</v>
      </c>
      <c r="R875" s="29">
        <f>R874</f>
        <v>0</v>
      </c>
      <c r="S875" s="29">
        <f>S874</f>
        <v>0</v>
      </c>
      <c r="T875" s="29">
        <f>T874</f>
        <v>0</v>
      </c>
      <c r="U875" s="29" t="e">
        <f>DATEDIF(DATE(1970,1,1),U874,"D")*86400</f>
        <v>#NUM!</v>
      </c>
      <c r="V875" s="29">
        <f>HOUR(V874)*3600+MINUTE(V874)*60+SECOND(V874)</f>
        <v>0</v>
      </c>
      <c r="W875" s="29" t="e">
        <f>DATEDIF(DATE(1970,1,1),W874,"D")*86400</f>
        <v>#NUM!</v>
      </c>
      <c r="X875" s="29">
        <f>HOUR(X874)*3600+MINUTE(X874)*60+SECOND(X874)</f>
        <v>0</v>
      </c>
      <c r="Y875" s="31">
        <f>(Y874*B875)</f>
        <v>0</v>
      </c>
      <c r="Z875" s="29">
        <f>Z874</f>
        <v>0</v>
      </c>
      <c r="AA875" s="29" t="e">
        <f>DATEDIF(DATE(1970,1,1),AA874,"D")*86400</f>
        <v>#NUM!</v>
      </c>
      <c r="AB875" s="29">
        <f>HOUR(AB874)*3600+MINUTE(AB874)*60+SECOND(AB874)</f>
        <v>0</v>
      </c>
      <c r="AC875" s="29">
        <f>AC874</f>
        <v>0</v>
      </c>
    </row>
    <row r="876" spans="1:29">
      <c r="A876" s="23">
        <f>Parameters!A439</f>
        <v>0</v>
      </c>
      <c r="B876" s="23">
        <f>Parameters!B439</f>
        <v>0</v>
      </c>
      <c r="C876" s="24">
        <f>Parameters!C439</f>
        <v>0</v>
      </c>
      <c r="D876" s="24">
        <f>Parameters!D439</f>
        <v>0</v>
      </c>
      <c r="E876" s="23">
        <f>Parameters!E439</f>
        <v>0</v>
      </c>
      <c r="F876" s="23">
        <f>Parameters!F439</f>
        <v>0</v>
      </c>
      <c r="G876" s="25">
        <f>Parameters!G439</f>
        <v>0</v>
      </c>
      <c r="H876" s="25">
        <f>Parameters!H439</f>
        <v>0</v>
      </c>
      <c r="I876" s="25">
        <f>Parameters!I439</f>
        <v>0</v>
      </c>
      <c r="J876" s="25">
        <f>Parameters!J439</f>
        <v>0</v>
      </c>
      <c r="K876" s="25">
        <f>Parameters!K439</f>
        <v>0</v>
      </c>
      <c r="L876" s="26" t="e">
        <f t="shared" ref="L876" si="1308">L877</f>
        <v>#DIV/0!</v>
      </c>
      <c r="M876" s="25">
        <f>Parameters!L439</f>
        <v>0</v>
      </c>
      <c r="N876" s="25">
        <f>Parameters!M439</f>
        <v>0</v>
      </c>
      <c r="O876" s="26" t="e">
        <f t="shared" ref="O876" si="1309">O877</f>
        <v>#DIV/0!</v>
      </c>
      <c r="P876" s="23">
        <f>Parameters!N439</f>
        <v>0</v>
      </c>
      <c r="Q876" s="23">
        <f>Parameters!O439</f>
        <v>0</v>
      </c>
      <c r="R876" s="23">
        <f>Parameters!P439</f>
        <v>0</v>
      </c>
      <c r="S876" s="23">
        <f>Parameters!Q439</f>
        <v>0</v>
      </c>
      <c r="T876" s="23">
        <f>Parameters!R439</f>
        <v>0</v>
      </c>
      <c r="U876" s="27">
        <f>Parameters!S439</f>
        <v>0</v>
      </c>
      <c r="V876" s="28">
        <f>Parameters!T439</f>
        <v>0</v>
      </c>
      <c r="W876" s="27">
        <f>Parameters!U439</f>
        <v>0</v>
      </c>
      <c r="X876" s="28">
        <f>Parameters!V439</f>
        <v>0</v>
      </c>
      <c r="Y876" s="25">
        <f>Parameters!W439</f>
        <v>0</v>
      </c>
      <c r="Z876" s="23">
        <f>Parameters!X439</f>
        <v>0</v>
      </c>
      <c r="AA876" s="27">
        <f>Parameters!Y439</f>
        <v>0</v>
      </c>
      <c r="AB876" s="28">
        <f>Parameters!Z439</f>
        <v>0</v>
      </c>
      <c r="AC876" s="23">
        <f>Parameters!AA439</f>
        <v>0</v>
      </c>
    </row>
    <row r="877" spans="1:29">
      <c r="A877" s="29" t="str">
        <f>UPPER(A876)</f>
        <v>0</v>
      </c>
      <c r="B877" s="29">
        <f>B876</f>
        <v>0</v>
      </c>
      <c r="C877" s="30">
        <f>C876</f>
        <v>0</v>
      </c>
      <c r="D877" s="30">
        <f>D876</f>
        <v>0</v>
      </c>
      <c r="E877" s="29">
        <f>E876</f>
        <v>0</v>
      </c>
      <c r="F877" s="29">
        <f>F876</f>
        <v>0</v>
      </c>
      <c r="G877" s="29" t="e">
        <f>IF(C876=1,IF(D876="BUY",E876+(ROUND(F876*G876/B876,0)*B876),E876-(ROUND(F876*G876/B876,0)*B876)),IF(D876="BUY",E876-(ROUND(F876*G876/B876,0)*B876),E876+(ROUND(F876*G876/B876,0)*B876)))</f>
        <v>#DIV/0!</v>
      </c>
      <c r="H877" s="29" t="e">
        <f>IF(C876=1,IF(D876="BUY",G877-(ROUND(F876*H876/B876,0)*B876),G877+(ROUND(F876*H876/B876,0)*B876)),IF(D876="BUY",G877+(ROUND(F876*H876/B876,0)*B876),G877-(ROUND(F876*H876/B876,0)*B876)))</f>
        <v>#DIV/0!</v>
      </c>
      <c r="I877" s="29" t="e">
        <f>IF(D876="BUY",G877+(ROUND(F876*I876/(B876*100),0)*B876),G877-(ROUND(F876*I876/(B876*100),0)*B876))</f>
        <v>#DIV/0!</v>
      </c>
      <c r="J877" s="29" t="e">
        <f>IF(C876=1,IF(D876="BUY",E876+(ROUND(F876*J876/B876,0)*B876),E876-(ROUND(F876*J876/B876,0)*B876)),IF(D876="BUY",E876-(ROUND(F876*J876/B876,0)*B876),E876+(ROUND(F876*J876/B876,0)*B876)))</f>
        <v>#DIV/0!</v>
      </c>
      <c r="K877" s="29" t="e">
        <f>IF(C876=1,IF(D876="BUY",E876-(ROUND(F876*K876/B876,0)*B876),E876+(ROUND(F876*K876/B876,0)*B876)),IF(D876="BUY",E876-(ROUND(F876*K876/B876,0)*B876),E876+(ROUND(F876*K876/B876,0)*B876)))</f>
        <v>#DIV/0!</v>
      </c>
      <c r="L877" s="29" t="e">
        <f t="shared" ref="L877" si="1310">IF(D877="BUY",I877+(R877*B877),I877-(R877*B877))</f>
        <v>#DIV/0!</v>
      </c>
      <c r="M877" s="29" t="e">
        <f>IF(D876="BUY",E876+(ROUND(F876*M876/B876,0)*B876),E876-(ROUND(F876*M876/B876,0)*B876))</f>
        <v>#DIV/0!</v>
      </c>
      <c r="N877" s="29" t="e">
        <f>IF(D876="BUY",E876-(ROUND(F876*N876/B876,0)*B876),E876+(ROUND(F876*N876/B876,0)*B876))</f>
        <v>#DIV/0!</v>
      </c>
      <c r="O877" s="31" t="e">
        <f>IF(D877="BUY",N877-VLOOKUP(A877,Symbols!A$1:D$1000,4,FALSE),N877+VLOOKUP(A877,Symbols!A$1:D$1000,4,FALSE))</f>
        <v>#DIV/0!</v>
      </c>
      <c r="P877" s="29">
        <f>P876</f>
        <v>0</v>
      </c>
      <c r="Q877" s="29">
        <f>Q876</f>
        <v>0</v>
      </c>
      <c r="R877" s="29">
        <f>R876</f>
        <v>0</v>
      </c>
      <c r="S877" s="29">
        <f>S876</f>
        <v>0</v>
      </c>
      <c r="T877" s="29">
        <f>T876</f>
        <v>0</v>
      </c>
      <c r="U877" s="29" t="e">
        <f>DATEDIF(DATE(1970,1,1),U876,"D")*86400</f>
        <v>#NUM!</v>
      </c>
      <c r="V877" s="29">
        <f>HOUR(V876)*3600+MINUTE(V876)*60+SECOND(V876)</f>
        <v>0</v>
      </c>
      <c r="W877" s="29" t="e">
        <f>DATEDIF(DATE(1970,1,1),W876,"D")*86400</f>
        <v>#NUM!</v>
      </c>
      <c r="X877" s="29">
        <f>HOUR(X876)*3600+MINUTE(X876)*60+SECOND(X876)</f>
        <v>0</v>
      </c>
      <c r="Y877" s="31">
        <f>(Y876*B877)</f>
        <v>0</v>
      </c>
      <c r="Z877" s="29">
        <f>Z876</f>
        <v>0</v>
      </c>
      <c r="AA877" s="29" t="e">
        <f>DATEDIF(DATE(1970,1,1),AA876,"D")*86400</f>
        <v>#NUM!</v>
      </c>
      <c r="AB877" s="29">
        <f>HOUR(AB876)*3600+MINUTE(AB876)*60+SECOND(AB876)</f>
        <v>0</v>
      </c>
      <c r="AC877" s="29">
        <f>AC876</f>
        <v>0</v>
      </c>
    </row>
    <row r="878" spans="1:29">
      <c r="A878" s="23">
        <f>Parameters!A440</f>
        <v>0</v>
      </c>
      <c r="B878" s="23">
        <f>Parameters!B440</f>
        <v>0</v>
      </c>
      <c r="C878" s="24">
        <f>Parameters!C440</f>
        <v>0</v>
      </c>
      <c r="D878" s="24">
        <f>Parameters!D440</f>
        <v>0</v>
      </c>
      <c r="E878" s="23">
        <f>Parameters!E440</f>
        <v>0</v>
      </c>
      <c r="F878" s="23">
        <f>Parameters!F440</f>
        <v>0</v>
      </c>
      <c r="G878" s="25">
        <f>Parameters!G440</f>
        <v>0</v>
      </c>
      <c r="H878" s="25">
        <f>Parameters!H440</f>
        <v>0</v>
      </c>
      <c r="I878" s="25">
        <f>Parameters!I440</f>
        <v>0</v>
      </c>
      <c r="J878" s="25">
        <f>Parameters!J440</f>
        <v>0</v>
      </c>
      <c r="K878" s="25">
        <f>Parameters!K440</f>
        <v>0</v>
      </c>
      <c r="L878" s="26" t="e">
        <f t="shared" ref="L878" si="1311">L879</f>
        <v>#DIV/0!</v>
      </c>
      <c r="M878" s="25">
        <f>Parameters!L440</f>
        <v>0</v>
      </c>
      <c r="N878" s="25">
        <f>Parameters!M440</f>
        <v>0</v>
      </c>
      <c r="O878" s="26" t="e">
        <f t="shared" ref="O878" si="1312">O879</f>
        <v>#DIV/0!</v>
      </c>
      <c r="P878" s="23">
        <f>Parameters!N440</f>
        <v>0</v>
      </c>
      <c r="Q878" s="23">
        <f>Parameters!O440</f>
        <v>0</v>
      </c>
      <c r="R878" s="23">
        <f>Parameters!P440</f>
        <v>0</v>
      </c>
      <c r="S878" s="23">
        <f>Parameters!Q440</f>
        <v>0</v>
      </c>
      <c r="T878" s="23">
        <f>Parameters!R440</f>
        <v>0</v>
      </c>
      <c r="U878" s="27">
        <f>Parameters!S440</f>
        <v>0</v>
      </c>
      <c r="V878" s="28">
        <f>Parameters!T440</f>
        <v>0</v>
      </c>
      <c r="W878" s="27">
        <f>Parameters!U440</f>
        <v>0</v>
      </c>
      <c r="X878" s="28">
        <f>Parameters!V440</f>
        <v>0</v>
      </c>
      <c r="Y878" s="25">
        <f>Parameters!W440</f>
        <v>0</v>
      </c>
      <c r="Z878" s="23">
        <f>Parameters!X440</f>
        <v>0</v>
      </c>
      <c r="AA878" s="27">
        <f>Parameters!Y440</f>
        <v>0</v>
      </c>
      <c r="AB878" s="28">
        <f>Parameters!Z440</f>
        <v>0</v>
      </c>
      <c r="AC878" s="23">
        <f>Parameters!AA440</f>
        <v>0</v>
      </c>
    </row>
    <row r="879" spans="1:29">
      <c r="A879" s="29" t="str">
        <f>UPPER(A878)</f>
        <v>0</v>
      </c>
      <c r="B879" s="29">
        <f>B878</f>
        <v>0</v>
      </c>
      <c r="C879" s="30">
        <f>C878</f>
        <v>0</v>
      </c>
      <c r="D879" s="30">
        <f>D878</f>
        <v>0</v>
      </c>
      <c r="E879" s="29">
        <f>E878</f>
        <v>0</v>
      </c>
      <c r="F879" s="29">
        <f>F878</f>
        <v>0</v>
      </c>
      <c r="G879" s="29" t="e">
        <f>IF(C878=1,IF(D878="BUY",E878+(ROUND(F878*G878/B878,0)*B878),E878-(ROUND(F878*G878/B878,0)*B878)),IF(D878="BUY",E878-(ROUND(F878*G878/B878,0)*B878),E878+(ROUND(F878*G878/B878,0)*B878)))</f>
        <v>#DIV/0!</v>
      </c>
      <c r="H879" s="29" t="e">
        <f>IF(C878=1,IF(D878="BUY",G879-(ROUND(F878*H878/B878,0)*B878),G879+(ROUND(F878*H878/B878,0)*B878)),IF(D878="BUY",G879+(ROUND(F878*H878/B878,0)*B878),G879-(ROUND(F878*H878/B878,0)*B878)))</f>
        <v>#DIV/0!</v>
      </c>
      <c r="I879" s="29" t="e">
        <f>IF(D878="BUY",G879+(ROUND(F878*I878/(B878*100),0)*B878),G879-(ROUND(F878*I878/(B878*100),0)*B878))</f>
        <v>#DIV/0!</v>
      </c>
      <c r="J879" s="29" t="e">
        <f>IF(C878=1,IF(D878="BUY",E878+(ROUND(F878*J878/B878,0)*B878),E878-(ROUND(F878*J878/B878,0)*B878)),IF(D878="BUY",E878-(ROUND(F878*J878/B878,0)*B878),E878+(ROUND(F878*J878/B878,0)*B878)))</f>
        <v>#DIV/0!</v>
      </c>
      <c r="K879" s="29" t="e">
        <f>IF(C878=1,IF(D878="BUY",E878-(ROUND(F878*K878/B878,0)*B878),E878+(ROUND(F878*K878/B878,0)*B878)),IF(D878="BUY",E878-(ROUND(F878*K878/B878,0)*B878),E878+(ROUND(F878*K878/B878,0)*B878)))</f>
        <v>#DIV/0!</v>
      </c>
      <c r="L879" s="29" t="e">
        <f t="shared" ref="L879" si="1313">IF(D879="BUY",I879+(R879*B879),I879-(R879*B879))</f>
        <v>#DIV/0!</v>
      </c>
      <c r="M879" s="29" t="e">
        <f>IF(D878="BUY",E878+(ROUND(F878*M878/B878,0)*B878),E878-(ROUND(F878*M878/B878,0)*B878))</f>
        <v>#DIV/0!</v>
      </c>
      <c r="N879" s="29" t="e">
        <f>IF(D878="BUY",E878-(ROUND(F878*N878/B878,0)*B878),E878+(ROUND(F878*N878/B878,0)*B878))</f>
        <v>#DIV/0!</v>
      </c>
      <c r="O879" s="31" t="e">
        <f>IF(D879="BUY",N879-VLOOKUP(A879,Symbols!A$1:D$1000,4,FALSE),N879+VLOOKUP(A879,Symbols!A$1:D$1000,4,FALSE))</f>
        <v>#DIV/0!</v>
      </c>
      <c r="P879" s="29">
        <f>P878</f>
        <v>0</v>
      </c>
      <c r="Q879" s="29">
        <f>Q878</f>
        <v>0</v>
      </c>
      <c r="R879" s="29">
        <f>R878</f>
        <v>0</v>
      </c>
      <c r="S879" s="29">
        <f>S878</f>
        <v>0</v>
      </c>
      <c r="T879" s="29">
        <f>T878</f>
        <v>0</v>
      </c>
      <c r="U879" s="29" t="e">
        <f>DATEDIF(DATE(1970,1,1),U878,"D")*86400</f>
        <v>#NUM!</v>
      </c>
      <c r="V879" s="29">
        <f>HOUR(V878)*3600+MINUTE(V878)*60+SECOND(V878)</f>
        <v>0</v>
      </c>
      <c r="W879" s="29" t="e">
        <f>DATEDIF(DATE(1970,1,1),W878,"D")*86400</f>
        <v>#NUM!</v>
      </c>
      <c r="X879" s="29">
        <f>HOUR(X878)*3600+MINUTE(X878)*60+SECOND(X878)</f>
        <v>0</v>
      </c>
      <c r="Y879" s="31">
        <f>(Y878*B879)</f>
        <v>0</v>
      </c>
      <c r="Z879" s="29">
        <f>Z878</f>
        <v>0</v>
      </c>
      <c r="AA879" s="29" t="e">
        <f>DATEDIF(DATE(1970,1,1),AA878,"D")*86400</f>
        <v>#NUM!</v>
      </c>
      <c r="AB879" s="29">
        <f>HOUR(AB878)*3600+MINUTE(AB878)*60+SECOND(AB878)</f>
        <v>0</v>
      </c>
      <c r="AC879" s="29">
        <f>AC878</f>
        <v>0</v>
      </c>
    </row>
    <row r="880" spans="1:29">
      <c r="A880" s="23">
        <f>Parameters!A441</f>
        <v>0</v>
      </c>
      <c r="B880" s="23">
        <f>Parameters!B441</f>
        <v>0</v>
      </c>
      <c r="C880" s="24">
        <f>Parameters!C441</f>
        <v>0</v>
      </c>
      <c r="D880" s="24">
        <f>Parameters!D441</f>
        <v>0</v>
      </c>
      <c r="E880" s="23">
        <f>Parameters!E441</f>
        <v>0</v>
      </c>
      <c r="F880" s="23">
        <f>Parameters!F441</f>
        <v>0</v>
      </c>
      <c r="G880" s="25">
        <f>Parameters!G441</f>
        <v>0</v>
      </c>
      <c r="H880" s="25">
        <f>Parameters!H441</f>
        <v>0</v>
      </c>
      <c r="I880" s="25">
        <f>Parameters!I441</f>
        <v>0</v>
      </c>
      <c r="J880" s="25">
        <f>Parameters!J441</f>
        <v>0</v>
      </c>
      <c r="K880" s="25">
        <f>Parameters!K441</f>
        <v>0</v>
      </c>
      <c r="L880" s="26" t="e">
        <f t="shared" ref="L880" si="1314">L881</f>
        <v>#DIV/0!</v>
      </c>
      <c r="M880" s="25">
        <f>Parameters!L441</f>
        <v>0</v>
      </c>
      <c r="N880" s="25">
        <f>Parameters!M441</f>
        <v>0</v>
      </c>
      <c r="O880" s="26" t="e">
        <f t="shared" ref="O880" si="1315">O881</f>
        <v>#DIV/0!</v>
      </c>
      <c r="P880" s="23">
        <f>Parameters!N441</f>
        <v>0</v>
      </c>
      <c r="Q880" s="23">
        <f>Parameters!O441</f>
        <v>0</v>
      </c>
      <c r="R880" s="23">
        <f>Parameters!P441</f>
        <v>0</v>
      </c>
      <c r="S880" s="23">
        <f>Parameters!Q441</f>
        <v>0</v>
      </c>
      <c r="T880" s="23">
        <f>Parameters!R441</f>
        <v>0</v>
      </c>
      <c r="U880" s="27">
        <f>Parameters!S441</f>
        <v>0</v>
      </c>
      <c r="V880" s="28">
        <f>Parameters!T441</f>
        <v>0</v>
      </c>
      <c r="W880" s="27">
        <f>Parameters!U441</f>
        <v>0</v>
      </c>
      <c r="X880" s="28">
        <f>Parameters!V441</f>
        <v>0</v>
      </c>
      <c r="Y880" s="25">
        <f>Parameters!W441</f>
        <v>0</v>
      </c>
      <c r="Z880" s="23">
        <f>Parameters!X441</f>
        <v>0</v>
      </c>
      <c r="AA880" s="27">
        <f>Parameters!Y441</f>
        <v>0</v>
      </c>
      <c r="AB880" s="28">
        <f>Parameters!Z441</f>
        <v>0</v>
      </c>
      <c r="AC880" s="23">
        <f>Parameters!AA441</f>
        <v>0</v>
      </c>
    </row>
    <row r="881" spans="1:29">
      <c r="A881" s="29" t="str">
        <f>UPPER(A880)</f>
        <v>0</v>
      </c>
      <c r="B881" s="29">
        <f>B880</f>
        <v>0</v>
      </c>
      <c r="C881" s="30">
        <f>C880</f>
        <v>0</v>
      </c>
      <c r="D881" s="30">
        <f>D880</f>
        <v>0</v>
      </c>
      <c r="E881" s="29">
        <f>E880</f>
        <v>0</v>
      </c>
      <c r="F881" s="29">
        <f>F880</f>
        <v>0</v>
      </c>
      <c r="G881" s="29" t="e">
        <f>IF(C880=1,IF(D880="BUY",E880+(ROUND(F880*G880/B880,0)*B880),E880-(ROUND(F880*G880/B880,0)*B880)),IF(D880="BUY",E880-(ROUND(F880*G880/B880,0)*B880),E880+(ROUND(F880*G880/B880,0)*B880)))</f>
        <v>#DIV/0!</v>
      </c>
      <c r="H881" s="29" t="e">
        <f>IF(C880=1,IF(D880="BUY",G881-(ROUND(F880*H880/B880,0)*B880),G881+(ROUND(F880*H880/B880,0)*B880)),IF(D880="BUY",G881+(ROUND(F880*H880/B880,0)*B880),G881-(ROUND(F880*H880/B880,0)*B880)))</f>
        <v>#DIV/0!</v>
      </c>
      <c r="I881" s="29" t="e">
        <f>IF(D880="BUY",G881+(ROUND(F880*I880/(B880*100),0)*B880),G881-(ROUND(F880*I880/(B880*100),0)*B880))</f>
        <v>#DIV/0!</v>
      </c>
      <c r="J881" s="29" t="e">
        <f>IF(C880=1,IF(D880="BUY",E880+(ROUND(F880*J880/B880,0)*B880),E880-(ROUND(F880*J880/B880,0)*B880)),IF(D880="BUY",E880-(ROUND(F880*J880/B880,0)*B880),E880+(ROUND(F880*J880/B880,0)*B880)))</f>
        <v>#DIV/0!</v>
      </c>
      <c r="K881" s="29" t="e">
        <f>IF(C880=1,IF(D880="BUY",E880-(ROUND(F880*K880/B880,0)*B880),E880+(ROUND(F880*K880/B880,0)*B880)),IF(D880="BUY",E880-(ROUND(F880*K880/B880,0)*B880),E880+(ROUND(F880*K880/B880,0)*B880)))</f>
        <v>#DIV/0!</v>
      </c>
      <c r="L881" s="29" t="e">
        <f t="shared" ref="L881" si="1316">IF(D881="BUY",I881+(R881*B881),I881-(R881*B881))</f>
        <v>#DIV/0!</v>
      </c>
      <c r="M881" s="29" t="e">
        <f>IF(D880="BUY",E880+(ROUND(F880*M880/B880,0)*B880),E880-(ROUND(F880*M880/B880,0)*B880))</f>
        <v>#DIV/0!</v>
      </c>
      <c r="N881" s="29" t="e">
        <f>IF(D880="BUY",E880-(ROUND(F880*N880/B880,0)*B880),E880+(ROUND(F880*N880/B880,0)*B880))</f>
        <v>#DIV/0!</v>
      </c>
      <c r="O881" s="31" t="e">
        <f>IF(D881="BUY",N881-VLOOKUP(A881,Symbols!A$1:D$1000,4,FALSE),N881+VLOOKUP(A881,Symbols!A$1:D$1000,4,FALSE))</f>
        <v>#DIV/0!</v>
      </c>
      <c r="P881" s="29">
        <f>P880</f>
        <v>0</v>
      </c>
      <c r="Q881" s="29">
        <f>Q880</f>
        <v>0</v>
      </c>
      <c r="R881" s="29">
        <f>R880</f>
        <v>0</v>
      </c>
      <c r="S881" s="29">
        <f>S880</f>
        <v>0</v>
      </c>
      <c r="T881" s="29">
        <f>T880</f>
        <v>0</v>
      </c>
      <c r="U881" s="29" t="e">
        <f>DATEDIF(DATE(1970,1,1),U880,"D")*86400</f>
        <v>#NUM!</v>
      </c>
      <c r="V881" s="29">
        <f>HOUR(V880)*3600+MINUTE(V880)*60+SECOND(V880)</f>
        <v>0</v>
      </c>
      <c r="W881" s="29" t="e">
        <f>DATEDIF(DATE(1970,1,1),W880,"D")*86400</f>
        <v>#NUM!</v>
      </c>
      <c r="X881" s="29">
        <f>HOUR(X880)*3600+MINUTE(X880)*60+SECOND(X880)</f>
        <v>0</v>
      </c>
      <c r="Y881" s="31">
        <f>(Y880*B881)</f>
        <v>0</v>
      </c>
      <c r="Z881" s="29">
        <f>Z880</f>
        <v>0</v>
      </c>
      <c r="AA881" s="29" t="e">
        <f>DATEDIF(DATE(1970,1,1),AA880,"D")*86400</f>
        <v>#NUM!</v>
      </c>
      <c r="AB881" s="29">
        <f>HOUR(AB880)*3600+MINUTE(AB880)*60+SECOND(AB880)</f>
        <v>0</v>
      </c>
      <c r="AC881" s="29">
        <f>AC880</f>
        <v>0</v>
      </c>
    </row>
    <row r="882" spans="1:29">
      <c r="A882" s="23">
        <f>Parameters!A442</f>
        <v>0</v>
      </c>
      <c r="B882" s="23">
        <f>Parameters!B442</f>
        <v>0</v>
      </c>
      <c r="C882" s="24">
        <f>Parameters!C442</f>
        <v>0</v>
      </c>
      <c r="D882" s="24">
        <f>Parameters!D442</f>
        <v>0</v>
      </c>
      <c r="E882" s="23">
        <f>Parameters!E442</f>
        <v>0</v>
      </c>
      <c r="F882" s="23">
        <f>Parameters!F442</f>
        <v>0</v>
      </c>
      <c r="G882" s="25">
        <f>Parameters!G442</f>
        <v>0</v>
      </c>
      <c r="H882" s="25">
        <f>Parameters!H442</f>
        <v>0</v>
      </c>
      <c r="I882" s="25">
        <f>Parameters!I442</f>
        <v>0</v>
      </c>
      <c r="J882" s="25">
        <f>Parameters!J442</f>
        <v>0</v>
      </c>
      <c r="K882" s="25">
        <f>Parameters!K442</f>
        <v>0</v>
      </c>
      <c r="L882" s="26" t="e">
        <f t="shared" ref="L882" si="1317">L883</f>
        <v>#DIV/0!</v>
      </c>
      <c r="M882" s="25">
        <f>Parameters!L442</f>
        <v>0</v>
      </c>
      <c r="N882" s="25">
        <f>Parameters!M442</f>
        <v>0</v>
      </c>
      <c r="O882" s="26" t="e">
        <f t="shared" ref="O882" si="1318">O883</f>
        <v>#DIV/0!</v>
      </c>
      <c r="P882" s="23">
        <f>Parameters!N442</f>
        <v>0</v>
      </c>
      <c r="Q882" s="23">
        <f>Parameters!O442</f>
        <v>0</v>
      </c>
      <c r="R882" s="23">
        <f>Parameters!P442</f>
        <v>0</v>
      </c>
      <c r="S882" s="23">
        <f>Parameters!Q442</f>
        <v>0</v>
      </c>
      <c r="T882" s="23">
        <f>Parameters!R442</f>
        <v>0</v>
      </c>
      <c r="U882" s="27">
        <f>Parameters!S442</f>
        <v>0</v>
      </c>
      <c r="V882" s="28">
        <f>Parameters!T442</f>
        <v>0</v>
      </c>
      <c r="W882" s="27">
        <f>Parameters!U442</f>
        <v>0</v>
      </c>
      <c r="X882" s="28">
        <f>Parameters!V442</f>
        <v>0</v>
      </c>
      <c r="Y882" s="25">
        <f>Parameters!W442</f>
        <v>0</v>
      </c>
      <c r="Z882" s="23">
        <f>Parameters!X442</f>
        <v>0</v>
      </c>
      <c r="AA882" s="27">
        <f>Parameters!Y442</f>
        <v>0</v>
      </c>
      <c r="AB882" s="28">
        <f>Parameters!Z442</f>
        <v>0</v>
      </c>
      <c r="AC882" s="23">
        <f>Parameters!AA442</f>
        <v>0</v>
      </c>
    </row>
    <row r="883" spans="1:29">
      <c r="A883" s="29" t="str">
        <f>UPPER(A882)</f>
        <v>0</v>
      </c>
      <c r="B883" s="29">
        <f>B882</f>
        <v>0</v>
      </c>
      <c r="C883" s="30">
        <f>C882</f>
        <v>0</v>
      </c>
      <c r="D883" s="30">
        <f>D882</f>
        <v>0</v>
      </c>
      <c r="E883" s="29">
        <f>E882</f>
        <v>0</v>
      </c>
      <c r="F883" s="29">
        <f>F882</f>
        <v>0</v>
      </c>
      <c r="G883" s="29" t="e">
        <f>IF(C882=1,IF(D882="BUY",E882+(ROUND(F882*G882/B882,0)*B882),E882-(ROUND(F882*G882/B882,0)*B882)),IF(D882="BUY",E882-(ROUND(F882*G882/B882,0)*B882),E882+(ROUND(F882*G882/B882,0)*B882)))</f>
        <v>#DIV/0!</v>
      </c>
      <c r="H883" s="29" t="e">
        <f>IF(C882=1,IF(D882="BUY",G883-(ROUND(F882*H882/B882,0)*B882),G883+(ROUND(F882*H882/B882,0)*B882)),IF(D882="BUY",G883+(ROUND(F882*H882/B882,0)*B882),G883-(ROUND(F882*H882/B882,0)*B882)))</f>
        <v>#DIV/0!</v>
      </c>
      <c r="I883" s="29" t="e">
        <f>IF(D882="BUY",G883+(ROUND(F882*I882/(B882*100),0)*B882),G883-(ROUND(F882*I882/(B882*100),0)*B882))</f>
        <v>#DIV/0!</v>
      </c>
      <c r="J883" s="29" t="e">
        <f>IF(C882=1,IF(D882="BUY",E882+(ROUND(F882*J882/B882,0)*B882),E882-(ROUND(F882*J882/B882,0)*B882)),IF(D882="BUY",E882-(ROUND(F882*J882/B882,0)*B882),E882+(ROUND(F882*J882/B882,0)*B882)))</f>
        <v>#DIV/0!</v>
      </c>
      <c r="K883" s="29" t="e">
        <f>IF(C882=1,IF(D882="BUY",E882-(ROUND(F882*K882/B882,0)*B882),E882+(ROUND(F882*K882/B882,0)*B882)),IF(D882="BUY",E882-(ROUND(F882*K882/B882,0)*B882),E882+(ROUND(F882*K882/B882,0)*B882)))</f>
        <v>#DIV/0!</v>
      </c>
      <c r="L883" s="29" t="e">
        <f t="shared" ref="L883" si="1319">IF(D883="BUY",I883+(R883*B883),I883-(R883*B883))</f>
        <v>#DIV/0!</v>
      </c>
      <c r="M883" s="29" t="e">
        <f>IF(D882="BUY",E882+(ROUND(F882*M882/B882,0)*B882),E882-(ROUND(F882*M882/B882,0)*B882))</f>
        <v>#DIV/0!</v>
      </c>
      <c r="N883" s="29" t="e">
        <f>IF(D882="BUY",E882-(ROUND(F882*N882/B882,0)*B882),E882+(ROUND(F882*N882/B882,0)*B882))</f>
        <v>#DIV/0!</v>
      </c>
      <c r="O883" s="31" t="e">
        <f>IF(D883="BUY",N883-VLOOKUP(A883,Symbols!A$1:D$1000,4,FALSE),N883+VLOOKUP(A883,Symbols!A$1:D$1000,4,FALSE))</f>
        <v>#DIV/0!</v>
      </c>
      <c r="P883" s="29">
        <f>P882</f>
        <v>0</v>
      </c>
      <c r="Q883" s="29">
        <f>Q882</f>
        <v>0</v>
      </c>
      <c r="R883" s="29">
        <f>R882</f>
        <v>0</v>
      </c>
      <c r="S883" s="29">
        <f>S882</f>
        <v>0</v>
      </c>
      <c r="T883" s="29">
        <f>T882</f>
        <v>0</v>
      </c>
      <c r="U883" s="29" t="e">
        <f>DATEDIF(DATE(1970,1,1),U882,"D")*86400</f>
        <v>#NUM!</v>
      </c>
      <c r="V883" s="29">
        <f>HOUR(V882)*3600+MINUTE(V882)*60+SECOND(V882)</f>
        <v>0</v>
      </c>
      <c r="W883" s="29" t="e">
        <f>DATEDIF(DATE(1970,1,1),W882,"D")*86400</f>
        <v>#NUM!</v>
      </c>
      <c r="X883" s="29">
        <f>HOUR(X882)*3600+MINUTE(X882)*60+SECOND(X882)</f>
        <v>0</v>
      </c>
      <c r="Y883" s="31">
        <f>(Y882*B883)</f>
        <v>0</v>
      </c>
      <c r="Z883" s="29">
        <f>Z882</f>
        <v>0</v>
      </c>
      <c r="AA883" s="29" t="e">
        <f>DATEDIF(DATE(1970,1,1),AA882,"D")*86400</f>
        <v>#NUM!</v>
      </c>
      <c r="AB883" s="29">
        <f>HOUR(AB882)*3600+MINUTE(AB882)*60+SECOND(AB882)</f>
        <v>0</v>
      </c>
      <c r="AC883" s="29">
        <f>AC882</f>
        <v>0</v>
      </c>
    </row>
    <row r="884" spans="1:29">
      <c r="A884" s="23">
        <f>Parameters!A443</f>
        <v>0</v>
      </c>
      <c r="B884" s="23">
        <f>Parameters!B443</f>
        <v>0</v>
      </c>
      <c r="C884" s="24">
        <f>Parameters!C443</f>
        <v>0</v>
      </c>
      <c r="D884" s="24">
        <f>Parameters!D443</f>
        <v>0</v>
      </c>
      <c r="E884" s="23">
        <f>Parameters!E443</f>
        <v>0</v>
      </c>
      <c r="F884" s="23">
        <f>Parameters!F443</f>
        <v>0</v>
      </c>
      <c r="G884" s="25">
        <f>Parameters!G443</f>
        <v>0</v>
      </c>
      <c r="H884" s="25">
        <f>Parameters!H443</f>
        <v>0</v>
      </c>
      <c r="I884" s="25">
        <f>Parameters!I443</f>
        <v>0</v>
      </c>
      <c r="J884" s="25">
        <f>Parameters!J443</f>
        <v>0</v>
      </c>
      <c r="K884" s="25">
        <f>Parameters!K443</f>
        <v>0</v>
      </c>
      <c r="L884" s="26" t="e">
        <f t="shared" ref="L884" si="1320">L885</f>
        <v>#DIV/0!</v>
      </c>
      <c r="M884" s="25">
        <f>Parameters!L443</f>
        <v>0</v>
      </c>
      <c r="N884" s="25">
        <f>Parameters!M443</f>
        <v>0</v>
      </c>
      <c r="O884" s="26" t="e">
        <f t="shared" ref="O884" si="1321">O885</f>
        <v>#DIV/0!</v>
      </c>
      <c r="P884" s="23">
        <f>Parameters!N443</f>
        <v>0</v>
      </c>
      <c r="Q884" s="23">
        <f>Parameters!O443</f>
        <v>0</v>
      </c>
      <c r="R884" s="23">
        <f>Parameters!P443</f>
        <v>0</v>
      </c>
      <c r="S884" s="23">
        <f>Parameters!Q443</f>
        <v>0</v>
      </c>
      <c r="T884" s="23">
        <f>Parameters!R443</f>
        <v>0</v>
      </c>
      <c r="U884" s="27">
        <f>Parameters!S443</f>
        <v>0</v>
      </c>
      <c r="V884" s="28">
        <f>Parameters!T443</f>
        <v>0</v>
      </c>
      <c r="W884" s="27">
        <f>Parameters!U443</f>
        <v>0</v>
      </c>
      <c r="X884" s="28">
        <f>Parameters!V443</f>
        <v>0</v>
      </c>
      <c r="Y884" s="25">
        <f>Parameters!W443</f>
        <v>0</v>
      </c>
      <c r="Z884" s="23">
        <f>Parameters!X443</f>
        <v>0</v>
      </c>
      <c r="AA884" s="27">
        <f>Parameters!Y443</f>
        <v>0</v>
      </c>
      <c r="AB884" s="28">
        <f>Parameters!Z443</f>
        <v>0</v>
      </c>
      <c r="AC884" s="23">
        <f>Parameters!AA443</f>
        <v>0</v>
      </c>
    </row>
    <row r="885" spans="1:29">
      <c r="A885" s="29" t="str">
        <f>UPPER(A884)</f>
        <v>0</v>
      </c>
      <c r="B885" s="29">
        <f>B884</f>
        <v>0</v>
      </c>
      <c r="C885" s="30">
        <f>C884</f>
        <v>0</v>
      </c>
      <c r="D885" s="30">
        <f>D884</f>
        <v>0</v>
      </c>
      <c r="E885" s="29">
        <f>E884</f>
        <v>0</v>
      </c>
      <c r="F885" s="29">
        <f>F884</f>
        <v>0</v>
      </c>
      <c r="G885" s="29" t="e">
        <f>IF(C884=1,IF(D884="BUY",E884+(ROUND(F884*G884/B884,0)*B884),E884-(ROUND(F884*G884/B884,0)*B884)),IF(D884="BUY",E884-(ROUND(F884*G884/B884,0)*B884),E884+(ROUND(F884*G884/B884,0)*B884)))</f>
        <v>#DIV/0!</v>
      </c>
      <c r="H885" s="29" t="e">
        <f>IF(C884=1,IF(D884="BUY",G885-(ROUND(F884*H884/B884,0)*B884),G885+(ROUND(F884*H884/B884,0)*B884)),IF(D884="BUY",G885+(ROUND(F884*H884/B884,0)*B884),G885-(ROUND(F884*H884/B884,0)*B884)))</f>
        <v>#DIV/0!</v>
      </c>
      <c r="I885" s="29" t="e">
        <f>IF(D884="BUY",G885+(ROUND(F884*I884/(B884*100),0)*B884),G885-(ROUND(F884*I884/(B884*100),0)*B884))</f>
        <v>#DIV/0!</v>
      </c>
      <c r="J885" s="29" t="e">
        <f>IF(C884=1,IF(D884="BUY",E884+(ROUND(F884*J884/B884,0)*B884),E884-(ROUND(F884*J884/B884,0)*B884)),IF(D884="BUY",E884-(ROUND(F884*J884/B884,0)*B884),E884+(ROUND(F884*J884/B884,0)*B884)))</f>
        <v>#DIV/0!</v>
      </c>
      <c r="K885" s="29" t="e">
        <f>IF(C884=1,IF(D884="BUY",E884-(ROUND(F884*K884/B884,0)*B884),E884+(ROUND(F884*K884/B884,0)*B884)),IF(D884="BUY",E884-(ROUND(F884*K884/B884,0)*B884),E884+(ROUND(F884*K884/B884,0)*B884)))</f>
        <v>#DIV/0!</v>
      </c>
      <c r="L885" s="29" t="e">
        <f t="shared" ref="L885" si="1322">IF(D885="BUY",I885+(R885*B885),I885-(R885*B885))</f>
        <v>#DIV/0!</v>
      </c>
      <c r="M885" s="29" t="e">
        <f>IF(D884="BUY",E884+(ROUND(F884*M884/B884,0)*B884),E884-(ROUND(F884*M884/B884,0)*B884))</f>
        <v>#DIV/0!</v>
      </c>
      <c r="N885" s="29" t="e">
        <f>IF(D884="BUY",E884-(ROUND(F884*N884/B884,0)*B884),E884+(ROUND(F884*N884/B884,0)*B884))</f>
        <v>#DIV/0!</v>
      </c>
      <c r="O885" s="31" t="e">
        <f>IF(D885="BUY",N885-VLOOKUP(A885,Symbols!A$1:D$1000,4,FALSE),N885+VLOOKUP(A885,Symbols!A$1:D$1000,4,FALSE))</f>
        <v>#DIV/0!</v>
      </c>
      <c r="P885" s="29">
        <f>P884</f>
        <v>0</v>
      </c>
      <c r="Q885" s="29">
        <f>Q884</f>
        <v>0</v>
      </c>
      <c r="R885" s="29">
        <f>R884</f>
        <v>0</v>
      </c>
      <c r="S885" s="29">
        <f>S884</f>
        <v>0</v>
      </c>
      <c r="T885" s="29">
        <f>T884</f>
        <v>0</v>
      </c>
      <c r="U885" s="29" t="e">
        <f>DATEDIF(DATE(1970,1,1),U884,"D")*86400</f>
        <v>#NUM!</v>
      </c>
      <c r="V885" s="29">
        <f>HOUR(V884)*3600+MINUTE(V884)*60+SECOND(V884)</f>
        <v>0</v>
      </c>
      <c r="W885" s="29" t="e">
        <f>DATEDIF(DATE(1970,1,1),W884,"D")*86400</f>
        <v>#NUM!</v>
      </c>
      <c r="X885" s="29">
        <f>HOUR(X884)*3600+MINUTE(X884)*60+SECOND(X884)</f>
        <v>0</v>
      </c>
      <c r="Y885" s="31">
        <f>(Y884*B885)</f>
        <v>0</v>
      </c>
      <c r="Z885" s="29">
        <f>Z884</f>
        <v>0</v>
      </c>
      <c r="AA885" s="29" t="e">
        <f>DATEDIF(DATE(1970,1,1),AA884,"D")*86400</f>
        <v>#NUM!</v>
      </c>
      <c r="AB885" s="29">
        <f>HOUR(AB884)*3600+MINUTE(AB884)*60+SECOND(AB884)</f>
        <v>0</v>
      </c>
      <c r="AC885" s="29">
        <f>AC884</f>
        <v>0</v>
      </c>
    </row>
    <row r="886" spans="1:29">
      <c r="A886" s="23">
        <f>Parameters!A444</f>
        <v>0</v>
      </c>
      <c r="B886" s="23">
        <f>Parameters!B444</f>
        <v>0</v>
      </c>
      <c r="C886" s="24">
        <f>Parameters!C444</f>
        <v>0</v>
      </c>
      <c r="D886" s="24">
        <f>Parameters!D444</f>
        <v>0</v>
      </c>
      <c r="E886" s="23">
        <f>Parameters!E444</f>
        <v>0</v>
      </c>
      <c r="F886" s="23">
        <f>Parameters!F444</f>
        <v>0</v>
      </c>
      <c r="G886" s="25">
        <f>Parameters!G444</f>
        <v>0</v>
      </c>
      <c r="H886" s="25">
        <f>Parameters!H444</f>
        <v>0</v>
      </c>
      <c r="I886" s="25">
        <f>Parameters!I444</f>
        <v>0</v>
      </c>
      <c r="J886" s="25">
        <f>Parameters!J444</f>
        <v>0</v>
      </c>
      <c r="K886" s="25">
        <f>Parameters!K444</f>
        <v>0</v>
      </c>
      <c r="L886" s="26" t="e">
        <f t="shared" ref="L886" si="1323">L887</f>
        <v>#DIV/0!</v>
      </c>
      <c r="M886" s="25">
        <f>Parameters!L444</f>
        <v>0</v>
      </c>
      <c r="N886" s="25">
        <f>Parameters!M444</f>
        <v>0</v>
      </c>
      <c r="O886" s="26" t="e">
        <f t="shared" ref="O886" si="1324">O887</f>
        <v>#DIV/0!</v>
      </c>
      <c r="P886" s="23">
        <f>Parameters!N444</f>
        <v>0</v>
      </c>
      <c r="Q886" s="23">
        <f>Parameters!O444</f>
        <v>0</v>
      </c>
      <c r="R886" s="23">
        <f>Parameters!P444</f>
        <v>0</v>
      </c>
      <c r="S886" s="23">
        <f>Parameters!Q444</f>
        <v>0</v>
      </c>
      <c r="T886" s="23">
        <f>Parameters!R444</f>
        <v>0</v>
      </c>
      <c r="U886" s="27">
        <f>Parameters!S444</f>
        <v>0</v>
      </c>
      <c r="V886" s="28">
        <f>Parameters!T444</f>
        <v>0</v>
      </c>
      <c r="W886" s="27">
        <f>Parameters!U444</f>
        <v>0</v>
      </c>
      <c r="X886" s="28">
        <f>Parameters!V444</f>
        <v>0</v>
      </c>
      <c r="Y886" s="25">
        <f>Parameters!W444</f>
        <v>0</v>
      </c>
      <c r="Z886" s="23">
        <f>Parameters!X444</f>
        <v>0</v>
      </c>
      <c r="AA886" s="27">
        <f>Parameters!Y444</f>
        <v>0</v>
      </c>
      <c r="AB886" s="28">
        <f>Parameters!Z444</f>
        <v>0</v>
      </c>
      <c r="AC886" s="23">
        <f>Parameters!AA444</f>
        <v>0</v>
      </c>
    </row>
    <row r="887" spans="1:29">
      <c r="A887" s="29" t="str">
        <f>UPPER(A886)</f>
        <v>0</v>
      </c>
      <c r="B887" s="29">
        <f>B886</f>
        <v>0</v>
      </c>
      <c r="C887" s="30">
        <f>C886</f>
        <v>0</v>
      </c>
      <c r="D887" s="30">
        <f>D886</f>
        <v>0</v>
      </c>
      <c r="E887" s="29">
        <f>E886</f>
        <v>0</v>
      </c>
      <c r="F887" s="29">
        <f>F886</f>
        <v>0</v>
      </c>
      <c r="G887" s="29" t="e">
        <f>IF(C886=1,IF(D886="BUY",E886+(ROUND(F886*G886/B886,0)*B886),E886-(ROUND(F886*G886/B886,0)*B886)),IF(D886="BUY",E886-(ROUND(F886*G886/B886,0)*B886),E886+(ROUND(F886*G886/B886,0)*B886)))</f>
        <v>#DIV/0!</v>
      </c>
      <c r="H887" s="29" t="e">
        <f>IF(C886=1,IF(D886="BUY",G887-(ROUND(F886*H886/B886,0)*B886),G887+(ROUND(F886*H886/B886,0)*B886)),IF(D886="BUY",G887+(ROUND(F886*H886/B886,0)*B886),G887-(ROUND(F886*H886/B886,0)*B886)))</f>
        <v>#DIV/0!</v>
      </c>
      <c r="I887" s="29" t="e">
        <f>IF(D886="BUY",G887+(ROUND(F886*I886/(B886*100),0)*B886),G887-(ROUND(F886*I886/(B886*100),0)*B886))</f>
        <v>#DIV/0!</v>
      </c>
      <c r="J887" s="29" t="e">
        <f>IF(C886=1,IF(D886="BUY",E886+(ROUND(F886*J886/B886,0)*B886),E886-(ROUND(F886*J886/B886,0)*B886)),IF(D886="BUY",E886-(ROUND(F886*J886/B886,0)*B886),E886+(ROUND(F886*J886/B886,0)*B886)))</f>
        <v>#DIV/0!</v>
      </c>
      <c r="K887" s="29" t="e">
        <f>IF(C886=1,IF(D886="BUY",E886-(ROUND(F886*K886/B886,0)*B886),E886+(ROUND(F886*K886/B886,0)*B886)),IF(D886="BUY",E886-(ROUND(F886*K886/B886,0)*B886),E886+(ROUND(F886*K886/B886,0)*B886)))</f>
        <v>#DIV/0!</v>
      </c>
      <c r="L887" s="29" t="e">
        <f t="shared" ref="L887" si="1325">IF(D887="BUY",I887+(R887*B887),I887-(R887*B887))</f>
        <v>#DIV/0!</v>
      </c>
      <c r="M887" s="29" t="e">
        <f>IF(D886="BUY",E886+(ROUND(F886*M886/B886,0)*B886),E886-(ROUND(F886*M886/B886,0)*B886))</f>
        <v>#DIV/0!</v>
      </c>
      <c r="N887" s="29" t="e">
        <f>IF(D886="BUY",E886-(ROUND(F886*N886/B886,0)*B886),E886+(ROUND(F886*N886/B886,0)*B886))</f>
        <v>#DIV/0!</v>
      </c>
      <c r="O887" s="31" t="e">
        <f>IF(D887="BUY",N887-VLOOKUP(A887,Symbols!A$1:D$1000,4,FALSE),N887+VLOOKUP(A887,Symbols!A$1:D$1000,4,FALSE))</f>
        <v>#DIV/0!</v>
      </c>
      <c r="P887" s="29">
        <f>P886</f>
        <v>0</v>
      </c>
      <c r="Q887" s="29">
        <f>Q886</f>
        <v>0</v>
      </c>
      <c r="R887" s="29">
        <f>R886</f>
        <v>0</v>
      </c>
      <c r="S887" s="29">
        <f>S886</f>
        <v>0</v>
      </c>
      <c r="T887" s="29">
        <f>T886</f>
        <v>0</v>
      </c>
      <c r="U887" s="29" t="e">
        <f>DATEDIF(DATE(1970,1,1),U886,"D")*86400</f>
        <v>#NUM!</v>
      </c>
      <c r="V887" s="29">
        <f>HOUR(V886)*3600+MINUTE(V886)*60+SECOND(V886)</f>
        <v>0</v>
      </c>
      <c r="W887" s="29" t="e">
        <f>DATEDIF(DATE(1970,1,1),W886,"D")*86400</f>
        <v>#NUM!</v>
      </c>
      <c r="X887" s="29">
        <f>HOUR(X886)*3600+MINUTE(X886)*60+SECOND(X886)</f>
        <v>0</v>
      </c>
      <c r="Y887" s="31">
        <f>(Y886*B887)</f>
        <v>0</v>
      </c>
      <c r="Z887" s="29">
        <f>Z886</f>
        <v>0</v>
      </c>
      <c r="AA887" s="29" t="e">
        <f>DATEDIF(DATE(1970,1,1),AA886,"D")*86400</f>
        <v>#NUM!</v>
      </c>
      <c r="AB887" s="29">
        <f>HOUR(AB886)*3600+MINUTE(AB886)*60+SECOND(AB886)</f>
        <v>0</v>
      </c>
      <c r="AC887" s="29">
        <f>AC886</f>
        <v>0</v>
      </c>
    </row>
    <row r="888" spans="1:29">
      <c r="A888" s="23">
        <f>Parameters!A445</f>
        <v>0</v>
      </c>
      <c r="B888" s="23">
        <f>Parameters!B445</f>
        <v>0</v>
      </c>
      <c r="C888" s="24">
        <f>Parameters!C445</f>
        <v>0</v>
      </c>
      <c r="D888" s="24">
        <f>Parameters!D445</f>
        <v>0</v>
      </c>
      <c r="E888" s="23">
        <f>Parameters!E445</f>
        <v>0</v>
      </c>
      <c r="F888" s="23">
        <f>Parameters!F445</f>
        <v>0</v>
      </c>
      <c r="G888" s="25">
        <f>Parameters!G445</f>
        <v>0</v>
      </c>
      <c r="H888" s="25">
        <f>Parameters!H445</f>
        <v>0</v>
      </c>
      <c r="I888" s="25">
        <f>Parameters!I445</f>
        <v>0</v>
      </c>
      <c r="J888" s="25">
        <f>Parameters!J445</f>
        <v>0</v>
      </c>
      <c r="K888" s="25">
        <f>Parameters!K445</f>
        <v>0</v>
      </c>
      <c r="L888" s="26" t="e">
        <f t="shared" ref="L888" si="1326">L889</f>
        <v>#DIV/0!</v>
      </c>
      <c r="M888" s="25">
        <f>Parameters!L445</f>
        <v>0</v>
      </c>
      <c r="N888" s="25">
        <f>Parameters!M445</f>
        <v>0</v>
      </c>
      <c r="O888" s="26" t="e">
        <f t="shared" ref="O888" si="1327">O889</f>
        <v>#DIV/0!</v>
      </c>
      <c r="P888" s="23">
        <f>Parameters!N445</f>
        <v>0</v>
      </c>
      <c r="Q888" s="23">
        <f>Parameters!O445</f>
        <v>0</v>
      </c>
      <c r="R888" s="23">
        <f>Parameters!P445</f>
        <v>0</v>
      </c>
      <c r="S888" s="23">
        <f>Parameters!Q445</f>
        <v>0</v>
      </c>
      <c r="T888" s="23">
        <f>Parameters!R445</f>
        <v>0</v>
      </c>
      <c r="U888" s="27">
        <f>Parameters!S445</f>
        <v>0</v>
      </c>
      <c r="V888" s="28">
        <f>Parameters!T445</f>
        <v>0</v>
      </c>
      <c r="W888" s="27">
        <f>Parameters!U445</f>
        <v>0</v>
      </c>
      <c r="X888" s="28">
        <f>Parameters!V445</f>
        <v>0</v>
      </c>
      <c r="Y888" s="25">
        <f>Parameters!W445</f>
        <v>0</v>
      </c>
      <c r="Z888" s="23">
        <f>Parameters!X445</f>
        <v>0</v>
      </c>
      <c r="AA888" s="27">
        <f>Parameters!Y445</f>
        <v>0</v>
      </c>
      <c r="AB888" s="28">
        <f>Parameters!Z445</f>
        <v>0</v>
      </c>
      <c r="AC888" s="23">
        <f>Parameters!AA445</f>
        <v>0</v>
      </c>
    </row>
    <row r="889" spans="1:29">
      <c r="A889" s="29" t="str">
        <f>UPPER(A888)</f>
        <v>0</v>
      </c>
      <c r="B889" s="29">
        <f>B888</f>
        <v>0</v>
      </c>
      <c r="C889" s="30">
        <f>C888</f>
        <v>0</v>
      </c>
      <c r="D889" s="30">
        <f>D888</f>
        <v>0</v>
      </c>
      <c r="E889" s="29">
        <f>E888</f>
        <v>0</v>
      </c>
      <c r="F889" s="29">
        <f>F888</f>
        <v>0</v>
      </c>
      <c r="G889" s="29" t="e">
        <f>IF(C888=1,IF(D888="BUY",E888+(ROUND(F888*G888/B888,0)*B888),E888-(ROUND(F888*G888/B888,0)*B888)),IF(D888="BUY",E888-(ROUND(F888*G888/B888,0)*B888),E888+(ROUND(F888*G888/B888,0)*B888)))</f>
        <v>#DIV/0!</v>
      </c>
      <c r="H889" s="29" t="e">
        <f>IF(C888=1,IF(D888="BUY",G889-(ROUND(F888*H888/B888,0)*B888),G889+(ROUND(F888*H888/B888,0)*B888)),IF(D888="BUY",G889+(ROUND(F888*H888/B888,0)*B888),G889-(ROUND(F888*H888/B888,0)*B888)))</f>
        <v>#DIV/0!</v>
      </c>
      <c r="I889" s="29" t="e">
        <f>IF(D888="BUY",G889+(ROUND(F888*I888/(B888*100),0)*B888),G889-(ROUND(F888*I888/(B888*100),0)*B888))</f>
        <v>#DIV/0!</v>
      </c>
      <c r="J889" s="29" t="e">
        <f>IF(C888=1,IF(D888="BUY",E888+(ROUND(F888*J888/B888,0)*B888),E888-(ROUND(F888*J888/B888,0)*B888)),IF(D888="BUY",E888-(ROUND(F888*J888/B888,0)*B888),E888+(ROUND(F888*J888/B888,0)*B888)))</f>
        <v>#DIV/0!</v>
      </c>
      <c r="K889" s="29" t="e">
        <f>IF(C888=1,IF(D888="BUY",E888-(ROUND(F888*K888/B888,0)*B888),E888+(ROUND(F888*K888/B888,0)*B888)),IF(D888="BUY",E888-(ROUND(F888*K888/B888,0)*B888),E888+(ROUND(F888*K888/B888,0)*B888)))</f>
        <v>#DIV/0!</v>
      </c>
      <c r="L889" s="29" t="e">
        <f t="shared" ref="L889" si="1328">IF(D889="BUY",I889+(R889*B889),I889-(R889*B889))</f>
        <v>#DIV/0!</v>
      </c>
      <c r="M889" s="29" t="e">
        <f>IF(D888="BUY",E888+(ROUND(F888*M888/B888,0)*B888),E888-(ROUND(F888*M888/B888,0)*B888))</f>
        <v>#DIV/0!</v>
      </c>
      <c r="N889" s="29" t="e">
        <f>IF(D888="BUY",E888-(ROUND(F888*N888/B888,0)*B888),E888+(ROUND(F888*N888/B888,0)*B888))</f>
        <v>#DIV/0!</v>
      </c>
      <c r="O889" s="31" t="e">
        <f>IF(D889="BUY",N889-VLOOKUP(A889,Symbols!A$1:D$1000,4,FALSE),N889+VLOOKUP(A889,Symbols!A$1:D$1000,4,FALSE))</f>
        <v>#DIV/0!</v>
      </c>
      <c r="P889" s="29">
        <f>P888</f>
        <v>0</v>
      </c>
      <c r="Q889" s="29">
        <f>Q888</f>
        <v>0</v>
      </c>
      <c r="R889" s="29">
        <f>R888</f>
        <v>0</v>
      </c>
      <c r="S889" s="29">
        <f>S888</f>
        <v>0</v>
      </c>
      <c r="T889" s="29">
        <f>T888</f>
        <v>0</v>
      </c>
      <c r="U889" s="29" t="e">
        <f>DATEDIF(DATE(1970,1,1),U888,"D")*86400</f>
        <v>#NUM!</v>
      </c>
      <c r="V889" s="29">
        <f>HOUR(V888)*3600+MINUTE(V888)*60+SECOND(V888)</f>
        <v>0</v>
      </c>
      <c r="W889" s="29" t="e">
        <f>DATEDIF(DATE(1970,1,1),W888,"D")*86400</f>
        <v>#NUM!</v>
      </c>
      <c r="X889" s="29">
        <f>HOUR(X888)*3600+MINUTE(X888)*60+SECOND(X888)</f>
        <v>0</v>
      </c>
      <c r="Y889" s="31">
        <f>(Y888*B889)</f>
        <v>0</v>
      </c>
      <c r="Z889" s="29">
        <f>Z888</f>
        <v>0</v>
      </c>
      <c r="AA889" s="29" t="e">
        <f>DATEDIF(DATE(1970,1,1),AA888,"D")*86400</f>
        <v>#NUM!</v>
      </c>
      <c r="AB889" s="29">
        <f>HOUR(AB888)*3600+MINUTE(AB888)*60+SECOND(AB888)</f>
        <v>0</v>
      </c>
      <c r="AC889" s="29">
        <f>AC888</f>
        <v>0</v>
      </c>
    </row>
    <row r="890" spans="1:29">
      <c r="A890" s="23">
        <f>Parameters!A446</f>
        <v>0</v>
      </c>
      <c r="B890" s="23">
        <f>Parameters!B446</f>
        <v>0</v>
      </c>
      <c r="C890" s="24">
        <f>Parameters!C446</f>
        <v>0</v>
      </c>
      <c r="D890" s="24">
        <f>Parameters!D446</f>
        <v>0</v>
      </c>
      <c r="E890" s="23">
        <f>Parameters!E446</f>
        <v>0</v>
      </c>
      <c r="F890" s="23">
        <f>Parameters!F446</f>
        <v>0</v>
      </c>
      <c r="G890" s="25">
        <f>Parameters!G446</f>
        <v>0</v>
      </c>
      <c r="H890" s="25">
        <f>Parameters!H446</f>
        <v>0</v>
      </c>
      <c r="I890" s="25">
        <f>Parameters!I446</f>
        <v>0</v>
      </c>
      <c r="J890" s="25">
        <f>Parameters!J446</f>
        <v>0</v>
      </c>
      <c r="K890" s="25">
        <f>Parameters!K446</f>
        <v>0</v>
      </c>
      <c r="L890" s="26" t="e">
        <f t="shared" ref="L890" si="1329">L891</f>
        <v>#DIV/0!</v>
      </c>
      <c r="M890" s="25">
        <f>Parameters!L446</f>
        <v>0</v>
      </c>
      <c r="N890" s="25">
        <f>Parameters!M446</f>
        <v>0</v>
      </c>
      <c r="O890" s="26" t="e">
        <f t="shared" ref="O890" si="1330">O891</f>
        <v>#DIV/0!</v>
      </c>
      <c r="P890" s="23">
        <f>Parameters!N446</f>
        <v>0</v>
      </c>
      <c r="Q890" s="23">
        <f>Parameters!O446</f>
        <v>0</v>
      </c>
      <c r="R890" s="23">
        <f>Parameters!P446</f>
        <v>0</v>
      </c>
      <c r="S890" s="23">
        <f>Parameters!Q446</f>
        <v>0</v>
      </c>
      <c r="T890" s="23">
        <f>Parameters!R446</f>
        <v>0</v>
      </c>
      <c r="U890" s="27">
        <f>Parameters!S446</f>
        <v>0</v>
      </c>
      <c r="V890" s="28">
        <f>Parameters!T446</f>
        <v>0</v>
      </c>
      <c r="W890" s="27">
        <f>Parameters!U446</f>
        <v>0</v>
      </c>
      <c r="X890" s="28">
        <f>Parameters!V446</f>
        <v>0</v>
      </c>
      <c r="Y890" s="25">
        <f>Parameters!W446</f>
        <v>0</v>
      </c>
      <c r="Z890" s="23">
        <f>Parameters!X446</f>
        <v>0</v>
      </c>
      <c r="AA890" s="27">
        <f>Parameters!Y446</f>
        <v>0</v>
      </c>
      <c r="AB890" s="28">
        <f>Parameters!Z446</f>
        <v>0</v>
      </c>
      <c r="AC890" s="23">
        <f>Parameters!AA446</f>
        <v>0</v>
      </c>
    </row>
    <row r="891" spans="1:29">
      <c r="A891" s="29" t="str">
        <f>UPPER(A890)</f>
        <v>0</v>
      </c>
      <c r="B891" s="29">
        <f>B890</f>
        <v>0</v>
      </c>
      <c r="C891" s="30">
        <f>C890</f>
        <v>0</v>
      </c>
      <c r="D891" s="30">
        <f>D890</f>
        <v>0</v>
      </c>
      <c r="E891" s="29">
        <f>E890</f>
        <v>0</v>
      </c>
      <c r="F891" s="29">
        <f>F890</f>
        <v>0</v>
      </c>
      <c r="G891" s="29" t="e">
        <f>IF(C890=1,IF(D890="BUY",E890+(ROUND(F890*G890/B890,0)*B890),E890-(ROUND(F890*G890/B890,0)*B890)),IF(D890="BUY",E890-(ROUND(F890*G890/B890,0)*B890),E890+(ROUND(F890*G890/B890,0)*B890)))</f>
        <v>#DIV/0!</v>
      </c>
      <c r="H891" s="29" t="e">
        <f>IF(C890=1,IF(D890="BUY",G891-(ROUND(F890*H890/B890,0)*B890),G891+(ROUND(F890*H890/B890,0)*B890)),IF(D890="BUY",G891+(ROUND(F890*H890/B890,0)*B890),G891-(ROUND(F890*H890/B890,0)*B890)))</f>
        <v>#DIV/0!</v>
      </c>
      <c r="I891" s="29" t="e">
        <f>IF(D890="BUY",G891+(ROUND(F890*I890/(B890*100),0)*B890),G891-(ROUND(F890*I890/(B890*100),0)*B890))</f>
        <v>#DIV/0!</v>
      </c>
      <c r="J891" s="29" t="e">
        <f>IF(C890=1,IF(D890="BUY",E890+(ROUND(F890*J890/B890,0)*B890),E890-(ROUND(F890*J890/B890,0)*B890)),IF(D890="BUY",E890-(ROUND(F890*J890/B890,0)*B890),E890+(ROUND(F890*J890/B890,0)*B890)))</f>
        <v>#DIV/0!</v>
      </c>
      <c r="K891" s="29" t="e">
        <f>IF(C890=1,IF(D890="BUY",E890-(ROUND(F890*K890/B890,0)*B890),E890+(ROUND(F890*K890/B890,0)*B890)),IF(D890="BUY",E890-(ROUND(F890*K890/B890,0)*B890),E890+(ROUND(F890*K890/B890,0)*B890)))</f>
        <v>#DIV/0!</v>
      </c>
      <c r="L891" s="29" t="e">
        <f t="shared" ref="L891" si="1331">IF(D891="BUY",I891+(R891*B891),I891-(R891*B891))</f>
        <v>#DIV/0!</v>
      </c>
      <c r="M891" s="29" t="e">
        <f>IF(D890="BUY",E890+(ROUND(F890*M890/B890,0)*B890),E890-(ROUND(F890*M890/B890,0)*B890))</f>
        <v>#DIV/0!</v>
      </c>
      <c r="N891" s="29" t="e">
        <f>IF(D890="BUY",E890-(ROUND(F890*N890/B890,0)*B890),E890+(ROUND(F890*N890/B890,0)*B890))</f>
        <v>#DIV/0!</v>
      </c>
      <c r="O891" s="31" t="e">
        <f>IF(D891="BUY",N891-VLOOKUP(A891,Symbols!A$1:D$1000,4,FALSE),N891+VLOOKUP(A891,Symbols!A$1:D$1000,4,FALSE))</f>
        <v>#DIV/0!</v>
      </c>
      <c r="P891" s="29">
        <f>P890</f>
        <v>0</v>
      </c>
      <c r="Q891" s="29">
        <f>Q890</f>
        <v>0</v>
      </c>
      <c r="R891" s="29">
        <f>R890</f>
        <v>0</v>
      </c>
      <c r="S891" s="29">
        <f>S890</f>
        <v>0</v>
      </c>
      <c r="T891" s="29">
        <f>T890</f>
        <v>0</v>
      </c>
      <c r="U891" s="29" t="e">
        <f>DATEDIF(DATE(1970,1,1),U890,"D")*86400</f>
        <v>#NUM!</v>
      </c>
      <c r="V891" s="29">
        <f>HOUR(V890)*3600+MINUTE(V890)*60+SECOND(V890)</f>
        <v>0</v>
      </c>
      <c r="W891" s="29" t="e">
        <f>DATEDIF(DATE(1970,1,1),W890,"D")*86400</f>
        <v>#NUM!</v>
      </c>
      <c r="X891" s="29">
        <f>HOUR(X890)*3600+MINUTE(X890)*60+SECOND(X890)</f>
        <v>0</v>
      </c>
      <c r="Y891" s="31">
        <f>(Y890*B891)</f>
        <v>0</v>
      </c>
      <c r="Z891" s="29">
        <f>Z890</f>
        <v>0</v>
      </c>
      <c r="AA891" s="29" t="e">
        <f>DATEDIF(DATE(1970,1,1),AA890,"D")*86400</f>
        <v>#NUM!</v>
      </c>
      <c r="AB891" s="29">
        <f>HOUR(AB890)*3600+MINUTE(AB890)*60+SECOND(AB890)</f>
        <v>0</v>
      </c>
      <c r="AC891" s="29">
        <f>AC890</f>
        <v>0</v>
      </c>
    </row>
    <row r="892" spans="1:29">
      <c r="A892" s="23">
        <f>Parameters!A447</f>
        <v>0</v>
      </c>
      <c r="B892" s="23">
        <f>Parameters!B447</f>
        <v>0</v>
      </c>
      <c r="C892" s="24">
        <f>Parameters!C447</f>
        <v>0</v>
      </c>
      <c r="D892" s="24">
        <f>Parameters!D447</f>
        <v>0</v>
      </c>
      <c r="E892" s="23">
        <f>Parameters!E447</f>
        <v>0</v>
      </c>
      <c r="F892" s="23">
        <f>Parameters!F447</f>
        <v>0</v>
      </c>
      <c r="G892" s="25">
        <f>Parameters!G447</f>
        <v>0</v>
      </c>
      <c r="H892" s="25">
        <f>Parameters!H447</f>
        <v>0</v>
      </c>
      <c r="I892" s="25">
        <f>Parameters!I447</f>
        <v>0</v>
      </c>
      <c r="J892" s="25">
        <f>Parameters!J447</f>
        <v>0</v>
      </c>
      <c r="K892" s="25">
        <f>Parameters!K447</f>
        <v>0</v>
      </c>
      <c r="L892" s="26" t="e">
        <f t="shared" ref="L892" si="1332">L893</f>
        <v>#DIV/0!</v>
      </c>
      <c r="M892" s="25">
        <f>Parameters!L447</f>
        <v>0</v>
      </c>
      <c r="N892" s="25">
        <f>Parameters!M447</f>
        <v>0</v>
      </c>
      <c r="O892" s="26" t="e">
        <f t="shared" ref="O892" si="1333">O893</f>
        <v>#DIV/0!</v>
      </c>
      <c r="P892" s="23">
        <f>Parameters!N447</f>
        <v>0</v>
      </c>
      <c r="Q892" s="23">
        <f>Parameters!O447</f>
        <v>0</v>
      </c>
      <c r="R892" s="23">
        <f>Parameters!P447</f>
        <v>0</v>
      </c>
      <c r="S892" s="23">
        <f>Parameters!Q447</f>
        <v>0</v>
      </c>
      <c r="T892" s="23">
        <f>Parameters!R447</f>
        <v>0</v>
      </c>
      <c r="U892" s="27">
        <f>Parameters!S447</f>
        <v>0</v>
      </c>
      <c r="V892" s="28">
        <f>Parameters!T447</f>
        <v>0</v>
      </c>
      <c r="W892" s="27">
        <f>Parameters!U447</f>
        <v>0</v>
      </c>
      <c r="X892" s="28">
        <f>Parameters!V447</f>
        <v>0</v>
      </c>
      <c r="Y892" s="25">
        <f>Parameters!W447</f>
        <v>0</v>
      </c>
      <c r="Z892" s="23">
        <f>Parameters!X447</f>
        <v>0</v>
      </c>
      <c r="AA892" s="27">
        <f>Parameters!Y447</f>
        <v>0</v>
      </c>
      <c r="AB892" s="28">
        <f>Parameters!Z447</f>
        <v>0</v>
      </c>
      <c r="AC892" s="23">
        <f>Parameters!AA447</f>
        <v>0</v>
      </c>
    </row>
    <row r="893" spans="1:29">
      <c r="A893" s="29" t="str">
        <f>UPPER(A892)</f>
        <v>0</v>
      </c>
      <c r="B893" s="29">
        <f>B892</f>
        <v>0</v>
      </c>
      <c r="C893" s="30">
        <f>C892</f>
        <v>0</v>
      </c>
      <c r="D893" s="30">
        <f>D892</f>
        <v>0</v>
      </c>
      <c r="E893" s="29">
        <f>E892</f>
        <v>0</v>
      </c>
      <c r="F893" s="29">
        <f>F892</f>
        <v>0</v>
      </c>
      <c r="G893" s="29" t="e">
        <f>IF(C892=1,IF(D892="BUY",E892+(ROUND(F892*G892/B892,0)*B892),E892-(ROUND(F892*G892/B892,0)*B892)),IF(D892="BUY",E892-(ROUND(F892*G892/B892,0)*B892),E892+(ROUND(F892*G892/B892,0)*B892)))</f>
        <v>#DIV/0!</v>
      </c>
      <c r="H893" s="29" t="e">
        <f>IF(C892=1,IF(D892="BUY",G893-(ROUND(F892*H892/B892,0)*B892),G893+(ROUND(F892*H892/B892,0)*B892)),IF(D892="BUY",G893+(ROUND(F892*H892/B892,0)*B892),G893-(ROUND(F892*H892/B892,0)*B892)))</f>
        <v>#DIV/0!</v>
      </c>
      <c r="I893" s="29" t="e">
        <f>IF(D892="BUY",G893+(ROUND(F892*I892/(B892*100),0)*B892),G893-(ROUND(F892*I892/(B892*100),0)*B892))</f>
        <v>#DIV/0!</v>
      </c>
      <c r="J893" s="29" t="e">
        <f>IF(C892=1,IF(D892="BUY",E892+(ROUND(F892*J892/B892,0)*B892),E892-(ROUND(F892*J892/B892,0)*B892)),IF(D892="BUY",E892-(ROUND(F892*J892/B892,0)*B892),E892+(ROUND(F892*J892/B892,0)*B892)))</f>
        <v>#DIV/0!</v>
      </c>
      <c r="K893" s="29" t="e">
        <f>IF(C892=1,IF(D892="BUY",E892-(ROUND(F892*K892/B892,0)*B892),E892+(ROUND(F892*K892/B892,0)*B892)),IF(D892="BUY",E892-(ROUND(F892*K892/B892,0)*B892),E892+(ROUND(F892*K892/B892,0)*B892)))</f>
        <v>#DIV/0!</v>
      </c>
      <c r="L893" s="29" t="e">
        <f t="shared" ref="L893" si="1334">IF(D893="BUY",I893+(R893*B893),I893-(R893*B893))</f>
        <v>#DIV/0!</v>
      </c>
      <c r="M893" s="29" t="e">
        <f>IF(D892="BUY",E892+(ROUND(F892*M892/B892,0)*B892),E892-(ROUND(F892*M892/B892,0)*B892))</f>
        <v>#DIV/0!</v>
      </c>
      <c r="N893" s="29" t="e">
        <f>IF(D892="BUY",E892-(ROUND(F892*N892/B892,0)*B892),E892+(ROUND(F892*N892/B892,0)*B892))</f>
        <v>#DIV/0!</v>
      </c>
      <c r="O893" s="31" t="e">
        <f>IF(D893="BUY",N893-VLOOKUP(A893,Symbols!A$1:D$1000,4,FALSE),N893+VLOOKUP(A893,Symbols!A$1:D$1000,4,FALSE))</f>
        <v>#DIV/0!</v>
      </c>
      <c r="P893" s="29">
        <f>P892</f>
        <v>0</v>
      </c>
      <c r="Q893" s="29">
        <f>Q892</f>
        <v>0</v>
      </c>
      <c r="R893" s="29">
        <f>R892</f>
        <v>0</v>
      </c>
      <c r="S893" s="29">
        <f>S892</f>
        <v>0</v>
      </c>
      <c r="T893" s="29">
        <f>T892</f>
        <v>0</v>
      </c>
      <c r="U893" s="29" t="e">
        <f>DATEDIF(DATE(1970,1,1),U892,"D")*86400</f>
        <v>#NUM!</v>
      </c>
      <c r="V893" s="29">
        <f>HOUR(V892)*3600+MINUTE(V892)*60+SECOND(V892)</f>
        <v>0</v>
      </c>
      <c r="W893" s="29" t="e">
        <f>DATEDIF(DATE(1970,1,1),W892,"D")*86400</f>
        <v>#NUM!</v>
      </c>
      <c r="X893" s="29">
        <f>HOUR(X892)*3600+MINUTE(X892)*60+SECOND(X892)</f>
        <v>0</v>
      </c>
      <c r="Y893" s="31">
        <f>(Y892*B893)</f>
        <v>0</v>
      </c>
      <c r="Z893" s="29">
        <f>Z892</f>
        <v>0</v>
      </c>
      <c r="AA893" s="29" t="e">
        <f>DATEDIF(DATE(1970,1,1),AA892,"D")*86400</f>
        <v>#NUM!</v>
      </c>
      <c r="AB893" s="29">
        <f>HOUR(AB892)*3600+MINUTE(AB892)*60+SECOND(AB892)</f>
        <v>0</v>
      </c>
      <c r="AC893" s="29">
        <f>AC892</f>
        <v>0</v>
      </c>
    </row>
    <row r="894" spans="1:29">
      <c r="A894" s="23">
        <f>Parameters!A448</f>
        <v>0</v>
      </c>
      <c r="B894" s="23">
        <f>Parameters!B448</f>
        <v>0</v>
      </c>
      <c r="C894" s="24">
        <f>Parameters!C448</f>
        <v>0</v>
      </c>
      <c r="D894" s="24">
        <f>Parameters!D448</f>
        <v>0</v>
      </c>
      <c r="E894" s="23">
        <f>Parameters!E448</f>
        <v>0</v>
      </c>
      <c r="F894" s="23">
        <f>Parameters!F448</f>
        <v>0</v>
      </c>
      <c r="G894" s="25">
        <f>Parameters!G448</f>
        <v>0</v>
      </c>
      <c r="H894" s="25">
        <f>Parameters!H448</f>
        <v>0</v>
      </c>
      <c r="I894" s="25">
        <f>Parameters!I448</f>
        <v>0</v>
      </c>
      <c r="J894" s="25">
        <f>Parameters!J448</f>
        <v>0</v>
      </c>
      <c r="K894" s="25">
        <f>Parameters!K448</f>
        <v>0</v>
      </c>
      <c r="L894" s="26" t="e">
        <f t="shared" ref="L894" si="1335">L895</f>
        <v>#DIV/0!</v>
      </c>
      <c r="M894" s="25">
        <f>Parameters!L448</f>
        <v>0</v>
      </c>
      <c r="N894" s="25">
        <f>Parameters!M448</f>
        <v>0</v>
      </c>
      <c r="O894" s="26" t="e">
        <f t="shared" ref="O894" si="1336">O895</f>
        <v>#DIV/0!</v>
      </c>
      <c r="P894" s="23">
        <f>Parameters!N448</f>
        <v>0</v>
      </c>
      <c r="Q894" s="23">
        <f>Parameters!O448</f>
        <v>0</v>
      </c>
      <c r="R894" s="23">
        <f>Parameters!P448</f>
        <v>0</v>
      </c>
      <c r="S894" s="23">
        <f>Parameters!Q448</f>
        <v>0</v>
      </c>
      <c r="T894" s="23">
        <f>Parameters!R448</f>
        <v>0</v>
      </c>
      <c r="U894" s="27">
        <f>Parameters!S448</f>
        <v>0</v>
      </c>
      <c r="V894" s="28">
        <f>Parameters!T448</f>
        <v>0</v>
      </c>
      <c r="W894" s="27">
        <f>Parameters!U448</f>
        <v>0</v>
      </c>
      <c r="X894" s="28">
        <f>Parameters!V448</f>
        <v>0</v>
      </c>
      <c r="Y894" s="25">
        <f>Parameters!W448</f>
        <v>0</v>
      </c>
      <c r="Z894" s="23">
        <f>Parameters!X448</f>
        <v>0</v>
      </c>
      <c r="AA894" s="27">
        <f>Parameters!Y448</f>
        <v>0</v>
      </c>
      <c r="AB894" s="28">
        <f>Parameters!Z448</f>
        <v>0</v>
      </c>
      <c r="AC894" s="23">
        <f>Parameters!AA448</f>
        <v>0</v>
      </c>
    </row>
    <row r="895" spans="1:29">
      <c r="A895" s="29" t="str">
        <f>UPPER(A894)</f>
        <v>0</v>
      </c>
      <c r="B895" s="29">
        <f>B894</f>
        <v>0</v>
      </c>
      <c r="C895" s="30">
        <f>C894</f>
        <v>0</v>
      </c>
      <c r="D895" s="30">
        <f>D894</f>
        <v>0</v>
      </c>
      <c r="E895" s="29">
        <f>E894</f>
        <v>0</v>
      </c>
      <c r="F895" s="29">
        <f>F894</f>
        <v>0</v>
      </c>
      <c r="G895" s="29" t="e">
        <f>IF(C894=1,IF(D894="BUY",E894+(ROUND(F894*G894/B894,0)*B894),E894-(ROUND(F894*G894/B894,0)*B894)),IF(D894="BUY",E894-(ROUND(F894*G894/B894,0)*B894),E894+(ROUND(F894*G894/B894,0)*B894)))</f>
        <v>#DIV/0!</v>
      </c>
      <c r="H895" s="29" t="e">
        <f>IF(C894=1,IF(D894="BUY",G895-(ROUND(F894*H894/B894,0)*B894),G895+(ROUND(F894*H894/B894,0)*B894)),IF(D894="BUY",G895+(ROUND(F894*H894/B894,0)*B894),G895-(ROUND(F894*H894/B894,0)*B894)))</f>
        <v>#DIV/0!</v>
      </c>
      <c r="I895" s="29" t="e">
        <f>IF(D894="BUY",G895+(ROUND(F894*I894/(B894*100),0)*B894),G895-(ROUND(F894*I894/(B894*100),0)*B894))</f>
        <v>#DIV/0!</v>
      </c>
      <c r="J895" s="29" t="e">
        <f>IF(C894=1,IF(D894="BUY",E894+(ROUND(F894*J894/B894,0)*B894),E894-(ROUND(F894*J894/B894,0)*B894)),IF(D894="BUY",E894-(ROUND(F894*J894/B894,0)*B894),E894+(ROUND(F894*J894/B894,0)*B894)))</f>
        <v>#DIV/0!</v>
      </c>
      <c r="K895" s="29" t="e">
        <f>IF(C894=1,IF(D894="BUY",E894-(ROUND(F894*K894/B894,0)*B894),E894+(ROUND(F894*K894/B894,0)*B894)),IF(D894="BUY",E894-(ROUND(F894*K894/B894,0)*B894),E894+(ROUND(F894*K894/B894,0)*B894)))</f>
        <v>#DIV/0!</v>
      </c>
      <c r="L895" s="29" t="e">
        <f t="shared" ref="L895" si="1337">IF(D895="BUY",I895+(R895*B895),I895-(R895*B895))</f>
        <v>#DIV/0!</v>
      </c>
      <c r="M895" s="29" t="e">
        <f>IF(D894="BUY",E894+(ROUND(F894*M894/B894,0)*B894),E894-(ROUND(F894*M894/B894,0)*B894))</f>
        <v>#DIV/0!</v>
      </c>
      <c r="N895" s="29" t="e">
        <f>IF(D894="BUY",E894-(ROUND(F894*N894/B894,0)*B894),E894+(ROUND(F894*N894/B894,0)*B894))</f>
        <v>#DIV/0!</v>
      </c>
      <c r="O895" s="31" t="e">
        <f>IF(D895="BUY",N895-VLOOKUP(A895,Symbols!A$1:D$1000,4,FALSE),N895+VLOOKUP(A895,Symbols!A$1:D$1000,4,FALSE))</f>
        <v>#DIV/0!</v>
      </c>
      <c r="P895" s="29">
        <f>P894</f>
        <v>0</v>
      </c>
      <c r="Q895" s="29">
        <f>Q894</f>
        <v>0</v>
      </c>
      <c r="R895" s="29">
        <f>R894</f>
        <v>0</v>
      </c>
      <c r="S895" s="29">
        <f>S894</f>
        <v>0</v>
      </c>
      <c r="T895" s="29">
        <f>T894</f>
        <v>0</v>
      </c>
      <c r="U895" s="29" t="e">
        <f>DATEDIF(DATE(1970,1,1),U894,"D")*86400</f>
        <v>#NUM!</v>
      </c>
      <c r="V895" s="29">
        <f>HOUR(V894)*3600+MINUTE(V894)*60+SECOND(V894)</f>
        <v>0</v>
      </c>
      <c r="W895" s="29" t="e">
        <f>DATEDIF(DATE(1970,1,1),W894,"D")*86400</f>
        <v>#NUM!</v>
      </c>
      <c r="X895" s="29">
        <f>HOUR(X894)*3600+MINUTE(X894)*60+SECOND(X894)</f>
        <v>0</v>
      </c>
      <c r="Y895" s="31">
        <f>(Y894*B895)</f>
        <v>0</v>
      </c>
      <c r="Z895" s="29">
        <f>Z894</f>
        <v>0</v>
      </c>
      <c r="AA895" s="29" t="e">
        <f>DATEDIF(DATE(1970,1,1),AA894,"D")*86400</f>
        <v>#NUM!</v>
      </c>
      <c r="AB895" s="29">
        <f>HOUR(AB894)*3600+MINUTE(AB894)*60+SECOND(AB894)</f>
        <v>0</v>
      </c>
      <c r="AC895" s="29">
        <f>AC894</f>
        <v>0</v>
      </c>
    </row>
    <row r="896" spans="1:29">
      <c r="A896" s="23">
        <f>Parameters!A449</f>
        <v>0</v>
      </c>
      <c r="B896" s="23">
        <f>Parameters!B449</f>
        <v>0</v>
      </c>
      <c r="C896" s="24">
        <f>Parameters!C449</f>
        <v>0</v>
      </c>
      <c r="D896" s="24">
        <f>Parameters!D449</f>
        <v>0</v>
      </c>
      <c r="E896" s="23">
        <f>Parameters!E449</f>
        <v>0</v>
      </c>
      <c r="F896" s="23">
        <f>Parameters!F449</f>
        <v>0</v>
      </c>
      <c r="G896" s="25">
        <f>Parameters!G449</f>
        <v>0</v>
      </c>
      <c r="H896" s="25">
        <f>Parameters!H449</f>
        <v>0</v>
      </c>
      <c r="I896" s="25">
        <f>Parameters!I449</f>
        <v>0</v>
      </c>
      <c r="J896" s="25">
        <f>Parameters!J449</f>
        <v>0</v>
      </c>
      <c r="K896" s="25">
        <f>Parameters!K449</f>
        <v>0</v>
      </c>
      <c r="L896" s="26" t="e">
        <f t="shared" ref="L896" si="1338">L897</f>
        <v>#DIV/0!</v>
      </c>
      <c r="M896" s="25">
        <f>Parameters!L449</f>
        <v>0</v>
      </c>
      <c r="N896" s="25">
        <f>Parameters!M449</f>
        <v>0</v>
      </c>
      <c r="O896" s="26" t="e">
        <f t="shared" ref="O896" si="1339">O897</f>
        <v>#DIV/0!</v>
      </c>
      <c r="P896" s="23">
        <f>Parameters!N449</f>
        <v>0</v>
      </c>
      <c r="Q896" s="23">
        <f>Parameters!O449</f>
        <v>0</v>
      </c>
      <c r="R896" s="23">
        <f>Parameters!P449</f>
        <v>0</v>
      </c>
      <c r="S896" s="23">
        <f>Parameters!Q449</f>
        <v>0</v>
      </c>
      <c r="T896" s="23">
        <f>Parameters!R449</f>
        <v>0</v>
      </c>
      <c r="U896" s="27">
        <f>Parameters!S449</f>
        <v>0</v>
      </c>
      <c r="V896" s="28">
        <f>Parameters!T449</f>
        <v>0</v>
      </c>
      <c r="W896" s="27">
        <f>Parameters!U449</f>
        <v>0</v>
      </c>
      <c r="X896" s="28">
        <f>Parameters!V449</f>
        <v>0</v>
      </c>
      <c r="Y896" s="25">
        <f>Parameters!W449</f>
        <v>0</v>
      </c>
      <c r="Z896" s="23">
        <f>Parameters!X449</f>
        <v>0</v>
      </c>
      <c r="AA896" s="27">
        <f>Parameters!Y449</f>
        <v>0</v>
      </c>
      <c r="AB896" s="28">
        <f>Parameters!Z449</f>
        <v>0</v>
      </c>
      <c r="AC896" s="23">
        <f>Parameters!AA449</f>
        <v>0</v>
      </c>
    </row>
    <row r="897" spans="1:29">
      <c r="A897" s="29" t="str">
        <f>UPPER(A896)</f>
        <v>0</v>
      </c>
      <c r="B897" s="29">
        <f>B896</f>
        <v>0</v>
      </c>
      <c r="C897" s="30">
        <f>C896</f>
        <v>0</v>
      </c>
      <c r="D897" s="30">
        <f>D896</f>
        <v>0</v>
      </c>
      <c r="E897" s="29">
        <f>E896</f>
        <v>0</v>
      </c>
      <c r="F897" s="29">
        <f>F896</f>
        <v>0</v>
      </c>
      <c r="G897" s="29" t="e">
        <f>IF(C896=1,IF(D896="BUY",E896+(ROUND(F896*G896/B896,0)*B896),E896-(ROUND(F896*G896/B896,0)*B896)),IF(D896="BUY",E896-(ROUND(F896*G896/B896,0)*B896),E896+(ROUND(F896*G896/B896,0)*B896)))</f>
        <v>#DIV/0!</v>
      </c>
      <c r="H897" s="29" t="e">
        <f>IF(C896=1,IF(D896="BUY",G897-(ROUND(F896*H896/B896,0)*B896),G897+(ROUND(F896*H896/B896,0)*B896)),IF(D896="BUY",G897+(ROUND(F896*H896/B896,0)*B896),G897-(ROUND(F896*H896/B896,0)*B896)))</f>
        <v>#DIV/0!</v>
      </c>
      <c r="I897" s="29" t="e">
        <f>IF(D896="BUY",G897+(ROUND(F896*I896/(B896*100),0)*B896),G897-(ROUND(F896*I896/(B896*100),0)*B896))</f>
        <v>#DIV/0!</v>
      </c>
      <c r="J897" s="29" t="e">
        <f>IF(C896=1,IF(D896="BUY",E896+(ROUND(F896*J896/B896,0)*B896),E896-(ROUND(F896*J896/B896,0)*B896)),IF(D896="BUY",E896-(ROUND(F896*J896/B896,0)*B896),E896+(ROUND(F896*J896/B896,0)*B896)))</f>
        <v>#DIV/0!</v>
      </c>
      <c r="K897" s="29" t="e">
        <f>IF(C896=1,IF(D896="BUY",E896-(ROUND(F896*K896/B896,0)*B896),E896+(ROUND(F896*K896/B896,0)*B896)),IF(D896="BUY",E896-(ROUND(F896*K896/B896,0)*B896),E896+(ROUND(F896*K896/B896,0)*B896)))</f>
        <v>#DIV/0!</v>
      </c>
      <c r="L897" s="29" t="e">
        <f t="shared" ref="L897" si="1340">IF(D897="BUY",I897+(R897*B897),I897-(R897*B897))</f>
        <v>#DIV/0!</v>
      </c>
      <c r="M897" s="29" t="e">
        <f>IF(D896="BUY",E896+(ROUND(F896*M896/B896,0)*B896),E896-(ROUND(F896*M896/B896,0)*B896))</f>
        <v>#DIV/0!</v>
      </c>
      <c r="N897" s="29" t="e">
        <f>IF(D896="BUY",E896-(ROUND(F896*N896/B896,0)*B896),E896+(ROUND(F896*N896/B896,0)*B896))</f>
        <v>#DIV/0!</v>
      </c>
      <c r="O897" s="31" t="e">
        <f>IF(D897="BUY",N897-VLOOKUP(A897,Symbols!A$1:D$1000,4,FALSE),N897+VLOOKUP(A897,Symbols!A$1:D$1000,4,FALSE))</f>
        <v>#DIV/0!</v>
      </c>
      <c r="P897" s="29">
        <f>P896</f>
        <v>0</v>
      </c>
      <c r="Q897" s="29">
        <f>Q896</f>
        <v>0</v>
      </c>
      <c r="R897" s="29">
        <f>R896</f>
        <v>0</v>
      </c>
      <c r="S897" s="29">
        <f>S896</f>
        <v>0</v>
      </c>
      <c r="T897" s="29">
        <f>T896</f>
        <v>0</v>
      </c>
      <c r="U897" s="29" t="e">
        <f>DATEDIF(DATE(1970,1,1),U896,"D")*86400</f>
        <v>#NUM!</v>
      </c>
      <c r="V897" s="29">
        <f>HOUR(V896)*3600+MINUTE(V896)*60+SECOND(V896)</f>
        <v>0</v>
      </c>
      <c r="W897" s="29" t="e">
        <f>DATEDIF(DATE(1970,1,1),W896,"D")*86400</f>
        <v>#NUM!</v>
      </c>
      <c r="X897" s="29">
        <f>HOUR(X896)*3600+MINUTE(X896)*60+SECOND(X896)</f>
        <v>0</v>
      </c>
      <c r="Y897" s="31">
        <f>(Y896*B897)</f>
        <v>0</v>
      </c>
      <c r="Z897" s="29">
        <f>Z896</f>
        <v>0</v>
      </c>
      <c r="AA897" s="29" t="e">
        <f>DATEDIF(DATE(1970,1,1),AA896,"D")*86400</f>
        <v>#NUM!</v>
      </c>
      <c r="AB897" s="29">
        <f>HOUR(AB896)*3600+MINUTE(AB896)*60+SECOND(AB896)</f>
        <v>0</v>
      </c>
      <c r="AC897" s="29">
        <f>AC896</f>
        <v>0</v>
      </c>
    </row>
    <row r="898" spans="1:29">
      <c r="A898" s="23">
        <f>Parameters!A450</f>
        <v>0</v>
      </c>
      <c r="B898" s="23">
        <f>Parameters!B450</f>
        <v>0</v>
      </c>
      <c r="C898" s="24">
        <f>Parameters!C450</f>
        <v>0</v>
      </c>
      <c r="D898" s="24">
        <f>Parameters!D450</f>
        <v>0</v>
      </c>
      <c r="E898" s="23">
        <f>Parameters!E450</f>
        <v>0</v>
      </c>
      <c r="F898" s="23">
        <f>Parameters!F450</f>
        <v>0</v>
      </c>
      <c r="G898" s="25">
        <f>Parameters!G450</f>
        <v>0</v>
      </c>
      <c r="H898" s="25">
        <f>Parameters!H450</f>
        <v>0</v>
      </c>
      <c r="I898" s="25">
        <f>Parameters!I450</f>
        <v>0</v>
      </c>
      <c r="J898" s="25">
        <f>Parameters!J450</f>
        <v>0</v>
      </c>
      <c r="K898" s="25">
        <f>Parameters!K450</f>
        <v>0</v>
      </c>
      <c r="L898" s="26" t="e">
        <f t="shared" ref="L898" si="1341">L899</f>
        <v>#DIV/0!</v>
      </c>
      <c r="M898" s="25">
        <f>Parameters!L450</f>
        <v>0</v>
      </c>
      <c r="N898" s="25">
        <f>Parameters!M450</f>
        <v>0</v>
      </c>
      <c r="O898" s="26" t="e">
        <f t="shared" ref="O898" si="1342">O899</f>
        <v>#DIV/0!</v>
      </c>
      <c r="P898" s="23">
        <f>Parameters!N450</f>
        <v>0</v>
      </c>
      <c r="Q898" s="23">
        <f>Parameters!O450</f>
        <v>0</v>
      </c>
      <c r="R898" s="23">
        <f>Parameters!P450</f>
        <v>0</v>
      </c>
      <c r="S898" s="23">
        <f>Parameters!Q450</f>
        <v>0</v>
      </c>
      <c r="T898" s="23">
        <f>Parameters!R450</f>
        <v>0</v>
      </c>
      <c r="U898" s="27">
        <f>Parameters!S450</f>
        <v>0</v>
      </c>
      <c r="V898" s="28">
        <f>Parameters!T450</f>
        <v>0</v>
      </c>
      <c r="W898" s="27">
        <f>Parameters!U450</f>
        <v>0</v>
      </c>
      <c r="X898" s="28">
        <f>Parameters!V450</f>
        <v>0</v>
      </c>
      <c r="Y898" s="25">
        <f>Parameters!W450</f>
        <v>0</v>
      </c>
      <c r="Z898" s="23">
        <f>Parameters!X450</f>
        <v>0</v>
      </c>
      <c r="AA898" s="27">
        <f>Parameters!Y450</f>
        <v>0</v>
      </c>
      <c r="AB898" s="28">
        <f>Parameters!Z450</f>
        <v>0</v>
      </c>
      <c r="AC898" s="23">
        <f>Parameters!AA450</f>
        <v>0</v>
      </c>
    </row>
    <row r="899" spans="1:29">
      <c r="A899" s="29" t="str">
        <f>UPPER(A898)</f>
        <v>0</v>
      </c>
      <c r="B899" s="29">
        <f>B898</f>
        <v>0</v>
      </c>
      <c r="C899" s="30">
        <f>C898</f>
        <v>0</v>
      </c>
      <c r="D899" s="30">
        <f>D898</f>
        <v>0</v>
      </c>
      <c r="E899" s="29">
        <f>E898</f>
        <v>0</v>
      </c>
      <c r="F899" s="29">
        <f>F898</f>
        <v>0</v>
      </c>
      <c r="G899" s="29" t="e">
        <f>IF(C898=1,IF(D898="BUY",E898+(ROUND(F898*G898/B898,0)*B898),E898-(ROUND(F898*G898/B898,0)*B898)),IF(D898="BUY",E898-(ROUND(F898*G898/B898,0)*B898),E898+(ROUND(F898*G898/B898,0)*B898)))</f>
        <v>#DIV/0!</v>
      </c>
      <c r="H899" s="29" t="e">
        <f>IF(C898=1,IF(D898="BUY",G899-(ROUND(F898*H898/B898,0)*B898),G899+(ROUND(F898*H898/B898,0)*B898)),IF(D898="BUY",G899+(ROUND(F898*H898/B898,0)*B898),G899-(ROUND(F898*H898/B898,0)*B898)))</f>
        <v>#DIV/0!</v>
      </c>
      <c r="I899" s="29" t="e">
        <f>IF(D898="BUY",G899+(ROUND(F898*I898/(B898*100),0)*B898),G899-(ROUND(F898*I898/(B898*100),0)*B898))</f>
        <v>#DIV/0!</v>
      </c>
      <c r="J899" s="29" t="e">
        <f>IF(C898=1,IF(D898="BUY",E898+(ROUND(F898*J898/B898,0)*B898),E898-(ROUND(F898*J898/B898,0)*B898)),IF(D898="BUY",E898-(ROUND(F898*J898/B898,0)*B898),E898+(ROUND(F898*J898/B898,0)*B898)))</f>
        <v>#DIV/0!</v>
      </c>
      <c r="K899" s="29" t="e">
        <f>IF(C898=1,IF(D898="BUY",E898-(ROUND(F898*K898/B898,0)*B898),E898+(ROUND(F898*K898/B898,0)*B898)),IF(D898="BUY",E898-(ROUND(F898*K898/B898,0)*B898),E898+(ROUND(F898*K898/B898,0)*B898)))</f>
        <v>#DIV/0!</v>
      </c>
      <c r="L899" s="29" t="e">
        <f t="shared" ref="L899" si="1343">IF(D899="BUY",I899+(R899*B899),I899-(R899*B899))</f>
        <v>#DIV/0!</v>
      </c>
      <c r="M899" s="29" t="e">
        <f>IF(D898="BUY",E898+(ROUND(F898*M898/B898,0)*B898),E898-(ROUND(F898*M898/B898,0)*B898))</f>
        <v>#DIV/0!</v>
      </c>
      <c r="N899" s="29" t="e">
        <f>IF(D898="BUY",E898-(ROUND(F898*N898/B898,0)*B898),E898+(ROUND(F898*N898/B898,0)*B898))</f>
        <v>#DIV/0!</v>
      </c>
      <c r="O899" s="31" t="e">
        <f>IF(D899="BUY",N899-VLOOKUP(A899,Symbols!A$1:D$1000,4,FALSE),N899+VLOOKUP(A899,Symbols!A$1:D$1000,4,FALSE))</f>
        <v>#DIV/0!</v>
      </c>
      <c r="P899" s="29">
        <f>P898</f>
        <v>0</v>
      </c>
      <c r="Q899" s="29">
        <f>Q898</f>
        <v>0</v>
      </c>
      <c r="R899" s="29">
        <f>R898</f>
        <v>0</v>
      </c>
      <c r="S899" s="29">
        <f>S898</f>
        <v>0</v>
      </c>
      <c r="T899" s="29">
        <f>T898</f>
        <v>0</v>
      </c>
      <c r="U899" s="29" t="e">
        <f>DATEDIF(DATE(1970,1,1),U898,"D")*86400</f>
        <v>#NUM!</v>
      </c>
      <c r="V899" s="29">
        <f>HOUR(V898)*3600+MINUTE(V898)*60+SECOND(V898)</f>
        <v>0</v>
      </c>
      <c r="W899" s="29" t="e">
        <f>DATEDIF(DATE(1970,1,1),W898,"D")*86400</f>
        <v>#NUM!</v>
      </c>
      <c r="X899" s="29">
        <f>HOUR(X898)*3600+MINUTE(X898)*60+SECOND(X898)</f>
        <v>0</v>
      </c>
      <c r="Y899" s="31">
        <f>(Y898*B899)</f>
        <v>0</v>
      </c>
      <c r="Z899" s="29">
        <f>Z898</f>
        <v>0</v>
      </c>
      <c r="AA899" s="29" t="e">
        <f>DATEDIF(DATE(1970,1,1),AA898,"D")*86400</f>
        <v>#NUM!</v>
      </c>
      <c r="AB899" s="29">
        <f>HOUR(AB898)*3600+MINUTE(AB898)*60+SECOND(AB898)</f>
        <v>0</v>
      </c>
      <c r="AC899" s="29">
        <f>AC898</f>
        <v>0</v>
      </c>
    </row>
    <row r="900" spans="1:29">
      <c r="A900" s="23">
        <f>Parameters!A451</f>
        <v>0</v>
      </c>
      <c r="B900" s="23">
        <f>Parameters!B451</f>
        <v>0</v>
      </c>
      <c r="C900" s="24">
        <f>Parameters!C451</f>
        <v>0</v>
      </c>
      <c r="D900" s="24">
        <f>Parameters!D451</f>
        <v>0</v>
      </c>
      <c r="E900" s="23">
        <f>Parameters!E451</f>
        <v>0</v>
      </c>
      <c r="F900" s="23">
        <f>Parameters!F451</f>
        <v>0</v>
      </c>
      <c r="G900" s="25">
        <f>Parameters!G451</f>
        <v>0</v>
      </c>
      <c r="H900" s="25">
        <f>Parameters!H451</f>
        <v>0</v>
      </c>
      <c r="I900" s="25">
        <f>Parameters!I451</f>
        <v>0</v>
      </c>
      <c r="J900" s="25">
        <f>Parameters!J451</f>
        <v>0</v>
      </c>
      <c r="K900" s="25">
        <f>Parameters!K451</f>
        <v>0</v>
      </c>
      <c r="L900" s="26" t="e">
        <f t="shared" ref="L900" si="1344">L901</f>
        <v>#DIV/0!</v>
      </c>
      <c r="M900" s="25">
        <f>Parameters!L451</f>
        <v>0</v>
      </c>
      <c r="N900" s="25">
        <f>Parameters!M451</f>
        <v>0</v>
      </c>
      <c r="O900" s="26" t="e">
        <f t="shared" ref="O900" si="1345">O901</f>
        <v>#DIV/0!</v>
      </c>
      <c r="P900" s="23">
        <f>Parameters!N451</f>
        <v>0</v>
      </c>
      <c r="Q900" s="23">
        <f>Parameters!O451</f>
        <v>0</v>
      </c>
      <c r="R900" s="23">
        <f>Parameters!P451</f>
        <v>0</v>
      </c>
      <c r="S900" s="23">
        <f>Parameters!Q451</f>
        <v>0</v>
      </c>
      <c r="T900" s="23">
        <f>Parameters!R451</f>
        <v>0</v>
      </c>
      <c r="U900" s="27">
        <f>Parameters!S451</f>
        <v>0</v>
      </c>
      <c r="V900" s="28">
        <f>Parameters!T451</f>
        <v>0</v>
      </c>
      <c r="W900" s="27">
        <f>Parameters!U451</f>
        <v>0</v>
      </c>
      <c r="X900" s="28">
        <f>Parameters!V451</f>
        <v>0</v>
      </c>
      <c r="Y900" s="25">
        <f>Parameters!W451</f>
        <v>0</v>
      </c>
      <c r="Z900" s="23">
        <f>Parameters!X451</f>
        <v>0</v>
      </c>
      <c r="AA900" s="27">
        <f>Parameters!Y451</f>
        <v>0</v>
      </c>
      <c r="AB900" s="28">
        <f>Parameters!Z451</f>
        <v>0</v>
      </c>
      <c r="AC900" s="23">
        <f>Parameters!AA451</f>
        <v>0</v>
      </c>
    </row>
    <row r="901" spans="1:29">
      <c r="A901" s="29" t="str">
        <f>UPPER(A900)</f>
        <v>0</v>
      </c>
      <c r="B901" s="29">
        <f>B900</f>
        <v>0</v>
      </c>
      <c r="C901" s="30">
        <f>C900</f>
        <v>0</v>
      </c>
      <c r="D901" s="30">
        <f>D900</f>
        <v>0</v>
      </c>
      <c r="E901" s="29">
        <f>E900</f>
        <v>0</v>
      </c>
      <c r="F901" s="29">
        <f>F900</f>
        <v>0</v>
      </c>
      <c r="G901" s="29" t="e">
        <f>IF(C900=1,IF(D900="BUY",E900+(ROUND(F900*G900/B900,0)*B900),E900-(ROUND(F900*G900/B900,0)*B900)),IF(D900="BUY",E900-(ROUND(F900*G900/B900,0)*B900),E900+(ROUND(F900*G900/B900,0)*B900)))</f>
        <v>#DIV/0!</v>
      </c>
      <c r="H901" s="29" t="e">
        <f>IF(C900=1,IF(D900="BUY",G901-(ROUND(F900*H900/B900,0)*B900),G901+(ROUND(F900*H900/B900,0)*B900)),IF(D900="BUY",G901+(ROUND(F900*H900/B900,0)*B900),G901-(ROUND(F900*H900/B900,0)*B900)))</f>
        <v>#DIV/0!</v>
      </c>
      <c r="I901" s="29" t="e">
        <f>IF(D900="BUY",G901+(ROUND(F900*I900/(B900*100),0)*B900),G901-(ROUND(F900*I900/(B900*100),0)*B900))</f>
        <v>#DIV/0!</v>
      </c>
      <c r="J901" s="29" t="e">
        <f>IF(C900=1,IF(D900="BUY",E900+(ROUND(F900*J900/B900,0)*B900),E900-(ROUND(F900*J900/B900,0)*B900)),IF(D900="BUY",E900-(ROUND(F900*J900/B900,0)*B900),E900+(ROUND(F900*J900/B900,0)*B900)))</f>
        <v>#DIV/0!</v>
      </c>
      <c r="K901" s="29" t="e">
        <f>IF(C900=1,IF(D900="BUY",E900-(ROUND(F900*K900/B900,0)*B900),E900+(ROUND(F900*K900/B900,0)*B900)),IF(D900="BUY",E900-(ROUND(F900*K900/B900,0)*B900),E900+(ROUND(F900*K900/B900,0)*B900)))</f>
        <v>#DIV/0!</v>
      </c>
      <c r="L901" s="29" t="e">
        <f t="shared" ref="L901" si="1346">IF(D901="BUY",I901+(R901*B901),I901-(R901*B901))</f>
        <v>#DIV/0!</v>
      </c>
      <c r="M901" s="29" t="e">
        <f>IF(D900="BUY",E900+(ROUND(F900*M900/B900,0)*B900),E900-(ROUND(F900*M900/B900,0)*B900))</f>
        <v>#DIV/0!</v>
      </c>
      <c r="N901" s="29" t="e">
        <f>IF(D900="BUY",E900-(ROUND(F900*N900/B900,0)*B900),E900+(ROUND(F900*N900/B900,0)*B900))</f>
        <v>#DIV/0!</v>
      </c>
      <c r="O901" s="31" t="e">
        <f>IF(D901="BUY",N901-VLOOKUP(A901,Symbols!A$1:D$1000,4,FALSE),N901+VLOOKUP(A901,Symbols!A$1:D$1000,4,FALSE))</f>
        <v>#DIV/0!</v>
      </c>
      <c r="P901" s="29">
        <f>P900</f>
        <v>0</v>
      </c>
      <c r="Q901" s="29">
        <f>Q900</f>
        <v>0</v>
      </c>
      <c r="R901" s="29">
        <f>R900</f>
        <v>0</v>
      </c>
      <c r="S901" s="29">
        <f>S900</f>
        <v>0</v>
      </c>
      <c r="T901" s="29">
        <f>T900</f>
        <v>0</v>
      </c>
      <c r="U901" s="29" t="e">
        <f>DATEDIF(DATE(1970,1,1),U900,"D")*86400</f>
        <v>#NUM!</v>
      </c>
      <c r="V901" s="29">
        <f>HOUR(V900)*3600+MINUTE(V900)*60+SECOND(V900)</f>
        <v>0</v>
      </c>
      <c r="W901" s="29" t="e">
        <f>DATEDIF(DATE(1970,1,1),W900,"D")*86400</f>
        <v>#NUM!</v>
      </c>
      <c r="X901" s="29">
        <f>HOUR(X900)*3600+MINUTE(X900)*60+SECOND(X900)</f>
        <v>0</v>
      </c>
      <c r="Y901" s="31">
        <f>(Y900*B901)</f>
        <v>0</v>
      </c>
      <c r="Z901" s="29">
        <f>Z900</f>
        <v>0</v>
      </c>
      <c r="AA901" s="29" t="e">
        <f>DATEDIF(DATE(1970,1,1),AA900,"D")*86400</f>
        <v>#NUM!</v>
      </c>
      <c r="AB901" s="29">
        <f>HOUR(AB900)*3600+MINUTE(AB900)*60+SECOND(AB900)</f>
        <v>0</v>
      </c>
      <c r="AC901" s="29">
        <f>AC900</f>
        <v>0</v>
      </c>
    </row>
    <row r="902" spans="1:29">
      <c r="A902" s="23">
        <f>Parameters!A452</f>
        <v>0</v>
      </c>
      <c r="B902" s="23">
        <f>Parameters!B452</f>
        <v>0</v>
      </c>
      <c r="C902" s="24">
        <f>Parameters!C452</f>
        <v>0</v>
      </c>
      <c r="D902" s="24">
        <f>Parameters!D452</f>
        <v>0</v>
      </c>
      <c r="E902" s="23">
        <f>Parameters!E452</f>
        <v>0</v>
      </c>
      <c r="F902" s="23">
        <f>Parameters!F452</f>
        <v>0</v>
      </c>
      <c r="G902" s="25">
        <f>Parameters!G452</f>
        <v>0</v>
      </c>
      <c r="H902" s="25">
        <f>Parameters!H452</f>
        <v>0</v>
      </c>
      <c r="I902" s="25">
        <f>Parameters!I452</f>
        <v>0</v>
      </c>
      <c r="J902" s="25">
        <f>Parameters!J452</f>
        <v>0</v>
      </c>
      <c r="K902" s="25">
        <f>Parameters!K452</f>
        <v>0</v>
      </c>
      <c r="L902" s="26" t="e">
        <f t="shared" ref="L902" si="1347">L903</f>
        <v>#DIV/0!</v>
      </c>
      <c r="M902" s="25">
        <f>Parameters!L452</f>
        <v>0</v>
      </c>
      <c r="N902" s="25">
        <f>Parameters!M452</f>
        <v>0</v>
      </c>
      <c r="O902" s="26" t="e">
        <f t="shared" ref="O902" si="1348">O903</f>
        <v>#DIV/0!</v>
      </c>
      <c r="P902" s="23">
        <f>Parameters!N452</f>
        <v>0</v>
      </c>
      <c r="Q902" s="23">
        <f>Parameters!O452</f>
        <v>0</v>
      </c>
      <c r="R902" s="23">
        <f>Parameters!P452</f>
        <v>0</v>
      </c>
      <c r="S902" s="23">
        <f>Parameters!Q452</f>
        <v>0</v>
      </c>
      <c r="T902" s="23">
        <f>Parameters!R452</f>
        <v>0</v>
      </c>
      <c r="U902" s="27">
        <f>Parameters!S452</f>
        <v>0</v>
      </c>
      <c r="V902" s="28">
        <f>Parameters!T452</f>
        <v>0</v>
      </c>
      <c r="W902" s="27">
        <f>Parameters!U452</f>
        <v>0</v>
      </c>
      <c r="X902" s="28">
        <f>Parameters!V452</f>
        <v>0</v>
      </c>
      <c r="Y902" s="25">
        <f>Parameters!W452</f>
        <v>0</v>
      </c>
      <c r="Z902" s="23">
        <f>Parameters!X452</f>
        <v>0</v>
      </c>
      <c r="AA902" s="27">
        <f>Parameters!Y452</f>
        <v>0</v>
      </c>
      <c r="AB902" s="28">
        <f>Parameters!Z452</f>
        <v>0</v>
      </c>
      <c r="AC902" s="23">
        <f>Parameters!AA452</f>
        <v>0</v>
      </c>
    </row>
    <row r="903" spans="1:29">
      <c r="A903" s="29" t="str">
        <f>UPPER(A902)</f>
        <v>0</v>
      </c>
      <c r="B903" s="29">
        <f>B902</f>
        <v>0</v>
      </c>
      <c r="C903" s="30">
        <f>C902</f>
        <v>0</v>
      </c>
      <c r="D903" s="30">
        <f>D902</f>
        <v>0</v>
      </c>
      <c r="E903" s="29">
        <f>E902</f>
        <v>0</v>
      </c>
      <c r="F903" s="29">
        <f>F902</f>
        <v>0</v>
      </c>
      <c r="G903" s="29" t="e">
        <f>IF(C902=1,IF(D902="BUY",E902+(ROUND(F902*G902/B902,0)*B902),E902-(ROUND(F902*G902/B902,0)*B902)),IF(D902="BUY",E902-(ROUND(F902*G902/B902,0)*B902),E902+(ROUND(F902*G902/B902,0)*B902)))</f>
        <v>#DIV/0!</v>
      </c>
      <c r="H903" s="29" t="e">
        <f>IF(C902=1,IF(D902="BUY",G903-(ROUND(F902*H902/B902,0)*B902),G903+(ROUND(F902*H902/B902,0)*B902)),IF(D902="BUY",G903+(ROUND(F902*H902/B902,0)*B902),G903-(ROUND(F902*H902/B902,0)*B902)))</f>
        <v>#DIV/0!</v>
      </c>
      <c r="I903" s="29" t="e">
        <f>IF(D902="BUY",G903+(ROUND(F902*I902/(B902*100),0)*B902),G903-(ROUND(F902*I902/(B902*100),0)*B902))</f>
        <v>#DIV/0!</v>
      </c>
      <c r="J903" s="29" t="e">
        <f>IF(C902=1,IF(D902="BUY",E902+(ROUND(F902*J902/B902,0)*B902),E902-(ROUND(F902*J902/B902,0)*B902)),IF(D902="BUY",E902-(ROUND(F902*J902/B902,0)*B902),E902+(ROUND(F902*J902/B902,0)*B902)))</f>
        <v>#DIV/0!</v>
      </c>
      <c r="K903" s="29" t="e">
        <f>IF(C902=1,IF(D902="BUY",E902-(ROUND(F902*K902/B902,0)*B902),E902+(ROUND(F902*K902/B902,0)*B902)),IF(D902="BUY",E902-(ROUND(F902*K902/B902,0)*B902),E902+(ROUND(F902*K902/B902,0)*B902)))</f>
        <v>#DIV/0!</v>
      </c>
      <c r="L903" s="29" t="e">
        <f t="shared" ref="L903" si="1349">IF(D903="BUY",I903+(R903*B903),I903-(R903*B903))</f>
        <v>#DIV/0!</v>
      </c>
      <c r="M903" s="29" t="e">
        <f>IF(D902="BUY",E902+(ROUND(F902*M902/B902,0)*B902),E902-(ROUND(F902*M902/B902,0)*B902))</f>
        <v>#DIV/0!</v>
      </c>
      <c r="N903" s="29" t="e">
        <f>IF(D902="BUY",E902-(ROUND(F902*N902/B902,0)*B902),E902+(ROUND(F902*N902/B902,0)*B902))</f>
        <v>#DIV/0!</v>
      </c>
      <c r="O903" s="31" t="e">
        <f>IF(D903="BUY",N903-VLOOKUP(A903,Symbols!A$1:D$1000,4,FALSE),N903+VLOOKUP(A903,Symbols!A$1:D$1000,4,FALSE))</f>
        <v>#DIV/0!</v>
      </c>
      <c r="P903" s="29">
        <f>P902</f>
        <v>0</v>
      </c>
      <c r="Q903" s="29">
        <f>Q902</f>
        <v>0</v>
      </c>
      <c r="R903" s="29">
        <f>R902</f>
        <v>0</v>
      </c>
      <c r="S903" s="29">
        <f>S902</f>
        <v>0</v>
      </c>
      <c r="T903" s="29">
        <f>T902</f>
        <v>0</v>
      </c>
      <c r="U903" s="29" t="e">
        <f>DATEDIF(DATE(1970,1,1),U902,"D")*86400</f>
        <v>#NUM!</v>
      </c>
      <c r="V903" s="29">
        <f>HOUR(V902)*3600+MINUTE(V902)*60+SECOND(V902)</f>
        <v>0</v>
      </c>
      <c r="W903" s="29" t="e">
        <f>DATEDIF(DATE(1970,1,1),W902,"D")*86400</f>
        <v>#NUM!</v>
      </c>
      <c r="X903" s="29">
        <f>HOUR(X902)*3600+MINUTE(X902)*60+SECOND(X902)</f>
        <v>0</v>
      </c>
      <c r="Y903" s="31">
        <f>(Y902*B903)</f>
        <v>0</v>
      </c>
      <c r="Z903" s="29">
        <f>Z902</f>
        <v>0</v>
      </c>
      <c r="AA903" s="29" t="e">
        <f>DATEDIF(DATE(1970,1,1),AA902,"D")*86400</f>
        <v>#NUM!</v>
      </c>
      <c r="AB903" s="29">
        <f>HOUR(AB902)*3600+MINUTE(AB902)*60+SECOND(AB902)</f>
        <v>0</v>
      </c>
      <c r="AC903" s="29">
        <f>AC902</f>
        <v>0</v>
      </c>
    </row>
    <row r="904" spans="1:29">
      <c r="A904" s="23">
        <f>Parameters!A453</f>
        <v>0</v>
      </c>
      <c r="B904" s="23">
        <f>Parameters!B453</f>
        <v>0</v>
      </c>
      <c r="C904" s="24">
        <f>Parameters!C453</f>
        <v>0</v>
      </c>
      <c r="D904" s="24">
        <f>Parameters!D453</f>
        <v>0</v>
      </c>
      <c r="E904" s="23">
        <f>Parameters!E453</f>
        <v>0</v>
      </c>
      <c r="F904" s="23">
        <f>Parameters!F453</f>
        <v>0</v>
      </c>
      <c r="G904" s="25">
        <f>Parameters!G453</f>
        <v>0</v>
      </c>
      <c r="H904" s="25">
        <f>Parameters!H453</f>
        <v>0</v>
      </c>
      <c r="I904" s="25">
        <f>Parameters!I453</f>
        <v>0</v>
      </c>
      <c r="J904" s="25">
        <f>Parameters!J453</f>
        <v>0</v>
      </c>
      <c r="K904" s="25">
        <f>Parameters!K453</f>
        <v>0</v>
      </c>
      <c r="L904" s="26" t="e">
        <f t="shared" ref="L904" si="1350">L905</f>
        <v>#DIV/0!</v>
      </c>
      <c r="M904" s="25">
        <f>Parameters!L453</f>
        <v>0</v>
      </c>
      <c r="N904" s="25">
        <f>Parameters!M453</f>
        <v>0</v>
      </c>
      <c r="O904" s="26" t="e">
        <f t="shared" ref="O904" si="1351">O905</f>
        <v>#DIV/0!</v>
      </c>
      <c r="P904" s="23">
        <f>Parameters!N453</f>
        <v>0</v>
      </c>
      <c r="Q904" s="23">
        <f>Parameters!O453</f>
        <v>0</v>
      </c>
      <c r="R904" s="23">
        <f>Parameters!P453</f>
        <v>0</v>
      </c>
      <c r="S904" s="23">
        <f>Parameters!Q453</f>
        <v>0</v>
      </c>
      <c r="T904" s="23">
        <f>Parameters!R453</f>
        <v>0</v>
      </c>
      <c r="U904" s="27">
        <f>Parameters!S453</f>
        <v>0</v>
      </c>
      <c r="V904" s="28">
        <f>Parameters!T453</f>
        <v>0</v>
      </c>
      <c r="W904" s="27">
        <f>Parameters!U453</f>
        <v>0</v>
      </c>
      <c r="X904" s="28">
        <f>Parameters!V453</f>
        <v>0</v>
      </c>
      <c r="Y904" s="25">
        <f>Parameters!W453</f>
        <v>0</v>
      </c>
      <c r="Z904" s="23">
        <f>Parameters!X453</f>
        <v>0</v>
      </c>
      <c r="AA904" s="27">
        <f>Parameters!Y453</f>
        <v>0</v>
      </c>
      <c r="AB904" s="28">
        <f>Parameters!Z453</f>
        <v>0</v>
      </c>
      <c r="AC904" s="23">
        <f>Parameters!AA453</f>
        <v>0</v>
      </c>
    </row>
    <row r="905" spans="1:29">
      <c r="A905" s="29" t="str">
        <f>UPPER(A904)</f>
        <v>0</v>
      </c>
      <c r="B905" s="29">
        <f>B904</f>
        <v>0</v>
      </c>
      <c r="C905" s="30">
        <f>C904</f>
        <v>0</v>
      </c>
      <c r="D905" s="30">
        <f>D904</f>
        <v>0</v>
      </c>
      <c r="E905" s="29">
        <f>E904</f>
        <v>0</v>
      </c>
      <c r="F905" s="29">
        <f>F904</f>
        <v>0</v>
      </c>
      <c r="G905" s="29" t="e">
        <f>IF(C904=1,IF(D904="BUY",E904+(ROUND(F904*G904/B904,0)*B904),E904-(ROUND(F904*G904/B904,0)*B904)),IF(D904="BUY",E904-(ROUND(F904*G904/B904,0)*B904),E904+(ROUND(F904*G904/B904,0)*B904)))</f>
        <v>#DIV/0!</v>
      </c>
      <c r="H905" s="29" t="e">
        <f>IF(C904=1,IF(D904="BUY",G905-(ROUND(F904*H904/B904,0)*B904),G905+(ROUND(F904*H904/B904,0)*B904)),IF(D904="BUY",G905+(ROUND(F904*H904/B904,0)*B904),G905-(ROUND(F904*H904/B904,0)*B904)))</f>
        <v>#DIV/0!</v>
      </c>
      <c r="I905" s="29" t="e">
        <f>IF(D904="BUY",G905+(ROUND(F904*I904/(B904*100),0)*B904),G905-(ROUND(F904*I904/(B904*100),0)*B904))</f>
        <v>#DIV/0!</v>
      </c>
      <c r="J905" s="29" t="e">
        <f>IF(C904=1,IF(D904="BUY",E904+(ROUND(F904*J904/B904,0)*B904),E904-(ROUND(F904*J904/B904,0)*B904)),IF(D904="BUY",E904-(ROUND(F904*J904/B904,0)*B904),E904+(ROUND(F904*J904/B904,0)*B904)))</f>
        <v>#DIV/0!</v>
      </c>
      <c r="K905" s="29" t="e">
        <f>IF(C904=1,IF(D904="BUY",E904-(ROUND(F904*K904/B904,0)*B904),E904+(ROUND(F904*K904/B904,0)*B904)),IF(D904="BUY",E904-(ROUND(F904*K904/B904,0)*B904),E904+(ROUND(F904*K904/B904,0)*B904)))</f>
        <v>#DIV/0!</v>
      </c>
      <c r="L905" s="29" t="e">
        <f t="shared" ref="L905" si="1352">IF(D905="BUY",I905+(R905*B905),I905-(R905*B905))</f>
        <v>#DIV/0!</v>
      </c>
      <c r="M905" s="29" t="e">
        <f>IF(D904="BUY",E904+(ROUND(F904*M904/B904,0)*B904),E904-(ROUND(F904*M904/B904,0)*B904))</f>
        <v>#DIV/0!</v>
      </c>
      <c r="N905" s="29" t="e">
        <f>IF(D904="BUY",E904-(ROUND(F904*N904/B904,0)*B904),E904+(ROUND(F904*N904/B904,0)*B904))</f>
        <v>#DIV/0!</v>
      </c>
      <c r="O905" s="31" t="e">
        <f>IF(D905="BUY",N905-VLOOKUP(A905,Symbols!A$1:D$1000,4,FALSE),N905+VLOOKUP(A905,Symbols!A$1:D$1000,4,FALSE))</f>
        <v>#DIV/0!</v>
      </c>
      <c r="P905" s="29">
        <f>P904</f>
        <v>0</v>
      </c>
      <c r="Q905" s="29">
        <f>Q904</f>
        <v>0</v>
      </c>
      <c r="R905" s="29">
        <f>R904</f>
        <v>0</v>
      </c>
      <c r="S905" s="29">
        <f>S904</f>
        <v>0</v>
      </c>
      <c r="T905" s="29">
        <f>T904</f>
        <v>0</v>
      </c>
      <c r="U905" s="29" t="e">
        <f>DATEDIF(DATE(1970,1,1),U904,"D")*86400</f>
        <v>#NUM!</v>
      </c>
      <c r="V905" s="29">
        <f>HOUR(V904)*3600+MINUTE(V904)*60+SECOND(V904)</f>
        <v>0</v>
      </c>
      <c r="W905" s="29" t="e">
        <f>DATEDIF(DATE(1970,1,1),W904,"D")*86400</f>
        <v>#NUM!</v>
      </c>
      <c r="X905" s="29">
        <f>HOUR(X904)*3600+MINUTE(X904)*60+SECOND(X904)</f>
        <v>0</v>
      </c>
      <c r="Y905" s="31">
        <f>(Y904*B905)</f>
        <v>0</v>
      </c>
      <c r="Z905" s="29">
        <f>Z904</f>
        <v>0</v>
      </c>
      <c r="AA905" s="29" t="e">
        <f>DATEDIF(DATE(1970,1,1),AA904,"D")*86400</f>
        <v>#NUM!</v>
      </c>
      <c r="AB905" s="29">
        <f>HOUR(AB904)*3600+MINUTE(AB904)*60+SECOND(AB904)</f>
        <v>0</v>
      </c>
      <c r="AC905" s="29">
        <f>AC904</f>
        <v>0</v>
      </c>
    </row>
    <row r="906" spans="1:29">
      <c r="A906" s="23">
        <f>Parameters!A454</f>
        <v>0</v>
      </c>
      <c r="B906" s="23">
        <f>Parameters!B454</f>
        <v>0</v>
      </c>
      <c r="C906" s="24">
        <f>Parameters!C454</f>
        <v>0</v>
      </c>
      <c r="D906" s="24">
        <f>Parameters!D454</f>
        <v>0</v>
      </c>
      <c r="E906" s="23">
        <f>Parameters!E454</f>
        <v>0</v>
      </c>
      <c r="F906" s="23">
        <f>Parameters!F454</f>
        <v>0</v>
      </c>
      <c r="G906" s="25">
        <f>Parameters!G454</f>
        <v>0</v>
      </c>
      <c r="H906" s="25">
        <f>Parameters!H454</f>
        <v>0</v>
      </c>
      <c r="I906" s="25">
        <f>Parameters!I454</f>
        <v>0</v>
      </c>
      <c r="J906" s="25">
        <f>Parameters!J454</f>
        <v>0</v>
      </c>
      <c r="K906" s="25">
        <f>Parameters!K454</f>
        <v>0</v>
      </c>
      <c r="L906" s="26" t="e">
        <f t="shared" ref="L906" si="1353">L907</f>
        <v>#DIV/0!</v>
      </c>
      <c r="M906" s="25">
        <f>Parameters!L454</f>
        <v>0</v>
      </c>
      <c r="N906" s="25">
        <f>Parameters!M454</f>
        <v>0</v>
      </c>
      <c r="O906" s="26" t="e">
        <f t="shared" ref="O906" si="1354">O907</f>
        <v>#DIV/0!</v>
      </c>
      <c r="P906" s="23">
        <f>Parameters!N454</f>
        <v>0</v>
      </c>
      <c r="Q906" s="23">
        <f>Parameters!O454</f>
        <v>0</v>
      </c>
      <c r="R906" s="23">
        <f>Parameters!P454</f>
        <v>0</v>
      </c>
      <c r="S906" s="23">
        <f>Parameters!Q454</f>
        <v>0</v>
      </c>
      <c r="T906" s="23">
        <f>Parameters!R454</f>
        <v>0</v>
      </c>
      <c r="U906" s="27">
        <f>Parameters!S454</f>
        <v>0</v>
      </c>
      <c r="V906" s="28">
        <f>Parameters!T454</f>
        <v>0</v>
      </c>
      <c r="W906" s="27">
        <f>Parameters!U454</f>
        <v>0</v>
      </c>
      <c r="X906" s="28">
        <f>Parameters!V454</f>
        <v>0</v>
      </c>
      <c r="Y906" s="25">
        <f>Parameters!W454</f>
        <v>0</v>
      </c>
      <c r="Z906" s="23">
        <f>Parameters!X454</f>
        <v>0</v>
      </c>
      <c r="AA906" s="27">
        <f>Parameters!Y454</f>
        <v>0</v>
      </c>
      <c r="AB906" s="28">
        <f>Parameters!Z454</f>
        <v>0</v>
      </c>
      <c r="AC906" s="23">
        <f>Parameters!AA454</f>
        <v>0</v>
      </c>
    </row>
    <row r="907" spans="1:29">
      <c r="A907" s="29" t="str">
        <f>UPPER(A906)</f>
        <v>0</v>
      </c>
      <c r="B907" s="29">
        <f>B906</f>
        <v>0</v>
      </c>
      <c r="C907" s="30">
        <f>C906</f>
        <v>0</v>
      </c>
      <c r="D907" s="30">
        <f>D906</f>
        <v>0</v>
      </c>
      <c r="E907" s="29">
        <f>E906</f>
        <v>0</v>
      </c>
      <c r="F907" s="29">
        <f>F906</f>
        <v>0</v>
      </c>
      <c r="G907" s="29" t="e">
        <f>IF(C906=1,IF(D906="BUY",E906+(ROUND(F906*G906/B906,0)*B906),E906-(ROUND(F906*G906/B906,0)*B906)),IF(D906="BUY",E906-(ROUND(F906*G906/B906,0)*B906),E906+(ROUND(F906*G906/B906,0)*B906)))</f>
        <v>#DIV/0!</v>
      </c>
      <c r="H907" s="29" t="e">
        <f>IF(C906=1,IF(D906="BUY",G907-(ROUND(F906*H906/B906,0)*B906),G907+(ROUND(F906*H906/B906,0)*B906)),IF(D906="BUY",G907+(ROUND(F906*H906/B906,0)*B906),G907-(ROUND(F906*H906/B906,0)*B906)))</f>
        <v>#DIV/0!</v>
      </c>
      <c r="I907" s="29" t="e">
        <f>IF(D906="BUY",G907+(ROUND(F906*I906/(B906*100),0)*B906),G907-(ROUND(F906*I906/(B906*100),0)*B906))</f>
        <v>#DIV/0!</v>
      </c>
      <c r="J907" s="29" t="e">
        <f>IF(C906=1,IF(D906="BUY",E906+(ROUND(F906*J906/B906,0)*B906),E906-(ROUND(F906*J906/B906,0)*B906)),IF(D906="BUY",E906-(ROUND(F906*J906/B906,0)*B906),E906+(ROUND(F906*J906/B906,0)*B906)))</f>
        <v>#DIV/0!</v>
      </c>
      <c r="K907" s="29" t="e">
        <f>IF(C906=1,IF(D906="BUY",E906-(ROUND(F906*K906/B906,0)*B906),E906+(ROUND(F906*K906/B906,0)*B906)),IF(D906="BUY",E906-(ROUND(F906*K906/B906,0)*B906),E906+(ROUND(F906*K906/B906,0)*B906)))</f>
        <v>#DIV/0!</v>
      </c>
      <c r="L907" s="29" t="e">
        <f t="shared" ref="L907" si="1355">IF(D907="BUY",I907+(R907*B907),I907-(R907*B907))</f>
        <v>#DIV/0!</v>
      </c>
      <c r="M907" s="29" t="e">
        <f>IF(D906="BUY",E906+(ROUND(F906*M906/B906,0)*B906),E906-(ROUND(F906*M906/B906,0)*B906))</f>
        <v>#DIV/0!</v>
      </c>
      <c r="N907" s="29" t="e">
        <f>IF(D906="BUY",E906-(ROUND(F906*N906/B906,0)*B906),E906+(ROUND(F906*N906/B906,0)*B906))</f>
        <v>#DIV/0!</v>
      </c>
      <c r="O907" s="31" t="e">
        <f>IF(D907="BUY",N907-VLOOKUP(A907,Symbols!A$1:D$1000,4,FALSE),N907+VLOOKUP(A907,Symbols!A$1:D$1000,4,FALSE))</f>
        <v>#DIV/0!</v>
      </c>
      <c r="P907" s="29">
        <f>P906</f>
        <v>0</v>
      </c>
      <c r="Q907" s="29">
        <f>Q906</f>
        <v>0</v>
      </c>
      <c r="R907" s="29">
        <f>R906</f>
        <v>0</v>
      </c>
      <c r="S907" s="29">
        <f>S906</f>
        <v>0</v>
      </c>
      <c r="T907" s="29">
        <f>T906</f>
        <v>0</v>
      </c>
      <c r="U907" s="29" t="e">
        <f>DATEDIF(DATE(1970,1,1),U906,"D")*86400</f>
        <v>#NUM!</v>
      </c>
      <c r="V907" s="29">
        <f>HOUR(V906)*3600+MINUTE(V906)*60+SECOND(V906)</f>
        <v>0</v>
      </c>
      <c r="W907" s="29" t="e">
        <f>DATEDIF(DATE(1970,1,1),W906,"D")*86400</f>
        <v>#NUM!</v>
      </c>
      <c r="X907" s="29">
        <f>HOUR(X906)*3600+MINUTE(X906)*60+SECOND(X906)</f>
        <v>0</v>
      </c>
      <c r="Y907" s="31">
        <f>(Y906*B907)</f>
        <v>0</v>
      </c>
      <c r="Z907" s="29">
        <f>Z906</f>
        <v>0</v>
      </c>
      <c r="AA907" s="29" t="e">
        <f>DATEDIF(DATE(1970,1,1),AA906,"D")*86400</f>
        <v>#NUM!</v>
      </c>
      <c r="AB907" s="29">
        <f>HOUR(AB906)*3600+MINUTE(AB906)*60+SECOND(AB906)</f>
        <v>0</v>
      </c>
      <c r="AC907" s="29">
        <f>AC906</f>
        <v>0</v>
      </c>
    </row>
    <row r="908" spans="1:29">
      <c r="A908" s="23">
        <f>Parameters!A455</f>
        <v>0</v>
      </c>
      <c r="B908" s="23">
        <f>Parameters!B455</f>
        <v>0</v>
      </c>
      <c r="C908" s="24">
        <f>Parameters!C455</f>
        <v>0</v>
      </c>
      <c r="D908" s="24">
        <f>Parameters!D455</f>
        <v>0</v>
      </c>
      <c r="E908" s="23">
        <f>Parameters!E455</f>
        <v>0</v>
      </c>
      <c r="F908" s="23">
        <f>Parameters!F455</f>
        <v>0</v>
      </c>
      <c r="G908" s="25">
        <f>Parameters!G455</f>
        <v>0</v>
      </c>
      <c r="H908" s="25">
        <f>Parameters!H455</f>
        <v>0</v>
      </c>
      <c r="I908" s="25">
        <f>Parameters!I455</f>
        <v>0</v>
      </c>
      <c r="J908" s="25">
        <f>Parameters!J455</f>
        <v>0</v>
      </c>
      <c r="K908" s="25">
        <f>Parameters!K455</f>
        <v>0</v>
      </c>
      <c r="L908" s="26" t="e">
        <f t="shared" ref="L908" si="1356">L909</f>
        <v>#DIV/0!</v>
      </c>
      <c r="M908" s="25">
        <f>Parameters!L455</f>
        <v>0</v>
      </c>
      <c r="N908" s="25">
        <f>Parameters!M455</f>
        <v>0</v>
      </c>
      <c r="O908" s="26" t="e">
        <f t="shared" ref="O908" si="1357">O909</f>
        <v>#DIV/0!</v>
      </c>
      <c r="P908" s="23">
        <f>Parameters!N455</f>
        <v>0</v>
      </c>
      <c r="Q908" s="23">
        <f>Parameters!O455</f>
        <v>0</v>
      </c>
      <c r="R908" s="23">
        <f>Parameters!P455</f>
        <v>0</v>
      </c>
      <c r="S908" s="23">
        <f>Parameters!Q455</f>
        <v>0</v>
      </c>
      <c r="T908" s="23">
        <f>Parameters!R455</f>
        <v>0</v>
      </c>
      <c r="U908" s="27">
        <f>Parameters!S455</f>
        <v>0</v>
      </c>
      <c r="V908" s="28">
        <f>Parameters!T455</f>
        <v>0</v>
      </c>
      <c r="W908" s="27">
        <f>Parameters!U455</f>
        <v>0</v>
      </c>
      <c r="X908" s="28">
        <f>Parameters!V455</f>
        <v>0</v>
      </c>
      <c r="Y908" s="25">
        <f>Parameters!W455</f>
        <v>0</v>
      </c>
      <c r="Z908" s="23">
        <f>Parameters!X455</f>
        <v>0</v>
      </c>
      <c r="AA908" s="27">
        <f>Parameters!Y455</f>
        <v>0</v>
      </c>
      <c r="AB908" s="28">
        <f>Parameters!Z455</f>
        <v>0</v>
      </c>
      <c r="AC908" s="23">
        <f>Parameters!AA455</f>
        <v>0</v>
      </c>
    </row>
    <row r="909" spans="1:29">
      <c r="A909" s="29" t="str">
        <f>UPPER(A908)</f>
        <v>0</v>
      </c>
      <c r="B909" s="29">
        <f>B908</f>
        <v>0</v>
      </c>
      <c r="C909" s="30">
        <f>C908</f>
        <v>0</v>
      </c>
      <c r="D909" s="30">
        <f>D908</f>
        <v>0</v>
      </c>
      <c r="E909" s="29">
        <f>E908</f>
        <v>0</v>
      </c>
      <c r="F909" s="29">
        <f>F908</f>
        <v>0</v>
      </c>
      <c r="G909" s="29" t="e">
        <f>IF(C908=1,IF(D908="BUY",E908+(ROUND(F908*G908/B908,0)*B908),E908-(ROUND(F908*G908/B908,0)*B908)),IF(D908="BUY",E908-(ROUND(F908*G908/B908,0)*B908),E908+(ROUND(F908*G908/B908,0)*B908)))</f>
        <v>#DIV/0!</v>
      </c>
      <c r="H909" s="29" t="e">
        <f>IF(C908=1,IF(D908="BUY",G909-(ROUND(F908*H908/B908,0)*B908),G909+(ROUND(F908*H908/B908,0)*B908)),IF(D908="BUY",G909+(ROUND(F908*H908/B908,0)*B908),G909-(ROUND(F908*H908/B908,0)*B908)))</f>
        <v>#DIV/0!</v>
      </c>
      <c r="I909" s="29" t="e">
        <f>IF(D908="BUY",G909+(ROUND(F908*I908/(B908*100),0)*B908),G909-(ROUND(F908*I908/(B908*100),0)*B908))</f>
        <v>#DIV/0!</v>
      </c>
      <c r="J909" s="29" t="e">
        <f>IF(C908=1,IF(D908="BUY",E908+(ROUND(F908*J908/B908,0)*B908),E908-(ROUND(F908*J908/B908,0)*B908)),IF(D908="BUY",E908-(ROUND(F908*J908/B908,0)*B908),E908+(ROUND(F908*J908/B908,0)*B908)))</f>
        <v>#DIV/0!</v>
      </c>
      <c r="K909" s="29" t="e">
        <f>IF(C908=1,IF(D908="BUY",E908-(ROUND(F908*K908/B908,0)*B908),E908+(ROUND(F908*K908/B908,0)*B908)),IF(D908="BUY",E908-(ROUND(F908*K908/B908,0)*B908),E908+(ROUND(F908*K908/B908,0)*B908)))</f>
        <v>#DIV/0!</v>
      </c>
      <c r="L909" s="29" t="e">
        <f t="shared" ref="L909" si="1358">IF(D909="BUY",I909+(R909*B909),I909-(R909*B909))</f>
        <v>#DIV/0!</v>
      </c>
      <c r="M909" s="29" t="e">
        <f>IF(D908="BUY",E908+(ROUND(F908*M908/B908,0)*B908),E908-(ROUND(F908*M908/B908,0)*B908))</f>
        <v>#DIV/0!</v>
      </c>
      <c r="N909" s="29" t="e">
        <f>IF(D908="BUY",E908-(ROUND(F908*N908/B908,0)*B908),E908+(ROUND(F908*N908/B908,0)*B908))</f>
        <v>#DIV/0!</v>
      </c>
      <c r="O909" s="31" t="e">
        <f>IF(D909="BUY",N909-VLOOKUP(A909,Symbols!A$1:D$1000,4,FALSE),N909+VLOOKUP(A909,Symbols!A$1:D$1000,4,FALSE))</f>
        <v>#DIV/0!</v>
      </c>
      <c r="P909" s="29">
        <f>P908</f>
        <v>0</v>
      </c>
      <c r="Q909" s="29">
        <f>Q908</f>
        <v>0</v>
      </c>
      <c r="R909" s="29">
        <f>R908</f>
        <v>0</v>
      </c>
      <c r="S909" s="29">
        <f>S908</f>
        <v>0</v>
      </c>
      <c r="T909" s="29">
        <f>T908</f>
        <v>0</v>
      </c>
      <c r="U909" s="29" t="e">
        <f>DATEDIF(DATE(1970,1,1),U908,"D")*86400</f>
        <v>#NUM!</v>
      </c>
      <c r="V909" s="29">
        <f>HOUR(V908)*3600+MINUTE(V908)*60+SECOND(V908)</f>
        <v>0</v>
      </c>
      <c r="W909" s="29" t="e">
        <f>DATEDIF(DATE(1970,1,1),W908,"D")*86400</f>
        <v>#NUM!</v>
      </c>
      <c r="X909" s="29">
        <f>HOUR(X908)*3600+MINUTE(X908)*60+SECOND(X908)</f>
        <v>0</v>
      </c>
      <c r="Y909" s="31">
        <f>(Y908*B909)</f>
        <v>0</v>
      </c>
      <c r="Z909" s="29">
        <f>Z908</f>
        <v>0</v>
      </c>
      <c r="AA909" s="29" t="e">
        <f>DATEDIF(DATE(1970,1,1),AA908,"D")*86400</f>
        <v>#NUM!</v>
      </c>
      <c r="AB909" s="29">
        <f>HOUR(AB908)*3600+MINUTE(AB908)*60+SECOND(AB908)</f>
        <v>0</v>
      </c>
      <c r="AC909" s="29">
        <f>AC908</f>
        <v>0</v>
      </c>
    </row>
    <row r="910" spans="1:29">
      <c r="A910" s="23">
        <f>Parameters!A456</f>
        <v>0</v>
      </c>
      <c r="B910" s="23">
        <f>Parameters!B456</f>
        <v>0</v>
      </c>
      <c r="C910" s="24">
        <f>Parameters!C456</f>
        <v>0</v>
      </c>
      <c r="D910" s="24">
        <f>Parameters!D456</f>
        <v>0</v>
      </c>
      <c r="E910" s="23">
        <f>Parameters!E456</f>
        <v>0</v>
      </c>
      <c r="F910" s="23">
        <f>Parameters!F456</f>
        <v>0</v>
      </c>
      <c r="G910" s="25">
        <f>Parameters!G456</f>
        <v>0</v>
      </c>
      <c r="H910" s="25">
        <f>Parameters!H456</f>
        <v>0</v>
      </c>
      <c r="I910" s="25">
        <f>Parameters!I456</f>
        <v>0</v>
      </c>
      <c r="J910" s="25">
        <f>Parameters!J456</f>
        <v>0</v>
      </c>
      <c r="K910" s="25">
        <f>Parameters!K456</f>
        <v>0</v>
      </c>
      <c r="L910" s="26" t="e">
        <f t="shared" ref="L910" si="1359">L911</f>
        <v>#DIV/0!</v>
      </c>
      <c r="M910" s="25">
        <f>Parameters!L456</f>
        <v>0</v>
      </c>
      <c r="N910" s="25">
        <f>Parameters!M456</f>
        <v>0</v>
      </c>
      <c r="O910" s="26" t="e">
        <f t="shared" ref="O910" si="1360">O911</f>
        <v>#DIV/0!</v>
      </c>
      <c r="P910" s="23">
        <f>Parameters!N456</f>
        <v>0</v>
      </c>
      <c r="Q910" s="23">
        <f>Parameters!O456</f>
        <v>0</v>
      </c>
      <c r="R910" s="23">
        <f>Parameters!P456</f>
        <v>0</v>
      </c>
      <c r="S910" s="23">
        <f>Parameters!Q456</f>
        <v>0</v>
      </c>
      <c r="T910" s="23">
        <f>Parameters!R456</f>
        <v>0</v>
      </c>
      <c r="U910" s="27">
        <f>Parameters!S456</f>
        <v>0</v>
      </c>
      <c r="V910" s="28">
        <f>Parameters!T456</f>
        <v>0</v>
      </c>
      <c r="W910" s="27">
        <f>Parameters!U456</f>
        <v>0</v>
      </c>
      <c r="X910" s="28">
        <f>Parameters!V456</f>
        <v>0</v>
      </c>
      <c r="Y910" s="25">
        <f>Parameters!W456</f>
        <v>0</v>
      </c>
      <c r="Z910" s="23">
        <f>Parameters!X456</f>
        <v>0</v>
      </c>
      <c r="AA910" s="27">
        <f>Parameters!Y456</f>
        <v>0</v>
      </c>
      <c r="AB910" s="28">
        <f>Parameters!Z456</f>
        <v>0</v>
      </c>
      <c r="AC910" s="23">
        <f>Parameters!AA456</f>
        <v>0</v>
      </c>
    </row>
    <row r="911" spans="1:29">
      <c r="A911" s="29" t="str">
        <f>UPPER(A910)</f>
        <v>0</v>
      </c>
      <c r="B911" s="29">
        <f>B910</f>
        <v>0</v>
      </c>
      <c r="C911" s="30">
        <f>C910</f>
        <v>0</v>
      </c>
      <c r="D911" s="30">
        <f>D910</f>
        <v>0</v>
      </c>
      <c r="E911" s="29">
        <f>E910</f>
        <v>0</v>
      </c>
      <c r="F911" s="29">
        <f>F910</f>
        <v>0</v>
      </c>
      <c r="G911" s="29" t="e">
        <f>IF(C910=1,IF(D910="BUY",E910+(ROUND(F910*G910/B910,0)*B910),E910-(ROUND(F910*G910/B910,0)*B910)),IF(D910="BUY",E910-(ROUND(F910*G910/B910,0)*B910),E910+(ROUND(F910*G910/B910,0)*B910)))</f>
        <v>#DIV/0!</v>
      </c>
      <c r="H911" s="29" t="e">
        <f>IF(C910=1,IF(D910="BUY",G911-(ROUND(F910*H910/B910,0)*B910),G911+(ROUND(F910*H910/B910,0)*B910)),IF(D910="BUY",G911+(ROUND(F910*H910/B910,0)*B910),G911-(ROUND(F910*H910/B910,0)*B910)))</f>
        <v>#DIV/0!</v>
      </c>
      <c r="I911" s="29" t="e">
        <f>IF(D910="BUY",G911+(ROUND(F910*I910/(B910*100),0)*B910),G911-(ROUND(F910*I910/(B910*100),0)*B910))</f>
        <v>#DIV/0!</v>
      </c>
      <c r="J911" s="29" t="e">
        <f>IF(C910=1,IF(D910="BUY",E910+(ROUND(F910*J910/B910,0)*B910),E910-(ROUND(F910*J910/B910,0)*B910)),IF(D910="BUY",E910-(ROUND(F910*J910/B910,0)*B910),E910+(ROUND(F910*J910/B910,0)*B910)))</f>
        <v>#DIV/0!</v>
      </c>
      <c r="K911" s="29" t="e">
        <f>IF(C910=1,IF(D910="BUY",E910-(ROUND(F910*K910/B910,0)*B910),E910+(ROUND(F910*K910/B910,0)*B910)),IF(D910="BUY",E910-(ROUND(F910*K910/B910,0)*B910),E910+(ROUND(F910*K910/B910,0)*B910)))</f>
        <v>#DIV/0!</v>
      </c>
      <c r="L911" s="29" t="e">
        <f t="shared" ref="L911" si="1361">IF(D911="BUY",I911+(R911*B911),I911-(R911*B911))</f>
        <v>#DIV/0!</v>
      </c>
      <c r="M911" s="29" t="e">
        <f>IF(D910="BUY",E910+(ROUND(F910*M910/B910,0)*B910),E910-(ROUND(F910*M910/B910,0)*B910))</f>
        <v>#DIV/0!</v>
      </c>
      <c r="N911" s="29" t="e">
        <f>IF(D910="BUY",E910-(ROUND(F910*N910/B910,0)*B910),E910+(ROUND(F910*N910/B910,0)*B910))</f>
        <v>#DIV/0!</v>
      </c>
      <c r="O911" s="31" t="e">
        <f>IF(D911="BUY",N911-VLOOKUP(A911,Symbols!A$1:D$1000,4,FALSE),N911+VLOOKUP(A911,Symbols!A$1:D$1000,4,FALSE))</f>
        <v>#DIV/0!</v>
      </c>
      <c r="P911" s="29">
        <f>P910</f>
        <v>0</v>
      </c>
      <c r="Q911" s="29">
        <f>Q910</f>
        <v>0</v>
      </c>
      <c r="R911" s="29">
        <f>R910</f>
        <v>0</v>
      </c>
      <c r="S911" s="29">
        <f>S910</f>
        <v>0</v>
      </c>
      <c r="T911" s="29">
        <f>T910</f>
        <v>0</v>
      </c>
      <c r="U911" s="29" t="e">
        <f>DATEDIF(DATE(1970,1,1),U910,"D")*86400</f>
        <v>#NUM!</v>
      </c>
      <c r="V911" s="29">
        <f>HOUR(V910)*3600+MINUTE(V910)*60+SECOND(V910)</f>
        <v>0</v>
      </c>
      <c r="W911" s="29" t="e">
        <f>DATEDIF(DATE(1970,1,1),W910,"D")*86400</f>
        <v>#NUM!</v>
      </c>
      <c r="X911" s="29">
        <f>HOUR(X910)*3600+MINUTE(X910)*60+SECOND(X910)</f>
        <v>0</v>
      </c>
      <c r="Y911" s="31">
        <f>(Y910*B911)</f>
        <v>0</v>
      </c>
      <c r="Z911" s="29">
        <f>Z910</f>
        <v>0</v>
      </c>
      <c r="AA911" s="29" t="e">
        <f>DATEDIF(DATE(1970,1,1),AA910,"D")*86400</f>
        <v>#NUM!</v>
      </c>
      <c r="AB911" s="29">
        <f>HOUR(AB910)*3600+MINUTE(AB910)*60+SECOND(AB910)</f>
        <v>0</v>
      </c>
      <c r="AC911" s="29">
        <f>AC910</f>
        <v>0</v>
      </c>
    </row>
    <row r="912" spans="1:29">
      <c r="A912" s="23">
        <f>Parameters!A457</f>
        <v>0</v>
      </c>
      <c r="B912" s="23">
        <f>Parameters!B457</f>
        <v>0</v>
      </c>
      <c r="C912" s="24">
        <f>Parameters!C457</f>
        <v>0</v>
      </c>
      <c r="D912" s="24">
        <f>Parameters!D457</f>
        <v>0</v>
      </c>
      <c r="E912" s="23">
        <f>Parameters!E457</f>
        <v>0</v>
      </c>
      <c r="F912" s="23">
        <f>Parameters!F457</f>
        <v>0</v>
      </c>
      <c r="G912" s="25">
        <f>Parameters!G457</f>
        <v>0</v>
      </c>
      <c r="H912" s="25">
        <f>Parameters!H457</f>
        <v>0</v>
      </c>
      <c r="I912" s="25">
        <f>Parameters!I457</f>
        <v>0</v>
      </c>
      <c r="J912" s="25">
        <f>Parameters!J457</f>
        <v>0</v>
      </c>
      <c r="K912" s="25">
        <f>Parameters!K457</f>
        <v>0</v>
      </c>
      <c r="L912" s="26" t="e">
        <f t="shared" ref="L912" si="1362">L913</f>
        <v>#DIV/0!</v>
      </c>
      <c r="M912" s="25">
        <f>Parameters!L457</f>
        <v>0</v>
      </c>
      <c r="N912" s="25">
        <f>Parameters!M457</f>
        <v>0</v>
      </c>
      <c r="O912" s="26" t="e">
        <f t="shared" ref="O912" si="1363">O913</f>
        <v>#DIV/0!</v>
      </c>
      <c r="P912" s="23">
        <f>Parameters!N457</f>
        <v>0</v>
      </c>
      <c r="Q912" s="23">
        <f>Parameters!O457</f>
        <v>0</v>
      </c>
      <c r="R912" s="23">
        <f>Parameters!P457</f>
        <v>0</v>
      </c>
      <c r="S912" s="23">
        <f>Parameters!Q457</f>
        <v>0</v>
      </c>
      <c r="T912" s="23">
        <f>Parameters!R457</f>
        <v>0</v>
      </c>
      <c r="U912" s="27">
        <f>Parameters!S457</f>
        <v>0</v>
      </c>
      <c r="V912" s="28">
        <f>Parameters!T457</f>
        <v>0</v>
      </c>
      <c r="W912" s="27">
        <f>Parameters!U457</f>
        <v>0</v>
      </c>
      <c r="X912" s="28">
        <f>Parameters!V457</f>
        <v>0</v>
      </c>
      <c r="Y912" s="25">
        <f>Parameters!W457</f>
        <v>0</v>
      </c>
      <c r="Z912" s="23">
        <f>Parameters!X457</f>
        <v>0</v>
      </c>
      <c r="AA912" s="27">
        <f>Parameters!Y457</f>
        <v>0</v>
      </c>
      <c r="AB912" s="28">
        <f>Parameters!Z457</f>
        <v>0</v>
      </c>
      <c r="AC912" s="23">
        <f>Parameters!AA457</f>
        <v>0</v>
      </c>
    </row>
    <row r="913" spans="1:29">
      <c r="A913" s="29" t="str">
        <f>UPPER(A912)</f>
        <v>0</v>
      </c>
      <c r="B913" s="29">
        <f>B912</f>
        <v>0</v>
      </c>
      <c r="C913" s="30">
        <f>C912</f>
        <v>0</v>
      </c>
      <c r="D913" s="30">
        <f>D912</f>
        <v>0</v>
      </c>
      <c r="E913" s="29">
        <f>E912</f>
        <v>0</v>
      </c>
      <c r="F913" s="29">
        <f>F912</f>
        <v>0</v>
      </c>
      <c r="G913" s="29" t="e">
        <f>IF(C912=1,IF(D912="BUY",E912+(ROUND(F912*G912/B912,0)*B912),E912-(ROUND(F912*G912/B912,0)*B912)),IF(D912="BUY",E912-(ROUND(F912*G912/B912,0)*B912),E912+(ROUND(F912*G912/B912,0)*B912)))</f>
        <v>#DIV/0!</v>
      </c>
      <c r="H913" s="29" t="e">
        <f>IF(C912=1,IF(D912="BUY",G913-(ROUND(F912*H912/B912,0)*B912),G913+(ROUND(F912*H912/B912,0)*B912)),IF(D912="BUY",G913+(ROUND(F912*H912/B912,0)*B912),G913-(ROUND(F912*H912/B912,0)*B912)))</f>
        <v>#DIV/0!</v>
      </c>
      <c r="I913" s="29" t="e">
        <f>IF(D912="BUY",G913+(ROUND(F912*I912/(B912*100),0)*B912),G913-(ROUND(F912*I912/(B912*100),0)*B912))</f>
        <v>#DIV/0!</v>
      </c>
      <c r="J913" s="29" t="e">
        <f>IF(C912=1,IF(D912="BUY",E912+(ROUND(F912*J912/B912,0)*B912),E912-(ROUND(F912*J912/B912,0)*B912)),IF(D912="BUY",E912-(ROUND(F912*J912/B912,0)*B912),E912+(ROUND(F912*J912/B912,0)*B912)))</f>
        <v>#DIV/0!</v>
      </c>
      <c r="K913" s="29" t="e">
        <f>IF(C912=1,IF(D912="BUY",E912-(ROUND(F912*K912/B912,0)*B912),E912+(ROUND(F912*K912/B912,0)*B912)),IF(D912="BUY",E912-(ROUND(F912*K912/B912,0)*B912),E912+(ROUND(F912*K912/B912,0)*B912)))</f>
        <v>#DIV/0!</v>
      </c>
      <c r="L913" s="29" t="e">
        <f t="shared" ref="L913" si="1364">IF(D913="BUY",I913+(R913*B913),I913-(R913*B913))</f>
        <v>#DIV/0!</v>
      </c>
      <c r="M913" s="29" t="e">
        <f>IF(D912="BUY",E912+(ROUND(F912*M912/B912,0)*B912),E912-(ROUND(F912*M912/B912,0)*B912))</f>
        <v>#DIV/0!</v>
      </c>
      <c r="N913" s="29" t="e">
        <f>IF(D912="BUY",E912-(ROUND(F912*N912/B912,0)*B912),E912+(ROUND(F912*N912/B912,0)*B912))</f>
        <v>#DIV/0!</v>
      </c>
      <c r="O913" s="31" t="e">
        <f>IF(D913="BUY",N913-VLOOKUP(A913,Symbols!A$1:D$1000,4,FALSE),N913+VLOOKUP(A913,Symbols!A$1:D$1000,4,FALSE))</f>
        <v>#DIV/0!</v>
      </c>
      <c r="P913" s="29">
        <f>P912</f>
        <v>0</v>
      </c>
      <c r="Q913" s="29">
        <f>Q912</f>
        <v>0</v>
      </c>
      <c r="R913" s="29">
        <f>R912</f>
        <v>0</v>
      </c>
      <c r="S913" s="29">
        <f>S912</f>
        <v>0</v>
      </c>
      <c r="T913" s="29">
        <f>T912</f>
        <v>0</v>
      </c>
      <c r="U913" s="29" t="e">
        <f>DATEDIF(DATE(1970,1,1),U912,"D")*86400</f>
        <v>#NUM!</v>
      </c>
      <c r="V913" s="29">
        <f>HOUR(V912)*3600+MINUTE(V912)*60+SECOND(V912)</f>
        <v>0</v>
      </c>
      <c r="W913" s="29" t="e">
        <f>DATEDIF(DATE(1970,1,1),W912,"D")*86400</f>
        <v>#NUM!</v>
      </c>
      <c r="X913" s="29">
        <f>HOUR(X912)*3600+MINUTE(X912)*60+SECOND(X912)</f>
        <v>0</v>
      </c>
      <c r="Y913" s="31">
        <f>(Y912*B913)</f>
        <v>0</v>
      </c>
      <c r="Z913" s="29">
        <f>Z912</f>
        <v>0</v>
      </c>
      <c r="AA913" s="29" t="e">
        <f>DATEDIF(DATE(1970,1,1),AA912,"D")*86400</f>
        <v>#NUM!</v>
      </c>
      <c r="AB913" s="29">
        <f>HOUR(AB912)*3600+MINUTE(AB912)*60+SECOND(AB912)</f>
        <v>0</v>
      </c>
      <c r="AC913" s="29">
        <f>AC912</f>
        <v>0</v>
      </c>
    </row>
    <row r="914" spans="1:29">
      <c r="A914" s="23">
        <f>Parameters!A458</f>
        <v>0</v>
      </c>
      <c r="B914" s="23">
        <f>Parameters!B458</f>
        <v>0</v>
      </c>
      <c r="C914" s="24">
        <f>Parameters!C458</f>
        <v>0</v>
      </c>
      <c r="D914" s="24">
        <f>Parameters!D458</f>
        <v>0</v>
      </c>
      <c r="E914" s="23">
        <f>Parameters!E458</f>
        <v>0</v>
      </c>
      <c r="F914" s="23">
        <f>Parameters!F458</f>
        <v>0</v>
      </c>
      <c r="G914" s="25">
        <f>Parameters!G458</f>
        <v>0</v>
      </c>
      <c r="H914" s="25">
        <f>Parameters!H458</f>
        <v>0</v>
      </c>
      <c r="I914" s="25">
        <f>Parameters!I458</f>
        <v>0</v>
      </c>
      <c r="J914" s="25">
        <f>Parameters!J458</f>
        <v>0</v>
      </c>
      <c r="K914" s="25">
        <f>Parameters!K458</f>
        <v>0</v>
      </c>
      <c r="L914" s="26" t="e">
        <f t="shared" ref="L914" si="1365">L915</f>
        <v>#DIV/0!</v>
      </c>
      <c r="M914" s="25">
        <f>Parameters!L458</f>
        <v>0</v>
      </c>
      <c r="N914" s="25">
        <f>Parameters!M458</f>
        <v>0</v>
      </c>
      <c r="O914" s="26" t="e">
        <f t="shared" ref="O914" si="1366">O915</f>
        <v>#DIV/0!</v>
      </c>
      <c r="P914" s="23">
        <f>Parameters!N458</f>
        <v>0</v>
      </c>
      <c r="Q914" s="23">
        <f>Parameters!O458</f>
        <v>0</v>
      </c>
      <c r="R914" s="23">
        <f>Parameters!P458</f>
        <v>0</v>
      </c>
      <c r="S914" s="23">
        <f>Parameters!Q458</f>
        <v>0</v>
      </c>
      <c r="T914" s="23">
        <f>Parameters!R458</f>
        <v>0</v>
      </c>
      <c r="U914" s="27">
        <f>Parameters!S458</f>
        <v>0</v>
      </c>
      <c r="V914" s="28">
        <f>Parameters!T458</f>
        <v>0</v>
      </c>
      <c r="W914" s="27">
        <f>Parameters!U458</f>
        <v>0</v>
      </c>
      <c r="X914" s="28">
        <f>Parameters!V458</f>
        <v>0</v>
      </c>
      <c r="Y914" s="25">
        <f>Parameters!W458</f>
        <v>0</v>
      </c>
      <c r="Z914" s="23">
        <f>Parameters!X458</f>
        <v>0</v>
      </c>
      <c r="AA914" s="27">
        <f>Parameters!Y458</f>
        <v>0</v>
      </c>
      <c r="AB914" s="28">
        <f>Parameters!Z458</f>
        <v>0</v>
      </c>
      <c r="AC914" s="23">
        <f>Parameters!AA458</f>
        <v>0</v>
      </c>
    </row>
    <row r="915" spans="1:29">
      <c r="A915" s="29" t="str">
        <f>UPPER(A914)</f>
        <v>0</v>
      </c>
      <c r="B915" s="29">
        <f>B914</f>
        <v>0</v>
      </c>
      <c r="C915" s="30">
        <f>C914</f>
        <v>0</v>
      </c>
      <c r="D915" s="30">
        <f>D914</f>
        <v>0</v>
      </c>
      <c r="E915" s="29">
        <f>E914</f>
        <v>0</v>
      </c>
      <c r="F915" s="29">
        <f>F914</f>
        <v>0</v>
      </c>
      <c r="G915" s="29" t="e">
        <f>IF(C914=1,IF(D914="BUY",E914+(ROUND(F914*G914/B914,0)*B914),E914-(ROUND(F914*G914/B914,0)*B914)),IF(D914="BUY",E914-(ROUND(F914*G914/B914,0)*B914),E914+(ROUND(F914*G914/B914,0)*B914)))</f>
        <v>#DIV/0!</v>
      </c>
      <c r="H915" s="29" t="e">
        <f>IF(C914=1,IF(D914="BUY",G915-(ROUND(F914*H914/B914,0)*B914),G915+(ROUND(F914*H914/B914,0)*B914)),IF(D914="BUY",G915+(ROUND(F914*H914/B914,0)*B914),G915-(ROUND(F914*H914/B914,0)*B914)))</f>
        <v>#DIV/0!</v>
      </c>
      <c r="I915" s="29" t="e">
        <f>IF(D914="BUY",G915+(ROUND(F914*I914/(B914*100),0)*B914),G915-(ROUND(F914*I914/(B914*100),0)*B914))</f>
        <v>#DIV/0!</v>
      </c>
      <c r="J915" s="29" t="e">
        <f>IF(C914=1,IF(D914="BUY",E914+(ROUND(F914*J914/B914,0)*B914),E914-(ROUND(F914*J914/B914,0)*B914)),IF(D914="BUY",E914-(ROUND(F914*J914/B914,0)*B914),E914+(ROUND(F914*J914/B914,0)*B914)))</f>
        <v>#DIV/0!</v>
      </c>
      <c r="K915" s="29" t="e">
        <f>IF(C914=1,IF(D914="BUY",E914-(ROUND(F914*K914/B914,0)*B914),E914+(ROUND(F914*K914/B914,0)*B914)),IF(D914="BUY",E914-(ROUND(F914*K914/B914,0)*B914),E914+(ROUND(F914*K914/B914,0)*B914)))</f>
        <v>#DIV/0!</v>
      </c>
      <c r="L915" s="29" t="e">
        <f t="shared" ref="L915" si="1367">IF(D915="BUY",I915+(R915*B915),I915-(R915*B915))</f>
        <v>#DIV/0!</v>
      </c>
      <c r="M915" s="29" t="e">
        <f>IF(D914="BUY",E914+(ROUND(F914*M914/B914,0)*B914),E914-(ROUND(F914*M914/B914,0)*B914))</f>
        <v>#DIV/0!</v>
      </c>
      <c r="N915" s="29" t="e">
        <f>IF(D914="BUY",E914-(ROUND(F914*N914/B914,0)*B914),E914+(ROUND(F914*N914/B914,0)*B914))</f>
        <v>#DIV/0!</v>
      </c>
      <c r="O915" s="31" t="e">
        <f>IF(D915="BUY",N915-VLOOKUP(A915,Symbols!A$1:D$1000,4,FALSE),N915+VLOOKUP(A915,Symbols!A$1:D$1000,4,FALSE))</f>
        <v>#DIV/0!</v>
      </c>
      <c r="P915" s="29">
        <f>P914</f>
        <v>0</v>
      </c>
      <c r="Q915" s="29">
        <f>Q914</f>
        <v>0</v>
      </c>
      <c r="R915" s="29">
        <f>R914</f>
        <v>0</v>
      </c>
      <c r="S915" s="29">
        <f>S914</f>
        <v>0</v>
      </c>
      <c r="T915" s="29">
        <f>T914</f>
        <v>0</v>
      </c>
      <c r="U915" s="29" t="e">
        <f>DATEDIF(DATE(1970,1,1),U914,"D")*86400</f>
        <v>#NUM!</v>
      </c>
      <c r="V915" s="29">
        <f>HOUR(V914)*3600+MINUTE(V914)*60+SECOND(V914)</f>
        <v>0</v>
      </c>
      <c r="W915" s="29" t="e">
        <f>DATEDIF(DATE(1970,1,1),W914,"D")*86400</f>
        <v>#NUM!</v>
      </c>
      <c r="X915" s="29">
        <f>HOUR(X914)*3600+MINUTE(X914)*60+SECOND(X914)</f>
        <v>0</v>
      </c>
      <c r="Y915" s="31">
        <f>(Y914*B915)</f>
        <v>0</v>
      </c>
      <c r="Z915" s="29">
        <f>Z914</f>
        <v>0</v>
      </c>
      <c r="AA915" s="29" t="e">
        <f>DATEDIF(DATE(1970,1,1),AA914,"D")*86400</f>
        <v>#NUM!</v>
      </c>
      <c r="AB915" s="29">
        <f>HOUR(AB914)*3600+MINUTE(AB914)*60+SECOND(AB914)</f>
        <v>0</v>
      </c>
      <c r="AC915" s="29">
        <f>AC914</f>
        <v>0</v>
      </c>
    </row>
    <row r="916" spans="1:29">
      <c r="A916" s="23">
        <f>Parameters!A459</f>
        <v>0</v>
      </c>
      <c r="B916" s="23">
        <f>Parameters!B459</f>
        <v>0</v>
      </c>
      <c r="C916" s="24">
        <f>Parameters!C459</f>
        <v>0</v>
      </c>
      <c r="D916" s="24">
        <f>Parameters!D459</f>
        <v>0</v>
      </c>
      <c r="E916" s="23">
        <f>Parameters!E459</f>
        <v>0</v>
      </c>
      <c r="F916" s="23">
        <f>Parameters!F459</f>
        <v>0</v>
      </c>
      <c r="G916" s="25">
        <f>Parameters!G459</f>
        <v>0</v>
      </c>
      <c r="H916" s="25">
        <f>Parameters!H459</f>
        <v>0</v>
      </c>
      <c r="I916" s="25">
        <f>Parameters!I459</f>
        <v>0</v>
      </c>
      <c r="J916" s="25">
        <f>Parameters!J459</f>
        <v>0</v>
      </c>
      <c r="K916" s="25">
        <f>Parameters!K459</f>
        <v>0</v>
      </c>
      <c r="L916" s="26" t="e">
        <f t="shared" ref="L916" si="1368">L917</f>
        <v>#DIV/0!</v>
      </c>
      <c r="M916" s="25">
        <f>Parameters!L459</f>
        <v>0</v>
      </c>
      <c r="N916" s="25">
        <f>Parameters!M459</f>
        <v>0</v>
      </c>
      <c r="O916" s="26" t="e">
        <f t="shared" ref="O916" si="1369">O917</f>
        <v>#DIV/0!</v>
      </c>
      <c r="P916" s="23">
        <f>Parameters!N459</f>
        <v>0</v>
      </c>
      <c r="Q916" s="23">
        <f>Parameters!O459</f>
        <v>0</v>
      </c>
      <c r="R916" s="23">
        <f>Parameters!P459</f>
        <v>0</v>
      </c>
      <c r="S916" s="23">
        <f>Parameters!Q459</f>
        <v>0</v>
      </c>
      <c r="T916" s="23">
        <f>Parameters!R459</f>
        <v>0</v>
      </c>
      <c r="U916" s="27">
        <f>Parameters!S459</f>
        <v>0</v>
      </c>
      <c r="V916" s="28">
        <f>Parameters!T459</f>
        <v>0</v>
      </c>
      <c r="W916" s="27">
        <f>Parameters!U459</f>
        <v>0</v>
      </c>
      <c r="X916" s="28">
        <f>Parameters!V459</f>
        <v>0</v>
      </c>
      <c r="Y916" s="25">
        <f>Parameters!W459</f>
        <v>0</v>
      </c>
      <c r="Z916" s="23">
        <f>Parameters!X459</f>
        <v>0</v>
      </c>
      <c r="AA916" s="27">
        <f>Parameters!Y459</f>
        <v>0</v>
      </c>
      <c r="AB916" s="28">
        <f>Parameters!Z459</f>
        <v>0</v>
      </c>
      <c r="AC916" s="23">
        <f>Parameters!AA459</f>
        <v>0</v>
      </c>
    </row>
    <row r="917" spans="1:29">
      <c r="A917" s="29" t="str">
        <f>UPPER(A916)</f>
        <v>0</v>
      </c>
      <c r="B917" s="29">
        <f>B916</f>
        <v>0</v>
      </c>
      <c r="C917" s="30">
        <f>C916</f>
        <v>0</v>
      </c>
      <c r="D917" s="30">
        <f>D916</f>
        <v>0</v>
      </c>
      <c r="E917" s="29">
        <f>E916</f>
        <v>0</v>
      </c>
      <c r="F917" s="29">
        <f>F916</f>
        <v>0</v>
      </c>
      <c r="G917" s="29" t="e">
        <f>IF(C916=1,IF(D916="BUY",E916+(ROUND(F916*G916/B916,0)*B916),E916-(ROUND(F916*G916/B916,0)*B916)),IF(D916="BUY",E916-(ROUND(F916*G916/B916,0)*B916),E916+(ROUND(F916*G916/B916,0)*B916)))</f>
        <v>#DIV/0!</v>
      </c>
      <c r="H917" s="29" t="e">
        <f>IF(C916=1,IF(D916="BUY",G917-(ROUND(F916*H916/B916,0)*B916),G917+(ROUND(F916*H916/B916,0)*B916)),IF(D916="BUY",G917+(ROUND(F916*H916/B916,0)*B916),G917-(ROUND(F916*H916/B916,0)*B916)))</f>
        <v>#DIV/0!</v>
      </c>
      <c r="I917" s="29" t="e">
        <f>IF(D916="BUY",G917+(ROUND(F916*I916/(B916*100),0)*B916),G917-(ROUND(F916*I916/(B916*100),0)*B916))</f>
        <v>#DIV/0!</v>
      </c>
      <c r="J917" s="29" t="e">
        <f>IF(C916=1,IF(D916="BUY",E916+(ROUND(F916*J916/B916,0)*B916),E916-(ROUND(F916*J916/B916,0)*B916)),IF(D916="BUY",E916-(ROUND(F916*J916/B916,0)*B916),E916+(ROUND(F916*J916/B916,0)*B916)))</f>
        <v>#DIV/0!</v>
      </c>
      <c r="K917" s="29" t="e">
        <f>IF(C916=1,IF(D916="BUY",E916-(ROUND(F916*K916/B916,0)*B916),E916+(ROUND(F916*K916/B916,0)*B916)),IF(D916="BUY",E916-(ROUND(F916*K916/B916,0)*B916),E916+(ROUND(F916*K916/B916,0)*B916)))</f>
        <v>#DIV/0!</v>
      </c>
      <c r="L917" s="29" t="e">
        <f t="shared" ref="L917" si="1370">IF(D917="BUY",I917+(R917*B917),I917-(R917*B917))</f>
        <v>#DIV/0!</v>
      </c>
      <c r="M917" s="29" t="e">
        <f>IF(D916="BUY",E916+(ROUND(F916*M916/B916,0)*B916),E916-(ROUND(F916*M916/B916,0)*B916))</f>
        <v>#DIV/0!</v>
      </c>
      <c r="N917" s="29" t="e">
        <f>IF(D916="BUY",E916-(ROUND(F916*N916/B916,0)*B916),E916+(ROUND(F916*N916/B916,0)*B916))</f>
        <v>#DIV/0!</v>
      </c>
      <c r="O917" s="31" t="e">
        <f>IF(D917="BUY",N917-VLOOKUP(A917,Symbols!A$1:D$1000,4,FALSE),N917+VLOOKUP(A917,Symbols!A$1:D$1000,4,FALSE))</f>
        <v>#DIV/0!</v>
      </c>
      <c r="P917" s="29">
        <f>P916</f>
        <v>0</v>
      </c>
      <c r="Q917" s="29">
        <f>Q916</f>
        <v>0</v>
      </c>
      <c r="R917" s="29">
        <f>R916</f>
        <v>0</v>
      </c>
      <c r="S917" s="29">
        <f>S916</f>
        <v>0</v>
      </c>
      <c r="T917" s="29">
        <f>T916</f>
        <v>0</v>
      </c>
      <c r="U917" s="29" t="e">
        <f>DATEDIF(DATE(1970,1,1),U916,"D")*86400</f>
        <v>#NUM!</v>
      </c>
      <c r="V917" s="29">
        <f>HOUR(V916)*3600+MINUTE(V916)*60+SECOND(V916)</f>
        <v>0</v>
      </c>
      <c r="W917" s="29" t="e">
        <f>DATEDIF(DATE(1970,1,1),W916,"D")*86400</f>
        <v>#NUM!</v>
      </c>
      <c r="X917" s="29">
        <f>HOUR(X916)*3600+MINUTE(X916)*60+SECOND(X916)</f>
        <v>0</v>
      </c>
      <c r="Y917" s="31">
        <f>(Y916*B917)</f>
        <v>0</v>
      </c>
      <c r="Z917" s="29">
        <f>Z916</f>
        <v>0</v>
      </c>
      <c r="AA917" s="29" t="e">
        <f>DATEDIF(DATE(1970,1,1),AA916,"D")*86400</f>
        <v>#NUM!</v>
      </c>
      <c r="AB917" s="29">
        <f>HOUR(AB916)*3600+MINUTE(AB916)*60+SECOND(AB916)</f>
        <v>0</v>
      </c>
      <c r="AC917" s="29">
        <f>AC916</f>
        <v>0</v>
      </c>
    </row>
    <row r="918" spans="1:29">
      <c r="A918" s="23">
        <f>Parameters!A460</f>
        <v>0</v>
      </c>
      <c r="B918" s="23">
        <f>Parameters!B460</f>
        <v>0</v>
      </c>
      <c r="C918" s="24">
        <f>Parameters!C460</f>
        <v>0</v>
      </c>
      <c r="D918" s="24">
        <f>Parameters!D460</f>
        <v>0</v>
      </c>
      <c r="E918" s="23">
        <f>Parameters!E460</f>
        <v>0</v>
      </c>
      <c r="F918" s="23">
        <f>Parameters!F460</f>
        <v>0</v>
      </c>
      <c r="G918" s="25">
        <f>Parameters!G460</f>
        <v>0</v>
      </c>
      <c r="H918" s="25">
        <f>Parameters!H460</f>
        <v>0</v>
      </c>
      <c r="I918" s="25">
        <f>Parameters!I460</f>
        <v>0</v>
      </c>
      <c r="J918" s="25">
        <f>Parameters!J460</f>
        <v>0</v>
      </c>
      <c r="K918" s="25">
        <f>Parameters!K460</f>
        <v>0</v>
      </c>
      <c r="L918" s="26" t="e">
        <f t="shared" ref="L918" si="1371">L919</f>
        <v>#DIV/0!</v>
      </c>
      <c r="M918" s="25">
        <f>Parameters!L460</f>
        <v>0</v>
      </c>
      <c r="N918" s="25">
        <f>Parameters!M460</f>
        <v>0</v>
      </c>
      <c r="O918" s="26" t="e">
        <f t="shared" ref="O918" si="1372">O919</f>
        <v>#DIV/0!</v>
      </c>
      <c r="P918" s="23">
        <f>Parameters!N460</f>
        <v>0</v>
      </c>
      <c r="Q918" s="23">
        <f>Parameters!O460</f>
        <v>0</v>
      </c>
      <c r="R918" s="23">
        <f>Parameters!P460</f>
        <v>0</v>
      </c>
      <c r="S918" s="23">
        <f>Parameters!Q460</f>
        <v>0</v>
      </c>
      <c r="T918" s="23">
        <f>Parameters!R460</f>
        <v>0</v>
      </c>
      <c r="U918" s="27">
        <f>Parameters!S460</f>
        <v>0</v>
      </c>
      <c r="V918" s="28">
        <f>Parameters!T460</f>
        <v>0</v>
      </c>
      <c r="W918" s="27">
        <f>Parameters!U460</f>
        <v>0</v>
      </c>
      <c r="X918" s="28">
        <f>Parameters!V460</f>
        <v>0</v>
      </c>
      <c r="Y918" s="25">
        <f>Parameters!W460</f>
        <v>0</v>
      </c>
      <c r="Z918" s="23">
        <f>Parameters!X460</f>
        <v>0</v>
      </c>
      <c r="AA918" s="27">
        <f>Parameters!Y460</f>
        <v>0</v>
      </c>
      <c r="AB918" s="28">
        <f>Parameters!Z460</f>
        <v>0</v>
      </c>
      <c r="AC918" s="23">
        <f>Parameters!AA460</f>
        <v>0</v>
      </c>
    </row>
    <row r="919" spans="1:29">
      <c r="A919" s="29" t="str">
        <f>UPPER(A918)</f>
        <v>0</v>
      </c>
      <c r="B919" s="29">
        <f>B918</f>
        <v>0</v>
      </c>
      <c r="C919" s="30">
        <f>C918</f>
        <v>0</v>
      </c>
      <c r="D919" s="30">
        <f>D918</f>
        <v>0</v>
      </c>
      <c r="E919" s="29">
        <f>E918</f>
        <v>0</v>
      </c>
      <c r="F919" s="29">
        <f>F918</f>
        <v>0</v>
      </c>
      <c r="G919" s="29" t="e">
        <f>IF(C918=1,IF(D918="BUY",E918+(ROUND(F918*G918/B918,0)*B918),E918-(ROUND(F918*G918/B918,0)*B918)),IF(D918="BUY",E918-(ROUND(F918*G918/B918,0)*B918),E918+(ROUND(F918*G918/B918,0)*B918)))</f>
        <v>#DIV/0!</v>
      </c>
      <c r="H919" s="29" t="e">
        <f>IF(C918=1,IF(D918="BUY",G919-(ROUND(F918*H918/B918,0)*B918),G919+(ROUND(F918*H918/B918,0)*B918)),IF(D918="BUY",G919+(ROUND(F918*H918/B918,0)*B918),G919-(ROUND(F918*H918/B918,0)*B918)))</f>
        <v>#DIV/0!</v>
      </c>
      <c r="I919" s="29" t="e">
        <f>IF(D918="BUY",G919+(ROUND(F918*I918/(B918*100),0)*B918),G919-(ROUND(F918*I918/(B918*100),0)*B918))</f>
        <v>#DIV/0!</v>
      </c>
      <c r="J919" s="29" t="e">
        <f>IF(C918=1,IF(D918="BUY",E918+(ROUND(F918*J918/B918,0)*B918),E918-(ROUND(F918*J918/B918,0)*B918)),IF(D918="BUY",E918-(ROUND(F918*J918/B918,0)*B918),E918+(ROUND(F918*J918/B918,0)*B918)))</f>
        <v>#DIV/0!</v>
      </c>
      <c r="K919" s="29" t="e">
        <f>IF(C918=1,IF(D918="BUY",E918-(ROUND(F918*K918/B918,0)*B918),E918+(ROUND(F918*K918/B918,0)*B918)),IF(D918="BUY",E918-(ROUND(F918*K918/B918,0)*B918),E918+(ROUND(F918*K918/B918,0)*B918)))</f>
        <v>#DIV/0!</v>
      </c>
      <c r="L919" s="29" t="e">
        <f t="shared" ref="L919" si="1373">IF(D919="BUY",I919+(R919*B919),I919-(R919*B919))</f>
        <v>#DIV/0!</v>
      </c>
      <c r="M919" s="29" t="e">
        <f>IF(D918="BUY",E918+(ROUND(F918*M918/B918,0)*B918),E918-(ROUND(F918*M918/B918,0)*B918))</f>
        <v>#DIV/0!</v>
      </c>
      <c r="N919" s="29" t="e">
        <f>IF(D918="BUY",E918-(ROUND(F918*N918/B918,0)*B918),E918+(ROUND(F918*N918/B918,0)*B918))</f>
        <v>#DIV/0!</v>
      </c>
      <c r="O919" s="31" t="e">
        <f>IF(D919="BUY",N919-VLOOKUP(A919,Symbols!A$1:D$1000,4,FALSE),N919+VLOOKUP(A919,Symbols!A$1:D$1000,4,FALSE))</f>
        <v>#DIV/0!</v>
      </c>
      <c r="P919" s="29">
        <f>P918</f>
        <v>0</v>
      </c>
      <c r="Q919" s="29">
        <f>Q918</f>
        <v>0</v>
      </c>
      <c r="R919" s="29">
        <f>R918</f>
        <v>0</v>
      </c>
      <c r="S919" s="29">
        <f>S918</f>
        <v>0</v>
      </c>
      <c r="T919" s="29">
        <f>T918</f>
        <v>0</v>
      </c>
      <c r="U919" s="29" t="e">
        <f>DATEDIF(DATE(1970,1,1),U918,"D")*86400</f>
        <v>#NUM!</v>
      </c>
      <c r="V919" s="29">
        <f>HOUR(V918)*3600+MINUTE(V918)*60+SECOND(V918)</f>
        <v>0</v>
      </c>
      <c r="W919" s="29" t="e">
        <f>DATEDIF(DATE(1970,1,1),W918,"D")*86400</f>
        <v>#NUM!</v>
      </c>
      <c r="X919" s="29">
        <f>HOUR(X918)*3600+MINUTE(X918)*60+SECOND(X918)</f>
        <v>0</v>
      </c>
      <c r="Y919" s="31">
        <f>(Y918*B919)</f>
        <v>0</v>
      </c>
      <c r="Z919" s="29">
        <f>Z918</f>
        <v>0</v>
      </c>
      <c r="AA919" s="29" t="e">
        <f>DATEDIF(DATE(1970,1,1),AA918,"D")*86400</f>
        <v>#NUM!</v>
      </c>
      <c r="AB919" s="29">
        <f>HOUR(AB918)*3600+MINUTE(AB918)*60+SECOND(AB918)</f>
        <v>0</v>
      </c>
      <c r="AC919" s="29">
        <f>AC918</f>
        <v>0</v>
      </c>
    </row>
    <row r="920" spans="1:29">
      <c r="A920" s="23">
        <f>Parameters!A461</f>
        <v>0</v>
      </c>
      <c r="B920" s="23">
        <f>Parameters!B461</f>
        <v>0</v>
      </c>
      <c r="C920" s="24">
        <f>Parameters!C461</f>
        <v>0</v>
      </c>
      <c r="D920" s="24">
        <f>Parameters!D461</f>
        <v>0</v>
      </c>
      <c r="E920" s="23">
        <f>Parameters!E461</f>
        <v>0</v>
      </c>
      <c r="F920" s="23">
        <f>Parameters!F461</f>
        <v>0</v>
      </c>
      <c r="G920" s="25">
        <f>Parameters!G461</f>
        <v>0</v>
      </c>
      <c r="H920" s="25">
        <f>Parameters!H461</f>
        <v>0</v>
      </c>
      <c r="I920" s="25">
        <f>Parameters!I461</f>
        <v>0</v>
      </c>
      <c r="J920" s="25">
        <f>Parameters!J461</f>
        <v>0</v>
      </c>
      <c r="K920" s="25">
        <f>Parameters!K461</f>
        <v>0</v>
      </c>
      <c r="L920" s="26" t="e">
        <f t="shared" ref="L920" si="1374">L921</f>
        <v>#DIV/0!</v>
      </c>
      <c r="M920" s="25">
        <f>Parameters!L461</f>
        <v>0</v>
      </c>
      <c r="N920" s="25">
        <f>Parameters!M461</f>
        <v>0</v>
      </c>
      <c r="O920" s="26" t="e">
        <f t="shared" ref="O920" si="1375">O921</f>
        <v>#DIV/0!</v>
      </c>
      <c r="P920" s="23">
        <f>Parameters!N461</f>
        <v>0</v>
      </c>
      <c r="Q920" s="23">
        <f>Parameters!O461</f>
        <v>0</v>
      </c>
      <c r="R920" s="23">
        <f>Parameters!P461</f>
        <v>0</v>
      </c>
      <c r="S920" s="23">
        <f>Parameters!Q461</f>
        <v>0</v>
      </c>
      <c r="T920" s="23">
        <f>Parameters!R461</f>
        <v>0</v>
      </c>
      <c r="U920" s="27">
        <f>Parameters!S461</f>
        <v>0</v>
      </c>
      <c r="V920" s="28">
        <f>Parameters!T461</f>
        <v>0</v>
      </c>
      <c r="W920" s="27">
        <f>Parameters!U461</f>
        <v>0</v>
      </c>
      <c r="X920" s="28">
        <f>Parameters!V461</f>
        <v>0</v>
      </c>
      <c r="Y920" s="25">
        <f>Parameters!W461</f>
        <v>0</v>
      </c>
      <c r="Z920" s="23">
        <f>Parameters!X461</f>
        <v>0</v>
      </c>
      <c r="AA920" s="27">
        <f>Parameters!Y461</f>
        <v>0</v>
      </c>
      <c r="AB920" s="28">
        <f>Parameters!Z461</f>
        <v>0</v>
      </c>
      <c r="AC920" s="23">
        <f>Parameters!AA461</f>
        <v>0</v>
      </c>
    </row>
    <row r="921" spans="1:29">
      <c r="A921" s="29" t="str">
        <f>UPPER(A920)</f>
        <v>0</v>
      </c>
      <c r="B921" s="29">
        <f>B920</f>
        <v>0</v>
      </c>
      <c r="C921" s="30">
        <f>C920</f>
        <v>0</v>
      </c>
      <c r="D921" s="30">
        <f>D920</f>
        <v>0</v>
      </c>
      <c r="E921" s="29">
        <f>E920</f>
        <v>0</v>
      </c>
      <c r="F921" s="29">
        <f>F920</f>
        <v>0</v>
      </c>
      <c r="G921" s="29" t="e">
        <f>IF(C920=1,IF(D920="BUY",E920+(ROUND(F920*G920/B920,0)*B920),E920-(ROUND(F920*G920/B920,0)*B920)),IF(D920="BUY",E920-(ROUND(F920*G920/B920,0)*B920),E920+(ROUND(F920*G920/B920,0)*B920)))</f>
        <v>#DIV/0!</v>
      </c>
      <c r="H921" s="29" t="e">
        <f>IF(C920=1,IF(D920="BUY",G921-(ROUND(F920*H920/B920,0)*B920),G921+(ROUND(F920*H920/B920,0)*B920)),IF(D920="BUY",G921+(ROUND(F920*H920/B920,0)*B920),G921-(ROUND(F920*H920/B920,0)*B920)))</f>
        <v>#DIV/0!</v>
      </c>
      <c r="I921" s="29" t="e">
        <f>IF(D920="BUY",G921+(ROUND(F920*I920/(B920*100),0)*B920),G921-(ROUND(F920*I920/(B920*100),0)*B920))</f>
        <v>#DIV/0!</v>
      </c>
      <c r="J921" s="29" t="e">
        <f>IF(C920=1,IF(D920="BUY",E920+(ROUND(F920*J920/B920,0)*B920),E920-(ROUND(F920*J920/B920,0)*B920)),IF(D920="BUY",E920-(ROUND(F920*J920/B920,0)*B920),E920+(ROUND(F920*J920/B920,0)*B920)))</f>
        <v>#DIV/0!</v>
      </c>
      <c r="K921" s="29" t="e">
        <f>IF(C920=1,IF(D920="BUY",E920-(ROUND(F920*K920/B920,0)*B920),E920+(ROUND(F920*K920/B920,0)*B920)),IF(D920="BUY",E920-(ROUND(F920*K920/B920,0)*B920),E920+(ROUND(F920*K920/B920,0)*B920)))</f>
        <v>#DIV/0!</v>
      </c>
      <c r="L921" s="29" t="e">
        <f t="shared" ref="L921" si="1376">IF(D921="BUY",I921+(R921*B921),I921-(R921*B921))</f>
        <v>#DIV/0!</v>
      </c>
      <c r="M921" s="29" t="e">
        <f>IF(D920="BUY",E920+(ROUND(F920*M920/B920,0)*B920),E920-(ROUND(F920*M920/B920,0)*B920))</f>
        <v>#DIV/0!</v>
      </c>
      <c r="N921" s="29" t="e">
        <f>IF(D920="BUY",E920-(ROUND(F920*N920/B920,0)*B920),E920+(ROUND(F920*N920/B920,0)*B920))</f>
        <v>#DIV/0!</v>
      </c>
      <c r="O921" s="31" t="e">
        <f>IF(D921="BUY",N921-VLOOKUP(A921,Symbols!A$1:D$1000,4,FALSE),N921+VLOOKUP(A921,Symbols!A$1:D$1000,4,FALSE))</f>
        <v>#DIV/0!</v>
      </c>
      <c r="P921" s="29">
        <f>P920</f>
        <v>0</v>
      </c>
      <c r="Q921" s="29">
        <f>Q920</f>
        <v>0</v>
      </c>
      <c r="R921" s="29">
        <f>R920</f>
        <v>0</v>
      </c>
      <c r="S921" s="29">
        <f>S920</f>
        <v>0</v>
      </c>
      <c r="T921" s="29">
        <f>T920</f>
        <v>0</v>
      </c>
      <c r="U921" s="29" t="e">
        <f>DATEDIF(DATE(1970,1,1),U920,"D")*86400</f>
        <v>#NUM!</v>
      </c>
      <c r="V921" s="29">
        <f>HOUR(V920)*3600+MINUTE(V920)*60+SECOND(V920)</f>
        <v>0</v>
      </c>
      <c r="W921" s="29" t="e">
        <f>DATEDIF(DATE(1970,1,1),W920,"D")*86400</f>
        <v>#NUM!</v>
      </c>
      <c r="X921" s="29">
        <f>HOUR(X920)*3600+MINUTE(X920)*60+SECOND(X920)</f>
        <v>0</v>
      </c>
      <c r="Y921" s="31">
        <f>(Y920*B921)</f>
        <v>0</v>
      </c>
      <c r="Z921" s="29">
        <f>Z920</f>
        <v>0</v>
      </c>
      <c r="AA921" s="29" t="e">
        <f>DATEDIF(DATE(1970,1,1),AA920,"D")*86400</f>
        <v>#NUM!</v>
      </c>
      <c r="AB921" s="29">
        <f>HOUR(AB920)*3600+MINUTE(AB920)*60+SECOND(AB920)</f>
        <v>0</v>
      </c>
      <c r="AC921" s="29">
        <f>AC920</f>
        <v>0</v>
      </c>
    </row>
    <row r="922" spans="1:29">
      <c r="A922" s="23">
        <f>Parameters!A462</f>
        <v>0</v>
      </c>
      <c r="B922" s="23">
        <f>Parameters!B462</f>
        <v>0</v>
      </c>
      <c r="C922" s="24">
        <f>Parameters!C462</f>
        <v>0</v>
      </c>
      <c r="D922" s="24">
        <f>Parameters!D462</f>
        <v>0</v>
      </c>
      <c r="E922" s="23">
        <f>Parameters!E462</f>
        <v>0</v>
      </c>
      <c r="F922" s="23">
        <f>Parameters!F462</f>
        <v>0</v>
      </c>
      <c r="G922" s="25">
        <f>Parameters!G462</f>
        <v>0</v>
      </c>
      <c r="H922" s="25">
        <f>Parameters!H462</f>
        <v>0</v>
      </c>
      <c r="I922" s="25">
        <f>Parameters!I462</f>
        <v>0</v>
      </c>
      <c r="J922" s="25">
        <f>Parameters!J462</f>
        <v>0</v>
      </c>
      <c r="K922" s="25">
        <f>Parameters!K462</f>
        <v>0</v>
      </c>
      <c r="L922" s="26" t="e">
        <f t="shared" ref="L922" si="1377">L923</f>
        <v>#DIV/0!</v>
      </c>
      <c r="M922" s="25">
        <f>Parameters!L462</f>
        <v>0</v>
      </c>
      <c r="N922" s="25">
        <f>Parameters!M462</f>
        <v>0</v>
      </c>
      <c r="O922" s="26" t="e">
        <f t="shared" ref="O922" si="1378">O923</f>
        <v>#DIV/0!</v>
      </c>
      <c r="P922" s="23">
        <f>Parameters!N462</f>
        <v>0</v>
      </c>
      <c r="Q922" s="23">
        <f>Parameters!O462</f>
        <v>0</v>
      </c>
      <c r="R922" s="23">
        <f>Parameters!P462</f>
        <v>0</v>
      </c>
      <c r="S922" s="23">
        <f>Parameters!Q462</f>
        <v>0</v>
      </c>
      <c r="T922" s="23">
        <f>Parameters!R462</f>
        <v>0</v>
      </c>
      <c r="U922" s="27">
        <f>Parameters!S462</f>
        <v>0</v>
      </c>
      <c r="V922" s="28">
        <f>Parameters!T462</f>
        <v>0</v>
      </c>
      <c r="W922" s="27">
        <f>Parameters!U462</f>
        <v>0</v>
      </c>
      <c r="X922" s="28">
        <f>Parameters!V462</f>
        <v>0</v>
      </c>
      <c r="Y922" s="25">
        <f>Parameters!W462</f>
        <v>0</v>
      </c>
      <c r="Z922" s="23">
        <f>Parameters!X462</f>
        <v>0</v>
      </c>
      <c r="AA922" s="27">
        <f>Parameters!Y462</f>
        <v>0</v>
      </c>
      <c r="AB922" s="28">
        <f>Parameters!Z462</f>
        <v>0</v>
      </c>
      <c r="AC922" s="23">
        <f>Parameters!AA462</f>
        <v>0</v>
      </c>
    </row>
    <row r="923" spans="1:29">
      <c r="A923" s="29" t="str">
        <f>UPPER(A922)</f>
        <v>0</v>
      </c>
      <c r="B923" s="29">
        <f>B922</f>
        <v>0</v>
      </c>
      <c r="C923" s="30">
        <f>C922</f>
        <v>0</v>
      </c>
      <c r="D923" s="30">
        <f>D922</f>
        <v>0</v>
      </c>
      <c r="E923" s="29">
        <f>E922</f>
        <v>0</v>
      </c>
      <c r="F923" s="29">
        <f>F922</f>
        <v>0</v>
      </c>
      <c r="G923" s="29" t="e">
        <f>IF(C922=1,IF(D922="BUY",E922+(ROUND(F922*G922/B922,0)*B922),E922-(ROUND(F922*G922/B922,0)*B922)),IF(D922="BUY",E922-(ROUND(F922*G922/B922,0)*B922),E922+(ROUND(F922*G922/B922,0)*B922)))</f>
        <v>#DIV/0!</v>
      </c>
      <c r="H923" s="29" t="e">
        <f>IF(C922=1,IF(D922="BUY",G923-(ROUND(F922*H922/B922,0)*B922),G923+(ROUND(F922*H922/B922,0)*B922)),IF(D922="BUY",G923+(ROUND(F922*H922/B922,0)*B922),G923-(ROUND(F922*H922/B922,0)*B922)))</f>
        <v>#DIV/0!</v>
      </c>
      <c r="I923" s="29" t="e">
        <f>IF(D922="BUY",G923+(ROUND(F922*I922/(B922*100),0)*B922),G923-(ROUND(F922*I922/(B922*100),0)*B922))</f>
        <v>#DIV/0!</v>
      </c>
      <c r="J923" s="29" t="e">
        <f>IF(C922=1,IF(D922="BUY",E922+(ROUND(F922*J922/B922,0)*B922),E922-(ROUND(F922*J922/B922,0)*B922)),IF(D922="BUY",E922-(ROUND(F922*J922/B922,0)*B922),E922+(ROUND(F922*J922/B922,0)*B922)))</f>
        <v>#DIV/0!</v>
      </c>
      <c r="K923" s="29" t="e">
        <f>IF(C922=1,IF(D922="BUY",E922-(ROUND(F922*K922/B922,0)*B922),E922+(ROUND(F922*K922/B922,0)*B922)),IF(D922="BUY",E922-(ROUND(F922*K922/B922,0)*B922),E922+(ROUND(F922*K922/B922,0)*B922)))</f>
        <v>#DIV/0!</v>
      </c>
      <c r="L923" s="29" t="e">
        <f t="shared" ref="L923" si="1379">IF(D923="BUY",I923+(R923*B923),I923-(R923*B923))</f>
        <v>#DIV/0!</v>
      </c>
      <c r="M923" s="29" t="e">
        <f>IF(D922="BUY",E922+(ROUND(F922*M922/B922,0)*B922),E922-(ROUND(F922*M922/B922,0)*B922))</f>
        <v>#DIV/0!</v>
      </c>
      <c r="N923" s="29" t="e">
        <f>IF(D922="BUY",E922-(ROUND(F922*N922/B922,0)*B922),E922+(ROUND(F922*N922/B922,0)*B922))</f>
        <v>#DIV/0!</v>
      </c>
      <c r="O923" s="31" t="e">
        <f>IF(D923="BUY",N923-VLOOKUP(A923,Symbols!A$1:D$1000,4,FALSE),N923+VLOOKUP(A923,Symbols!A$1:D$1000,4,FALSE))</f>
        <v>#DIV/0!</v>
      </c>
      <c r="P923" s="29">
        <f>P922</f>
        <v>0</v>
      </c>
      <c r="Q923" s="29">
        <f>Q922</f>
        <v>0</v>
      </c>
      <c r="R923" s="29">
        <f>R922</f>
        <v>0</v>
      </c>
      <c r="S923" s="29">
        <f>S922</f>
        <v>0</v>
      </c>
      <c r="T923" s="29">
        <f>T922</f>
        <v>0</v>
      </c>
      <c r="U923" s="29" t="e">
        <f>DATEDIF(DATE(1970,1,1),U922,"D")*86400</f>
        <v>#NUM!</v>
      </c>
      <c r="V923" s="29">
        <f>HOUR(V922)*3600+MINUTE(V922)*60+SECOND(V922)</f>
        <v>0</v>
      </c>
      <c r="W923" s="29" t="e">
        <f>DATEDIF(DATE(1970,1,1),W922,"D")*86400</f>
        <v>#NUM!</v>
      </c>
      <c r="X923" s="29">
        <f>HOUR(X922)*3600+MINUTE(X922)*60+SECOND(X922)</f>
        <v>0</v>
      </c>
      <c r="Y923" s="31">
        <f>(Y922*B923)</f>
        <v>0</v>
      </c>
      <c r="Z923" s="29">
        <f>Z922</f>
        <v>0</v>
      </c>
      <c r="AA923" s="29" t="e">
        <f>DATEDIF(DATE(1970,1,1),AA922,"D")*86400</f>
        <v>#NUM!</v>
      </c>
      <c r="AB923" s="29">
        <f>HOUR(AB922)*3600+MINUTE(AB922)*60+SECOND(AB922)</f>
        <v>0</v>
      </c>
      <c r="AC923" s="29">
        <f>AC922</f>
        <v>0</v>
      </c>
    </row>
    <row r="924" spans="1:29">
      <c r="A924" s="23">
        <f>Parameters!A463</f>
        <v>0</v>
      </c>
      <c r="B924" s="23">
        <f>Parameters!B463</f>
        <v>0</v>
      </c>
      <c r="C924" s="24">
        <f>Parameters!C463</f>
        <v>0</v>
      </c>
      <c r="D924" s="24">
        <f>Parameters!D463</f>
        <v>0</v>
      </c>
      <c r="E924" s="23">
        <f>Parameters!E463</f>
        <v>0</v>
      </c>
      <c r="F924" s="23">
        <f>Parameters!F463</f>
        <v>0</v>
      </c>
      <c r="G924" s="25">
        <f>Parameters!G463</f>
        <v>0</v>
      </c>
      <c r="H924" s="25">
        <f>Parameters!H463</f>
        <v>0</v>
      </c>
      <c r="I924" s="25">
        <f>Parameters!I463</f>
        <v>0</v>
      </c>
      <c r="J924" s="25">
        <f>Parameters!J463</f>
        <v>0</v>
      </c>
      <c r="K924" s="25">
        <f>Parameters!K463</f>
        <v>0</v>
      </c>
      <c r="L924" s="26" t="e">
        <f t="shared" ref="L924" si="1380">L925</f>
        <v>#DIV/0!</v>
      </c>
      <c r="M924" s="25">
        <f>Parameters!L463</f>
        <v>0</v>
      </c>
      <c r="N924" s="25">
        <f>Parameters!M463</f>
        <v>0</v>
      </c>
      <c r="O924" s="26" t="e">
        <f t="shared" ref="O924" si="1381">O925</f>
        <v>#DIV/0!</v>
      </c>
      <c r="P924" s="23">
        <f>Parameters!N463</f>
        <v>0</v>
      </c>
      <c r="Q924" s="23">
        <f>Parameters!O463</f>
        <v>0</v>
      </c>
      <c r="R924" s="23">
        <f>Parameters!P463</f>
        <v>0</v>
      </c>
      <c r="S924" s="23">
        <f>Parameters!Q463</f>
        <v>0</v>
      </c>
      <c r="T924" s="23">
        <f>Parameters!R463</f>
        <v>0</v>
      </c>
      <c r="U924" s="27">
        <f>Parameters!S463</f>
        <v>0</v>
      </c>
      <c r="V924" s="28">
        <f>Parameters!T463</f>
        <v>0</v>
      </c>
      <c r="W924" s="27">
        <f>Parameters!U463</f>
        <v>0</v>
      </c>
      <c r="X924" s="28">
        <f>Parameters!V463</f>
        <v>0</v>
      </c>
      <c r="Y924" s="25">
        <f>Parameters!W463</f>
        <v>0</v>
      </c>
      <c r="Z924" s="23">
        <f>Parameters!X463</f>
        <v>0</v>
      </c>
      <c r="AA924" s="27">
        <f>Parameters!Y463</f>
        <v>0</v>
      </c>
      <c r="AB924" s="28">
        <f>Parameters!Z463</f>
        <v>0</v>
      </c>
      <c r="AC924" s="23">
        <f>Parameters!AA463</f>
        <v>0</v>
      </c>
    </row>
    <row r="925" spans="1:29">
      <c r="A925" s="29" t="str">
        <f>UPPER(A924)</f>
        <v>0</v>
      </c>
      <c r="B925" s="29">
        <f>B924</f>
        <v>0</v>
      </c>
      <c r="C925" s="30">
        <f>C924</f>
        <v>0</v>
      </c>
      <c r="D925" s="30">
        <f>D924</f>
        <v>0</v>
      </c>
      <c r="E925" s="29">
        <f>E924</f>
        <v>0</v>
      </c>
      <c r="F925" s="29">
        <f>F924</f>
        <v>0</v>
      </c>
      <c r="G925" s="29" t="e">
        <f>IF(C924=1,IF(D924="BUY",E924+(ROUND(F924*G924/B924,0)*B924),E924-(ROUND(F924*G924/B924,0)*B924)),IF(D924="BUY",E924-(ROUND(F924*G924/B924,0)*B924),E924+(ROUND(F924*G924/B924,0)*B924)))</f>
        <v>#DIV/0!</v>
      </c>
      <c r="H925" s="29" t="e">
        <f>IF(C924=1,IF(D924="BUY",G925-(ROUND(F924*H924/B924,0)*B924),G925+(ROUND(F924*H924/B924,0)*B924)),IF(D924="BUY",G925+(ROUND(F924*H924/B924,0)*B924),G925-(ROUND(F924*H924/B924,0)*B924)))</f>
        <v>#DIV/0!</v>
      </c>
      <c r="I925" s="29" t="e">
        <f>IF(D924="BUY",G925+(ROUND(F924*I924/(B924*100),0)*B924),G925-(ROUND(F924*I924/(B924*100),0)*B924))</f>
        <v>#DIV/0!</v>
      </c>
      <c r="J925" s="29" t="e">
        <f>IF(C924=1,IF(D924="BUY",E924+(ROUND(F924*J924/B924,0)*B924),E924-(ROUND(F924*J924/B924,0)*B924)),IF(D924="BUY",E924-(ROUND(F924*J924/B924,0)*B924),E924+(ROUND(F924*J924/B924,0)*B924)))</f>
        <v>#DIV/0!</v>
      </c>
      <c r="K925" s="29" t="e">
        <f>IF(C924=1,IF(D924="BUY",E924-(ROUND(F924*K924/B924,0)*B924),E924+(ROUND(F924*K924/B924,0)*B924)),IF(D924="BUY",E924-(ROUND(F924*K924/B924,0)*B924),E924+(ROUND(F924*K924/B924,0)*B924)))</f>
        <v>#DIV/0!</v>
      </c>
      <c r="L925" s="29" t="e">
        <f t="shared" ref="L925" si="1382">IF(D925="BUY",I925+(R925*B925),I925-(R925*B925))</f>
        <v>#DIV/0!</v>
      </c>
      <c r="M925" s="29" t="e">
        <f>IF(D924="BUY",E924+(ROUND(F924*M924/B924,0)*B924),E924-(ROUND(F924*M924/B924,0)*B924))</f>
        <v>#DIV/0!</v>
      </c>
      <c r="N925" s="29" t="e">
        <f>IF(D924="BUY",E924-(ROUND(F924*N924/B924,0)*B924),E924+(ROUND(F924*N924/B924,0)*B924))</f>
        <v>#DIV/0!</v>
      </c>
      <c r="O925" s="31" t="e">
        <f>IF(D925="BUY",N925-VLOOKUP(A925,Symbols!A$1:D$1000,4,FALSE),N925+VLOOKUP(A925,Symbols!A$1:D$1000,4,FALSE))</f>
        <v>#DIV/0!</v>
      </c>
      <c r="P925" s="29">
        <f>P924</f>
        <v>0</v>
      </c>
      <c r="Q925" s="29">
        <f>Q924</f>
        <v>0</v>
      </c>
      <c r="R925" s="29">
        <f>R924</f>
        <v>0</v>
      </c>
      <c r="S925" s="29">
        <f>S924</f>
        <v>0</v>
      </c>
      <c r="T925" s="29">
        <f>T924</f>
        <v>0</v>
      </c>
      <c r="U925" s="29" t="e">
        <f>DATEDIF(DATE(1970,1,1),U924,"D")*86400</f>
        <v>#NUM!</v>
      </c>
      <c r="V925" s="29">
        <f>HOUR(V924)*3600+MINUTE(V924)*60+SECOND(V924)</f>
        <v>0</v>
      </c>
      <c r="W925" s="29" t="e">
        <f>DATEDIF(DATE(1970,1,1),W924,"D")*86400</f>
        <v>#NUM!</v>
      </c>
      <c r="X925" s="29">
        <f>HOUR(X924)*3600+MINUTE(X924)*60+SECOND(X924)</f>
        <v>0</v>
      </c>
      <c r="Y925" s="31">
        <f>(Y924*B925)</f>
        <v>0</v>
      </c>
      <c r="Z925" s="29">
        <f>Z924</f>
        <v>0</v>
      </c>
      <c r="AA925" s="29" t="e">
        <f>DATEDIF(DATE(1970,1,1),AA924,"D")*86400</f>
        <v>#NUM!</v>
      </c>
      <c r="AB925" s="29">
        <f>HOUR(AB924)*3600+MINUTE(AB924)*60+SECOND(AB924)</f>
        <v>0</v>
      </c>
      <c r="AC925" s="29">
        <f>AC924</f>
        <v>0</v>
      </c>
    </row>
    <row r="926" spans="1:29">
      <c r="A926" s="23">
        <f>Parameters!A464</f>
        <v>0</v>
      </c>
      <c r="B926" s="23">
        <f>Parameters!B464</f>
        <v>0</v>
      </c>
      <c r="C926" s="24">
        <f>Parameters!C464</f>
        <v>0</v>
      </c>
      <c r="D926" s="24">
        <f>Parameters!D464</f>
        <v>0</v>
      </c>
      <c r="E926" s="23">
        <f>Parameters!E464</f>
        <v>0</v>
      </c>
      <c r="F926" s="23">
        <f>Parameters!F464</f>
        <v>0</v>
      </c>
      <c r="G926" s="25">
        <f>Parameters!G464</f>
        <v>0</v>
      </c>
      <c r="H926" s="25">
        <f>Parameters!H464</f>
        <v>0</v>
      </c>
      <c r="I926" s="25">
        <f>Parameters!I464</f>
        <v>0</v>
      </c>
      <c r="J926" s="25">
        <f>Parameters!J464</f>
        <v>0</v>
      </c>
      <c r="K926" s="25">
        <f>Parameters!K464</f>
        <v>0</v>
      </c>
      <c r="L926" s="26" t="e">
        <f t="shared" ref="L926" si="1383">L927</f>
        <v>#DIV/0!</v>
      </c>
      <c r="M926" s="25">
        <f>Parameters!L464</f>
        <v>0</v>
      </c>
      <c r="N926" s="25">
        <f>Parameters!M464</f>
        <v>0</v>
      </c>
      <c r="O926" s="26" t="e">
        <f t="shared" ref="O926" si="1384">O927</f>
        <v>#DIV/0!</v>
      </c>
      <c r="P926" s="23">
        <f>Parameters!N464</f>
        <v>0</v>
      </c>
      <c r="Q926" s="23">
        <f>Parameters!O464</f>
        <v>0</v>
      </c>
      <c r="R926" s="23">
        <f>Parameters!P464</f>
        <v>0</v>
      </c>
      <c r="S926" s="23">
        <f>Parameters!Q464</f>
        <v>0</v>
      </c>
      <c r="T926" s="23">
        <f>Parameters!R464</f>
        <v>0</v>
      </c>
      <c r="U926" s="27">
        <f>Parameters!S464</f>
        <v>0</v>
      </c>
      <c r="V926" s="28">
        <f>Parameters!T464</f>
        <v>0</v>
      </c>
      <c r="W926" s="27">
        <f>Parameters!U464</f>
        <v>0</v>
      </c>
      <c r="X926" s="28">
        <f>Parameters!V464</f>
        <v>0</v>
      </c>
      <c r="Y926" s="25">
        <f>Parameters!W464</f>
        <v>0</v>
      </c>
      <c r="Z926" s="23">
        <f>Parameters!X464</f>
        <v>0</v>
      </c>
      <c r="AA926" s="27">
        <f>Parameters!Y464</f>
        <v>0</v>
      </c>
      <c r="AB926" s="28">
        <f>Parameters!Z464</f>
        <v>0</v>
      </c>
      <c r="AC926" s="23">
        <f>Parameters!AA464</f>
        <v>0</v>
      </c>
    </row>
    <row r="927" spans="1:29">
      <c r="A927" s="29" t="str">
        <f>UPPER(A926)</f>
        <v>0</v>
      </c>
      <c r="B927" s="29">
        <f>B926</f>
        <v>0</v>
      </c>
      <c r="C927" s="30">
        <f>C926</f>
        <v>0</v>
      </c>
      <c r="D927" s="30">
        <f>D926</f>
        <v>0</v>
      </c>
      <c r="E927" s="29">
        <f>E926</f>
        <v>0</v>
      </c>
      <c r="F927" s="29">
        <f>F926</f>
        <v>0</v>
      </c>
      <c r="G927" s="29" t="e">
        <f>IF(C926=1,IF(D926="BUY",E926+(ROUND(F926*G926/B926,0)*B926),E926-(ROUND(F926*G926/B926,0)*B926)),IF(D926="BUY",E926-(ROUND(F926*G926/B926,0)*B926),E926+(ROUND(F926*G926/B926,0)*B926)))</f>
        <v>#DIV/0!</v>
      </c>
      <c r="H927" s="29" t="e">
        <f>IF(C926=1,IF(D926="BUY",G927-(ROUND(F926*H926/B926,0)*B926),G927+(ROUND(F926*H926/B926,0)*B926)),IF(D926="BUY",G927+(ROUND(F926*H926/B926,0)*B926),G927-(ROUND(F926*H926/B926,0)*B926)))</f>
        <v>#DIV/0!</v>
      </c>
      <c r="I927" s="29" t="e">
        <f>IF(D926="BUY",G927+(ROUND(F926*I926/(B926*100),0)*B926),G927-(ROUND(F926*I926/(B926*100),0)*B926))</f>
        <v>#DIV/0!</v>
      </c>
      <c r="J927" s="29" t="e">
        <f>IF(C926=1,IF(D926="BUY",E926+(ROUND(F926*J926/B926,0)*B926),E926-(ROUND(F926*J926/B926,0)*B926)),IF(D926="BUY",E926-(ROUND(F926*J926/B926,0)*B926),E926+(ROUND(F926*J926/B926,0)*B926)))</f>
        <v>#DIV/0!</v>
      </c>
      <c r="K927" s="29" t="e">
        <f>IF(C926=1,IF(D926="BUY",E926-(ROUND(F926*K926/B926,0)*B926),E926+(ROUND(F926*K926/B926,0)*B926)),IF(D926="BUY",E926-(ROUND(F926*K926/B926,0)*B926),E926+(ROUND(F926*K926/B926,0)*B926)))</f>
        <v>#DIV/0!</v>
      </c>
      <c r="L927" s="29" t="e">
        <f t="shared" ref="L927" si="1385">IF(D927="BUY",I927+(R927*B927),I927-(R927*B927))</f>
        <v>#DIV/0!</v>
      </c>
      <c r="M927" s="29" t="e">
        <f>IF(D926="BUY",E926+(ROUND(F926*M926/B926,0)*B926),E926-(ROUND(F926*M926/B926,0)*B926))</f>
        <v>#DIV/0!</v>
      </c>
      <c r="N927" s="29" t="e">
        <f>IF(D926="BUY",E926-(ROUND(F926*N926/B926,0)*B926),E926+(ROUND(F926*N926/B926,0)*B926))</f>
        <v>#DIV/0!</v>
      </c>
      <c r="O927" s="31" t="e">
        <f>IF(D927="BUY",N927-VLOOKUP(A927,Symbols!A$1:D$1000,4,FALSE),N927+VLOOKUP(A927,Symbols!A$1:D$1000,4,FALSE))</f>
        <v>#DIV/0!</v>
      </c>
      <c r="P927" s="29">
        <f>P926</f>
        <v>0</v>
      </c>
      <c r="Q927" s="29">
        <f>Q926</f>
        <v>0</v>
      </c>
      <c r="R927" s="29">
        <f>R926</f>
        <v>0</v>
      </c>
      <c r="S927" s="29">
        <f>S926</f>
        <v>0</v>
      </c>
      <c r="T927" s="29">
        <f>T926</f>
        <v>0</v>
      </c>
      <c r="U927" s="29" t="e">
        <f>DATEDIF(DATE(1970,1,1),U926,"D")*86400</f>
        <v>#NUM!</v>
      </c>
      <c r="V927" s="29">
        <f>HOUR(V926)*3600+MINUTE(V926)*60+SECOND(V926)</f>
        <v>0</v>
      </c>
      <c r="W927" s="29" t="e">
        <f>DATEDIF(DATE(1970,1,1),W926,"D")*86400</f>
        <v>#NUM!</v>
      </c>
      <c r="X927" s="29">
        <f>HOUR(X926)*3600+MINUTE(X926)*60+SECOND(X926)</f>
        <v>0</v>
      </c>
      <c r="Y927" s="31">
        <f>(Y926*B927)</f>
        <v>0</v>
      </c>
      <c r="Z927" s="29">
        <f>Z926</f>
        <v>0</v>
      </c>
      <c r="AA927" s="29" t="e">
        <f>DATEDIF(DATE(1970,1,1),AA926,"D")*86400</f>
        <v>#NUM!</v>
      </c>
      <c r="AB927" s="29">
        <f>HOUR(AB926)*3600+MINUTE(AB926)*60+SECOND(AB926)</f>
        <v>0</v>
      </c>
      <c r="AC927" s="29">
        <f>AC926</f>
        <v>0</v>
      </c>
    </row>
    <row r="928" spans="1:29">
      <c r="A928" s="23">
        <f>Parameters!A465</f>
        <v>0</v>
      </c>
      <c r="B928" s="23">
        <f>Parameters!B465</f>
        <v>0</v>
      </c>
      <c r="C928" s="24">
        <f>Parameters!C465</f>
        <v>0</v>
      </c>
      <c r="D928" s="24">
        <f>Parameters!D465</f>
        <v>0</v>
      </c>
      <c r="E928" s="23">
        <f>Parameters!E465</f>
        <v>0</v>
      </c>
      <c r="F928" s="23">
        <f>Parameters!F465</f>
        <v>0</v>
      </c>
      <c r="G928" s="25">
        <f>Parameters!G465</f>
        <v>0</v>
      </c>
      <c r="H928" s="25">
        <f>Parameters!H465</f>
        <v>0</v>
      </c>
      <c r="I928" s="25">
        <f>Parameters!I465</f>
        <v>0</v>
      </c>
      <c r="J928" s="25">
        <f>Parameters!J465</f>
        <v>0</v>
      </c>
      <c r="K928" s="25">
        <f>Parameters!K465</f>
        <v>0</v>
      </c>
      <c r="L928" s="26" t="e">
        <f t="shared" ref="L928" si="1386">L929</f>
        <v>#DIV/0!</v>
      </c>
      <c r="M928" s="25">
        <f>Parameters!L465</f>
        <v>0</v>
      </c>
      <c r="N928" s="25">
        <f>Parameters!M465</f>
        <v>0</v>
      </c>
      <c r="O928" s="26" t="e">
        <f t="shared" ref="O928" si="1387">O929</f>
        <v>#DIV/0!</v>
      </c>
      <c r="P928" s="23">
        <f>Parameters!N465</f>
        <v>0</v>
      </c>
      <c r="Q928" s="23">
        <f>Parameters!O465</f>
        <v>0</v>
      </c>
      <c r="R928" s="23">
        <f>Parameters!P465</f>
        <v>0</v>
      </c>
      <c r="S928" s="23">
        <f>Parameters!Q465</f>
        <v>0</v>
      </c>
      <c r="T928" s="23">
        <f>Parameters!R465</f>
        <v>0</v>
      </c>
      <c r="U928" s="27">
        <f>Parameters!S465</f>
        <v>0</v>
      </c>
      <c r="V928" s="28">
        <f>Parameters!T465</f>
        <v>0</v>
      </c>
      <c r="W928" s="27">
        <f>Parameters!U465</f>
        <v>0</v>
      </c>
      <c r="X928" s="28">
        <f>Parameters!V465</f>
        <v>0</v>
      </c>
      <c r="Y928" s="25">
        <f>Parameters!W465</f>
        <v>0</v>
      </c>
      <c r="Z928" s="23">
        <f>Parameters!X465</f>
        <v>0</v>
      </c>
      <c r="AA928" s="27">
        <f>Parameters!Y465</f>
        <v>0</v>
      </c>
      <c r="AB928" s="28">
        <f>Parameters!Z465</f>
        <v>0</v>
      </c>
      <c r="AC928" s="23">
        <f>Parameters!AA465</f>
        <v>0</v>
      </c>
    </row>
    <row r="929" spans="1:29">
      <c r="A929" s="29" t="str">
        <f>UPPER(A928)</f>
        <v>0</v>
      </c>
      <c r="B929" s="29">
        <f>B928</f>
        <v>0</v>
      </c>
      <c r="C929" s="30">
        <f>C928</f>
        <v>0</v>
      </c>
      <c r="D929" s="30">
        <f>D928</f>
        <v>0</v>
      </c>
      <c r="E929" s="29">
        <f>E928</f>
        <v>0</v>
      </c>
      <c r="F929" s="29">
        <f>F928</f>
        <v>0</v>
      </c>
      <c r="G929" s="29" t="e">
        <f>IF(C928=1,IF(D928="BUY",E928+(ROUND(F928*G928/B928,0)*B928),E928-(ROUND(F928*G928/B928,0)*B928)),IF(D928="BUY",E928-(ROUND(F928*G928/B928,0)*B928),E928+(ROUND(F928*G928/B928,0)*B928)))</f>
        <v>#DIV/0!</v>
      </c>
      <c r="H929" s="29" t="e">
        <f>IF(C928=1,IF(D928="BUY",G929-(ROUND(F928*H928/B928,0)*B928),G929+(ROUND(F928*H928/B928,0)*B928)),IF(D928="BUY",G929+(ROUND(F928*H928/B928,0)*B928),G929-(ROUND(F928*H928/B928,0)*B928)))</f>
        <v>#DIV/0!</v>
      </c>
      <c r="I929" s="29" t="e">
        <f>IF(D928="BUY",G929+(ROUND(F928*I928/(B928*100),0)*B928),G929-(ROUND(F928*I928/(B928*100),0)*B928))</f>
        <v>#DIV/0!</v>
      </c>
      <c r="J929" s="29" t="e">
        <f>IF(C928=1,IF(D928="BUY",E928+(ROUND(F928*J928/B928,0)*B928),E928-(ROUND(F928*J928/B928,0)*B928)),IF(D928="BUY",E928-(ROUND(F928*J928/B928,0)*B928),E928+(ROUND(F928*J928/B928,0)*B928)))</f>
        <v>#DIV/0!</v>
      </c>
      <c r="K929" s="29" t="e">
        <f>IF(C928=1,IF(D928="BUY",E928-(ROUND(F928*K928/B928,0)*B928),E928+(ROUND(F928*K928/B928,0)*B928)),IF(D928="BUY",E928-(ROUND(F928*K928/B928,0)*B928),E928+(ROUND(F928*K928/B928,0)*B928)))</f>
        <v>#DIV/0!</v>
      </c>
      <c r="L929" s="29" t="e">
        <f t="shared" ref="L929" si="1388">IF(D929="BUY",I929+(R929*B929),I929-(R929*B929))</f>
        <v>#DIV/0!</v>
      </c>
      <c r="M929" s="29" t="e">
        <f>IF(D928="BUY",E928+(ROUND(F928*M928/B928,0)*B928),E928-(ROUND(F928*M928/B928,0)*B928))</f>
        <v>#DIV/0!</v>
      </c>
      <c r="N929" s="29" t="e">
        <f>IF(D928="BUY",E928-(ROUND(F928*N928/B928,0)*B928),E928+(ROUND(F928*N928/B928,0)*B928))</f>
        <v>#DIV/0!</v>
      </c>
      <c r="O929" s="31" t="e">
        <f>IF(D929="BUY",N929-VLOOKUP(A929,Symbols!A$1:D$1000,4,FALSE),N929+VLOOKUP(A929,Symbols!A$1:D$1000,4,FALSE))</f>
        <v>#DIV/0!</v>
      </c>
      <c r="P929" s="29">
        <f>P928</f>
        <v>0</v>
      </c>
      <c r="Q929" s="29">
        <f>Q928</f>
        <v>0</v>
      </c>
      <c r="R929" s="29">
        <f>R928</f>
        <v>0</v>
      </c>
      <c r="S929" s="29">
        <f>S928</f>
        <v>0</v>
      </c>
      <c r="T929" s="29">
        <f>T928</f>
        <v>0</v>
      </c>
      <c r="U929" s="29" t="e">
        <f>DATEDIF(DATE(1970,1,1),U928,"D")*86400</f>
        <v>#NUM!</v>
      </c>
      <c r="V929" s="29">
        <f>HOUR(V928)*3600+MINUTE(V928)*60+SECOND(V928)</f>
        <v>0</v>
      </c>
      <c r="W929" s="29" t="e">
        <f>DATEDIF(DATE(1970,1,1),W928,"D")*86400</f>
        <v>#NUM!</v>
      </c>
      <c r="X929" s="29">
        <f>HOUR(X928)*3600+MINUTE(X928)*60+SECOND(X928)</f>
        <v>0</v>
      </c>
      <c r="Y929" s="31">
        <f>(Y928*B929)</f>
        <v>0</v>
      </c>
      <c r="Z929" s="29">
        <f>Z928</f>
        <v>0</v>
      </c>
      <c r="AA929" s="29" t="e">
        <f>DATEDIF(DATE(1970,1,1),AA928,"D")*86400</f>
        <v>#NUM!</v>
      </c>
      <c r="AB929" s="29">
        <f>HOUR(AB928)*3600+MINUTE(AB928)*60+SECOND(AB928)</f>
        <v>0</v>
      </c>
      <c r="AC929" s="29">
        <f>AC928</f>
        <v>0</v>
      </c>
    </row>
    <row r="930" spans="1:29">
      <c r="A930" s="23">
        <f>Parameters!A466</f>
        <v>0</v>
      </c>
      <c r="B930" s="23">
        <f>Parameters!B466</f>
        <v>0</v>
      </c>
      <c r="C930" s="24">
        <f>Parameters!C466</f>
        <v>0</v>
      </c>
      <c r="D930" s="24">
        <f>Parameters!D466</f>
        <v>0</v>
      </c>
      <c r="E930" s="23">
        <f>Parameters!E466</f>
        <v>0</v>
      </c>
      <c r="F930" s="23">
        <f>Parameters!F466</f>
        <v>0</v>
      </c>
      <c r="G930" s="25">
        <f>Parameters!G466</f>
        <v>0</v>
      </c>
      <c r="H930" s="25">
        <f>Parameters!H466</f>
        <v>0</v>
      </c>
      <c r="I930" s="25">
        <f>Parameters!I466</f>
        <v>0</v>
      </c>
      <c r="J930" s="25">
        <f>Parameters!J466</f>
        <v>0</v>
      </c>
      <c r="K930" s="25">
        <f>Parameters!K466</f>
        <v>0</v>
      </c>
      <c r="L930" s="26" t="e">
        <f t="shared" ref="L930" si="1389">L931</f>
        <v>#DIV/0!</v>
      </c>
      <c r="M930" s="25">
        <f>Parameters!L466</f>
        <v>0</v>
      </c>
      <c r="N930" s="25">
        <f>Parameters!M466</f>
        <v>0</v>
      </c>
      <c r="O930" s="26" t="e">
        <f t="shared" ref="O930" si="1390">O931</f>
        <v>#DIV/0!</v>
      </c>
      <c r="P930" s="23">
        <f>Parameters!N466</f>
        <v>0</v>
      </c>
      <c r="Q930" s="23">
        <f>Parameters!O466</f>
        <v>0</v>
      </c>
      <c r="R930" s="23">
        <f>Parameters!P466</f>
        <v>0</v>
      </c>
      <c r="S930" s="23">
        <f>Parameters!Q466</f>
        <v>0</v>
      </c>
      <c r="T930" s="23">
        <f>Parameters!R466</f>
        <v>0</v>
      </c>
      <c r="U930" s="27">
        <f>Parameters!S466</f>
        <v>0</v>
      </c>
      <c r="V930" s="28">
        <f>Parameters!T466</f>
        <v>0</v>
      </c>
      <c r="W930" s="27">
        <f>Parameters!U466</f>
        <v>0</v>
      </c>
      <c r="X930" s="28">
        <f>Parameters!V466</f>
        <v>0</v>
      </c>
      <c r="Y930" s="25">
        <f>Parameters!W466</f>
        <v>0</v>
      </c>
      <c r="Z930" s="23">
        <f>Parameters!X466</f>
        <v>0</v>
      </c>
      <c r="AA930" s="27">
        <f>Parameters!Y466</f>
        <v>0</v>
      </c>
      <c r="AB930" s="28">
        <f>Parameters!Z466</f>
        <v>0</v>
      </c>
      <c r="AC930" s="23">
        <f>Parameters!AA466</f>
        <v>0</v>
      </c>
    </row>
    <row r="931" spans="1:29">
      <c r="A931" s="29" t="str">
        <f>UPPER(A930)</f>
        <v>0</v>
      </c>
      <c r="B931" s="29">
        <f>B930</f>
        <v>0</v>
      </c>
      <c r="C931" s="30">
        <f>C930</f>
        <v>0</v>
      </c>
      <c r="D931" s="30">
        <f>D930</f>
        <v>0</v>
      </c>
      <c r="E931" s="29">
        <f>E930</f>
        <v>0</v>
      </c>
      <c r="F931" s="29">
        <f>F930</f>
        <v>0</v>
      </c>
      <c r="G931" s="29" t="e">
        <f>IF(C930=1,IF(D930="BUY",E930+(ROUND(F930*G930/B930,0)*B930),E930-(ROUND(F930*G930/B930,0)*B930)),IF(D930="BUY",E930-(ROUND(F930*G930/B930,0)*B930),E930+(ROUND(F930*G930/B930,0)*B930)))</f>
        <v>#DIV/0!</v>
      </c>
      <c r="H931" s="29" t="e">
        <f>IF(C930=1,IF(D930="BUY",G931-(ROUND(F930*H930/B930,0)*B930),G931+(ROUND(F930*H930/B930,0)*B930)),IF(D930="BUY",G931+(ROUND(F930*H930/B930,0)*B930),G931-(ROUND(F930*H930/B930,0)*B930)))</f>
        <v>#DIV/0!</v>
      </c>
      <c r="I931" s="29" t="e">
        <f>IF(D930="BUY",G931+(ROUND(F930*I930/(B930*100),0)*B930),G931-(ROUND(F930*I930/(B930*100),0)*B930))</f>
        <v>#DIV/0!</v>
      </c>
      <c r="J931" s="29" t="e">
        <f>IF(C930=1,IF(D930="BUY",E930+(ROUND(F930*J930/B930,0)*B930),E930-(ROUND(F930*J930/B930,0)*B930)),IF(D930="BUY",E930-(ROUND(F930*J930/B930,0)*B930),E930+(ROUND(F930*J930/B930,0)*B930)))</f>
        <v>#DIV/0!</v>
      </c>
      <c r="K931" s="29" t="e">
        <f>IF(C930=1,IF(D930="BUY",E930-(ROUND(F930*K930/B930,0)*B930),E930+(ROUND(F930*K930/B930,0)*B930)),IF(D930="BUY",E930-(ROUND(F930*K930/B930,0)*B930),E930+(ROUND(F930*K930/B930,0)*B930)))</f>
        <v>#DIV/0!</v>
      </c>
      <c r="L931" s="29" t="e">
        <f t="shared" ref="L931" si="1391">IF(D931="BUY",I931+(R931*B931),I931-(R931*B931))</f>
        <v>#DIV/0!</v>
      </c>
      <c r="M931" s="29" t="e">
        <f>IF(D930="BUY",E930+(ROUND(F930*M930/B930,0)*B930),E930-(ROUND(F930*M930/B930,0)*B930))</f>
        <v>#DIV/0!</v>
      </c>
      <c r="N931" s="29" t="e">
        <f>IF(D930="BUY",E930-(ROUND(F930*N930/B930,0)*B930),E930+(ROUND(F930*N930/B930,0)*B930))</f>
        <v>#DIV/0!</v>
      </c>
      <c r="O931" s="31" t="e">
        <f>IF(D931="BUY",N931-VLOOKUP(A931,Symbols!A$1:D$1000,4,FALSE),N931+VLOOKUP(A931,Symbols!A$1:D$1000,4,FALSE))</f>
        <v>#DIV/0!</v>
      </c>
      <c r="P931" s="29">
        <f>P930</f>
        <v>0</v>
      </c>
      <c r="Q931" s="29">
        <f>Q930</f>
        <v>0</v>
      </c>
      <c r="R931" s="29">
        <f>R930</f>
        <v>0</v>
      </c>
      <c r="S931" s="29">
        <f>S930</f>
        <v>0</v>
      </c>
      <c r="T931" s="29">
        <f>T930</f>
        <v>0</v>
      </c>
      <c r="U931" s="29" t="e">
        <f>DATEDIF(DATE(1970,1,1),U930,"D")*86400</f>
        <v>#NUM!</v>
      </c>
      <c r="V931" s="29">
        <f>HOUR(V930)*3600+MINUTE(V930)*60+SECOND(V930)</f>
        <v>0</v>
      </c>
      <c r="W931" s="29" t="e">
        <f>DATEDIF(DATE(1970,1,1),W930,"D")*86400</f>
        <v>#NUM!</v>
      </c>
      <c r="X931" s="29">
        <f>HOUR(X930)*3600+MINUTE(X930)*60+SECOND(X930)</f>
        <v>0</v>
      </c>
      <c r="Y931" s="31">
        <f>(Y930*B931)</f>
        <v>0</v>
      </c>
      <c r="Z931" s="29">
        <f>Z930</f>
        <v>0</v>
      </c>
      <c r="AA931" s="29" t="e">
        <f>DATEDIF(DATE(1970,1,1),AA930,"D")*86400</f>
        <v>#NUM!</v>
      </c>
      <c r="AB931" s="29">
        <f>HOUR(AB930)*3600+MINUTE(AB930)*60+SECOND(AB930)</f>
        <v>0</v>
      </c>
      <c r="AC931" s="29">
        <f>AC930</f>
        <v>0</v>
      </c>
    </row>
    <row r="932" spans="1:29">
      <c r="A932" s="23">
        <f>Parameters!A467</f>
        <v>0</v>
      </c>
      <c r="B932" s="23">
        <f>Parameters!B467</f>
        <v>0</v>
      </c>
      <c r="C932" s="24">
        <f>Parameters!C467</f>
        <v>0</v>
      </c>
      <c r="D932" s="24">
        <f>Parameters!D467</f>
        <v>0</v>
      </c>
      <c r="E932" s="23">
        <f>Parameters!E467</f>
        <v>0</v>
      </c>
      <c r="F932" s="23">
        <f>Parameters!F467</f>
        <v>0</v>
      </c>
      <c r="G932" s="25">
        <f>Parameters!G467</f>
        <v>0</v>
      </c>
      <c r="H932" s="25">
        <f>Parameters!H467</f>
        <v>0</v>
      </c>
      <c r="I932" s="25">
        <f>Parameters!I467</f>
        <v>0</v>
      </c>
      <c r="J932" s="25">
        <f>Parameters!J467</f>
        <v>0</v>
      </c>
      <c r="K932" s="25">
        <f>Parameters!K467</f>
        <v>0</v>
      </c>
      <c r="L932" s="26" t="e">
        <f t="shared" ref="L932" si="1392">L933</f>
        <v>#DIV/0!</v>
      </c>
      <c r="M932" s="25">
        <f>Parameters!L467</f>
        <v>0</v>
      </c>
      <c r="N932" s="25">
        <f>Parameters!M467</f>
        <v>0</v>
      </c>
      <c r="O932" s="26" t="e">
        <f t="shared" ref="O932" si="1393">O933</f>
        <v>#DIV/0!</v>
      </c>
      <c r="P932" s="23">
        <f>Parameters!N467</f>
        <v>0</v>
      </c>
      <c r="Q932" s="23">
        <f>Parameters!O467</f>
        <v>0</v>
      </c>
      <c r="R932" s="23">
        <f>Parameters!P467</f>
        <v>0</v>
      </c>
      <c r="S932" s="23">
        <f>Parameters!Q467</f>
        <v>0</v>
      </c>
      <c r="T932" s="23">
        <f>Parameters!R467</f>
        <v>0</v>
      </c>
      <c r="U932" s="27">
        <f>Parameters!S467</f>
        <v>0</v>
      </c>
      <c r="V932" s="28">
        <f>Parameters!T467</f>
        <v>0</v>
      </c>
      <c r="W932" s="27">
        <f>Parameters!U467</f>
        <v>0</v>
      </c>
      <c r="X932" s="28">
        <f>Parameters!V467</f>
        <v>0</v>
      </c>
      <c r="Y932" s="25">
        <f>Parameters!W467</f>
        <v>0</v>
      </c>
      <c r="Z932" s="23">
        <f>Parameters!X467</f>
        <v>0</v>
      </c>
      <c r="AA932" s="27">
        <f>Parameters!Y467</f>
        <v>0</v>
      </c>
      <c r="AB932" s="28">
        <f>Parameters!Z467</f>
        <v>0</v>
      </c>
      <c r="AC932" s="23">
        <f>Parameters!AA467</f>
        <v>0</v>
      </c>
    </row>
    <row r="933" spans="1:29">
      <c r="A933" s="29" t="str">
        <f>UPPER(A932)</f>
        <v>0</v>
      </c>
      <c r="B933" s="29">
        <f>B932</f>
        <v>0</v>
      </c>
      <c r="C933" s="30">
        <f>C932</f>
        <v>0</v>
      </c>
      <c r="D933" s="30">
        <f>D932</f>
        <v>0</v>
      </c>
      <c r="E933" s="29">
        <f>E932</f>
        <v>0</v>
      </c>
      <c r="F933" s="29">
        <f>F932</f>
        <v>0</v>
      </c>
      <c r="G933" s="29" t="e">
        <f>IF(C932=1,IF(D932="BUY",E932+(ROUND(F932*G932/B932,0)*B932),E932-(ROUND(F932*G932/B932,0)*B932)),IF(D932="BUY",E932-(ROUND(F932*G932/B932,0)*B932),E932+(ROUND(F932*G932/B932,0)*B932)))</f>
        <v>#DIV/0!</v>
      </c>
      <c r="H933" s="29" t="e">
        <f>IF(C932=1,IF(D932="BUY",G933-(ROUND(F932*H932/B932,0)*B932),G933+(ROUND(F932*H932/B932,0)*B932)),IF(D932="BUY",G933+(ROUND(F932*H932/B932,0)*B932),G933-(ROUND(F932*H932/B932,0)*B932)))</f>
        <v>#DIV/0!</v>
      </c>
      <c r="I933" s="29" t="e">
        <f>IF(D932="BUY",G933+(ROUND(F932*I932/(B932*100),0)*B932),G933-(ROUND(F932*I932/(B932*100),0)*B932))</f>
        <v>#DIV/0!</v>
      </c>
      <c r="J933" s="29" t="e">
        <f>IF(C932=1,IF(D932="BUY",E932+(ROUND(F932*J932/B932,0)*B932),E932-(ROUND(F932*J932/B932,0)*B932)),IF(D932="BUY",E932-(ROUND(F932*J932/B932,0)*B932),E932+(ROUND(F932*J932/B932,0)*B932)))</f>
        <v>#DIV/0!</v>
      </c>
      <c r="K933" s="29" t="e">
        <f>IF(C932=1,IF(D932="BUY",E932-(ROUND(F932*K932/B932,0)*B932),E932+(ROUND(F932*K932/B932,0)*B932)),IF(D932="BUY",E932-(ROUND(F932*K932/B932,0)*B932),E932+(ROUND(F932*K932/B932,0)*B932)))</f>
        <v>#DIV/0!</v>
      </c>
      <c r="L933" s="29" t="e">
        <f t="shared" ref="L933" si="1394">IF(D933="BUY",I933+(R933*B933),I933-(R933*B933))</f>
        <v>#DIV/0!</v>
      </c>
      <c r="M933" s="29" t="e">
        <f>IF(D932="BUY",E932+(ROUND(F932*M932/B932,0)*B932),E932-(ROUND(F932*M932/B932,0)*B932))</f>
        <v>#DIV/0!</v>
      </c>
      <c r="N933" s="29" t="e">
        <f>IF(D932="BUY",E932-(ROUND(F932*N932/B932,0)*B932),E932+(ROUND(F932*N932/B932,0)*B932))</f>
        <v>#DIV/0!</v>
      </c>
      <c r="O933" s="31" t="e">
        <f>IF(D933="BUY",N933-VLOOKUP(A933,Symbols!A$1:D$1000,4,FALSE),N933+VLOOKUP(A933,Symbols!A$1:D$1000,4,FALSE))</f>
        <v>#DIV/0!</v>
      </c>
      <c r="P933" s="29">
        <f>P932</f>
        <v>0</v>
      </c>
      <c r="Q933" s="29">
        <f>Q932</f>
        <v>0</v>
      </c>
      <c r="R933" s="29">
        <f>R932</f>
        <v>0</v>
      </c>
      <c r="S933" s="29">
        <f>S932</f>
        <v>0</v>
      </c>
      <c r="T933" s="29">
        <f>T932</f>
        <v>0</v>
      </c>
      <c r="U933" s="29" t="e">
        <f>DATEDIF(DATE(1970,1,1),U932,"D")*86400</f>
        <v>#NUM!</v>
      </c>
      <c r="V933" s="29">
        <f>HOUR(V932)*3600+MINUTE(V932)*60+SECOND(V932)</f>
        <v>0</v>
      </c>
      <c r="W933" s="29" t="e">
        <f>DATEDIF(DATE(1970,1,1),W932,"D")*86400</f>
        <v>#NUM!</v>
      </c>
      <c r="X933" s="29">
        <f>HOUR(X932)*3600+MINUTE(X932)*60+SECOND(X932)</f>
        <v>0</v>
      </c>
      <c r="Y933" s="31">
        <f>(Y932*B933)</f>
        <v>0</v>
      </c>
      <c r="Z933" s="29">
        <f>Z932</f>
        <v>0</v>
      </c>
      <c r="AA933" s="29" t="e">
        <f>DATEDIF(DATE(1970,1,1),AA932,"D")*86400</f>
        <v>#NUM!</v>
      </c>
      <c r="AB933" s="29">
        <f>HOUR(AB932)*3600+MINUTE(AB932)*60+SECOND(AB932)</f>
        <v>0</v>
      </c>
      <c r="AC933" s="29">
        <f>AC932</f>
        <v>0</v>
      </c>
    </row>
    <row r="934" spans="1:29">
      <c r="A934" s="23">
        <f>Parameters!A468</f>
        <v>0</v>
      </c>
      <c r="B934" s="23">
        <f>Parameters!B468</f>
        <v>0</v>
      </c>
      <c r="C934" s="24">
        <f>Parameters!C468</f>
        <v>0</v>
      </c>
      <c r="D934" s="24">
        <f>Parameters!D468</f>
        <v>0</v>
      </c>
      <c r="E934" s="23">
        <f>Parameters!E468</f>
        <v>0</v>
      </c>
      <c r="F934" s="23">
        <f>Parameters!F468</f>
        <v>0</v>
      </c>
      <c r="G934" s="25">
        <f>Parameters!G468</f>
        <v>0</v>
      </c>
      <c r="H934" s="25">
        <f>Parameters!H468</f>
        <v>0</v>
      </c>
      <c r="I934" s="25">
        <f>Parameters!I468</f>
        <v>0</v>
      </c>
      <c r="J934" s="25">
        <f>Parameters!J468</f>
        <v>0</v>
      </c>
      <c r="K934" s="25">
        <f>Parameters!K468</f>
        <v>0</v>
      </c>
      <c r="L934" s="26" t="e">
        <f t="shared" ref="L934" si="1395">L935</f>
        <v>#DIV/0!</v>
      </c>
      <c r="M934" s="25">
        <f>Parameters!L468</f>
        <v>0</v>
      </c>
      <c r="N934" s="25">
        <f>Parameters!M468</f>
        <v>0</v>
      </c>
      <c r="O934" s="26" t="e">
        <f t="shared" ref="O934" si="1396">O935</f>
        <v>#DIV/0!</v>
      </c>
      <c r="P934" s="23">
        <f>Parameters!N468</f>
        <v>0</v>
      </c>
      <c r="Q934" s="23">
        <f>Parameters!O468</f>
        <v>0</v>
      </c>
      <c r="R934" s="23">
        <f>Parameters!P468</f>
        <v>0</v>
      </c>
      <c r="S934" s="23">
        <f>Parameters!Q468</f>
        <v>0</v>
      </c>
      <c r="T934" s="23">
        <f>Parameters!R468</f>
        <v>0</v>
      </c>
      <c r="U934" s="27">
        <f>Parameters!S468</f>
        <v>0</v>
      </c>
      <c r="V934" s="28">
        <f>Parameters!T468</f>
        <v>0</v>
      </c>
      <c r="W934" s="27">
        <f>Parameters!U468</f>
        <v>0</v>
      </c>
      <c r="X934" s="28">
        <f>Parameters!V468</f>
        <v>0</v>
      </c>
      <c r="Y934" s="25">
        <f>Parameters!W468</f>
        <v>0</v>
      </c>
      <c r="Z934" s="23">
        <f>Parameters!X468</f>
        <v>0</v>
      </c>
      <c r="AA934" s="27">
        <f>Parameters!Y468</f>
        <v>0</v>
      </c>
      <c r="AB934" s="28">
        <f>Parameters!Z468</f>
        <v>0</v>
      </c>
      <c r="AC934" s="23">
        <f>Parameters!AA468</f>
        <v>0</v>
      </c>
    </row>
    <row r="935" spans="1:29">
      <c r="A935" s="29" t="str">
        <f>UPPER(A934)</f>
        <v>0</v>
      </c>
      <c r="B935" s="29">
        <f>B934</f>
        <v>0</v>
      </c>
      <c r="C935" s="30">
        <f>C934</f>
        <v>0</v>
      </c>
      <c r="D935" s="30">
        <f>D934</f>
        <v>0</v>
      </c>
      <c r="E935" s="29">
        <f>E934</f>
        <v>0</v>
      </c>
      <c r="F935" s="29">
        <f>F934</f>
        <v>0</v>
      </c>
      <c r="G935" s="29" t="e">
        <f>IF(C934=1,IF(D934="BUY",E934+(ROUND(F934*G934/B934,0)*B934),E934-(ROUND(F934*G934/B934,0)*B934)),IF(D934="BUY",E934-(ROUND(F934*G934/B934,0)*B934),E934+(ROUND(F934*G934/B934,0)*B934)))</f>
        <v>#DIV/0!</v>
      </c>
      <c r="H935" s="29" t="e">
        <f>IF(C934=1,IF(D934="BUY",G935-(ROUND(F934*H934/B934,0)*B934),G935+(ROUND(F934*H934/B934,0)*B934)),IF(D934="BUY",G935+(ROUND(F934*H934/B934,0)*B934),G935-(ROUND(F934*H934/B934,0)*B934)))</f>
        <v>#DIV/0!</v>
      </c>
      <c r="I935" s="29" t="e">
        <f>IF(D934="BUY",G935+(ROUND(F934*I934/(B934*100),0)*B934),G935-(ROUND(F934*I934/(B934*100),0)*B934))</f>
        <v>#DIV/0!</v>
      </c>
      <c r="J935" s="29" t="e">
        <f>IF(C934=1,IF(D934="BUY",E934+(ROUND(F934*J934/B934,0)*B934),E934-(ROUND(F934*J934/B934,0)*B934)),IF(D934="BUY",E934-(ROUND(F934*J934/B934,0)*B934),E934+(ROUND(F934*J934/B934,0)*B934)))</f>
        <v>#DIV/0!</v>
      </c>
      <c r="K935" s="29" t="e">
        <f>IF(C934=1,IF(D934="BUY",E934-(ROUND(F934*K934/B934,0)*B934),E934+(ROUND(F934*K934/B934,0)*B934)),IF(D934="BUY",E934-(ROUND(F934*K934/B934,0)*B934),E934+(ROUND(F934*K934/B934,0)*B934)))</f>
        <v>#DIV/0!</v>
      </c>
      <c r="L935" s="29" t="e">
        <f t="shared" ref="L935" si="1397">IF(D935="BUY",I935+(R935*B935),I935-(R935*B935))</f>
        <v>#DIV/0!</v>
      </c>
      <c r="M935" s="29" t="e">
        <f>IF(D934="BUY",E934+(ROUND(F934*M934/B934,0)*B934),E934-(ROUND(F934*M934/B934,0)*B934))</f>
        <v>#DIV/0!</v>
      </c>
      <c r="N935" s="29" t="e">
        <f>IF(D934="BUY",E934-(ROUND(F934*N934/B934,0)*B934),E934+(ROUND(F934*N934/B934,0)*B934))</f>
        <v>#DIV/0!</v>
      </c>
      <c r="O935" s="31" t="e">
        <f>IF(D935="BUY",N935-VLOOKUP(A935,Symbols!A$1:D$1000,4,FALSE),N935+VLOOKUP(A935,Symbols!A$1:D$1000,4,FALSE))</f>
        <v>#DIV/0!</v>
      </c>
      <c r="P935" s="29">
        <f>P934</f>
        <v>0</v>
      </c>
      <c r="Q935" s="29">
        <f>Q934</f>
        <v>0</v>
      </c>
      <c r="R935" s="29">
        <f>R934</f>
        <v>0</v>
      </c>
      <c r="S935" s="29">
        <f>S934</f>
        <v>0</v>
      </c>
      <c r="T935" s="29">
        <f>T934</f>
        <v>0</v>
      </c>
      <c r="U935" s="29" t="e">
        <f>DATEDIF(DATE(1970,1,1),U934,"D")*86400</f>
        <v>#NUM!</v>
      </c>
      <c r="V935" s="29">
        <f>HOUR(V934)*3600+MINUTE(V934)*60+SECOND(V934)</f>
        <v>0</v>
      </c>
      <c r="W935" s="29" t="e">
        <f>DATEDIF(DATE(1970,1,1),W934,"D")*86400</f>
        <v>#NUM!</v>
      </c>
      <c r="X935" s="29">
        <f>HOUR(X934)*3600+MINUTE(X934)*60+SECOND(X934)</f>
        <v>0</v>
      </c>
      <c r="Y935" s="31">
        <f>(Y934*B935)</f>
        <v>0</v>
      </c>
      <c r="Z935" s="29">
        <f>Z934</f>
        <v>0</v>
      </c>
      <c r="AA935" s="29" t="e">
        <f>DATEDIF(DATE(1970,1,1),AA934,"D")*86400</f>
        <v>#NUM!</v>
      </c>
      <c r="AB935" s="29">
        <f>HOUR(AB934)*3600+MINUTE(AB934)*60+SECOND(AB934)</f>
        <v>0</v>
      </c>
      <c r="AC935" s="29">
        <f>AC934</f>
        <v>0</v>
      </c>
    </row>
    <row r="936" spans="1:29">
      <c r="A936" s="23">
        <f>Parameters!A469</f>
        <v>0</v>
      </c>
      <c r="B936" s="23">
        <f>Parameters!B469</f>
        <v>0</v>
      </c>
      <c r="C936" s="24">
        <f>Parameters!C469</f>
        <v>0</v>
      </c>
      <c r="D936" s="24">
        <f>Parameters!D469</f>
        <v>0</v>
      </c>
      <c r="E936" s="23">
        <f>Parameters!E469</f>
        <v>0</v>
      </c>
      <c r="F936" s="23">
        <f>Parameters!F469</f>
        <v>0</v>
      </c>
      <c r="G936" s="25">
        <f>Parameters!G469</f>
        <v>0</v>
      </c>
      <c r="H936" s="25">
        <f>Parameters!H469</f>
        <v>0</v>
      </c>
      <c r="I936" s="25">
        <f>Parameters!I469</f>
        <v>0</v>
      </c>
      <c r="J936" s="25">
        <f>Parameters!J469</f>
        <v>0</v>
      </c>
      <c r="K936" s="25">
        <f>Parameters!K469</f>
        <v>0</v>
      </c>
      <c r="L936" s="26" t="e">
        <f t="shared" ref="L936" si="1398">L937</f>
        <v>#DIV/0!</v>
      </c>
      <c r="M936" s="25">
        <f>Parameters!L469</f>
        <v>0</v>
      </c>
      <c r="N936" s="25">
        <f>Parameters!M469</f>
        <v>0</v>
      </c>
      <c r="O936" s="26" t="e">
        <f t="shared" ref="O936" si="1399">O937</f>
        <v>#DIV/0!</v>
      </c>
      <c r="P936" s="23">
        <f>Parameters!N469</f>
        <v>0</v>
      </c>
      <c r="Q936" s="23">
        <f>Parameters!O469</f>
        <v>0</v>
      </c>
      <c r="R936" s="23">
        <f>Parameters!P469</f>
        <v>0</v>
      </c>
      <c r="S936" s="23">
        <f>Parameters!Q469</f>
        <v>0</v>
      </c>
      <c r="T936" s="23">
        <f>Parameters!R469</f>
        <v>0</v>
      </c>
      <c r="U936" s="27">
        <f>Parameters!S469</f>
        <v>0</v>
      </c>
      <c r="V936" s="28">
        <f>Parameters!T469</f>
        <v>0</v>
      </c>
      <c r="W936" s="27">
        <f>Parameters!U469</f>
        <v>0</v>
      </c>
      <c r="X936" s="28">
        <f>Parameters!V469</f>
        <v>0</v>
      </c>
      <c r="Y936" s="25">
        <f>Parameters!W469</f>
        <v>0</v>
      </c>
      <c r="Z936" s="23">
        <f>Parameters!X469</f>
        <v>0</v>
      </c>
      <c r="AA936" s="27">
        <f>Parameters!Y469</f>
        <v>0</v>
      </c>
      <c r="AB936" s="28">
        <f>Parameters!Z469</f>
        <v>0</v>
      </c>
      <c r="AC936" s="23">
        <f>Parameters!AA469</f>
        <v>0</v>
      </c>
    </row>
    <row r="937" spans="1:29">
      <c r="A937" s="29" t="str">
        <f>UPPER(A936)</f>
        <v>0</v>
      </c>
      <c r="B937" s="29">
        <f>B936</f>
        <v>0</v>
      </c>
      <c r="C937" s="30">
        <f>C936</f>
        <v>0</v>
      </c>
      <c r="D937" s="30">
        <f>D936</f>
        <v>0</v>
      </c>
      <c r="E937" s="29">
        <f>E936</f>
        <v>0</v>
      </c>
      <c r="F937" s="29">
        <f>F936</f>
        <v>0</v>
      </c>
      <c r="G937" s="29" t="e">
        <f>IF(C936=1,IF(D936="BUY",E936+(ROUND(F936*G936/B936,0)*B936),E936-(ROUND(F936*G936/B936,0)*B936)),IF(D936="BUY",E936-(ROUND(F936*G936/B936,0)*B936),E936+(ROUND(F936*G936/B936,0)*B936)))</f>
        <v>#DIV/0!</v>
      </c>
      <c r="H937" s="29" t="e">
        <f>IF(C936=1,IF(D936="BUY",G937-(ROUND(F936*H936/B936,0)*B936),G937+(ROUND(F936*H936/B936,0)*B936)),IF(D936="BUY",G937+(ROUND(F936*H936/B936,0)*B936),G937-(ROUND(F936*H936/B936,0)*B936)))</f>
        <v>#DIV/0!</v>
      </c>
      <c r="I937" s="29" t="e">
        <f>IF(D936="BUY",G937+(ROUND(F936*I936/(B936*100),0)*B936),G937-(ROUND(F936*I936/(B936*100),0)*B936))</f>
        <v>#DIV/0!</v>
      </c>
      <c r="J937" s="29" t="e">
        <f>IF(C936=1,IF(D936="BUY",E936+(ROUND(F936*J936/B936,0)*B936),E936-(ROUND(F936*J936/B936,0)*B936)),IF(D936="BUY",E936-(ROUND(F936*J936/B936,0)*B936),E936+(ROUND(F936*J936/B936,0)*B936)))</f>
        <v>#DIV/0!</v>
      </c>
      <c r="K937" s="29" t="e">
        <f>IF(C936=1,IF(D936="BUY",E936-(ROUND(F936*K936/B936,0)*B936),E936+(ROUND(F936*K936/B936,0)*B936)),IF(D936="BUY",E936-(ROUND(F936*K936/B936,0)*B936),E936+(ROUND(F936*K936/B936,0)*B936)))</f>
        <v>#DIV/0!</v>
      </c>
      <c r="L937" s="29" t="e">
        <f t="shared" ref="L937" si="1400">IF(D937="BUY",I937+(R937*B937),I937-(R937*B937))</f>
        <v>#DIV/0!</v>
      </c>
      <c r="M937" s="29" t="e">
        <f>IF(D936="BUY",E936+(ROUND(F936*M936/B936,0)*B936),E936-(ROUND(F936*M936/B936,0)*B936))</f>
        <v>#DIV/0!</v>
      </c>
      <c r="N937" s="29" t="e">
        <f>IF(D936="BUY",E936-(ROUND(F936*N936/B936,0)*B936),E936+(ROUND(F936*N936/B936,0)*B936))</f>
        <v>#DIV/0!</v>
      </c>
      <c r="O937" s="31" t="e">
        <f>IF(D937="BUY",N937-VLOOKUP(A937,Symbols!A$1:D$1000,4,FALSE),N937+VLOOKUP(A937,Symbols!A$1:D$1000,4,FALSE))</f>
        <v>#DIV/0!</v>
      </c>
      <c r="P937" s="29">
        <f>P936</f>
        <v>0</v>
      </c>
      <c r="Q937" s="29">
        <f>Q936</f>
        <v>0</v>
      </c>
      <c r="R937" s="29">
        <f>R936</f>
        <v>0</v>
      </c>
      <c r="S937" s="29">
        <f>S936</f>
        <v>0</v>
      </c>
      <c r="T937" s="29">
        <f>T936</f>
        <v>0</v>
      </c>
      <c r="U937" s="29" t="e">
        <f>DATEDIF(DATE(1970,1,1),U936,"D")*86400</f>
        <v>#NUM!</v>
      </c>
      <c r="V937" s="29">
        <f>HOUR(V936)*3600+MINUTE(V936)*60+SECOND(V936)</f>
        <v>0</v>
      </c>
      <c r="W937" s="29" t="e">
        <f>DATEDIF(DATE(1970,1,1),W936,"D")*86400</f>
        <v>#NUM!</v>
      </c>
      <c r="X937" s="29">
        <f>HOUR(X936)*3600+MINUTE(X936)*60+SECOND(X936)</f>
        <v>0</v>
      </c>
      <c r="Y937" s="31">
        <f>(Y936*B937)</f>
        <v>0</v>
      </c>
      <c r="Z937" s="29">
        <f>Z936</f>
        <v>0</v>
      </c>
      <c r="AA937" s="29" t="e">
        <f>DATEDIF(DATE(1970,1,1),AA936,"D")*86400</f>
        <v>#NUM!</v>
      </c>
      <c r="AB937" s="29">
        <f>HOUR(AB936)*3600+MINUTE(AB936)*60+SECOND(AB936)</f>
        <v>0</v>
      </c>
      <c r="AC937" s="29">
        <f>AC936</f>
        <v>0</v>
      </c>
    </row>
    <row r="938" spans="1:29">
      <c r="A938" s="23">
        <f>Parameters!A470</f>
        <v>0</v>
      </c>
      <c r="B938" s="23">
        <f>Parameters!B470</f>
        <v>0</v>
      </c>
      <c r="C938" s="24">
        <f>Parameters!C470</f>
        <v>0</v>
      </c>
      <c r="D938" s="24">
        <f>Parameters!D470</f>
        <v>0</v>
      </c>
      <c r="E938" s="23">
        <f>Parameters!E470</f>
        <v>0</v>
      </c>
      <c r="F938" s="23">
        <f>Parameters!F470</f>
        <v>0</v>
      </c>
      <c r="G938" s="25">
        <f>Parameters!G470</f>
        <v>0</v>
      </c>
      <c r="H938" s="25">
        <f>Parameters!H470</f>
        <v>0</v>
      </c>
      <c r="I938" s="25">
        <f>Parameters!I470</f>
        <v>0</v>
      </c>
      <c r="J938" s="25">
        <f>Parameters!J470</f>
        <v>0</v>
      </c>
      <c r="K938" s="25">
        <f>Parameters!K470</f>
        <v>0</v>
      </c>
      <c r="L938" s="26" t="e">
        <f t="shared" ref="L938" si="1401">L939</f>
        <v>#DIV/0!</v>
      </c>
      <c r="M938" s="25">
        <f>Parameters!L470</f>
        <v>0</v>
      </c>
      <c r="N938" s="25">
        <f>Parameters!M470</f>
        <v>0</v>
      </c>
      <c r="O938" s="26" t="e">
        <f t="shared" ref="O938" si="1402">O939</f>
        <v>#DIV/0!</v>
      </c>
      <c r="P938" s="23">
        <f>Parameters!N470</f>
        <v>0</v>
      </c>
      <c r="Q938" s="23">
        <f>Parameters!O470</f>
        <v>0</v>
      </c>
      <c r="R938" s="23">
        <f>Parameters!P470</f>
        <v>0</v>
      </c>
      <c r="S938" s="23">
        <f>Parameters!Q470</f>
        <v>0</v>
      </c>
      <c r="T938" s="23">
        <f>Parameters!R470</f>
        <v>0</v>
      </c>
      <c r="U938" s="27">
        <f>Parameters!S470</f>
        <v>0</v>
      </c>
      <c r="V938" s="28">
        <f>Parameters!T470</f>
        <v>0</v>
      </c>
      <c r="W938" s="27">
        <f>Parameters!U470</f>
        <v>0</v>
      </c>
      <c r="X938" s="28">
        <f>Parameters!V470</f>
        <v>0</v>
      </c>
      <c r="Y938" s="25">
        <f>Parameters!W470</f>
        <v>0</v>
      </c>
      <c r="Z938" s="23">
        <f>Parameters!X470</f>
        <v>0</v>
      </c>
      <c r="AA938" s="27">
        <f>Parameters!Y470</f>
        <v>0</v>
      </c>
      <c r="AB938" s="28">
        <f>Parameters!Z470</f>
        <v>0</v>
      </c>
      <c r="AC938" s="23">
        <f>Parameters!AA470</f>
        <v>0</v>
      </c>
    </row>
    <row r="939" spans="1:29">
      <c r="A939" s="29" t="str">
        <f>UPPER(A938)</f>
        <v>0</v>
      </c>
      <c r="B939" s="29">
        <f>B938</f>
        <v>0</v>
      </c>
      <c r="C939" s="30">
        <f>C938</f>
        <v>0</v>
      </c>
      <c r="D939" s="30">
        <f>D938</f>
        <v>0</v>
      </c>
      <c r="E939" s="29">
        <f>E938</f>
        <v>0</v>
      </c>
      <c r="F939" s="29">
        <f>F938</f>
        <v>0</v>
      </c>
      <c r="G939" s="29" t="e">
        <f>IF(C938=1,IF(D938="BUY",E938+(ROUND(F938*G938/B938,0)*B938),E938-(ROUND(F938*G938/B938,0)*B938)),IF(D938="BUY",E938-(ROUND(F938*G938/B938,0)*B938),E938+(ROUND(F938*G938/B938,0)*B938)))</f>
        <v>#DIV/0!</v>
      </c>
      <c r="H939" s="29" t="e">
        <f>IF(C938=1,IF(D938="BUY",G939-(ROUND(F938*H938/B938,0)*B938),G939+(ROUND(F938*H938/B938,0)*B938)),IF(D938="BUY",G939+(ROUND(F938*H938/B938,0)*B938),G939-(ROUND(F938*H938/B938,0)*B938)))</f>
        <v>#DIV/0!</v>
      </c>
      <c r="I939" s="29" t="e">
        <f>IF(D938="BUY",G939+(ROUND(F938*I938/(B938*100),0)*B938),G939-(ROUND(F938*I938/(B938*100),0)*B938))</f>
        <v>#DIV/0!</v>
      </c>
      <c r="J939" s="29" t="e">
        <f>IF(C938=1,IF(D938="BUY",E938+(ROUND(F938*J938/B938,0)*B938),E938-(ROUND(F938*J938/B938,0)*B938)),IF(D938="BUY",E938-(ROUND(F938*J938/B938,0)*B938),E938+(ROUND(F938*J938/B938,0)*B938)))</f>
        <v>#DIV/0!</v>
      </c>
      <c r="K939" s="29" t="e">
        <f>IF(C938=1,IF(D938="BUY",E938-(ROUND(F938*K938/B938,0)*B938),E938+(ROUND(F938*K938/B938,0)*B938)),IF(D938="BUY",E938-(ROUND(F938*K938/B938,0)*B938),E938+(ROUND(F938*K938/B938,0)*B938)))</f>
        <v>#DIV/0!</v>
      </c>
      <c r="L939" s="29" t="e">
        <f t="shared" ref="L939" si="1403">IF(D939="BUY",I939+(R939*B939),I939-(R939*B939))</f>
        <v>#DIV/0!</v>
      </c>
      <c r="M939" s="29" t="e">
        <f>IF(D938="BUY",E938+(ROUND(F938*M938/B938,0)*B938),E938-(ROUND(F938*M938/B938,0)*B938))</f>
        <v>#DIV/0!</v>
      </c>
      <c r="N939" s="29" t="e">
        <f>IF(D938="BUY",E938-(ROUND(F938*N938/B938,0)*B938),E938+(ROUND(F938*N938/B938,0)*B938))</f>
        <v>#DIV/0!</v>
      </c>
      <c r="O939" s="31" t="e">
        <f>IF(D939="BUY",N939-VLOOKUP(A939,Symbols!A$1:D$1000,4,FALSE),N939+VLOOKUP(A939,Symbols!A$1:D$1000,4,FALSE))</f>
        <v>#DIV/0!</v>
      </c>
      <c r="P939" s="29">
        <f>P938</f>
        <v>0</v>
      </c>
      <c r="Q939" s="29">
        <f>Q938</f>
        <v>0</v>
      </c>
      <c r="R939" s="29">
        <f>R938</f>
        <v>0</v>
      </c>
      <c r="S939" s="29">
        <f>S938</f>
        <v>0</v>
      </c>
      <c r="T939" s="29">
        <f>T938</f>
        <v>0</v>
      </c>
      <c r="U939" s="29" t="e">
        <f>DATEDIF(DATE(1970,1,1),U938,"D")*86400</f>
        <v>#NUM!</v>
      </c>
      <c r="V939" s="29">
        <f>HOUR(V938)*3600+MINUTE(V938)*60+SECOND(V938)</f>
        <v>0</v>
      </c>
      <c r="W939" s="29" t="e">
        <f>DATEDIF(DATE(1970,1,1),W938,"D")*86400</f>
        <v>#NUM!</v>
      </c>
      <c r="X939" s="29">
        <f>HOUR(X938)*3600+MINUTE(X938)*60+SECOND(X938)</f>
        <v>0</v>
      </c>
      <c r="Y939" s="31">
        <f>(Y938*B939)</f>
        <v>0</v>
      </c>
      <c r="Z939" s="29">
        <f>Z938</f>
        <v>0</v>
      </c>
      <c r="AA939" s="29" t="e">
        <f>DATEDIF(DATE(1970,1,1),AA938,"D")*86400</f>
        <v>#NUM!</v>
      </c>
      <c r="AB939" s="29">
        <f>HOUR(AB938)*3600+MINUTE(AB938)*60+SECOND(AB938)</f>
        <v>0</v>
      </c>
      <c r="AC939" s="29">
        <f>AC938</f>
        <v>0</v>
      </c>
    </row>
    <row r="940" spans="1:29">
      <c r="A940" s="23">
        <f>Parameters!A471</f>
        <v>0</v>
      </c>
      <c r="B940" s="23">
        <f>Parameters!B471</f>
        <v>0</v>
      </c>
      <c r="C940" s="24">
        <f>Parameters!C471</f>
        <v>0</v>
      </c>
      <c r="D940" s="24">
        <f>Parameters!D471</f>
        <v>0</v>
      </c>
      <c r="E940" s="23">
        <f>Parameters!E471</f>
        <v>0</v>
      </c>
      <c r="F940" s="23">
        <f>Parameters!F471</f>
        <v>0</v>
      </c>
      <c r="G940" s="25">
        <f>Parameters!G471</f>
        <v>0</v>
      </c>
      <c r="H940" s="25">
        <f>Parameters!H471</f>
        <v>0</v>
      </c>
      <c r="I940" s="25">
        <f>Parameters!I471</f>
        <v>0</v>
      </c>
      <c r="J940" s="25">
        <f>Parameters!J471</f>
        <v>0</v>
      </c>
      <c r="K940" s="25">
        <f>Parameters!K471</f>
        <v>0</v>
      </c>
      <c r="L940" s="26" t="e">
        <f t="shared" ref="L940" si="1404">L941</f>
        <v>#DIV/0!</v>
      </c>
      <c r="M940" s="25">
        <f>Parameters!L471</f>
        <v>0</v>
      </c>
      <c r="N940" s="25">
        <f>Parameters!M471</f>
        <v>0</v>
      </c>
      <c r="O940" s="26" t="e">
        <f t="shared" ref="O940" si="1405">O941</f>
        <v>#DIV/0!</v>
      </c>
      <c r="P940" s="23">
        <f>Parameters!N471</f>
        <v>0</v>
      </c>
      <c r="Q940" s="23">
        <f>Parameters!O471</f>
        <v>0</v>
      </c>
      <c r="R940" s="23">
        <f>Parameters!P471</f>
        <v>0</v>
      </c>
      <c r="S940" s="23">
        <f>Parameters!Q471</f>
        <v>0</v>
      </c>
      <c r="T940" s="23">
        <f>Parameters!R471</f>
        <v>0</v>
      </c>
      <c r="U940" s="27">
        <f>Parameters!S471</f>
        <v>0</v>
      </c>
      <c r="V940" s="28">
        <f>Parameters!T471</f>
        <v>0</v>
      </c>
      <c r="W940" s="27">
        <f>Parameters!U471</f>
        <v>0</v>
      </c>
      <c r="X940" s="28">
        <f>Parameters!V471</f>
        <v>0</v>
      </c>
      <c r="Y940" s="25">
        <f>Parameters!W471</f>
        <v>0</v>
      </c>
      <c r="Z940" s="23">
        <f>Parameters!X471</f>
        <v>0</v>
      </c>
      <c r="AA940" s="27">
        <f>Parameters!Y471</f>
        <v>0</v>
      </c>
      <c r="AB940" s="28">
        <f>Parameters!Z471</f>
        <v>0</v>
      </c>
      <c r="AC940" s="23">
        <f>Parameters!AA471</f>
        <v>0</v>
      </c>
    </row>
    <row r="941" spans="1:29">
      <c r="A941" s="29" t="str">
        <f>UPPER(A940)</f>
        <v>0</v>
      </c>
      <c r="B941" s="29">
        <f>B940</f>
        <v>0</v>
      </c>
      <c r="C941" s="30">
        <f>C940</f>
        <v>0</v>
      </c>
      <c r="D941" s="30">
        <f>D940</f>
        <v>0</v>
      </c>
      <c r="E941" s="29">
        <f>E940</f>
        <v>0</v>
      </c>
      <c r="F941" s="29">
        <f>F940</f>
        <v>0</v>
      </c>
      <c r="G941" s="29" t="e">
        <f>IF(C940=1,IF(D940="BUY",E940+(ROUND(F940*G940/B940,0)*B940),E940-(ROUND(F940*G940/B940,0)*B940)),IF(D940="BUY",E940-(ROUND(F940*G940/B940,0)*B940),E940+(ROUND(F940*G940/B940,0)*B940)))</f>
        <v>#DIV/0!</v>
      </c>
      <c r="H941" s="29" t="e">
        <f>IF(C940=1,IF(D940="BUY",G941-(ROUND(F940*H940/B940,0)*B940),G941+(ROUND(F940*H940/B940,0)*B940)),IF(D940="BUY",G941+(ROUND(F940*H940/B940,0)*B940),G941-(ROUND(F940*H940/B940,0)*B940)))</f>
        <v>#DIV/0!</v>
      </c>
      <c r="I941" s="29" t="e">
        <f>IF(D940="BUY",G941+(ROUND(F940*I940/(B940*100),0)*B940),G941-(ROUND(F940*I940/(B940*100),0)*B940))</f>
        <v>#DIV/0!</v>
      </c>
      <c r="J941" s="29" t="e">
        <f>IF(C940=1,IF(D940="BUY",E940+(ROUND(F940*J940/B940,0)*B940),E940-(ROUND(F940*J940/B940,0)*B940)),IF(D940="BUY",E940-(ROUND(F940*J940/B940,0)*B940),E940+(ROUND(F940*J940/B940,0)*B940)))</f>
        <v>#DIV/0!</v>
      </c>
      <c r="K941" s="29" t="e">
        <f>IF(C940=1,IF(D940="BUY",E940-(ROUND(F940*K940/B940,0)*B940),E940+(ROUND(F940*K940/B940,0)*B940)),IF(D940="BUY",E940-(ROUND(F940*K940/B940,0)*B940),E940+(ROUND(F940*K940/B940,0)*B940)))</f>
        <v>#DIV/0!</v>
      </c>
      <c r="L941" s="29" t="e">
        <f t="shared" ref="L941" si="1406">IF(D941="BUY",I941+(R941*B941),I941-(R941*B941))</f>
        <v>#DIV/0!</v>
      </c>
      <c r="M941" s="29" t="e">
        <f>IF(D940="BUY",E940+(ROUND(F940*M940/B940,0)*B940),E940-(ROUND(F940*M940/B940,0)*B940))</f>
        <v>#DIV/0!</v>
      </c>
      <c r="N941" s="29" t="e">
        <f>IF(D940="BUY",E940-(ROUND(F940*N940/B940,0)*B940),E940+(ROUND(F940*N940/B940,0)*B940))</f>
        <v>#DIV/0!</v>
      </c>
      <c r="O941" s="31" t="e">
        <f>IF(D941="BUY",N941-VLOOKUP(A941,Symbols!A$1:D$1000,4,FALSE),N941+VLOOKUP(A941,Symbols!A$1:D$1000,4,FALSE))</f>
        <v>#DIV/0!</v>
      </c>
      <c r="P941" s="29">
        <f>P940</f>
        <v>0</v>
      </c>
      <c r="Q941" s="29">
        <f>Q940</f>
        <v>0</v>
      </c>
      <c r="R941" s="29">
        <f>R940</f>
        <v>0</v>
      </c>
      <c r="S941" s="29">
        <f>S940</f>
        <v>0</v>
      </c>
      <c r="T941" s="29">
        <f>T940</f>
        <v>0</v>
      </c>
      <c r="U941" s="29" t="e">
        <f>DATEDIF(DATE(1970,1,1),U940,"D")*86400</f>
        <v>#NUM!</v>
      </c>
      <c r="V941" s="29">
        <f>HOUR(V940)*3600+MINUTE(V940)*60+SECOND(V940)</f>
        <v>0</v>
      </c>
      <c r="W941" s="29" t="e">
        <f>DATEDIF(DATE(1970,1,1),W940,"D")*86400</f>
        <v>#NUM!</v>
      </c>
      <c r="X941" s="29">
        <f>HOUR(X940)*3600+MINUTE(X940)*60+SECOND(X940)</f>
        <v>0</v>
      </c>
      <c r="Y941" s="31">
        <f>(Y940*B941)</f>
        <v>0</v>
      </c>
      <c r="Z941" s="29">
        <f>Z940</f>
        <v>0</v>
      </c>
      <c r="AA941" s="29" t="e">
        <f>DATEDIF(DATE(1970,1,1),AA940,"D")*86400</f>
        <v>#NUM!</v>
      </c>
      <c r="AB941" s="29">
        <f>HOUR(AB940)*3600+MINUTE(AB940)*60+SECOND(AB940)</f>
        <v>0</v>
      </c>
      <c r="AC941" s="29">
        <f>AC940</f>
        <v>0</v>
      </c>
    </row>
    <row r="942" spans="1:29">
      <c r="A942" s="23">
        <f>Parameters!A472</f>
        <v>0</v>
      </c>
      <c r="B942" s="23">
        <f>Parameters!B472</f>
        <v>0</v>
      </c>
      <c r="C942" s="24">
        <f>Parameters!C472</f>
        <v>0</v>
      </c>
      <c r="D942" s="24">
        <f>Parameters!D472</f>
        <v>0</v>
      </c>
      <c r="E942" s="23">
        <f>Parameters!E472</f>
        <v>0</v>
      </c>
      <c r="F942" s="23">
        <f>Parameters!F472</f>
        <v>0</v>
      </c>
      <c r="G942" s="25">
        <f>Parameters!G472</f>
        <v>0</v>
      </c>
      <c r="H942" s="25">
        <f>Parameters!H472</f>
        <v>0</v>
      </c>
      <c r="I942" s="25">
        <f>Parameters!I472</f>
        <v>0</v>
      </c>
      <c r="J942" s="25">
        <f>Parameters!J472</f>
        <v>0</v>
      </c>
      <c r="K942" s="25">
        <f>Parameters!K472</f>
        <v>0</v>
      </c>
      <c r="L942" s="26" t="e">
        <f t="shared" ref="L942" si="1407">L943</f>
        <v>#DIV/0!</v>
      </c>
      <c r="M942" s="25">
        <f>Parameters!L472</f>
        <v>0</v>
      </c>
      <c r="N942" s="25">
        <f>Parameters!M472</f>
        <v>0</v>
      </c>
      <c r="O942" s="26" t="e">
        <f t="shared" ref="O942" si="1408">O943</f>
        <v>#DIV/0!</v>
      </c>
      <c r="P942" s="23">
        <f>Parameters!N472</f>
        <v>0</v>
      </c>
      <c r="Q942" s="23">
        <f>Parameters!O472</f>
        <v>0</v>
      </c>
      <c r="R942" s="23">
        <f>Parameters!P472</f>
        <v>0</v>
      </c>
      <c r="S942" s="23">
        <f>Parameters!Q472</f>
        <v>0</v>
      </c>
      <c r="T942" s="23">
        <f>Parameters!R472</f>
        <v>0</v>
      </c>
      <c r="U942" s="27">
        <f>Parameters!S472</f>
        <v>0</v>
      </c>
      <c r="V942" s="28">
        <f>Parameters!T472</f>
        <v>0</v>
      </c>
      <c r="W942" s="27">
        <f>Parameters!U472</f>
        <v>0</v>
      </c>
      <c r="X942" s="28">
        <f>Parameters!V472</f>
        <v>0</v>
      </c>
      <c r="Y942" s="25">
        <f>Parameters!W472</f>
        <v>0</v>
      </c>
      <c r="Z942" s="23">
        <f>Parameters!X472</f>
        <v>0</v>
      </c>
      <c r="AA942" s="27">
        <f>Parameters!Y472</f>
        <v>0</v>
      </c>
      <c r="AB942" s="28">
        <f>Parameters!Z472</f>
        <v>0</v>
      </c>
      <c r="AC942" s="23">
        <f>Parameters!AA472</f>
        <v>0</v>
      </c>
    </row>
    <row r="943" spans="1:29">
      <c r="A943" s="29" t="str">
        <f>UPPER(A942)</f>
        <v>0</v>
      </c>
      <c r="B943" s="29">
        <f>B942</f>
        <v>0</v>
      </c>
      <c r="C943" s="30">
        <f>C942</f>
        <v>0</v>
      </c>
      <c r="D943" s="30">
        <f>D942</f>
        <v>0</v>
      </c>
      <c r="E943" s="29">
        <f>E942</f>
        <v>0</v>
      </c>
      <c r="F943" s="29">
        <f>F942</f>
        <v>0</v>
      </c>
      <c r="G943" s="29" t="e">
        <f>IF(C942=1,IF(D942="BUY",E942+(ROUND(F942*G942/B942,0)*B942),E942-(ROUND(F942*G942/B942,0)*B942)),IF(D942="BUY",E942-(ROUND(F942*G942/B942,0)*B942),E942+(ROUND(F942*G942/B942,0)*B942)))</f>
        <v>#DIV/0!</v>
      </c>
      <c r="H943" s="29" t="e">
        <f>IF(C942=1,IF(D942="BUY",G943-(ROUND(F942*H942/B942,0)*B942),G943+(ROUND(F942*H942/B942,0)*B942)),IF(D942="BUY",G943+(ROUND(F942*H942/B942,0)*B942),G943-(ROUND(F942*H942/B942,0)*B942)))</f>
        <v>#DIV/0!</v>
      </c>
      <c r="I943" s="29" t="e">
        <f>IF(D942="BUY",G943+(ROUND(F942*I942/(B942*100),0)*B942),G943-(ROUND(F942*I942/(B942*100),0)*B942))</f>
        <v>#DIV/0!</v>
      </c>
      <c r="J943" s="29" t="e">
        <f>IF(C942=1,IF(D942="BUY",E942+(ROUND(F942*J942/B942,0)*B942),E942-(ROUND(F942*J942/B942,0)*B942)),IF(D942="BUY",E942-(ROUND(F942*J942/B942,0)*B942),E942+(ROUND(F942*J942/B942,0)*B942)))</f>
        <v>#DIV/0!</v>
      </c>
      <c r="K943" s="29" t="e">
        <f>IF(C942=1,IF(D942="BUY",E942-(ROUND(F942*K942/B942,0)*B942),E942+(ROUND(F942*K942/B942,0)*B942)),IF(D942="BUY",E942-(ROUND(F942*K942/B942,0)*B942),E942+(ROUND(F942*K942/B942,0)*B942)))</f>
        <v>#DIV/0!</v>
      </c>
      <c r="L943" s="29" t="e">
        <f t="shared" ref="L943" si="1409">IF(D943="BUY",I943+(R943*B943),I943-(R943*B943))</f>
        <v>#DIV/0!</v>
      </c>
      <c r="M943" s="29" t="e">
        <f>IF(D942="BUY",E942+(ROUND(F942*M942/B942,0)*B942),E942-(ROUND(F942*M942/B942,0)*B942))</f>
        <v>#DIV/0!</v>
      </c>
      <c r="N943" s="29" t="e">
        <f>IF(D942="BUY",E942-(ROUND(F942*N942/B942,0)*B942),E942+(ROUND(F942*N942/B942,0)*B942))</f>
        <v>#DIV/0!</v>
      </c>
      <c r="O943" s="31" t="e">
        <f>IF(D943="BUY",N943-VLOOKUP(A943,Symbols!A$1:D$1000,4,FALSE),N943+VLOOKUP(A943,Symbols!A$1:D$1000,4,FALSE))</f>
        <v>#DIV/0!</v>
      </c>
      <c r="P943" s="29">
        <f>P942</f>
        <v>0</v>
      </c>
      <c r="Q943" s="29">
        <f>Q942</f>
        <v>0</v>
      </c>
      <c r="R943" s="29">
        <f>R942</f>
        <v>0</v>
      </c>
      <c r="S943" s="29">
        <f>S942</f>
        <v>0</v>
      </c>
      <c r="T943" s="29">
        <f>T942</f>
        <v>0</v>
      </c>
      <c r="U943" s="29" t="e">
        <f>DATEDIF(DATE(1970,1,1),U942,"D")*86400</f>
        <v>#NUM!</v>
      </c>
      <c r="V943" s="29">
        <f>HOUR(V942)*3600+MINUTE(V942)*60+SECOND(V942)</f>
        <v>0</v>
      </c>
      <c r="W943" s="29" t="e">
        <f>DATEDIF(DATE(1970,1,1),W942,"D")*86400</f>
        <v>#NUM!</v>
      </c>
      <c r="X943" s="29">
        <f>HOUR(X942)*3600+MINUTE(X942)*60+SECOND(X942)</f>
        <v>0</v>
      </c>
      <c r="Y943" s="31">
        <f>(Y942*B943)</f>
        <v>0</v>
      </c>
      <c r="Z943" s="29">
        <f>Z942</f>
        <v>0</v>
      </c>
      <c r="AA943" s="29" t="e">
        <f>DATEDIF(DATE(1970,1,1),AA942,"D")*86400</f>
        <v>#NUM!</v>
      </c>
      <c r="AB943" s="29">
        <f>HOUR(AB942)*3600+MINUTE(AB942)*60+SECOND(AB942)</f>
        <v>0</v>
      </c>
      <c r="AC943" s="29">
        <f>AC942</f>
        <v>0</v>
      </c>
    </row>
    <row r="944" spans="1:29">
      <c r="A944" s="23">
        <f>Parameters!A473</f>
        <v>0</v>
      </c>
      <c r="B944" s="23">
        <f>Parameters!B473</f>
        <v>0</v>
      </c>
      <c r="C944" s="24">
        <f>Parameters!C473</f>
        <v>0</v>
      </c>
      <c r="D944" s="24">
        <f>Parameters!D473</f>
        <v>0</v>
      </c>
      <c r="E944" s="23">
        <f>Parameters!E473</f>
        <v>0</v>
      </c>
      <c r="F944" s="23">
        <f>Parameters!F473</f>
        <v>0</v>
      </c>
      <c r="G944" s="25">
        <f>Parameters!G473</f>
        <v>0</v>
      </c>
      <c r="H944" s="25">
        <f>Parameters!H473</f>
        <v>0</v>
      </c>
      <c r="I944" s="25">
        <f>Parameters!I473</f>
        <v>0</v>
      </c>
      <c r="J944" s="25">
        <f>Parameters!J473</f>
        <v>0</v>
      </c>
      <c r="K944" s="25">
        <f>Parameters!K473</f>
        <v>0</v>
      </c>
      <c r="L944" s="26" t="e">
        <f t="shared" ref="L944" si="1410">L945</f>
        <v>#DIV/0!</v>
      </c>
      <c r="M944" s="25">
        <f>Parameters!L473</f>
        <v>0</v>
      </c>
      <c r="N944" s="25">
        <f>Parameters!M473</f>
        <v>0</v>
      </c>
      <c r="O944" s="26" t="e">
        <f t="shared" ref="O944" si="1411">O945</f>
        <v>#DIV/0!</v>
      </c>
      <c r="P944" s="23">
        <f>Parameters!N473</f>
        <v>0</v>
      </c>
      <c r="Q944" s="23">
        <f>Parameters!O473</f>
        <v>0</v>
      </c>
      <c r="R944" s="23">
        <f>Parameters!P473</f>
        <v>0</v>
      </c>
      <c r="S944" s="23">
        <f>Parameters!Q473</f>
        <v>0</v>
      </c>
      <c r="T944" s="23">
        <f>Parameters!R473</f>
        <v>0</v>
      </c>
      <c r="U944" s="27">
        <f>Parameters!S473</f>
        <v>0</v>
      </c>
      <c r="V944" s="28">
        <f>Parameters!T473</f>
        <v>0</v>
      </c>
      <c r="W944" s="27">
        <f>Parameters!U473</f>
        <v>0</v>
      </c>
      <c r="X944" s="28">
        <f>Parameters!V473</f>
        <v>0</v>
      </c>
      <c r="Y944" s="25">
        <f>Parameters!W473</f>
        <v>0</v>
      </c>
      <c r="Z944" s="23">
        <f>Parameters!X473</f>
        <v>0</v>
      </c>
      <c r="AA944" s="27">
        <f>Parameters!Y473</f>
        <v>0</v>
      </c>
      <c r="AB944" s="28">
        <f>Parameters!Z473</f>
        <v>0</v>
      </c>
      <c r="AC944" s="23">
        <f>Parameters!AA473</f>
        <v>0</v>
      </c>
    </row>
    <row r="945" spans="1:29">
      <c r="A945" s="29" t="str">
        <f>UPPER(A944)</f>
        <v>0</v>
      </c>
      <c r="B945" s="29">
        <f>B944</f>
        <v>0</v>
      </c>
      <c r="C945" s="30">
        <f>C944</f>
        <v>0</v>
      </c>
      <c r="D945" s="30">
        <f>D944</f>
        <v>0</v>
      </c>
      <c r="E945" s="29">
        <f>E944</f>
        <v>0</v>
      </c>
      <c r="F945" s="29">
        <f>F944</f>
        <v>0</v>
      </c>
      <c r="G945" s="29" t="e">
        <f>IF(C944=1,IF(D944="BUY",E944+(ROUND(F944*G944/B944,0)*B944),E944-(ROUND(F944*G944/B944,0)*B944)),IF(D944="BUY",E944-(ROUND(F944*G944/B944,0)*B944),E944+(ROUND(F944*G944/B944,0)*B944)))</f>
        <v>#DIV/0!</v>
      </c>
      <c r="H945" s="29" t="e">
        <f>IF(C944=1,IF(D944="BUY",G945-(ROUND(F944*H944/B944,0)*B944),G945+(ROUND(F944*H944/B944,0)*B944)),IF(D944="BUY",G945+(ROUND(F944*H944/B944,0)*B944),G945-(ROUND(F944*H944/B944,0)*B944)))</f>
        <v>#DIV/0!</v>
      </c>
      <c r="I945" s="29" t="e">
        <f>IF(D944="BUY",G945+(ROUND(F944*I944/(B944*100),0)*B944),G945-(ROUND(F944*I944/(B944*100),0)*B944))</f>
        <v>#DIV/0!</v>
      </c>
      <c r="J945" s="29" t="e">
        <f>IF(C944=1,IF(D944="BUY",E944+(ROUND(F944*J944/B944,0)*B944),E944-(ROUND(F944*J944/B944,0)*B944)),IF(D944="BUY",E944-(ROUND(F944*J944/B944,0)*B944),E944+(ROUND(F944*J944/B944,0)*B944)))</f>
        <v>#DIV/0!</v>
      </c>
      <c r="K945" s="29" t="e">
        <f>IF(C944=1,IF(D944="BUY",E944-(ROUND(F944*K944/B944,0)*B944),E944+(ROUND(F944*K944/B944,0)*B944)),IF(D944="BUY",E944-(ROUND(F944*K944/B944,0)*B944),E944+(ROUND(F944*K944/B944,0)*B944)))</f>
        <v>#DIV/0!</v>
      </c>
      <c r="L945" s="29" t="e">
        <f t="shared" ref="L945" si="1412">IF(D945="BUY",I945+(R945*B945),I945-(R945*B945))</f>
        <v>#DIV/0!</v>
      </c>
      <c r="M945" s="29" t="e">
        <f>IF(D944="BUY",E944+(ROUND(F944*M944/B944,0)*B944),E944-(ROUND(F944*M944/B944,0)*B944))</f>
        <v>#DIV/0!</v>
      </c>
      <c r="N945" s="29" t="e">
        <f>IF(D944="BUY",E944-(ROUND(F944*N944/B944,0)*B944),E944+(ROUND(F944*N944/B944,0)*B944))</f>
        <v>#DIV/0!</v>
      </c>
      <c r="O945" s="31" t="e">
        <f>IF(D945="BUY",N945-VLOOKUP(A945,Symbols!A$1:D$1000,4,FALSE),N945+VLOOKUP(A945,Symbols!A$1:D$1000,4,FALSE))</f>
        <v>#DIV/0!</v>
      </c>
      <c r="P945" s="29">
        <f>P944</f>
        <v>0</v>
      </c>
      <c r="Q945" s="29">
        <f>Q944</f>
        <v>0</v>
      </c>
      <c r="R945" s="29">
        <f>R944</f>
        <v>0</v>
      </c>
      <c r="S945" s="29">
        <f>S944</f>
        <v>0</v>
      </c>
      <c r="T945" s="29">
        <f>T944</f>
        <v>0</v>
      </c>
      <c r="U945" s="29" t="e">
        <f>DATEDIF(DATE(1970,1,1),U944,"D")*86400</f>
        <v>#NUM!</v>
      </c>
      <c r="V945" s="29">
        <f>HOUR(V944)*3600+MINUTE(V944)*60+SECOND(V944)</f>
        <v>0</v>
      </c>
      <c r="W945" s="29" t="e">
        <f>DATEDIF(DATE(1970,1,1),W944,"D")*86400</f>
        <v>#NUM!</v>
      </c>
      <c r="X945" s="29">
        <f>HOUR(X944)*3600+MINUTE(X944)*60+SECOND(X944)</f>
        <v>0</v>
      </c>
      <c r="Y945" s="31">
        <f>(Y944*B945)</f>
        <v>0</v>
      </c>
      <c r="Z945" s="29">
        <f>Z944</f>
        <v>0</v>
      </c>
      <c r="AA945" s="29" t="e">
        <f>DATEDIF(DATE(1970,1,1),AA944,"D")*86400</f>
        <v>#NUM!</v>
      </c>
      <c r="AB945" s="29">
        <f>HOUR(AB944)*3600+MINUTE(AB944)*60+SECOND(AB944)</f>
        <v>0</v>
      </c>
      <c r="AC945" s="29">
        <f>AC944</f>
        <v>0</v>
      </c>
    </row>
    <row r="946" spans="1:29">
      <c r="A946" s="23">
        <f>Parameters!A474</f>
        <v>0</v>
      </c>
      <c r="B946" s="23">
        <f>Parameters!B474</f>
        <v>0</v>
      </c>
      <c r="C946" s="24">
        <f>Parameters!C474</f>
        <v>0</v>
      </c>
      <c r="D946" s="24">
        <f>Parameters!D474</f>
        <v>0</v>
      </c>
      <c r="E946" s="23">
        <f>Parameters!E474</f>
        <v>0</v>
      </c>
      <c r="F946" s="23">
        <f>Parameters!F474</f>
        <v>0</v>
      </c>
      <c r="G946" s="25">
        <f>Parameters!G474</f>
        <v>0</v>
      </c>
      <c r="H946" s="25">
        <f>Parameters!H474</f>
        <v>0</v>
      </c>
      <c r="I946" s="25">
        <f>Parameters!I474</f>
        <v>0</v>
      </c>
      <c r="J946" s="25">
        <f>Parameters!J474</f>
        <v>0</v>
      </c>
      <c r="K946" s="25">
        <f>Parameters!K474</f>
        <v>0</v>
      </c>
      <c r="L946" s="26" t="e">
        <f t="shared" ref="L946" si="1413">L947</f>
        <v>#DIV/0!</v>
      </c>
      <c r="M946" s="25">
        <f>Parameters!L474</f>
        <v>0</v>
      </c>
      <c r="N946" s="25">
        <f>Parameters!M474</f>
        <v>0</v>
      </c>
      <c r="O946" s="26" t="e">
        <f t="shared" ref="O946" si="1414">O947</f>
        <v>#DIV/0!</v>
      </c>
      <c r="P946" s="23">
        <f>Parameters!N474</f>
        <v>0</v>
      </c>
      <c r="Q946" s="23">
        <f>Parameters!O474</f>
        <v>0</v>
      </c>
      <c r="R946" s="23">
        <f>Parameters!P474</f>
        <v>0</v>
      </c>
      <c r="S946" s="23">
        <f>Parameters!Q474</f>
        <v>0</v>
      </c>
      <c r="T946" s="23">
        <f>Parameters!R474</f>
        <v>0</v>
      </c>
      <c r="U946" s="27">
        <f>Parameters!S474</f>
        <v>0</v>
      </c>
      <c r="V946" s="28">
        <f>Parameters!T474</f>
        <v>0</v>
      </c>
      <c r="W946" s="27">
        <f>Parameters!U474</f>
        <v>0</v>
      </c>
      <c r="X946" s="28">
        <f>Parameters!V474</f>
        <v>0</v>
      </c>
      <c r="Y946" s="25">
        <f>Parameters!W474</f>
        <v>0</v>
      </c>
      <c r="Z946" s="23">
        <f>Parameters!X474</f>
        <v>0</v>
      </c>
      <c r="AA946" s="27">
        <f>Parameters!Y474</f>
        <v>0</v>
      </c>
      <c r="AB946" s="28">
        <f>Parameters!Z474</f>
        <v>0</v>
      </c>
      <c r="AC946" s="23">
        <f>Parameters!AA474</f>
        <v>0</v>
      </c>
    </row>
    <row r="947" spans="1:29">
      <c r="A947" s="29" t="str">
        <f>UPPER(A946)</f>
        <v>0</v>
      </c>
      <c r="B947" s="29">
        <f>B946</f>
        <v>0</v>
      </c>
      <c r="C947" s="30">
        <f>C946</f>
        <v>0</v>
      </c>
      <c r="D947" s="30">
        <f>D946</f>
        <v>0</v>
      </c>
      <c r="E947" s="29">
        <f>E946</f>
        <v>0</v>
      </c>
      <c r="F947" s="29">
        <f>F946</f>
        <v>0</v>
      </c>
      <c r="G947" s="29" t="e">
        <f>IF(C946=1,IF(D946="BUY",E946+(ROUND(F946*G946/B946,0)*B946),E946-(ROUND(F946*G946/B946,0)*B946)),IF(D946="BUY",E946-(ROUND(F946*G946/B946,0)*B946),E946+(ROUND(F946*G946/B946,0)*B946)))</f>
        <v>#DIV/0!</v>
      </c>
      <c r="H947" s="29" t="e">
        <f>IF(C946=1,IF(D946="BUY",G947-(ROUND(F946*H946/B946,0)*B946),G947+(ROUND(F946*H946/B946,0)*B946)),IF(D946="BUY",G947+(ROUND(F946*H946/B946,0)*B946),G947-(ROUND(F946*H946/B946,0)*B946)))</f>
        <v>#DIV/0!</v>
      </c>
      <c r="I947" s="29" t="e">
        <f>IF(D946="BUY",G947+(ROUND(F946*I946/(B946*100),0)*B946),G947-(ROUND(F946*I946/(B946*100),0)*B946))</f>
        <v>#DIV/0!</v>
      </c>
      <c r="J947" s="29" t="e">
        <f>IF(C946=1,IF(D946="BUY",E946+(ROUND(F946*J946/B946,0)*B946),E946-(ROUND(F946*J946/B946,0)*B946)),IF(D946="BUY",E946-(ROUND(F946*J946/B946,0)*B946),E946+(ROUND(F946*J946/B946,0)*B946)))</f>
        <v>#DIV/0!</v>
      </c>
      <c r="K947" s="29" t="e">
        <f>IF(C946=1,IF(D946="BUY",E946-(ROUND(F946*K946/B946,0)*B946),E946+(ROUND(F946*K946/B946,0)*B946)),IF(D946="BUY",E946-(ROUND(F946*K946/B946,0)*B946),E946+(ROUND(F946*K946/B946,0)*B946)))</f>
        <v>#DIV/0!</v>
      </c>
      <c r="L947" s="29" t="e">
        <f t="shared" ref="L947" si="1415">IF(D947="BUY",I947+(R947*B947),I947-(R947*B947))</f>
        <v>#DIV/0!</v>
      </c>
      <c r="M947" s="29" t="e">
        <f>IF(D946="BUY",E946+(ROUND(F946*M946/B946,0)*B946),E946-(ROUND(F946*M946/B946,0)*B946))</f>
        <v>#DIV/0!</v>
      </c>
      <c r="N947" s="29" t="e">
        <f>IF(D946="BUY",E946-(ROUND(F946*N946/B946,0)*B946),E946+(ROUND(F946*N946/B946,0)*B946))</f>
        <v>#DIV/0!</v>
      </c>
      <c r="O947" s="31" t="e">
        <f>IF(D947="BUY",N947-VLOOKUP(A947,Symbols!A$1:D$1000,4,FALSE),N947+VLOOKUP(A947,Symbols!A$1:D$1000,4,FALSE))</f>
        <v>#DIV/0!</v>
      </c>
      <c r="P947" s="29">
        <f>P946</f>
        <v>0</v>
      </c>
      <c r="Q947" s="29">
        <f>Q946</f>
        <v>0</v>
      </c>
      <c r="R947" s="29">
        <f>R946</f>
        <v>0</v>
      </c>
      <c r="S947" s="29">
        <f>S946</f>
        <v>0</v>
      </c>
      <c r="T947" s="29">
        <f>T946</f>
        <v>0</v>
      </c>
      <c r="U947" s="29" t="e">
        <f>DATEDIF(DATE(1970,1,1),U946,"D")*86400</f>
        <v>#NUM!</v>
      </c>
      <c r="V947" s="29">
        <f>HOUR(V946)*3600+MINUTE(V946)*60+SECOND(V946)</f>
        <v>0</v>
      </c>
      <c r="W947" s="29" t="e">
        <f>DATEDIF(DATE(1970,1,1),W946,"D")*86400</f>
        <v>#NUM!</v>
      </c>
      <c r="X947" s="29">
        <f>HOUR(X946)*3600+MINUTE(X946)*60+SECOND(X946)</f>
        <v>0</v>
      </c>
      <c r="Y947" s="31">
        <f>(Y946*B947)</f>
        <v>0</v>
      </c>
      <c r="Z947" s="29">
        <f>Z946</f>
        <v>0</v>
      </c>
      <c r="AA947" s="29" t="e">
        <f>DATEDIF(DATE(1970,1,1),AA946,"D")*86400</f>
        <v>#NUM!</v>
      </c>
      <c r="AB947" s="29">
        <f>HOUR(AB946)*3600+MINUTE(AB946)*60+SECOND(AB946)</f>
        <v>0</v>
      </c>
      <c r="AC947" s="29">
        <f>AC946</f>
        <v>0</v>
      </c>
    </row>
    <row r="948" spans="1:29">
      <c r="A948" s="23">
        <f>Parameters!A475</f>
        <v>0</v>
      </c>
      <c r="B948" s="23">
        <f>Parameters!B475</f>
        <v>0</v>
      </c>
      <c r="C948" s="24">
        <f>Parameters!C475</f>
        <v>0</v>
      </c>
      <c r="D948" s="24">
        <f>Parameters!D475</f>
        <v>0</v>
      </c>
      <c r="E948" s="23">
        <f>Parameters!E475</f>
        <v>0</v>
      </c>
      <c r="F948" s="23">
        <f>Parameters!F475</f>
        <v>0</v>
      </c>
      <c r="G948" s="25">
        <f>Parameters!G475</f>
        <v>0</v>
      </c>
      <c r="H948" s="25">
        <f>Parameters!H475</f>
        <v>0</v>
      </c>
      <c r="I948" s="25">
        <f>Parameters!I475</f>
        <v>0</v>
      </c>
      <c r="J948" s="25">
        <f>Parameters!J475</f>
        <v>0</v>
      </c>
      <c r="K948" s="25">
        <f>Parameters!K475</f>
        <v>0</v>
      </c>
      <c r="L948" s="26" t="e">
        <f t="shared" ref="L948" si="1416">L949</f>
        <v>#DIV/0!</v>
      </c>
      <c r="M948" s="25">
        <f>Parameters!L475</f>
        <v>0</v>
      </c>
      <c r="N948" s="25">
        <f>Parameters!M475</f>
        <v>0</v>
      </c>
      <c r="O948" s="26" t="e">
        <f t="shared" ref="O948" si="1417">O949</f>
        <v>#DIV/0!</v>
      </c>
      <c r="P948" s="23">
        <f>Parameters!N475</f>
        <v>0</v>
      </c>
      <c r="Q948" s="23">
        <f>Parameters!O475</f>
        <v>0</v>
      </c>
      <c r="R948" s="23">
        <f>Parameters!P475</f>
        <v>0</v>
      </c>
      <c r="S948" s="23">
        <f>Parameters!Q475</f>
        <v>0</v>
      </c>
      <c r="T948" s="23">
        <f>Parameters!R475</f>
        <v>0</v>
      </c>
      <c r="U948" s="27">
        <f>Parameters!S475</f>
        <v>0</v>
      </c>
      <c r="V948" s="28">
        <f>Parameters!T475</f>
        <v>0</v>
      </c>
      <c r="W948" s="27">
        <f>Parameters!U475</f>
        <v>0</v>
      </c>
      <c r="X948" s="28">
        <f>Parameters!V475</f>
        <v>0</v>
      </c>
      <c r="Y948" s="25">
        <f>Parameters!W475</f>
        <v>0</v>
      </c>
      <c r="Z948" s="23">
        <f>Parameters!X475</f>
        <v>0</v>
      </c>
      <c r="AA948" s="27">
        <f>Parameters!Y475</f>
        <v>0</v>
      </c>
      <c r="AB948" s="28">
        <f>Parameters!Z475</f>
        <v>0</v>
      </c>
      <c r="AC948" s="23">
        <f>Parameters!AA475</f>
        <v>0</v>
      </c>
    </row>
    <row r="949" spans="1:29">
      <c r="A949" s="29" t="str">
        <f>UPPER(A948)</f>
        <v>0</v>
      </c>
      <c r="B949" s="29">
        <f>B948</f>
        <v>0</v>
      </c>
      <c r="C949" s="30">
        <f>C948</f>
        <v>0</v>
      </c>
      <c r="D949" s="30">
        <f>D948</f>
        <v>0</v>
      </c>
      <c r="E949" s="29">
        <f>E948</f>
        <v>0</v>
      </c>
      <c r="F949" s="29">
        <f>F948</f>
        <v>0</v>
      </c>
      <c r="G949" s="29" t="e">
        <f>IF(C948=1,IF(D948="BUY",E948+(ROUND(F948*G948/B948,0)*B948),E948-(ROUND(F948*G948/B948,0)*B948)),IF(D948="BUY",E948-(ROUND(F948*G948/B948,0)*B948),E948+(ROUND(F948*G948/B948,0)*B948)))</f>
        <v>#DIV/0!</v>
      </c>
      <c r="H949" s="29" t="e">
        <f>IF(C948=1,IF(D948="BUY",G949-(ROUND(F948*H948/B948,0)*B948),G949+(ROUND(F948*H948/B948,0)*B948)),IF(D948="BUY",G949+(ROUND(F948*H948/B948,0)*B948),G949-(ROUND(F948*H948/B948,0)*B948)))</f>
        <v>#DIV/0!</v>
      </c>
      <c r="I949" s="29" t="e">
        <f>IF(D948="BUY",G949+(ROUND(F948*I948/(B948*100),0)*B948),G949-(ROUND(F948*I948/(B948*100),0)*B948))</f>
        <v>#DIV/0!</v>
      </c>
      <c r="J949" s="29" t="e">
        <f>IF(C948=1,IF(D948="BUY",E948+(ROUND(F948*J948/B948,0)*B948),E948-(ROUND(F948*J948/B948,0)*B948)),IF(D948="BUY",E948-(ROUND(F948*J948/B948,0)*B948),E948+(ROUND(F948*J948/B948,0)*B948)))</f>
        <v>#DIV/0!</v>
      </c>
      <c r="K949" s="29" t="e">
        <f>IF(C948=1,IF(D948="BUY",E948-(ROUND(F948*K948/B948,0)*B948),E948+(ROUND(F948*K948/B948,0)*B948)),IF(D948="BUY",E948-(ROUND(F948*K948/B948,0)*B948),E948+(ROUND(F948*K948/B948,0)*B948)))</f>
        <v>#DIV/0!</v>
      </c>
      <c r="L949" s="29" t="e">
        <f t="shared" ref="L949" si="1418">IF(D949="BUY",I949+(R949*B949),I949-(R949*B949))</f>
        <v>#DIV/0!</v>
      </c>
      <c r="M949" s="29" t="e">
        <f>IF(D948="BUY",E948+(ROUND(F948*M948/B948,0)*B948),E948-(ROUND(F948*M948/B948,0)*B948))</f>
        <v>#DIV/0!</v>
      </c>
      <c r="N949" s="29" t="e">
        <f>IF(D948="BUY",E948-(ROUND(F948*N948/B948,0)*B948),E948+(ROUND(F948*N948/B948,0)*B948))</f>
        <v>#DIV/0!</v>
      </c>
      <c r="O949" s="31" t="e">
        <f>IF(D949="BUY",N949-VLOOKUP(A949,Symbols!A$1:D$1000,4,FALSE),N949+VLOOKUP(A949,Symbols!A$1:D$1000,4,FALSE))</f>
        <v>#DIV/0!</v>
      </c>
      <c r="P949" s="29">
        <f>P948</f>
        <v>0</v>
      </c>
      <c r="Q949" s="29">
        <f>Q948</f>
        <v>0</v>
      </c>
      <c r="R949" s="29">
        <f>R948</f>
        <v>0</v>
      </c>
      <c r="S949" s="29">
        <f>S948</f>
        <v>0</v>
      </c>
      <c r="T949" s="29">
        <f>T948</f>
        <v>0</v>
      </c>
      <c r="U949" s="29" t="e">
        <f>DATEDIF(DATE(1970,1,1),U948,"D")*86400</f>
        <v>#NUM!</v>
      </c>
      <c r="V949" s="29">
        <f>HOUR(V948)*3600+MINUTE(V948)*60+SECOND(V948)</f>
        <v>0</v>
      </c>
      <c r="W949" s="29" t="e">
        <f>DATEDIF(DATE(1970,1,1),W948,"D")*86400</f>
        <v>#NUM!</v>
      </c>
      <c r="X949" s="29">
        <f>HOUR(X948)*3600+MINUTE(X948)*60+SECOND(X948)</f>
        <v>0</v>
      </c>
      <c r="Y949" s="31">
        <f>(Y948*B949)</f>
        <v>0</v>
      </c>
      <c r="Z949" s="29">
        <f>Z948</f>
        <v>0</v>
      </c>
      <c r="AA949" s="29" t="e">
        <f>DATEDIF(DATE(1970,1,1),AA948,"D")*86400</f>
        <v>#NUM!</v>
      </c>
      <c r="AB949" s="29">
        <f>HOUR(AB948)*3600+MINUTE(AB948)*60+SECOND(AB948)</f>
        <v>0</v>
      </c>
      <c r="AC949" s="29">
        <f>AC948</f>
        <v>0</v>
      </c>
    </row>
    <row r="950" spans="1:29">
      <c r="A950" s="23">
        <f>Parameters!A476</f>
        <v>0</v>
      </c>
      <c r="B950" s="23">
        <f>Parameters!B476</f>
        <v>0</v>
      </c>
      <c r="C950" s="24">
        <f>Parameters!C476</f>
        <v>0</v>
      </c>
      <c r="D950" s="24">
        <f>Parameters!D476</f>
        <v>0</v>
      </c>
      <c r="E950" s="23">
        <f>Parameters!E476</f>
        <v>0</v>
      </c>
      <c r="F950" s="23">
        <f>Parameters!F476</f>
        <v>0</v>
      </c>
      <c r="G950" s="25">
        <f>Parameters!G476</f>
        <v>0</v>
      </c>
      <c r="H950" s="25">
        <f>Parameters!H476</f>
        <v>0</v>
      </c>
      <c r="I950" s="25">
        <f>Parameters!I476</f>
        <v>0</v>
      </c>
      <c r="J950" s="25">
        <f>Parameters!J476</f>
        <v>0</v>
      </c>
      <c r="K950" s="25">
        <f>Parameters!K476</f>
        <v>0</v>
      </c>
      <c r="L950" s="26" t="e">
        <f t="shared" ref="L950" si="1419">L951</f>
        <v>#DIV/0!</v>
      </c>
      <c r="M950" s="25">
        <f>Parameters!L476</f>
        <v>0</v>
      </c>
      <c r="N950" s="25">
        <f>Parameters!M476</f>
        <v>0</v>
      </c>
      <c r="O950" s="26" t="e">
        <f t="shared" ref="O950" si="1420">O951</f>
        <v>#DIV/0!</v>
      </c>
      <c r="P950" s="23">
        <f>Parameters!N476</f>
        <v>0</v>
      </c>
      <c r="Q950" s="23">
        <f>Parameters!O476</f>
        <v>0</v>
      </c>
      <c r="R950" s="23">
        <f>Parameters!P476</f>
        <v>0</v>
      </c>
      <c r="S950" s="23">
        <f>Parameters!Q476</f>
        <v>0</v>
      </c>
      <c r="T950" s="23">
        <f>Parameters!R476</f>
        <v>0</v>
      </c>
      <c r="U950" s="27">
        <f>Parameters!S476</f>
        <v>0</v>
      </c>
      <c r="V950" s="28">
        <f>Parameters!T476</f>
        <v>0</v>
      </c>
      <c r="W950" s="27">
        <f>Parameters!U476</f>
        <v>0</v>
      </c>
      <c r="X950" s="28">
        <f>Parameters!V476</f>
        <v>0</v>
      </c>
      <c r="Y950" s="25">
        <f>Parameters!W476</f>
        <v>0</v>
      </c>
      <c r="Z950" s="23">
        <f>Parameters!X476</f>
        <v>0</v>
      </c>
      <c r="AA950" s="27">
        <f>Parameters!Y476</f>
        <v>0</v>
      </c>
      <c r="AB950" s="28">
        <f>Parameters!Z476</f>
        <v>0</v>
      </c>
      <c r="AC950" s="23">
        <f>Parameters!AA476</f>
        <v>0</v>
      </c>
    </row>
    <row r="951" spans="1:29">
      <c r="A951" s="29" t="str">
        <f>UPPER(A950)</f>
        <v>0</v>
      </c>
      <c r="B951" s="29">
        <f>B950</f>
        <v>0</v>
      </c>
      <c r="C951" s="30">
        <f>C950</f>
        <v>0</v>
      </c>
      <c r="D951" s="30">
        <f>D950</f>
        <v>0</v>
      </c>
      <c r="E951" s="29">
        <f>E950</f>
        <v>0</v>
      </c>
      <c r="F951" s="29">
        <f>F950</f>
        <v>0</v>
      </c>
      <c r="G951" s="29" t="e">
        <f>IF(C950=1,IF(D950="BUY",E950+(ROUND(F950*G950/B950,0)*B950),E950-(ROUND(F950*G950/B950,0)*B950)),IF(D950="BUY",E950-(ROUND(F950*G950/B950,0)*B950),E950+(ROUND(F950*G950/B950,0)*B950)))</f>
        <v>#DIV/0!</v>
      </c>
      <c r="H951" s="29" t="e">
        <f>IF(C950=1,IF(D950="BUY",G951-(ROUND(F950*H950/B950,0)*B950),G951+(ROUND(F950*H950/B950,0)*B950)),IF(D950="BUY",G951+(ROUND(F950*H950/B950,0)*B950),G951-(ROUND(F950*H950/B950,0)*B950)))</f>
        <v>#DIV/0!</v>
      </c>
      <c r="I951" s="29" t="e">
        <f>IF(D950="BUY",G951+(ROUND(F950*I950/(B950*100),0)*B950),G951-(ROUND(F950*I950/(B950*100),0)*B950))</f>
        <v>#DIV/0!</v>
      </c>
      <c r="J951" s="29" t="e">
        <f>IF(C950=1,IF(D950="BUY",E950+(ROUND(F950*J950/B950,0)*B950),E950-(ROUND(F950*J950/B950,0)*B950)),IF(D950="BUY",E950-(ROUND(F950*J950/B950,0)*B950),E950+(ROUND(F950*J950/B950,0)*B950)))</f>
        <v>#DIV/0!</v>
      </c>
      <c r="K951" s="29" t="e">
        <f>IF(C950=1,IF(D950="BUY",E950-(ROUND(F950*K950/B950,0)*B950),E950+(ROUND(F950*K950/B950,0)*B950)),IF(D950="BUY",E950-(ROUND(F950*K950/B950,0)*B950),E950+(ROUND(F950*K950/B950,0)*B950)))</f>
        <v>#DIV/0!</v>
      </c>
      <c r="L951" s="29" t="e">
        <f t="shared" ref="L951" si="1421">IF(D951="BUY",I951+(R951*B951),I951-(R951*B951))</f>
        <v>#DIV/0!</v>
      </c>
      <c r="M951" s="29" t="e">
        <f>IF(D950="BUY",E950+(ROUND(F950*M950/B950,0)*B950),E950-(ROUND(F950*M950/B950,0)*B950))</f>
        <v>#DIV/0!</v>
      </c>
      <c r="N951" s="29" t="e">
        <f>IF(D950="BUY",E950-(ROUND(F950*N950/B950,0)*B950),E950+(ROUND(F950*N950/B950,0)*B950))</f>
        <v>#DIV/0!</v>
      </c>
      <c r="O951" s="31" t="e">
        <f>IF(D951="BUY",N951-VLOOKUP(A951,Symbols!A$1:D$1000,4,FALSE),N951+VLOOKUP(A951,Symbols!A$1:D$1000,4,FALSE))</f>
        <v>#DIV/0!</v>
      </c>
      <c r="P951" s="29">
        <f>P950</f>
        <v>0</v>
      </c>
      <c r="Q951" s="29">
        <f>Q950</f>
        <v>0</v>
      </c>
      <c r="R951" s="29">
        <f>R950</f>
        <v>0</v>
      </c>
      <c r="S951" s="29">
        <f>S950</f>
        <v>0</v>
      </c>
      <c r="T951" s="29">
        <f>T950</f>
        <v>0</v>
      </c>
      <c r="U951" s="29" t="e">
        <f>DATEDIF(DATE(1970,1,1),U950,"D")*86400</f>
        <v>#NUM!</v>
      </c>
      <c r="V951" s="29">
        <f>HOUR(V950)*3600+MINUTE(V950)*60+SECOND(V950)</f>
        <v>0</v>
      </c>
      <c r="W951" s="29" t="e">
        <f>DATEDIF(DATE(1970,1,1),W950,"D")*86400</f>
        <v>#NUM!</v>
      </c>
      <c r="X951" s="29">
        <f>HOUR(X950)*3600+MINUTE(X950)*60+SECOND(X950)</f>
        <v>0</v>
      </c>
      <c r="Y951" s="31">
        <f>(Y950*B951)</f>
        <v>0</v>
      </c>
      <c r="Z951" s="29">
        <f>Z950</f>
        <v>0</v>
      </c>
      <c r="AA951" s="29" t="e">
        <f>DATEDIF(DATE(1970,1,1),AA950,"D")*86400</f>
        <v>#NUM!</v>
      </c>
      <c r="AB951" s="29">
        <f>HOUR(AB950)*3600+MINUTE(AB950)*60+SECOND(AB950)</f>
        <v>0</v>
      </c>
      <c r="AC951" s="29">
        <f>AC950</f>
        <v>0</v>
      </c>
    </row>
    <row r="952" spans="1:29">
      <c r="A952" s="23">
        <f>Parameters!A477</f>
        <v>0</v>
      </c>
      <c r="B952" s="23">
        <f>Parameters!B477</f>
        <v>0</v>
      </c>
      <c r="C952" s="24">
        <f>Parameters!C477</f>
        <v>0</v>
      </c>
      <c r="D952" s="24">
        <f>Parameters!D477</f>
        <v>0</v>
      </c>
      <c r="E952" s="23">
        <f>Parameters!E477</f>
        <v>0</v>
      </c>
      <c r="F952" s="23">
        <f>Parameters!F477</f>
        <v>0</v>
      </c>
      <c r="G952" s="25">
        <f>Parameters!G477</f>
        <v>0</v>
      </c>
      <c r="H952" s="25">
        <f>Parameters!H477</f>
        <v>0</v>
      </c>
      <c r="I952" s="25">
        <f>Parameters!I477</f>
        <v>0</v>
      </c>
      <c r="J952" s="25">
        <f>Parameters!J477</f>
        <v>0</v>
      </c>
      <c r="K952" s="25">
        <f>Parameters!K477</f>
        <v>0</v>
      </c>
      <c r="L952" s="26" t="e">
        <f t="shared" ref="L952" si="1422">L953</f>
        <v>#DIV/0!</v>
      </c>
      <c r="M952" s="25">
        <f>Parameters!L477</f>
        <v>0</v>
      </c>
      <c r="N952" s="25">
        <f>Parameters!M477</f>
        <v>0</v>
      </c>
      <c r="O952" s="26" t="e">
        <f t="shared" ref="O952" si="1423">O953</f>
        <v>#DIV/0!</v>
      </c>
      <c r="P952" s="23">
        <f>Parameters!N477</f>
        <v>0</v>
      </c>
      <c r="Q952" s="23">
        <f>Parameters!O477</f>
        <v>0</v>
      </c>
      <c r="R952" s="23">
        <f>Parameters!P477</f>
        <v>0</v>
      </c>
      <c r="S952" s="23">
        <f>Parameters!Q477</f>
        <v>0</v>
      </c>
      <c r="T952" s="23">
        <f>Parameters!R477</f>
        <v>0</v>
      </c>
      <c r="U952" s="27">
        <f>Parameters!S477</f>
        <v>0</v>
      </c>
      <c r="V952" s="28">
        <f>Parameters!T477</f>
        <v>0</v>
      </c>
      <c r="W952" s="27">
        <f>Parameters!U477</f>
        <v>0</v>
      </c>
      <c r="X952" s="28">
        <f>Parameters!V477</f>
        <v>0</v>
      </c>
      <c r="Y952" s="25">
        <f>Parameters!W477</f>
        <v>0</v>
      </c>
      <c r="Z952" s="23">
        <f>Parameters!X477</f>
        <v>0</v>
      </c>
      <c r="AA952" s="27">
        <f>Parameters!Y477</f>
        <v>0</v>
      </c>
      <c r="AB952" s="28">
        <f>Parameters!Z477</f>
        <v>0</v>
      </c>
      <c r="AC952" s="23">
        <f>Parameters!AA477</f>
        <v>0</v>
      </c>
    </row>
    <row r="953" spans="1:29">
      <c r="A953" s="29" t="str">
        <f>UPPER(A952)</f>
        <v>0</v>
      </c>
      <c r="B953" s="29">
        <f>B952</f>
        <v>0</v>
      </c>
      <c r="C953" s="30">
        <f>C952</f>
        <v>0</v>
      </c>
      <c r="D953" s="30">
        <f>D952</f>
        <v>0</v>
      </c>
      <c r="E953" s="29">
        <f>E952</f>
        <v>0</v>
      </c>
      <c r="F953" s="29">
        <f>F952</f>
        <v>0</v>
      </c>
      <c r="G953" s="29" t="e">
        <f>IF(C952=1,IF(D952="BUY",E952+(ROUND(F952*G952/B952,0)*B952),E952-(ROUND(F952*G952/B952,0)*B952)),IF(D952="BUY",E952-(ROUND(F952*G952/B952,0)*B952),E952+(ROUND(F952*G952/B952,0)*B952)))</f>
        <v>#DIV/0!</v>
      </c>
      <c r="H953" s="29" t="e">
        <f>IF(C952=1,IF(D952="BUY",G953-(ROUND(F952*H952/B952,0)*B952),G953+(ROUND(F952*H952/B952,0)*B952)),IF(D952="BUY",G953+(ROUND(F952*H952/B952,0)*B952),G953-(ROUND(F952*H952/B952,0)*B952)))</f>
        <v>#DIV/0!</v>
      </c>
      <c r="I953" s="29" t="e">
        <f>IF(D952="BUY",G953+(ROUND(F952*I952/(B952*100),0)*B952),G953-(ROUND(F952*I952/(B952*100),0)*B952))</f>
        <v>#DIV/0!</v>
      </c>
      <c r="J953" s="29" t="e">
        <f>IF(C952=1,IF(D952="BUY",E952+(ROUND(F952*J952/B952,0)*B952),E952-(ROUND(F952*J952/B952,0)*B952)),IF(D952="BUY",E952-(ROUND(F952*J952/B952,0)*B952),E952+(ROUND(F952*J952/B952,0)*B952)))</f>
        <v>#DIV/0!</v>
      </c>
      <c r="K953" s="29" t="e">
        <f>IF(C952=1,IF(D952="BUY",E952-(ROUND(F952*K952/B952,0)*B952),E952+(ROUND(F952*K952/B952,0)*B952)),IF(D952="BUY",E952-(ROUND(F952*K952/B952,0)*B952),E952+(ROUND(F952*K952/B952,0)*B952)))</f>
        <v>#DIV/0!</v>
      </c>
      <c r="L953" s="29" t="e">
        <f t="shared" ref="L953" si="1424">IF(D953="BUY",I953+(R953*B953),I953-(R953*B953))</f>
        <v>#DIV/0!</v>
      </c>
      <c r="M953" s="29" t="e">
        <f>IF(D952="BUY",E952+(ROUND(F952*M952/B952,0)*B952),E952-(ROUND(F952*M952/B952,0)*B952))</f>
        <v>#DIV/0!</v>
      </c>
      <c r="N953" s="29" t="e">
        <f>IF(D952="BUY",E952-(ROUND(F952*N952/B952,0)*B952),E952+(ROUND(F952*N952/B952,0)*B952))</f>
        <v>#DIV/0!</v>
      </c>
      <c r="O953" s="31" t="e">
        <f>IF(D953="BUY",N953-VLOOKUP(A953,Symbols!A$1:D$1000,4,FALSE),N953+VLOOKUP(A953,Symbols!A$1:D$1000,4,FALSE))</f>
        <v>#DIV/0!</v>
      </c>
      <c r="P953" s="29">
        <f>P952</f>
        <v>0</v>
      </c>
      <c r="Q953" s="29">
        <f>Q952</f>
        <v>0</v>
      </c>
      <c r="R953" s="29">
        <f>R952</f>
        <v>0</v>
      </c>
      <c r="S953" s="29">
        <f>S952</f>
        <v>0</v>
      </c>
      <c r="T953" s="29">
        <f>T952</f>
        <v>0</v>
      </c>
      <c r="U953" s="29" t="e">
        <f>DATEDIF(DATE(1970,1,1),U952,"D")*86400</f>
        <v>#NUM!</v>
      </c>
      <c r="V953" s="29">
        <f>HOUR(V952)*3600+MINUTE(V952)*60+SECOND(V952)</f>
        <v>0</v>
      </c>
      <c r="W953" s="29" t="e">
        <f>DATEDIF(DATE(1970,1,1),W952,"D")*86400</f>
        <v>#NUM!</v>
      </c>
      <c r="X953" s="29">
        <f>HOUR(X952)*3600+MINUTE(X952)*60+SECOND(X952)</f>
        <v>0</v>
      </c>
      <c r="Y953" s="31">
        <f>(Y952*B953)</f>
        <v>0</v>
      </c>
      <c r="Z953" s="29">
        <f>Z952</f>
        <v>0</v>
      </c>
      <c r="AA953" s="29" t="e">
        <f>DATEDIF(DATE(1970,1,1),AA952,"D")*86400</f>
        <v>#NUM!</v>
      </c>
      <c r="AB953" s="29">
        <f>HOUR(AB952)*3600+MINUTE(AB952)*60+SECOND(AB952)</f>
        <v>0</v>
      </c>
      <c r="AC953" s="29">
        <f>AC952</f>
        <v>0</v>
      </c>
    </row>
    <row r="954" spans="1:29">
      <c r="A954" s="23">
        <f>Parameters!A478</f>
        <v>0</v>
      </c>
      <c r="B954" s="23">
        <f>Parameters!B478</f>
        <v>0</v>
      </c>
      <c r="C954" s="24">
        <f>Parameters!C478</f>
        <v>0</v>
      </c>
      <c r="D954" s="24">
        <f>Parameters!D478</f>
        <v>0</v>
      </c>
      <c r="E954" s="23">
        <f>Parameters!E478</f>
        <v>0</v>
      </c>
      <c r="F954" s="23">
        <f>Parameters!F478</f>
        <v>0</v>
      </c>
      <c r="G954" s="25">
        <f>Parameters!G478</f>
        <v>0</v>
      </c>
      <c r="H954" s="25">
        <f>Parameters!H478</f>
        <v>0</v>
      </c>
      <c r="I954" s="25">
        <f>Parameters!I478</f>
        <v>0</v>
      </c>
      <c r="J954" s="25">
        <f>Parameters!J478</f>
        <v>0</v>
      </c>
      <c r="K954" s="25">
        <f>Parameters!K478</f>
        <v>0</v>
      </c>
      <c r="L954" s="26" t="e">
        <f t="shared" ref="L954" si="1425">L955</f>
        <v>#DIV/0!</v>
      </c>
      <c r="M954" s="25">
        <f>Parameters!L478</f>
        <v>0</v>
      </c>
      <c r="N954" s="25">
        <f>Parameters!M478</f>
        <v>0</v>
      </c>
      <c r="O954" s="26" t="e">
        <f t="shared" ref="O954" si="1426">O955</f>
        <v>#DIV/0!</v>
      </c>
      <c r="P954" s="23">
        <f>Parameters!N478</f>
        <v>0</v>
      </c>
      <c r="Q954" s="23">
        <f>Parameters!O478</f>
        <v>0</v>
      </c>
      <c r="R954" s="23">
        <f>Parameters!P478</f>
        <v>0</v>
      </c>
      <c r="S954" s="23">
        <f>Parameters!Q478</f>
        <v>0</v>
      </c>
      <c r="T954" s="23">
        <f>Parameters!R478</f>
        <v>0</v>
      </c>
      <c r="U954" s="27">
        <f>Parameters!S478</f>
        <v>0</v>
      </c>
      <c r="V954" s="28">
        <f>Parameters!T478</f>
        <v>0</v>
      </c>
      <c r="W954" s="27">
        <f>Parameters!U478</f>
        <v>0</v>
      </c>
      <c r="X954" s="28">
        <f>Parameters!V478</f>
        <v>0</v>
      </c>
      <c r="Y954" s="25">
        <f>Parameters!W478</f>
        <v>0</v>
      </c>
      <c r="Z954" s="23">
        <f>Parameters!X478</f>
        <v>0</v>
      </c>
      <c r="AA954" s="27">
        <f>Parameters!Y478</f>
        <v>0</v>
      </c>
      <c r="AB954" s="28">
        <f>Parameters!Z478</f>
        <v>0</v>
      </c>
      <c r="AC954" s="23">
        <f>Parameters!AA478</f>
        <v>0</v>
      </c>
    </row>
    <row r="955" spans="1:29">
      <c r="A955" s="29" t="str">
        <f>UPPER(A954)</f>
        <v>0</v>
      </c>
      <c r="B955" s="29">
        <f>B954</f>
        <v>0</v>
      </c>
      <c r="C955" s="30">
        <f>C954</f>
        <v>0</v>
      </c>
      <c r="D955" s="30">
        <f>D954</f>
        <v>0</v>
      </c>
      <c r="E955" s="29">
        <f>E954</f>
        <v>0</v>
      </c>
      <c r="F955" s="29">
        <f>F954</f>
        <v>0</v>
      </c>
      <c r="G955" s="29" t="e">
        <f>IF(C954=1,IF(D954="BUY",E954+(ROUND(F954*G954/B954,0)*B954),E954-(ROUND(F954*G954/B954,0)*B954)),IF(D954="BUY",E954-(ROUND(F954*G954/B954,0)*B954),E954+(ROUND(F954*G954/B954,0)*B954)))</f>
        <v>#DIV/0!</v>
      </c>
      <c r="H955" s="29" t="e">
        <f>IF(C954=1,IF(D954="BUY",G955-(ROUND(F954*H954/B954,0)*B954),G955+(ROUND(F954*H954/B954,0)*B954)),IF(D954="BUY",G955+(ROUND(F954*H954/B954,0)*B954),G955-(ROUND(F954*H954/B954,0)*B954)))</f>
        <v>#DIV/0!</v>
      </c>
      <c r="I955" s="29" t="e">
        <f>IF(D954="BUY",G955+(ROUND(F954*I954/(B954*100),0)*B954),G955-(ROUND(F954*I954/(B954*100),0)*B954))</f>
        <v>#DIV/0!</v>
      </c>
      <c r="J955" s="29" t="e">
        <f>IF(C954=1,IF(D954="BUY",E954+(ROUND(F954*J954/B954,0)*B954),E954-(ROUND(F954*J954/B954,0)*B954)),IF(D954="BUY",E954-(ROUND(F954*J954/B954,0)*B954),E954+(ROUND(F954*J954/B954,0)*B954)))</f>
        <v>#DIV/0!</v>
      </c>
      <c r="K955" s="29" t="e">
        <f>IF(C954=1,IF(D954="BUY",E954-(ROUND(F954*K954/B954,0)*B954),E954+(ROUND(F954*K954/B954,0)*B954)),IF(D954="BUY",E954-(ROUND(F954*K954/B954,0)*B954),E954+(ROUND(F954*K954/B954,0)*B954)))</f>
        <v>#DIV/0!</v>
      </c>
      <c r="L955" s="29" t="e">
        <f t="shared" ref="L955" si="1427">IF(D955="BUY",I955+(R955*B955),I955-(R955*B955))</f>
        <v>#DIV/0!</v>
      </c>
      <c r="M955" s="29" t="e">
        <f>IF(D954="BUY",E954+(ROUND(F954*M954/B954,0)*B954),E954-(ROUND(F954*M954/B954,0)*B954))</f>
        <v>#DIV/0!</v>
      </c>
      <c r="N955" s="29" t="e">
        <f>IF(D954="BUY",E954-(ROUND(F954*N954/B954,0)*B954),E954+(ROUND(F954*N954/B954,0)*B954))</f>
        <v>#DIV/0!</v>
      </c>
      <c r="O955" s="31" t="e">
        <f>IF(D955="BUY",N955-VLOOKUP(A955,Symbols!A$1:D$1000,4,FALSE),N955+VLOOKUP(A955,Symbols!A$1:D$1000,4,FALSE))</f>
        <v>#DIV/0!</v>
      </c>
      <c r="P955" s="29">
        <f>P954</f>
        <v>0</v>
      </c>
      <c r="Q955" s="29">
        <f>Q954</f>
        <v>0</v>
      </c>
      <c r="R955" s="29">
        <f>R954</f>
        <v>0</v>
      </c>
      <c r="S955" s="29">
        <f>S954</f>
        <v>0</v>
      </c>
      <c r="T955" s="29">
        <f>T954</f>
        <v>0</v>
      </c>
      <c r="U955" s="29" t="e">
        <f>DATEDIF(DATE(1970,1,1),U954,"D")*86400</f>
        <v>#NUM!</v>
      </c>
      <c r="V955" s="29">
        <f>HOUR(V954)*3600+MINUTE(V954)*60+SECOND(V954)</f>
        <v>0</v>
      </c>
      <c r="W955" s="29" t="e">
        <f>DATEDIF(DATE(1970,1,1),W954,"D")*86400</f>
        <v>#NUM!</v>
      </c>
      <c r="X955" s="29">
        <f>HOUR(X954)*3600+MINUTE(X954)*60+SECOND(X954)</f>
        <v>0</v>
      </c>
      <c r="Y955" s="31">
        <f>(Y954*B955)</f>
        <v>0</v>
      </c>
      <c r="Z955" s="29">
        <f>Z954</f>
        <v>0</v>
      </c>
      <c r="AA955" s="29" t="e">
        <f>DATEDIF(DATE(1970,1,1),AA954,"D")*86400</f>
        <v>#NUM!</v>
      </c>
      <c r="AB955" s="29">
        <f>HOUR(AB954)*3600+MINUTE(AB954)*60+SECOND(AB954)</f>
        <v>0</v>
      </c>
      <c r="AC955" s="29">
        <f>AC954</f>
        <v>0</v>
      </c>
    </row>
    <row r="956" spans="1:29">
      <c r="A956" s="23">
        <f>Parameters!A479</f>
        <v>0</v>
      </c>
      <c r="B956" s="23">
        <f>Parameters!B479</f>
        <v>0</v>
      </c>
      <c r="C956" s="24">
        <f>Parameters!C479</f>
        <v>0</v>
      </c>
      <c r="D956" s="24">
        <f>Parameters!D479</f>
        <v>0</v>
      </c>
      <c r="E956" s="23">
        <f>Parameters!E479</f>
        <v>0</v>
      </c>
      <c r="F956" s="23">
        <f>Parameters!F479</f>
        <v>0</v>
      </c>
      <c r="G956" s="25">
        <f>Parameters!G479</f>
        <v>0</v>
      </c>
      <c r="H956" s="25">
        <f>Parameters!H479</f>
        <v>0</v>
      </c>
      <c r="I956" s="25">
        <f>Parameters!I479</f>
        <v>0</v>
      </c>
      <c r="J956" s="25">
        <f>Parameters!J479</f>
        <v>0</v>
      </c>
      <c r="K956" s="25">
        <f>Parameters!K479</f>
        <v>0</v>
      </c>
      <c r="L956" s="26" t="e">
        <f t="shared" ref="L956" si="1428">L957</f>
        <v>#DIV/0!</v>
      </c>
      <c r="M956" s="25">
        <f>Parameters!L479</f>
        <v>0</v>
      </c>
      <c r="N956" s="25">
        <f>Parameters!M479</f>
        <v>0</v>
      </c>
      <c r="O956" s="26" t="e">
        <f t="shared" ref="O956" si="1429">O957</f>
        <v>#DIV/0!</v>
      </c>
      <c r="P956" s="23">
        <f>Parameters!N479</f>
        <v>0</v>
      </c>
      <c r="Q956" s="23">
        <f>Parameters!O479</f>
        <v>0</v>
      </c>
      <c r="R956" s="23">
        <f>Parameters!P479</f>
        <v>0</v>
      </c>
      <c r="S956" s="23">
        <f>Parameters!Q479</f>
        <v>0</v>
      </c>
      <c r="T956" s="23">
        <f>Parameters!R479</f>
        <v>0</v>
      </c>
      <c r="U956" s="27">
        <f>Parameters!S479</f>
        <v>0</v>
      </c>
      <c r="V956" s="28">
        <f>Parameters!T479</f>
        <v>0</v>
      </c>
      <c r="W956" s="27">
        <f>Parameters!U479</f>
        <v>0</v>
      </c>
      <c r="X956" s="28">
        <f>Parameters!V479</f>
        <v>0</v>
      </c>
      <c r="Y956" s="25">
        <f>Parameters!W479</f>
        <v>0</v>
      </c>
      <c r="Z956" s="23">
        <f>Parameters!X479</f>
        <v>0</v>
      </c>
      <c r="AA956" s="27">
        <f>Parameters!Y479</f>
        <v>0</v>
      </c>
      <c r="AB956" s="28">
        <f>Parameters!Z479</f>
        <v>0</v>
      </c>
      <c r="AC956" s="23">
        <f>Parameters!AA479</f>
        <v>0</v>
      </c>
    </row>
    <row r="957" spans="1:29">
      <c r="A957" s="29" t="str">
        <f>UPPER(A956)</f>
        <v>0</v>
      </c>
      <c r="B957" s="29">
        <f>B956</f>
        <v>0</v>
      </c>
      <c r="C957" s="30">
        <f>C956</f>
        <v>0</v>
      </c>
      <c r="D957" s="30">
        <f>D956</f>
        <v>0</v>
      </c>
      <c r="E957" s="29">
        <f>E956</f>
        <v>0</v>
      </c>
      <c r="F957" s="29">
        <f>F956</f>
        <v>0</v>
      </c>
      <c r="G957" s="29" t="e">
        <f>IF(C956=1,IF(D956="BUY",E956+(ROUND(F956*G956/B956,0)*B956),E956-(ROUND(F956*G956/B956,0)*B956)),IF(D956="BUY",E956-(ROUND(F956*G956/B956,0)*B956),E956+(ROUND(F956*G956/B956,0)*B956)))</f>
        <v>#DIV/0!</v>
      </c>
      <c r="H957" s="29" t="e">
        <f>IF(C956=1,IF(D956="BUY",G957-(ROUND(F956*H956/B956,0)*B956),G957+(ROUND(F956*H956/B956,0)*B956)),IF(D956="BUY",G957+(ROUND(F956*H956/B956,0)*B956),G957-(ROUND(F956*H956/B956,0)*B956)))</f>
        <v>#DIV/0!</v>
      </c>
      <c r="I957" s="29" t="e">
        <f>IF(D956="BUY",G957+(ROUND(F956*I956/(B956*100),0)*B956),G957-(ROUND(F956*I956/(B956*100),0)*B956))</f>
        <v>#DIV/0!</v>
      </c>
      <c r="J957" s="29" t="e">
        <f>IF(C956=1,IF(D956="BUY",E956+(ROUND(F956*J956/B956,0)*B956),E956-(ROUND(F956*J956/B956,0)*B956)),IF(D956="BUY",E956-(ROUND(F956*J956/B956,0)*B956),E956+(ROUND(F956*J956/B956,0)*B956)))</f>
        <v>#DIV/0!</v>
      </c>
      <c r="K957" s="29" t="e">
        <f>IF(C956=1,IF(D956="BUY",E956-(ROUND(F956*K956/B956,0)*B956),E956+(ROUND(F956*K956/B956,0)*B956)),IF(D956="BUY",E956-(ROUND(F956*K956/B956,0)*B956),E956+(ROUND(F956*K956/B956,0)*B956)))</f>
        <v>#DIV/0!</v>
      </c>
      <c r="L957" s="29" t="e">
        <f t="shared" ref="L957" si="1430">IF(D957="BUY",I957+(R957*B957),I957-(R957*B957))</f>
        <v>#DIV/0!</v>
      </c>
      <c r="M957" s="29" t="e">
        <f>IF(D956="BUY",E956+(ROUND(F956*M956/B956,0)*B956),E956-(ROUND(F956*M956/B956,0)*B956))</f>
        <v>#DIV/0!</v>
      </c>
      <c r="N957" s="29" t="e">
        <f>IF(D956="BUY",E956-(ROUND(F956*N956/B956,0)*B956),E956+(ROUND(F956*N956/B956,0)*B956))</f>
        <v>#DIV/0!</v>
      </c>
      <c r="O957" s="31" t="e">
        <f>IF(D957="BUY",N957-VLOOKUP(A957,Symbols!A$1:D$1000,4,FALSE),N957+VLOOKUP(A957,Symbols!A$1:D$1000,4,FALSE))</f>
        <v>#DIV/0!</v>
      </c>
      <c r="P957" s="29">
        <f>P956</f>
        <v>0</v>
      </c>
      <c r="Q957" s="29">
        <f>Q956</f>
        <v>0</v>
      </c>
      <c r="R957" s="29">
        <f>R956</f>
        <v>0</v>
      </c>
      <c r="S957" s="29">
        <f>S956</f>
        <v>0</v>
      </c>
      <c r="T957" s="29">
        <f>T956</f>
        <v>0</v>
      </c>
      <c r="U957" s="29" t="e">
        <f>DATEDIF(DATE(1970,1,1),U956,"D")*86400</f>
        <v>#NUM!</v>
      </c>
      <c r="V957" s="29">
        <f>HOUR(V956)*3600+MINUTE(V956)*60+SECOND(V956)</f>
        <v>0</v>
      </c>
      <c r="W957" s="29" t="e">
        <f>DATEDIF(DATE(1970,1,1),W956,"D")*86400</f>
        <v>#NUM!</v>
      </c>
      <c r="X957" s="29">
        <f>HOUR(X956)*3600+MINUTE(X956)*60+SECOND(X956)</f>
        <v>0</v>
      </c>
      <c r="Y957" s="31">
        <f>(Y956*B957)</f>
        <v>0</v>
      </c>
      <c r="Z957" s="29">
        <f>Z956</f>
        <v>0</v>
      </c>
      <c r="AA957" s="29" t="e">
        <f>DATEDIF(DATE(1970,1,1),AA956,"D")*86400</f>
        <v>#NUM!</v>
      </c>
      <c r="AB957" s="29">
        <f>HOUR(AB956)*3600+MINUTE(AB956)*60+SECOND(AB956)</f>
        <v>0</v>
      </c>
      <c r="AC957" s="29">
        <f>AC956</f>
        <v>0</v>
      </c>
    </row>
    <row r="958" spans="1:29">
      <c r="A958" s="23">
        <f>Parameters!A480</f>
        <v>0</v>
      </c>
      <c r="B958" s="23">
        <f>Parameters!B480</f>
        <v>0</v>
      </c>
      <c r="C958" s="24">
        <f>Parameters!C480</f>
        <v>0</v>
      </c>
      <c r="D958" s="24">
        <f>Parameters!D480</f>
        <v>0</v>
      </c>
      <c r="E958" s="23">
        <f>Parameters!E480</f>
        <v>0</v>
      </c>
      <c r="F958" s="23">
        <f>Parameters!F480</f>
        <v>0</v>
      </c>
      <c r="G958" s="25">
        <f>Parameters!G480</f>
        <v>0</v>
      </c>
      <c r="H958" s="25">
        <f>Parameters!H480</f>
        <v>0</v>
      </c>
      <c r="I958" s="25">
        <f>Parameters!I480</f>
        <v>0</v>
      </c>
      <c r="J958" s="25">
        <f>Parameters!J480</f>
        <v>0</v>
      </c>
      <c r="K958" s="25">
        <f>Parameters!K480</f>
        <v>0</v>
      </c>
      <c r="L958" s="26" t="e">
        <f t="shared" ref="L958" si="1431">L959</f>
        <v>#DIV/0!</v>
      </c>
      <c r="M958" s="25">
        <f>Parameters!L480</f>
        <v>0</v>
      </c>
      <c r="N958" s="25">
        <f>Parameters!M480</f>
        <v>0</v>
      </c>
      <c r="O958" s="26" t="e">
        <f t="shared" ref="O958" si="1432">O959</f>
        <v>#DIV/0!</v>
      </c>
      <c r="P958" s="23">
        <f>Parameters!N480</f>
        <v>0</v>
      </c>
      <c r="Q958" s="23">
        <f>Parameters!O480</f>
        <v>0</v>
      </c>
      <c r="R958" s="23">
        <f>Parameters!P480</f>
        <v>0</v>
      </c>
      <c r="S958" s="23">
        <f>Parameters!Q480</f>
        <v>0</v>
      </c>
      <c r="T958" s="23">
        <f>Parameters!R480</f>
        <v>0</v>
      </c>
      <c r="U958" s="27">
        <f>Parameters!S480</f>
        <v>0</v>
      </c>
      <c r="V958" s="28">
        <f>Parameters!T480</f>
        <v>0</v>
      </c>
      <c r="W958" s="27">
        <f>Parameters!U480</f>
        <v>0</v>
      </c>
      <c r="X958" s="28">
        <f>Parameters!V480</f>
        <v>0</v>
      </c>
      <c r="Y958" s="25">
        <f>Parameters!W480</f>
        <v>0</v>
      </c>
      <c r="Z958" s="23">
        <f>Parameters!X480</f>
        <v>0</v>
      </c>
      <c r="AA958" s="27">
        <f>Parameters!Y480</f>
        <v>0</v>
      </c>
      <c r="AB958" s="28">
        <f>Parameters!Z480</f>
        <v>0</v>
      </c>
      <c r="AC958" s="23">
        <f>Parameters!AA480</f>
        <v>0</v>
      </c>
    </row>
    <row r="959" spans="1:29">
      <c r="A959" s="29" t="str">
        <f>UPPER(A958)</f>
        <v>0</v>
      </c>
      <c r="B959" s="29">
        <f>B958</f>
        <v>0</v>
      </c>
      <c r="C959" s="30">
        <f>C958</f>
        <v>0</v>
      </c>
      <c r="D959" s="30">
        <f>D958</f>
        <v>0</v>
      </c>
      <c r="E959" s="29">
        <f>E958</f>
        <v>0</v>
      </c>
      <c r="F959" s="29">
        <f>F958</f>
        <v>0</v>
      </c>
      <c r="G959" s="29" t="e">
        <f>IF(C958=1,IF(D958="BUY",E958+(ROUND(F958*G958/B958,0)*B958),E958-(ROUND(F958*G958/B958,0)*B958)),IF(D958="BUY",E958-(ROUND(F958*G958/B958,0)*B958),E958+(ROUND(F958*G958/B958,0)*B958)))</f>
        <v>#DIV/0!</v>
      </c>
      <c r="H959" s="29" t="e">
        <f>IF(C958=1,IF(D958="BUY",G959-(ROUND(F958*H958/B958,0)*B958),G959+(ROUND(F958*H958/B958,0)*B958)),IF(D958="BUY",G959+(ROUND(F958*H958/B958,0)*B958),G959-(ROUND(F958*H958/B958,0)*B958)))</f>
        <v>#DIV/0!</v>
      </c>
      <c r="I959" s="29" t="e">
        <f>IF(D958="BUY",G959+(ROUND(F958*I958/(B958*100),0)*B958),G959-(ROUND(F958*I958/(B958*100),0)*B958))</f>
        <v>#DIV/0!</v>
      </c>
      <c r="J959" s="29" t="e">
        <f>IF(C958=1,IF(D958="BUY",E958+(ROUND(F958*J958/B958,0)*B958),E958-(ROUND(F958*J958/B958,0)*B958)),IF(D958="BUY",E958-(ROUND(F958*J958/B958,0)*B958),E958+(ROUND(F958*J958/B958,0)*B958)))</f>
        <v>#DIV/0!</v>
      </c>
      <c r="K959" s="29" t="e">
        <f>IF(C958=1,IF(D958="BUY",E958-(ROUND(F958*K958/B958,0)*B958),E958+(ROUND(F958*K958/B958,0)*B958)),IF(D958="BUY",E958-(ROUND(F958*K958/B958,0)*B958),E958+(ROUND(F958*K958/B958,0)*B958)))</f>
        <v>#DIV/0!</v>
      </c>
      <c r="L959" s="29" t="e">
        <f t="shared" ref="L959" si="1433">IF(D959="BUY",I959+(R959*B959),I959-(R959*B959))</f>
        <v>#DIV/0!</v>
      </c>
      <c r="M959" s="29" t="e">
        <f>IF(D958="BUY",E958+(ROUND(F958*M958/B958,0)*B958),E958-(ROUND(F958*M958/B958,0)*B958))</f>
        <v>#DIV/0!</v>
      </c>
      <c r="N959" s="29" t="e">
        <f>IF(D958="BUY",E958-(ROUND(F958*N958/B958,0)*B958),E958+(ROUND(F958*N958/B958,0)*B958))</f>
        <v>#DIV/0!</v>
      </c>
      <c r="O959" s="31" t="e">
        <f>IF(D959="BUY",N959-VLOOKUP(A959,Symbols!A$1:D$1000,4,FALSE),N959+VLOOKUP(A959,Symbols!A$1:D$1000,4,FALSE))</f>
        <v>#DIV/0!</v>
      </c>
      <c r="P959" s="29">
        <f>P958</f>
        <v>0</v>
      </c>
      <c r="Q959" s="29">
        <f>Q958</f>
        <v>0</v>
      </c>
      <c r="R959" s="29">
        <f>R958</f>
        <v>0</v>
      </c>
      <c r="S959" s="29">
        <f>S958</f>
        <v>0</v>
      </c>
      <c r="T959" s="29">
        <f>T958</f>
        <v>0</v>
      </c>
      <c r="U959" s="29" t="e">
        <f>DATEDIF(DATE(1970,1,1),U958,"D")*86400</f>
        <v>#NUM!</v>
      </c>
      <c r="V959" s="29">
        <f>HOUR(V958)*3600+MINUTE(V958)*60+SECOND(V958)</f>
        <v>0</v>
      </c>
      <c r="W959" s="29" t="e">
        <f>DATEDIF(DATE(1970,1,1),W958,"D")*86400</f>
        <v>#NUM!</v>
      </c>
      <c r="X959" s="29">
        <f>HOUR(X958)*3600+MINUTE(X958)*60+SECOND(X958)</f>
        <v>0</v>
      </c>
      <c r="Y959" s="31">
        <f>(Y958*B959)</f>
        <v>0</v>
      </c>
      <c r="Z959" s="29">
        <f>Z958</f>
        <v>0</v>
      </c>
      <c r="AA959" s="29" t="e">
        <f>DATEDIF(DATE(1970,1,1),AA958,"D")*86400</f>
        <v>#NUM!</v>
      </c>
      <c r="AB959" s="29">
        <f>HOUR(AB958)*3600+MINUTE(AB958)*60+SECOND(AB958)</f>
        <v>0</v>
      </c>
      <c r="AC959" s="29">
        <f>AC958</f>
        <v>0</v>
      </c>
    </row>
    <row r="960" spans="1:29">
      <c r="A960" s="23">
        <f>Parameters!A481</f>
        <v>0</v>
      </c>
      <c r="B960" s="23">
        <f>Parameters!B481</f>
        <v>0</v>
      </c>
      <c r="C960" s="24">
        <f>Parameters!C481</f>
        <v>0</v>
      </c>
      <c r="D960" s="24">
        <f>Parameters!D481</f>
        <v>0</v>
      </c>
      <c r="E960" s="23">
        <f>Parameters!E481</f>
        <v>0</v>
      </c>
      <c r="F960" s="23">
        <f>Parameters!F481</f>
        <v>0</v>
      </c>
      <c r="G960" s="25">
        <f>Parameters!G481</f>
        <v>0</v>
      </c>
      <c r="H960" s="25">
        <f>Parameters!H481</f>
        <v>0</v>
      </c>
      <c r="I960" s="25">
        <f>Parameters!I481</f>
        <v>0</v>
      </c>
      <c r="J960" s="25">
        <f>Parameters!J481</f>
        <v>0</v>
      </c>
      <c r="K960" s="25">
        <f>Parameters!K481</f>
        <v>0</v>
      </c>
      <c r="L960" s="26" t="e">
        <f t="shared" ref="L960" si="1434">L961</f>
        <v>#DIV/0!</v>
      </c>
      <c r="M960" s="25">
        <f>Parameters!L481</f>
        <v>0</v>
      </c>
      <c r="N960" s="25">
        <f>Parameters!M481</f>
        <v>0</v>
      </c>
      <c r="O960" s="26" t="e">
        <f t="shared" ref="O960" si="1435">O961</f>
        <v>#DIV/0!</v>
      </c>
      <c r="P960" s="23">
        <f>Parameters!N481</f>
        <v>0</v>
      </c>
      <c r="Q960" s="23">
        <f>Parameters!O481</f>
        <v>0</v>
      </c>
      <c r="R960" s="23">
        <f>Parameters!P481</f>
        <v>0</v>
      </c>
      <c r="S960" s="23">
        <f>Parameters!Q481</f>
        <v>0</v>
      </c>
      <c r="T960" s="23">
        <f>Parameters!R481</f>
        <v>0</v>
      </c>
      <c r="U960" s="27">
        <f>Parameters!S481</f>
        <v>0</v>
      </c>
      <c r="V960" s="28">
        <f>Parameters!T481</f>
        <v>0</v>
      </c>
      <c r="W960" s="27">
        <f>Parameters!U481</f>
        <v>0</v>
      </c>
      <c r="X960" s="28">
        <f>Parameters!V481</f>
        <v>0</v>
      </c>
      <c r="Y960" s="25">
        <f>Parameters!W481</f>
        <v>0</v>
      </c>
      <c r="Z960" s="23">
        <f>Parameters!X481</f>
        <v>0</v>
      </c>
      <c r="AA960" s="27">
        <f>Parameters!Y481</f>
        <v>0</v>
      </c>
      <c r="AB960" s="28">
        <f>Parameters!Z481</f>
        <v>0</v>
      </c>
      <c r="AC960" s="23">
        <f>Parameters!AA481</f>
        <v>0</v>
      </c>
    </row>
    <row r="961" spans="1:29">
      <c r="A961" s="29" t="str">
        <f>UPPER(A960)</f>
        <v>0</v>
      </c>
      <c r="B961" s="29">
        <f>B960</f>
        <v>0</v>
      </c>
      <c r="C961" s="30">
        <f>C960</f>
        <v>0</v>
      </c>
      <c r="D961" s="30">
        <f>D960</f>
        <v>0</v>
      </c>
      <c r="E961" s="29">
        <f>E960</f>
        <v>0</v>
      </c>
      <c r="F961" s="29">
        <f>F960</f>
        <v>0</v>
      </c>
      <c r="G961" s="29" t="e">
        <f>IF(C960=1,IF(D960="BUY",E960+(ROUND(F960*G960/B960,0)*B960),E960-(ROUND(F960*G960/B960,0)*B960)),IF(D960="BUY",E960-(ROUND(F960*G960/B960,0)*B960),E960+(ROUND(F960*G960/B960,0)*B960)))</f>
        <v>#DIV/0!</v>
      </c>
      <c r="H961" s="29" t="e">
        <f>IF(C960=1,IF(D960="BUY",G961-(ROUND(F960*H960/B960,0)*B960),G961+(ROUND(F960*H960/B960,0)*B960)),IF(D960="BUY",G961+(ROUND(F960*H960/B960,0)*B960),G961-(ROUND(F960*H960/B960,0)*B960)))</f>
        <v>#DIV/0!</v>
      </c>
      <c r="I961" s="29" t="e">
        <f>IF(D960="BUY",G961+(ROUND(F960*I960/(B960*100),0)*B960),G961-(ROUND(F960*I960/(B960*100),0)*B960))</f>
        <v>#DIV/0!</v>
      </c>
      <c r="J961" s="29" t="e">
        <f>IF(C960=1,IF(D960="BUY",E960+(ROUND(F960*J960/B960,0)*B960),E960-(ROUND(F960*J960/B960,0)*B960)),IF(D960="BUY",E960-(ROUND(F960*J960/B960,0)*B960),E960+(ROUND(F960*J960/B960,0)*B960)))</f>
        <v>#DIV/0!</v>
      </c>
      <c r="K961" s="29" t="e">
        <f>IF(C960=1,IF(D960="BUY",E960-(ROUND(F960*K960/B960,0)*B960),E960+(ROUND(F960*K960/B960,0)*B960)),IF(D960="BUY",E960-(ROUND(F960*K960/B960,0)*B960),E960+(ROUND(F960*K960/B960,0)*B960)))</f>
        <v>#DIV/0!</v>
      </c>
      <c r="L961" s="29" t="e">
        <f t="shared" ref="L961" si="1436">IF(D961="BUY",I961+(R961*B961),I961-(R961*B961))</f>
        <v>#DIV/0!</v>
      </c>
      <c r="M961" s="29" t="e">
        <f>IF(D960="BUY",E960+(ROUND(F960*M960/B960,0)*B960),E960-(ROUND(F960*M960/B960,0)*B960))</f>
        <v>#DIV/0!</v>
      </c>
      <c r="N961" s="29" t="e">
        <f>IF(D960="BUY",E960-(ROUND(F960*N960/B960,0)*B960),E960+(ROUND(F960*N960/B960,0)*B960))</f>
        <v>#DIV/0!</v>
      </c>
      <c r="O961" s="31" t="e">
        <f>IF(D961="BUY",N961-VLOOKUP(A961,Symbols!A$1:D$1000,4,FALSE),N961+VLOOKUP(A961,Symbols!A$1:D$1000,4,FALSE))</f>
        <v>#DIV/0!</v>
      </c>
      <c r="P961" s="29">
        <f>P960</f>
        <v>0</v>
      </c>
      <c r="Q961" s="29">
        <f>Q960</f>
        <v>0</v>
      </c>
      <c r="R961" s="29">
        <f>R960</f>
        <v>0</v>
      </c>
      <c r="S961" s="29">
        <f>S960</f>
        <v>0</v>
      </c>
      <c r="T961" s="29">
        <f>T960</f>
        <v>0</v>
      </c>
      <c r="U961" s="29" t="e">
        <f>DATEDIF(DATE(1970,1,1),U960,"D")*86400</f>
        <v>#NUM!</v>
      </c>
      <c r="V961" s="29">
        <f>HOUR(V960)*3600+MINUTE(V960)*60+SECOND(V960)</f>
        <v>0</v>
      </c>
      <c r="W961" s="29" t="e">
        <f>DATEDIF(DATE(1970,1,1),W960,"D")*86400</f>
        <v>#NUM!</v>
      </c>
      <c r="X961" s="29">
        <f>HOUR(X960)*3600+MINUTE(X960)*60+SECOND(X960)</f>
        <v>0</v>
      </c>
      <c r="Y961" s="31">
        <f>(Y960*B961)</f>
        <v>0</v>
      </c>
      <c r="Z961" s="29">
        <f>Z960</f>
        <v>0</v>
      </c>
      <c r="AA961" s="29" t="e">
        <f>DATEDIF(DATE(1970,1,1),AA960,"D")*86400</f>
        <v>#NUM!</v>
      </c>
      <c r="AB961" s="29">
        <f>HOUR(AB960)*3600+MINUTE(AB960)*60+SECOND(AB960)</f>
        <v>0</v>
      </c>
      <c r="AC961" s="29">
        <f>AC960</f>
        <v>0</v>
      </c>
    </row>
    <row r="962" spans="1:29">
      <c r="A962" s="23">
        <f>Parameters!A482</f>
        <v>0</v>
      </c>
      <c r="B962" s="23">
        <f>Parameters!B482</f>
        <v>0</v>
      </c>
      <c r="C962" s="24">
        <f>Parameters!C482</f>
        <v>0</v>
      </c>
      <c r="D962" s="24">
        <f>Parameters!D482</f>
        <v>0</v>
      </c>
      <c r="E962" s="23">
        <f>Parameters!E482</f>
        <v>0</v>
      </c>
      <c r="F962" s="23">
        <f>Parameters!F482</f>
        <v>0</v>
      </c>
      <c r="G962" s="25">
        <f>Parameters!G482</f>
        <v>0</v>
      </c>
      <c r="H962" s="25">
        <f>Parameters!H482</f>
        <v>0</v>
      </c>
      <c r="I962" s="25">
        <f>Parameters!I482</f>
        <v>0</v>
      </c>
      <c r="J962" s="25">
        <f>Parameters!J482</f>
        <v>0</v>
      </c>
      <c r="K962" s="25">
        <f>Parameters!K482</f>
        <v>0</v>
      </c>
      <c r="L962" s="26" t="e">
        <f t="shared" ref="L962" si="1437">L963</f>
        <v>#DIV/0!</v>
      </c>
      <c r="M962" s="25">
        <f>Parameters!L482</f>
        <v>0</v>
      </c>
      <c r="N962" s="25">
        <f>Parameters!M482</f>
        <v>0</v>
      </c>
      <c r="O962" s="26" t="e">
        <f t="shared" ref="O962" si="1438">O963</f>
        <v>#DIV/0!</v>
      </c>
      <c r="P962" s="23">
        <f>Parameters!N482</f>
        <v>0</v>
      </c>
      <c r="Q962" s="23">
        <f>Parameters!O482</f>
        <v>0</v>
      </c>
      <c r="R962" s="23">
        <f>Parameters!P482</f>
        <v>0</v>
      </c>
      <c r="S962" s="23">
        <f>Parameters!Q482</f>
        <v>0</v>
      </c>
      <c r="T962" s="23">
        <f>Parameters!R482</f>
        <v>0</v>
      </c>
      <c r="U962" s="27">
        <f>Parameters!S482</f>
        <v>0</v>
      </c>
      <c r="V962" s="28">
        <f>Parameters!T482</f>
        <v>0</v>
      </c>
      <c r="W962" s="27">
        <f>Parameters!U482</f>
        <v>0</v>
      </c>
      <c r="X962" s="28">
        <f>Parameters!V482</f>
        <v>0</v>
      </c>
      <c r="Y962" s="25">
        <f>Parameters!W482</f>
        <v>0</v>
      </c>
      <c r="Z962" s="23">
        <f>Parameters!X482</f>
        <v>0</v>
      </c>
      <c r="AA962" s="27">
        <f>Parameters!Y482</f>
        <v>0</v>
      </c>
      <c r="AB962" s="28">
        <f>Parameters!Z482</f>
        <v>0</v>
      </c>
      <c r="AC962" s="23">
        <f>Parameters!AA482</f>
        <v>0</v>
      </c>
    </row>
    <row r="963" spans="1:29">
      <c r="A963" s="29" t="str">
        <f>UPPER(A962)</f>
        <v>0</v>
      </c>
      <c r="B963" s="29">
        <f>B962</f>
        <v>0</v>
      </c>
      <c r="C963" s="30">
        <f>C962</f>
        <v>0</v>
      </c>
      <c r="D963" s="30">
        <f>D962</f>
        <v>0</v>
      </c>
      <c r="E963" s="29">
        <f>E962</f>
        <v>0</v>
      </c>
      <c r="F963" s="29">
        <f>F962</f>
        <v>0</v>
      </c>
      <c r="G963" s="29" t="e">
        <f>IF(C962=1,IF(D962="BUY",E962+(ROUND(F962*G962/B962,0)*B962),E962-(ROUND(F962*G962/B962,0)*B962)),IF(D962="BUY",E962-(ROUND(F962*G962/B962,0)*B962),E962+(ROUND(F962*G962/B962,0)*B962)))</f>
        <v>#DIV/0!</v>
      </c>
      <c r="H963" s="29" t="e">
        <f>IF(C962=1,IF(D962="BUY",G963-(ROUND(F962*H962/B962,0)*B962),G963+(ROUND(F962*H962/B962,0)*B962)),IF(D962="BUY",G963+(ROUND(F962*H962/B962,0)*B962),G963-(ROUND(F962*H962/B962,0)*B962)))</f>
        <v>#DIV/0!</v>
      </c>
      <c r="I963" s="29" t="e">
        <f>IF(D962="BUY",G963+(ROUND(F962*I962/(B962*100),0)*B962),G963-(ROUND(F962*I962/(B962*100),0)*B962))</f>
        <v>#DIV/0!</v>
      </c>
      <c r="J963" s="29" t="e">
        <f>IF(C962=1,IF(D962="BUY",E962+(ROUND(F962*J962/B962,0)*B962),E962-(ROUND(F962*J962/B962,0)*B962)),IF(D962="BUY",E962-(ROUND(F962*J962/B962,0)*B962),E962+(ROUND(F962*J962/B962,0)*B962)))</f>
        <v>#DIV/0!</v>
      </c>
      <c r="K963" s="29" t="e">
        <f>IF(C962=1,IF(D962="BUY",E962-(ROUND(F962*K962/B962,0)*B962),E962+(ROUND(F962*K962/B962,0)*B962)),IF(D962="BUY",E962-(ROUND(F962*K962/B962,0)*B962),E962+(ROUND(F962*K962/B962,0)*B962)))</f>
        <v>#DIV/0!</v>
      </c>
      <c r="L963" s="29" t="e">
        <f t="shared" ref="L963" si="1439">IF(D963="BUY",I963+(R963*B963),I963-(R963*B963))</f>
        <v>#DIV/0!</v>
      </c>
      <c r="M963" s="29" t="e">
        <f>IF(D962="BUY",E962+(ROUND(F962*M962/B962,0)*B962),E962-(ROUND(F962*M962/B962,0)*B962))</f>
        <v>#DIV/0!</v>
      </c>
      <c r="N963" s="29" t="e">
        <f>IF(D962="BUY",E962-(ROUND(F962*N962/B962,0)*B962),E962+(ROUND(F962*N962/B962,0)*B962))</f>
        <v>#DIV/0!</v>
      </c>
      <c r="O963" s="31" t="e">
        <f>IF(D963="BUY",N963-VLOOKUP(A963,Symbols!A$1:D$1000,4,FALSE),N963+VLOOKUP(A963,Symbols!A$1:D$1000,4,FALSE))</f>
        <v>#DIV/0!</v>
      </c>
      <c r="P963" s="29">
        <f>P962</f>
        <v>0</v>
      </c>
      <c r="Q963" s="29">
        <f>Q962</f>
        <v>0</v>
      </c>
      <c r="R963" s="29">
        <f>R962</f>
        <v>0</v>
      </c>
      <c r="S963" s="29">
        <f>S962</f>
        <v>0</v>
      </c>
      <c r="T963" s="29">
        <f>T962</f>
        <v>0</v>
      </c>
      <c r="U963" s="29" t="e">
        <f>DATEDIF(DATE(1970,1,1),U962,"D")*86400</f>
        <v>#NUM!</v>
      </c>
      <c r="V963" s="29">
        <f>HOUR(V962)*3600+MINUTE(V962)*60+SECOND(V962)</f>
        <v>0</v>
      </c>
      <c r="W963" s="29" t="e">
        <f>DATEDIF(DATE(1970,1,1),W962,"D")*86400</f>
        <v>#NUM!</v>
      </c>
      <c r="X963" s="29">
        <f>HOUR(X962)*3600+MINUTE(X962)*60+SECOND(X962)</f>
        <v>0</v>
      </c>
      <c r="Y963" s="31">
        <f>(Y962*B963)</f>
        <v>0</v>
      </c>
      <c r="Z963" s="29">
        <f>Z962</f>
        <v>0</v>
      </c>
      <c r="AA963" s="29" t="e">
        <f>DATEDIF(DATE(1970,1,1),AA962,"D")*86400</f>
        <v>#NUM!</v>
      </c>
      <c r="AB963" s="29">
        <f>HOUR(AB962)*3600+MINUTE(AB962)*60+SECOND(AB962)</f>
        <v>0</v>
      </c>
      <c r="AC963" s="29">
        <f>AC962</f>
        <v>0</v>
      </c>
    </row>
    <row r="964" spans="1:29">
      <c r="A964" s="23">
        <f>Parameters!A483</f>
        <v>0</v>
      </c>
      <c r="B964" s="23">
        <f>Parameters!B483</f>
        <v>0</v>
      </c>
      <c r="C964" s="24">
        <f>Parameters!C483</f>
        <v>0</v>
      </c>
      <c r="D964" s="24">
        <f>Parameters!D483</f>
        <v>0</v>
      </c>
      <c r="E964" s="23">
        <f>Parameters!E483</f>
        <v>0</v>
      </c>
      <c r="F964" s="23">
        <f>Parameters!F483</f>
        <v>0</v>
      </c>
      <c r="G964" s="25">
        <f>Parameters!G483</f>
        <v>0</v>
      </c>
      <c r="H964" s="25">
        <f>Parameters!H483</f>
        <v>0</v>
      </c>
      <c r="I964" s="25">
        <f>Parameters!I483</f>
        <v>0</v>
      </c>
      <c r="J964" s="25">
        <f>Parameters!J483</f>
        <v>0</v>
      </c>
      <c r="K964" s="25">
        <f>Parameters!K483</f>
        <v>0</v>
      </c>
      <c r="L964" s="26" t="e">
        <f t="shared" ref="L964" si="1440">L965</f>
        <v>#DIV/0!</v>
      </c>
      <c r="M964" s="25">
        <f>Parameters!L483</f>
        <v>0</v>
      </c>
      <c r="N964" s="25">
        <f>Parameters!M483</f>
        <v>0</v>
      </c>
      <c r="O964" s="26" t="e">
        <f t="shared" ref="O964" si="1441">O965</f>
        <v>#DIV/0!</v>
      </c>
      <c r="P964" s="23">
        <f>Parameters!N483</f>
        <v>0</v>
      </c>
      <c r="Q964" s="23">
        <f>Parameters!O483</f>
        <v>0</v>
      </c>
      <c r="R964" s="23">
        <f>Parameters!P483</f>
        <v>0</v>
      </c>
      <c r="S964" s="23">
        <f>Parameters!Q483</f>
        <v>0</v>
      </c>
      <c r="T964" s="23">
        <f>Parameters!R483</f>
        <v>0</v>
      </c>
      <c r="U964" s="27">
        <f>Parameters!S483</f>
        <v>0</v>
      </c>
      <c r="V964" s="28">
        <f>Parameters!T483</f>
        <v>0</v>
      </c>
      <c r="W964" s="27">
        <f>Parameters!U483</f>
        <v>0</v>
      </c>
      <c r="X964" s="28">
        <f>Parameters!V483</f>
        <v>0</v>
      </c>
      <c r="Y964" s="25">
        <f>Parameters!W483</f>
        <v>0</v>
      </c>
      <c r="Z964" s="23">
        <f>Parameters!X483</f>
        <v>0</v>
      </c>
      <c r="AA964" s="27">
        <f>Parameters!Y483</f>
        <v>0</v>
      </c>
      <c r="AB964" s="28">
        <f>Parameters!Z483</f>
        <v>0</v>
      </c>
      <c r="AC964" s="23">
        <f>Parameters!AA483</f>
        <v>0</v>
      </c>
    </row>
    <row r="965" spans="1:29">
      <c r="A965" s="29" t="str">
        <f>UPPER(A964)</f>
        <v>0</v>
      </c>
      <c r="B965" s="29">
        <f>B964</f>
        <v>0</v>
      </c>
      <c r="C965" s="30">
        <f>C964</f>
        <v>0</v>
      </c>
      <c r="D965" s="30">
        <f>D964</f>
        <v>0</v>
      </c>
      <c r="E965" s="29">
        <f>E964</f>
        <v>0</v>
      </c>
      <c r="F965" s="29">
        <f>F964</f>
        <v>0</v>
      </c>
      <c r="G965" s="29" t="e">
        <f>IF(C964=1,IF(D964="BUY",E964+(ROUND(F964*G964/B964,0)*B964),E964-(ROUND(F964*G964/B964,0)*B964)),IF(D964="BUY",E964-(ROUND(F964*G964/B964,0)*B964),E964+(ROUND(F964*G964/B964,0)*B964)))</f>
        <v>#DIV/0!</v>
      </c>
      <c r="H965" s="29" t="e">
        <f>IF(C964=1,IF(D964="BUY",G965-(ROUND(F964*H964/B964,0)*B964),G965+(ROUND(F964*H964/B964,0)*B964)),IF(D964="BUY",G965+(ROUND(F964*H964/B964,0)*B964),G965-(ROUND(F964*H964/B964,0)*B964)))</f>
        <v>#DIV/0!</v>
      </c>
      <c r="I965" s="29" t="e">
        <f>IF(D964="BUY",G965+(ROUND(F964*I964/(B964*100),0)*B964),G965-(ROUND(F964*I964/(B964*100),0)*B964))</f>
        <v>#DIV/0!</v>
      </c>
      <c r="J965" s="29" t="e">
        <f>IF(C964=1,IF(D964="BUY",E964+(ROUND(F964*J964/B964,0)*B964),E964-(ROUND(F964*J964/B964,0)*B964)),IF(D964="BUY",E964-(ROUND(F964*J964/B964,0)*B964),E964+(ROUND(F964*J964/B964,0)*B964)))</f>
        <v>#DIV/0!</v>
      </c>
      <c r="K965" s="29" t="e">
        <f>IF(C964=1,IF(D964="BUY",E964-(ROUND(F964*K964/B964,0)*B964),E964+(ROUND(F964*K964/B964,0)*B964)),IF(D964="BUY",E964-(ROUND(F964*K964/B964,0)*B964),E964+(ROUND(F964*K964/B964,0)*B964)))</f>
        <v>#DIV/0!</v>
      </c>
      <c r="L965" s="29" t="e">
        <f t="shared" ref="L965" si="1442">IF(D965="BUY",I965+(R965*B965),I965-(R965*B965))</f>
        <v>#DIV/0!</v>
      </c>
      <c r="M965" s="29" t="e">
        <f>IF(D964="BUY",E964+(ROUND(F964*M964/B964,0)*B964),E964-(ROUND(F964*M964/B964,0)*B964))</f>
        <v>#DIV/0!</v>
      </c>
      <c r="N965" s="29" t="e">
        <f>IF(D964="BUY",E964-(ROUND(F964*N964/B964,0)*B964),E964+(ROUND(F964*N964/B964,0)*B964))</f>
        <v>#DIV/0!</v>
      </c>
      <c r="O965" s="31" t="e">
        <f>IF(D965="BUY",N965-VLOOKUP(A965,Symbols!A$1:D$1000,4,FALSE),N965+VLOOKUP(A965,Symbols!A$1:D$1000,4,FALSE))</f>
        <v>#DIV/0!</v>
      </c>
      <c r="P965" s="29">
        <f>P964</f>
        <v>0</v>
      </c>
      <c r="Q965" s="29">
        <f>Q964</f>
        <v>0</v>
      </c>
      <c r="R965" s="29">
        <f>R964</f>
        <v>0</v>
      </c>
      <c r="S965" s="29">
        <f>S964</f>
        <v>0</v>
      </c>
      <c r="T965" s="29">
        <f>T964</f>
        <v>0</v>
      </c>
      <c r="U965" s="29" t="e">
        <f>DATEDIF(DATE(1970,1,1),U964,"D")*86400</f>
        <v>#NUM!</v>
      </c>
      <c r="V965" s="29">
        <f>HOUR(V964)*3600+MINUTE(V964)*60+SECOND(V964)</f>
        <v>0</v>
      </c>
      <c r="W965" s="29" t="e">
        <f>DATEDIF(DATE(1970,1,1),W964,"D")*86400</f>
        <v>#NUM!</v>
      </c>
      <c r="X965" s="29">
        <f>HOUR(X964)*3600+MINUTE(X964)*60+SECOND(X964)</f>
        <v>0</v>
      </c>
      <c r="Y965" s="31">
        <f>(Y964*B965)</f>
        <v>0</v>
      </c>
      <c r="Z965" s="29">
        <f>Z964</f>
        <v>0</v>
      </c>
      <c r="AA965" s="29" t="e">
        <f>DATEDIF(DATE(1970,1,1),AA964,"D")*86400</f>
        <v>#NUM!</v>
      </c>
      <c r="AB965" s="29">
        <f>HOUR(AB964)*3600+MINUTE(AB964)*60+SECOND(AB964)</f>
        <v>0</v>
      </c>
      <c r="AC965" s="29">
        <f>AC964</f>
        <v>0</v>
      </c>
    </row>
    <row r="966" spans="1:29">
      <c r="A966" s="23">
        <f>Parameters!A484</f>
        <v>0</v>
      </c>
      <c r="B966" s="23">
        <f>Parameters!B484</f>
        <v>0</v>
      </c>
      <c r="C966" s="24">
        <f>Parameters!C484</f>
        <v>0</v>
      </c>
      <c r="D966" s="24">
        <f>Parameters!D484</f>
        <v>0</v>
      </c>
      <c r="E966" s="23">
        <f>Parameters!E484</f>
        <v>0</v>
      </c>
      <c r="F966" s="23">
        <f>Parameters!F484</f>
        <v>0</v>
      </c>
      <c r="G966" s="25">
        <f>Parameters!G484</f>
        <v>0</v>
      </c>
      <c r="H966" s="25">
        <f>Parameters!H484</f>
        <v>0</v>
      </c>
      <c r="I966" s="25">
        <f>Parameters!I484</f>
        <v>0</v>
      </c>
      <c r="J966" s="25">
        <f>Parameters!J484</f>
        <v>0</v>
      </c>
      <c r="K966" s="25">
        <f>Parameters!K484</f>
        <v>0</v>
      </c>
      <c r="L966" s="26" t="e">
        <f t="shared" ref="L966" si="1443">L967</f>
        <v>#DIV/0!</v>
      </c>
      <c r="M966" s="25">
        <f>Parameters!L484</f>
        <v>0</v>
      </c>
      <c r="N966" s="25">
        <f>Parameters!M484</f>
        <v>0</v>
      </c>
      <c r="O966" s="26" t="e">
        <f t="shared" ref="O966" si="1444">O967</f>
        <v>#DIV/0!</v>
      </c>
      <c r="P966" s="23">
        <f>Parameters!N484</f>
        <v>0</v>
      </c>
      <c r="Q966" s="23">
        <f>Parameters!O484</f>
        <v>0</v>
      </c>
      <c r="R966" s="23">
        <f>Parameters!P484</f>
        <v>0</v>
      </c>
      <c r="S966" s="23">
        <f>Parameters!Q484</f>
        <v>0</v>
      </c>
      <c r="T966" s="23">
        <f>Parameters!R484</f>
        <v>0</v>
      </c>
      <c r="U966" s="27">
        <f>Parameters!S484</f>
        <v>0</v>
      </c>
      <c r="V966" s="28">
        <f>Parameters!T484</f>
        <v>0</v>
      </c>
      <c r="W966" s="27">
        <f>Parameters!U484</f>
        <v>0</v>
      </c>
      <c r="X966" s="28">
        <f>Parameters!V484</f>
        <v>0</v>
      </c>
      <c r="Y966" s="25">
        <f>Parameters!W484</f>
        <v>0</v>
      </c>
      <c r="Z966" s="23">
        <f>Parameters!X484</f>
        <v>0</v>
      </c>
      <c r="AA966" s="27">
        <f>Parameters!Y484</f>
        <v>0</v>
      </c>
      <c r="AB966" s="28">
        <f>Parameters!Z484</f>
        <v>0</v>
      </c>
      <c r="AC966" s="23">
        <f>Parameters!AA484</f>
        <v>0</v>
      </c>
    </row>
    <row r="967" spans="1:29">
      <c r="A967" s="29" t="str">
        <f>UPPER(A966)</f>
        <v>0</v>
      </c>
      <c r="B967" s="29">
        <f>B966</f>
        <v>0</v>
      </c>
      <c r="C967" s="30">
        <f>C966</f>
        <v>0</v>
      </c>
      <c r="D967" s="30">
        <f>D966</f>
        <v>0</v>
      </c>
      <c r="E967" s="29">
        <f>E966</f>
        <v>0</v>
      </c>
      <c r="F967" s="29">
        <f>F966</f>
        <v>0</v>
      </c>
      <c r="G967" s="29" t="e">
        <f>IF(C966=1,IF(D966="BUY",E966+(ROUND(F966*G966/B966,0)*B966),E966-(ROUND(F966*G966/B966,0)*B966)),IF(D966="BUY",E966-(ROUND(F966*G966/B966,0)*B966),E966+(ROUND(F966*G966/B966,0)*B966)))</f>
        <v>#DIV/0!</v>
      </c>
      <c r="H967" s="29" t="e">
        <f>IF(C966=1,IF(D966="BUY",G967-(ROUND(F966*H966/B966,0)*B966),G967+(ROUND(F966*H966/B966,0)*B966)),IF(D966="BUY",G967+(ROUND(F966*H966/B966,0)*B966),G967-(ROUND(F966*H966/B966,0)*B966)))</f>
        <v>#DIV/0!</v>
      </c>
      <c r="I967" s="29" t="e">
        <f>IF(D966="BUY",G967+(ROUND(F966*I966/(B966*100),0)*B966),G967-(ROUND(F966*I966/(B966*100),0)*B966))</f>
        <v>#DIV/0!</v>
      </c>
      <c r="J967" s="29" t="e">
        <f>IF(C966=1,IF(D966="BUY",E966+(ROUND(F966*J966/B966,0)*B966),E966-(ROUND(F966*J966/B966,0)*B966)),IF(D966="BUY",E966-(ROUND(F966*J966/B966,0)*B966),E966+(ROUND(F966*J966/B966,0)*B966)))</f>
        <v>#DIV/0!</v>
      </c>
      <c r="K967" s="29" t="e">
        <f>IF(C966=1,IF(D966="BUY",E966-(ROUND(F966*K966/B966,0)*B966),E966+(ROUND(F966*K966/B966,0)*B966)),IF(D966="BUY",E966-(ROUND(F966*K966/B966,0)*B966),E966+(ROUND(F966*K966/B966,0)*B966)))</f>
        <v>#DIV/0!</v>
      </c>
      <c r="L967" s="29" t="e">
        <f t="shared" ref="L967" si="1445">IF(D967="BUY",I967+(R967*B967),I967-(R967*B967))</f>
        <v>#DIV/0!</v>
      </c>
      <c r="M967" s="29" t="e">
        <f>IF(D966="BUY",E966+(ROUND(F966*M966/B966,0)*B966),E966-(ROUND(F966*M966/B966,0)*B966))</f>
        <v>#DIV/0!</v>
      </c>
      <c r="N967" s="29" t="e">
        <f>IF(D966="BUY",E966-(ROUND(F966*N966/B966,0)*B966),E966+(ROUND(F966*N966/B966,0)*B966))</f>
        <v>#DIV/0!</v>
      </c>
      <c r="O967" s="31" t="e">
        <f>IF(D967="BUY",N967-VLOOKUP(A967,Symbols!A$1:D$1000,4,FALSE),N967+VLOOKUP(A967,Symbols!A$1:D$1000,4,FALSE))</f>
        <v>#DIV/0!</v>
      </c>
      <c r="P967" s="29">
        <f>P966</f>
        <v>0</v>
      </c>
      <c r="Q967" s="29">
        <f>Q966</f>
        <v>0</v>
      </c>
      <c r="R967" s="29">
        <f>R966</f>
        <v>0</v>
      </c>
      <c r="S967" s="29">
        <f>S966</f>
        <v>0</v>
      </c>
      <c r="T967" s="29">
        <f>T966</f>
        <v>0</v>
      </c>
      <c r="U967" s="29" t="e">
        <f>DATEDIF(DATE(1970,1,1),U966,"D")*86400</f>
        <v>#NUM!</v>
      </c>
      <c r="V967" s="29">
        <f>HOUR(V966)*3600+MINUTE(V966)*60+SECOND(V966)</f>
        <v>0</v>
      </c>
      <c r="W967" s="29" t="e">
        <f>DATEDIF(DATE(1970,1,1),W966,"D")*86400</f>
        <v>#NUM!</v>
      </c>
      <c r="X967" s="29">
        <f>HOUR(X966)*3600+MINUTE(X966)*60+SECOND(X966)</f>
        <v>0</v>
      </c>
      <c r="Y967" s="31">
        <f>(Y966*B967)</f>
        <v>0</v>
      </c>
      <c r="Z967" s="29">
        <f>Z966</f>
        <v>0</v>
      </c>
      <c r="AA967" s="29" t="e">
        <f>DATEDIF(DATE(1970,1,1),AA966,"D")*86400</f>
        <v>#NUM!</v>
      </c>
      <c r="AB967" s="29">
        <f>HOUR(AB966)*3600+MINUTE(AB966)*60+SECOND(AB966)</f>
        <v>0</v>
      </c>
      <c r="AC967" s="29">
        <f>AC966</f>
        <v>0</v>
      </c>
    </row>
    <row r="968" spans="1:29">
      <c r="A968" s="23">
        <f>Parameters!A485</f>
        <v>0</v>
      </c>
      <c r="B968" s="23">
        <f>Parameters!B485</f>
        <v>0</v>
      </c>
      <c r="C968" s="24">
        <f>Parameters!C485</f>
        <v>0</v>
      </c>
      <c r="D968" s="24">
        <f>Parameters!D485</f>
        <v>0</v>
      </c>
      <c r="E968" s="23">
        <f>Parameters!E485</f>
        <v>0</v>
      </c>
      <c r="F968" s="23">
        <f>Parameters!F485</f>
        <v>0</v>
      </c>
      <c r="G968" s="25">
        <f>Parameters!G485</f>
        <v>0</v>
      </c>
      <c r="H968" s="25">
        <f>Parameters!H485</f>
        <v>0</v>
      </c>
      <c r="I968" s="25">
        <f>Parameters!I485</f>
        <v>0</v>
      </c>
      <c r="J968" s="25">
        <f>Parameters!J485</f>
        <v>0</v>
      </c>
      <c r="K968" s="25">
        <f>Parameters!K485</f>
        <v>0</v>
      </c>
      <c r="L968" s="26" t="e">
        <f t="shared" ref="L968" si="1446">L969</f>
        <v>#DIV/0!</v>
      </c>
      <c r="M968" s="25">
        <f>Parameters!L485</f>
        <v>0</v>
      </c>
      <c r="N968" s="25">
        <f>Parameters!M485</f>
        <v>0</v>
      </c>
      <c r="O968" s="26" t="e">
        <f t="shared" ref="O968" si="1447">O969</f>
        <v>#DIV/0!</v>
      </c>
      <c r="P968" s="23">
        <f>Parameters!N485</f>
        <v>0</v>
      </c>
      <c r="Q968" s="23">
        <f>Parameters!O485</f>
        <v>0</v>
      </c>
      <c r="R968" s="23">
        <f>Parameters!P485</f>
        <v>0</v>
      </c>
      <c r="S968" s="23">
        <f>Parameters!Q485</f>
        <v>0</v>
      </c>
      <c r="T968" s="23">
        <f>Parameters!R485</f>
        <v>0</v>
      </c>
      <c r="U968" s="27">
        <f>Parameters!S485</f>
        <v>0</v>
      </c>
      <c r="V968" s="28">
        <f>Parameters!T485</f>
        <v>0</v>
      </c>
      <c r="W968" s="27">
        <f>Parameters!U485</f>
        <v>0</v>
      </c>
      <c r="X968" s="28">
        <f>Parameters!V485</f>
        <v>0</v>
      </c>
      <c r="Y968" s="25">
        <f>Parameters!W485</f>
        <v>0</v>
      </c>
      <c r="Z968" s="23">
        <f>Parameters!X485</f>
        <v>0</v>
      </c>
      <c r="AA968" s="27">
        <f>Parameters!Y485</f>
        <v>0</v>
      </c>
      <c r="AB968" s="28">
        <f>Parameters!Z485</f>
        <v>0</v>
      </c>
      <c r="AC968" s="23">
        <f>Parameters!AA485</f>
        <v>0</v>
      </c>
    </row>
    <row r="969" spans="1:29">
      <c r="A969" s="29" t="str">
        <f>UPPER(A968)</f>
        <v>0</v>
      </c>
      <c r="B969" s="29">
        <f>B968</f>
        <v>0</v>
      </c>
      <c r="C969" s="30">
        <f>C968</f>
        <v>0</v>
      </c>
      <c r="D969" s="30">
        <f>D968</f>
        <v>0</v>
      </c>
      <c r="E969" s="29">
        <f>E968</f>
        <v>0</v>
      </c>
      <c r="F969" s="29">
        <f>F968</f>
        <v>0</v>
      </c>
      <c r="G969" s="29" t="e">
        <f>IF(C968=1,IF(D968="BUY",E968+(ROUND(F968*G968/B968,0)*B968),E968-(ROUND(F968*G968/B968,0)*B968)),IF(D968="BUY",E968-(ROUND(F968*G968/B968,0)*B968),E968+(ROUND(F968*G968/B968,0)*B968)))</f>
        <v>#DIV/0!</v>
      </c>
      <c r="H969" s="29" t="e">
        <f>IF(C968=1,IF(D968="BUY",G969-(ROUND(F968*H968/B968,0)*B968),G969+(ROUND(F968*H968/B968,0)*B968)),IF(D968="BUY",G969+(ROUND(F968*H968/B968,0)*B968),G969-(ROUND(F968*H968/B968,0)*B968)))</f>
        <v>#DIV/0!</v>
      </c>
      <c r="I969" s="29" t="e">
        <f>IF(D968="BUY",G969+(ROUND(F968*I968/(B968*100),0)*B968),G969-(ROUND(F968*I968/(B968*100),0)*B968))</f>
        <v>#DIV/0!</v>
      </c>
      <c r="J969" s="29" t="e">
        <f>IF(C968=1,IF(D968="BUY",E968+(ROUND(F968*J968/B968,0)*B968),E968-(ROUND(F968*J968/B968,0)*B968)),IF(D968="BUY",E968-(ROUND(F968*J968/B968,0)*B968),E968+(ROUND(F968*J968/B968,0)*B968)))</f>
        <v>#DIV/0!</v>
      </c>
      <c r="K969" s="29" t="e">
        <f>IF(C968=1,IF(D968="BUY",E968-(ROUND(F968*K968/B968,0)*B968),E968+(ROUND(F968*K968/B968,0)*B968)),IF(D968="BUY",E968-(ROUND(F968*K968/B968,0)*B968),E968+(ROUND(F968*K968/B968,0)*B968)))</f>
        <v>#DIV/0!</v>
      </c>
      <c r="L969" s="29" t="e">
        <f t="shared" ref="L969" si="1448">IF(D969="BUY",I969+(R969*B969),I969-(R969*B969))</f>
        <v>#DIV/0!</v>
      </c>
      <c r="M969" s="29" t="e">
        <f>IF(D968="BUY",E968+(ROUND(F968*M968/B968,0)*B968),E968-(ROUND(F968*M968/B968,0)*B968))</f>
        <v>#DIV/0!</v>
      </c>
      <c r="N969" s="29" t="e">
        <f>IF(D968="BUY",E968-(ROUND(F968*N968/B968,0)*B968),E968+(ROUND(F968*N968/B968,0)*B968))</f>
        <v>#DIV/0!</v>
      </c>
      <c r="O969" s="31" t="e">
        <f>IF(D969="BUY",N969-VLOOKUP(A969,Symbols!A$1:D$1000,4,FALSE),N969+VLOOKUP(A969,Symbols!A$1:D$1000,4,FALSE))</f>
        <v>#DIV/0!</v>
      </c>
      <c r="P969" s="29">
        <f>P968</f>
        <v>0</v>
      </c>
      <c r="Q969" s="29">
        <f>Q968</f>
        <v>0</v>
      </c>
      <c r="R969" s="29">
        <f>R968</f>
        <v>0</v>
      </c>
      <c r="S969" s="29">
        <f>S968</f>
        <v>0</v>
      </c>
      <c r="T969" s="29">
        <f>T968</f>
        <v>0</v>
      </c>
      <c r="U969" s="29" t="e">
        <f>DATEDIF(DATE(1970,1,1),U968,"D")*86400</f>
        <v>#NUM!</v>
      </c>
      <c r="V969" s="29">
        <f>HOUR(V968)*3600+MINUTE(V968)*60+SECOND(V968)</f>
        <v>0</v>
      </c>
      <c r="W969" s="29" t="e">
        <f>DATEDIF(DATE(1970,1,1),W968,"D")*86400</f>
        <v>#NUM!</v>
      </c>
      <c r="X969" s="29">
        <f>HOUR(X968)*3600+MINUTE(X968)*60+SECOND(X968)</f>
        <v>0</v>
      </c>
      <c r="Y969" s="31">
        <f>(Y968*B969)</f>
        <v>0</v>
      </c>
      <c r="Z969" s="29">
        <f>Z968</f>
        <v>0</v>
      </c>
      <c r="AA969" s="29" t="e">
        <f>DATEDIF(DATE(1970,1,1),AA968,"D")*86400</f>
        <v>#NUM!</v>
      </c>
      <c r="AB969" s="29">
        <f>HOUR(AB968)*3600+MINUTE(AB968)*60+SECOND(AB968)</f>
        <v>0</v>
      </c>
      <c r="AC969" s="29">
        <f>AC968</f>
        <v>0</v>
      </c>
    </row>
    <row r="970" spans="1:29">
      <c r="A970" s="23">
        <f>Parameters!A486</f>
        <v>0</v>
      </c>
      <c r="B970" s="23">
        <f>Parameters!B486</f>
        <v>0</v>
      </c>
      <c r="C970" s="24">
        <f>Parameters!C486</f>
        <v>0</v>
      </c>
      <c r="D970" s="24">
        <f>Parameters!D486</f>
        <v>0</v>
      </c>
      <c r="E970" s="23">
        <f>Parameters!E486</f>
        <v>0</v>
      </c>
      <c r="F970" s="23">
        <f>Parameters!F486</f>
        <v>0</v>
      </c>
      <c r="G970" s="25">
        <f>Parameters!G486</f>
        <v>0</v>
      </c>
      <c r="H970" s="25">
        <f>Parameters!H486</f>
        <v>0</v>
      </c>
      <c r="I970" s="25">
        <f>Parameters!I486</f>
        <v>0</v>
      </c>
      <c r="J970" s="25">
        <f>Parameters!J486</f>
        <v>0</v>
      </c>
      <c r="K970" s="25">
        <f>Parameters!K486</f>
        <v>0</v>
      </c>
      <c r="L970" s="26" t="e">
        <f t="shared" ref="L970" si="1449">L971</f>
        <v>#DIV/0!</v>
      </c>
      <c r="M970" s="25">
        <f>Parameters!L486</f>
        <v>0</v>
      </c>
      <c r="N970" s="25">
        <f>Parameters!M486</f>
        <v>0</v>
      </c>
      <c r="O970" s="26" t="e">
        <f t="shared" ref="O970" si="1450">O971</f>
        <v>#DIV/0!</v>
      </c>
      <c r="P970" s="23">
        <f>Parameters!N486</f>
        <v>0</v>
      </c>
      <c r="Q970" s="23">
        <f>Parameters!O486</f>
        <v>0</v>
      </c>
      <c r="R970" s="23">
        <f>Parameters!P486</f>
        <v>0</v>
      </c>
      <c r="S970" s="23">
        <f>Parameters!Q486</f>
        <v>0</v>
      </c>
      <c r="T970" s="23">
        <f>Parameters!R486</f>
        <v>0</v>
      </c>
      <c r="U970" s="27">
        <f>Parameters!S486</f>
        <v>0</v>
      </c>
      <c r="V970" s="28">
        <f>Parameters!T486</f>
        <v>0</v>
      </c>
      <c r="W970" s="27">
        <f>Parameters!U486</f>
        <v>0</v>
      </c>
      <c r="X970" s="28">
        <f>Parameters!V486</f>
        <v>0</v>
      </c>
      <c r="Y970" s="25">
        <f>Parameters!W486</f>
        <v>0</v>
      </c>
      <c r="Z970" s="23">
        <f>Parameters!X486</f>
        <v>0</v>
      </c>
      <c r="AA970" s="27">
        <f>Parameters!Y486</f>
        <v>0</v>
      </c>
      <c r="AB970" s="28">
        <f>Parameters!Z486</f>
        <v>0</v>
      </c>
      <c r="AC970" s="23">
        <f>Parameters!AA486</f>
        <v>0</v>
      </c>
    </row>
    <row r="971" spans="1:29">
      <c r="A971" s="29" t="str">
        <f>UPPER(A970)</f>
        <v>0</v>
      </c>
      <c r="B971" s="29">
        <f>B970</f>
        <v>0</v>
      </c>
      <c r="C971" s="30">
        <f>C970</f>
        <v>0</v>
      </c>
      <c r="D971" s="30">
        <f>D970</f>
        <v>0</v>
      </c>
      <c r="E971" s="29">
        <f>E970</f>
        <v>0</v>
      </c>
      <c r="F971" s="29">
        <f>F970</f>
        <v>0</v>
      </c>
      <c r="G971" s="29" t="e">
        <f>IF(C970=1,IF(D970="BUY",E970+(ROUND(F970*G970/B970,0)*B970),E970-(ROUND(F970*G970/B970,0)*B970)),IF(D970="BUY",E970-(ROUND(F970*G970/B970,0)*B970),E970+(ROUND(F970*G970/B970,0)*B970)))</f>
        <v>#DIV/0!</v>
      </c>
      <c r="H971" s="29" t="e">
        <f>IF(C970=1,IF(D970="BUY",G971-(ROUND(F970*H970/B970,0)*B970),G971+(ROUND(F970*H970/B970,0)*B970)),IF(D970="BUY",G971+(ROUND(F970*H970/B970,0)*B970),G971-(ROUND(F970*H970/B970,0)*B970)))</f>
        <v>#DIV/0!</v>
      </c>
      <c r="I971" s="29" t="e">
        <f>IF(D970="BUY",G971+(ROUND(F970*I970/(B970*100),0)*B970),G971-(ROUND(F970*I970/(B970*100),0)*B970))</f>
        <v>#DIV/0!</v>
      </c>
      <c r="J971" s="29" t="e">
        <f>IF(C970=1,IF(D970="BUY",E970+(ROUND(F970*J970/B970,0)*B970),E970-(ROUND(F970*J970/B970,0)*B970)),IF(D970="BUY",E970-(ROUND(F970*J970/B970,0)*B970),E970+(ROUND(F970*J970/B970,0)*B970)))</f>
        <v>#DIV/0!</v>
      </c>
      <c r="K971" s="29" t="e">
        <f>IF(C970=1,IF(D970="BUY",E970-(ROUND(F970*K970/B970,0)*B970),E970+(ROUND(F970*K970/B970,0)*B970)),IF(D970="BUY",E970-(ROUND(F970*K970/B970,0)*B970),E970+(ROUND(F970*K970/B970,0)*B970)))</f>
        <v>#DIV/0!</v>
      </c>
      <c r="L971" s="29" t="e">
        <f t="shared" ref="L971" si="1451">IF(D971="BUY",I971+(R971*B971),I971-(R971*B971))</f>
        <v>#DIV/0!</v>
      </c>
      <c r="M971" s="29" t="e">
        <f>IF(D970="BUY",E970+(ROUND(F970*M970/B970,0)*B970),E970-(ROUND(F970*M970/B970,0)*B970))</f>
        <v>#DIV/0!</v>
      </c>
      <c r="N971" s="29" t="e">
        <f>IF(D970="BUY",E970-(ROUND(F970*N970/B970,0)*B970),E970+(ROUND(F970*N970/B970,0)*B970))</f>
        <v>#DIV/0!</v>
      </c>
      <c r="O971" s="31" t="e">
        <f>IF(D971="BUY",N971-VLOOKUP(A971,Symbols!A$1:D$1000,4,FALSE),N971+VLOOKUP(A971,Symbols!A$1:D$1000,4,FALSE))</f>
        <v>#DIV/0!</v>
      </c>
      <c r="P971" s="29">
        <f>P970</f>
        <v>0</v>
      </c>
      <c r="Q971" s="29">
        <f>Q970</f>
        <v>0</v>
      </c>
      <c r="R971" s="29">
        <f>R970</f>
        <v>0</v>
      </c>
      <c r="S971" s="29">
        <f>S970</f>
        <v>0</v>
      </c>
      <c r="T971" s="29">
        <f>T970</f>
        <v>0</v>
      </c>
      <c r="U971" s="29" t="e">
        <f>DATEDIF(DATE(1970,1,1),U970,"D")*86400</f>
        <v>#NUM!</v>
      </c>
      <c r="V971" s="29">
        <f>HOUR(V970)*3600+MINUTE(V970)*60+SECOND(V970)</f>
        <v>0</v>
      </c>
      <c r="W971" s="29" t="e">
        <f>DATEDIF(DATE(1970,1,1),W970,"D")*86400</f>
        <v>#NUM!</v>
      </c>
      <c r="X971" s="29">
        <f>HOUR(X970)*3600+MINUTE(X970)*60+SECOND(X970)</f>
        <v>0</v>
      </c>
      <c r="Y971" s="31">
        <f>(Y970*B971)</f>
        <v>0</v>
      </c>
      <c r="Z971" s="29">
        <f>Z970</f>
        <v>0</v>
      </c>
      <c r="AA971" s="29" t="e">
        <f>DATEDIF(DATE(1970,1,1),AA970,"D")*86400</f>
        <v>#NUM!</v>
      </c>
      <c r="AB971" s="29">
        <f>HOUR(AB970)*3600+MINUTE(AB970)*60+SECOND(AB970)</f>
        <v>0</v>
      </c>
      <c r="AC971" s="29">
        <f>AC970</f>
        <v>0</v>
      </c>
    </row>
    <row r="972" spans="1:29">
      <c r="A972" s="23">
        <f>Parameters!A487</f>
        <v>0</v>
      </c>
      <c r="B972" s="23">
        <f>Parameters!B487</f>
        <v>0</v>
      </c>
      <c r="C972" s="24">
        <f>Parameters!C487</f>
        <v>0</v>
      </c>
      <c r="D972" s="24">
        <f>Parameters!D487</f>
        <v>0</v>
      </c>
      <c r="E972" s="23">
        <f>Parameters!E487</f>
        <v>0</v>
      </c>
      <c r="F972" s="23">
        <f>Parameters!F487</f>
        <v>0</v>
      </c>
      <c r="G972" s="25">
        <f>Parameters!G487</f>
        <v>0</v>
      </c>
      <c r="H972" s="25">
        <f>Parameters!H487</f>
        <v>0</v>
      </c>
      <c r="I972" s="25">
        <f>Parameters!I487</f>
        <v>0</v>
      </c>
      <c r="J972" s="25">
        <f>Parameters!J487</f>
        <v>0</v>
      </c>
      <c r="K972" s="25">
        <f>Parameters!K487</f>
        <v>0</v>
      </c>
      <c r="L972" s="26" t="e">
        <f t="shared" ref="L972" si="1452">L973</f>
        <v>#DIV/0!</v>
      </c>
      <c r="M972" s="25">
        <f>Parameters!L487</f>
        <v>0</v>
      </c>
      <c r="N972" s="25">
        <f>Parameters!M487</f>
        <v>0</v>
      </c>
      <c r="O972" s="26" t="e">
        <f t="shared" ref="O972" si="1453">O973</f>
        <v>#DIV/0!</v>
      </c>
      <c r="P972" s="23">
        <f>Parameters!N487</f>
        <v>0</v>
      </c>
      <c r="Q972" s="23">
        <f>Parameters!O487</f>
        <v>0</v>
      </c>
      <c r="R972" s="23">
        <f>Parameters!P487</f>
        <v>0</v>
      </c>
      <c r="S972" s="23">
        <f>Parameters!Q487</f>
        <v>0</v>
      </c>
      <c r="T972" s="23">
        <f>Parameters!R487</f>
        <v>0</v>
      </c>
      <c r="U972" s="27">
        <f>Parameters!S487</f>
        <v>0</v>
      </c>
      <c r="V972" s="28">
        <f>Parameters!T487</f>
        <v>0</v>
      </c>
      <c r="W972" s="27">
        <f>Parameters!U487</f>
        <v>0</v>
      </c>
      <c r="X972" s="28">
        <f>Parameters!V487</f>
        <v>0</v>
      </c>
      <c r="Y972" s="25">
        <f>Parameters!W487</f>
        <v>0</v>
      </c>
      <c r="Z972" s="23">
        <f>Parameters!X487</f>
        <v>0</v>
      </c>
      <c r="AA972" s="27">
        <f>Parameters!Y487</f>
        <v>0</v>
      </c>
      <c r="AB972" s="28">
        <f>Parameters!Z487</f>
        <v>0</v>
      </c>
      <c r="AC972" s="23">
        <f>Parameters!AA487</f>
        <v>0</v>
      </c>
    </row>
    <row r="973" spans="1:29">
      <c r="A973" s="29" t="str">
        <f>UPPER(A972)</f>
        <v>0</v>
      </c>
      <c r="B973" s="29">
        <f>B972</f>
        <v>0</v>
      </c>
      <c r="C973" s="30">
        <f>C972</f>
        <v>0</v>
      </c>
      <c r="D973" s="30">
        <f>D972</f>
        <v>0</v>
      </c>
      <c r="E973" s="29">
        <f>E972</f>
        <v>0</v>
      </c>
      <c r="F973" s="29">
        <f>F972</f>
        <v>0</v>
      </c>
      <c r="G973" s="29" t="e">
        <f>IF(C972=1,IF(D972="BUY",E972+(ROUND(F972*G972/B972,0)*B972),E972-(ROUND(F972*G972/B972,0)*B972)),IF(D972="BUY",E972-(ROUND(F972*G972/B972,0)*B972),E972+(ROUND(F972*G972/B972,0)*B972)))</f>
        <v>#DIV/0!</v>
      </c>
      <c r="H973" s="29" t="e">
        <f>IF(C972=1,IF(D972="BUY",G973-(ROUND(F972*H972/B972,0)*B972),G973+(ROUND(F972*H972/B972,0)*B972)),IF(D972="BUY",G973+(ROUND(F972*H972/B972,0)*B972),G973-(ROUND(F972*H972/B972,0)*B972)))</f>
        <v>#DIV/0!</v>
      </c>
      <c r="I973" s="29" t="e">
        <f>IF(D972="BUY",G973+(ROUND(F972*I972/(B972*100),0)*B972),G973-(ROUND(F972*I972/(B972*100),0)*B972))</f>
        <v>#DIV/0!</v>
      </c>
      <c r="J973" s="29" t="e">
        <f>IF(C972=1,IF(D972="BUY",E972+(ROUND(F972*J972/B972,0)*B972),E972-(ROUND(F972*J972/B972,0)*B972)),IF(D972="BUY",E972-(ROUND(F972*J972/B972,0)*B972),E972+(ROUND(F972*J972/B972,0)*B972)))</f>
        <v>#DIV/0!</v>
      </c>
      <c r="K973" s="29" t="e">
        <f>IF(C972=1,IF(D972="BUY",E972-(ROUND(F972*K972/B972,0)*B972),E972+(ROUND(F972*K972/B972,0)*B972)),IF(D972="BUY",E972-(ROUND(F972*K972/B972,0)*B972),E972+(ROUND(F972*K972/B972,0)*B972)))</f>
        <v>#DIV/0!</v>
      </c>
      <c r="L973" s="29" t="e">
        <f t="shared" ref="L973" si="1454">IF(D973="BUY",I973+(R973*B973),I973-(R973*B973))</f>
        <v>#DIV/0!</v>
      </c>
      <c r="M973" s="29" t="e">
        <f>IF(D972="BUY",E972+(ROUND(F972*M972/B972,0)*B972),E972-(ROUND(F972*M972/B972,0)*B972))</f>
        <v>#DIV/0!</v>
      </c>
      <c r="N973" s="29" t="e">
        <f>IF(D972="BUY",E972-(ROUND(F972*N972/B972,0)*B972),E972+(ROUND(F972*N972/B972,0)*B972))</f>
        <v>#DIV/0!</v>
      </c>
      <c r="O973" s="31" t="e">
        <f>IF(D973="BUY",N973-VLOOKUP(A973,Symbols!A$1:D$1000,4,FALSE),N973+VLOOKUP(A973,Symbols!A$1:D$1000,4,FALSE))</f>
        <v>#DIV/0!</v>
      </c>
      <c r="P973" s="29">
        <f>P972</f>
        <v>0</v>
      </c>
      <c r="Q973" s="29">
        <f>Q972</f>
        <v>0</v>
      </c>
      <c r="R973" s="29">
        <f>R972</f>
        <v>0</v>
      </c>
      <c r="S973" s="29">
        <f>S972</f>
        <v>0</v>
      </c>
      <c r="T973" s="29">
        <f>T972</f>
        <v>0</v>
      </c>
      <c r="U973" s="29" t="e">
        <f>DATEDIF(DATE(1970,1,1),U972,"D")*86400</f>
        <v>#NUM!</v>
      </c>
      <c r="V973" s="29">
        <f>HOUR(V972)*3600+MINUTE(V972)*60+SECOND(V972)</f>
        <v>0</v>
      </c>
      <c r="W973" s="29" t="e">
        <f>DATEDIF(DATE(1970,1,1),W972,"D")*86400</f>
        <v>#NUM!</v>
      </c>
      <c r="X973" s="29">
        <f>HOUR(X972)*3600+MINUTE(X972)*60+SECOND(X972)</f>
        <v>0</v>
      </c>
      <c r="Y973" s="31">
        <f>(Y972*B973)</f>
        <v>0</v>
      </c>
      <c r="Z973" s="29">
        <f>Z972</f>
        <v>0</v>
      </c>
      <c r="AA973" s="29" t="e">
        <f>DATEDIF(DATE(1970,1,1),AA972,"D")*86400</f>
        <v>#NUM!</v>
      </c>
      <c r="AB973" s="29">
        <f>HOUR(AB972)*3600+MINUTE(AB972)*60+SECOND(AB972)</f>
        <v>0</v>
      </c>
      <c r="AC973" s="29">
        <f>AC972</f>
        <v>0</v>
      </c>
    </row>
    <row r="974" spans="1:29">
      <c r="A974" s="23">
        <f>Parameters!A488</f>
        <v>0</v>
      </c>
      <c r="B974" s="23">
        <f>Parameters!B488</f>
        <v>0</v>
      </c>
      <c r="C974" s="24">
        <f>Parameters!C488</f>
        <v>0</v>
      </c>
      <c r="D974" s="24">
        <f>Parameters!D488</f>
        <v>0</v>
      </c>
      <c r="E974" s="23">
        <f>Parameters!E488</f>
        <v>0</v>
      </c>
      <c r="F974" s="23">
        <f>Parameters!F488</f>
        <v>0</v>
      </c>
      <c r="G974" s="25">
        <f>Parameters!G488</f>
        <v>0</v>
      </c>
      <c r="H974" s="25">
        <f>Parameters!H488</f>
        <v>0</v>
      </c>
      <c r="I974" s="25">
        <f>Parameters!I488</f>
        <v>0</v>
      </c>
      <c r="J974" s="25">
        <f>Parameters!J488</f>
        <v>0</v>
      </c>
      <c r="K974" s="25">
        <f>Parameters!K488</f>
        <v>0</v>
      </c>
      <c r="L974" s="26" t="e">
        <f t="shared" ref="L974" si="1455">L975</f>
        <v>#DIV/0!</v>
      </c>
      <c r="M974" s="25">
        <f>Parameters!L488</f>
        <v>0</v>
      </c>
      <c r="N974" s="25">
        <f>Parameters!M488</f>
        <v>0</v>
      </c>
      <c r="O974" s="26" t="e">
        <f t="shared" ref="O974" si="1456">O975</f>
        <v>#DIV/0!</v>
      </c>
      <c r="P974" s="23">
        <f>Parameters!N488</f>
        <v>0</v>
      </c>
      <c r="Q974" s="23">
        <f>Parameters!O488</f>
        <v>0</v>
      </c>
      <c r="R974" s="23">
        <f>Parameters!P488</f>
        <v>0</v>
      </c>
      <c r="S974" s="23">
        <f>Parameters!Q488</f>
        <v>0</v>
      </c>
      <c r="T974" s="23">
        <f>Parameters!R488</f>
        <v>0</v>
      </c>
      <c r="U974" s="27">
        <f>Parameters!S488</f>
        <v>0</v>
      </c>
      <c r="V974" s="28">
        <f>Parameters!T488</f>
        <v>0</v>
      </c>
      <c r="W974" s="27">
        <f>Parameters!U488</f>
        <v>0</v>
      </c>
      <c r="X974" s="28">
        <f>Parameters!V488</f>
        <v>0</v>
      </c>
      <c r="Y974" s="25">
        <f>Parameters!W488</f>
        <v>0</v>
      </c>
      <c r="Z974" s="23">
        <f>Parameters!X488</f>
        <v>0</v>
      </c>
      <c r="AA974" s="27">
        <f>Parameters!Y488</f>
        <v>0</v>
      </c>
      <c r="AB974" s="28">
        <f>Parameters!Z488</f>
        <v>0</v>
      </c>
      <c r="AC974" s="23">
        <f>Parameters!AA488</f>
        <v>0</v>
      </c>
    </row>
    <row r="975" spans="1:29">
      <c r="A975" s="29" t="str">
        <f>UPPER(A974)</f>
        <v>0</v>
      </c>
      <c r="B975" s="29">
        <f>B974</f>
        <v>0</v>
      </c>
      <c r="C975" s="30">
        <f>C974</f>
        <v>0</v>
      </c>
      <c r="D975" s="30">
        <f>D974</f>
        <v>0</v>
      </c>
      <c r="E975" s="29">
        <f>E974</f>
        <v>0</v>
      </c>
      <c r="F975" s="29">
        <f>F974</f>
        <v>0</v>
      </c>
      <c r="G975" s="29" t="e">
        <f>IF(C974=1,IF(D974="BUY",E974+(ROUND(F974*G974/B974,0)*B974),E974-(ROUND(F974*G974/B974,0)*B974)),IF(D974="BUY",E974-(ROUND(F974*G974/B974,0)*B974),E974+(ROUND(F974*G974/B974,0)*B974)))</f>
        <v>#DIV/0!</v>
      </c>
      <c r="H975" s="29" t="e">
        <f>IF(C974=1,IF(D974="BUY",G975-(ROUND(F974*H974/B974,0)*B974),G975+(ROUND(F974*H974/B974,0)*B974)),IF(D974="BUY",G975+(ROUND(F974*H974/B974,0)*B974),G975-(ROUND(F974*H974/B974,0)*B974)))</f>
        <v>#DIV/0!</v>
      </c>
      <c r="I975" s="29" t="e">
        <f>IF(D974="BUY",G975+(ROUND(F974*I974/(B974*100),0)*B974),G975-(ROUND(F974*I974/(B974*100),0)*B974))</f>
        <v>#DIV/0!</v>
      </c>
      <c r="J975" s="29" t="e">
        <f>IF(C974=1,IF(D974="BUY",E974+(ROUND(F974*J974/B974,0)*B974),E974-(ROUND(F974*J974/B974,0)*B974)),IF(D974="BUY",E974-(ROUND(F974*J974/B974,0)*B974),E974+(ROUND(F974*J974/B974,0)*B974)))</f>
        <v>#DIV/0!</v>
      </c>
      <c r="K975" s="29" t="e">
        <f>IF(C974=1,IF(D974="BUY",E974-(ROUND(F974*K974/B974,0)*B974),E974+(ROUND(F974*K974/B974,0)*B974)),IF(D974="BUY",E974-(ROUND(F974*K974/B974,0)*B974),E974+(ROUND(F974*K974/B974,0)*B974)))</f>
        <v>#DIV/0!</v>
      </c>
      <c r="L975" s="29" t="e">
        <f t="shared" ref="L975" si="1457">IF(D975="BUY",I975+(R975*B975),I975-(R975*B975))</f>
        <v>#DIV/0!</v>
      </c>
      <c r="M975" s="29" t="e">
        <f>IF(D974="BUY",E974+(ROUND(F974*M974/B974,0)*B974),E974-(ROUND(F974*M974/B974,0)*B974))</f>
        <v>#DIV/0!</v>
      </c>
      <c r="N975" s="29" t="e">
        <f>IF(D974="BUY",E974-(ROUND(F974*N974/B974,0)*B974),E974+(ROUND(F974*N974/B974,0)*B974))</f>
        <v>#DIV/0!</v>
      </c>
      <c r="O975" s="31" t="e">
        <f>IF(D975="BUY",N975-VLOOKUP(A975,Symbols!A$1:D$1000,4,FALSE),N975+VLOOKUP(A975,Symbols!A$1:D$1000,4,FALSE))</f>
        <v>#DIV/0!</v>
      </c>
      <c r="P975" s="29">
        <f>P974</f>
        <v>0</v>
      </c>
      <c r="Q975" s="29">
        <f>Q974</f>
        <v>0</v>
      </c>
      <c r="R975" s="29">
        <f>R974</f>
        <v>0</v>
      </c>
      <c r="S975" s="29">
        <f>S974</f>
        <v>0</v>
      </c>
      <c r="T975" s="29">
        <f>T974</f>
        <v>0</v>
      </c>
      <c r="U975" s="29" t="e">
        <f>DATEDIF(DATE(1970,1,1),U974,"D")*86400</f>
        <v>#NUM!</v>
      </c>
      <c r="V975" s="29">
        <f>HOUR(V974)*3600+MINUTE(V974)*60+SECOND(V974)</f>
        <v>0</v>
      </c>
      <c r="W975" s="29" t="e">
        <f>DATEDIF(DATE(1970,1,1),W974,"D")*86400</f>
        <v>#NUM!</v>
      </c>
      <c r="X975" s="29">
        <f>HOUR(X974)*3600+MINUTE(X974)*60+SECOND(X974)</f>
        <v>0</v>
      </c>
      <c r="Y975" s="31">
        <f>(Y974*B975)</f>
        <v>0</v>
      </c>
      <c r="Z975" s="29">
        <f>Z974</f>
        <v>0</v>
      </c>
      <c r="AA975" s="29" t="e">
        <f>DATEDIF(DATE(1970,1,1),AA974,"D")*86400</f>
        <v>#NUM!</v>
      </c>
      <c r="AB975" s="29">
        <f>HOUR(AB974)*3600+MINUTE(AB974)*60+SECOND(AB974)</f>
        <v>0</v>
      </c>
      <c r="AC975" s="29">
        <f>AC974</f>
        <v>0</v>
      </c>
    </row>
    <row r="976" spans="1:29">
      <c r="A976" s="23">
        <f>Parameters!A489</f>
        <v>0</v>
      </c>
      <c r="B976" s="23">
        <f>Parameters!B489</f>
        <v>0</v>
      </c>
      <c r="C976" s="24">
        <f>Parameters!C489</f>
        <v>0</v>
      </c>
      <c r="D976" s="24">
        <f>Parameters!D489</f>
        <v>0</v>
      </c>
      <c r="E976" s="23">
        <f>Parameters!E489</f>
        <v>0</v>
      </c>
      <c r="F976" s="23">
        <f>Parameters!F489</f>
        <v>0</v>
      </c>
      <c r="G976" s="25">
        <f>Parameters!G489</f>
        <v>0</v>
      </c>
      <c r="H976" s="25">
        <f>Parameters!H489</f>
        <v>0</v>
      </c>
      <c r="I976" s="25">
        <f>Parameters!I489</f>
        <v>0</v>
      </c>
      <c r="J976" s="25">
        <f>Parameters!J489</f>
        <v>0</v>
      </c>
      <c r="K976" s="25">
        <f>Parameters!K489</f>
        <v>0</v>
      </c>
      <c r="L976" s="26" t="e">
        <f t="shared" ref="L976" si="1458">L977</f>
        <v>#DIV/0!</v>
      </c>
      <c r="M976" s="25">
        <f>Parameters!L489</f>
        <v>0</v>
      </c>
      <c r="N976" s="25">
        <f>Parameters!M489</f>
        <v>0</v>
      </c>
      <c r="O976" s="26" t="e">
        <f t="shared" ref="O976" si="1459">O977</f>
        <v>#DIV/0!</v>
      </c>
      <c r="P976" s="23">
        <f>Parameters!N489</f>
        <v>0</v>
      </c>
      <c r="Q976" s="23">
        <f>Parameters!O489</f>
        <v>0</v>
      </c>
      <c r="R976" s="23">
        <f>Parameters!P489</f>
        <v>0</v>
      </c>
      <c r="S976" s="23">
        <f>Parameters!Q489</f>
        <v>0</v>
      </c>
      <c r="T976" s="23">
        <f>Parameters!R489</f>
        <v>0</v>
      </c>
      <c r="U976" s="27">
        <f>Parameters!S489</f>
        <v>0</v>
      </c>
      <c r="V976" s="28">
        <f>Parameters!T489</f>
        <v>0</v>
      </c>
      <c r="W976" s="27">
        <f>Parameters!U489</f>
        <v>0</v>
      </c>
      <c r="X976" s="28">
        <f>Parameters!V489</f>
        <v>0</v>
      </c>
      <c r="Y976" s="25">
        <f>Parameters!W489</f>
        <v>0</v>
      </c>
      <c r="Z976" s="23">
        <f>Parameters!X489</f>
        <v>0</v>
      </c>
      <c r="AA976" s="27">
        <f>Parameters!Y489</f>
        <v>0</v>
      </c>
      <c r="AB976" s="28">
        <f>Parameters!Z489</f>
        <v>0</v>
      </c>
      <c r="AC976" s="23">
        <f>Parameters!AA489</f>
        <v>0</v>
      </c>
    </row>
    <row r="977" spans="1:29">
      <c r="A977" s="29" t="str">
        <f>UPPER(A976)</f>
        <v>0</v>
      </c>
      <c r="B977" s="29">
        <f>B976</f>
        <v>0</v>
      </c>
      <c r="C977" s="30">
        <f>C976</f>
        <v>0</v>
      </c>
      <c r="D977" s="30">
        <f>D976</f>
        <v>0</v>
      </c>
      <c r="E977" s="29">
        <f>E976</f>
        <v>0</v>
      </c>
      <c r="F977" s="29">
        <f>F976</f>
        <v>0</v>
      </c>
      <c r="G977" s="29" t="e">
        <f>IF(C976=1,IF(D976="BUY",E976+(ROUND(F976*G976/B976,0)*B976),E976-(ROUND(F976*G976/B976,0)*B976)),IF(D976="BUY",E976-(ROUND(F976*G976/B976,0)*B976),E976+(ROUND(F976*G976/B976,0)*B976)))</f>
        <v>#DIV/0!</v>
      </c>
      <c r="H977" s="29" t="e">
        <f>IF(C976=1,IF(D976="BUY",G977-(ROUND(F976*H976/B976,0)*B976),G977+(ROUND(F976*H976/B976,0)*B976)),IF(D976="BUY",G977+(ROUND(F976*H976/B976,0)*B976),G977-(ROUND(F976*H976/B976,0)*B976)))</f>
        <v>#DIV/0!</v>
      </c>
      <c r="I977" s="29" t="e">
        <f>IF(D976="BUY",G977+(ROUND(F976*I976/(B976*100),0)*B976),G977-(ROUND(F976*I976/(B976*100),0)*B976))</f>
        <v>#DIV/0!</v>
      </c>
      <c r="J977" s="29" t="e">
        <f>IF(C976=1,IF(D976="BUY",E976+(ROUND(F976*J976/B976,0)*B976),E976-(ROUND(F976*J976/B976,0)*B976)),IF(D976="BUY",E976-(ROUND(F976*J976/B976,0)*B976),E976+(ROUND(F976*J976/B976,0)*B976)))</f>
        <v>#DIV/0!</v>
      </c>
      <c r="K977" s="29" t="e">
        <f>IF(C976=1,IF(D976="BUY",E976-(ROUND(F976*K976/B976,0)*B976),E976+(ROUND(F976*K976/B976,0)*B976)),IF(D976="BUY",E976-(ROUND(F976*K976/B976,0)*B976),E976+(ROUND(F976*K976/B976,0)*B976)))</f>
        <v>#DIV/0!</v>
      </c>
      <c r="L977" s="29" t="e">
        <f t="shared" ref="L977" si="1460">IF(D977="BUY",I977+(R977*B977),I977-(R977*B977))</f>
        <v>#DIV/0!</v>
      </c>
      <c r="M977" s="29" t="e">
        <f>IF(D976="BUY",E976+(ROUND(F976*M976/B976,0)*B976),E976-(ROUND(F976*M976/B976,0)*B976))</f>
        <v>#DIV/0!</v>
      </c>
      <c r="N977" s="29" t="e">
        <f>IF(D976="BUY",E976-(ROUND(F976*N976/B976,0)*B976),E976+(ROUND(F976*N976/B976,0)*B976))</f>
        <v>#DIV/0!</v>
      </c>
      <c r="O977" s="31" t="e">
        <f>IF(D977="BUY",N977-VLOOKUP(A977,Symbols!A$1:D$1000,4,FALSE),N977+VLOOKUP(A977,Symbols!A$1:D$1000,4,FALSE))</f>
        <v>#DIV/0!</v>
      </c>
      <c r="P977" s="29">
        <f>P976</f>
        <v>0</v>
      </c>
      <c r="Q977" s="29">
        <f>Q976</f>
        <v>0</v>
      </c>
      <c r="R977" s="29">
        <f>R976</f>
        <v>0</v>
      </c>
      <c r="S977" s="29">
        <f>S976</f>
        <v>0</v>
      </c>
      <c r="T977" s="29">
        <f>T976</f>
        <v>0</v>
      </c>
      <c r="U977" s="29" t="e">
        <f>DATEDIF(DATE(1970,1,1),U976,"D")*86400</f>
        <v>#NUM!</v>
      </c>
      <c r="V977" s="29">
        <f>HOUR(V976)*3600+MINUTE(V976)*60+SECOND(V976)</f>
        <v>0</v>
      </c>
      <c r="W977" s="29" t="e">
        <f>DATEDIF(DATE(1970,1,1),W976,"D")*86400</f>
        <v>#NUM!</v>
      </c>
      <c r="X977" s="29">
        <f>HOUR(X976)*3600+MINUTE(X976)*60+SECOND(X976)</f>
        <v>0</v>
      </c>
      <c r="Y977" s="31">
        <f>(Y976*B977)</f>
        <v>0</v>
      </c>
      <c r="Z977" s="29">
        <f>Z976</f>
        <v>0</v>
      </c>
      <c r="AA977" s="29" t="e">
        <f>DATEDIF(DATE(1970,1,1),AA976,"D")*86400</f>
        <v>#NUM!</v>
      </c>
      <c r="AB977" s="29">
        <f>HOUR(AB976)*3600+MINUTE(AB976)*60+SECOND(AB976)</f>
        <v>0</v>
      </c>
      <c r="AC977" s="29">
        <f>AC976</f>
        <v>0</v>
      </c>
    </row>
    <row r="978" spans="1:29">
      <c r="A978" s="23">
        <f>Parameters!A490</f>
        <v>0</v>
      </c>
      <c r="B978" s="23">
        <f>Parameters!B490</f>
        <v>0</v>
      </c>
      <c r="C978" s="24">
        <f>Parameters!C490</f>
        <v>0</v>
      </c>
      <c r="D978" s="24">
        <f>Parameters!D490</f>
        <v>0</v>
      </c>
      <c r="E978" s="23">
        <f>Parameters!E490</f>
        <v>0</v>
      </c>
      <c r="F978" s="23">
        <f>Parameters!F490</f>
        <v>0</v>
      </c>
      <c r="G978" s="25">
        <f>Parameters!G490</f>
        <v>0</v>
      </c>
      <c r="H978" s="25">
        <f>Parameters!H490</f>
        <v>0</v>
      </c>
      <c r="I978" s="25">
        <f>Parameters!I490</f>
        <v>0</v>
      </c>
      <c r="J978" s="25">
        <f>Parameters!J490</f>
        <v>0</v>
      </c>
      <c r="K978" s="25">
        <f>Parameters!K490</f>
        <v>0</v>
      </c>
      <c r="L978" s="26" t="e">
        <f t="shared" ref="L978" si="1461">L979</f>
        <v>#DIV/0!</v>
      </c>
      <c r="M978" s="25">
        <f>Parameters!L490</f>
        <v>0</v>
      </c>
      <c r="N978" s="25">
        <f>Parameters!M490</f>
        <v>0</v>
      </c>
      <c r="O978" s="26" t="e">
        <f t="shared" ref="O978" si="1462">O979</f>
        <v>#DIV/0!</v>
      </c>
      <c r="P978" s="23">
        <f>Parameters!N490</f>
        <v>0</v>
      </c>
      <c r="Q978" s="23">
        <f>Parameters!O490</f>
        <v>0</v>
      </c>
      <c r="R978" s="23">
        <f>Parameters!P490</f>
        <v>0</v>
      </c>
      <c r="S978" s="23">
        <f>Parameters!Q490</f>
        <v>0</v>
      </c>
      <c r="T978" s="23">
        <f>Parameters!R490</f>
        <v>0</v>
      </c>
      <c r="U978" s="27">
        <f>Parameters!S490</f>
        <v>0</v>
      </c>
      <c r="V978" s="28">
        <f>Parameters!T490</f>
        <v>0</v>
      </c>
      <c r="W978" s="27">
        <f>Parameters!U490</f>
        <v>0</v>
      </c>
      <c r="X978" s="28">
        <f>Parameters!V490</f>
        <v>0</v>
      </c>
      <c r="Y978" s="25">
        <f>Parameters!W490</f>
        <v>0</v>
      </c>
      <c r="Z978" s="23">
        <f>Parameters!X490</f>
        <v>0</v>
      </c>
      <c r="AA978" s="27">
        <f>Parameters!Y490</f>
        <v>0</v>
      </c>
      <c r="AB978" s="28">
        <f>Parameters!Z490</f>
        <v>0</v>
      </c>
      <c r="AC978" s="23">
        <f>Parameters!AA490</f>
        <v>0</v>
      </c>
    </row>
    <row r="979" spans="1:29">
      <c r="A979" s="29" t="str">
        <f>UPPER(A978)</f>
        <v>0</v>
      </c>
      <c r="B979" s="29">
        <f>B978</f>
        <v>0</v>
      </c>
      <c r="C979" s="30">
        <f>C978</f>
        <v>0</v>
      </c>
      <c r="D979" s="30">
        <f>D978</f>
        <v>0</v>
      </c>
      <c r="E979" s="29">
        <f>E978</f>
        <v>0</v>
      </c>
      <c r="F979" s="29">
        <f>F978</f>
        <v>0</v>
      </c>
      <c r="G979" s="29" t="e">
        <f>IF(C978=1,IF(D978="BUY",E978+(ROUND(F978*G978/B978,0)*B978),E978-(ROUND(F978*G978/B978,0)*B978)),IF(D978="BUY",E978-(ROUND(F978*G978/B978,0)*B978),E978+(ROUND(F978*G978/B978,0)*B978)))</f>
        <v>#DIV/0!</v>
      </c>
      <c r="H979" s="29" t="e">
        <f>IF(C978=1,IF(D978="BUY",G979-(ROUND(F978*H978/B978,0)*B978),G979+(ROUND(F978*H978/B978,0)*B978)),IF(D978="BUY",G979+(ROUND(F978*H978/B978,0)*B978),G979-(ROUND(F978*H978/B978,0)*B978)))</f>
        <v>#DIV/0!</v>
      </c>
      <c r="I979" s="29" t="e">
        <f>IF(D978="BUY",G979+(ROUND(F978*I978/(B978*100),0)*B978),G979-(ROUND(F978*I978/(B978*100),0)*B978))</f>
        <v>#DIV/0!</v>
      </c>
      <c r="J979" s="29" t="e">
        <f>IF(C978=1,IF(D978="BUY",E978+(ROUND(F978*J978/B978,0)*B978),E978-(ROUND(F978*J978/B978,0)*B978)),IF(D978="BUY",E978-(ROUND(F978*J978/B978,0)*B978),E978+(ROUND(F978*J978/B978,0)*B978)))</f>
        <v>#DIV/0!</v>
      </c>
      <c r="K979" s="29" t="e">
        <f>IF(C978=1,IF(D978="BUY",E978-(ROUND(F978*K978/B978,0)*B978),E978+(ROUND(F978*K978/B978,0)*B978)),IF(D978="BUY",E978-(ROUND(F978*K978/B978,0)*B978),E978+(ROUND(F978*K978/B978,0)*B978)))</f>
        <v>#DIV/0!</v>
      </c>
      <c r="L979" s="29" t="e">
        <f t="shared" ref="L979" si="1463">IF(D979="BUY",I979+(R979*B979),I979-(R979*B979))</f>
        <v>#DIV/0!</v>
      </c>
      <c r="M979" s="29" t="e">
        <f>IF(D978="BUY",E978+(ROUND(F978*M978/B978,0)*B978),E978-(ROUND(F978*M978/B978,0)*B978))</f>
        <v>#DIV/0!</v>
      </c>
      <c r="N979" s="29" t="e">
        <f>IF(D978="BUY",E978-(ROUND(F978*N978/B978,0)*B978),E978+(ROUND(F978*N978/B978,0)*B978))</f>
        <v>#DIV/0!</v>
      </c>
      <c r="O979" s="31" t="e">
        <f>IF(D979="BUY",N979-VLOOKUP(A979,Symbols!A$1:D$1000,4,FALSE),N979+VLOOKUP(A979,Symbols!A$1:D$1000,4,FALSE))</f>
        <v>#DIV/0!</v>
      </c>
      <c r="P979" s="29">
        <f>P978</f>
        <v>0</v>
      </c>
      <c r="Q979" s="29">
        <f>Q978</f>
        <v>0</v>
      </c>
      <c r="R979" s="29">
        <f>R978</f>
        <v>0</v>
      </c>
      <c r="S979" s="29">
        <f>S978</f>
        <v>0</v>
      </c>
      <c r="T979" s="29">
        <f>T978</f>
        <v>0</v>
      </c>
      <c r="U979" s="29" t="e">
        <f>DATEDIF(DATE(1970,1,1),U978,"D")*86400</f>
        <v>#NUM!</v>
      </c>
      <c r="V979" s="29">
        <f>HOUR(V978)*3600+MINUTE(V978)*60+SECOND(V978)</f>
        <v>0</v>
      </c>
      <c r="W979" s="29" t="e">
        <f>DATEDIF(DATE(1970,1,1),W978,"D")*86400</f>
        <v>#NUM!</v>
      </c>
      <c r="X979" s="29">
        <f>HOUR(X978)*3600+MINUTE(X978)*60+SECOND(X978)</f>
        <v>0</v>
      </c>
      <c r="Y979" s="31">
        <f>(Y978*B979)</f>
        <v>0</v>
      </c>
      <c r="Z979" s="29">
        <f>Z978</f>
        <v>0</v>
      </c>
      <c r="AA979" s="29" t="e">
        <f>DATEDIF(DATE(1970,1,1),AA978,"D")*86400</f>
        <v>#NUM!</v>
      </c>
      <c r="AB979" s="29">
        <f>HOUR(AB978)*3600+MINUTE(AB978)*60+SECOND(AB978)</f>
        <v>0</v>
      </c>
      <c r="AC979" s="29">
        <f>AC978</f>
        <v>0</v>
      </c>
    </row>
    <row r="980" spans="1:29">
      <c r="A980" s="23">
        <f>Parameters!A491</f>
        <v>0</v>
      </c>
      <c r="B980" s="23">
        <f>Parameters!B491</f>
        <v>0</v>
      </c>
      <c r="C980" s="24">
        <f>Parameters!C491</f>
        <v>0</v>
      </c>
      <c r="D980" s="24">
        <f>Parameters!D491</f>
        <v>0</v>
      </c>
      <c r="E980" s="23">
        <f>Parameters!E491</f>
        <v>0</v>
      </c>
      <c r="F980" s="23">
        <f>Parameters!F491</f>
        <v>0</v>
      </c>
      <c r="G980" s="25">
        <f>Parameters!G491</f>
        <v>0</v>
      </c>
      <c r="H980" s="25">
        <f>Parameters!H491</f>
        <v>0</v>
      </c>
      <c r="I980" s="25">
        <f>Parameters!I491</f>
        <v>0</v>
      </c>
      <c r="J980" s="25">
        <f>Parameters!J491</f>
        <v>0</v>
      </c>
      <c r="K980" s="25">
        <f>Parameters!K491</f>
        <v>0</v>
      </c>
      <c r="L980" s="26" t="e">
        <f t="shared" ref="L980" si="1464">L981</f>
        <v>#DIV/0!</v>
      </c>
      <c r="M980" s="25">
        <f>Parameters!L491</f>
        <v>0</v>
      </c>
      <c r="N980" s="25">
        <f>Parameters!M491</f>
        <v>0</v>
      </c>
      <c r="O980" s="26" t="e">
        <f t="shared" ref="O980" si="1465">O981</f>
        <v>#DIV/0!</v>
      </c>
      <c r="P980" s="23">
        <f>Parameters!N491</f>
        <v>0</v>
      </c>
      <c r="Q980" s="23">
        <f>Parameters!O491</f>
        <v>0</v>
      </c>
      <c r="R980" s="23">
        <f>Parameters!P491</f>
        <v>0</v>
      </c>
      <c r="S980" s="23">
        <f>Parameters!Q491</f>
        <v>0</v>
      </c>
      <c r="T980" s="23">
        <f>Parameters!R491</f>
        <v>0</v>
      </c>
      <c r="U980" s="27">
        <f>Parameters!S491</f>
        <v>0</v>
      </c>
      <c r="V980" s="28">
        <f>Parameters!T491</f>
        <v>0</v>
      </c>
      <c r="W980" s="27">
        <f>Parameters!U491</f>
        <v>0</v>
      </c>
      <c r="X980" s="28">
        <f>Parameters!V491</f>
        <v>0</v>
      </c>
      <c r="Y980" s="25">
        <f>Parameters!W491</f>
        <v>0</v>
      </c>
      <c r="Z980" s="23">
        <f>Parameters!X491</f>
        <v>0</v>
      </c>
      <c r="AA980" s="27">
        <f>Parameters!Y491</f>
        <v>0</v>
      </c>
      <c r="AB980" s="28">
        <f>Parameters!Z491</f>
        <v>0</v>
      </c>
      <c r="AC980" s="23">
        <f>Parameters!AA491</f>
        <v>0</v>
      </c>
    </row>
    <row r="981" spans="1:29">
      <c r="A981" s="29" t="str">
        <f>UPPER(A980)</f>
        <v>0</v>
      </c>
      <c r="B981" s="29">
        <f>B980</f>
        <v>0</v>
      </c>
      <c r="C981" s="30">
        <f>C980</f>
        <v>0</v>
      </c>
      <c r="D981" s="30">
        <f>D980</f>
        <v>0</v>
      </c>
      <c r="E981" s="29">
        <f>E980</f>
        <v>0</v>
      </c>
      <c r="F981" s="29">
        <f>F980</f>
        <v>0</v>
      </c>
      <c r="G981" s="29" t="e">
        <f>IF(C980=1,IF(D980="BUY",E980+(ROUND(F980*G980/B980,0)*B980),E980-(ROUND(F980*G980/B980,0)*B980)),IF(D980="BUY",E980-(ROUND(F980*G980/B980,0)*B980),E980+(ROUND(F980*G980/B980,0)*B980)))</f>
        <v>#DIV/0!</v>
      </c>
      <c r="H981" s="29" t="e">
        <f>IF(C980=1,IF(D980="BUY",G981-(ROUND(F980*H980/B980,0)*B980),G981+(ROUND(F980*H980/B980,0)*B980)),IF(D980="BUY",G981+(ROUND(F980*H980/B980,0)*B980),G981-(ROUND(F980*H980/B980,0)*B980)))</f>
        <v>#DIV/0!</v>
      </c>
      <c r="I981" s="29" t="e">
        <f>IF(D980="BUY",G981+(ROUND(F980*I980/(B980*100),0)*B980),G981-(ROUND(F980*I980/(B980*100),0)*B980))</f>
        <v>#DIV/0!</v>
      </c>
      <c r="J981" s="29" t="e">
        <f>IF(C980=1,IF(D980="BUY",E980+(ROUND(F980*J980/B980,0)*B980),E980-(ROUND(F980*J980/B980,0)*B980)),IF(D980="BUY",E980-(ROUND(F980*J980/B980,0)*B980),E980+(ROUND(F980*J980/B980,0)*B980)))</f>
        <v>#DIV/0!</v>
      </c>
      <c r="K981" s="29" t="e">
        <f>IF(C980=1,IF(D980="BUY",E980-(ROUND(F980*K980/B980,0)*B980),E980+(ROUND(F980*K980/B980,0)*B980)),IF(D980="BUY",E980-(ROUND(F980*K980/B980,0)*B980),E980+(ROUND(F980*K980/B980,0)*B980)))</f>
        <v>#DIV/0!</v>
      </c>
      <c r="L981" s="29" t="e">
        <f t="shared" ref="L981" si="1466">IF(D981="BUY",I981+(R981*B981),I981-(R981*B981))</f>
        <v>#DIV/0!</v>
      </c>
      <c r="M981" s="29" t="e">
        <f>IF(D980="BUY",E980+(ROUND(F980*M980/B980,0)*B980),E980-(ROUND(F980*M980/B980,0)*B980))</f>
        <v>#DIV/0!</v>
      </c>
      <c r="N981" s="29" t="e">
        <f>IF(D980="BUY",E980-(ROUND(F980*N980/B980,0)*B980),E980+(ROUND(F980*N980/B980,0)*B980))</f>
        <v>#DIV/0!</v>
      </c>
      <c r="O981" s="31" t="e">
        <f>IF(D981="BUY",N981-VLOOKUP(A981,Symbols!A$1:D$1000,4,FALSE),N981+VLOOKUP(A981,Symbols!A$1:D$1000,4,FALSE))</f>
        <v>#DIV/0!</v>
      </c>
      <c r="P981" s="29">
        <f>P980</f>
        <v>0</v>
      </c>
      <c r="Q981" s="29">
        <f>Q980</f>
        <v>0</v>
      </c>
      <c r="R981" s="29">
        <f>R980</f>
        <v>0</v>
      </c>
      <c r="S981" s="29">
        <f>S980</f>
        <v>0</v>
      </c>
      <c r="T981" s="29">
        <f>T980</f>
        <v>0</v>
      </c>
      <c r="U981" s="29" t="e">
        <f>DATEDIF(DATE(1970,1,1),U980,"D")*86400</f>
        <v>#NUM!</v>
      </c>
      <c r="V981" s="29">
        <f>HOUR(V980)*3600+MINUTE(V980)*60+SECOND(V980)</f>
        <v>0</v>
      </c>
      <c r="W981" s="29" t="e">
        <f>DATEDIF(DATE(1970,1,1),W980,"D")*86400</f>
        <v>#NUM!</v>
      </c>
      <c r="X981" s="29">
        <f>HOUR(X980)*3600+MINUTE(X980)*60+SECOND(X980)</f>
        <v>0</v>
      </c>
      <c r="Y981" s="31">
        <f>(Y980*B981)</f>
        <v>0</v>
      </c>
      <c r="Z981" s="29">
        <f>Z980</f>
        <v>0</v>
      </c>
      <c r="AA981" s="29" t="e">
        <f>DATEDIF(DATE(1970,1,1),AA980,"D")*86400</f>
        <v>#NUM!</v>
      </c>
      <c r="AB981" s="29">
        <f>HOUR(AB980)*3600+MINUTE(AB980)*60+SECOND(AB980)</f>
        <v>0</v>
      </c>
      <c r="AC981" s="29">
        <f>AC980</f>
        <v>0</v>
      </c>
    </row>
    <row r="982" spans="1:29">
      <c r="A982" s="23">
        <f>Parameters!A492</f>
        <v>0</v>
      </c>
      <c r="B982" s="23">
        <f>Parameters!B492</f>
        <v>0</v>
      </c>
      <c r="C982" s="24">
        <f>Parameters!C492</f>
        <v>0</v>
      </c>
      <c r="D982" s="24">
        <f>Parameters!D492</f>
        <v>0</v>
      </c>
      <c r="E982" s="23">
        <f>Parameters!E492</f>
        <v>0</v>
      </c>
      <c r="F982" s="23">
        <f>Parameters!F492</f>
        <v>0</v>
      </c>
      <c r="G982" s="25">
        <f>Parameters!G492</f>
        <v>0</v>
      </c>
      <c r="H982" s="25">
        <f>Parameters!H492</f>
        <v>0</v>
      </c>
      <c r="I982" s="25">
        <f>Parameters!I492</f>
        <v>0</v>
      </c>
      <c r="J982" s="25">
        <f>Parameters!J492</f>
        <v>0</v>
      </c>
      <c r="K982" s="25">
        <f>Parameters!K492</f>
        <v>0</v>
      </c>
      <c r="L982" s="26" t="e">
        <f t="shared" ref="L982" si="1467">L983</f>
        <v>#DIV/0!</v>
      </c>
      <c r="M982" s="25">
        <f>Parameters!L492</f>
        <v>0</v>
      </c>
      <c r="N982" s="25">
        <f>Parameters!M492</f>
        <v>0</v>
      </c>
      <c r="O982" s="26" t="e">
        <f t="shared" ref="O982" si="1468">O983</f>
        <v>#DIV/0!</v>
      </c>
      <c r="P982" s="23">
        <f>Parameters!N492</f>
        <v>0</v>
      </c>
      <c r="Q982" s="23">
        <f>Parameters!O492</f>
        <v>0</v>
      </c>
      <c r="R982" s="23">
        <f>Parameters!P492</f>
        <v>0</v>
      </c>
      <c r="S982" s="23">
        <f>Parameters!Q492</f>
        <v>0</v>
      </c>
      <c r="T982" s="23">
        <f>Parameters!R492</f>
        <v>0</v>
      </c>
      <c r="U982" s="27">
        <f>Parameters!S492</f>
        <v>0</v>
      </c>
      <c r="V982" s="28">
        <f>Parameters!T492</f>
        <v>0</v>
      </c>
      <c r="W982" s="27">
        <f>Parameters!U492</f>
        <v>0</v>
      </c>
      <c r="X982" s="28">
        <f>Parameters!V492</f>
        <v>0</v>
      </c>
      <c r="Y982" s="25">
        <f>Parameters!W492</f>
        <v>0</v>
      </c>
      <c r="Z982" s="23">
        <f>Parameters!X492</f>
        <v>0</v>
      </c>
      <c r="AA982" s="27">
        <f>Parameters!Y492</f>
        <v>0</v>
      </c>
      <c r="AB982" s="28">
        <f>Parameters!Z492</f>
        <v>0</v>
      </c>
      <c r="AC982" s="23">
        <f>Parameters!AA492</f>
        <v>0</v>
      </c>
    </row>
    <row r="983" spans="1:29">
      <c r="A983" s="29" t="str">
        <f>UPPER(A982)</f>
        <v>0</v>
      </c>
      <c r="B983" s="29">
        <f>B982</f>
        <v>0</v>
      </c>
      <c r="C983" s="30">
        <f>C982</f>
        <v>0</v>
      </c>
      <c r="D983" s="30">
        <f>D982</f>
        <v>0</v>
      </c>
      <c r="E983" s="29">
        <f>E982</f>
        <v>0</v>
      </c>
      <c r="F983" s="29">
        <f>F982</f>
        <v>0</v>
      </c>
      <c r="G983" s="29" t="e">
        <f>IF(C982=1,IF(D982="BUY",E982+(ROUND(F982*G982/B982,0)*B982),E982-(ROUND(F982*G982/B982,0)*B982)),IF(D982="BUY",E982-(ROUND(F982*G982/B982,0)*B982),E982+(ROUND(F982*G982/B982,0)*B982)))</f>
        <v>#DIV/0!</v>
      </c>
      <c r="H983" s="29" t="e">
        <f>IF(C982=1,IF(D982="BUY",G983-(ROUND(F982*H982/B982,0)*B982),G983+(ROUND(F982*H982/B982,0)*B982)),IF(D982="BUY",G983+(ROUND(F982*H982/B982,0)*B982),G983-(ROUND(F982*H982/B982,0)*B982)))</f>
        <v>#DIV/0!</v>
      </c>
      <c r="I983" s="29" t="e">
        <f>IF(D982="BUY",G983+(ROUND(F982*I982/(B982*100),0)*B982),G983-(ROUND(F982*I982/(B982*100),0)*B982))</f>
        <v>#DIV/0!</v>
      </c>
      <c r="J983" s="29" t="e">
        <f>IF(C982=1,IF(D982="BUY",E982+(ROUND(F982*J982/B982,0)*B982),E982-(ROUND(F982*J982/B982,0)*B982)),IF(D982="BUY",E982-(ROUND(F982*J982/B982,0)*B982),E982+(ROUND(F982*J982/B982,0)*B982)))</f>
        <v>#DIV/0!</v>
      </c>
      <c r="K983" s="29" t="e">
        <f>IF(C982=1,IF(D982="BUY",E982-(ROUND(F982*K982/B982,0)*B982),E982+(ROUND(F982*K982/B982,0)*B982)),IF(D982="BUY",E982-(ROUND(F982*K982/B982,0)*B982),E982+(ROUND(F982*K982/B982,0)*B982)))</f>
        <v>#DIV/0!</v>
      </c>
      <c r="L983" s="29" t="e">
        <f t="shared" ref="L983" si="1469">IF(D983="BUY",I983+(R983*B983),I983-(R983*B983))</f>
        <v>#DIV/0!</v>
      </c>
      <c r="M983" s="29" t="e">
        <f>IF(D982="BUY",E982+(ROUND(F982*M982/B982,0)*B982),E982-(ROUND(F982*M982/B982,0)*B982))</f>
        <v>#DIV/0!</v>
      </c>
      <c r="N983" s="29" t="e">
        <f>IF(D982="BUY",E982-(ROUND(F982*N982/B982,0)*B982),E982+(ROUND(F982*N982/B982,0)*B982))</f>
        <v>#DIV/0!</v>
      </c>
      <c r="O983" s="31" t="e">
        <f>IF(D983="BUY",N983-VLOOKUP(A983,Symbols!A$1:D$1000,4,FALSE),N983+VLOOKUP(A983,Symbols!A$1:D$1000,4,FALSE))</f>
        <v>#DIV/0!</v>
      </c>
      <c r="P983" s="29">
        <f>P982</f>
        <v>0</v>
      </c>
      <c r="Q983" s="29">
        <f>Q982</f>
        <v>0</v>
      </c>
      <c r="R983" s="29">
        <f>R982</f>
        <v>0</v>
      </c>
      <c r="S983" s="29">
        <f>S982</f>
        <v>0</v>
      </c>
      <c r="T983" s="29">
        <f>T982</f>
        <v>0</v>
      </c>
      <c r="U983" s="29" t="e">
        <f>DATEDIF(DATE(1970,1,1),U982,"D")*86400</f>
        <v>#NUM!</v>
      </c>
      <c r="V983" s="29">
        <f>HOUR(V982)*3600+MINUTE(V982)*60+SECOND(V982)</f>
        <v>0</v>
      </c>
      <c r="W983" s="29" t="e">
        <f>DATEDIF(DATE(1970,1,1),W982,"D")*86400</f>
        <v>#NUM!</v>
      </c>
      <c r="X983" s="29">
        <f>HOUR(X982)*3600+MINUTE(X982)*60+SECOND(X982)</f>
        <v>0</v>
      </c>
      <c r="Y983" s="31">
        <f>(Y982*B983)</f>
        <v>0</v>
      </c>
      <c r="Z983" s="29">
        <f>Z982</f>
        <v>0</v>
      </c>
      <c r="AA983" s="29" t="e">
        <f>DATEDIF(DATE(1970,1,1),AA982,"D")*86400</f>
        <v>#NUM!</v>
      </c>
      <c r="AB983" s="29">
        <f>HOUR(AB982)*3600+MINUTE(AB982)*60+SECOND(AB982)</f>
        <v>0</v>
      </c>
      <c r="AC983" s="29">
        <f>AC982</f>
        <v>0</v>
      </c>
    </row>
    <row r="984" spans="1:29">
      <c r="A984" s="23">
        <f>Parameters!A493</f>
        <v>0</v>
      </c>
      <c r="B984" s="23">
        <f>Parameters!B493</f>
        <v>0</v>
      </c>
      <c r="C984" s="24">
        <f>Parameters!C493</f>
        <v>0</v>
      </c>
      <c r="D984" s="24">
        <f>Parameters!D493</f>
        <v>0</v>
      </c>
      <c r="E984" s="23">
        <f>Parameters!E493</f>
        <v>0</v>
      </c>
      <c r="F984" s="23">
        <f>Parameters!F493</f>
        <v>0</v>
      </c>
      <c r="G984" s="25">
        <f>Parameters!G493</f>
        <v>0</v>
      </c>
      <c r="H984" s="25">
        <f>Parameters!H493</f>
        <v>0</v>
      </c>
      <c r="I984" s="25">
        <f>Parameters!I493</f>
        <v>0</v>
      </c>
      <c r="J984" s="25">
        <f>Parameters!J493</f>
        <v>0</v>
      </c>
      <c r="K984" s="25">
        <f>Parameters!K493</f>
        <v>0</v>
      </c>
      <c r="L984" s="26" t="e">
        <f t="shared" ref="L984" si="1470">L985</f>
        <v>#DIV/0!</v>
      </c>
      <c r="M984" s="25">
        <f>Parameters!L493</f>
        <v>0</v>
      </c>
      <c r="N984" s="25">
        <f>Parameters!M493</f>
        <v>0</v>
      </c>
      <c r="O984" s="26" t="e">
        <f t="shared" ref="O984" si="1471">O985</f>
        <v>#DIV/0!</v>
      </c>
      <c r="P984" s="23">
        <f>Parameters!N493</f>
        <v>0</v>
      </c>
      <c r="Q984" s="23">
        <f>Parameters!O493</f>
        <v>0</v>
      </c>
      <c r="R984" s="23">
        <f>Parameters!P493</f>
        <v>0</v>
      </c>
      <c r="S984" s="23">
        <f>Parameters!Q493</f>
        <v>0</v>
      </c>
      <c r="T984" s="23">
        <f>Parameters!R493</f>
        <v>0</v>
      </c>
      <c r="U984" s="27">
        <f>Parameters!S493</f>
        <v>0</v>
      </c>
      <c r="V984" s="28">
        <f>Parameters!T493</f>
        <v>0</v>
      </c>
      <c r="W984" s="27">
        <f>Parameters!U493</f>
        <v>0</v>
      </c>
      <c r="X984" s="28">
        <f>Parameters!V493</f>
        <v>0</v>
      </c>
      <c r="Y984" s="25">
        <f>Parameters!W493</f>
        <v>0</v>
      </c>
      <c r="Z984" s="23">
        <f>Parameters!X493</f>
        <v>0</v>
      </c>
      <c r="AA984" s="27">
        <f>Parameters!Y493</f>
        <v>0</v>
      </c>
      <c r="AB984" s="28">
        <f>Parameters!Z493</f>
        <v>0</v>
      </c>
      <c r="AC984" s="23">
        <f>Parameters!AA493</f>
        <v>0</v>
      </c>
    </row>
    <row r="985" spans="1:29">
      <c r="A985" s="29" t="str">
        <f>UPPER(A984)</f>
        <v>0</v>
      </c>
      <c r="B985" s="29">
        <f>B984</f>
        <v>0</v>
      </c>
      <c r="C985" s="30">
        <f>C984</f>
        <v>0</v>
      </c>
      <c r="D985" s="30">
        <f>D984</f>
        <v>0</v>
      </c>
      <c r="E985" s="29">
        <f>E984</f>
        <v>0</v>
      </c>
      <c r="F985" s="29">
        <f>F984</f>
        <v>0</v>
      </c>
      <c r="G985" s="29" t="e">
        <f>IF(C984=1,IF(D984="BUY",E984+(ROUND(F984*G984/B984,0)*B984),E984-(ROUND(F984*G984/B984,0)*B984)),IF(D984="BUY",E984-(ROUND(F984*G984/B984,0)*B984),E984+(ROUND(F984*G984/B984,0)*B984)))</f>
        <v>#DIV/0!</v>
      </c>
      <c r="H985" s="29" t="e">
        <f>IF(C984=1,IF(D984="BUY",G985-(ROUND(F984*H984/B984,0)*B984),G985+(ROUND(F984*H984/B984,0)*B984)),IF(D984="BUY",G985+(ROUND(F984*H984/B984,0)*B984),G985-(ROUND(F984*H984/B984,0)*B984)))</f>
        <v>#DIV/0!</v>
      </c>
      <c r="I985" s="29" t="e">
        <f>IF(D984="BUY",G985+(ROUND(F984*I984/(B984*100),0)*B984),G985-(ROUND(F984*I984/(B984*100),0)*B984))</f>
        <v>#DIV/0!</v>
      </c>
      <c r="J985" s="29" t="e">
        <f>IF(C984=1,IF(D984="BUY",E984+(ROUND(F984*J984/B984,0)*B984),E984-(ROUND(F984*J984/B984,0)*B984)),IF(D984="BUY",E984-(ROUND(F984*J984/B984,0)*B984),E984+(ROUND(F984*J984/B984,0)*B984)))</f>
        <v>#DIV/0!</v>
      </c>
      <c r="K985" s="29" t="e">
        <f>IF(C984=1,IF(D984="BUY",E984-(ROUND(F984*K984/B984,0)*B984),E984+(ROUND(F984*K984/B984,0)*B984)),IF(D984="BUY",E984-(ROUND(F984*K984/B984,0)*B984),E984+(ROUND(F984*K984/B984,0)*B984)))</f>
        <v>#DIV/0!</v>
      </c>
      <c r="L985" s="29" t="e">
        <f t="shared" ref="L985" si="1472">IF(D985="BUY",I985+(R985*B985),I985-(R985*B985))</f>
        <v>#DIV/0!</v>
      </c>
      <c r="M985" s="29" t="e">
        <f>IF(D984="BUY",E984+(ROUND(F984*M984/B984,0)*B984),E984-(ROUND(F984*M984/B984,0)*B984))</f>
        <v>#DIV/0!</v>
      </c>
      <c r="N985" s="29" t="e">
        <f>IF(D984="BUY",E984-(ROUND(F984*N984/B984,0)*B984),E984+(ROUND(F984*N984/B984,0)*B984))</f>
        <v>#DIV/0!</v>
      </c>
      <c r="O985" s="31" t="e">
        <f>IF(D985="BUY",N985-VLOOKUP(A985,Symbols!A$1:D$1000,4,FALSE),N985+VLOOKUP(A985,Symbols!A$1:D$1000,4,FALSE))</f>
        <v>#DIV/0!</v>
      </c>
      <c r="P985" s="29">
        <f>P984</f>
        <v>0</v>
      </c>
      <c r="Q985" s="29">
        <f>Q984</f>
        <v>0</v>
      </c>
      <c r="R985" s="29">
        <f>R984</f>
        <v>0</v>
      </c>
      <c r="S985" s="29">
        <f>S984</f>
        <v>0</v>
      </c>
      <c r="T985" s="29">
        <f>T984</f>
        <v>0</v>
      </c>
      <c r="U985" s="29" t="e">
        <f>DATEDIF(DATE(1970,1,1),U984,"D")*86400</f>
        <v>#NUM!</v>
      </c>
      <c r="V985" s="29">
        <f>HOUR(V984)*3600+MINUTE(V984)*60+SECOND(V984)</f>
        <v>0</v>
      </c>
      <c r="W985" s="29" t="e">
        <f>DATEDIF(DATE(1970,1,1),W984,"D")*86400</f>
        <v>#NUM!</v>
      </c>
      <c r="X985" s="29">
        <f>HOUR(X984)*3600+MINUTE(X984)*60+SECOND(X984)</f>
        <v>0</v>
      </c>
      <c r="Y985" s="31">
        <f>(Y984*B985)</f>
        <v>0</v>
      </c>
      <c r="Z985" s="29">
        <f>Z984</f>
        <v>0</v>
      </c>
      <c r="AA985" s="29" t="e">
        <f>DATEDIF(DATE(1970,1,1),AA984,"D")*86400</f>
        <v>#NUM!</v>
      </c>
      <c r="AB985" s="29">
        <f>HOUR(AB984)*3600+MINUTE(AB984)*60+SECOND(AB984)</f>
        <v>0</v>
      </c>
      <c r="AC985" s="29">
        <f>AC984</f>
        <v>0</v>
      </c>
    </row>
    <row r="986" spans="1:29">
      <c r="A986" s="23">
        <f>Parameters!A494</f>
        <v>0</v>
      </c>
      <c r="B986" s="23">
        <f>Parameters!B494</f>
        <v>0</v>
      </c>
      <c r="C986" s="24">
        <f>Parameters!C494</f>
        <v>0</v>
      </c>
      <c r="D986" s="24">
        <f>Parameters!D494</f>
        <v>0</v>
      </c>
      <c r="E986" s="23">
        <f>Parameters!E494</f>
        <v>0</v>
      </c>
      <c r="F986" s="23">
        <f>Parameters!F494</f>
        <v>0</v>
      </c>
      <c r="G986" s="25">
        <f>Parameters!G494</f>
        <v>0</v>
      </c>
      <c r="H986" s="25">
        <f>Parameters!H494</f>
        <v>0</v>
      </c>
      <c r="I986" s="25">
        <f>Parameters!I494</f>
        <v>0</v>
      </c>
      <c r="J986" s="25">
        <f>Parameters!J494</f>
        <v>0</v>
      </c>
      <c r="K986" s="25">
        <f>Parameters!K494</f>
        <v>0</v>
      </c>
      <c r="L986" s="26" t="e">
        <f t="shared" ref="L986" si="1473">L987</f>
        <v>#DIV/0!</v>
      </c>
      <c r="M986" s="25">
        <f>Parameters!L494</f>
        <v>0</v>
      </c>
      <c r="N986" s="25">
        <f>Parameters!M494</f>
        <v>0</v>
      </c>
      <c r="O986" s="26" t="e">
        <f t="shared" ref="O986" si="1474">O987</f>
        <v>#DIV/0!</v>
      </c>
      <c r="P986" s="23">
        <f>Parameters!N494</f>
        <v>0</v>
      </c>
      <c r="Q986" s="23">
        <f>Parameters!O494</f>
        <v>0</v>
      </c>
      <c r="R986" s="23">
        <f>Parameters!P494</f>
        <v>0</v>
      </c>
      <c r="S986" s="23">
        <f>Parameters!Q494</f>
        <v>0</v>
      </c>
      <c r="T986" s="23">
        <f>Parameters!R494</f>
        <v>0</v>
      </c>
      <c r="U986" s="27">
        <f>Parameters!S494</f>
        <v>0</v>
      </c>
      <c r="V986" s="28">
        <f>Parameters!T494</f>
        <v>0</v>
      </c>
      <c r="W986" s="27">
        <f>Parameters!U494</f>
        <v>0</v>
      </c>
      <c r="X986" s="28">
        <f>Parameters!V494</f>
        <v>0</v>
      </c>
      <c r="Y986" s="25">
        <f>Parameters!W494</f>
        <v>0</v>
      </c>
      <c r="Z986" s="23">
        <f>Parameters!X494</f>
        <v>0</v>
      </c>
      <c r="AA986" s="27">
        <f>Parameters!Y494</f>
        <v>0</v>
      </c>
      <c r="AB986" s="28">
        <f>Parameters!Z494</f>
        <v>0</v>
      </c>
      <c r="AC986" s="23">
        <f>Parameters!AA494</f>
        <v>0</v>
      </c>
    </row>
    <row r="987" spans="1:29">
      <c r="A987" s="29" t="str">
        <f>UPPER(A986)</f>
        <v>0</v>
      </c>
      <c r="B987" s="29">
        <f>B986</f>
        <v>0</v>
      </c>
      <c r="C987" s="30">
        <f>C986</f>
        <v>0</v>
      </c>
      <c r="D987" s="30">
        <f>D986</f>
        <v>0</v>
      </c>
      <c r="E987" s="29">
        <f>E986</f>
        <v>0</v>
      </c>
      <c r="F987" s="29">
        <f>F986</f>
        <v>0</v>
      </c>
      <c r="G987" s="29" t="e">
        <f>IF(C986=1,IF(D986="BUY",E986+(ROUND(F986*G986/B986,0)*B986),E986-(ROUND(F986*G986/B986,0)*B986)),IF(D986="BUY",E986-(ROUND(F986*G986/B986,0)*B986),E986+(ROUND(F986*G986/B986,0)*B986)))</f>
        <v>#DIV/0!</v>
      </c>
      <c r="H987" s="29" t="e">
        <f>IF(C986=1,IF(D986="BUY",G987-(ROUND(F986*H986/B986,0)*B986),G987+(ROUND(F986*H986/B986,0)*B986)),IF(D986="BUY",G987+(ROUND(F986*H986/B986,0)*B986),G987-(ROUND(F986*H986/B986,0)*B986)))</f>
        <v>#DIV/0!</v>
      </c>
      <c r="I987" s="29" t="e">
        <f>IF(D986="BUY",G987+(ROUND(F986*I986/(B986*100),0)*B986),G987-(ROUND(F986*I986/(B986*100),0)*B986))</f>
        <v>#DIV/0!</v>
      </c>
      <c r="J987" s="29" t="e">
        <f>IF(C986=1,IF(D986="BUY",E986+(ROUND(F986*J986/B986,0)*B986),E986-(ROUND(F986*J986/B986,0)*B986)),IF(D986="BUY",E986-(ROUND(F986*J986/B986,0)*B986),E986+(ROUND(F986*J986/B986,0)*B986)))</f>
        <v>#DIV/0!</v>
      </c>
      <c r="K987" s="29" t="e">
        <f>IF(C986=1,IF(D986="BUY",E986-(ROUND(F986*K986/B986,0)*B986),E986+(ROUND(F986*K986/B986,0)*B986)),IF(D986="BUY",E986-(ROUND(F986*K986/B986,0)*B986),E986+(ROUND(F986*K986/B986,0)*B986)))</f>
        <v>#DIV/0!</v>
      </c>
      <c r="L987" s="29" t="e">
        <f t="shared" ref="L987" si="1475">IF(D987="BUY",I987+(R987*B987),I987-(R987*B987))</f>
        <v>#DIV/0!</v>
      </c>
      <c r="M987" s="29" t="e">
        <f>IF(D986="BUY",E986+(ROUND(F986*M986/B986,0)*B986),E986-(ROUND(F986*M986/B986,0)*B986))</f>
        <v>#DIV/0!</v>
      </c>
      <c r="N987" s="29" t="e">
        <f>IF(D986="BUY",E986-(ROUND(F986*N986/B986,0)*B986),E986+(ROUND(F986*N986/B986,0)*B986))</f>
        <v>#DIV/0!</v>
      </c>
      <c r="O987" s="31" t="e">
        <f>IF(D987="BUY",N987-VLOOKUP(A987,Symbols!A$1:D$1000,4,FALSE),N987+VLOOKUP(A987,Symbols!A$1:D$1000,4,FALSE))</f>
        <v>#DIV/0!</v>
      </c>
      <c r="P987" s="29">
        <f>P986</f>
        <v>0</v>
      </c>
      <c r="Q987" s="29">
        <f>Q986</f>
        <v>0</v>
      </c>
      <c r="R987" s="29">
        <f>R986</f>
        <v>0</v>
      </c>
      <c r="S987" s="29">
        <f>S986</f>
        <v>0</v>
      </c>
      <c r="T987" s="29">
        <f>T986</f>
        <v>0</v>
      </c>
      <c r="U987" s="29" t="e">
        <f>DATEDIF(DATE(1970,1,1),U986,"D")*86400</f>
        <v>#NUM!</v>
      </c>
      <c r="V987" s="29">
        <f>HOUR(V986)*3600+MINUTE(V986)*60+SECOND(V986)</f>
        <v>0</v>
      </c>
      <c r="W987" s="29" t="e">
        <f>DATEDIF(DATE(1970,1,1),W986,"D")*86400</f>
        <v>#NUM!</v>
      </c>
      <c r="X987" s="29">
        <f>HOUR(X986)*3600+MINUTE(X986)*60+SECOND(X986)</f>
        <v>0</v>
      </c>
      <c r="Y987" s="31">
        <f>(Y986*B987)</f>
        <v>0</v>
      </c>
      <c r="Z987" s="29">
        <f>Z986</f>
        <v>0</v>
      </c>
      <c r="AA987" s="29" t="e">
        <f>DATEDIF(DATE(1970,1,1),AA986,"D")*86400</f>
        <v>#NUM!</v>
      </c>
      <c r="AB987" s="29">
        <f>HOUR(AB986)*3600+MINUTE(AB986)*60+SECOND(AB986)</f>
        <v>0</v>
      </c>
      <c r="AC987" s="29">
        <f>AC986</f>
        <v>0</v>
      </c>
    </row>
    <row r="988" spans="1:29">
      <c r="A988" s="23">
        <f>Parameters!A495</f>
        <v>0</v>
      </c>
      <c r="B988" s="23">
        <f>Parameters!B495</f>
        <v>0</v>
      </c>
      <c r="C988" s="24">
        <f>Parameters!C495</f>
        <v>0</v>
      </c>
      <c r="D988" s="24">
        <f>Parameters!D495</f>
        <v>0</v>
      </c>
      <c r="E988" s="23">
        <f>Parameters!E495</f>
        <v>0</v>
      </c>
      <c r="F988" s="23">
        <f>Parameters!F495</f>
        <v>0</v>
      </c>
      <c r="G988" s="25">
        <f>Parameters!G495</f>
        <v>0</v>
      </c>
      <c r="H988" s="25">
        <f>Parameters!H495</f>
        <v>0</v>
      </c>
      <c r="I988" s="25">
        <f>Parameters!I495</f>
        <v>0</v>
      </c>
      <c r="J988" s="25">
        <f>Parameters!J495</f>
        <v>0</v>
      </c>
      <c r="K988" s="25">
        <f>Parameters!K495</f>
        <v>0</v>
      </c>
      <c r="L988" s="26" t="e">
        <f t="shared" ref="L988" si="1476">L989</f>
        <v>#DIV/0!</v>
      </c>
      <c r="M988" s="25">
        <f>Parameters!L495</f>
        <v>0</v>
      </c>
      <c r="N988" s="25">
        <f>Parameters!M495</f>
        <v>0</v>
      </c>
      <c r="O988" s="26" t="e">
        <f t="shared" ref="O988" si="1477">O989</f>
        <v>#DIV/0!</v>
      </c>
      <c r="P988" s="23">
        <f>Parameters!N495</f>
        <v>0</v>
      </c>
      <c r="Q988" s="23">
        <f>Parameters!O495</f>
        <v>0</v>
      </c>
      <c r="R988" s="23">
        <f>Parameters!P495</f>
        <v>0</v>
      </c>
      <c r="S988" s="23">
        <f>Parameters!Q495</f>
        <v>0</v>
      </c>
      <c r="T988" s="23">
        <f>Parameters!R495</f>
        <v>0</v>
      </c>
      <c r="U988" s="27">
        <f>Parameters!S495</f>
        <v>0</v>
      </c>
      <c r="V988" s="28">
        <f>Parameters!T495</f>
        <v>0</v>
      </c>
      <c r="W988" s="27">
        <f>Parameters!U495</f>
        <v>0</v>
      </c>
      <c r="X988" s="28">
        <f>Parameters!V495</f>
        <v>0</v>
      </c>
      <c r="Y988" s="25">
        <f>Parameters!W495</f>
        <v>0</v>
      </c>
      <c r="Z988" s="23">
        <f>Parameters!X495</f>
        <v>0</v>
      </c>
      <c r="AA988" s="27">
        <f>Parameters!Y495</f>
        <v>0</v>
      </c>
      <c r="AB988" s="28">
        <f>Parameters!Z495</f>
        <v>0</v>
      </c>
      <c r="AC988" s="23">
        <f>Parameters!AA495</f>
        <v>0</v>
      </c>
    </row>
    <row r="989" spans="1:29">
      <c r="A989" s="29" t="str">
        <f>UPPER(A988)</f>
        <v>0</v>
      </c>
      <c r="B989" s="29">
        <f>B988</f>
        <v>0</v>
      </c>
      <c r="C989" s="30">
        <f>C988</f>
        <v>0</v>
      </c>
      <c r="D989" s="30">
        <f>D988</f>
        <v>0</v>
      </c>
      <c r="E989" s="29">
        <f>E988</f>
        <v>0</v>
      </c>
      <c r="F989" s="29">
        <f>F988</f>
        <v>0</v>
      </c>
      <c r="G989" s="29" t="e">
        <f>IF(C988=1,IF(D988="BUY",E988+(ROUND(F988*G988/B988,0)*B988),E988-(ROUND(F988*G988/B988,0)*B988)),IF(D988="BUY",E988-(ROUND(F988*G988/B988,0)*B988),E988+(ROUND(F988*G988/B988,0)*B988)))</f>
        <v>#DIV/0!</v>
      </c>
      <c r="H989" s="29" t="e">
        <f>IF(C988=1,IF(D988="BUY",G989-(ROUND(F988*H988/B988,0)*B988),G989+(ROUND(F988*H988/B988,0)*B988)),IF(D988="BUY",G989+(ROUND(F988*H988/B988,0)*B988),G989-(ROUND(F988*H988/B988,0)*B988)))</f>
        <v>#DIV/0!</v>
      </c>
      <c r="I989" s="29" t="e">
        <f>IF(D988="BUY",G989+(ROUND(F988*I988/(B988*100),0)*B988),G989-(ROUND(F988*I988/(B988*100),0)*B988))</f>
        <v>#DIV/0!</v>
      </c>
      <c r="J989" s="29" t="e">
        <f>IF(C988=1,IF(D988="BUY",E988+(ROUND(F988*J988/B988,0)*B988),E988-(ROUND(F988*J988/B988,0)*B988)),IF(D988="BUY",E988-(ROUND(F988*J988/B988,0)*B988),E988+(ROUND(F988*J988/B988,0)*B988)))</f>
        <v>#DIV/0!</v>
      </c>
      <c r="K989" s="29" t="e">
        <f>IF(C988=1,IF(D988="BUY",E988-(ROUND(F988*K988/B988,0)*B988),E988+(ROUND(F988*K988/B988,0)*B988)),IF(D988="BUY",E988-(ROUND(F988*K988/B988,0)*B988),E988+(ROUND(F988*K988/B988,0)*B988)))</f>
        <v>#DIV/0!</v>
      </c>
      <c r="L989" s="29" t="e">
        <f t="shared" ref="L989" si="1478">IF(D989="BUY",I989+(R989*B989),I989-(R989*B989))</f>
        <v>#DIV/0!</v>
      </c>
      <c r="M989" s="29" t="e">
        <f>IF(D988="BUY",E988+(ROUND(F988*M988/B988,0)*B988),E988-(ROUND(F988*M988/B988,0)*B988))</f>
        <v>#DIV/0!</v>
      </c>
      <c r="N989" s="29" t="e">
        <f>IF(D988="BUY",E988-(ROUND(F988*N988/B988,0)*B988),E988+(ROUND(F988*N988/B988,0)*B988))</f>
        <v>#DIV/0!</v>
      </c>
      <c r="O989" s="31" t="e">
        <f>IF(D989="BUY",N989-VLOOKUP(A989,Symbols!A$1:D$1000,4,FALSE),N989+VLOOKUP(A989,Symbols!A$1:D$1000,4,FALSE))</f>
        <v>#DIV/0!</v>
      </c>
      <c r="P989" s="29">
        <f>P988</f>
        <v>0</v>
      </c>
      <c r="Q989" s="29">
        <f>Q988</f>
        <v>0</v>
      </c>
      <c r="R989" s="29">
        <f>R988</f>
        <v>0</v>
      </c>
      <c r="S989" s="29">
        <f>S988</f>
        <v>0</v>
      </c>
      <c r="T989" s="29">
        <f>T988</f>
        <v>0</v>
      </c>
      <c r="U989" s="29" t="e">
        <f>DATEDIF(DATE(1970,1,1),U988,"D")*86400</f>
        <v>#NUM!</v>
      </c>
      <c r="V989" s="29">
        <f>HOUR(V988)*3600+MINUTE(V988)*60+SECOND(V988)</f>
        <v>0</v>
      </c>
      <c r="W989" s="29" t="e">
        <f>DATEDIF(DATE(1970,1,1),W988,"D")*86400</f>
        <v>#NUM!</v>
      </c>
      <c r="X989" s="29">
        <f>HOUR(X988)*3600+MINUTE(X988)*60+SECOND(X988)</f>
        <v>0</v>
      </c>
      <c r="Y989" s="31">
        <f>(Y988*B989)</f>
        <v>0</v>
      </c>
      <c r="Z989" s="29">
        <f>Z988</f>
        <v>0</v>
      </c>
      <c r="AA989" s="29" t="e">
        <f>DATEDIF(DATE(1970,1,1),AA988,"D")*86400</f>
        <v>#NUM!</v>
      </c>
      <c r="AB989" s="29">
        <f>HOUR(AB988)*3600+MINUTE(AB988)*60+SECOND(AB988)</f>
        <v>0</v>
      </c>
      <c r="AC989" s="29">
        <f>AC988</f>
        <v>0</v>
      </c>
    </row>
    <row r="990" spans="1:29">
      <c r="A990" s="23">
        <f>Parameters!A496</f>
        <v>0</v>
      </c>
      <c r="B990" s="23">
        <f>Parameters!B496</f>
        <v>0</v>
      </c>
      <c r="C990" s="24">
        <f>Parameters!C496</f>
        <v>0</v>
      </c>
      <c r="D990" s="24">
        <f>Parameters!D496</f>
        <v>0</v>
      </c>
      <c r="E990" s="23">
        <f>Parameters!E496</f>
        <v>0</v>
      </c>
      <c r="F990" s="23">
        <f>Parameters!F496</f>
        <v>0</v>
      </c>
      <c r="G990" s="25">
        <f>Parameters!G496</f>
        <v>0</v>
      </c>
      <c r="H990" s="25">
        <f>Parameters!H496</f>
        <v>0</v>
      </c>
      <c r="I990" s="25">
        <f>Parameters!I496</f>
        <v>0</v>
      </c>
      <c r="J990" s="25">
        <f>Parameters!J496</f>
        <v>0</v>
      </c>
      <c r="K990" s="25">
        <f>Parameters!K496</f>
        <v>0</v>
      </c>
      <c r="L990" s="26" t="e">
        <f t="shared" ref="L990" si="1479">L991</f>
        <v>#DIV/0!</v>
      </c>
      <c r="M990" s="25">
        <f>Parameters!L496</f>
        <v>0</v>
      </c>
      <c r="N990" s="25">
        <f>Parameters!M496</f>
        <v>0</v>
      </c>
      <c r="O990" s="26" t="e">
        <f t="shared" ref="O990" si="1480">O991</f>
        <v>#DIV/0!</v>
      </c>
      <c r="P990" s="23">
        <f>Parameters!N496</f>
        <v>0</v>
      </c>
      <c r="Q990" s="23">
        <f>Parameters!O496</f>
        <v>0</v>
      </c>
      <c r="R990" s="23">
        <f>Parameters!P496</f>
        <v>0</v>
      </c>
      <c r="S990" s="23">
        <f>Parameters!Q496</f>
        <v>0</v>
      </c>
      <c r="T990" s="23">
        <f>Parameters!R496</f>
        <v>0</v>
      </c>
      <c r="U990" s="27">
        <f>Parameters!S496</f>
        <v>0</v>
      </c>
      <c r="V990" s="28">
        <f>Parameters!T496</f>
        <v>0</v>
      </c>
      <c r="W990" s="27">
        <f>Parameters!U496</f>
        <v>0</v>
      </c>
      <c r="X990" s="28">
        <f>Parameters!V496</f>
        <v>0</v>
      </c>
      <c r="Y990" s="25">
        <f>Parameters!W496</f>
        <v>0</v>
      </c>
      <c r="Z990" s="23">
        <f>Parameters!X496</f>
        <v>0</v>
      </c>
      <c r="AA990" s="27">
        <f>Parameters!Y496</f>
        <v>0</v>
      </c>
      <c r="AB990" s="28">
        <f>Parameters!Z496</f>
        <v>0</v>
      </c>
      <c r="AC990" s="23">
        <f>Parameters!AA496</f>
        <v>0</v>
      </c>
    </row>
    <row r="991" spans="1:29">
      <c r="A991" s="29" t="str">
        <f>UPPER(A990)</f>
        <v>0</v>
      </c>
      <c r="B991" s="29">
        <f>B990</f>
        <v>0</v>
      </c>
      <c r="C991" s="30">
        <f>C990</f>
        <v>0</v>
      </c>
      <c r="D991" s="30">
        <f>D990</f>
        <v>0</v>
      </c>
      <c r="E991" s="29">
        <f>E990</f>
        <v>0</v>
      </c>
      <c r="F991" s="29">
        <f>F990</f>
        <v>0</v>
      </c>
      <c r="G991" s="29" t="e">
        <f>IF(C990=1,IF(D990="BUY",E990+(ROUND(F990*G990/B990,0)*B990),E990-(ROUND(F990*G990/B990,0)*B990)),IF(D990="BUY",E990-(ROUND(F990*G990/B990,0)*B990),E990+(ROUND(F990*G990/B990,0)*B990)))</f>
        <v>#DIV/0!</v>
      </c>
      <c r="H991" s="29" t="e">
        <f>IF(C990=1,IF(D990="BUY",G991-(ROUND(F990*H990/B990,0)*B990),G991+(ROUND(F990*H990/B990,0)*B990)),IF(D990="BUY",G991+(ROUND(F990*H990/B990,0)*B990),G991-(ROUND(F990*H990/B990,0)*B990)))</f>
        <v>#DIV/0!</v>
      </c>
      <c r="I991" s="29" t="e">
        <f>IF(D990="BUY",G991+(ROUND(F990*I990/(B990*100),0)*B990),G991-(ROUND(F990*I990/(B990*100),0)*B990))</f>
        <v>#DIV/0!</v>
      </c>
      <c r="J991" s="29" t="e">
        <f>IF(C990=1,IF(D990="BUY",E990+(ROUND(F990*J990/B990,0)*B990),E990-(ROUND(F990*J990/B990,0)*B990)),IF(D990="BUY",E990-(ROUND(F990*J990/B990,0)*B990),E990+(ROUND(F990*J990/B990,0)*B990)))</f>
        <v>#DIV/0!</v>
      </c>
      <c r="K991" s="29" t="e">
        <f>IF(C990=1,IF(D990="BUY",E990-(ROUND(F990*K990/B990,0)*B990),E990+(ROUND(F990*K990/B990,0)*B990)),IF(D990="BUY",E990-(ROUND(F990*K990/B990,0)*B990),E990+(ROUND(F990*K990/B990,0)*B990)))</f>
        <v>#DIV/0!</v>
      </c>
      <c r="L991" s="29" t="e">
        <f t="shared" ref="L991" si="1481">IF(D991="BUY",I991+(R991*B991),I991-(R991*B991))</f>
        <v>#DIV/0!</v>
      </c>
      <c r="M991" s="29" t="e">
        <f>IF(D990="BUY",E990+(ROUND(F990*M990/B990,0)*B990),E990-(ROUND(F990*M990/B990,0)*B990))</f>
        <v>#DIV/0!</v>
      </c>
      <c r="N991" s="29" t="e">
        <f>IF(D990="BUY",E990-(ROUND(F990*N990/B990,0)*B990),E990+(ROUND(F990*N990/B990,0)*B990))</f>
        <v>#DIV/0!</v>
      </c>
      <c r="O991" s="31" t="e">
        <f>IF(D991="BUY",N991-VLOOKUP(A991,Symbols!A$1:D$1000,4,FALSE),N991+VLOOKUP(A991,Symbols!A$1:D$1000,4,FALSE))</f>
        <v>#DIV/0!</v>
      </c>
      <c r="P991" s="29">
        <f>P990</f>
        <v>0</v>
      </c>
      <c r="Q991" s="29">
        <f>Q990</f>
        <v>0</v>
      </c>
      <c r="R991" s="29">
        <f>R990</f>
        <v>0</v>
      </c>
      <c r="S991" s="29">
        <f>S990</f>
        <v>0</v>
      </c>
      <c r="T991" s="29">
        <f>T990</f>
        <v>0</v>
      </c>
      <c r="U991" s="29" t="e">
        <f>DATEDIF(DATE(1970,1,1),U990,"D")*86400</f>
        <v>#NUM!</v>
      </c>
      <c r="V991" s="29">
        <f>HOUR(V990)*3600+MINUTE(V990)*60+SECOND(V990)</f>
        <v>0</v>
      </c>
      <c r="W991" s="29" t="e">
        <f>DATEDIF(DATE(1970,1,1),W990,"D")*86400</f>
        <v>#NUM!</v>
      </c>
      <c r="X991" s="29">
        <f>HOUR(X990)*3600+MINUTE(X990)*60+SECOND(X990)</f>
        <v>0</v>
      </c>
      <c r="Y991" s="31">
        <f>(Y990*B991)</f>
        <v>0</v>
      </c>
      <c r="Z991" s="29">
        <f>Z990</f>
        <v>0</v>
      </c>
      <c r="AA991" s="29" t="e">
        <f>DATEDIF(DATE(1970,1,1),AA990,"D")*86400</f>
        <v>#NUM!</v>
      </c>
      <c r="AB991" s="29">
        <f>HOUR(AB990)*3600+MINUTE(AB990)*60+SECOND(AB990)</f>
        <v>0</v>
      </c>
      <c r="AC991" s="29">
        <f>AC990</f>
        <v>0</v>
      </c>
    </row>
    <row r="992" spans="1:29">
      <c r="A992" s="23">
        <f>Parameters!A497</f>
        <v>0</v>
      </c>
      <c r="B992" s="23">
        <f>Parameters!B497</f>
        <v>0</v>
      </c>
      <c r="C992" s="24">
        <f>Parameters!C497</f>
        <v>0</v>
      </c>
      <c r="D992" s="24">
        <f>Parameters!D497</f>
        <v>0</v>
      </c>
      <c r="E992" s="23">
        <f>Parameters!E497</f>
        <v>0</v>
      </c>
      <c r="F992" s="23">
        <f>Parameters!F497</f>
        <v>0</v>
      </c>
      <c r="G992" s="25">
        <f>Parameters!G497</f>
        <v>0</v>
      </c>
      <c r="H992" s="25">
        <f>Parameters!H497</f>
        <v>0</v>
      </c>
      <c r="I992" s="25">
        <f>Parameters!I497</f>
        <v>0</v>
      </c>
      <c r="J992" s="25">
        <f>Parameters!J497</f>
        <v>0</v>
      </c>
      <c r="K992" s="25">
        <f>Parameters!K497</f>
        <v>0</v>
      </c>
      <c r="L992" s="26" t="e">
        <f t="shared" ref="L992" si="1482">L993</f>
        <v>#DIV/0!</v>
      </c>
      <c r="M992" s="25">
        <f>Parameters!L497</f>
        <v>0</v>
      </c>
      <c r="N992" s="25">
        <f>Parameters!M497</f>
        <v>0</v>
      </c>
      <c r="O992" s="26" t="e">
        <f t="shared" ref="O992" si="1483">O993</f>
        <v>#DIV/0!</v>
      </c>
      <c r="P992" s="23">
        <f>Parameters!N497</f>
        <v>0</v>
      </c>
      <c r="Q992" s="23">
        <f>Parameters!O497</f>
        <v>0</v>
      </c>
      <c r="R992" s="23">
        <f>Parameters!P497</f>
        <v>0</v>
      </c>
      <c r="S992" s="23">
        <f>Parameters!Q497</f>
        <v>0</v>
      </c>
      <c r="T992" s="23">
        <f>Parameters!R497</f>
        <v>0</v>
      </c>
      <c r="U992" s="27">
        <f>Parameters!S497</f>
        <v>0</v>
      </c>
      <c r="V992" s="28">
        <f>Parameters!T497</f>
        <v>0</v>
      </c>
      <c r="W992" s="27">
        <f>Parameters!U497</f>
        <v>0</v>
      </c>
      <c r="X992" s="28">
        <f>Parameters!V497</f>
        <v>0</v>
      </c>
      <c r="Y992" s="25">
        <f>Parameters!W497</f>
        <v>0</v>
      </c>
      <c r="Z992" s="23">
        <f>Parameters!X497</f>
        <v>0</v>
      </c>
      <c r="AA992" s="27">
        <f>Parameters!Y497</f>
        <v>0</v>
      </c>
      <c r="AB992" s="28">
        <f>Parameters!Z497</f>
        <v>0</v>
      </c>
      <c r="AC992" s="23">
        <f>Parameters!AA497</f>
        <v>0</v>
      </c>
    </row>
    <row r="993" spans="1:29">
      <c r="A993" s="29" t="str">
        <f>UPPER(A992)</f>
        <v>0</v>
      </c>
      <c r="B993" s="29">
        <f>B992</f>
        <v>0</v>
      </c>
      <c r="C993" s="30">
        <f>C992</f>
        <v>0</v>
      </c>
      <c r="D993" s="30">
        <f>D992</f>
        <v>0</v>
      </c>
      <c r="E993" s="29">
        <f>E992</f>
        <v>0</v>
      </c>
      <c r="F993" s="29">
        <f>F992</f>
        <v>0</v>
      </c>
      <c r="G993" s="29" t="e">
        <f>IF(C992=1,IF(D992="BUY",E992+(ROUND(F992*G992/B992,0)*B992),E992-(ROUND(F992*G992/B992,0)*B992)),IF(D992="BUY",E992-(ROUND(F992*G992/B992,0)*B992),E992+(ROUND(F992*G992/B992,0)*B992)))</f>
        <v>#DIV/0!</v>
      </c>
      <c r="H993" s="29" t="e">
        <f>IF(C992=1,IF(D992="BUY",G993-(ROUND(F992*H992/B992,0)*B992),G993+(ROUND(F992*H992/B992,0)*B992)),IF(D992="BUY",G993+(ROUND(F992*H992/B992,0)*B992),G993-(ROUND(F992*H992/B992,0)*B992)))</f>
        <v>#DIV/0!</v>
      </c>
      <c r="I993" s="29" t="e">
        <f>IF(D992="BUY",G993+(ROUND(F992*I992/(B992*100),0)*B992),G993-(ROUND(F992*I992/(B992*100),0)*B992))</f>
        <v>#DIV/0!</v>
      </c>
      <c r="J993" s="29" t="e">
        <f>IF(C992=1,IF(D992="BUY",E992+(ROUND(F992*J992/B992,0)*B992),E992-(ROUND(F992*J992/B992,0)*B992)),IF(D992="BUY",E992-(ROUND(F992*J992/B992,0)*B992),E992+(ROUND(F992*J992/B992,0)*B992)))</f>
        <v>#DIV/0!</v>
      </c>
      <c r="K993" s="29" t="e">
        <f>IF(C992=1,IF(D992="BUY",E992-(ROUND(F992*K992/B992,0)*B992),E992+(ROUND(F992*K992/B992,0)*B992)),IF(D992="BUY",E992-(ROUND(F992*K992/B992,0)*B992),E992+(ROUND(F992*K992/B992,0)*B992)))</f>
        <v>#DIV/0!</v>
      </c>
      <c r="L993" s="29" t="e">
        <f t="shared" ref="L993" si="1484">IF(D993="BUY",I993+(R993*B993),I993-(R993*B993))</f>
        <v>#DIV/0!</v>
      </c>
      <c r="M993" s="29" t="e">
        <f>IF(D992="BUY",E992+(ROUND(F992*M992/B992,0)*B992),E992-(ROUND(F992*M992/B992,0)*B992))</f>
        <v>#DIV/0!</v>
      </c>
      <c r="N993" s="29" t="e">
        <f>IF(D992="BUY",E992-(ROUND(F992*N992/B992,0)*B992),E992+(ROUND(F992*N992/B992,0)*B992))</f>
        <v>#DIV/0!</v>
      </c>
      <c r="O993" s="31" t="e">
        <f>IF(D993="BUY",N993-VLOOKUP(A993,Symbols!A$1:D$1000,4,FALSE),N993+VLOOKUP(A993,Symbols!A$1:D$1000,4,FALSE))</f>
        <v>#DIV/0!</v>
      </c>
      <c r="P993" s="29">
        <f>P992</f>
        <v>0</v>
      </c>
      <c r="Q993" s="29">
        <f>Q992</f>
        <v>0</v>
      </c>
      <c r="R993" s="29">
        <f>R992</f>
        <v>0</v>
      </c>
      <c r="S993" s="29">
        <f>S992</f>
        <v>0</v>
      </c>
      <c r="T993" s="29">
        <f>T992</f>
        <v>0</v>
      </c>
      <c r="U993" s="29" t="e">
        <f>DATEDIF(DATE(1970,1,1),U992,"D")*86400</f>
        <v>#NUM!</v>
      </c>
      <c r="V993" s="29">
        <f>HOUR(V992)*3600+MINUTE(V992)*60+SECOND(V992)</f>
        <v>0</v>
      </c>
      <c r="W993" s="29" t="e">
        <f>DATEDIF(DATE(1970,1,1),W992,"D")*86400</f>
        <v>#NUM!</v>
      </c>
      <c r="X993" s="29">
        <f>HOUR(X992)*3600+MINUTE(X992)*60+SECOND(X992)</f>
        <v>0</v>
      </c>
      <c r="Y993" s="31">
        <f>(Y992*B993)</f>
        <v>0</v>
      </c>
      <c r="Z993" s="29">
        <f>Z992</f>
        <v>0</v>
      </c>
      <c r="AA993" s="29" t="e">
        <f>DATEDIF(DATE(1970,1,1),AA992,"D")*86400</f>
        <v>#NUM!</v>
      </c>
      <c r="AB993" s="29">
        <f>HOUR(AB992)*3600+MINUTE(AB992)*60+SECOND(AB992)</f>
        <v>0</v>
      </c>
      <c r="AC993" s="29">
        <f>AC992</f>
        <v>0</v>
      </c>
    </row>
    <row r="994" spans="1:29">
      <c r="A994" s="23">
        <f>Parameters!A498</f>
        <v>0</v>
      </c>
      <c r="B994" s="23">
        <f>Parameters!B498</f>
        <v>0</v>
      </c>
      <c r="C994" s="24">
        <f>Parameters!C498</f>
        <v>0</v>
      </c>
      <c r="D994" s="24">
        <f>Parameters!D498</f>
        <v>0</v>
      </c>
      <c r="E994" s="23">
        <f>Parameters!E498</f>
        <v>0</v>
      </c>
      <c r="F994" s="23">
        <f>Parameters!F498</f>
        <v>0</v>
      </c>
      <c r="G994" s="25">
        <f>Parameters!G498</f>
        <v>0</v>
      </c>
      <c r="H994" s="25">
        <f>Parameters!H498</f>
        <v>0</v>
      </c>
      <c r="I994" s="25">
        <f>Parameters!I498</f>
        <v>0</v>
      </c>
      <c r="J994" s="25">
        <f>Parameters!J498</f>
        <v>0</v>
      </c>
      <c r="K994" s="25">
        <f>Parameters!K498</f>
        <v>0</v>
      </c>
      <c r="L994" s="26" t="e">
        <f t="shared" ref="L994" si="1485">L995</f>
        <v>#DIV/0!</v>
      </c>
      <c r="M994" s="25">
        <f>Parameters!L498</f>
        <v>0</v>
      </c>
      <c r="N994" s="25">
        <f>Parameters!M498</f>
        <v>0</v>
      </c>
      <c r="O994" s="26" t="e">
        <f t="shared" ref="O994" si="1486">O995</f>
        <v>#DIV/0!</v>
      </c>
      <c r="P994" s="23">
        <f>Parameters!N498</f>
        <v>0</v>
      </c>
      <c r="Q994" s="23">
        <f>Parameters!O498</f>
        <v>0</v>
      </c>
      <c r="R994" s="23">
        <f>Parameters!P498</f>
        <v>0</v>
      </c>
      <c r="S994" s="23">
        <f>Parameters!Q498</f>
        <v>0</v>
      </c>
      <c r="T994" s="23">
        <f>Parameters!R498</f>
        <v>0</v>
      </c>
      <c r="U994" s="27">
        <f>Parameters!S498</f>
        <v>0</v>
      </c>
      <c r="V994" s="28">
        <f>Parameters!T498</f>
        <v>0</v>
      </c>
      <c r="W994" s="27">
        <f>Parameters!U498</f>
        <v>0</v>
      </c>
      <c r="X994" s="28">
        <f>Parameters!V498</f>
        <v>0</v>
      </c>
      <c r="Y994" s="25">
        <f>Parameters!W498</f>
        <v>0</v>
      </c>
      <c r="Z994" s="23">
        <f>Parameters!X498</f>
        <v>0</v>
      </c>
      <c r="AA994" s="27">
        <f>Parameters!Y498</f>
        <v>0</v>
      </c>
      <c r="AB994" s="28">
        <f>Parameters!Z498</f>
        <v>0</v>
      </c>
      <c r="AC994" s="23">
        <f>Parameters!AA498</f>
        <v>0</v>
      </c>
    </row>
    <row r="995" spans="1:29">
      <c r="A995" s="29" t="str">
        <f>UPPER(A994)</f>
        <v>0</v>
      </c>
      <c r="B995" s="29">
        <f>B994</f>
        <v>0</v>
      </c>
      <c r="C995" s="30">
        <f>C994</f>
        <v>0</v>
      </c>
      <c r="D995" s="30">
        <f>D994</f>
        <v>0</v>
      </c>
      <c r="E995" s="29">
        <f>E994</f>
        <v>0</v>
      </c>
      <c r="F995" s="29">
        <f>F994</f>
        <v>0</v>
      </c>
      <c r="G995" s="29" t="e">
        <f>IF(C994=1,IF(D994="BUY",E994+(ROUND(F994*G994/B994,0)*B994),E994-(ROUND(F994*G994/B994,0)*B994)),IF(D994="BUY",E994-(ROUND(F994*G994/B994,0)*B994),E994+(ROUND(F994*G994/B994,0)*B994)))</f>
        <v>#DIV/0!</v>
      </c>
      <c r="H995" s="29" t="e">
        <f>IF(C994=1,IF(D994="BUY",G995-(ROUND(F994*H994/B994,0)*B994),G995+(ROUND(F994*H994/B994,0)*B994)),IF(D994="BUY",G995+(ROUND(F994*H994/B994,0)*B994),G995-(ROUND(F994*H994/B994,0)*B994)))</f>
        <v>#DIV/0!</v>
      </c>
      <c r="I995" s="29" t="e">
        <f>IF(D994="BUY",G995+(ROUND(F994*I994/(B994*100),0)*B994),G995-(ROUND(F994*I994/(B994*100),0)*B994))</f>
        <v>#DIV/0!</v>
      </c>
      <c r="J995" s="29" t="e">
        <f>IF(C994=1,IF(D994="BUY",E994+(ROUND(F994*J994/B994,0)*B994),E994-(ROUND(F994*J994/B994,0)*B994)),IF(D994="BUY",E994-(ROUND(F994*J994/B994,0)*B994),E994+(ROUND(F994*J994/B994,0)*B994)))</f>
        <v>#DIV/0!</v>
      </c>
      <c r="K995" s="29" t="e">
        <f>IF(C994=1,IF(D994="BUY",E994-(ROUND(F994*K994/B994,0)*B994),E994+(ROUND(F994*K994/B994,0)*B994)),IF(D994="BUY",E994-(ROUND(F994*K994/B994,0)*B994),E994+(ROUND(F994*K994/B994,0)*B994)))</f>
        <v>#DIV/0!</v>
      </c>
      <c r="L995" s="29" t="e">
        <f t="shared" ref="L995" si="1487">IF(D995="BUY",I995+(R995*B995),I995-(R995*B995))</f>
        <v>#DIV/0!</v>
      </c>
      <c r="M995" s="29" t="e">
        <f>IF(D994="BUY",E994+(ROUND(F994*M994/B994,0)*B994),E994-(ROUND(F994*M994/B994,0)*B994))</f>
        <v>#DIV/0!</v>
      </c>
      <c r="N995" s="29" t="e">
        <f>IF(D994="BUY",E994-(ROUND(F994*N994/B994,0)*B994),E994+(ROUND(F994*N994/B994,0)*B994))</f>
        <v>#DIV/0!</v>
      </c>
      <c r="O995" s="31" t="e">
        <f>IF(D995="BUY",N995-VLOOKUP(A995,Symbols!A$1:D$1000,4,FALSE),N995+VLOOKUP(A995,Symbols!A$1:D$1000,4,FALSE))</f>
        <v>#DIV/0!</v>
      </c>
      <c r="P995" s="29">
        <f>P994</f>
        <v>0</v>
      </c>
      <c r="Q995" s="29">
        <f>Q994</f>
        <v>0</v>
      </c>
      <c r="R995" s="29">
        <f>R994</f>
        <v>0</v>
      </c>
      <c r="S995" s="29">
        <f>S994</f>
        <v>0</v>
      </c>
      <c r="T995" s="29">
        <f>T994</f>
        <v>0</v>
      </c>
      <c r="U995" s="29" t="e">
        <f>DATEDIF(DATE(1970,1,1),U994,"D")*86400</f>
        <v>#NUM!</v>
      </c>
      <c r="V995" s="29">
        <f>HOUR(V994)*3600+MINUTE(V994)*60+SECOND(V994)</f>
        <v>0</v>
      </c>
      <c r="W995" s="29" t="e">
        <f>DATEDIF(DATE(1970,1,1),W994,"D")*86400</f>
        <v>#NUM!</v>
      </c>
      <c r="X995" s="29">
        <f>HOUR(X994)*3600+MINUTE(X994)*60+SECOND(X994)</f>
        <v>0</v>
      </c>
      <c r="Y995" s="31">
        <f>(Y994*B995)</f>
        <v>0</v>
      </c>
      <c r="Z995" s="29">
        <f>Z994</f>
        <v>0</v>
      </c>
      <c r="AA995" s="29" t="e">
        <f>DATEDIF(DATE(1970,1,1),AA994,"D")*86400</f>
        <v>#NUM!</v>
      </c>
      <c r="AB995" s="29">
        <f>HOUR(AB994)*3600+MINUTE(AB994)*60+SECOND(AB994)</f>
        <v>0</v>
      </c>
      <c r="AC995" s="29">
        <f>AC994</f>
        <v>0</v>
      </c>
    </row>
    <row r="996" spans="1:29">
      <c r="A996" s="23">
        <f>Parameters!A499</f>
        <v>0</v>
      </c>
      <c r="B996" s="23">
        <f>Parameters!B499</f>
        <v>0</v>
      </c>
      <c r="C996" s="24">
        <f>Parameters!C499</f>
        <v>0</v>
      </c>
      <c r="D996" s="24">
        <f>Parameters!D499</f>
        <v>0</v>
      </c>
      <c r="E996" s="23">
        <f>Parameters!E499</f>
        <v>0</v>
      </c>
      <c r="F996" s="23">
        <f>Parameters!F499</f>
        <v>0</v>
      </c>
      <c r="G996" s="25">
        <f>Parameters!G499</f>
        <v>0</v>
      </c>
      <c r="H996" s="25">
        <f>Parameters!H499</f>
        <v>0</v>
      </c>
      <c r="I996" s="25">
        <f>Parameters!I499</f>
        <v>0</v>
      </c>
      <c r="J996" s="25">
        <f>Parameters!J499</f>
        <v>0</v>
      </c>
      <c r="K996" s="25">
        <f>Parameters!K499</f>
        <v>0</v>
      </c>
      <c r="L996" s="26" t="e">
        <f t="shared" ref="L996" si="1488">L997</f>
        <v>#DIV/0!</v>
      </c>
      <c r="M996" s="25">
        <f>Parameters!L499</f>
        <v>0</v>
      </c>
      <c r="N996" s="25">
        <f>Parameters!M499</f>
        <v>0</v>
      </c>
      <c r="O996" s="26" t="e">
        <f t="shared" ref="O996" si="1489">O997</f>
        <v>#DIV/0!</v>
      </c>
      <c r="P996" s="23">
        <f>Parameters!N499</f>
        <v>0</v>
      </c>
      <c r="Q996" s="23">
        <f>Parameters!O499</f>
        <v>0</v>
      </c>
      <c r="R996" s="23">
        <f>Parameters!P499</f>
        <v>0</v>
      </c>
      <c r="S996" s="23">
        <f>Parameters!Q499</f>
        <v>0</v>
      </c>
      <c r="T996" s="23">
        <f>Parameters!R499</f>
        <v>0</v>
      </c>
      <c r="U996" s="27">
        <f>Parameters!S499</f>
        <v>0</v>
      </c>
      <c r="V996" s="28">
        <f>Parameters!T499</f>
        <v>0</v>
      </c>
      <c r="W996" s="27">
        <f>Parameters!U499</f>
        <v>0</v>
      </c>
      <c r="X996" s="28">
        <f>Parameters!V499</f>
        <v>0</v>
      </c>
      <c r="Y996" s="25">
        <f>Parameters!W499</f>
        <v>0</v>
      </c>
      <c r="Z996" s="23">
        <f>Parameters!X499</f>
        <v>0</v>
      </c>
      <c r="AA996" s="27">
        <f>Parameters!Y499</f>
        <v>0</v>
      </c>
      <c r="AB996" s="28">
        <f>Parameters!Z499</f>
        <v>0</v>
      </c>
      <c r="AC996" s="23">
        <f>Parameters!AA499</f>
        <v>0</v>
      </c>
    </row>
    <row r="997" spans="1:29">
      <c r="A997" s="29" t="str">
        <f>UPPER(A996)</f>
        <v>0</v>
      </c>
      <c r="B997" s="29">
        <f>B996</f>
        <v>0</v>
      </c>
      <c r="C997" s="30">
        <f>C996</f>
        <v>0</v>
      </c>
      <c r="D997" s="30">
        <f>D996</f>
        <v>0</v>
      </c>
      <c r="E997" s="29">
        <f>E996</f>
        <v>0</v>
      </c>
      <c r="F997" s="29">
        <f>F996</f>
        <v>0</v>
      </c>
      <c r="G997" s="29" t="e">
        <f>IF(C996=1,IF(D996="BUY",E996+(ROUND(F996*G996/B996,0)*B996),E996-(ROUND(F996*G996/B996,0)*B996)),IF(D996="BUY",E996-(ROUND(F996*G996/B996,0)*B996),E996+(ROUND(F996*G996/B996,0)*B996)))</f>
        <v>#DIV/0!</v>
      </c>
      <c r="H997" s="29" t="e">
        <f>IF(C996=1,IF(D996="BUY",G997-(ROUND(F996*H996/B996,0)*B996),G997+(ROUND(F996*H996/B996,0)*B996)),IF(D996="BUY",G997+(ROUND(F996*H996/B996,0)*B996),G997-(ROUND(F996*H996/B996,0)*B996)))</f>
        <v>#DIV/0!</v>
      </c>
      <c r="I997" s="29" t="e">
        <f>IF(D996="BUY",G997+(ROUND(F996*I996/(B996*100),0)*B996),G997-(ROUND(F996*I996/(B996*100),0)*B996))</f>
        <v>#DIV/0!</v>
      </c>
      <c r="J997" s="29" t="e">
        <f>IF(C996=1,IF(D996="BUY",E996+(ROUND(F996*J996/B996,0)*B996),E996-(ROUND(F996*J996/B996,0)*B996)),IF(D996="BUY",E996-(ROUND(F996*J996/B996,0)*B996),E996+(ROUND(F996*J996/B996,0)*B996)))</f>
        <v>#DIV/0!</v>
      </c>
      <c r="K997" s="29" t="e">
        <f>IF(C996=1,IF(D996="BUY",E996-(ROUND(F996*K996/B996,0)*B996),E996+(ROUND(F996*K996/B996,0)*B996)),IF(D996="BUY",E996-(ROUND(F996*K996/B996,0)*B996),E996+(ROUND(F996*K996/B996,0)*B996)))</f>
        <v>#DIV/0!</v>
      </c>
      <c r="L997" s="29" t="e">
        <f t="shared" ref="L997" si="1490">IF(D997="BUY",I997+(R997*B997),I997-(R997*B997))</f>
        <v>#DIV/0!</v>
      </c>
      <c r="M997" s="29" t="e">
        <f>IF(D996="BUY",E996+(ROUND(F996*M996/B996,0)*B996),E996-(ROUND(F996*M996/B996,0)*B996))</f>
        <v>#DIV/0!</v>
      </c>
      <c r="N997" s="29" t="e">
        <f>IF(D996="BUY",E996-(ROUND(F996*N996/B996,0)*B996),E996+(ROUND(F996*N996/B996,0)*B996))</f>
        <v>#DIV/0!</v>
      </c>
      <c r="O997" s="31" t="e">
        <f>IF(D997="BUY",N997-VLOOKUP(A997,Symbols!A$1:D$1000,4,FALSE),N997+VLOOKUP(A997,Symbols!A$1:D$1000,4,FALSE))</f>
        <v>#DIV/0!</v>
      </c>
      <c r="P997" s="29">
        <f>P996</f>
        <v>0</v>
      </c>
      <c r="Q997" s="29">
        <f>Q996</f>
        <v>0</v>
      </c>
      <c r="R997" s="29">
        <f>R996</f>
        <v>0</v>
      </c>
      <c r="S997" s="29">
        <f>S996</f>
        <v>0</v>
      </c>
      <c r="T997" s="29">
        <f>T996</f>
        <v>0</v>
      </c>
      <c r="U997" s="29" t="e">
        <f>DATEDIF(DATE(1970,1,1),U996,"D")*86400</f>
        <v>#NUM!</v>
      </c>
      <c r="V997" s="29">
        <f>HOUR(V996)*3600+MINUTE(V996)*60+SECOND(V996)</f>
        <v>0</v>
      </c>
      <c r="W997" s="29" t="e">
        <f>DATEDIF(DATE(1970,1,1),W996,"D")*86400</f>
        <v>#NUM!</v>
      </c>
      <c r="X997" s="29">
        <f>HOUR(X996)*3600+MINUTE(X996)*60+SECOND(X996)</f>
        <v>0</v>
      </c>
      <c r="Y997" s="31">
        <f>(Y996*B997)</f>
        <v>0</v>
      </c>
      <c r="Z997" s="29">
        <f>Z996</f>
        <v>0</v>
      </c>
      <c r="AA997" s="29" t="e">
        <f>DATEDIF(DATE(1970,1,1),AA996,"D")*86400</f>
        <v>#NUM!</v>
      </c>
      <c r="AB997" s="29">
        <f>HOUR(AB996)*3600+MINUTE(AB996)*60+SECOND(AB996)</f>
        <v>0</v>
      </c>
      <c r="AC997" s="29">
        <f>AC996</f>
        <v>0</v>
      </c>
    </row>
    <row r="998" spans="1:29">
      <c r="A998" s="23">
        <f>Parameters!A500</f>
        <v>0</v>
      </c>
      <c r="B998" s="23">
        <f>Parameters!B500</f>
        <v>0</v>
      </c>
      <c r="C998" s="24">
        <f>Parameters!C500</f>
        <v>0</v>
      </c>
      <c r="D998" s="24">
        <f>Parameters!D500</f>
        <v>0</v>
      </c>
      <c r="E998" s="23">
        <f>Parameters!E500</f>
        <v>0</v>
      </c>
      <c r="F998" s="23">
        <f>Parameters!F500</f>
        <v>0</v>
      </c>
      <c r="G998" s="25">
        <f>Parameters!G500</f>
        <v>0</v>
      </c>
      <c r="H998" s="25">
        <f>Parameters!H500</f>
        <v>0</v>
      </c>
      <c r="I998" s="25">
        <f>Parameters!I500</f>
        <v>0</v>
      </c>
      <c r="J998" s="25">
        <f>Parameters!J500</f>
        <v>0</v>
      </c>
      <c r="K998" s="25">
        <f>Parameters!K500</f>
        <v>0</v>
      </c>
      <c r="L998" s="26" t="e">
        <f t="shared" ref="L998" si="1491">L999</f>
        <v>#DIV/0!</v>
      </c>
      <c r="M998" s="25">
        <f>Parameters!L500</f>
        <v>0</v>
      </c>
      <c r="N998" s="25">
        <f>Parameters!M500</f>
        <v>0</v>
      </c>
      <c r="O998" s="26" t="e">
        <f t="shared" ref="O998" si="1492">O999</f>
        <v>#DIV/0!</v>
      </c>
      <c r="P998" s="23">
        <f>Parameters!N500</f>
        <v>0</v>
      </c>
      <c r="Q998" s="23">
        <f>Parameters!O500</f>
        <v>0</v>
      </c>
      <c r="R998" s="23">
        <f>Parameters!P500</f>
        <v>0</v>
      </c>
      <c r="S998" s="23">
        <f>Parameters!Q500</f>
        <v>0</v>
      </c>
      <c r="T998" s="23">
        <f>Parameters!R500</f>
        <v>0</v>
      </c>
      <c r="U998" s="27">
        <f>Parameters!S500</f>
        <v>0</v>
      </c>
      <c r="V998" s="28">
        <f>Parameters!T500</f>
        <v>0</v>
      </c>
      <c r="W998" s="27">
        <f>Parameters!U500</f>
        <v>0</v>
      </c>
      <c r="X998" s="28">
        <f>Parameters!V500</f>
        <v>0</v>
      </c>
      <c r="Y998" s="25">
        <f>Parameters!W500</f>
        <v>0</v>
      </c>
      <c r="Z998" s="23">
        <f>Parameters!X500</f>
        <v>0</v>
      </c>
      <c r="AA998" s="27">
        <f>Parameters!Y500</f>
        <v>0</v>
      </c>
      <c r="AB998" s="28">
        <f>Parameters!Z500</f>
        <v>0</v>
      </c>
      <c r="AC998" s="23">
        <f>Parameters!AA500</f>
        <v>0</v>
      </c>
    </row>
    <row r="999" spans="1:29">
      <c r="A999" s="29" t="str">
        <f>UPPER(A998)</f>
        <v>0</v>
      </c>
      <c r="B999" s="29">
        <f>B998</f>
        <v>0</v>
      </c>
      <c r="C999" s="30">
        <f>C998</f>
        <v>0</v>
      </c>
      <c r="D999" s="30">
        <f>D998</f>
        <v>0</v>
      </c>
      <c r="E999" s="29">
        <f>E998</f>
        <v>0</v>
      </c>
      <c r="F999" s="29">
        <f>F998</f>
        <v>0</v>
      </c>
      <c r="G999" s="29" t="e">
        <f>IF(C998=1,IF(D998="BUY",E998+(ROUND(F998*G998/B998,0)*B998),E998-(ROUND(F998*G998/B998,0)*B998)),IF(D998="BUY",E998-(ROUND(F998*G998/B998,0)*B998),E998+(ROUND(F998*G998/B998,0)*B998)))</f>
        <v>#DIV/0!</v>
      </c>
      <c r="H999" s="29" t="e">
        <f>IF(C998=1,IF(D998="BUY",G999-(ROUND(F998*H998/B998,0)*B998),G999+(ROUND(F998*H998/B998,0)*B998)),IF(D998="BUY",G999+(ROUND(F998*H998/B998,0)*B998),G999-(ROUND(F998*H998/B998,0)*B998)))</f>
        <v>#DIV/0!</v>
      </c>
      <c r="I999" s="29" t="e">
        <f>IF(D998="BUY",G999+(ROUND(F998*I998/(B998*100),0)*B998),G999-(ROUND(F998*I998/(B998*100),0)*B998))</f>
        <v>#DIV/0!</v>
      </c>
      <c r="J999" s="29" t="e">
        <f>IF(C998=1,IF(D998="BUY",E998+(ROUND(F998*J998/B998,0)*B998),E998-(ROUND(F998*J998/B998,0)*B998)),IF(D998="BUY",E998-(ROUND(F998*J998/B998,0)*B998),E998+(ROUND(F998*J998/B998,0)*B998)))</f>
        <v>#DIV/0!</v>
      </c>
      <c r="K999" s="29" t="e">
        <f>IF(C998=1,IF(D998="BUY",E998-(ROUND(F998*K998/B998,0)*B998),E998+(ROUND(F998*K998/B998,0)*B998)),IF(D998="BUY",E998-(ROUND(F998*K998/B998,0)*B998),E998+(ROUND(F998*K998/B998,0)*B998)))</f>
        <v>#DIV/0!</v>
      </c>
      <c r="L999" s="29" t="e">
        <f t="shared" ref="L999" si="1493">IF(D999="BUY",I999+(R999*B999),I999-(R999*B999))</f>
        <v>#DIV/0!</v>
      </c>
      <c r="M999" s="29" t="e">
        <f>IF(D998="BUY",E998+(ROUND(F998*M998/B998,0)*B998),E998-(ROUND(F998*M998/B998,0)*B998))</f>
        <v>#DIV/0!</v>
      </c>
      <c r="N999" s="29" t="e">
        <f>IF(D998="BUY",E998-(ROUND(F998*N998/B998,0)*B998),E998+(ROUND(F998*N998/B998,0)*B998))</f>
        <v>#DIV/0!</v>
      </c>
      <c r="O999" s="31" t="e">
        <f>IF(D999="BUY",N999-VLOOKUP(A999,Symbols!A$1:D$1000,4,FALSE),N999+VLOOKUP(A999,Symbols!A$1:D$1000,4,FALSE))</f>
        <v>#DIV/0!</v>
      </c>
      <c r="P999" s="29">
        <f>P998</f>
        <v>0</v>
      </c>
      <c r="Q999" s="29">
        <f>Q998</f>
        <v>0</v>
      </c>
      <c r="R999" s="29">
        <f>R998</f>
        <v>0</v>
      </c>
      <c r="S999" s="29">
        <f>S998</f>
        <v>0</v>
      </c>
      <c r="T999" s="29">
        <f>T998</f>
        <v>0</v>
      </c>
      <c r="U999" s="29" t="e">
        <f>DATEDIF(DATE(1970,1,1),U998,"D")*86400</f>
        <v>#NUM!</v>
      </c>
      <c r="V999" s="29">
        <f>HOUR(V998)*3600+MINUTE(V998)*60+SECOND(V998)</f>
        <v>0</v>
      </c>
      <c r="W999" s="29" t="e">
        <f>DATEDIF(DATE(1970,1,1),W998,"D")*86400</f>
        <v>#NUM!</v>
      </c>
      <c r="X999" s="29">
        <f>HOUR(X998)*3600+MINUTE(X998)*60+SECOND(X998)</f>
        <v>0</v>
      </c>
      <c r="Y999" s="31">
        <f>(Y998*B999)</f>
        <v>0</v>
      </c>
      <c r="Z999" s="29">
        <f>Z998</f>
        <v>0</v>
      </c>
      <c r="AA999" s="29" t="e">
        <f>DATEDIF(DATE(1970,1,1),AA998,"D")*86400</f>
        <v>#NUM!</v>
      </c>
      <c r="AB999" s="29">
        <f>HOUR(AB998)*3600+MINUTE(AB998)*60+SECOND(AB998)</f>
        <v>0</v>
      </c>
      <c r="AC999" s="29">
        <f>AC998</f>
        <v>0</v>
      </c>
    </row>
    <row r="1000" spans="1:29">
      <c r="A1000" s="23">
        <f>Parameters!A501</f>
        <v>0</v>
      </c>
      <c r="B1000" s="23">
        <f>Parameters!B501</f>
        <v>0</v>
      </c>
      <c r="C1000" s="24">
        <f>Parameters!C501</f>
        <v>0</v>
      </c>
      <c r="D1000" s="24">
        <f>Parameters!D501</f>
        <v>0</v>
      </c>
      <c r="E1000" s="23">
        <f>Parameters!E501</f>
        <v>0</v>
      </c>
      <c r="F1000" s="23">
        <f>Parameters!F501</f>
        <v>0</v>
      </c>
      <c r="G1000" s="25">
        <f>Parameters!G501</f>
        <v>0</v>
      </c>
      <c r="H1000" s="25">
        <f>Parameters!H501</f>
        <v>0</v>
      </c>
      <c r="I1000" s="25">
        <f>Parameters!I501</f>
        <v>0</v>
      </c>
      <c r="J1000" s="25">
        <f>Parameters!J501</f>
        <v>0</v>
      </c>
      <c r="K1000" s="25">
        <f>Parameters!K501</f>
        <v>0</v>
      </c>
      <c r="L1000" s="26" t="e">
        <f t="shared" ref="L1000" si="1494">L1001</f>
        <v>#DIV/0!</v>
      </c>
      <c r="M1000" s="25">
        <f>Parameters!L501</f>
        <v>0</v>
      </c>
      <c r="N1000" s="25">
        <f>Parameters!M501</f>
        <v>0</v>
      </c>
      <c r="O1000" s="26" t="e">
        <f t="shared" ref="O1000" si="1495">O1001</f>
        <v>#DIV/0!</v>
      </c>
      <c r="P1000" s="23">
        <f>Parameters!N501</f>
        <v>0</v>
      </c>
      <c r="Q1000" s="23">
        <f>Parameters!O501</f>
        <v>0</v>
      </c>
      <c r="R1000" s="23">
        <f>Parameters!P501</f>
        <v>0</v>
      </c>
      <c r="S1000" s="23">
        <f>Parameters!Q501</f>
        <v>0</v>
      </c>
      <c r="T1000" s="23">
        <f>Parameters!R501</f>
        <v>0</v>
      </c>
      <c r="U1000" s="27">
        <f>Parameters!S501</f>
        <v>0</v>
      </c>
      <c r="V1000" s="28">
        <f>Parameters!T501</f>
        <v>0</v>
      </c>
      <c r="W1000" s="27">
        <f>Parameters!U501</f>
        <v>0</v>
      </c>
      <c r="X1000" s="28">
        <f>Parameters!V501</f>
        <v>0</v>
      </c>
      <c r="Y1000" s="25">
        <f>Parameters!W501</f>
        <v>0</v>
      </c>
      <c r="Z1000" s="23">
        <f>Parameters!X501</f>
        <v>0</v>
      </c>
      <c r="AA1000" s="27">
        <f>Parameters!Y501</f>
        <v>0</v>
      </c>
      <c r="AB1000" s="28">
        <f>Parameters!Z501</f>
        <v>0</v>
      </c>
      <c r="AC1000" s="23">
        <f>Parameters!AA501</f>
        <v>0</v>
      </c>
    </row>
    <row r="1001" spans="1:29">
      <c r="A1001" s="29" t="str">
        <f>UPPER(A1000)</f>
        <v>0</v>
      </c>
      <c r="B1001" s="29">
        <f>B1000</f>
        <v>0</v>
      </c>
      <c r="C1001" s="30">
        <f>C1000</f>
        <v>0</v>
      </c>
      <c r="D1001" s="30">
        <f>D1000</f>
        <v>0</v>
      </c>
      <c r="E1001" s="29">
        <f>E1000</f>
        <v>0</v>
      </c>
      <c r="F1001" s="29">
        <f>F1000</f>
        <v>0</v>
      </c>
      <c r="G1001" s="29" t="e">
        <f>IF(C1000=1,IF(D1000="BUY",E1000+(ROUND(F1000*G1000/B1000,0)*B1000),E1000-(ROUND(F1000*G1000/B1000,0)*B1000)),IF(D1000="BUY",E1000-(ROUND(F1000*G1000/B1000,0)*B1000),E1000+(ROUND(F1000*G1000/B1000,0)*B1000)))</f>
        <v>#DIV/0!</v>
      </c>
      <c r="H1001" s="29" t="e">
        <f>IF(C1000=1,IF(D1000="BUY",G1001-(ROUND(F1000*H1000/B1000,0)*B1000),G1001+(ROUND(F1000*H1000/B1000,0)*B1000)),IF(D1000="BUY",G1001+(ROUND(F1000*H1000/B1000,0)*B1000),G1001-(ROUND(F1000*H1000/B1000,0)*B1000)))</f>
        <v>#DIV/0!</v>
      </c>
      <c r="I1001" s="29" t="e">
        <f>IF(D1000="BUY",G1001+(ROUND(F1000*I1000/(B1000*100),0)*B1000),G1001-(ROUND(F1000*I1000/(B1000*100),0)*B1000))</f>
        <v>#DIV/0!</v>
      </c>
      <c r="J1001" s="29" t="e">
        <f>IF(C1000=1,IF(D1000="BUY",E1000+(ROUND(F1000*J1000/B1000,0)*B1000),E1000-(ROUND(F1000*J1000/B1000,0)*B1000)),IF(D1000="BUY",E1000-(ROUND(F1000*J1000/B1000,0)*B1000),E1000+(ROUND(F1000*J1000/B1000,0)*B1000)))</f>
        <v>#DIV/0!</v>
      </c>
      <c r="K1001" s="29" t="e">
        <f>IF(C1000=1,IF(D1000="BUY",E1000-(ROUND(F1000*K1000/B1000,0)*B1000),E1000+(ROUND(F1000*K1000/B1000,0)*B1000)),IF(D1000="BUY",E1000-(ROUND(F1000*K1000/B1000,0)*B1000),E1000+(ROUND(F1000*K1000/B1000,0)*B1000)))</f>
        <v>#DIV/0!</v>
      </c>
      <c r="L1001" s="29" t="e">
        <f t="shared" ref="L1001" si="1496">IF(D1001="BUY",I1001+(R1001*B1001),I1001-(R1001*B1001))</f>
        <v>#DIV/0!</v>
      </c>
      <c r="M1001" s="29" t="e">
        <f>IF(D1000="BUY",E1000+(ROUND(F1000*M1000/B1000,0)*B1000),E1000-(ROUND(F1000*M1000/B1000,0)*B1000))</f>
        <v>#DIV/0!</v>
      </c>
      <c r="N1001" s="29" t="e">
        <f>IF(D1000="BUY",E1000-(ROUND(F1000*N1000/B1000,0)*B1000),E1000+(ROUND(F1000*N1000/B1000,0)*B1000))</f>
        <v>#DIV/0!</v>
      </c>
      <c r="O1001" s="31" t="e">
        <f>IF(D1001="BUY",N1001-VLOOKUP(A1001,Symbols!A$1:D$1000,4,FALSE),N1001+VLOOKUP(A1001,Symbols!A$1:D$1000,4,FALSE))</f>
        <v>#DIV/0!</v>
      </c>
      <c r="P1001" s="29">
        <f>P1000</f>
        <v>0</v>
      </c>
      <c r="Q1001" s="29">
        <f>Q1000</f>
        <v>0</v>
      </c>
      <c r="R1001" s="29">
        <f>R1000</f>
        <v>0</v>
      </c>
      <c r="S1001" s="29">
        <f>S1000</f>
        <v>0</v>
      </c>
      <c r="T1001" s="29">
        <f>T1000</f>
        <v>0</v>
      </c>
      <c r="U1001" s="29" t="e">
        <f>DATEDIF(DATE(1970,1,1),U1000,"D")*86400</f>
        <v>#NUM!</v>
      </c>
      <c r="V1001" s="29">
        <f>HOUR(V1000)*3600+MINUTE(V1000)*60+SECOND(V1000)</f>
        <v>0</v>
      </c>
      <c r="W1001" s="29" t="e">
        <f>DATEDIF(DATE(1970,1,1),W1000,"D")*86400</f>
        <v>#NUM!</v>
      </c>
      <c r="X1001" s="29">
        <f>HOUR(X1000)*3600+MINUTE(X1000)*60+SECOND(X1000)</f>
        <v>0</v>
      </c>
      <c r="Y1001" s="31">
        <f>(Y1000*B1001)</f>
        <v>0</v>
      </c>
      <c r="Z1001" s="29">
        <f>Z1000</f>
        <v>0</v>
      </c>
      <c r="AA1001" s="29" t="e">
        <f>DATEDIF(DATE(1970,1,1),AA1000,"D")*86400</f>
        <v>#NUM!</v>
      </c>
      <c r="AB1001" s="29">
        <f>HOUR(AB1000)*3600+MINUTE(AB1000)*60+SECOND(AB1000)</f>
        <v>0</v>
      </c>
      <c r="AC1001" s="29">
        <f>AC1000</f>
        <v>0</v>
      </c>
    </row>
    <row r="1002" spans="1:29">
      <c r="A1002" s="23">
        <f>Parameters!A502</f>
        <v>0</v>
      </c>
      <c r="B1002" s="23">
        <f>Parameters!B502</f>
        <v>0</v>
      </c>
      <c r="C1002" s="24">
        <f>Parameters!C502</f>
        <v>0</v>
      </c>
      <c r="D1002" s="24">
        <f>Parameters!D502</f>
        <v>0</v>
      </c>
      <c r="E1002" s="23">
        <f>Parameters!E502</f>
        <v>0</v>
      </c>
      <c r="F1002" s="23">
        <f>Parameters!F502</f>
        <v>0</v>
      </c>
      <c r="G1002" s="25">
        <f>Parameters!G502</f>
        <v>0</v>
      </c>
      <c r="H1002" s="25">
        <f>Parameters!H502</f>
        <v>0</v>
      </c>
      <c r="I1002" s="25">
        <f>Parameters!I502</f>
        <v>0</v>
      </c>
      <c r="J1002" s="25">
        <f>Parameters!J502</f>
        <v>0</v>
      </c>
      <c r="K1002" s="25">
        <f>Parameters!K502</f>
        <v>0</v>
      </c>
      <c r="L1002" s="26" t="e">
        <f t="shared" ref="L1002" si="1497">L1003</f>
        <v>#DIV/0!</v>
      </c>
      <c r="M1002" s="25">
        <f>Parameters!L502</f>
        <v>0</v>
      </c>
      <c r="N1002" s="25">
        <f>Parameters!M502</f>
        <v>0</v>
      </c>
      <c r="O1002" s="26" t="e">
        <f t="shared" ref="O1002" si="1498">O1003</f>
        <v>#DIV/0!</v>
      </c>
      <c r="P1002" s="23">
        <f>Parameters!N502</f>
        <v>0</v>
      </c>
      <c r="Q1002" s="23">
        <f>Parameters!O502</f>
        <v>0</v>
      </c>
      <c r="R1002" s="23">
        <f>Parameters!P502</f>
        <v>0</v>
      </c>
      <c r="S1002" s="23">
        <f>Parameters!Q502</f>
        <v>0</v>
      </c>
      <c r="T1002" s="23">
        <f>Parameters!R502</f>
        <v>0</v>
      </c>
      <c r="U1002" s="27">
        <f>Parameters!S502</f>
        <v>0</v>
      </c>
      <c r="V1002" s="28">
        <f>Parameters!T502</f>
        <v>0</v>
      </c>
      <c r="W1002" s="27">
        <f>Parameters!U502</f>
        <v>0</v>
      </c>
      <c r="X1002" s="28">
        <f>Parameters!V502</f>
        <v>0</v>
      </c>
      <c r="Y1002" s="25">
        <f>Parameters!W502</f>
        <v>0</v>
      </c>
      <c r="Z1002" s="23">
        <f>Parameters!X502</f>
        <v>0</v>
      </c>
      <c r="AA1002" s="27">
        <f>Parameters!Y502</f>
        <v>0</v>
      </c>
      <c r="AB1002" s="28">
        <f>Parameters!Z502</f>
        <v>0</v>
      </c>
      <c r="AC1002" s="23">
        <f>Parameters!AA502</f>
        <v>0</v>
      </c>
    </row>
    <row r="1003" spans="1:29">
      <c r="A1003" s="29" t="str">
        <f>UPPER(A1002)</f>
        <v>0</v>
      </c>
      <c r="B1003" s="29">
        <f>B1002</f>
        <v>0</v>
      </c>
      <c r="C1003" s="30">
        <f>C1002</f>
        <v>0</v>
      </c>
      <c r="D1003" s="30">
        <f>D1002</f>
        <v>0</v>
      </c>
      <c r="E1003" s="29">
        <f>E1002</f>
        <v>0</v>
      </c>
      <c r="F1003" s="29">
        <f>F1002</f>
        <v>0</v>
      </c>
      <c r="G1003" s="29" t="e">
        <f>IF(C1002=1,IF(D1002="BUY",E1002+(ROUND(F1002*G1002/B1002,0)*B1002),E1002-(ROUND(F1002*G1002/B1002,0)*B1002)),IF(D1002="BUY",E1002-(ROUND(F1002*G1002/B1002,0)*B1002),E1002+(ROUND(F1002*G1002/B1002,0)*B1002)))</f>
        <v>#DIV/0!</v>
      </c>
      <c r="H1003" s="29" t="e">
        <f>IF(C1002=1,IF(D1002="BUY",G1003-(ROUND(F1002*H1002/B1002,0)*B1002),G1003+(ROUND(F1002*H1002/B1002,0)*B1002)),IF(D1002="BUY",G1003+(ROUND(F1002*H1002/B1002,0)*B1002),G1003-(ROUND(F1002*H1002/B1002,0)*B1002)))</f>
        <v>#DIV/0!</v>
      </c>
      <c r="I1003" s="29" t="e">
        <f>IF(D1002="BUY",G1003+(ROUND(F1002*I1002/(B1002*100),0)*B1002),G1003-(ROUND(F1002*I1002/(B1002*100),0)*B1002))</f>
        <v>#DIV/0!</v>
      </c>
      <c r="J1003" s="29" t="e">
        <f>IF(C1002=1,IF(D1002="BUY",E1002+(ROUND(F1002*J1002/B1002,0)*B1002),E1002-(ROUND(F1002*J1002/B1002,0)*B1002)),IF(D1002="BUY",E1002-(ROUND(F1002*J1002/B1002,0)*B1002),E1002+(ROUND(F1002*J1002/B1002,0)*B1002)))</f>
        <v>#DIV/0!</v>
      </c>
      <c r="K1003" s="29" t="e">
        <f>IF(C1002=1,IF(D1002="BUY",E1002-(ROUND(F1002*K1002/B1002,0)*B1002),E1002+(ROUND(F1002*K1002/B1002,0)*B1002)),IF(D1002="BUY",E1002-(ROUND(F1002*K1002/B1002,0)*B1002),E1002+(ROUND(F1002*K1002/B1002,0)*B1002)))</f>
        <v>#DIV/0!</v>
      </c>
      <c r="L1003" s="29" t="e">
        <f t="shared" ref="L1003" si="1499">IF(D1003="BUY",I1003+(R1003*B1003),I1003-(R1003*B1003))</f>
        <v>#DIV/0!</v>
      </c>
      <c r="M1003" s="29" t="e">
        <f>IF(D1002="BUY",E1002+(ROUND(F1002*M1002/B1002,0)*B1002),E1002-(ROUND(F1002*M1002/B1002,0)*B1002))</f>
        <v>#DIV/0!</v>
      </c>
      <c r="N1003" s="29" t="e">
        <f>IF(D1002="BUY",E1002-(ROUND(F1002*N1002/B1002,0)*B1002),E1002+(ROUND(F1002*N1002/B1002,0)*B1002))</f>
        <v>#DIV/0!</v>
      </c>
      <c r="O1003" s="31" t="e">
        <f>IF(D1003="BUY",N1003-VLOOKUP(A1003,Symbols!A$1:D$1000,4,FALSE),N1003+VLOOKUP(A1003,Symbols!A$1:D$1000,4,FALSE))</f>
        <v>#DIV/0!</v>
      </c>
      <c r="P1003" s="29">
        <f>P1002</f>
        <v>0</v>
      </c>
      <c r="Q1003" s="29">
        <f>Q1002</f>
        <v>0</v>
      </c>
      <c r="R1003" s="29">
        <f>R1002</f>
        <v>0</v>
      </c>
      <c r="S1003" s="29">
        <f>S1002</f>
        <v>0</v>
      </c>
      <c r="T1003" s="29">
        <f>T1002</f>
        <v>0</v>
      </c>
      <c r="U1003" s="29" t="e">
        <f>DATEDIF(DATE(1970,1,1),U1002,"D")*86400</f>
        <v>#NUM!</v>
      </c>
      <c r="V1003" s="29">
        <f>HOUR(V1002)*3600+MINUTE(V1002)*60+SECOND(V1002)</f>
        <v>0</v>
      </c>
      <c r="W1003" s="29" t="e">
        <f>DATEDIF(DATE(1970,1,1),W1002,"D")*86400</f>
        <v>#NUM!</v>
      </c>
      <c r="X1003" s="29">
        <f>HOUR(X1002)*3600+MINUTE(X1002)*60+SECOND(X1002)</f>
        <v>0</v>
      </c>
      <c r="Y1003" s="31">
        <f>(Y1002*B1003)</f>
        <v>0</v>
      </c>
      <c r="Z1003" s="29">
        <f>Z1002</f>
        <v>0</v>
      </c>
      <c r="AA1003" s="29" t="e">
        <f>DATEDIF(DATE(1970,1,1),AA1002,"D")*86400</f>
        <v>#NUM!</v>
      </c>
      <c r="AB1003" s="29">
        <f>HOUR(AB1002)*3600+MINUTE(AB1002)*60+SECOND(AB1002)</f>
        <v>0</v>
      </c>
      <c r="AC1003" s="29">
        <f>AC1002</f>
        <v>0</v>
      </c>
    </row>
    <row r="1004" spans="1:29">
      <c r="A1004" s="23">
        <f>Parameters!A503</f>
        <v>0</v>
      </c>
      <c r="B1004" s="23">
        <f>Parameters!B503</f>
        <v>0</v>
      </c>
      <c r="C1004" s="24">
        <f>Parameters!C503</f>
        <v>0</v>
      </c>
      <c r="D1004" s="24">
        <f>Parameters!D503</f>
        <v>0</v>
      </c>
      <c r="E1004" s="23">
        <f>Parameters!E503</f>
        <v>0</v>
      </c>
      <c r="F1004" s="23">
        <f>Parameters!F503</f>
        <v>0</v>
      </c>
      <c r="G1004" s="25">
        <f>Parameters!G503</f>
        <v>0</v>
      </c>
      <c r="H1004" s="25">
        <f>Parameters!H503</f>
        <v>0</v>
      </c>
      <c r="I1004" s="25">
        <f>Parameters!I503</f>
        <v>0</v>
      </c>
      <c r="J1004" s="25">
        <f>Parameters!J503</f>
        <v>0</v>
      </c>
      <c r="K1004" s="25">
        <f>Parameters!K503</f>
        <v>0</v>
      </c>
      <c r="L1004" s="26" t="e">
        <f t="shared" ref="L1004" si="1500">L1005</f>
        <v>#DIV/0!</v>
      </c>
      <c r="M1004" s="25">
        <f>Parameters!L503</f>
        <v>0</v>
      </c>
      <c r="N1004" s="25">
        <f>Parameters!M503</f>
        <v>0</v>
      </c>
      <c r="O1004" s="26" t="e">
        <f t="shared" ref="O1004" si="1501">O1005</f>
        <v>#DIV/0!</v>
      </c>
      <c r="P1004" s="23">
        <f>Parameters!N503</f>
        <v>0</v>
      </c>
      <c r="Q1004" s="23">
        <f>Parameters!O503</f>
        <v>0</v>
      </c>
      <c r="R1004" s="23">
        <f>Parameters!P503</f>
        <v>0</v>
      </c>
      <c r="S1004" s="23">
        <f>Parameters!Q503</f>
        <v>0</v>
      </c>
      <c r="T1004" s="23">
        <f>Parameters!R503</f>
        <v>0</v>
      </c>
      <c r="U1004" s="27">
        <f>Parameters!S503</f>
        <v>0</v>
      </c>
      <c r="V1004" s="28">
        <f>Parameters!T503</f>
        <v>0</v>
      </c>
      <c r="W1004" s="27">
        <f>Parameters!U503</f>
        <v>0</v>
      </c>
      <c r="X1004" s="28">
        <f>Parameters!V503</f>
        <v>0</v>
      </c>
      <c r="Y1004" s="25">
        <f>Parameters!W503</f>
        <v>0</v>
      </c>
      <c r="Z1004" s="23">
        <f>Parameters!X503</f>
        <v>0</v>
      </c>
      <c r="AA1004" s="27">
        <f>Parameters!Y503</f>
        <v>0</v>
      </c>
      <c r="AB1004" s="28">
        <f>Parameters!Z503</f>
        <v>0</v>
      </c>
      <c r="AC1004" s="23">
        <f>Parameters!AA503</f>
        <v>0</v>
      </c>
    </row>
    <row r="1005" spans="1:29">
      <c r="A1005" s="29" t="str">
        <f>UPPER(A1004)</f>
        <v>0</v>
      </c>
      <c r="B1005" s="29">
        <f>B1004</f>
        <v>0</v>
      </c>
      <c r="C1005" s="30">
        <f>C1004</f>
        <v>0</v>
      </c>
      <c r="D1005" s="30">
        <f>D1004</f>
        <v>0</v>
      </c>
      <c r="E1005" s="29">
        <f>E1004</f>
        <v>0</v>
      </c>
      <c r="F1005" s="29">
        <f>F1004</f>
        <v>0</v>
      </c>
      <c r="G1005" s="29" t="e">
        <f>IF(C1004=1,IF(D1004="BUY",E1004+(ROUND(F1004*G1004/B1004,0)*B1004),E1004-(ROUND(F1004*G1004/B1004,0)*B1004)),IF(D1004="BUY",E1004-(ROUND(F1004*G1004/B1004,0)*B1004),E1004+(ROUND(F1004*G1004/B1004,0)*B1004)))</f>
        <v>#DIV/0!</v>
      </c>
      <c r="H1005" s="29" t="e">
        <f>IF(C1004=1,IF(D1004="BUY",G1005-(ROUND(F1004*H1004/B1004,0)*B1004),G1005+(ROUND(F1004*H1004/B1004,0)*B1004)),IF(D1004="BUY",G1005+(ROUND(F1004*H1004/B1004,0)*B1004),G1005-(ROUND(F1004*H1004/B1004,0)*B1004)))</f>
        <v>#DIV/0!</v>
      </c>
      <c r="I1005" s="29" t="e">
        <f>IF(D1004="BUY",G1005+(ROUND(F1004*I1004/(B1004*100),0)*B1004),G1005-(ROUND(F1004*I1004/(B1004*100),0)*B1004))</f>
        <v>#DIV/0!</v>
      </c>
      <c r="J1005" s="29" t="e">
        <f>IF(C1004=1,IF(D1004="BUY",E1004+(ROUND(F1004*J1004/B1004,0)*B1004),E1004-(ROUND(F1004*J1004/B1004,0)*B1004)),IF(D1004="BUY",E1004-(ROUND(F1004*J1004/B1004,0)*B1004),E1004+(ROUND(F1004*J1004/B1004,0)*B1004)))</f>
        <v>#DIV/0!</v>
      </c>
      <c r="K1005" s="29" t="e">
        <f>IF(C1004=1,IF(D1004="BUY",E1004-(ROUND(F1004*K1004/B1004,0)*B1004),E1004+(ROUND(F1004*K1004/B1004,0)*B1004)),IF(D1004="BUY",E1004-(ROUND(F1004*K1004/B1004,0)*B1004),E1004+(ROUND(F1004*K1004/B1004,0)*B1004)))</f>
        <v>#DIV/0!</v>
      </c>
      <c r="L1005" s="29" t="e">
        <f t="shared" ref="L1005" si="1502">IF(D1005="BUY",I1005+(R1005*B1005),I1005-(R1005*B1005))</f>
        <v>#DIV/0!</v>
      </c>
      <c r="M1005" s="29" t="e">
        <f>IF(D1004="BUY",E1004+(ROUND(F1004*M1004/B1004,0)*B1004),E1004-(ROUND(F1004*M1004/B1004,0)*B1004))</f>
        <v>#DIV/0!</v>
      </c>
      <c r="N1005" s="29" t="e">
        <f>IF(D1004="BUY",E1004-(ROUND(F1004*N1004/B1004,0)*B1004),E1004+(ROUND(F1004*N1004/B1004,0)*B1004))</f>
        <v>#DIV/0!</v>
      </c>
      <c r="O1005" s="31" t="e">
        <f>IF(D1005="BUY",N1005-VLOOKUP(A1005,Symbols!A$1:D$1000,4,FALSE),N1005+VLOOKUP(A1005,Symbols!A$1:D$1000,4,FALSE))</f>
        <v>#DIV/0!</v>
      </c>
      <c r="P1005" s="29">
        <f>P1004</f>
        <v>0</v>
      </c>
      <c r="Q1005" s="29">
        <f>Q1004</f>
        <v>0</v>
      </c>
      <c r="R1005" s="29">
        <f>R1004</f>
        <v>0</v>
      </c>
      <c r="S1005" s="29">
        <f>S1004</f>
        <v>0</v>
      </c>
      <c r="T1005" s="29">
        <f>T1004</f>
        <v>0</v>
      </c>
      <c r="U1005" s="29" t="e">
        <f>DATEDIF(DATE(1970,1,1),U1004,"D")*86400</f>
        <v>#NUM!</v>
      </c>
      <c r="V1005" s="29">
        <f>HOUR(V1004)*3600+MINUTE(V1004)*60+SECOND(V1004)</f>
        <v>0</v>
      </c>
      <c r="W1005" s="29" t="e">
        <f>DATEDIF(DATE(1970,1,1),W1004,"D")*86400</f>
        <v>#NUM!</v>
      </c>
      <c r="X1005" s="29">
        <f>HOUR(X1004)*3600+MINUTE(X1004)*60+SECOND(X1004)</f>
        <v>0</v>
      </c>
      <c r="Y1005" s="31">
        <f>(Y1004*B1005)</f>
        <v>0</v>
      </c>
      <c r="Z1005" s="29">
        <f>Z1004</f>
        <v>0</v>
      </c>
      <c r="AA1005" s="29" t="e">
        <f>DATEDIF(DATE(1970,1,1),AA1004,"D")*86400</f>
        <v>#NUM!</v>
      </c>
      <c r="AB1005" s="29">
        <f>HOUR(AB1004)*3600+MINUTE(AB1004)*60+SECOND(AB1004)</f>
        <v>0</v>
      </c>
      <c r="AC1005" s="29">
        <f>AC1004</f>
        <v>0</v>
      </c>
    </row>
    <row r="1006" spans="1:29">
      <c r="A1006" s="23">
        <f>Parameters!A504</f>
        <v>0</v>
      </c>
      <c r="B1006" s="23">
        <f>Parameters!B504</f>
        <v>0</v>
      </c>
      <c r="C1006" s="24">
        <f>Parameters!C504</f>
        <v>0</v>
      </c>
      <c r="D1006" s="24">
        <f>Parameters!D504</f>
        <v>0</v>
      </c>
      <c r="E1006" s="23">
        <f>Parameters!E504</f>
        <v>0</v>
      </c>
      <c r="F1006" s="23">
        <f>Parameters!F504</f>
        <v>0</v>
      </c>
      <c r="G1006" s="25">
        <f>Parameters!G504</f>
        <v>0</v>
      </c>
      <c r="H1006" s="25">
        <f>Parameters!H504</f>
        <v>0</v>
      </c>
      <c r="I1006" s="25">
        <f>Parameters!I504</f>
        <v>0</v>
      </c>
      <c r="J1006" s="25">
        <f>Parameters!J504</f>
        <v>0</v>
      </c>
      <c r="K1006" s="25">
        <f>Parameters!K504</f>
        <v>0</v>
      </c>
      <c r="L1006" s="26" t="e">
        <f t="shared" ref="L1006" si="1503">L1007</f>
        <v>#DIV/0!</v>
      </c>
      <c r="M1006" s="25">
        <f>Parameters!L504</f>
        <v>0</v>
      </c>
      <c r="N1006" s="25">
        <f>Parameters!M504</f>
        <v>0</v>
      </c>
      <c r="O1006" s="26" t="e">
        <f t="shared" ref="O1006" si="1504">O1007</f>
        <v>#DIV/0!</v>
      </c>
      <c r="P1006" s="23">
        <f>Parameters!N504</f>
        <v>0</v>
      </c>
      <c r="Q1006" s="23">
        <f>Parameters!O504</f>
        <v>0</v>
      </c>
      <c r="R1006" s="23">
        <f>Parameters!P504</f>
        <v>0</v>
      </c>
      <c r="S1006" s="23">
        <f>Parameters!Q504</f>
        <v>0</v>
      </c>
      <c r="T1006" s="23">
        <f>Parameters!R504</f>
        <v>0</v>
      </c>
      <c r="U1006" s="27">
        <f>Parameters!S504</f>
        <v>0</v>
      </c>
      <c r="V1006" s="28">
        <f>Parameters!T504</f>
        <v>0</v>
      </c>
      <c r="W1006" s="27">
        <f>Parameters!U504</f>
        <v>0</v>
      </c>
      <c r="X1006" s="28">
        <f>Parameters!V504</f>
        <v>0</v>
      </c>
      <c r="Y1006" s="25">
        <f>Parameters!W504</f>
        <v>0</v>
      </c>
      <c r="Z1006" s="23">
        <f>Parameters!X504</f>
        <v>0</v>
      </c>
      <c r="AA1006" s="27">
        <f>Parameters!Y504</f>
        <v>0</v>
      </c>
      <c r="AB1006" s="28">
        <f>Parameters!Z504</f>
        <v>0</v>
      </c>
      <c r="AC1006" s="23">
        <f>Parameters!AA504</f>
        <v>0</v>
      </c>
    </row>
    <row r="1007" spans="1:29">
      <c r="A1007" s="29" t="str">
        <f>UPPER(A1006)</f>
        <v>0</v>
      </c>
      <c r="B1007" s="29">
        <f>B1006</f>
        <v>0</v>
      </c>
      <c r="C1007" s="30">
        <f>C1006</f>
        <v>0</v>
      </c>
      <c r="D1007" s="30">
        <f>D1006</f>
        <v>0</v>
      </c>
      <c r="E1007" s="29">
        <f>E1006</f>
        <v>0</v>
      </c>
      <c r="F1007" s="29">
        <f>F1006</f>
        <v>0</v>
      </c>
      <c r="G1007" s="29" t="e">
        <f>IF(C1006=1,IF(D1006="BUY",E1006+(ROUND(F1006*G1006/B1006,0)*B1006),E1006-(ROUND(F1006*G1006/B1006,0)*B1006)),IF(D1006="BUY",E1006-(ROUND(F1006*G1006/B1006,0)*B1006),E1006+(ROUND(F1006*G1006/B1006,0)*B1006)))</f>
        <v>#DIV/0!</v>
      </c>
      <c r="H1007" s="29" t="e">
        <f>IF(C1006=1,IF(D1006="BUY",G1007-(ROUND(F1006*H1006/B1006,0)*B1006),G1007+(ROUND(F1006*H1006/B1006,0)*B1006)),IF(D1006="BUY",G1007+(ROUND(F1006*H1006/B1006,0)*B1006),G1007-(ROUND(F1006*H1006/B1006,0)*B1006)))</f>
        <v>#DIV/0!</v>
      </c>
      <c r="I1007" s="29" t="e">
        <f>IF(D1006="BUY",G1007+(ROUND(F1006*I1006/(B1006*100),0)*B1006),G1007-(ROUND(F1006*I1006/(B1006*100),0)*B1006))</f>
        <v>#DIV/0!</v>
      </c>
      <c r="J1007" s="29" t="e">
        <f>IF(C1006=1,IF(D1006="BUY",E1006+(ROUND(F1006*J1006/B1006,0)*B1006),E1006-(ROUND(F1006*J1006/B1006,0)*B1006)),IF(D1006="BUY",E1006-(ROUND(F1006*J1006/B1006,0)*B1006),E1006+(ROUND(F1006*J1006/B1006,0)*B1006)))</f>
        <v>#DIV/0!</v>
      </c>
      <c r="K1007" s="29" t="e">
        <f>IF(C1006=1,IF(D1006="BUY",E1006-(ROUND(F1006*K1006/B1006,0)*B1006),E1006+(ROUND(F1006*K1006/B1006,0)*B1006)),IF(D1006="BUY",E1006-(ROUND(F1006*K1006/B1006,0)*B1006),E1006+(ROUND(F1006*K1006/B1006,0)*B1006)))</f>
        <v>#DIV/0!</v>
      </c>
      <c r="L1007" s="29" t="e">
        <f t="shared" ref="L1007" si="1505">IF(D1007="BUY",I1007+(R1007*B1007),I1007-(R1007*B1007))</f>
        <v>#DIV/0!</v>
      </c>
      <c r="M1007" s="29" t="e">
        <f>IF(D1006="BUY",E1006+(ROUND(F1006*M1006/B1006,0)*B1006),E1006-(ROUND(F1006*M1006/B1006,0)*B1006))</f>
        <v>#DIV/0!</v>
      </c>
      <c r="N1007" s="29" t="e">
        <f>IF(D1006="BUY",E1006-(ROUND(F1006*N1006/B1006,0)*B1006),E1006+(ROUND(F1006*N1006/B1006,0)*B1006))</f>
        <v>#DIV/0!</v>
      </c>
      <c r="O1007" s="31" t="e">
        <f>IF(D1007="BUY",N1007-VLOOKUP(A1007,Symbols!A$1:D$1000,4,FALSE),N1007+VLOOKUP(A1007,Symbols!A$1:D$1000,4,FALSE))</f>
        <v>#DIV/0!</v>
      </c>
      <c r="P1007" s="29">
        <f>P1006</f>
        <v>0</v>
      </c>
      <c r="Q1007" s="29">
        <f>Q1006</f>
        <v>0</v>
      </c>
      <c r="R1007" s="29">
        <f>R1006</f>
        <v>0</v>
      </c>
      <c r="S1007" s="29">
        <f>S1006</f>
        <v>0</v>
      </c>
      <c r="T1007" s="29">
        <f>T1006</f>
        <v>0</v>
      </c>
      <c r="U1007" s="29" t="e">
        <f>DATEDIF(DATE(1970,1,1),U1006,"D")*86400</f>
        <v>#NUM!</v>
      </c>
      <c r="V1007" s="29">
        <f>HOUR(V1006)*3600+MINUTE(V1006)*60+SECOND(V1006)</f>
        <v>0</v>
      </c>
      <c r="W1007" s="29" t="e">
        <f>DATEDIF(DATE(1970,1,1),W1006,"D")*86400</f>
        <v>#NUM!</v>
      </c>
      <c r="X1007" s="29">
        <f>HOUR(X1006)*3600+MINUTE(X1006)*60+SECOND(X1006)</f>
        <v>0</v>
      </c>
      <c r="Y1007" s="31">
        <f>(Y1006*B1007)</f>
        <v>0</v>
      </c>
      <c r="Z1007" s="29">
        <f>Z1006</f>
        <v>0</v>
      </c>
      <c r="AA1007" s="29" t="e">
        <f>DATEDIF(DATE(1970,1,1),AA1006,"D")*86400</f>
        <v>#NUM!</v>
      </c>
      <c r="AB1007" s="29">
        <f>HOUR(AB1006)*3600+MINUTE(AB1006)*60+SECOND(AB1006)</f>
        <v>0</v>
      </c>
      <c r="AC1007" s="29">
        <f>AC1006</f>
        <v>0</v>
      </c>
    </row>
    <row r="1008" spans="1:29">
      <c r="A1008" s="23">
        <f>Parameters!A505</f>
        <v>0</v>
      </c>
      <c r="B1008" s="23">
        <f>Parameters!B505</f>
        <v>0</v>
      </c>
      <c r="C1008" s="24">
        <f>Parameters!C505</f>
        <v>0</v>
      </c>
      <c r="D1008" s="24">
        <f>Parameters!D505</f>
        <v>0</v>
      </c>
      <c r="E1008" s="23">
        <f>Parameters!E505</f>
        <v>0</v>
      </c>
      <c r="F1008" s="23">
        <f>Parameters!F505</f>
        <v>0</v>
      </c>
      <c r="G1008" s="25">
        <f>Parameters!G505</f>
        <v>0</v>
      </c>
      <c r="H1008" s="25">
        <f>Parameters!H505</f>
        <v>0</v>
      </c>
      <c r="I1008" s="25">
        <f>Parameters!I505</f>
        <v>0</v>
      </c>
      <c r="J1008" s="25">
        <f>Parameters!J505</f>
        <v>0</v>
      </c>
      <c r="K1008" s="25">
        <f>Parameters!K505</f>
        <v>0</v>
      </c>
      <c r="L1008" s="26" t="e">
        <f t="shared" ref="L1008" si="1506">L1009</f>
        <v>#DIV/0!</v>
      </c>
      <c r="M1008" s="25">
        <f>Parameters!L505</f>
        <v>0</v>
      </c>
      <c r="N1008" s="25">
        <f>Parameters!M505</f>
        <v>0</v>
      </c>
      <c r="O1008" s="26" t="e">
        <f t="shared" ref="O1008" si="1507">O1009</f>
        <v>#DIV/0!</v>
      </c>
      <c r="P1008" s="23">
        <f>Parameters!N505</f>
        <v>0</v>
      </c>
      <c r="Q1008" s="23">
        <f>Parameters!O505</f>
        <v>0</v>
      </c>
      <c r="R1008" s="23">
        <f>Parameters!P505</f>
        <v>0</v>
      </c>
      <c r="S1008" s="23">
        <f>Parameters!Q505</f>
        <v>0</v>
      </c>
      <c r="T1008" s="23">
        <f>Parameters!R505</f>
        <v>0</v>
      </c>
      <c r="U1008" s="27">
        <f>Parameters!S505</f>
        <v>0</v>
      </c>
      <c r="V1008" s="28">
        <f>Parameters!T505</f>
        <v>0</v>
      </c>
      <c r="W1008" s="27">
        <f>Parameters!U505</f>
        <v>0</v>
      </c>
      <c r="X1008" s="28">
        <f>Parameters!V505</f>
        <v>0</v>
      </c>
      <c r="Y1008" s="25">
        <f>Parameters!W505</f>
        <v>0</v>
      </c>
      <c r="Z1008" s="23">
        <f>Parameters!X505</f>
        <v>0</v>
      </c>
      <c r="AA1008" s="27">
        <f>Parameters!Y505</f>
        <v>0</v>
      </c>
      <c r="AB1008" s="28">
        <f>Parameters!Z505</f>
        <v>0</v>
      </c>
      <c r="AC1008" s="23">
        <f>Parameters!AA505</f>
        <v>0</v>
      </c>
    </row>
    <row r="1009" spans="1:29">
      <c r="A1009" s="29" t="str">
        <f>UPPER(A1008)</f>
        <v>0</v>
      </c>
      <c r="B1009" s="29">
        <f>B1008</f>
        <v>0</v>
      </c>
      <c r="C1009" s="30">
        <f>C1008</f>
        <v>0</v>
      </c>
      <c r="D1009" s="30">
        <f>D1008</f>
        <v>0</v>
      </c>
      <c r="E1009" s="29">
        <f>E1008</f>
        <v>0</v>
      </c>
      <c r="F1009" s="29">
        <f>F1008</f>
        <v>0</v>
      </c>
      <c r="G1009" s="29" t="e">
        <f>IF(C1008=1,IF(D1008="BUY",E1008+(ROUND(F1008*G1008/B1008,0)*B1008),E1008-(ROUND(F1008*G1008/B1008,0)*B1008)),IF(D1008="BUY",E1008-(ROUND(F1008*G1008/B1008,0)*B1008),E1008+(ROUND(F1008*G1008/B1008,0)*B1008)))</f>
        <v>#DIV/0!</v>
      </c>
      <c r="H1009" s="29" t="e">
        <f>IF(C1008=1,IF(D1008="BUY",G1009-(ROUND(F1008*H1008/B1008,0)*B1008),G1009+(ROUND(F1008*H1008/B1008,0)*B1008)),IF(D1008="BUY",G1009+(ROUND(F1008*H1008/B1008,0)*B1008),G1009-(ROUND(F1008*H1008/B1008,0)*B1008)))</f>
        <v>#DIV/0!</v>
      </c>
      <c r="I1009" s="29" t="e">
        <f>IF(D1008="BUY",G1009+(ROUND(F1008*I1008/(B1008*100),0)*B1008),G1009-(ROUND(F1008*I1008/(B1008*100),0)*B1008))</f>
        <v>#DIV/0!</v>
      </c>
      <c r="J1009" s="29" t="e">
        <f>IF(C1008=1,IF(D1008="BUY",E1008+(ROUND(F1008*J1008/B1008,0)*B1008),E1008-(ROUND(F1008*J1008/B1008,0)*B1008)),IF(D1008="BUY",E1008-(ROUND(F1008*J1008/B1008,0)*B1008),E1008+(ROUND(F1008*J1008/B1008,0)*B1008)))</f>
        <v>#DIV/0!</v>
      </c>
      <c r="K1009" s="29" t="e">
        <f>IF(C1008=1,IF(D1008="BUY",E1008-(ROUND(F1008*K1008/B1008,0)*B1008),E1008+(ROUND(F1008*K1008/B1008,0)*B1008)),IF(D1008="BUY",E1008-(ROUND(F1008*K1008/B1008,0)*B1008),E1008+(ROUND(F1008*K1008/B1008,0)*B1008)))</f>
        <v>#DIV/0!</v>
      </c>
      <c r="L1009" s="29" t="e">
        <f t="shared" ref="L1009" si="1508">IF(D1009="BUY",I1009+(R1009*B1009),I1009-(R1009*B1009))</f>
        <v>#DIV/0!</v>
      </c>
      <c r="M1009" s="29" t="e">
        <f>IF(D1008="BUY",E1008+(ROUND(F1008*M1008/B1008,0)*B1008),E1008-(ROUND(F1008*M1008/B1008,0)*B1008))</f>
        <v>#DIV/0!</v>
      </c>
      <c r="N1009" s="29" t="e">
        <f>IF(D1008="BUY",E1008-(ROUND(F1008*N1008/B1008,0)*B1008),E1008+(ROUND(F1008*N1008/B1008,0)*B1008))</f>
        <v>#DIV/0!</v>
      </c>
      <c r="O1009" s="31" t="e">
        <f>IF(D1009="BUY",N1009-VLOOKUP(A1009,Symbols!A$1:D$1000,4,FALSE),N1009+VLOOKUP(A1009,Symbols!A$1:D$1000,4,FALSE))</f>
        <v>#DIV/0!</v>
      </c>
      <c r="P1009" s="29">
        <f>P1008</f>
        <v>0</v>
      </c>
      <c r="Q1009" s="29">
        <f>Q1008</f>
        <v>0</v>
      </c>
      <c r="R1009" s="29">
        <f>R1008</f>
        <v>0</v>
      </c>
      <c r="S1009" s="29">
        <f>S1008</f>
        <v>0</v>
      </c>
      <c r="T1009" s="29">
        <f>T1008</f>
        <v>0</v>
      </c>
      <c r="U1009" s="29" t="e">
        <f>DATEDIF(DATE(1970,1,1),U1008,"D")*86400</f>
        <v>#NUM!</v>
      </c>
      <c r="V1009" s="29">
        <f>HOUR(V1008)*3600+MINUTE(V1008)*60+SECOND(V1008)</f>
        <v>0</v>
      </c>
      <c r="W1009" s="29" t="e">
        <f>DATEDIF(DATE(1970,1,1),W1008,"D")*86400</f>
        <v>#NUM!</v>
      </c>
      <c r="X1009" s="29">
        <f>HOUR(X1008)*3600+MINUTE(X1008)*60+SECOND(X1008)</f>
        <v>0</v>
      </c>
      <c r="Y1009" s="31">
        <f>(Y1008*B1009)</f>
        <v>0</v>
      </c>
      <c r="Z1009" s="29">
        <f>Z1008</f>
        <v>0</v>
      </c>
      <c r="AA1009" s="29" t="e">
        <f>DATEDIF(DATE(1970,1,1),AA1008,"D")*86400</f>
        <v>#NUM!</v>
      </c>
      <c r="AB1009" s="29">
        <f>HOUR(AB1008)*3600+MINUTE(AB1008)*60+SECOND(AB1008)</f>
        <v>0</v>
      </c>
      <c r="AC1009" s="29">
        <f>AC1008</f>
        <v>0</v>
      </c>
    </row>
    <row r="1010" spans="1:29">
      <c r="A1010" s="23">
        <f>Parameters!A506</f>
        <v>0</v>
      </c>
      <c r="B1010" s="23">
        <f>Parameters!B506</f>
        <v>0</v>
      </c>
      <c r="C1010" s="24">
        <f>Parameters!C506</f>
        <v>0</v>
      </c>
      <c r="D1010" s="24">
        <f>Parameters!D506</f>
        <v>0</v>
      </c>
      <c r="E1010" s="23">
        <f>Parameters!E506</f>
        <v>0</v>
      </c>
      <c r="F1010" s="23">
        <f>Parameters!F506</f>
        <v>0</v>
      </c>
      <c r="G1010" s="25">
        <f>Parameters!G506</f>
        <v>0</v>
      </c>
      <c r="H1010" s="25">
        <f>Parameters!H506</f>
        <v>0</v>
      </c>
      <c r="I1010" s="25">
        <f>Parameters!I506</f>
        <v>0</v>
      </c>
      <c r="J1010" s="25">
        <f>Parameters!J506</f>
        <v>0</v>
      </c>
      <c r="K1010" s="25">
        <f>Parameters!K506</f>
        <v>0</v>
      </c>
      <c r="L1010" s="26" t="e">
        <f t="shared" ref="L1010" si="1509">L1011</f>
        <v>#DIV/0!</v>
      </c>
      <c r="M1010" s="25">
        <f>Parameters!L506</f>
        <v>0</v>
      </c>
      <c r="N1010" s="25">
        <f>Parameters!M506</f>
        <v>0</v>
      </c>
      <c r="O1010" s="26" t="e">
        <f t="shared" ref="O1010" si="1510">O1011</f>
        <v>#DIV/0!</v>
      </c>
      <c r="P1010" s="23">
        <f>Parameters!N506</f>
        <v>0</v>
      </c>
      <c r="Q1010" s="23">
        <f>Parameters!O506</f>
        <v>0</v>
      </c>
      <c r="R1010" s="23">
        <f>Parameters!P506</f>
        <v>0</v>
      </c>
      <c r="S1010" s="23">
        <f>Parameters!Q506</f>
        <v>0</v>
      </c>
      <c r="T1010" s="23">
        <f>Parameters!R506</f>
        <v>0</v>
      </c>
      <c r="U1010" s="27">
        <f>Parameters!S506</f>
        <v>0</v>
      </c>
      <c r="V1010" s="28">
        <f>Parameters!T506</f>
        <v>0</v>
      </c>
      <c r="W1010" s="27">
        <f>Parameters!U506</f>
        <v>0</v>
      </c>
      <c r="X1010" s="28">
        <f>Parameters!V506</f>
        <v>0</v>
      </c>
      <c r="Y1010" s="25">
        <f>Parameters!W506</f>
        <v>0</v>
      </c>
      <c r="Z1010" s="23">
        <f>Parameters!X506</f>
        <v>0</v>
      </c>
      <c r="AA1010" s="27">
        <f>Parameters!Y506</f>
        <v>0</v>
      </c>
      <c r="AB1010" s="28">
        <f>Parameters!Z506</f>
        <v>0</v>
      </c>
      <c r="AC1010" s="23">
        <f>Parameters!AA506</f>
        <v>0</v>
      </c>
    </row>
    <row r="1011" spans="1:29">
      <c r="A1011" s="29" t="str">
        <f>UPPER(A1010)</f>
        <v>0</v>
      </c>
      <c r="B1011" s="29">
        <f>B1010</f>
        <v>0</v>
      </c>
      <c r="C1011" s="30">
        <f>C1010</f>
        <v>0</v>
      </c>
      <c r="D1011" s="30">
        <f>D1010</f>
        <v>0</v>
      </c>
      <c r="E1011" s="29">
        <f>E1010</f>
        <v>0</v>
      </c>
      <c r="F1011" s="29">
        <f>F1010</f>
        <v>0</v>
      </c>
      <c r="G1011" s="29" t="e">
        <f>IF(C1010=1,IF(D1010="BUY",E1010+(ROUND(F1010*G1010/B1010,0)*B1010),E1010-(ROUND(F1010*G1010/B1010,0)*B1010)),IF(D1010="BUY",E1010-(ROUND(F1010*G1010/B1010,0)*B1010),E1010+(ROUND(F1010*G1010/B1010,0)*B1010)))</f>
        <v>#DIV/0!</v>
      </c>
      <c r="H1011" s="29" t="e">
        <f>IF(C1010=1,IF(D1010="BUY",G1011-(ROUND(F1010*H1010/B1010,0)*B1010),G1011+(ROUND(F1010*H1010/B1010,0)*B1010)),IF(D1010="BUY",G1011+(ROUND(F1010*H1010/B1010,0)*B1010),G1011-(ROUND(F1010*H1010/B1010,0)*B1010)))</f>
        <v>#DIV/0!</v>
      </c>
      <c r="I1011" s="29" t="e">
        <f>IF(D1010="BUY",G1011+(ROUND(F1010*I1010/(B1010*100),0)*B1010),G1011-(ROUND(F1010*I1010/(B1010*100),0)*B1010))</f>
        <v>#DIV/0!</v>
      </c>
      <c r="J1011" s="29" t="e">
        <f>IF(C1010=1,IF(D1010="BUY",E1010+(ROUND(F1010*J1010/B1010,0)*B1010),E1010-(ROUND(F1010*J1010/B1010,0)*B1010)),IF(D1010="BUY",E1010-(ROUND(F1010*J1010/B1010,0)*B1010),E1010+(ROUND(F1010*J1010/B1010,0)*B1010)))</f>
        <v>#DIV/0!</v>
      </c>
      <c r="K1011" s="29" t="e">
        <f>IF(C1010=1,IF(D1010="BUY",E1010-(ROUND(F1010*K1010/B1010,0)*B1010),E1010+(ROUND(F1010*K1010/B1010,0)*B1010)),IF(D1010="BUY",E1010-(ROUND(F1010*K1010/B1010,0)*B1010),E1010+(ROUND(F1010*K1010/B1010,0)*B1010)))</f>
        <v>#DIV/0!</v>
      </c>
      <c r="L1011" s="29" t="e">
        <f t="shared" ref="L1011" si="1511">IF(D1011="BUY",I1011+(R1011*B1011),I1011-(R1011*B1011))</f>
        <v>#DIV/0!</v>
      </c>
      <c r="M1011" s="29" t="e">
        <f>IF(D1010="BUY",E1010+(ROUND(F1010*M1010/B1010,0)*B1010),E1010-(ROUND(F1010*M1010/B1010,0)*B1010))</f>
        <v>#DIV/0!</v>
      </c>
      <c r="N1011" s="29" t="e">
        <f>IF(D1010="BUY",E1010-(ROUND(F1010*N1010/B1010,0)*B1010),E1010+(ROUND(F1010*N1010/B1010,0)*B1010))</f>
        <v>#DIV/0!</v>
      </c>
      <c r="O1011" s="31" t="e">
        <f>IF(D1011="BUY",N1011-VLOOKUP(A1011,Symbols!A$1:D$1000,4,FALSE),N1011+VLOOKUP(A1011,Symbols!A$1:D$1000,4,FALSE))</f>
        <v>#DIV/0!</v>
      </c>
      <c r="P1011" s="29">
        <f>P1010</f>
        <v>0</v>
      </c>
      <c r="Q1011" s="29">
        <f>Q1010</f>
        <v>0</v>
      </c>
      <c r="R1011" s="29">
        <f>R1010</f>
        <v>0</v>
      </c>
      <c r="S1011" s="29">
        <f>S1010</f>
        <v>0</v>
      </c>
      <c r="T1011" s="29">
        <f>T1010</f>
        <v>0</v>
      </c>
      <c r="U1011" s="29" t="e">
        <f>DATEDIF(DATE(1970,1,1),U1010,"D")*86400</f>
        <v>#NUM!</v>
      </c>
      <c r="V1011" s="29">
        <f>HOUR(V1010)*3600+MINUTE(V1010)*60+SECOND(V1010)</f>
        <v>0</v>
      </c>
      <c r="W1011" s="29" t="e">
        <f>DATEDIF(DATE(1970,1,1),W1010,"D")*86400</f>
        <v>#NUM!</v>
      </c>
      <c r="X1011" s="29">
        <f>HOUR(X1010)*3600+MINUTE(X1010)*60+SECOND(X1010)</f>
        <v>0</v>
      </c>
      <c r="Y1011" s="31">
        <f>(Y1010*B1011)</f>
        <v>0</v>
      </c>
      <c r="Z1011" s="29">
        <f>Z1010</f>
        <v>0</v>
      </c>
      <c r="AA1011" s="29" t="e">
        <f>DATEDIF(DATE(1970,1,1),AA1010,"D")*86400</f>
        <v>#NUM!</v>
      </c>
      <c r="AB1011" s="29">
        <f>HOUR(AB1010)*3600+MINUTE(AB1010)*60+SECOND(AB1010)</f>
        <v>0</v>
      </c>
      <c r="AC1011" s="29">
        <f>AC1010</f>
        <v>0</v>
      </c>
    </row>
    <row r="1012" spans="1:29">
      <c r="A1012" s="23">
        <f>Parameters!A507</f>
        <v>0</v>
      </c>
      <c r="B1012" s="23">
        <f>Parameters!B507</f>
        <v>0</v>
      </c>
      <c r="C1012" s="24">
        <f>Parameters!C507</f>
        <v>0</v>
      </c>
      <c r="D1012" s="24">
        <f>Parameters!D507</f>
        <v>0</v>
      </c>
      <c r="E1012" s="23">
        <f>Parameters!E507</f>
        <v>0</v>
      </c>
      <c r="F1012" s="23">
        <f>Parameters!F507</f>
        <v>0</v>
      </c>
      <c r="G1012" s="25">
        <f>Parameters!G507</f>
        <v>0</v>
      </c>
      <c r="H1012" s="25">
        <f>Parameters!H507</f>
        <v>0</v>
      </c>
      <c r="I1012" s="25">
        <f>Parameters!I507</f>
        <v>0</v>
      </c>
      <c r="J1012" s="25">
        <f>Parameters!J507</f>
        <v>0</v>
      </c>
      <c r="K1012" s="25">
        <f>Parameters!K507</f>
        <v>0</v>
      </c>
      <c r="L1012" s="26" t="e">
        <f t="shared" ref="L1012" si="1512">L1013</f>
        <v>#DIV/0!</v>
      </c>
      <c r="M1012" s="25">
        <f>Parameters!L507</f>
        <v>0</v>
      </c>
      <c r="N1012" s="25">
        <f>Parameters!M507</f>
        <v>0</v>
      </c>
      <c r="O1012" s="26" t="e">
        <f t="shared" ref="O1012" si="1513">O1013</f>
        <v>#DIV/0!</v>
      </c>
      <c r="P1012" s="23">
        <f>Parameters!N507</f>
        <v>0</v>
      </c>
      <c r="Q1012" s="23">
        <f>Parameters!O507</f>
        <v>0</v>
      </c>
      <c r="R1012" s="23">
        <f>Parameters!P507</f>
        <v>0</v>
      </c>
      <c r="S1012" s="23">
        <f>Parameters!Q507</f>
        <v>0</v>
      </c>
      <c r="T1012" s="23">
        <f>Parameters!R507</f>
        <v>0</v>
      </c>
      <c r="U1012" s="27">
        <f>Parameters!S507</f>
        <v>0</v>
      </c>
      <c r="V1012" s="28">
        <f>Parameters!T507</f>
        <v>0</v>
      </c>
      <c r="W1012" s="27">
        <f>Parameters!U507</f>
        <v>0</v>
      </c>
      <c r="X1012" s="28">
        <f>Parameters!V507</f>
        <v>0</v>
      </c>
      <c r="Y1012" s="25">
        <f>Parameters!W507</f>
        <v>0</v>
      </c>
      <c r="Z1012" s="23">
        <f>Parameters!X507</f>
        <v>0</v>
      </c>
      <c r="AA1012" s="27">
        <f>Parameters!Y507</f>
        <v>0</v>
      </c>
      <c r="AB1012" s="28">
        <f>Parameters!Z507</f>
        <v>0</v>
      </c>
      <c r="AC1012" s="23">
        <f>Parameters!AA507</f>
        <v>0</v>
      </c>
    </row>
    <row r="1013" spans="1:29">
      <c r="A1013" s="29" t="str">
        <f>UPPER(A1012)</f>
        <v>0</v>
      </c>
      <c r="B1013" s="29">
        <f>B1012</f>
        <v>0</v>
      </c>
      <c r="C1013" s="30">
        <f>C1012</f>
        <v>0</v>
      </c>
      <c r="D1013" s="30">
        <f>D1012</f>
        <v>0</v>
      </c>
      <c r="E1013" s="29">
        <f>E1012</f>
        <v>0</v>
      </c>
      <c r="F1013" s="29">
        <f>F1012</f>
        <v>0</v>
      </c>
      <c r="G1013" s="29" t="e">
        <f>IF(C1012=1,IF(D1012="BUY",E1012+(ROUND(F1012*G1012/B1012,0)*B1012),E1012-(ROUND(F1012*G1012/B1012,0)*B1012)),IF(D1012="BUY",E1012-(ROUND(F1012*G1012/B1012,0)*B1012),E1012+(ROUND(F1012*G1012/B1012,0)*B1012)))</f>
        <v>#DIV/0!</v>
      </c>
      <c r="H1013" s="29" t="e">
        <f>IF(C1012=1,IF(D1012="BUY",G1013-(ROUND(F1012*H1012/B1012,0)*B1012),G1013+(ROUND(F1012*H1012/B1012,0)*B1012)),IF(D1012="BUY",G1013+(ROUND(F1012*H1012/B1012,0)*B1012),G1013-(ROUND(F1012*H1012/B1012,0)*B1012)))</f>
        <v>#DIV/0!</v>
      </c>
      <c r="I1013" s="29" t="e">
        <f>IF(D1012="BUY",G1013+(ROUND(F1012*I1012/(B1012*100),0)*B1012),G1013-(ROUND(F1012*I1012/(B1012*100),0)*B1012))</f>
        <v>#DIV/0!</v>
      </c>
      <c r="J1013" s="29" t="e">
        <f>IF(C1012=1,IF(D1012="BUY",E1012+(ROUND(F1012*J1012/B1012,0)*B1012),E1012-(ROUND(F1012*J1012/B1012,0)*B1012)),IF(D1012="BUY",E1012-(ROUND(F1012*J1012/B1012,0)*B1012),E1012+(ROUND(F1012*J1012/B1012,0)*B1012)))</f>
        <v>#DIV/0!</v>
      </c>
      <c r="K1013" s="29" t="e">
        <f>IF(C1012=1,IF(D1012="BUY",E1012-(ROUND(F1012*K1012/B1012,0)*B1012),E1012+(ROUND(F1012*K1012/B1012,0)*B1012)),IF(D1012="BUY",E1012-(ROUND(F1012*K1012/B1012,0)*B1012),E1012+(ROUND(F1012*K1012/B1012,0)*B1012)))</f>
        <v>#DIV/0!</v>
      </c>
      <c r="L1013" s="29" t="e">
        <f t="shared" ref="L1013" si="1514">IF(D1013="BUY",I1013+(R1013*B1013),I1013-(R1013*B1013))</f>
        <v>#DIV/0!</v>
      </c>
      <c r="M1013" s="29" t="e">
        <f>IF(D1012="BUY",E1012+(ROUND(F1012*M1012/B1012,0)*B1012),E1012-(ROUND(F1012*M1012/B1012,0)*B1012))</f>
        <v>#DIV/0!</v>
      </c>
      <c r="N1013" s="29" t="e">
        <f>IF(D1012="BUY",E1012-(ROUND(F1012*N1012/B1012,0)*B1012),E1012+(ROUND(F1012*N1012/B1012,0)*B1012))</f>
        <v>#DIV/0!</v>
      </c>
      <c r="O1013" s="31" t="e">
        <f>IF(D1013="BUY",N1013-VLOOKUP(A1013,Symbols!A$1:D$1000,4,FALSE),N1013+VLOOKUP(A1013,Symbols!A$1:D$1000,4,FALSE))</f>
        <v>#DIV/0!</v>
      </c>
      <c r="P1013" s="29">
        <f>P1012</f>
        <v>0</v>
      </c>
      <c r="Q1013" s="29">
        <f>Q1012</f>
        <v>0</v>
      </c>
      <c r="R1013" s="29">
        <f>R1012</f>
        <v>0</v>
      </c>
      <c r="S1013" s="29">
        <f>S1012</f>
        <v>0</v>
      </c>
      <c r="T1013" s="29">
        <f>T1012</f>
        <v>0</v>
      </c>
      <c r="U1013" s="29" t="e">
        <f>DATEDIF(DATE(1970,1,1),U1012,"D")*86400</f>
        <v>#NUM!</v>
      </c>
      <c r="V1013" s="29">
        <f>HOUR(V1012)*3600+MINUTE(V1012)*60+SECOND(V1012)</f>
        <v>0</v>
      </c>
      <c r="W1013" s="29" t="e">
        <f>DATEDIF(DATE(1970,1,1),W1012,"D")*86400</f>
        <v>#NUM!</v>
      </c>
      <c r="X1013" s="29">
        <f>HOUR(X1012)*3600+MINUTE(X1012)*60+SECOND(X1012)</f>
        <v>0</v>
      </c>
      <c r="Y1013" s="31">
        <f>(Y1012*B1013)</f>
        <v>0</v>
      </c>
      <c r="Z1013" s="29">
        <f>Z1012</f>
        <v>0</v>
      </c>
      <c r="AA1013" s="29" t="e">
        <f>DATEDIF(DATE(1970,1,1),AA1012,"D")*86400</f>
        <v>#NUM!</v>
      </c>
      <c r="AB1013" s="29">
        <f>HOUR(AB1012)*3600+MINUTE(AB1012)*60+SECOND(AB1012)</f>
        <v>0</v>
      </c>
      <c r="AC1013" s="29">
        <f>AC1012</f>
        <v>0</v>
      </c>
    </row>
    <row r="1014" spans="1:29">
      <c r="A1014" s="23">
        <f>Parameters!A508</f>
        <v>0</v>
      </c>
      <c r="B1014" s="23">
        <f>Parameters!B508</f>
        <v>0</v>
      </c>
      <c r="C1014" s="24">
        <f>Parameters!C508</f>
        <v>0</v>
      </c>
      <c r="D1014" s="24">
        <f>Parameters!D508</f>
        <v>0</v>
      </c>
      <c r="E1014" s="23">
        <f>Parameters!E508</f>
        <v>0</v>
      </c>
      <c r="F1014" s="23">
        <f>Parameters!F508</f>
        <v>0</v>
      </c>
      <c r="G1014" s="25">
        <f>Parameters!G508</f>
        <v>0</v>
      </c>
      <c r="H1014" s="25">
        <f>Parameters!H508</f>
        <v>0</v>
      </c>
      <c r="I1014" s="25">
        <f>Parameters!I508</f>
        <v>0</v>
      </c>
      <c r="J1014" s="25">
        <f>Parameters!J508</f>
        <v>0</v>
      </c>
      <c r="K1014" s="25">
        <f>Parameters!K508</f>
        <v>0</v>
      </c>
      <c r="L1014" s="26" t="e">
        <f t="shared" ref="L1014" si="1515">L1015</f>
        <v>#DIV/0!</v>
      </c>
      <c r="M1014" s="25">
        <f>Parameters!L508</f>
        <v>0</v>
      </c>
      <c r="N1014" s="25">
        <f>Parameters!M508</f>
        <v>0</v>
      </c>
      <c r="O1014" s="26" t="e">
        <f t="shared" ref="O1014" si="1516">O1015</f>
        <v>#DIV/0!</v>
      </c>
      <c r="P1014" s="23">
        <f>Parameters!N508</f>
        <v>0</v>
      </c>
      <c r="Q1014" s="23">
        <f>Parameters!O508</f>
        <v>0</v>
      </c>
      <c r="R1014" s="23">
        <f>Parameters!P508</f>
        <v>0</v>
      </c>
      <c r="S1014" s="23">
        <f>Parameters!Q508</f>
        <v>0</v>
      </c>
      <c r="T1014" s="23">
        <f>Parameters!R508</f>
        <v>0</v>
      </c>
      <c r="U1014" s="27">
        <f>Parameters!S508</f>
        <v>0</v>
      </c>
      <c r="V1014" s="28">
        <f>Parameters!T508</f>
        <v>0</v>
      </c>
      <c r="W1014" s="27">
        <f>Parameters!U508</f>
        <v>0</v>
      </c>
      <c r="X1014" s="28">
        <f>Parameters!V508</f>
        <v>0</v>
      </c>
      <c r="Y1014" s="25">
        <f>Parameters!W508</f>
        <v>0</v>
      </c>
      <c r="Z1014" s="23">
        <f>Parameters!X508</f>
        <v>0</v>
      </c>
      <c r="AA1014" s="27">
        <f>Parameters!Y508</f>
        <v>0</v>
      </c>
      <c r="AB1014" s="28">
        <f>Parameters!Z508</f>
        <v>0</v>
      </c>
      <c r="AC1014" s="23">
        <f>Parameters!AA508</f>
        <v>0</v>
      </c>
    </row>
    <row r="1015" spans="1:29">
      <c r="A1015" s="29" t="str">
        <f>UPPER(A1014)</f>
        <v>0</v>
      </c>
      <c r="B1015" s="29">
        <f>B1014</f>
        <v>0</v>
      </c>
      <c r="C1015" s="30">
        <f>C1014</f>
        <v>0</v>
      </c>
      <c r="D1015" s="30">
        <f>D1014</f>
        <v>0</v>
      </c>
      <c r="E1015" s="29">
        <f>E1014</f>
        <v>0</v>
      </c>
      <c r="F1015" s="29">
        <f>F1014</f>
        <v>0</v>
      </c>
      <c r="G1015" s="29" t="e">
        <f>IF(C1014=1,IF(D1014="BUY",E1014+(ROUND(F1014*G1014/B1014,0)*B1014),E1014-(ROUND(F1014*G1014/B1014,0)*B1014)),IF(D1014="BUY",E1014-(ROUND(F1014*G1014/B1014,0)*B1014),E1014+(ROUND(F1014*G1014/B1014,0)*B1014)))</f>
        <v>#DIV/0!</v>
      </c>
      <c r="H1015" s="29" t="e">
        <f>IF(C1014=1,IF(D1014="BUY",G1015-(ROUND(F1014*H1014/B1014,0)*B1014),G1015+(ROUND(F1014*H1014/B1014,0)*B1014)),IF(D1014="BUY",G1015+(ROUND(F1014*H1014/B1014,0)*B1014),G1015-(ROUND(F1014*H1014/B1014,0)*B1014)))</f>
        <v>#DIV/0!</v>
      </c>
      <c r="I1015" s="29" t="e">
        <f>IF(D1014="BUY",G1015+(ROUND(F1014*I1014/(B1014*100),0)*B1014),G1015-(ROUND(F1014*I1014/(B1014*100),0)*B1014))</f>
        <v>#DIV/0!</v>
      </c>
      <c r="J1015" s="29" t="e">
        <f>IF(C1014=1,IF(D1014="BUY",E1014+(ROUND(F1014*J1014/B1014,0)*B1014),E1014-(ROUND(F1014*J1014/B1014,0)*B1014)),IF(D1014="BUY",E1014-(ROUND(F1014*J1014/B1014,0)*B1014),E1014+(ROUND(F1014*J1014/B1014,0)*B1014)))</f>
        <v>#DIV/0!</v>
      </c>
      <c r="K1015" s="29" t="e">
        <f>IF(C1014=1,IF(D1014="BUY",E1014-(ROUND(F1014*K1014/B1014,0)*B1014),E1014+(ROUND(F1014*K1014/B1014,0)*B1014)),IF(D1014="BUY",E1014-(ROUND(F1014*K1014/B1014,0)*B1014),E1014+(ROUND(F1014*K1014/B1014,0)*B1014)))</f>
        <v>#DIV/0!</v>
      </c>
      <c r="L1015" s="29" t="e">
        <f t="shared" ref="L1015" si="1517">IF(D1015="BUY",I1015+(R1015*B1015),I1015-(R1015*B1015))</f>
        <v>#DIV/0!</v>
      </c>
      <c r="M1015" s="29" t="e">
        <f>IF(D1014="BUY",E1014+(ROUND(F1014*M1014/B1014,0)*B1014),E1014-(ROUND(F1014*M1014/B1014,0)*B1014))</f>
        <v>#DIV/0!</v>
      </c>
      <c r="N1015" s="29" t="e">
        <f>IF(D1014="BUY",E1014-(ROUND(F1014*N1014/B1014,0)*B1014),E1014+(ROUND(F1014*N1014/B1014,0)*B1014))</f>
        <v>#DIV/0!</v>
      </c>
      <c r="O1015" s="31" t="e">
        <f>IF(D1015="BUY",N1015-VLOOKUP(A1015,Symbols!A$1:D$1000,4,FALSE),N1015+VLOOKUP(A1015,Symbols!A$1:D$1000,4,FALSE))</f>
        <v>#DIV/0!</v>
      </c>
      <c r="P1015" s="29">
        <f>P1014</f>
        <v>0</v>
      </c>
      <c r="Q1015" s="29">
        <f>Q1014</f>
        <v>0</v>
      </c>
      <c r="R1015" s="29">
        <f>R1014</f>
        <v>0</v>
      </c>
      <c r="S1015" s="29">
        <f>S1014</f>
        <v>0</v>
      </c>
      <c r="T1015" s="29">
        <f>T1014</f>
        <v>0</v>
      </c>
      <c r="U1015" s="29" t="e">
        <f>DATEDIF(DATE(1970,1,1),U1014,"D")*86400</f>
        <v>#NUM!</v>
      </c>
      <c r="V1015" s="29">
        <f>HOUR(V1014)*3600+MINUTE(V1014)*60+SECOND(V1014)</f>
        <v>0</v>
      </c>
      <c r="W1015" s="29" t="e">
        <f>DATEDIF(DATE(1970,1,1),W1014,"D")*86400</f>
        <v>#NUM!</v>
      </c>
      <c r="X1015" s="29">
        <f>HOUR(X1014)*3600+MINUTE(X1014)*60+SECOND(X1014)</f>
        <v>0</v>
      </c>
      <c r="Y1015" s="31">
        <f>(Y1014*B1015)</f>
        <v>0</v>
      </c>
      <c r="Z1015" s="29">
        <f>Z1014</f>
        <v>0</v>
      </c>
      <c r="AA1015" s="29" t="e">
        <f>DATEDIF(DATE(1970,1,1),AA1014,"D")*86400</f>
        <v>#NUM!</v>
      </c>
      <c r="AB1015" s="29">
        <f>HOUR(AB1014)*3600+MINUTE(AB1014)*60+SECOND(AB1014)</f>
        <v>0</v>
      </c>
      <c r="AC1015" s="29">
        <f>AC1014</f>
        <v>0</v>
      </c>
    </row>
    <row r="1016" spans="1:29">
      <c r="A1016" s="23">
        <f>Parameters!A509</f>
        <v>0</v>
      </c>
      <c r="B1016" s="23">
        <f>Parameters!B509</f>
        <v>0</v>
      </c>
      <c r="C1016" s="24">
        <f>Parameters!C509</f>
        <v>0</v>
      </c>
      <c r="D1016" s="24">
        <f>Parameters!D509</f>
        <v>0</v>
      </c>
      <c r="E1016" s="23">
        <f>Parameters!E509</f>
        <v>0</v>
      </c>
      <c r="F1016" s="23">
        <f>Parameters!F509</f>
        <v>0</v>
      </c>
      <c r="G1016" s="25">
        <f>Parameters!G509</f>
        <v>0</v>
      </c>
      <c r="H1016" s="25">
        <f>Parameters!H509</f>
        <v>0</v>
      </c>
      <c r="I1016" s="25">
        <f>Parameters!I509</f>
        <v>0</v>
      </c>
      <c r="J1016" s="25">
        <f>Parameters!J509</f>
        <v>0</v>
      </c>
      <c r="K1016" s="25">
        <f>Parameters!K509</f>
        <v>0</v>
      </c>
      <c r="L1016" s="26" t="e">
        <f t="shared" ref="L1016" si="1518">L1017</f>
        <v>#DIV/0!</v>
      </c>
      <c r="M1016" s="25">
        <f>Parameters!L509</f>
        <v>0</v>
      </c>
      <c r="N1016" s="25">
        <f>Parameters!M509</f>
        <v>0</v>
      </c>
      <c r="O1016" s="26" t="e">
        <f t="shared" ref="O1016" si="1519">O1017</f>
        <v>#DIV/0!</v>
      </c>
      <c r="P1016" s="23">
        <f>Parameters!N509</f>
        <v>0</v>
      </c>
      <c r="Q1016" s="23">
        <f>Parameters!O509</f>
        <v>0</v>
      </c>
      <c r="R1016" s="23">
        <f>Parameters!P509</f>
        <v>0</v>
      </c>
      <c r="S1016" s="23">
        <f>Parameters!Q509</f>
        <v>0</v>
      </c>
      <c r="T1016" s="23">
        <f>Parameters!R509</f>
        <v>0</v>
      </c>
      <c r="U1016" s="27">
        <f>Parameters!S509</f>
        <v>0</v>
      </c>
      <c r="V1016" s="28">
        <f>Parameters!T509</f>
        <v>0</v>
      </c>
      <c r="W1016" s="27">
        <f>Parameters!U509</f>
        <v>0</v>
      </c>
      <c r="X1016" s="28">
        <f>Parameters!V509</f>
        <v>0</v>
      </c>
      <c r="Y1016" s="25">
        <f>Parameters!W509</f>
        <v>0</v>
      </c>
      <c r="Z1016" s="23">
        <f>Parameters!X509</f>
        <v>0</v>
      </c>
      <c r="AA1016" s="27">
        <f>Parameters!Y509</f>
        <v>0</v>
      </c>
      <c r="AB1016" s="28">
        <f>Parameters!Z509</f>
        <v>0</v>
      </c>
      <c r="AC1016" s="23">
        <f>Parameters!AA509</f>
        <v>0</v>
      </c>
    </row>
    <row r="1017" spans="1:29">
      <c r="A1017" s="29" t="str">
        <f>UPPER(A1016)</f>
        <v>0</v>
      </c>
      <c r="B1017" s="29">
        <f>B1016</f>
        <v>0</v>
      </c>
      <c r="C1017" s="30">
        <f>C1016</f>
        <v>0</v>
      </c>
      <c r="D1017" s="30">
        <f>D1016</f>
        <v>0</v>
      </c>
      <c r="E1017" s="29">
        <f>E1016</f>
        <v>0</v>
      </c>
      <c r="F1017" s="29">
        <f>F1016</f>
        <v>0</v>
      </c>
      <c r="G1017" s="29" t="e">
        <f>IF(C1016=1,IF(D1016="BUY",E1016+(ROUND(F1016*G1016/B1016,0)*B1016),E1016-(ROUND(F1016*G1016/B1016,0)*B1016)),IF(D1016="BUY",E1016-(ROUND(F1016*G1016/B1016,0)*B1016),E1016+(ROUND(F1016*G1016/B1016,0)*B1016)))</f>
        <v>#DIV/0!</v>
      </c>
      <c r="H1017" s="29" t="e">
        <f>IF(C1016=1,IF(D1016="BUY",G1017-(ROUND(F1016*H1016/B1016,0)*B1016),G1017+(ROUND(F1016*H1016/B1016,0)*B1016)),IF(D1016="BUY",G1017+(ROUND(F1016*H1016/B1016,0)*B1016),G1017-(ROUND(F1016*H1016/B1016,0)*B1016)))</f>
        <v>#DIV/0!</v>
      </c>
      <c r="I1017" s="29" t="e">
        <f>IF(D1016="BUY",G1017+(ROUND(F1016*I1016/(B1016*100),0)*B1016),G1017-(ROUND(F1016*I1016/(B1016*100),0)*B1016))</f>
        <v>#DIV/0!</v>
      </c>
      <c r="J1017" s="29" t="e">
        <f>IF(C1016=1,IF(D1016="BUY",E1016+(ROUND(F1016*J1016/B1016,0)*B1016),E1016-(ROUND(F1016*J1016/B1016,0)*B1016)),IF(D1016="BUY",E1016-(ROUND(F1016*J1016/B1016,0)*B1016),E1016+(ROUND(F1016*J1016/B1016,0)*B1016)))</f>
        <v>#DIV/0!</v>
      </c>
      <c r="K1017" s="29" t="e">
        <f>IF(C1016=1,IF(D1016="BUY",E1016-(ROUND(F1016*K1016/B1016,0)*B1016),E1016+(ROUND(F1016*K1016/B1016,0)*B1016)),IF(D1016="BUY",E1016-(ROUND(F1016*K1016/B1016,0)*B1016),E1016+(ROUND(F1016*K1016/B1016,0)*B1016)))</f>
        <v>#DIV/0!</v>
      </c>
      <c r="L1017" s="29" t="e">
        <f t="shared" ref="L1017" si="1520">IF(D1017="BUY",I1017+(R1017*B1017),I1017-(R1017*B1017))</f>
        <v>#DIV/0!</v>
      </c>
      <c r="M1017" s="29" t="e">
        <f>IF(D1016="BUY",E1016+(ROUND(F1016*M1016/B1016,0)*B1016),E1016-(ROUND(F1016*M1016/B1016,0)*B1016))</f>
        <v>#DIV/0!</v>
      </c>
      <c r="N1017" s="29" t="e">
        <f>IF(D1016="BUY",E1016-(ROUND(F1016*N1016/B1016,0)*B1016),E1016+(ROUND(F1016*N1016/B1016,0)*B1016))</f>
        <v>#DIV/0!</v>
      </c>
      <c r="O1017" s="31" t="e">
        <f>IF(D1017="BUY",N1017-VLOOKUP(A1017,Symbols!A$1:D$1000,4,FALSE),N1017+VLOOKUP(A1017,Symbols!A$1:D$1000,4,FALSE))</f>
        <v>#DIV/0!</v>
      </c>
      <c r="P1017" s="29">
        <f>P1016</f>
        <v>0</v>
      </c>
      <c r="Q1017" s="29">
        <f>Q1016</f>
        <v>0</v>
      </c>
      <c r="R1017" s="29">
        <f>R1016</f>
        <v>0</v>
      </c>
      <c r="S1017" s="29">
        <f>S1016</f>
        <v>0</v>
      </c>
      <c r="T1017" s="29">
        <f>T1016</f>
        <v>0</v>
      </c>
      <c r="U1017" s="29" t="e">
        <f>DATEDIF(DATE(1970,1,1),U1016,"D")*86400</f>
        <v>#NUM!</v>
      </c>
      <c r="V1017" s="29">
        <f>HOUR(V1016)*3600+MINUTE(V1016)*60+SECOND(V1016)</f>
        <v>0</v>
      </c>
      <c r="W1017" s="29" t="e">
        <f>DATEDIF(DATE(1970,1,1),W1016,"D")*86400</f>
        <v>#NUM!</v>
      </c>
      <c r="X1017" s="29">
        <f>HOUR(X1016)*3600+MINUTE(X1016)*60+SECOND(X1016)</f>
        <v>0</v>
      </c>
      <c r="Y1017" s="31">
        <f>(Y1016*B1017)</f>
        <v>0</v>
      </c>
      <c r="Z1017" s="29">
        <f>Z1016</f>
        <v>0</v>
      </c>
      <c r="AA1017" s="29" t="e">
        <f>DATEDIF(DATE(1970,1,1),AA1016,"D")*86400</f>
        <v>#NUM!</v>
      </c>
      <c r="AB1017" s="29">
        <f>HOUR(AB1016)*3600+MINUTE(AB1016)*60+SECOND(AB1016)</f>
        <v>0</v>
      </c>
      <c r="AC1017" s="29">
        <f>AC1016</f>
        <v>0</v>
      </c>
    </row>
    <row r="1018" spans="1:29">
      <c r="A1018" s="23">
        <f>Parameters!A510</f>
        <v>0</v>
      </c>
      <c r="B1018" s="23">
        <f>Parameters!B510</f>
        <v>0</v>
      </c>
      <c r="C1018" s="24">
        <f>Parameters!C510</f>
        <v>0</v>
      </c>
      <c r="D1018" s="24">
        <f>Parameters!D510</f>
        <v>0</v>
      </c>
      <c r="E1018" s="23">
        <f>Parameters!E510</f>
        <v>0</v>
      </c>
      <c r="F1018" s="23">
        <f>Parameters!F510</f>
        <v>0</v>
      </c>
      <c r="G1018" s="25">
        <f>Parameters!G510</f>
        <v>0</v>
      </c>
      <c r="H1018" s="25">
        <f>Parameters!H510</f>
        <v>0</v>
      </c>
      <c r="I1018" s="25">
        <f>Parameters!I510</f>
        <v>0</v>
      </c>
      <c r="J1018" s="25">
        <f>Parameters!J510</f>
        <v>0</v>
      </c>
      <c r="K1018" s="25">
        <f>Parameters!K510</f>
        <v>0</v>
      </c>
      <c r="L1018" s="26" t="e">
        <f t="shared" ref="L1018" si="1521">L1019</f>
        <v>#DIV/0!</v>
      </c>
      <c r="M1018" s="25">
        <f>Parameters!L510</f>
        <v>0</v>
      </c>
      <c r="N1018" s="25">
        <f>Parameters!M510</f>
        <v>0</v>
      </c>
      <c r="O1018" s="26" t="e">
        <f t="shared" ref="O1018" si="1522">O1019</f>
        <v>#DIV/0!</v>
      </c>
      <c r="P1018" s="23">
        <f>Parameters!N510</f>
        <v>0</v>
      </c>
      <c r="Q1018" s="23">
        <f>Parameters!O510</f>
        <v>0</v>
      </c>
      <c r="R1018" s="23">
        <f>Parameters!P510</f>
        <v>0</v>
      </c>
      <c r="S1018" s="23">
        <f>Parameters!Q510</f>
        <v>0</v>
      </c>
      <c r="T1018" s="23">
        <f>Parameters!R510</f>
        <v>0</v>
      </c>
      <c r="U1018" s="27">
        <f>Parameters!S510</f>
        <v>0</v>
      </c>
      <c r="V1018" s="28">
        <f>Parameters!T510</f>
        <v>0</v>
      </c>
      <c r="W1018" s="27">
        <f>Parameters!U510</f>
        <v>0</v>
      </c>
      <c r="X1018" s="28">
        <f>Parameters!V510</f>
        <v>0</v>
      </c>
      <c r="Y1018" s="25">
        <f>Parameters!W510</f>
        <v>0</v>
      </c>
      <c r="Z1018" s="23">
        <f>Parameters!X510</f>
        <v>0</v>
      </c>
      <c r="AA1018" s="27">
        <f>Parameters!Y510</f>
        <v>0</v>
      </c>
      <c r="AB1018" s="28">
        <f>Parameters!Z510</f>
        <v>0</v>
      </c>
      <c r="AC1018" s="23">
        <f>Parameters!AA510</f>
        <v>0</v>
      </c>
    </row>
    <row r="1019" spans="1:29">
      <c r="A1019" s="29" t="str">
        <f>UPPER(A1018)</f>
        <v>0</v>
      </c>
      <c r="B1019" s="29">
        <f>B1018</f>
        <v>0</v>
      </c>
      <c r="C1019" s="30">
        <f>C1018</f>
        <v>0</v>
      </c>
      <c r="D1019" s="30">
        <f>D1018</f>
        <v>0</v>
      </c>
      <c r="E1019" s="29">
        <f>E1018</f>
        <v>0</v>
      </c>
      <c r="F1019" s="29">
        <f>F1018</f>
        <v>0</v>
      </c>
      <c r="G1019" s="29" t="e">
        <f>IF(C1018=1,IF(D1018="BUY",E1018+(ROUND(F1018*G1018/B1018,0)*B1018),E1018-(ROUND(F1018*G1018/B1018,0)*B1018)),IF(D1018="BUY",E1018-(ROUND(F1018*G1018/B1018,0)*B1018),E1018+(ROUND(F1018*G1018/B1018,0)*B1018)))</f>
        <v>#DIV/0!</v>
      </c>
      <c r="H1019" s="29" t="e">
        <f>IF(C1018=1,IF(D1018="BUY",G1019-(ROUND(F1018*H1018/B1018,0)*B1018),G1019+(ROUND(F1018*H1018/B1018,0)*B1018)),IF(D1018="BUY",G1019+(ROUND(F1018*H1018/B1018,0)*B1018),G1019-(ROUND(F1018*H1018/B1018,0)*B1018)))</f>
        <v>#DIV/0!</v>
      </c>
      <c r="I1019" s="29" t="e">
        <f>IF(D1018="BUY",G1019+(ROUND(F1018*I1018/(B1018*100),0)*B1018),G1019-(ROUND(F1018*I1018/(B1018*100),0)*B1018))</f>
        <v>#DIV/0!</v>
      </c>
      <c r="J1019" s="29" t="e">
        <f>IF(C1018=1,IF(D1018="BUY",E1018+(ROUND(F1018*J1018/B1018,0)*B1018),E1018-(ROUND(F1018*J1018/B1018,0)*B1018)),IF(D1018="BUY",E1018-(ROUND(F1018*J1018/B1018,0)*B1018),E1018+(ROUND(F1018*J1018/B1018,0)*B1018)))</f>
        <v>#DIV/0!</v>
      </c>
      <c r="K1019" s="29" t="e">
        <f>IF(C1018=1,IF(D1018="BUY",E1018-(ROUND(F1018*K1018/B1018,0)*B1018),E1018+(ROUND(F1018*K1018/B1018,0)*B1018)),IF(D1018="BUY",E1018-(ROUND(F1018*K1018/B1018,0)*B1018),E1018+(ROUND(F1018*K1018/B1018,0)*B1018)))</f>
        <v>#DIV/0!</v>
      </c>
      <c r="L1019" s="29" t="e">
        <f t="shared" ref="L1019" si="1523">IF(D1019="BUY",I1019+(R1019*B1019),I1019-(R1019*B1019))</f>
        <v>#DIV/0!</v>
      </c>
      <c r="M1019" s="29" t="e">
        <f>IF(D1018="BUY",E1018+(ROUND(F1018*M1018/B1018,0)*B1018),E1018-(ROUND(F1018*M1018/B1018,0)*B1018))</f>
        <v>#DIV/0!</v>
      </c>
      <c r="N1019" s="29" t="e">
        <f>IF(D1018="BUY",E1018-(ROUND(F1018*N1018/B1018,0)*B1018),E1018+(ROUND(F1018*N1018/B1018,0)*B1018))</f>
        <v>#DIV/0!</v>
      </c>
      <c r="O1019" s="31" t="e">
        <f>IF(D1019="BUY",N1019-VLOOKUP(A1019,Symbols!A$1:D$1000,4,FALSE),N1019+VLOOKUP(A1019,Symbols!A$1:D$1000,4,FALSE))</f>
        <v>#DIV/0!</v>
      </c>
      <c r="P1019" s="29">
        <f>P1018</f>
        <v>0</v>
      </c>
      <c r="Q1019" s="29">
        <f>Q1018</f>
        <v>0</v>
      </c>
      <c r="R1019" s="29">
        <f>R1018</f>
        <v>0</v>
      </c>
      <c r="S1019" s="29">
        <f>S1018</f>
        <v>0</v>
      </c>
      <c r="T1019" s="29">
        <f>T1018</f>
        <v>0</v>
      </c>
      <c r="U1019" s="29" t="e">
        <f>DATEDIF(DATE(1970,1,1),U1018,"D")*86400</f>
        <v>#NUM!</v>
      </c>
      <c r="V1019" s="29">
        <f>HOUR(V1018)*3600+MINUTE(V1018)*60+SECOND(V1018)</f>
        <v>0</v>
      </c>
      <c r="W1019" s="29" t="e">
        <f>DATEDIF(DATE(1970,1,1),W1018,"D")*86400</f>
        <v>#NUM!</v>
      </c>
      <c r="X1019" s="29">
        <f>HOUR(X1018)*3600+MINUTE(X1018)*60+SECOND(X1018)</f>
        <v>0</v>
      </c>
      <c r="Y1019" s="31">
        <f>(Y1018*B1019)</f>
        <v>0</v>
      </c>
      <c r="Z1019" s="29">
        <f>Z1018</f>
        <v>0</v>
      </c>
      <c r="AA1019" s="29" t="e">
        <f>DATEDIF(DATE(1970,1,1),AA1018,"D")*86400</f>
        <v>#NUM!</v>
      </c>
      <c r="AB1019" s="29">
        <f>HOUR(AB1018)*3600+MINUTE(AB1018)*60+SECOND(AB1018)</f>
        <v>0</v>
      </c>
      <c r="AC1019" s="29">
        <f>AC1018</f>
        <v>0</v>
      </c>
    </row>
    <row r="1020" spans="1:29">
      <c r="A1020" s="23">
        <f>Parameters!A511</f>
        <v>0</v>
      </c>
      <c r="B1020" s="23">
        <f>Parameters!B511</f>
        <v>0</v>
      </c>
      <c r="C1020" s="24">
        <f>Parameters!C511</f>
        <v>0</v>
      </c>
      <c r="D1020" s="24">
        <f>Parameters!D511</f>
        <v>0</v>
      </c>
      <c r="E1020" s="23">
        <f>Parameters!E511</f>
        <v>0</v>
      </c>
      <c r="F1020" s="23">
        <f>Parameters!F511</f>
        <v>0</v>
      </c>
      <c r="G1020" s="25">
        <f>Parameters!G511</f>
        <v>0</v>
      </c>
      <c r="H1020" s="25">
        <f>Parameters!H511</f>
        <v>0</v>
      </c>
      <c r="I1020" s="25">
        <f>Parameters!I511</f>
        <v>0</v>
      </c>
      <c r="J1020" s="25">
        <f>Parameters!J511</f>
        <v>0</v>
      </c>
      <c r="K1020" s="25">
        <f>Parameters!K511</f>
        <v>0</v>
      </c>
      <c r="L1020" s="26" t="e">
        <f t="shared" ref="L1020" si="1524">L1021</f>
        <v>#DIV/0!</v>
      </c>
      <c r="M1020" s="25">
        <f>Parameters!L511</f>
        <v>0</v>
      </c>
      <c r="N1020" s="25">
        <f>Parameters!M511</f>
        <v>0</v>
      </c>
      <c r="O1020" s="26" t="e">
        <f t="shared" ref="O1020" si="1525">O1021</f>
        <v>#DIV/0!</v>
      </c>
      <c r="P1020" s="23">
        <f>Parameters!N511</f>
        <v>0</v>
      </c>
      <c r="Q1020" s="23">
        <f>Parameters!O511</f>
        <v>0</v>
      </c>
      <c r="R1020" s="23">
        <f>Parameters!P511</f>
        <v>0</v>
      </c>
      <c r="S1020" s="23">
        <f>Parameters!Q511</f>
        <v>0</v>
      </c>
      <c r="T1020" s="23">
        <f>Parameters!R511</f>
        <v>0</v>
      </c>
      <c r="U1020" s="27">
        <f>Parameters!S511</f>
        <v>0</v>
      </c>
      <c r="V1020" s="28">
        <f>Parameters!T511</f>
        <v>0</v>
      </c>
      <c r="W1020" s="27">
        <f>Parameters!U511</f>
        <v>0</v>
      </c>
      <c r="X1020" s="28">
        <f>Parameters!V511</f>
        <v>0</v>
      </c>
      <c r="Y1020" s="25">
        <f>Parameters!W511</f>
        <v>0</v>
      </c>
      <c r="Z1020" s="23">
        <f>Parameters!X511</f>
        <v>0</v>
      </c>
      <c r="AA1020" s="27">
        <f>Parameters!Y511</f>
        <v>0</v>
      </c>
      <c r="AB1020" s="28">
        <f>Parameters!Z511</f>
        <v>0</v>
      </c>
      <c r="AC1020" s="23">
        <f>Parameters!AA511</f>
        <v>0</v>
      </c>
    </row>
    <row r="1021" spans="1:29">
      <c r="A1021" s="29" t="str">
        <f>UPPER(A1020)</f>
        <v>0</v>
      </c>
      <c r="B1021" s="29">
        <f>B1020</f>
        <v>0</v>
      </c>
      <c r="C1021" s="30">
        <f>C1020</f>
        <v>0</v>
      </c>
      <c r="D1021" s="30">
        <f>D1020</f>
        <v>0</v>
      </c>
      <c r="E1021" s="29">
        <f>E1020</f>
        <v>0</v>
      </c>
      <c r="F1021" s="29">
        <f>F1020</f>
        <v>0</v>
      </c>
      <c r="G1021" s="29" t="e">
        <f>IF(C1020=1,IF(D1020="BUY",E1020+(ROUND(F1020*G1020/B1020,0)*B1020),E1020-(ROUND(F1020*G1020/B1020,0)*B1020)),IF(D1020="BUY",E1020-(ROUND(F1020*G1020/B1020,0)*B1020),E1020+(ROUND(F1020*G1020/B1020,0)*B1020)))</f>
        <v>#DIV/0!</v>
      </c>
      <c r="H1021" s="29" t="e">
        <f>IF(C1020=1,IF(D1020="BUY",G1021-(ROUND(F1020*H1020/B1020,0)*B1020),G1021+(ROUND(F1020*H1020/B1020,0)*B1020)),IF(D1020="BUY",G1021+(ROUND(F1020*H1020/B1020,0)*B1020),G1021-(ROUND(F1020*H1020/B1020,0)*B1020)))</f>
        <v>#DIV/0!</v>
      </c>
      <c r="I1021" s="29" t="e">
        <f>IF(D1020="BUY",G1021+(ROUND(F1020*I1020/(B1020*100),0)*B1020),G1021-(ROUND(F1020*I1020/(B1020*100),0)*B1020))</f>
        <v>#DIV/0!</v>
      </c>
      <c r="J1021" s="29" t="e">
        <f>IF(C1020=1,IF(D1020="BUY",E1020+(ROUND(F1020*J1020/B1020,0)*B1020),E1020-(ROUND(F1020*J1020/B1020,0)*B1020)),IF(D1020="BUY",E1020-(ROUND(F1020*J1020/B1020,0)*B1020),E1020+(ROUND(F1020*J1020/B1020,0)*B1020)))</f>
        <v>#DIV/0!</v>
      </c>
      <c r="K1021" s="29" t="e">
        <f>IF(C1020=1,IF(D1020="BUY",E1020-(ROUND(F1020*K1020/B1020,0)*B1020),E1020+(ROUND(F1020*K1020/B1020,0)*B1020)),IF(D1020="BUY",E1020-(ROUND(F1020*K1020/B1020,0)*B1020),E1020+(ROUND(F1020*K1020/B1020,0)*B1020)))</f>
        <v>#DIV/0!</v>
      </c>
      <c r="L1021" s="29" t="e">
        <f t="shared" ref="L1021" si="1526">IF(D1021="BUY",I1021+(R1021*B1021),I1021-(R1021*B1021))</f>
        <v>#DIV/0!</v>
      </c>
      <c r="M1021" s="29" t="e">
        <f>IF(D1020="BUY",E1020+(ROUND(F1020*M1020/B1020,0)*B1020),E1020-(ROUND(F1020*M1020/B1020,0)*B1020))</f>
        <v>#DIV/0!</v>
      </c>
      <c r="N1021" s="29" t="e">
        <f>IF(D1020="BUY",E1020-(ROUND(F1020*N1020/B1020,0)*B1020),E1020+(ROUND(F1020*N1020/B1020,0)*B1020))</f>
        <v>#DIV/0!</v>
      </c>
      <c r="O1021" s="31" t="e">
        <f>IF(D1021="BUY",N1021-VLOOKUP(A1021,Symbols!A$1:D$1000,4,FALSE),N1021+VLOOKUP(A1021,Symbols!A$1:D$1000,4,FALSE))</f>
        <v>#DIV/0!</v>
      </c>
      <c r="P1021" s="29">
        <f>P1020</f>
        <v>0</v>
      </c>
      <c r="Q1021" s="29">
        <f>Q1020</f>
        <v>0</v>
      </c>
      <c r="R1021" s="29">
        <f>R1020</f>
        <v>0</v>
      </c>
      <c r="S1021" s="29">
        <f>S1020</f>
        <v>0</v>
      </c>
      <c r="T1021" s="29">
        <f>T1020</f>
        <v>0</v>
      </c>
      <c r="U1021" s="29" t="e">
        <f>DATEDIF(DATE(1970,1,1),U1020,"D")*86400</f>
        <v>#NUM!</v>
      </c>
      <c r="V1021" s="29">
        <f>HOUR(V1020)*3600+MINUTE(V1020)*60+SECOND(V1020)</f>
        <v>0</v>
      </c>
      <c r="W1021" s="29" t="e">
        <f>DATEDIF(DATE(1970,1,1),W1020,"D")*86400</f>
        <v>#NUM!</v>
      </c>
      <c r="X1021" s="29">
        <f>HOUR(X1020)*3600+MINUTE(X1020)*60+SECOND(X1020)</f>
        <v>0</v>
      </c>
      <c r="Y1021" s="31">
        <f>(Y1020*B1021)</f>
        <v>0</v>
      </c>
      <c r="Z1021" s="29">
        <f>Z1020</f>
        <v>0</v>
      </c>
      <c r="AA1021" s="29" t="e">
        <f>DATEDIF(DATE(1970,1,1),AA1020,"D")*86400</f>
        <v>#NUM!</v>
      </c>
      <c r="AB1021" s="29">
        <f>HOUR(AB1020)*3600+MINUTE(AB1020)*60+SECOND(AB1020)</f>
        <v>0</v>
      </c>
      <c r="AC1021" s="29">
        <f>AC1020</f>
        <v>0</v>
      </c>
    </row>
    <row r="1022" spans="1:29">
      <c r="A1022" s="23">
        <f>Parameters!A512</f>
        <v>0</v>
      </c>
      <c r="B1022" s="23">
        <f>Parameters!B512</f>
        <v>0</v>
      </c>
      <c r="C1022" s="24">
        <f>Parameters!C512</f>
        <v>0</v>
      </c>
      <c r="D1022" s="24">
        <f>Parameters!D512</f>
        <v>0</v>
      </c>
      <c r="E1022" s="23">
        <f>Parameters!E512</f>
        <v>0</v>
      </c>
      <c r="F1022" s="23">
        <f>Parameters!F512</f>
        <v>0</v>
      </c>
      <c r="G1022" s="25">
        <f>Parameters!G512</f>
        <v>0</v>
      </c>
      <c r="H1022" s="25">
        <f>Parameters!H512</f>
        <v>0</v>
      </c>
      <c r="I1022" s="25">
        <f>Parameters!I512</f>
        <v>0</v>
      </c>
      <c r="J1022" s="25">
        <f>Parameters!J512</f>
        <v>0</v>
      </c>
      <c r="K1022" s="25">
        <f>Parameters!K512</f>
        <v>0</v>
      </c>
      <c r="L1022" s="26" t="e">
        <f t="shared" ref="L1022" si="1527">L1023</f>
        <v>#DIV/0!</v>
      </c>
      <c r="M1022" s="25">
        <f>Parameters!L512</f>
        <v>0</v>
      </c>
      <c r="N1022" s="25">
        <f>Parameters!M512</f>
        <v>0</v>
      </c>
      <c r="O1022" s="26" t="e">
        <f t="shared" ref="O1022" si="1528">O1023</f>
        <v>#DIV/0!</v>
      </c>
      <c r="P1022" s="23">
        <f>Parameters!N512</f>
        <v>0</v>
      </c>
      <c r="Q1022" s="23">
        <f>Parameters!O512</f>
        <v>0</v>
      </c>
      <c r="R1022" s="23">
        <f>Parameters!P512</f>
        <v>0</v>
      </c>
      <c r="S1022" s="23">
        <f>Parameters!Q512</f>
        <v>0</v>
      </c>
      <c r="T1022" s="23">
        <f>Parameters!R512</f>
        <v>0</v>
      </c>
      <c r="U1022" s="27">
        <f>Parameters!S512</f>
        <v>0</v>
      </c>
      <c r="V1022" s="28">
        <f>Parameters!T512</f>
        <v>0</v>
      </c>
      <c r="W1022" s="27">
        <f>Parameters!U512</f>
        <v>0</v>
      </c>
      <c r="X1022" s="28">
        <f>Parameters!V512</f>
        <v>0</v>
      </c>
      <c r="Y1022" s="25">
        <f>Parameters!W512</f>
        <v>0</v>
      </c>
      <c r="Z1022" s="23">
        <f>Parameters!X512</f>
        <v>0</v>
      </c>
      <c r="AA1022" s="27">
        <f>Parameters!Y512</f>
        <v>0</v>
      </c>
      <c r="AB1022" s="28">
        <f>Parameters!Z512</f>
        <v>0</v>
      </c>
      <c r="AC1022" s="23">
        <f>Parameters!AA512</f>
        <v>0</v>
      </c>
    </row>
    <row r="1023" spans="1:29">
      <c r="A1023" s="29" t="str">
        <f>UPPER(A1022)</f>
        <v>0</v>
      </c>
      <c r="B1023" s="29">
        <f>B1022</f>
        <v>0</v>
      </c>
      <c r="C1023" s="30">
        <f>C1022</f>
        <v>0</v>
      </c>
      <c r="D1023" s="30">
        <f>D1022</f>
        <v>0</v>
      </c>
      <c r="E1023" s="29">
        <f>E1022</f>
        <v>0</v>
      </c>
      <c r="F1023" s="29">
        <f>F1022</f>
        <v>0</v>
      </c>
      <c r="G1023" s="29" t="e">
        <f>IF(C1022=1,IF(D1022="BUY",E1022+(ROUND(F1022*G1022/B1022,0)*B1022),E1022-(ROUND(F1022*G1022/B1022,0)*B1022)),IF(D1022="BUY",E1022-(ROUND(F1022*G1022/B1022,0)*B1022),E1022+(ROUND(F1022*G1022/B1022,0)*B1022)))</f>
        <v>#DIV/0!</v>
      </c>
      <c r="H1023" s="29" t="e">
        <f>IF(C1022=1,IF(D1022="BUY",G1023-(ROUND(F1022*H1022/B1022,0)*B1022),G1023+(ROUND(F1022*H1022/B1022,0)*B1022)),IF(D1022="BUY",G1023+(ROUND(F1022*H1022/B1022,0)*B1022),G1023-(ROUND(F1022*H1022/B1022,0)*B1022)))</f>
        <v>#DIV/0!</v>
      </c>
      <c r="I1023" s="29" t="e">
        <f>IF(D1022="BUY",G1023+(ROUND(F1022*I1022/(B1022*100),0)*B1022),G1023-(ROUND(F1022*I1022/(B1022*100),0)*B1022))</f>
        <v>#DIV/0!</v>
      </c>
      <c r="J1023" s="29" t="e">
        <f>IF(C1022=1,IF(D1022="BUY",E1022+(ROUND(F1022*J1022/B1022,0)*B1022),E1022-(ROUND(F1022*J1022/B1022,0)*B1022)),IF(D1022="BUY",E1022-(ROUND(F1022*J1022/B1022,0)*B1022),E1022+(ROUND(F1022*J1022/B1022,0)*B1022)))</f>
        <v>#DIV/0!</v>
      </c>
      <c r="K1023" s="29" t="e">
        <f>IF(C1022=1,IF(D1022="BUY",E1022-(ROUND(F1022*K1022/B1022,0)*B1022),E1022+(ROUND(F1022*K1022/B1022,0)*B1022)),IF(D1022="BUY",E1022-(ROUND(F1022*K1022/B1022,0)*B1022),E1022+(ROUND(F1022*K1022/B1022,0)*B1022)))</f>
        <v>#DIV/0!</v>
      </c>
      <c r="L1023" s="29" t="e">
        <f t="shared" ref="L1023" si="1529">IF(D1023="BUY",I1023+(R1023*B1023),I1023-(R1023*B1023))</f>
        <v>#DIV/0!</v>
      </c>
      <c r="M1023" s="29" t="e">
        <f>IF(D1022="BUY",E1022+(ROUND(F1022*M1022/B1022,0)*B1022),E1022-(ROUND(F1022*M1022/B1022,0)*B1022))</f>
        <v>#DIV/0!</v>
      </c>
      <c r="N1023" s="29" t="e">
        <f>IF(D1022="BUY",E1022-(ROUND(F1022*N1022/B1022,0)*B1022),E1022+(ROUND(F1022*N1022/B1022,0)*B1022))</f>
        <v>#DIV/0!</v>
      </c>
      <c r="O1023" s="31" t="e">
        <f>IF(D1023="BUY",N1023-VLOOKUP(A1023,Symbols!A$1:D$1000,4,FALSE),N1023+VLOOKUP(A1023,Symbols!A$1:D$1000,4,FALSE))</f>
        <v>#DIV/0!</v>
      </c>
      <c r="P1023" s="29">
        <f>P1022</f>
        <v>0</v>
      </c>
      <c r="Q1023" s="29">
        <f>Q1022</f>
        <v>0</v>
      </c>
      <c r="R1023" s="29">
        <f>R1022</f>
        <v>0</v>
      </c>
      <c r="S1023" s="29">
        <f>S1022</f>
        <v>0</v>
      </c>
      <c r="T1023" s="29">
        <f>T1022</f>
        <v>0</v>
      </c>
      <c r="U1023" s="29" t="e">
        <f>DATEDIF(DATE(1970,1,1),U1022,"D")*86400</f>
        <v>#NUM!</v>
      </c>
      <c r="V1023" s="29">
        <f>HOUR(V1022)*3600+MINUTE(V1022)*60+SECOND(V1022)</f>
        <v>0</v>
      </c>
      <c r="W1023" s="29" t="e">
        <f>DATEDIF(DATE(1970,1,1),W1022,"D")*86400</f>
        <v>#NUM!</v>
      </c>
      <c r="X1023" s="29">
        <f>HOUR(X1022)*3600+MINUTE(X1022)*60+SECOND(X1022)</f>
        <v>0</v>
      </c>
      <c r="Y1023" s="31">
        <f>(Y1022*B1023)</f>
        <v>0</v>
      </c>
      <c r="Z1023" s="29">
        <f>Z1022</f>
        <v>0</v>
      </c>
      <c r="AA1023" s="29" t="e">
        <f>DATEDIF(DATE(1970,1,1),AA1022,"D")*86400</f>
        <v>#NUM!</v>
      </c>
      <c r="AB1023" s="29">
        <f>HOUR(AB1022)*3600+MINUTE(AB1022)*60+SECOND(AB1022)</f>
        <v>0</v>
      </c>
      <c r="AC1023" s="29">
        <f>AC1022</f>
        <v>0</v>
      </c>
    </row>
    <row r="1024" spans="1:29">
      <c r="A1024" s="23">
        <f>Parameters!A513</f>
        <v>0</v>
      </c>
      <c r="B1024" s="23">
        <f>Parameters!B513</f>
        <v>0</v>
      </c>
      <c r="C1024" s="24">
        <f>Parameters!C513</f>
        <v>0</v>
      </c>
      <c r="D1024" s="24">
        <f>Parameters!D513</f>
        <v>0</v>
      </c>
      <c r="E1024" s="23">
        <f>Parameters!E513</f>
        <v>0</v>
      </c>
      <c r="F1024" s="23">
        <f>Parameters!F513</f>
        <v>0</v>
      </c>
      <c r="G1024" s="25">
        <f>Parameters!G513</f>
        <v>0</v>
      </c>
      <c r="H1024" s="25">
        <f>Parameters!H513</f>
        <v>0</v>
      </c>
      <c r="I1024" s="25">
        <f>Parameters!I513</f>
        <v>0</v>
      </c>
      <c r="J1024" s="25">
        <f>Parameters!J513</f>
        <v>0</v>
      </c>
      <c r="K1024" s="25">
        <f>Parameters!K513</f>
        <v>0</v>
      </c>
      <c r="L1024" s="26" t="e">
        <f t="shared" ref="L1024" si="1530">L1025</f>
        <v>#DIV/0!</v>
      </c>
      <c r="M1024" s="25">
        <f>Parameters!L513</f>
        <v>0</v>
      </c>
      <c r="N1024" s="25">
        <f>Parameters!M513</f>
        <v>0</v>
      </c>
      <c r="O1024" s="26" t="e">
        <f t="shared" ref="O1024" si="1531">O1025</f>
        <v>#DIV/0!</v>
      </c>
      <c r="P1024" s="23">
        <f>Parameters!N513</f>
        <v>0</v>
      </c>
      <c r="Q1024" s="23">
        <f>Parameters!O513</f>
        <v>0</v>
      </c>
      <c r="R1024" s="23">
        <f>Parameters!P513</f>
        <v>0</v>
      </c>
      <c r="S1024" s="23">
        <f>Parameters!Q513</f>
        <v>0</v>
      </c>
      <c r="T1024" s="23">
        <f>Parameters!R513</f>
        <v>0</v>
      </c>
      <c r="U1024" s="27">
        <f>Parameters!S513</f>
        <v>0</v>
      </c>
      <c r="V1024" s="28">
        <f>Parameters!T513</f>
        <v>0</v>
      </c>
      <c r="W1024" s="27">
        <f>Parameters!U513</f>
        <v>0</v>
      </c>
      <c r="X1024" s="28">
        <f>Parameters!V513</f>
        <v>0</v>
      </c>
      <c r="Y1024" s="25">
        <f>Parameters!W513</f>
        <v>0</v>
      </c>
      <c r="Z1024" s="23">
        <f>Parameters!X513</f>
        <v>0</v>
      </c>
      <c r="AA1024" s="27">
        <f>Parameters!Y513</f>
        <v>0</v>
      </c>
      <c r="AB1024" s="28">
        <f>Parameters!Z513</f>
        <v>0</v>
      </c>
      <c r="AC1024" s="23">
        <f>Parameters!AA513</f>
        <v>0</v>
      </c>
    </row>
    <row r="1025" spans="1:29">
      <c r="A1025" s="29" t="str">
        <f>UPPER(A1024)</f>
        <v>0</v>
      </c>
      <c r="B1025" s="29">
        <f>B1024</f>
        <v>0</v>
      </c>
      <c r="C1025" s="30">
        <f>C1024</f>
        <v>0</v>
      </c>
      <c r="D1025" s="30">
        <f>D1024</f>
        <v>0</v>
      </c>
      <c r="E1025" s="29">
        <f>E1024</f>
        <v>0</v>
      </c>
      <c r="F1025" s="29">
        <f>F1024</f>
        <v>0</v>
      </c>
      <c r="G1025" s="29" t="e">
        <f>IF(C1024=1,IF(D1024="BUY",E1024+(ROUND(F1024*G1024/B1024,0)*B1024),E1024-(ROUND(F1024*G1024/B1024,0)*B1024)),IF(D1024="BUY",E1024-(ROUND(F1024*G1024/B1024,0)*B1024),E1024+(ROUND(F1024*G1024/B1024,0)*B1024)))</f>
        <v>#DIV/0!</v>
      </c>
      <c r="H1025" s="29" t="e">
        <f>IF(C1024=1,IF(D1024="BUY",G1025-(ROUND(F1024*H1024/B1024,0)*B1024),G1025+(ROUND(F1024*H1024/B1024,0)*B1024)),IF(D1024="BUY",G1025+(ROUND(F1024*H1024/B1024,0)*B1024),G1025-(ROUND(F1024*H1024/B1024,0)*B1024)))</f>
        <v>#DIV/0!</v>
      </c>
      <c r="I1025" s="29" t="e">
        <f>IF(D1024="BUY",G1025+(ROUND(F1024*I1024/(B1024*100),0)*B1024),G1025-(ROUND(F1024*I1024/(B1024*100),0)*B1024))</f>
        <v>#DIV/0!</v>
      </c>
      <c r="J1025" s="29" t="e">
        <f>IF(C1024=1,IF(D1024="BUY",E1024+(ROUND(F1024*J1024/B1024,0)*B1024),E1024-(ROUND(F1024*J1024/B1024,0)*B1024)),IF(D1024="BUY",E1024-(ROUND(F1024*J1024/B1024,0)*B1024),E1024+(ROUND(F1024*J1024/B1024,0)*B1024)))</f>
        <v>#DIV/0!</v>
      </c>
      <c r="K1025" s="29" t="e">
        <f>IF(C1024=1,IF(D1024="BUY",E1024-(ROUND(F1024*K1024/B1024,0)*B1024),E1024+(ROUND(F1024*K1024/B1024,0)*B1024)),IF(D1024="BUY",E1024-(ROUND(F1024*K1024/B1024,0)*B1024),E1024+(ROUND(F1024*K1024/B1024,0)*B1024)))</f>
        <v>#DIV/0!</v>
      </c>
      <c r="L1025" s="29" t="e">
        <f t="shared" ref="L1025" si="1532">IF(D1025="BUY",I1025+(R1025*B1025),I1025-(R1025*B1025))</f>
        <v>#DIV/0!</v>
      </c>
      <c r="M1025" s="29" t="e">
        <f>IF(D1024="BUY",E1024+(ROUND(F1024*M1024/B1024,0)*B1024),E1024-(ROUND(F1024*M1024/B1024,0)*B1024))</f>
        <v>#DIV/0!</v>
      </c>
      <c r="N1025" s="29" t="e">
        <f>IF(D1024="BUY",E1024-(ROUND(F1024*N1024/B1024,0)*B1024),E1024+(ROUND(F1024*N1024/B1024,0)*B1024))</f>
        <v>#DIV/0!</v>
      </c>
      <c r="O1025" s="31" t="e">
        <f>IF(D1025="BUY",N1025-VLOOKUP(A1025,Symbols!A$1:D$1000,4,FALSE),N1025+VLOOKUP(A1025,Symbols!A$1:D$1000,4,FALSE))</f>
        <v>#DIV/0!</v>
      </c>
      <c r="P1025" s="29">
        <f>P1024</f>
        <v>0</v>
      </c>
      <c r="Q1025" s="29">
        <f>Q1024</f>
        <v>0</v>
      </c>
      <c r="R1025" s="29">
        <f>R1024</f>
        <v>0</v>
      </c>
      <c r="S1025" s="29">
        <f>S1024</f>
        <v>0</v>
      </c>
      <c r="T1025" s="29">
        <f>T1024</f>
        <v>0</v>
      </c>
      <c r="U1025" s="29" t="e">
        <f>DATEDIF(DATE(1970,1,1),U1024,"D")*86400</f>
        <v>#NUM!</v>
      </c>
      <c r="V1025" s="29">
        <f>HOUR(V1024)*3600+MINUTE(V1024)*60+SECOND(V1024)</f>
        <v>0</v>
      </c>
      <c r="W1025" s="29" t="e">
        <f>DATEDIF(DATE(1970,1,1),W1024,"D")*86400</f>
        <v>#NUM!</v>
      </c>
      <c r="X1025" s="29">
        <f>HOUR(X1024)*3600+MINUTE(X1024)*60+SECOND(X1024)</f>
        <v>0</v>
      </c>
      <c r="Y1025" s="31">
        <f>(Y1024*B1025)</f>
        <v>0</v>
      </c>
      <c r="Z1025" s="29">
        <f>Z1024</f>
        <v>0</v>
      </c>
      <c r="AA1025" s="29" t="e">
        <f>DATEDIF(DATE(1970,1,1),AA1024,"D")*86400</f>
        <v>#NUM!</v>
      </c>
      <c r="AB1025" s="29">
        <f>HOUR(AB1024)*3600+MINUTE(AB1024)*60+SECOND(AB1024)</f>
        <v>0</v>
      </c>
      <c r="AC1025" s="29">
        <f>AC1024</f>
        <v>0</v>
      </c>
    </row>
    <row r="1026" spans="1:29">
      <c r="A1026" s="23">
        <f>Parameters!A514</f>
        <v>0</v>
      </c>
      <c r="B1026" s="23">
        <f>Parameters!B514</f>
        <v>0</v>
      </c>
      <c r="C1026" s="24">
        <f>Parameters!C514</f>
        <v>0</v>
      </c>
      <c r="D1026" s="24">
        <f>Parameters!D514</f>
        <v>0</v>
      </c>
      <c r="E1026" s="23">
        <f>Parameters!E514</f>
        <v>0</v>
      </c>
      <c r="F1026" s="23">
        <f>Parameters!F514</f>
        <v>0</v>
      </c>
      <c r="G1026" s="25">
        <f>Parameters!G514</f>
        <v>0</v>
      </c>
      <c r="H1026" s="25">
        <f>Parameters!H514</f>
        <v>0</v>
      </c>
      <c r="I1026" s="25">
        <f>Parameters!I514</f>
        <v>0</v>
      </c>
      <c r="J1026" s="25">
        <f>Parameters!J514</f>
        <v>0</v>
      </c>
      <c r="K1026" s="25">
        <f>Parameters!K514</f>
        <v>0</v>
      </c>
      <c r="L1026" s="26" t="e">
        <f t="shared" ref="L1026" si="1533">L1027</f>
        <v>#DIV/0!</v>
      </c>
      <c r="M1026" s="25">
        <f>Parameters!L514</f>
        <v>0</v>
      </c>
      <c r="N1026" s="25">
        <f>Parameters!M514</f>
        <v>0</v>
      </c>
      <c r="O1026" s="26" t="e">
        <f t="shared" ref="O1026" si="1534">O1027</f>
        <v>#DIV/0!</v>
      </c>
      <c r="P1026" s="23">
        <f>Parameters!N514</f>
        <v>0</v>
      </c>
      <c r="Q1026" s="23">
        <f>Parameters!O514</f>
        <v>0</v>
      </c>
      <c r="R1026" s="23">
        <f>Parameters!P514</f>
        <v>0</v>
      </c>
      <c r="S1026" s="23">
        <f>Parameters!Q514</f>
        <v>0</v>
      </c>
      <c r="T1026" s="23">
        <f>Parameters!R514</f>
        <v>0</v>
      </c>
      <c r="U1026" s="27">
        <f>Parameters!S514</f>
        <v>0</v>
      </c>
      <c r="V1026" s="28">
        <f>Parameters!T514</f>
        <v>0</v>
      </c>
      <c r="W1026" s="27">
        <f>Parameters!U514</f>
        <v>0</v>
      </c>
      <c r="X1026" s="28">
        <f>Parameters!V514</f>
        <v>0</v>
      </c>
      <c r="Y1026" s="25">
        <f>Parameters!W514</f>
        <v>0</v>
      </c>
      <c r="Z1026" s="23">
        <f>Parameters!X514</f>
        <v>0</v>
      </c>
      <c r="AA1026" s="27">
        <f>Parameters!Y514</f>
        <v>0</v>
      </c>
      <c r="AB1026" s="28">
        <f>Parameters!Z514</f>
        <v>0</v>
      </c>
      <c r="AC1026" s="23">
        <f>Parameters!AA514</f>
        <v>0</v>
      </c>
    </row>
    <row r="1027" spans="1:29">
      <c r="A1027" s="29" t="str">
        <f>UPPER(A1026)</f>
        <v>0</v>
      </c>
      <c r="B1027" s="29">
        <f>B1026</f>
        <v>0</v>
      </c>
      <c r="C1027" s="30">
        <f>C1026</f>
        <v>0</v>
      </c>
      <c r="D1027" s="30">
        <f>D1026</f>
        <v>0</v>
      </c>
      <c r="E1027" s="29">
        <f>E1026</f>
        <v>0</v>
      </c>
      <c r="F1027" s="29">
        <f>F1026</f>
        <v>0</v>
      </c>
      <c r="G1027" s="29" t="e">
        <f>IF(C1026=1,IF(D1026="BUY",E1026+(ROUND(F1026*G1026/B1026,0)*B1026),E1026-(ROUND(F1026*G1026/B1026,0)*B1026)),IF(D1026="BUY",E1026-(ROUND(F1026*G1026/B1026,0)*B1026),E1026+(ROUND(F1026*G1026/B1026,0)*B1026)))</f>
        <v>#DIV/0!</v>
      </c>
      <c r="H1027" s="29" t="e">
        <f>IF(C1026=1,IF(D1026="BUY",G1027-(ROUND(F1026*H1026/B1026,0)*B1026),G1027+(ROUND(F1026*H1026/B1026,0)*B1026)),IF(D1026="BUY",G1027+(ROUND(F1026*H1026/B1026,0)*B1026),G1027-(ROUND(F1026*H1026/B1026,0)*B1026)))</f>
        <v>#DIV/0!</v>
      </c>
      <c r="I1027" s="29" t="e">
        <f>IF(D1026="BUY",G1027+(ROUND(F1026*I1026/(B1026*100),0)*B1026),G1027-(ROUND(F1026*I1026/(B1026*100),0)*B1026))</f>
        <v>#DIV/0!</v>
      </c>
      <c r="J1027" s="29" t="e">
        <f>IF(C1026=1,IF(D1026="BUY",E1026+(ROUND(F1026*J1026/B1026,0)*B1026),E1026-(ROUND(F1026*J1026/B1026,0)*B1026)),IF(D1026="BUY",E1026-(ROUND(F1026*J1026/B1026,0)*B1026),E1026+(ROUND(F1026*J1026/B1026,0)*B1026)))</f>
        <v>#DIV/0!</v>
      </c>
      <c r="K1027" s="29" t="e">
        <f>IF(C1026=1,IF(D1026="BUY",E1026-(ROUND(F1026*K1026/B1026,0)*B1026),E1026+(ROUND(F1026*K1026/B1026,0)*B1026)),IF(D1026="BUY",E1026-(ROUND(F1026*K1026/B1026,0)*B1026),E1026+(ROUND(F1026*K1026/B1026,0)*B1026)))</f>
        <v>#DIV/0!</v>
      </c>
      <c r="L1027" s="29" t="e">
        <f t="shared" ref="L1027" si="1535">IF(D1027="BUY",I1027+(R1027*B1027),I1027-(R1027*B1027))</f>
        <v>#DIV/0!</v>
      </c>
      <c r="M1027" s="29" t="e">
        <f>IF(D1026="BUY",E1026+(ROUND(F1026*M1026/B1026,0)*B1026),E1026-(ROUND(F1026*M1026/B1026,0)*B1026))</f>
        <v>#DIV/0!</v>
      </c>
      <c r="N1027" s="29" t="e">
        <f>IF(D1026="BUY",E1026-(ROUND(F1026*N1026/B1026,0)*B1026),E1026+(ROUND(F1026*N1026/B1026,0)*B1026))</f>
        <v>#DIV/0!</v>
      </c>
      <c r="O1027" s="31" t="e">
        <f>IF(D1027="BUY",N1027-VLOOKUP(A1027,Symbols!A$1:D$1000,4,FALSE),N1027+VLOOKUP(A1027,Symbols!A$1:D$1000,4,FALSE))</f>
        <v>#DIV/0!</v>
      </c>
      <c r="P1027" s="29">
        <f>P1026</f>
        <v>0</v>
      </c>
      <c r="Q1027" s="29">
        <f>Q1026</f>
        <v>0</v>
      </c>
      <c r="R1027" s="29">
        <f>R1026</f>
        <v>0</v>
      </c>
      <c r="S1027" s="29">
        <f>S1026</f>
        <v>0</v>
      </c>
      <c r="T1027" s="29">
        <f>T1026</f>
        <v>0</v>
      </c>
      <c r="U1027" s="29" t="e">
        <f>DATEDIF(DATE(1970,1,1),U1026,"D")*86400</f>
        <v>#NUM!</v>
      </c>
      <c r="V1027" s="29">
        <f>HOUR(V1026)*3600+MINUTE(V1026)*60+SECOND(V1026)</f>
        <v>0</v>
      </c>
      <c r="W1027" s="29" t="e">
        <f>DATEDIF(DATE(1970,1,1),W1026,"D")*86400</f>
        <v>#NUM!</v>
      </c>
      <c r="X1027" s="29">
        <f>HOUR(X1026)*3600+MINUTE(X1026)*60+SECOND(X1026)</f>
        <v>0</v>
      </c>
      <c r="Y1027" s="31">
        <f>(Y1026*B1027)</f>
        <v>0</v>
      </c>
      <c r="Z1027" s="29">
        <f>Z1026</f>
        <v>0</v>
      </c>
      <c r="AA1027" s="29" t="e">
        <f>DATEDIF(DATE(1970,1,1),AA1026,"D")*86400</f>
        <v>#NUM!</v>
      </c>
      <c r="AB1027" s="29">
        <f>HOUR(AB1026)*3600+MINUTE(AB1026)*60+SECOND(AB1026)</f>
        <v>0</v>
      </c>
      <c r="AC1027" s="29">
        <f>AC1026</f>
        <v>0</v>
      </c>
    </row>
    <row r="1028" spans="1:29">
      <c r="A1028" s="23">
        <f>Parameters!A515</f>
        <v>0</v>
      </c>
      <c r="B1028" s="23">
        <f>Parameters!B515</f>
        <v>0</v>
      </c>
      <c r="C1028" s="24">
        <f>Parameters!C515</f>
        <v>0</v>
      </c>
      <c r="D1028" s="24">
        <f>Parameters!D515</f>
        <v>0</v>
      </c>
      <c r="E1028" s="23">
        <f>Parameters!E515</f>
        <v>0</v>
      </c>
      <c r="F1028" s="23">
        <f>Parameters!F515</f>
        <v>0</v>
      </c>
      <c r="G1028" s="25">
        <f>Parameters!G515</f>
        <v>0</v>
      </c>
      <c r="H1028" s="25">
        <f>Parameters!H515</f>
        <v>0</v>
      </c>
      <c r="I1028" s="25">
        <f>Parameters!I515</f>
        <v>0</v>
      </c>
      <c r="J1028" s="25">
        <f>Parameters!J515</f>
        <v>0</v>
      </c>
      <c r="K1028" s="25">
        <f>Parameters!K515</f>
        <v>0</v>
      </c>
      <c r="L1028" s="26" t="e">
        <f t="shared" ref="L1028" si="1536">L1029</f>
        <v>#DIV/0!</v>
      </c>
      <c r="M1028" s="25">
        <f>Parameters!L515</f>
        <v>0</v>
      </c>
      <c r="N1028" s="25">
        <f>Parameters!M515</f>
        <v>0</v>
      </c>
      <c r="O1028" s="26" t="e">
        <f t="shared" ref="O1028" si="1537">O1029</f>
        <v>#DIV/0!</v>
      </c>
      <c r="P1028" s="23">
        <f>Parameters!N515</f>
        <v>0</v>
      </c>
      <c r="Q1028" s="23">
        <f>Parameters!O515</f>
        <v>0</v>
      </c>
      <c r="R1028" s="23">
        <f>Parameters!P515</f>
        <v>0</v>
      </c>
      <c r="S1028" s="23">
        <f>Parameters!Q515</f>
        <v>0</v>
      </c>
      <c r="T1028" s="23">
        <f>Parameters!R515</f>
        <v>0</v>
      </c>
      <c r="U1028" s="27">
        <f>Parameters!S515</f>
        <v>0</v>
      </c>
      <c r="V1028" s="28">
        <f>Parameters!T515</f>
        <v>0</v>
      </c>
      <c r="W1028" s="27">
        <f>Parameters!U515</f>
        <v>0</v>
      </c>
      <c r="X1028" s="28">
        <f>Parameters!V515</f>
        <v>0</v>
      </c>
      <c r="Y1028" s="25">
        <f>Parameters!W515</f>
        <v>0</v>
      </c>
      <c r="Z1028" s="23">
        <f>Parameters!X515</f>
        <v>0</v>
      </c>
      <c r="AA1028" s="27">
        <f>Parameters!Y515</f>
        <v>0</v>
      </c>
      <c r="AB1028" s="28">
        <f>Parameters!Z515</f>
        <v>0</v>
      </c>
      <c r="AC1028" s="23">
        <f>Parameters!AA515</f>
        <v>0</v>
      </c>
    </row>
    <row r="1029" spans="1:29">
      <c r="A1029" s="29" t="str">
        <f>UPPER(A1028)</f>
        <v>0</v>
      </c>
      <c r="B1029" s="29">
        <f>B1028</f>
        <v>0</v>
      </c>
      <c r="C1029" s="30">
        <f>C1028</f>
        <v>0</v>
      </c>
      <c r="D1029" s="30">
        <f>D1028</f>
        <v>0</v>
      </c>
      <c r="E1029" s="29">
        <f>E1028</f>
        <v>0</v>
      </c>
      <c r="F1029" s="29">
        <f>F1028</f>
        <v>0</v>
      </c>
      <c r="G1029" s="29" t="e">
        <f>IF(C1028=1,IF(D1028="BUY",E1028+(ROUND(F1028*G1028/B1028,0)*B1028),E1028-(ROUND(F1028*G1028/B1028,0)*B1028)),IF(D1028="BUY",E1028-(ROUND(F1028*G1028/B1028,0)*B1028),E1028+(ROUND(F1028*G1028/B1028,0)*B1028)))</f>
        <v>#DIV/0!</v>
      </c>
      <c r="H1029" s="29" t="e">
        <f>IF(C1028=1,IF(D1028="BUY",G1029-(ROUND(F1028*H1028/B1028,0)*B1028),G1029+(ROUND(F1028*H1028/B1028,0)*B1028)),IF(D1028="BUY",G1029+(ROUND(F1028*H1028/B1028,0)*B1028),G1029-(ROUND(F1028*H1028/B1028,0)*B1028)))</f>
        <v>#DIV/0!</v>
      </c>
      <c r="I1029" s="29" t="e">
        <f>IF(D1028="BUY",G1029+(ROUND(F1028*I1028/(B1028*100),0)*B1028),G1029-(ROUND(F1028*I1028/(B1028*100),0)*B1028))</f>
        <v>#DIV/0!</v>
      </c>
      <c r="J1029" s="29" t="e">
        <f>IF(C1028=1,IF(D1028="BUY",E1028+(ROUND(F1028*J1028/B1028,0)*B1028),E1028-(ROUND(F1028*J1028/B1028,0)*B1028)),IF(D1028="BUY",E1028-(ROUND(F1028*J1028/B1028,0)*B1028),E1028+(ROUND(F1028*J1028/B1028,0)*B1028)))</f>
        <v>#DIV/0!</v>
      </c>
      <c r="K1029" s="29" t="e">
        <f>IF(C1028=1,IF(D1028="BUY",E1028-(ROUND(F1028*K1028/B1028,0)*B1028),E1028+(ROUND(F1028*K1028/B1028,0)*B1028)),IF(D1028="BUY",E1028-(ROUND(F1028*K1028/B1028,0)*B1028),E1028+(ROUND(F1028*K1028/B1028,0)*B1028)))</f>
        <v>#DIV/0!</v>
      </c>
      <c r="L1029" s="29" t="e">
        <f t="shared" ref="L1029" si="1538">IF(D1029="BUY",I1029+(R1029*B1029),I1029-(R1029*B1029))</f>
        <v>#DIV/0!</v>
      </c>
      <c r="M1029" s="29" t="e">
        <f>IF(D1028="BUY",E1028+(ROUND(F1028*M1028/B1028,0)*B1028),E1028-(ROUND(F1028*M1028/B1028,0)*B1028))</f>
        <v>#DIV/0!</v>
      </c>
      <c r="N1029" s="29" t="e">
        <f>IF(D1028="BUY",E1028-(ROUND(F1028*N1028/B1028,0)*B1028),E1028+(ROUND(F1028*N1028/B1028,0)*B1028))</f>
        <v>#DIV/0!</v>
      </c>
      <c r="O1029" s="31" t="e">
        <f>IF(D1029="BUY",N1029-VLOOKUP(A1029,Symbols!A$1:D$1000,4,FALSE),N1029+VLOOKUP(A1029,Symbols!A$1:D$1000,4,FALSE))</f>
        <v>#DIV/0!</v>
      </c>
      <c r="P1029" s="29">
        <f>P1028</f>
        <v>0</v>
      </c>
      <c r="Q1029" s="29">
        <f>Q1028</f>
        <v>0</v>
      </c>
      <c r="R1029" s="29">
        <f>R1028</f>
        <v>0</v>
      </c>
      <c r="S1029" s="29">
        <f>S1028</f>
        <v>0</v>
      </c>
      <c r="T1029" s="29">
        <f>T1028</f>
        <v>0</v>
      </c>
      <c r="U1029" s="29" t="e">
        <f>DATEDIF(DATE(1970,1,1),U1028,"D")*86400</f>
        <v>#NUM!</v>
      </c>
      <c r="V1029" s="29">
        <f>HOUR(V1028)*3600+MINUTE(V1028)*60+SECOND(V1028)</f>
        <v>0</v>
      </c>
      <c r="W1029" s="29" t="e">
        <f>DATEDIF(DATE(1970,1,1),W1028,"D")*86400</f>
        <v>#NUM!</v>
      </c>
      <c r="X1029" s="29">
        <f>HOUR(X1028)*3600+MINUTE(X1028)*60+SECOND(X1028)</f>
        <v>0</v>
      </c>
      <c r="Y1029" s="31">
        <f>(Y1028*B1029)</f>
        <v>0</v>
      </c>
      <c r="Z1029" s="29">
        <f>Z1028</f>
        <v>0</v>
      </c>
      <c r="AA1029" s="29" t="e">
        <f>DATEDIF(DATE(1970,1,1),AA1028,"D")*86400</f>
        <v>#NUM!</v>
      </c>
      <c r="AB1029" s="29">
        <f>HOUR(AB1028)*3600+MINUTE(AB1028)*60+SECOND(AB1028)</f>
        <v>0</v>
      </c>
      <c r="AC1029" s="29">
        <f>AC1028</f>
        <v>0</v>
      </c>
    </row>
    <row r="1030" spans="1:29">
      <c r="A1030" s="23">
        <f>Parameters!A516</f>
        <v>0</v>
      </c>
      <c r="B1030" s="23">
        <f>Parameters!B516</f>
        <v>0</v>
      </c>
      <c r="C1030" s="24">
        <f>Parameters!C516</f>
        <v>0</v>
      </c>
      <c r="D1030" s="24">
        <f>Parameters!D516</f>
        <v>0</v>
      </c>
      <c r="E1030" s="23">
        <f>Parameters!E516</f>
        <v>0</v>
      </c>
      <c r="F1030" s="23">
        <f>Parameters!F516</f>
        <v>0</v>
      </c>
      <c r="G1030" s="25">
        <f>Parameters!G516</f>
        <v>0</v>
      </c>
      <c r="H1030" s="25">
        <f>Parameters!H516</f>
        <v>0</v>
      </c>
      <c r="I1030" s="25">
        <f>Parameters!I516</f>
        <v>0</v>
      </c>
      <c r="J1030" s="25">
        <f>Parameters!J516</f>
        <v>0</v>
      </c>
      <c r="K1030" s="25">
        <f>Parameters!K516</f>
        <v>0</v>
      </c>
      <c r="L1030" s="26" t="e">
        <f t="shared" ref="L1030" si="1539">L1031</f>
        <v>#DIV/0!</v>
      </c>
      <c r="M1030" s="25">
        <f>Parameters!L516</f>
        <v>0</v>
      </c>
      <c r="N1030" s="25">
        <f>Parameters!M516</f>
        <v>0</v>
      </c>
      <c r="O1030" s="26" t="e">
        <f t="shared" ref="O1030" si="1540">O1031</f>
        <v>#DIV/0!</v>
      </c>
      <c r="P1030" s="23">
        <f>Parameters!N516</f>
        <v>0</v>
      </c>
      <c r="Q1030" s="23">
        <f>Parameters!O516</f>
        <v>0</v>
      </c>
      <c r="R1030" s="23">
        <f>Parameters!P516</f>
        <v>0</v>
      </c>
      <c r="S1030" s="23">
        <f>Parameters!Q516</f>
        <v>0</v>
      </c>
      <c r="T1030" s="23">
        <f>Parameters!R516</f>
        <v>0</v>
      </c>
      <c r="U1030" s="27">
        <f>Parameters!S516</f>
        <v>0</v>
      </c>
      <c r="V1030" s="28">
        <f>Parameters!T516</f>
        <v>0</v>
      </c>
      <c r="W1030" s="27">
        <f>Parameters!U516</f>
        <v>0</v>
      </c>
      <c r="X1030" s="28">
        <f>Parameters!V516</f>
        <v>0</v>
      </c>
      <c r="Y1030" s="25">
        <f>Parameters!W516</f>
        <v>0</v>
      </c>
      <c r="Z1030" s="23">
        <f>Parameters!X516</f>
        <v>0</v>
      </c>
      <c r="AA1030" s="27">
        <f>Parameters!Y516</f>
        <v>0</v>
      </c>
      <c r="AB1030" s="28">
        <f>Parameters!Z516</f>
        <v>0</v>
      </c>
      <c r="AC1030" s="23">
        <f>Parameters!AA516</f>
        <v>0</v>
      </c>
    </row>
    <row r="1031" spans="1:29">
      <c r="A1031" s="29" t="str">
        <f>UPPER(A1030)</f>
        <v>0</v>
      </c>
      <c r="B1031" s="29">
        <f>B1030</f>
        <v>0</v>
      </c>
      <c r="C1031" s="30">
        <f>C1030</f>
        <v>0</v>
      </c>
      <c r="D1031" s="30">
        <f>D1030</f>
        <v>0</v>
      </c>
      <c r="E1031" s="29">
        <f>E1030</f>
        <v>0</v>
      </c>
      <c r="F1031" s="29">
        <f>F1030</f>
        <v>0</v>
      </c>
      <c r="G1031" s="29" t="e">
        <f>IF(C1030=1,IF(D1030="BUY",E1030+(ROUND(F1030*G1030/B1030,0)*B1030),E1030-(ROUND(F1030*G1030/B1030,0)*B1030)),IF(D1030="BUY",E1030-(ROUND(F1030*G1030/B1030,0)*B1030),E1030+(ROUND(F1030*G1030/B1030,0)*B1030)))</f>
        <v>#DIV/0!</v>
      </c>
      <c r="H1031" s="29" t="e">
        <f>IF(C1030=1,IF(D1030="BUY",G1031-(ROUND(F1030*H1030/B1030,0)*B1030),G1031+(ROUND(F1030*H1030/B1030,0)*B1030)),IF(D1030="BUY",G1031+(ROUND(F1030*H1030/B1030,0)*B1030),G1031-(ROUND(F1030*H1030/B1030,0)*B1030)))</f>
        <v>#DIV/0!</v>
      </c>
      <c r="I1031" s="29" t="e">
        <f>IF(D1030="BUY",G1031+(ROUND(F1030*I1030/(B1030*100),0)*B1030),G1031-(ROUND(F1030*I1030/(B1030*100),0)*B1030))</f>
        <v>#DIV/0!</v>
      </c>
      <c r="J1031" s="29" t="e">
        <f>IF(C1030=1,IF(D1030="BUY",E1030+(ROUND(F1030*J1030/B1030,0)*B1030),E1030-(ROUND(F1030*J1030/B1030,0)*B1030)),IF(D1030="BUY",E1030-(ROUND(F1030*J1030/B1030,0)*B1030),E1030+(ROUND(F1030*J1030/B1030,0)*B1030)))</f>
        <v>#DIV/0!</v>
      </c>
      <c r="K1031" s="29" t="e">
        <f>IF(C1030=1,IF(D1030="BUY",E1030-(ROUND(F1030*K1030/B1030,0)*B1030),E1030+(ROUND(F1030*K1030/B1030,0)*B1030)),IF(D1030="BUY",E1030-(ROUND(F1030*K1030/B1030,0)*B1030),E1030+(ROUND(F1030*K1030/B1030,0)*B1030)))</f>
        <v>#DIV/0!</v>
      </c>
      <c r="L1031" s="29" t="e">
        <f t="shared" ref="L1031" si="1541">IF(D1031="BUY",I1031+(R1031*B1031),I1031-(R1031*B1031))</f>
        <v>#DIV/0!</v>
      </c>
      <c r="M1031" s="29" t="e">
        <f>IF(D1030="BUY",E1030+(ROUND(F1030*M1030/B1030,0)*B1030),E1030-(ROUND(F1030*M1030/B1030,0)*B1030))</f>
        <v>#DIV/0!</v>
      </c>
      <c r="N1031" s="29" t="e">
        <f>IF(D1030="BUY",E1030-(ROUND(F1030*N1030/B1030,0)*B1030),E1030+(ROUND(F1030*N1030/B1030,0)*B1030))</f>
        <v>#DIV/0!</v>
      </c>
      <c r="O1031" s="31" t="e">
        <f>IF(D1031="BUY",N1031-VLOOKUP(A1031,Symbols!A$1:D$1000,4,FALSE),N1031+VLOOKUP(A1031,Symbols!A$1:D$1000,4,FALSE))</f>
        <v>#DIV/0!</v>
      </c>
      <c r="P1031" s="29">
        <f>P1030</f>
        <v>0</v>
      </c>
      <c r="Q1031" s="29">
        <f>Q1030</f>
        <v>0</v>
      </c>
      <c r="R1031" s="29">
        <f>R1030</f>
        <v>0</v>
      </c>
      <c r="S1031" s="29">
        <f>S1030</f>
        <v>0</v>
      </c>
      <c r="T1031" s="29">
        <f>T1030</f>
        <v>0</v>
      </c>
      <c r="U1031" s="29" t="e">
        <f>DATEDIF(DATE(1970,1,1),U1030,"D")*86400</f>
        <v>#NUM!</v>
      </c>
      <c r="V1031" s="29">
        <f>HOUR(V1030)*3600+MINUTE(V1030)*60+SECOND(V1030)</f>
        <v>0</v>
      </c>
      <c r="W1031" s="29" t="e">
        <f>DATEDIF(DATE(1970,1,1),W1030,"D")*86400</f>
        <v>#NUM!</v>
      </c>
      <c r="X1031" s="29">
        <f>HOUR(X1030)*3600+MINUTE(X1030)*60+SECOND(X1030)</f>
        <v>0</v>
      </c>
      <c r="Y1031" s="31">
        <f>(Y1030*B1031)</f>
        <v>0</v>
      </c>
      <c r="Z1031" s="29">
        <f>Z1030</f>
        <v>0</v>
      </c>
      <c r="AA1031" s="29" t="e">
        <f>DATEDIF(DATE(1970,1,1),AA1030,"D")*86400</f>
        <v>#NUM!</v>
      </c>
      <c r="AB1031" s="29">
        <f>HOUR(AB1030)*3600+MINUTE(AB1030)*60+SECOND(AB1030)</f>
        <v>0</v>
      </c>
      <c r="AC1031" s="29">
        <f>AC1030</f>
        <v>0</v>
      </c>
    </row>
    <row r="1032" spans="1:29">
      <c r="A1032" s="23">
        <f>Parameters!A517</f>
        <v>0</v>
      </c>
      <c r="B1032" s="23">
        <f>Parameters!B517</f>
        <v>0</v>
      </c>
      <c r="C1032" s="24">
        <f>Parameters!C517</f>
        <v>0</v>
      </c>
      <c r="D1032" s="24">
        <f>Parameters!D517</f>
        <v>0</v>
      </c>
      <c r="E1032" s="23">
        <f>Parameters!E517</f>
        <v>0</v>
      </c>
      <c r="F1032" s="23">
        <f>Parameters!F517</f>
        <v>0</v>
      </c>
      <c r="G1032" s="25">
        <f>Parameters!G517</f>
        <v>0</v>
      </c>
      <c r="H1032" s="25">
        <f>Parameters!H517</f>
        <v>0</v>
      </c>
      <c r="I1032" s="25">
        <f>Parameters!I517</f>
        <v>0</v>
      </c>
      <c r="J1032" s="25">
        <f>Parameters!J517</f>
        <v>0</v>
      </c>
      <c r="K1032" s="25">
        <f>Parameters!K517</f>
        <v>0</v>
      </c>
      <c r="L1032" s="26" t="e">
        <f t="shared" ref="L1032" si="1542">L1033</f>
        <v>#DIV/0!</v>
      </c>
      <c r="M1032" s="25">
        <f>Parameters!L517</f>
        <v>0</v>
      </c>
      <c r="N1032" s="25">
        <f>Parameters!M517</f>
        <v>0</v>
      </c>
      <c r="O1032" s="26" t="e">
        <f t="shared" ref="O1032" si="1543">O1033</f>
        <v>#DIV/0!</v>
      </c>
      <c r="P1032" s="23">
        <f>Parameters!N517</f>
        <v>0</v>
      </c>
      <c r="Q1032" s="23">
        <f>Parameters!O517</f>
        <v>0</v>
      </c>
      <c r="R1032" s="23">
        <f>Parameters!P517</f>
        <v>0</v>
      </c>
      <c r="S1032" s="23">
        <f>Parameters!Q517</f>
        <v>0</v>
      </c>
      <c r="T1032" s="23">
        <f>Parameters!R517</f>
        <v>0</v>
      </c>
      <c r="U1032" s="27">
        <f>Parameters!S517</f>
        <v>0</v>
      </c>
      <c r="V1032" s="28">
        <f>Parameters!T517</f>
        <v>0</v>
      </c>
      <c r="W1032" s="27">
        <f>Parameters!U517</f>
        <v>0</v>
      </c>
      <c r="X1032" s="28">
        <f>Parameters!V517</f>
        <v>0</v>
      </c>
      <c r="Y1032" s="25">
        <f>Parameters!W517</f>
        <v>0</v>
      </c>
      <c r="Z1032" s="23">
        <f>Parameters!X517</f>
        <v>0</v>
      </c>
      <c r="AA1032" s="27">
        <f>Parameters!Y517</f>
        <v>0</v>
      </c>
      <c r="AB1032" s="28">
        <f>Parameters!Z517</f>
        <v>0</v>
      </c>
      <c r="AC1032" s="23">
        <f>Parameters!AA517</f>
        <v>0</v>
      </c>
    </row>
    <row r="1033" spans="1:29">
      <c r="A1033" s="29" t="str">
        <f>UPPER(A1032)</f>
        <v>0</v>
      </c>
      <c r="B1033" s="29">
        <f>B1032</f>
        <v>0</v>
      </c>
      <c r="C1033" s="30">
        <f>C1032</f>
        <v>0</v>
      </c>
      <c r="D1033" s="30">
        <f>D1032</f>
        <v>0</v>
      </c>
      <c r="E1033" s="29">
        <f>E1032</f>
        <v>0</v>
      </c>
      <c r="F1033" s="29">
        <f>F1032</f>
        <v>0</v>
      </c>
      <c r="G1033" s="29" t="e">
        <f>IF(C1032=1,IF(D1032="BUY",E1032+(ROUND(F1032*G1032/B1032,0)*B1032),E1032-(ROUND(F1032*G1032/B1032,0)*B1032)),IF(D1032="BUY",E1032-(ROUND(F1032*G1032/B1032,0)*B1032),E1032+(ROUND(F1032*G1032/B1032,0)*B1032)))</f>
        <v>#DIV/0!</v>
      </c>
      <c r="H1033" s="29" t="e">
        <f>IF(C1032=1,IF(D1032="BUY",G1033-(ROUND(F1032*H1032/B1032,0)*B1032),G1033+(ROUND(F1032*H1032/B1032,0)*B1032)),IF(D1032="BUY",G1033+(ROUND(F1032*H1032/B1032,0)*B1032),G1033-(ROUND(F1032*H1032/B1032,0)*B1032)))</f>
        <v>#DIV/0!</v>
      </c>
      <c r="I1033" s="29" t="e">
        <f>IF(D1032="BUY",G1033+(ROUND(F1032*I1032/(B1032*100),0)*B1032),G1033-(ROUND(F1032*I1032/(B1032*100),0)*B1032))</f>
        <v>#DIV/0!</v>
      </c>
      <c r="J1033" s="29" t="e">
        <f>IF(C1032=1,IF(D1032="BUY",E1032+(ROUND(F1032*J1032/B1032,0)*B1032),E1032-(ROUND(F1032*J1032/B1032,0)*B1032)),IF(D1032="BUY",E1032-(ROUND(F1032*J1032/B1032,0)*B1032),E1032+(ROUND(F1032*J1032/B1032,0)*B1032)))</f>
        <v>#DIV/0!</v>
      </c>
      <c r="K1033" s="29" t="e">
        <f>IF(C1032=1,IF(D1032="BUY",E1032-(ROUND(F1032*K1032/B1032,0)*B1032),E1032+(ROUND(F1032*K1032/B1032,0)*B1032)),IF(D1032="BUY",E1032-(ROUND(F1032*K1032/B1032,0)*B1032),E1032+(ROUND(F1032*K1032/B1032,0)*B1032)))</f>
        <v>#DIV/0!</v>
      </c>
      <c r="L1033" s="29" t="e">
        <f t="shared" ref="L1033" si="1544">IF(D1033="BUY",I1033+(R1033*B1033),I1033-(R1033*B1033))</f>
        <v>#DIV/0!</v>
      </c>
      <c r="M1033" s="29" t="e">
        <f>IF(D1032="BUY",E1032+(ROUND(F1032*M1032/B1032,0)*B1032),E1032-(ROUND(F1032*M1032/B1032,0)*B1032))</f>
        <v>#DIV/0!</v>
      </c>
      <c r="N1033" s="29" t="e">
        <f>IF(D1032="BUY",E1032-(ROUND(F1032*N1032/B1032,0)*B1032),E1032+(ROUND(F1032*N1032/B1032,0)*B1032))</f>
        <v>#DIV/0!</v>
      </c>
      <c r="O1033" s="31" t="e">
        <f>IF(D1033="BUY",N1033-VLOOKUP(A1033,Symbols!A$1:D$1000,4,FALSE),N1033+VLOOKUP(A1033,Symbols!A$1:D$1000,4,FALSE))</f>
        <v>#DIV/0!</v>
      </c>
      <c r="P1033" s="29">
        <f>P1032</f>
        <v>0</v>
      </c>
      <c r="Q1033" s="29">
        <f>Q1032</f>
        <v>0</v>
      </c>
      <c r="R1033" s="29">
        <f>R1032</f>
        <v>0</v>
      </c>
      <c r="S1033" s="29">
        <f>S1032</f>
        <v>0</v>
      </c>
      <c r="T1033" s="29">
        <f>T1032</f>
        <v>0</v>
      </c>
      <c r="U1033" s="29" t="e">
        <f>DATEDIF(DATE(1970,1,1),U1032,"D")*86400</f>
        <v>#NUM!</v>
      </c>
      <c r="V1033" s="29">
        <f>HOUR(V1032)*3600+MINUTE(V1032)*60+SECOND(V1032)</f>
        <v>0</v>
      </c>
      <c r="W1033" s="29" t="e">
        <f>DATEDIF(DATE(1970,1,1),W1032,"D")*86400</f>
        <v>#NUM!</v>
      </c>
      <c r="X1033" s="29">
        <f>HOUR(X1032)*3600+MINUTE(X1032)*60+SECOND(X1032)</f>
        <v>0</v>
      </c>
      <c r="Y1033" s="31">
        <f>(Y1032*B1033)</f>
        <v>0</v>
      </c>
      <c r="Z1033" s="29">
        <f>Z1032</f>
        <v>0</v>
      </c>
      <c r="AA1033" s="29" t="e">
        <f>DATEDIF(DATE(1970,1,1),AA1032,"D")*86400</f>
        <v>#NUM!</v>
      </c>
      <c r="AB1033" s="29">
        <f>HOUR(AB1032)*3600+MINUTE(AB1032)*60+SECOND(AB1032)</f>
        <v>0</v>
      </c>
      <c r="AC1033" s="29">
        <f>AC1032</f>
        <v>0</v>
      </c>
    </row>
    <row r="1034" spans="1:29">
      <c r="A1034" s="23">
        <f>Parameters!A518</f>
        <v>0</v>
      </c>
      <c r="B1034" s="23">
        <f>Parameters!B518</f>
        <v>0</v>
      </c>
      <c r="C1034" s="24">
        <f>Parameters!C518</f>
        <v>0</v>
      </c>
      <c r="D1034" s="24">
        <f>Parameters!D518</f>
        <v>0</v>
      </c>
      <c r="E1034" s="23">
        <f>Parameters!E518</f>
        <v>0</v>
      </c>
      <c r="F1034" s="23">
        <f>Parameters!F518</f>
        <v>0</v>
      </c>
      <c r="G1034" s="25">
        <f>Parameters!G518</f>
        <v>0</v>
      </c>
      <c r="H1034" s="25">
        <f>Parameters!H518</f>
        <v>0</v>
      </c>
      <c r="I1034" s="25">
        <f>Parameters!I518</f>
        <v>0</v>
      </c>
      <c r="J1034" s="25">
        <f>Parameters!J518</f>
        <v>0</v>
      </c>
      <c r="K1034" s="25">
        <f>Parameters!K518</f>
        <v>0</v>
      </c>
      <c r="L1034" s="26" t="e">
        <f t="shared" ref="L1034" si="1545">L1035</f>
        <v>#DIV/0!</v>
      </c>
      <c r="M1034" s="25">
        <f>Parameters!L518</f>
        <v>0</v>
      </c>
      <c r="N1034" s="25">
        <f>Parameters!M518</f>
        <v>0</v>
      </c>
      <c r="O1034" s="26" t="e">
        <f t="shared" ref="O1034" si="1546">O1035</f>
        <v>#DIV/0!</v>
      </c>
      <c r="P1034" s="23">
        <f>Parameters!N518</f>
        <v>0</v>
      </c>
      <c r="Q1034" s="23">
        <f>Parameters!O518</f>
        <v>0</v>
      </c>
      <c r="R1034" s="23">
        <f>Parameters!P518</f>
        <v>0</v>
      </c>
      <c r="S1034" s="23">
        <f>Parameters!Q518</f>
        <v>0</v>
      </c>
      <c r="T1034" s="23">
        <f>Parameters!R518</f>
        <v>0</v>
      </c>
      <c r="U1034" s="27">
        <f>Parameters!S518</f>
        <v>0</v>
      </c>
      <c r="V1034" s="28">
        <f>Parameters!T518</f>
        <v>0</v>
      </c>
      <c r="W1034" s="27">
        <f>Parameters!U518</f>
        <v>0</v>
      </c>
      <c r="X1034" s="28">
        <f>Parameters!V518</f>
        <v>0</v>
      </c>
      <c r="Y1034" s="25">
        <f>Parameters!W518</f>
        <v>0</v>
      </c>
      <c r="Z1034" s="23">
        <f>Parameters!X518</f>
        <v>0</v>
      </c>
      <c r="AA1034" s="27">
        <f>Parameters!Y518</f>
        <v>0</v>
      </c>
      <c r="AB1034" s="28">
        <f>Parameters!Z518</f>
        <v>0</v>
      </c>
      <c r="AC1034" s="23">
        <f>Parameters!AA518</f>
        <v>0</v>
      </c>
    </row>
    <row r="1035" spans="1:29">
      <c r="A1035" s="29" t="str">
        <f>UPPER(A1034)</f>
        <v>0</v>
      </c>
      <c r="B1035" s="29">
        <f>B1034</f>
        <v>0</v>
      </c>
      <c r="C1035" s="30">
        <f>C1034</f>
        <v>0</v>
      </c>
      <c r="D1035" s="30">
        <f>D1034</f>
        <v>0</v>
      </c>
      <c r="E1035" s="29">
        <f>E1034</f>
        <v>0</v>
      </c>
      <c r="F1035" s="29">
        <f>F1034</f>
        <v>0</v>
      </c>
      <c r="G1035" s="29" t="e">
        <f>IF(C1034=1,IF(D1034="BUY",E1034+(ROUND(F1034*G1034/B1034,0)*B1034),E1034-(ROUND(F1034*G1034/B1034,0)*B1034)),IF(D1034="BUY",E1034-(ROUND(F1034*G1034/B1034,0)*B1034),E1034+(ROUND(F1034*G1034/B1034,0)*B1034)))</f>
        <v>#DIV/0!</v>
      </c>
      <c r="H1035" s="29" t="e">
        <f>IF(C1034=1,IF(D1034="BUY",G1035-(ROUND(F1034*H1034/B1034,0)*B1034),G1035+(ROUND(F1034*H1034/B1034,0)*B1034)),IF(D1034="BUY",G1035+(ROUND(F1034*H1034/B1034,0)*B1034),G1035-(ROUND(F1034*H1034/B1034,0)*B1034)))</f>
        <v>#DIV/0!</v>
      </c>
      <c r="I1035" s="29" t="e">
        <f>IF(D1034="BUY",G1035+(ROUND(F1034*I1034/(B1034*100),0)*B1034),G1035-(ROUND(F1034*I1034/(B1034*100),0)*B1034))</f>
        <v>#DIV/0!</v>
      </c>
      <c r="J1035" s="29" t="e">
        <f>IF(C1034=1,IF(D1034="BUY",E1034+(ROUND(F1034*J1034/B1034,0)*B1034),E1034-(ROUND(F1034*J1034/B1034,0)*B1034)),IF(D1034="BUY",E1034-(ROUND(F1034*J1034/B1034,0)*B1034),E1034+(ROUND(F1034*J1034/B1034,0)*B1034)))</f>
        <v>#DIV/0!</v>
      </c>
      <c r="K1035" s="29" t="e">
        <f>IF(C1034=1,IF(D1034="BUY",E1034-(ROUND(F1034*K1034/B1034,0)*B1034),E1034+(ROUND(F1034*K1034/B1034,0)*B1034)),IF(D1034="BUY",E1034-(ROUND(F1034*K1034/B1034,0)*B1034),E1034+(ROUND(F1034*K1034/B1034,0)*B1034)))</f>
        <v>#DIV/0!</v>
      </c>
      <c r="L1035" s="29" t="e">
        <f t="shared" ref="L1035" si="1547">IF(D1035="BUY",I1035+(R1035*B1035),I1035-(R1035*B1035))</f>
        <v>#DIV/0!</v>
      </c>
      <c r="M1035" s="29" t="e">
        <f>IF(D1034="BUY",E1034+(ROUND(F1034*M1034/B1034,0)*B1034),E1034-(ROUND(F1034*M1034/B1034,0)*B1034))</f>
        <v>#DIV/0!</v>
      </c>
      <c r="N1035" s="29" t="e">
        <f>IF(D1034="BUY",E1034-(ROUND(F1034*N1034/B1034,0)*B1034),E1034+(ROUND(F1034*N1034/B1034,0)*B1034))</f>
        <v>#DIV/0!</v>
      </c>
      <c r="O1035" s="31" t="e">
        <f>IF(D1035="BUY",N1035-VLOOKUP(A1035,Symbols!A$1:D$1000,4,FALSE),N1035+VLOOKUP(A1035,Symbols!A$1:D$1000,4,FALSE))</f>
        <v>#DIV/0!</v>
      </c>
      <c r="P1035" s="29">
        <f>P1034</f>
        <v>0</v>
      </c>
      <c r="Q1035" s="29">
        <f>Q1034</f>
        <v>0</v>
      </c>
      <c r="R1035" s="29">
        <f>R1034</f>
        <v>0</v>
      </c>
      <c r="S1035" s="29">
        <f>S1034</f>
        <v>0</v>
      </c>
      <c r="T1035" s="29">
        <f>T1034</f>
        <v>0</v>
      </c>
      <c r="U1035" s="29" t="e">
        <f>DATEDIF(DATE(1970,1,1),U1034,"D")*86400</f>
        <v>#NUM!</v>
      </c>
      <c r="V1035" s="29">
        <f>HOUR(V1034)*3600+MINUTE(V1034)*60+SECOND(V1034)</f>
        <v>0</v>
      </c>
      <c r="W1035" s="29" t="e">
        <f>DATEDIF(DATE(1970,1,1),W1034,"D")*86400</f>
        <v>#NUM!</v>
      </c>
      <c r="X1035" s="29">
        <f>HOUR(X1034)*3600+MINUTE(X1034)*60+SECOND(X1034)</f>
        <v>0</v>
      </c>
      <c r="Y1035" s="31">
        <f>(Y1034*B1035)</f>
        <v>0</v>
      </c>
      <c r="Z1035" s="29">
        <f>Z1034</f>
        <v>0</v>
      </c>
      <c r="AA1035" s="29" t="e">
        <f>DATEDIF(DATE(1970,1,1),AA1034,"D")*86400</f>
        <v>#NUM!</v>
      </c>
      <c r="AB1035" s="29">
        <f>HOUR(AB1034)*3600+MINUTE(AB1034)*60+SECOND(AB1034)</f>
        <v>0</v>
      </c>
      <c r="AC1035" s="29">
        <f>AC1034</f>
        <v>0</v>
      </c>
    </row>
    <row r="1036" spans="1:29">
      <c r="A1036" s="23">
        <f>Parameters!A519</f>
        <v>0</v>
      </c>
      <c r="B1036" s="23">
        <f>Parameters!B519</f>
        <v>0</v>
      </c>
      <c r="C1036" s="24">
        <f>Parameters!C519</f>
        <v>0</v>
      </c>
      <c r="D1036" s="24">
        <f>Parameters!D519</f>
        <v>0</v>
      </c>
      <c r="E1036" s="23">
        <f>Parameters!E519</f>
        <v>0</v>
      </c>
      <c r="F1036" s="23">
        <f>Parameters!F519</f>
        <v>0</v>
      </c>
      <c r="G1036" s="25">
        <f>Parameters!G519</f>
        <v>0</v>
      </c>
      <c r="H1036" s="25">
        <f>Parameters!H519</f>
        <v>0</v>
      </c>
      <c r="I1036" s="25">
        <f>Parameters!I519</f>
        <v>0</v>
      </c>
      <c r="J1036" s="25">
        <f>Parameters!J519</f>
        <v>0</v>
      </c>
      <c r="K1036" s="25">
        <f>Parameters!K519</f>
        <v>0</v>
      </c>
      <c r="L1036" s="26" t="e">
        <f t="shared" ref="L1036" si="1548">L1037</f>
        <v>#DIV/0!</v>
      </c>
      <c r="M1036" s="25">
        <f>Parameters!L519</f>
        <v>0</v>
      </c>
      <c r="N1036" s="25">
        <f>Parameters!M519</f>
        <v>0</v>
      </c>
      <c r="O1036" s="26" t="e">
        <f t="shared" ref="O1036" si="1549">O1037</f>
        <v>#DIV/0!</v>
      </c>
      <c r="P1036" s="23">
        <f>Parameters!N519</f>
        <v>0</v>
      </c>
      <c r="Q1036" s="23">
        <f>Parameters!O519</f>
        <v>0</v>
      </c>
      <c r="R1036" s="23">
        <f>Parameters!P519</f>
        <v>0</v>
      </c>
      <c r="S1036" s="23">
        <f>Parameters!Q519</f>
        <v>0</v>
      </c>
      <c r="T1036" s="23">
        <f>Parameters!R519</f>
        <v>0</v>
      </c>
      <c r="U1036" s="27">
        <f>Parameters!S519</f>
        <v>0</v>
      </c>
      <c r="V1036" s="28">
        <f>Parameters!T519</f>
        <v>0</v>
      </c>
      <c r="W1036" s="27">
        <f>Parameters!U519</f>
        <v>0</v>
      </c>
      <c r="X1036" s="28">
        <f>Parameters!V519</f>
        <v>0</v>
      </c>
      <c r="Y1036" s="25">
        <f>Parameters!W519</f>
        <v>0</v>
      </c>
      <c r="Z1036" s="23">
        <f>Parameters!X519</f>
        <v>0</v>
      </c>
      <c r="AA1036" s="27">
        <f>Parameters!Y519</f>
        <v>0</v>
      </c>
      <c r="AB1036" s="28">
        <f>Parameters!Z519</f>
        <v>0</v>
      </c>
      <c r="AC1036" s="23">
        <f>Parameters!AA519</f>
        <v>0</v>
      </c>
    </row>
    <row r="1037" spans="1:29">
      <c r="A1037" s="29" t="str">
        <f>UPPER(A1036)</f>
        <v>0</v>
      </c>
      <c r="B1037" s="29">
        <f>B1036</f>
        <v>0</v>
      </c>
      <c r="C1037" s="30">
        <f>C1036</f>
        <v>0</v>
      </c>
      <c r="D1037" s="30">
        <f>D1036</f>
        <v>0</v>
      </c>
      <c r="E1037" s="29">
        <f>E1036</f>
        <v>0</v>
      </c>
      <c r="F1037" s="29">
        <f>F1036</f>
        <v>0</v>
      </c>
      <c r="G1037" s="29" t="e">
        <f>IF(C1036=1,IF(D1036="BUY",E1036+(ROUND(F1036*G1036/B1036,0)*B1036),E1036-(ROUND(F1036*G1036/B1036,0)*B1036)),IF(D1036="BUY",E1036-(ROUND(F1036*G1036/B1036,0)*B1036),E1036+(ROUND(F1036*G1036/B1036,0)*B1036)))</f>
        <v>#DIV/0!</v>
      </c>
      <c r="H1037" s="29" t="e">
        <f>IF(C1036=1,IF(D1036="BUY",G1037-(ROUND(F1036*H1036/B1036,0)*B1036),G1037+(ROUND(F1036*H1036/B1036,0)*B1036)),IF(D1036="BUY",G1037+(ROUND(F1036*H1036/B1036,0)*B1036),G1037-(ROUND(F1036*H1036/B1036,0)*B1036)))</f>
        <v>#DIV/0!</v>
      </c>
      <c r="I1037" s="29" t="e">
        <f>IF(D1036="BUY",G1037+(ROUND(F1036*I1036/(B1036*100),0)*B1036),G1037-(ROUND(F1036*I1036/(B1036*100),0)*B1036))</f>
        <v>#DIV/0!</v>
      </c>
      <c r="J1037" s="29" t="e">
        <f>IF(C1036=1,IF(D1036="BUY",E1036+(ROUND(F1036*J1036/B1036,0)*B1036),E1036-(ROUND(F1036*J1036/B1036,0)*B1036)),IF(D1036="BUY",E1036-(ROUND(F1036*J1036/B1036,0)*B1036),E1036+(ROUND(F1036*J1036/B1036,0)*B1036)))</f>
        <v>#DIV/0!</v>
      </c>
      <c r="K1037" s="29" t="e">
        <f>IF(C1036=1,IF(D1036="BUY",E1036-(ROUND(F1036*K1036/B1036,0)*B1036),E1036+(ROUND(F1036*K1036/B1036,0)*B1036)),IF(D1036="BUY",E1036-(ROUND(F1036*K1036/B1036,0)*B1036),E1036+(ROUND(F1036*K1036/B1036,0)*B1036)))</f>
        <v>#DIV/0!</v>
      </c>
      <c r="L1037" s="29" t="e">
        <f t="shared" ref="L1037" si="1550">IF(D1037="BUY",I1037+(R1037*B1037),I1037-(R1037*B1037))</f>
        <v>#DIV/0!</v>
      </c>
      <c r="M1037" s="29" t="e">
        <f>IF(D1036="BUY",E1036+(ROUND(F1036*M1036/B1036,0)*B1036),E1036-(ROUND(F1036*M1036/B1036,0)*B1036))</f>
        <v>#DIV/0!</v>
      </c>
      <c r="N1037" s="29" t="e">
        <f>IF(D1036="BUY",E1036-(ROUND(F1036*N1036/B1036,0)*B1036),E1036+(ROUND(F1036*N1036/B1036,0)*B1036))</f>
        <v>#DIV/0!</v>
      </c>
      <c r="O1037" s="31" t="e">
        <f>IF(D1037="BUY",N1037-VLOOKUP(A1037,Symbols!A$1:D$1000,4,FALSE),N1037+VLOOKUP(A1037,Symbols!A$1:D$1000,4,FALSE))</f>
        <v>#DIV/0!</v>
      </c>
      <c r="P1037" s="29">
        <f>P1036</f>
        <v>0</v>
      </c>
      <c r="Q1037" s="29">
        <f>Q1036</f>
        <v>0</v>
      </c>
      <c r="R1037" s="29">
        <f>R1036</f>
        <v>0</v>
      </c>
      <c r="S1037" s="29">
        <f>S1036</f>
        <v>0</v>
      </c>
      <c r="T1037" s="29">
        <f>T1036</f>
        <v>0</v>
      </c>
      <c r="U1037" s="29" t="e">
        <f>DATEDIF(DATE(1970,1,1),U1036,"D")*86400</f>
        <v>#NUM!</v>
      </c>
      <c r="V1037" s="29">
        <f>HOUR(V1036)*3600+MINUTE(V1036)*60+SECOND(V1036)</f>
        <v>0</v>
      </c>
      <c r="W1037" s="29" t="e">
        <f>DATEDIF(DATE(1970,1,1),W1036,"D")*86400</f>
        <v>#NUM!</v>
      </c>
      <c r="X1037" s="29">
        <f>HOUR(X1036)*3600+MINUTE(X1036)*60+SECOND(X1036)</f>
        <v>0</v>
      </c>
      <c r="Y1037" s="31">
        <f>(Y1036*B1037)</f>
        <v>0</v>
      </c>
      <c r="Z1037" s="29">
        <f>Z1036</f>
        <v>0</v>
      </c>
      <c r="AA1037" s="29" t="e">
        <f>DATEDIF(DATE(1970,1,1),AA1036,"D")*86400</f>
        <v>#NUM!</v>
      </c>
      <c r="AB1037" s="29">
        <f>HOUR(AB1036)*3600+MINUTE(AB1036)*60+SECOND(AB1036)</f>
        <v>0</v>
      </c>
      <c r="AC1037" s="29">
        <f>AC1036</f>
        <v>0</v>
      </c>
    </row>
    <row r="1038" spans="1:29">
      <c r="A1038" s="23">
        <f>Parameters!A520</f>
        <v>0</v>
      </c>
      <c r="B1038" s="23">
        <f>Parameters!B520</f>
        <v>0</v>
      </c>
      <c r="C1038" s="24">
        <f>Parameters!C520</f>
        <v>0</v>
      </c>
      <c r="D1038" s="24">
        <f>Parameters!D520</f>
        <v>0</v>
      </c>
      <c r="E1038" s="23">
        <f>Parameters!E520</f>
        <v>0</v>
      </c>
      <c r="F1038" s="23">
        <f>Parameters!F520</f>
        <v>0</v>
      </c>
      <c r="G1038" s="25">
        <f>Parameters!G520</f>
        <v>0</v>
      </c>
      <c r="H1038" s="25">
        <f>Parameters!H520</f>
        <v>0</v>
      </c>
      <c r="I1038" s="25">
        <f>Parameters!I520</f>
        <v>0</v>
      </c>
      <c r="J1038" s="25">
        <f>Parameters!J520</f>
        <v>0</v>
      </c>
      <c r="K1038" s="25">
        <f>Parameters!K520</f>
        <v>0</v>
      </c>
      <c r="L1038" s="26" t="e">
        <f t="shared" ref="L1038" si="1551">L1039</f>
        <v>#DIV/0!</v>
      </c>
      <c r="M1038" s="25">
        <f>Parameters!L520</f>
        <v>0</v>
      </c>
      <c r="N1038" s="25">
        <f>Parameters!M520</f>
        <v>0</v>
      </c>
      <c r="O1038" s="26" t="e">
        <f t="shared" ref="O1038" si="1552">O1039</f>
        <v>#DIV/0!</v>
      </c>
      <c r="P1038" s="23">
        <f>Parameters!N520</f>
        <v>0</v>
      </c>
      <c r="Q1038" s="23">
        <f>Parameters!O520</f>
        <v>0</v>
      </c>
      <c r="R1038" s="23">
        <f>Parameters!P520</f>
        <v>0</v>
      </c>
      <c r="S1038" s="23">
        <f>Parameters!Q520</f>
        <v>0</v>
      </c>
      <c r="T1038" s="23">
        <f>Parameters!R520</f>
        <v>0</v>
      </c>
      <c r="U1038" s="27">
        <f>Parameters!S520</f>
        <v>0</v>
      </c>
      <c r="V1038" s="28">
        <f>Parameters!T520</f>
        <v>0</v>
      </c>
      <c r="W1038" s="27">
        <f>Parameters!U520</f>
        <v>0</v>
      </c>
      <c r="X1038" s="28">
        <f>Parameters!V520</f>
        <v>0</v>
      </c>
      <c r="Y1038" s="25">
        <f>Parameters!W520</f>
        <v>0</v>
      </c>
      <c r="Z1038" s="23">
        <f>Parameters!X520</f>
        <v>0</v>
      </c>
      <c r="AA1038" s="27">
        <f>Parameters!Y520</f>
        <v>0</v>
      </c>
      <c r="AB1038" s="28">
        <f>Parameters!Z520</f>
        <v>0</v>
      </c>
      <c r="AC1038" s="23">
        <f>Parameters!AA520</f>
        <v>0</v>
      </c>
    </row>
    <row r="1039" spans="1:29">
      <c r="A1039" s="29" t="str">
        <f>UPPER(A1038)</f>
        <v>0</v>
      </c>
      <c r="B1039" s="29">
        <f>B1038</f>
        <v>0</v>
      </c>
      <c r="C1039" s="30">
        <f>C1038</f>
        <v>0</v>
      </c>
      <c r="D1039" s="30">
        <f>D1038</f>
        <v>0</v>
      </c>
      <c r="E1039" s="29">
        <f>E1038</f>
        <v>0</v>
      </c>
      <c r="F1039" s="29">
        <f>F1038</f>
        <v>0</v>
      </c>
      <c r="G1039" s="29" t="e">
        <f>IF(C1038=1,IF(D1038="BUY",E1038+(ROUND(F1038*G1038/B1038,0)*B1038),E1038-(ROUND(F1038*G1038/B1038,0)*B1038)),IF(D1038="BUY",E1038-(ROUND(F1038*G1038/B1038,0)*B1038),E1038+(ROUND(F1038*G1038/B1038,0)*B1038)))</f>
        <v>#DIV/0!</v>
      </c>
      <c r="H1039" s="29" t="e">
        <f>IF(C1038=1,IF(D1038="BUY",G1039-(ROUND(F1038*H1038/B1038,0)*B1038),G1039+(ROUND(F1038*H1038/B1038,0)*B1038)),IF(D1038="BUY",G1039+(ROUND(F1038*H1038/B1038,0)*B1038),G1039-(ROUND(F1038*H1038/B1038,0)*B1038)))</f>
        <v>#DIV/0!</v>
      </c>
      <c r="I1039" s="29" t="e">
        <f>IF(D1038="BUY",G1039+(ROUND(F1038*I1038/(B1038*100),0)*B1038),G1039-(ROUND(F1038*I1038/(B1038*100),0)*B1038))</f>
        <v>#DIV/0!</v>
      </c>
      <c r="J1039" s="29" t="e">
        <f>IF(C1038=1,IF(D1038="BUY",E1038+(ROUND(F1038*J1038/B1038,0)*B1038),E1038-(ROUND(F1038*J1038/B1038,0)*B1038)),IF(D1038="BUY",E1038-(ROUND(F1038*J1038/B1038,0)*B1038),E1038+(ROUND(F1038*J1038/B1038,0)*B1038)))</f>
        <v>#DIV/0!</v>
      </c>
      <c r="K1039" s="29" t="e">
        <f>IF(C1038=1,IF(D1038="BUY",E1038-(ROUND(F1038*K1038/B1038,0)*B1038),E1038+(ROUND(F1038*K1038/B1038,0)*B1038)),IF(D1038="BUY",E1038-(ROUND(F1038*K1038/B1038,0)*B1038),E1038+(ROUND(F1038*K1038/B1038,0)*B1038)))</f>
        <v>#DIV/0!</v>
      </c>
      <c r="L1039" s="29" t="e">
        <f t="shared" ref="L1039" si="1553">IF(D1039="BUY",I1039+(R1039*B1039),I1039-(R1039*B1039))</f>
        <v>#DIV/0!</v>
      </c>
      <c r="M1039" s="29" t="e">
        <f>IF(D1038="BUY",E1038+(ROUND(F1038*M1038/B1038,0)*B1038),E1038-(ROUND(F1038*M1038/B1038,0)*B1038))</f>
        <v>#DIV/0!</v>
      </c>
      <c r="N1039" s="29" t="e">
        <f>IF(D1038="BUY",E1038-(ROUND(F1038*N1038/B1038,0)*B1038),E1038+(ROUND(F1038*N1038/B1038,0)*B1038))</f>
        <v>#DIV/0!</v>
      </c>
      <c r="O1039" s="31" t="e">
        <f>IF(D1039="BUY",N1039-VLOOKUP(A1039,Symbols!A$1:D$1000,4,FALSE),N1039+VLOOKUP(A1039,Symbols!A$1:D$1000,4,FALSE))</f>
        <v>#DIV/0!</v>
      </c>
      <c r="P1039" s="29">
        <f>P1038</f>
        <v>0</v>
      </c>
      <c r="Q1039" s="29">
        <f>Q1038</f>
        <v>0</v>
      </c>
      <c r="R1039" s="29">
        <f>R1038</f>
        <v>0</v>
      </c>
      <c r="S1039" s="29">
        <f>S1038</f>
        <v>0</v>
      </c>
      <c r="T1039" s="29">
        <f>T1038</f>
        <v>0</v>
      </c>
      <c r="U1039" s="29" t="e">
        <f>DATEDIF(DATE(1970,1,1),U1038,"D")*86400</f>
        <v>#NUM!</v>
      </c>
      <c r="V1039" s="29">
        <f>HOUR(V1038)*3600+MINUTE(V1038)*60+SECOND(V1038)</f>
        <v>0</v>
      </c>
      <c r="W1039" s="29" t="e">
        <f>DATEDIF(DATE(1970,1,1),W1038,"D")*86400</f>
        <v>#NUM!</v>
      </c>
      <c r="X1039" s="29">
        <f>HOUR(X1038)*3600+MINUTE(X1038)*60+SECOND(X1038)</f>
        <v>0</v>
      </c>
      <c r="Y1039" s="31">
        <f>(Y1038*B1039)</f>
        <v>0</v>
      </c>
      <c r="Z1039" s="29">
        <f>Z1038</f>
        <v>0</v>
      </c>
      <c r="AA1039" s="29" t="e">
        <f>DATEDIF(DATE(1970,1,1),AA1038,"D")*86400</f>
        <v>#NUM!</v>
      </c>
      <c r="AB1039" s="29">
        <f>HOUR(AB1038)*3600+MINUTE(AB1038)*60+SECOND(AB1038)</f>
        <v>0</v>
      </c>
      <c r="AC1039" s="29">
        <f>AC1038</f>
        <v>0</v>
      </c>
    </row>
    <row r="1040" spans="1:29">
      <c r="A1040" s="23">
        <f>Parameters!A521</f>
        <v>0</v>
      </c>
      <c r="B1040" s="23">
        <f>Parameters!B521</f>
        <v>0</v>
      </c>
      <c r="C1040" s="24">
        <f>Parameters!C521</f>
        <v>0</v>
      </c>
      <c r="D1040" s="24">
        <f>Parameters!D521</f>
        <v>0</v>
      </c>
      <c r="E1040" s="23">
        <f>Parameters!E521</f>
        <v>0</v>
      </c>
      <c r="F1040" s="23">
        <f>Parameters!F521</f>
        <v>0</v>
      </c>
      <c r="G1040" s="25">
        <f>Parameters!G521</f>
        <v>0</v>
      </c>
      <c r="H1040" s="25">
        <f>Parameters!H521</f>
        <v>0</v>
      </c>
      <c r="I1040" s="25">
        <f>Parameters!I521</f>
        <v>0</v>
      </c>
      <c r="J1040" s="25">
        <f>Parameters!J521</f>
        <v>0</v>
      </c>
      <c r="K1040" s="25">
        <f>Parameters!K521</f>
        <v>0</v>
      </c>
      <c r="L1040" s="26" t="e">
        <f t="shared" ref="L1040" si="1554">L1041</f>
        <v>#DIV/0!</v>
      </c>
      <c r="M1040" s="25">
        <f>Parameters!L521</f>
        <v>0</v>
      </c>
      <c r="N1040" s="25">
        <f>Parameters!M521</f>
        <v>0</v>
      </c>
      <c r="O1040" s="26" t="e">
        <f t="shared" ref="O1040" si="1555">O1041</f>
        <v>#DIV/0!</v>
      </c>
      <c r="P1040" s="23">
        <f>Parameters!N521</f>
        <v>0</v>
      </c>
      <c r="Q1040" s="23">
        <f>Parameters!O521</f>
        <v>0</v>
      </c>
      <c r="R1040" s="23">
        <f>Parameters!P521</f>
        <v>0</v>
      </c>
      <c r="S1040" s="23">
        <f>Parameters!Q521</f>
        <v>0</v>
      </c>
      <c r="T1040" s="23">
        <f>Parameters!R521</f>
        <v>0</v>
      </c>
      <c r="U1040" s="27">
        <f>Parameters!S521</f>
        <v>0</v>
      </c>
      <c r="V1040" s="28">
        <f>Parameters!T521</f>
        <v>0</v>
      </c>
      <c r="W1040" s="27">
        <f>Parameters!U521</f>
        <v>0</v>
      </c>
      <c r="X1040" s="28">
        <f>Parameters!V521</f>
        <v>0</v>
      </c>
      <c r="Y1040" s="25">
        <f>Parameters!W521</f>
        <v>0</v>
      </c>
      <c r="Z1040" s="23">
        <f>Parameters!X521</f>
        <v>0</v>
      </c>
      <c r="AA1040" s="27">
        <f>Parameters!Y521</f>
        <v>0</v>
      </c>
      <c r="AB1040" s="28">
        <f>Parameters!Z521</f>
        <v>0</v>
      </c>
      <c r="AC1040" s="23">
        <f>Parameters!AA521</f>
        <v>0</v>
      </c>
    </row>
    <row r="1041" spans="1:29">
      <c r="A1041" s="29" t="str">
        <f>UPPER(A1040)</f>
        <v>0</v>
      </c>
      <c r="B1041" s="29">
        <f>B1040</f>
        <v>0</v>
      </c>
      <c r="C1041" s="30">
        <f>C1040</f>
        <v>0</v>
      </c>
      <c r="D1041" s="30">
        <f>D1040</f>
        <v>0</v>
      </c>
      <c r="E1041" s="29">
        <f>E1040</f>
        <v>0</v>
      </c>
      <c r="F1041" s="29">
        <f>F1040</f>
        <v>0</v>
      </c>
      <c r="G1041" s="29" t="e">
        <f>IF(C1040=1,IF(D1040="BUY",E1040+(ROUND(F1040*G1040/B1040,0)*B1040),E1040-(ROUND(F1040*G1040/B1040,0)*B1040)),IF(D1040="BUY",E1040-(ROUND(F1040*G1040/B1040,0)*B1040),E1040+(ROUND(F1040*G1040/B1040,0)*B1040)))</f>
        <v>#DIV/0!</v>
      </c>
      <c r="H1041" s="29" t="e">
        <f>IF(C1040=1,IF(D1040="BUY",G1041-(ROUND(F1040*H1040/B1040,0)*B1040),G1041+(ROUND(F1040*H1040/B1040,0)*B1040)),IF(D1040="BUY",G1041+(ROUND(F1040*H1040/B1040,0)*B1040),G1041-(ROUND(F1040*H1040/B1040,0)*B1040)))</f>
        <v>#DIV/0!</v>
      </c>
      <c r="I1041" s="29" t="e">
        <f>IF(D1040="BUY",G1041+(ROUND(F1040*I1040/(B1040*100),0)*B1040),G1041-(ROUND(F1040*I1040/(B1040*100),0)*B1040))</f>
        <v>#DIV/0!</v>
      </c>
      <c r="J1041" s="29" t="e">
        <f>IF(C1040=1,IF(D1040="BUY",E1040+(ROUND(F1040*J1040/B1040,0)*B1040),E1040-(ROUND(F1040*J1040/B1040,0)*B1040)),IF(D1040="BUY",E1040-(ROUND(F1040*J1040/B1040,0)*B1040),E1040+(ROUND(F1040*J1040/B1040,0)*B1040)))</f>
        <v>#DIV/0!</v>
      </c>
      <c r="K1041" s="29" t="e">
        <f>IF(C1040=1,IF(D1040="BUY",E1040-(ROUND(F1040*K1040/B1040,0)*B1040),E1040+(ROUND(F1040*K1040/B1040,0)*B1040)),IF(D1040="BUY",E1040-(ROUND(F1040*K1040/B1040,0)*B1040),E1040+(ROUND(F1040*K1040/B1040,0)*B1040)))</f>
        <v>#DIV/0!</v>
      </c>
      <c r="L1041" s="29" t="e">
        <f t="shared" ref="L1041" si="1556">IF(D1041="BUY",I1041+(R1041*B1041),I1041-(R1041*B1041))</f>
        <v>#DIV/0!</v>
      </c>
      <c r="M1041" s="29" t="e">
        <f>IF(D1040="BUY",E1040+(ROUND(F1040*M1040/B1040,0)*B1040),E1040-(ROUND(F1040*M1040/B1040,0)*B1040))</f>
        <v>#DIV/0!</v>
      </c>
      <c r="N1041" s="29" t="e">
        <f>IF(D1040="BUY",E1040-(ROUND(F1040*N1040/B1040,0)*B1040),E1040+(ROUND(F1040*N1040/B1040,0)*B1040))</f>
        <v>#DIV/0!</v>
      </c>
      <c r="O1041" s="31" t="e">
        <f>IF(D1041="BUY",N1041-VLOOKUP(A1041,Symbols!A$1:D$1000,4,FALSE),N1041+VLOOKUP(A1041,Symbols!A$1:D$1000,4,FALSE))</f>
        <v>#DIV/0!</v>
      </c>
      <c r="P1041" s="29">
        <f>P1040</f>
        <v>0</v>
      </c>
      <c r="Q1041" s="29">
        <f>Q1040</f>
        <v>0</v>
      </c>
      <c r="R1041" s="29">
        <f>R1040</f>
        <v>0</v>
      </c>
      <c r="S1041" s="29">
        <f>S1040</f>
        <v>0</v>
      </c>
      <c r="T1041" s="29">
        <f>T1040</f>
        <v>0</v>
      </c>
      <c r="U1041" s="29" t="e">
        <f>DATEDIF(DATE(1970,1,1),U1040,"D")*86400</f>
        <v>#NUM!</v>
      </c>
      <c r="V1041" s="29">
        <f>HOUR(V1040)*3600+MINUTE(V1040)*60+SECOND(V1040)</f>
        <v>0</v>
      </c>
      <c r="W1041" s="29" t="e">
        <f>DATEDIF(DATE(1970,1,1),W1040,"D")*86400</f>
        <v>#NUM!</v>
      </c>
      <c r="X1041" s="29">
        <f>HOUR(X1040)*3600+MINUTE(X1040)*60+SECOND(X1040)</f>
        <v>0</v>
      </c>
      <c r="Y1041" s="31">
        <f>(Y1040*B1041)</f>
        <v>0</v>
      </c>
      <c r="Z1041" s="29">
        <f>Z1040</f>
        <v>0</v>
      </c>
      <c r="AA1041" s="29" t="e">
        <f>DATEDIF(DATE(1970,1,1),AA1040,"D")*86400</f>
        <v>#NUM!</v>
      </c>
      <c r="AB1041" s="29">
        <f>HOUR(AB1040)*3600+MINUTE(AB1040)*60+SECOND(AB1040)</f>
        <v>0</v>
      </c>
      <c r="AC1041" s="29">
        <f>AC1040</f>
        <v>0</v>
      </c>
    </row>
    <row r="1042" spans="1:29">
      <c r="A1042" s="23">
        <f>Parameters!A522</f>
        <v>0</v>
      </c>
      <c r="B1042" s="23">
        <f>Parameters!B522</f>
        <v>0</v>
      </c>
      <c r="C1042" s="24">
        <f>Parameters!C522</f>
        <v>0</v>
      </c>
      <c r="D1042" s="24">
        <f>Parameters!D522</f>
        <v>0</v>
      </c>
      <c r="E1042" s="23">
        <f>Parameters!E522</f>
        <v>0</v>
      </c>
      <c r="F1042" s="23">
        <f>Parameters!F522</f>
        <v>0</v>
      </c>
      <c r="G1042" s="25">
        <f>Parameters!G522</f>
        <v>0</v>
      </c>
      <c r="H1042" s="25">
        <f>Parameters!H522</f>
        <v>0</v>
      </c>
      <c r="I1042" s="25">
        <f>Parameters!I522</f>
        <v>0</v>
      </c>
      <c r="J1042" s="25">
        <f>Parameters!J522</f>
        <v>0</v>
      </c>
      <c r="K1042" s="25">
        <f>Parameters!K522</f>
        <v>0</v>
      </c>
      <c r="L1042" s="26" t="e">
        <f t="shared" ref="L1042" si="1557">L1043</f>
        <v>#DIV/0!</v>
      </c>
      <c r="M1042" s="25">
        <f>Parameters!L522</f>
        <v>0</v>
      </c>
      <c r="N1042" s="25">
        <f>Parameters!M522</f>
        <v>0</v>
      </c>
      <c r="O1042" s="26" t="e">
        <f t="shared" ref="O1042" si="1558">O1043</f>
        <v>#DIV/0!</v>
      </c>
      <c r="P1042" s="23">
        <f>Parameters!N522</f>
        <v>0</v>
      </c>
      <c r="Q1042" s="23">
        <f>Parameters!O522</f>
        <v>0</v>
      </c>
      <c r="R1042" s="23">
        <f>Parameters!P522</f>
        <v>0</v>
      </c>
      <c r="S1042" s="23">
        <f>Parameters!Q522</f>
        <v>0</v>
      </c>
      <c r="T1042" s="23">
        <f>Parameters!R522</f>
        <v>0</v>
      </c>
      <c r="U1042" s="27">
        <f>Parameters!S522</f>
        <v>0</v>
      </c>
      <c r="V1042" s="28">
        <f>Parameters!T522</f>
        <v>0</v>
      </c>
      <c r="W1042" s="27">
        <f>Parameters!U522</f>
        <v>0</v>
      </c>
      <c r="X1042" s="28">
        <f>Parameters!V522</f>
        <v>0</v>
      </c>
      <c r="Y1042" s="25">
        <f>Parameters!W522</f>
        <v>0</v>
      </c>
      <c r="Z1042" s="23">
        <f>Parameters!X522</f>
        <v>0</v>
      </c>
      <c r="AA1042" s="27">
        <f>Parameters!Y522</f>
        <v>0</v>
      </c>
      <c r="AB1042" s="28">
        <f>Parameters!Z522</f>
        <v>0</v>
      </c>
      <c r="AC1042" s="23">
        <f>Parameters!AA522</f>
        <v>0</v>
      </c>
    </row>
    <row r="1043" spans="1:29">
      <c r="A1043" s="29" t="str">
        <f>UPPER(A1042)</f>
        <v>0</v>
      </c>
      <c r="B1043" s="29">
        <f>B1042</f>
        <v>0</v>
      </c>
      <c r="C1043" s="30">
        <f>C1042</f>
        <v>0</v>
      </c>
      <c r="D1043" s="30">
        <f>D1042</f>
        <v>0</v>
      </c>
      <c r="E1043" s="29">
        <f>E1042</f>
        <v>0</v>
      </c>
      <c r="F1043" s="29">
        <f>F1042</f>
        <v>0</v>
      </c>
      <c r="G1043" s="29" t="e">
        <f>IF(C1042=1,IF(D1042="BUY",E1042+(ROUND(F1042*G1042/B1042,0)*B1042),E1042-(ROUND(F1042*G1042/B1042,0)*B1042)),IF(D1042="BUY",E1042-(ROUND(F1042*G1042/B1042,0)*B1042),E1042+(ROUND(F1042*G1042/B1042,0)*B1042)))</f>
        <v>#DIV/0!</v>
      </c>
      <c r="H1043" s="29" t="e">
        <f>IF(C1042=1,IF(D1042="BUY",G1043-(ROUND(F1042*H1042/B1042,0)*B1042),G1043+(ROUND(F1042*H1042/B1042,0)*B1042)),IF(D1042="BUY",G1043+(ROUND(F1042*H1042/B1042,0)*B1042),G1043-(ROUND(F1042*H1042/B1042,0)*B1042)))</f>
        <v>#DIV/0!</v>
      </c>
      <c r="I1043" s="29" t="e">
        <f>IF(D1042="BUY",G1043+(ROUND(F1042*I1042/(B1042*100),0)*B1042),G1043-(ROUND(F1042*I1042/(B1042*100),0)*B1042))</f>
        <v>#DIV/0!</v>
      </c>
      <c r="J1043" s="29" t="e">
        <f>IF(C1042=1,IF(D1042="BUY",E1042+(ROUND(F1042*J1042/B1042,0)*B1042),E1042-(ROUND(F1042*J1042/B1042,0)*B1042)),IF(D1042="BUY",E1042-(ROUND(F1042*J1042/B1042,0)*B1042),E1042+(ROUND(F1042*J1042/B1042,0)*B1042)))</f>
        <v>#DIV/0!</v>
      </c>
      <c r="K1043" s="29" t="e">
        <f>IF(C1042=1,IF(D1042="BUY",E1042-(ROUND(F1042*K1042/B1042,0)*B1042),E1042+(ROUND(F1042*K1042/B1042,0)*B1042)),IF(D1042="BUY",E1042-(ROUND(F1042*K1042/B1042,0)*B1042),E1042+(ROUND(F1042*K1042/B1042,0)*B1042)))</f>
        <v>#DIV/0!</v>
      </c>
      <c r="L1043" s="29" t="e">
        <f t="shared" ref="L1043" si="1559">IF(D1043="BUY",I1043+(R1043*B1043),I1043-(R1043*B1043))</f>
        <v>#DIV/0!</v>
      </c>
      <c r="M1043" s="29" t="e">
        <f>IF(D1042="BUY",E1042+(ROUND(F1042*M1042/B1042,0)*B1042),E1042-(ROUND(F1042*M1042/B1042,0)*B1042))</f>
        <v>#DIV/0!</v>
      </c>
      <c r="N1043" s="29" t="e">
        <f>IF(D1042="BUY",E1042-(ROUND(F1042*N1042/B1042,0)*B1042),E1042+(ROUND(F1042*N1042/B1042,0)*B1042))</f>
        <v>#DIV/0!</v>
      </c>
      <c r="O1043" s="31" t="e">
        <f>IF(D1043="BUY",N1043-VLOOKUP(A1043,Symbols!A$1:D$1000,4,FALSE),N1043+VLOOKUP(A1043,Symbols!A$1:D$1000,4,FALSE))</f>
        <v>#DIV/0!</v>
      </c>
      <c r="P1043" s="29">
        <f>P1042</f>
        <v>0</v>
      </c>
      <c r="Q1043" s="29">
        <f>Q1042</f>
        <v>0</v>
      </c>
      <c r="R1043" s="29">
        <f>R1042</f>
        <v>0</v>
      </c>
      <c r="S1043" s="29">
        <f>S1042</f>
        <v>0</v>
      </c>
      <c r="T1043" s="29">
        <f>T1042</f>
        <v>0</v>
      </c>
      <c r="U1043" s="29" t="e">
        <f>DATEDIF(DATE(1970,1,1),U1042,"D")*86400</f>
        <v>#NUM!</v>
      </c>
      <c r="V1043" s="29">
        <f>HOUR(V1042)*3600+MINUTE(V1042)*60+SECOND(V1042)</f>
        <v>0</v>
      </c>
      <c r="W1043" s="29" t="e">
        <f>DATEDIF(DATE(1970,1,1),W1042,"D")*86400</f>
        <v>#NUM!</v>
      </c>
      <c r="X1043" s="29">
        <f>HOUR(X1042)*3600+MINUTE(X1042)*60+SECOND(X1042)</f>
        <v>0</v>
      </c>
      <c r="Y1043" s="31">
        <f>(Y1042*B1043)</f>
        <v>0</v>
      </c>
      <c r="Z1043" s="29">
        <f>Z1042</f>
        <v>0</v>
      </c>
      <c r="AA1043" s="29" t="e">
        <f>DATEDIF(DATE(1970,1,1),AA1042,"D")*86400</f>
        <v>#NUM!</v>
      </c>
      <c r="AB1043" s="29">
        <f>HOUR(AB1042)*3600+MINUTE(AB1042)*60+SECOND(AB1042)</f>
        <v>0</v>
      </c>
      <c r="AC1043" s="29">
        <f>AC1042</f>
        <v>0</v>
      </c>
    </row>
    <row r="1044" spans="1:29">
      <c r="A1044" s="23">
        <f>Parameters!A523</f>
        <v>0</v>
      </c>
      <c r="B1044" s="23">
        <f>Parameters!B523</f>
        <v>0</v>
      </c>
      <c r="C1044" s="24">
        <f>Parameters!C523</f>
        <v>0</v>
      </c>
      <c r="D1044" s="24">
        <f>Parameters!D523</f>
        <v>0</v>
      </c>
      <c r="E1044" s="23">
        <f>Parameters!E523</f>
        <v>0</v>
      </c>
      <c r="F1044" s="23">
        <f>Parameters!F523</f>
        <v>0</v>
      </c>
      <c r="G1044" s="25">
        <f>Parameters!G523</f>
        <v>0</v>
      </c>
      <c r="H1044" s="25">
        <f>Parameters!H523</f>
        <v>0</v>
      </c>
      <c r="I1044" s="25">
        <f>Parameters!I523</f>
        <v>0</v>
      </c>
      <c r="J1044" s="25">
        <f>Parameters!J523</f>
        <v>0</v>
      </c>
      <c r="K1044" s="25">
        <f>Parameters!K523</f>
        <v>0</v>
      </c>
      <c r="L1044" s="26" t="e">
        <f t="shared" ref="L1044" si="1560">L1045</f>
        <v>#DIV/0!</v>
      </c>
      <c r="M1044" s="25">
        <f>Parameters!L523</f>
        <v>0</v>
      </c>
      <c r="N1044" s="25">
        <f>Parameters!M523</f>
        <v>0</v>
      </c>
      <c r="O1044" s="26" t="e">
        <f t="shared" ref="O1044" si="1561">O1045</f>
        <v>#DIV/0!</v>
      </c>
      <c r="P1044" s="23">
        <f>Parameters!N523</f>
        <v>0</v>
      </c>
      <c r="Q1044" s="23">
        <f>Parameters!O523</f>
        <v>0</v>
      </c>
      <c r="R1044" s="23">
        <f>Parameters!P523</f>
        <v>0</v>
      </c>
      <c r="S1044" s="23">
        <f>Parameters!Q523</f>
        <v>0</v>
      </c>
      <c r="T1044" s="23">
        <f>Parameters!R523</f>
        <v>0</v>
      </c>
      <c r="U1044" s="27">
        <f>Parameters!S523</f>
        <v>0</v>
      </c>
      <c r="V1044" s="28">
        <f>Parameters!T523</f>
        <v>0</v>
      </c>
      <c r="W1044" s="27">
        <f>Parameters!U523</f>
        <v>0</v>
      </c>
      <c r="X1044" s="28">
        <f>Parameters!V523</f>
        <v>0</v>
      </c>
      <c r="Y1044" s="25">
        <f>Parameters!W523</f>
        <v>0</v>
      </c>
      <c r="Z1044" s="23">
        <f>Parameters!X523</f>
        <v>0</v>
      </c>
      <c r="AA1044" s="27">
        <f>Parameters!Y523</f>
        <v>0</v>
      </c>
      <c r="AB1044" s="28">
        <f>Parameters!Z523</f>
        <v>0</v>
      </c>
      <c r="AC1044" s="23">
        <f>Parameters!AA523</f>
        <v>0</v>
      </c>
    </row>
    <row r="1045" spans="1:29">
      <c r="A1045" s="29" t="str">
        <f>UPPER(A1044)</f>
        <v>0</v>
      </c>
      <c r="B1045" s="29">
        <f>B1044</f>
        <v>0</v>
      </c>
      <c r="C1045" s="30">
        <f>C1044</f>
        <v>0</v>
      </c>
      <c r="D1045" s="30">
        <f>D1044</f>
        <v>0</v>
      </c>
      <c r="E1045" s="29">
        <f>E1044</f>
        <v>0</v>
      </c>
      <c r="F1045" s="29">
        <f>F1044</f>
        <v>0</v>
      </c>
      <c r="G1045" s="29" t="e">
        <f>IF(C1044=1,IF(D1044="BUY",E1044+(ROUND(F1044*G1044/B1044,0)*B1044),E1044-(ROUND(F1044*G1044/B1044,0)*B1044)),IF(D1044="BUY",E1044-(ROUND(F1044*G1044/B1044,0)*B1044),E1044+(ROUND(F1044*G1044/B1044,0)*B1044)))</f>
        <v>#DIV/0!</v>
      </c>
      <c r="H1045" s="29" t="e">
        <f>IF(C1044=1,IF(D1044="BUY",G1045-(ROUND(F1044*H1044/B1044,0)*B1044),G1045+(ROUND(F1044*H1044/B1044,0)*B1044)),IF(D1044="BUY",G1045+(ROUND(F1044*H1044/B1044,0)*B1044),G1045-(ROUND(F1044*H1044/B1044,0)*B1044)))</f>
        <v>#DIV/0!</v>
      </c>
      <c r="I1045" s="29" t="e">
        <f>IF(D1044="BUY",G1045+(ROUND(F1044*I1044/(B1044*100),0)*B1044),G1045-(ROUND(F1044*I1044/(B1044*100),0)*B1044))</f>
        <v>#DIV/0!</v>
      </c>
      <c r="J1045" s="29" t="e">
        <f>IF(C1044=1,IF(D1044="BUY",E1044+(ROUND(F1044*J1044/B1044,0)*B1044),E1044-(ROUND(F1044*J1044/B1044,0)*B1044)),IF(D1044="BUY",E1044-(ROUND(F1044*J1044/B1044,0)*B1044),E1044+(ROUND(F1044*J1044/B1044,0)*B1044)))</f>
        <v>#DIV/0!</v>
      </c>
      <c r="K1045" s="29" t="e">
        <f>IF(C1044=1,IF(D1044="BUY",E1044-(ROUND(F1044*K1044/B1044,0)*B1044),E1044+(ROUND(F1044*K1044/B1044,0)*B1044)),IF(D1044="BUY",E1044-(ROUND(F1044*K1044/B1044,0)*B1044),E1044+(ROUND(F1044*K1044/B1044,0)*B1044)))</f>
        <v>#DIV/0!</v>
      </c>
      <c r="L1045" s="29" t="e">
        <f t="shared" ref="L1045" si="1562">IF(D1045="BUY",I1045+(R1045*B1045),I1045-(R1045*B1045))</f>
        <v>#DIV/0!</v>
      </c>
      <c r="M1045" s="29" t="e">
        <f>IF(D1044="BUY",E1044+(ROUND(F1044*M1044/B1044,0)*B1044),E1044-(ROUND(F1044*M1044/B1044,0)*B1044))</f>
        <v>#DIV/0!</v>
      </c>
      <c r="N1045" s="29" t="e">
        <f>IF(D1044="BUY",E1044-(ROUND(F1044*N1044/B1044,0)*B1044),E1044+(ROUND(F1044*N1044/B1044,0)*B1044))</f>
        <v>#DIV/0!</v>
      </c>
      <c r="O1045" s="31" t="e">
        <f>IF(D1045="BUY",N1045-VLOOKUP(A1045,Symbols!A$1:D$1000,4,FALSE),N1045+VLOOKUP(A1045,Symbols!A$1:D$1000,4,FALSE))</f>
        <v>#DIV/0!</v>
      </c>
      <c r="P1045" s="29">
        <f>P1044</f>
        <v>0</v>
      </c>
      <c r="Q1045" s="29">
        <f>Q1044</f>
        <v>0</v>
      </c>
      <c r="R1045" s="29">
        <f>R1044</f>
        <v>0</v>
      </c>
      <c r="S1045" s="29">
        <f>S1044</f>
        <v>0</v>
      </c>
      <c r="T1045" s="29">
        <f>T1044</f>
        <v>0</v>
      </c>
      <c r="U1045" s="29" t="e">
        <f>DATEDIF(DATE(1970,1,1),U1044,"D")*86400</f>
        <v>#NUM!</v>
      </c>
      <c r="V1045" s="29">
        <f>HOUR(V1044)*3600+MINUTE(V1044)*60+SECOND(V1044)</f>
        <v>0</v>
      </c>
      <c r="W1045" s="29" t="e">
        <f>DATEDIF(DATE(1970,1,1),W1044,"D")*86400</f>
        <v>#NUM!</v>
      </c>
      <c r="X1045" s="29">
        <f>HOUR(X1044)*3600+MINUTE(X1044)*60+SECOND(X1044)</f>
        <v>0</v>
      </c>
      <c r="Y1045" s="31">
        <f>(Y1044*B1045)</f>
        <v>0</v>
      </c>
      <c r="Z1045" s="29">
        <f>Z1044</f>
        <v>0</v>
      </c>
      <c r="AA1045" s="29" t="e">
        <f>DATEDIF(DATE(1970,1,1),AA1044,"D")*86400</f>
        <v>#NUM!</v>
      </c>
      <c r="AB1045" s="29">
        <f>HOUR(AB1044)*3600+MINUTE(AB1044)*60+SECOND(AB1044)</f>
        <v>0</v>
      </c>
      <c r="AC1045" s="29">
        <f>AC1044</f>
        <v>0</v>
      </c>
    </row>
    <row r="1046" spans="1:29">
      <c r="A1046" s="23">
        <f>Parameters!A524</f>
        <v>0</v>
      </c>
      <c r="B1046" s="23">
        <f>Parameters!B524</f>
        <v>0</v>
      </c>
      <c r="C1046" s="24">
        <f>Parameters!C524</f>
        <v>0</v>
      </c>
      <c r="D1046" s="24">
        <f>Parameters!D524</f>
        <v>0</v>
      </c>
      <c r="E1046" s="23">
        <f>Parameters!E524</f>
        <v>0</v>
      </c>
      <c r="F1046" s="23">
        <f>Parameters!F524</f>
        <v>0</v>
      </c>
      <c r="G1046" s="25">
        <f>Parameters!G524</f>
        <v>0</v>
      </c>
      <c r="H1046" s="25">
        <f>Parameters!H524</f>
        <v>0</v>
      </c>
      <c r="I1046" s="25">
        <f>Parameters!I524</f>
        <v>0</v>
      </c>
      <c r="J1046" s="25">
        <f>Parameters!J524</f>
        <v>0</v>
      </c>
      <c r="K1046" s="25">
        <f>Parameters!K524</f>
        <v>0</v>
      </c>
      <c r="L1046" s="26" t="e">
        <f t="shared" ref="L1046" si="1563">L1047</f>
        <v>#DIV/0!</v>
      </c>
      <c r="M1046" s="25">
        <f>Parameters!L524</f>
        <v>0</v>
      </c>
      <c r="N1046" s="25">
        <f>Parameters!M524</f>
        <v>0</v>
      </c>
      <c r="O1046" s="26" t="e">
        <f t="shared" ref="O1046" si="1564">O1047</f>
        <v>#DIV/0!</v>
      </c>
      <c r="P1046" s="23">
        <f>Parameters!N524</f>
        <v>0</v>
      </c>
      <c r="Q1046" s="23">
        <f>Parameters!O524</f>
        <v>0</v>
      </c>
      <c r="R1046" s="23">
        <f>Parameters!P524</f>
        <v>0</v>
      </c>
      <c r="S1046" s="23">
        <f>Parameters!Q524</f>
        <v>0</v>
      </c>
      <c r="T1046" s="23">
        <f>Parameters!R524</f>
        <v>0</v>
      </c>
      <c r="U1046" s="27">
        <f>Parameters!S524</f>
        <v>0</v>
      </c>
      <c r="V1046" s="28">
        <f>Parameters!T524</f>
        <v>0</v>
      </c>
      <c r="W1046" s="27">
        <f>Parameters!U524</f>
        <v>0</v>
      </c>
      <c r="X1046" s="28">
        <f>Parameters!V524</f>
        <v>0</v>
      </c>
      <c r="Y1046" s="25">
        <f>Parameters!W524</f>
        <v>0</v>
      </c>
      <c r="Z1046" s="23">
        <f>Parameters!X524</f>
        <v>0</v>
      </c>
      <c r="AA1046" s="27">
        <f>Parameters!Y524</f>
        <v>0</v>
      </c>
      <c r="AB1046" s="28">
        <f>Parameters!Z524</f>
        <v>0</v>
      </c>
      <c r="AC1046" s="23">
        <f>Parameters!AA524</f>
        <v>0</v>
      </c>
    </row>
    <row r="1047" spans="1:29">
      <c r="A1047" s="29" t="str">
        <f>UPPER(A1046)</f>
        <v>0</v>
      </c>
      <c r="B1047" s="29">
        <f>B1046</f>
        <v>0</v>
      </c>
      <c r="C1047" s="30">
        <f>C1046</f>
        <v>0</v>
      </c>
      <c r="D1047" s="30">
        <f>D1046</f>
        <v>0</v>
      </c>
      <c r="E1047" s="29">
        <f>E1046</f>
        <v>0</v>
      </c>
      <c r="F1047" s="29">
        <f>F1046</f>
        <v>0</v>
      </c>
      <c r="G1047" s="29" t="e">
        <f>IF(C1046=1,IF(D1046="BUY",E1046+(ROUND(F1046*G1046/B1046,0)*B1046),E1046-(ROUND(F1046*G1046/B1046,0)*B1046)),IF(D1046="BUY",E1046-(ROUND(F1046*G1046/B1046,0)*B1046),E1046+(ROUND(F1046*G1046/B1046,0)*B1046)))</f>
        <v>#DIV/0!</v>
      </c>
      <c r="H1047" s="29" t="e">
        <f>IF(C1046=1,IF(D1046="BUY",G1047-(ROUND(F1046*H1046/B1046,0)*B1046),G1047+(ROUND(F1046*H1046/B1046,0)*B1046)),IF(D1046="BUY",G1047+(ROUND(F1046*H1046/B1046,0)*B1046),G1047-(ROUND(F1046*H1046/B1046,0)*B1046)))</f>
        <v>#DIV/0!</v>
      </c>
      <c r="I1047" s="29" t="e">
        <f>IF(D1046="BUY",G1047+(ROUND(F1046*I1046/(B1046*100),0)*B1046),G1047-(ROUND(F1046*I1046/(B1046*100),0)*B1046))</f>
        <v>#DIV/0!</v>
      </c>
      <c r="J1047" s="29" t="e">
        <f>IF(C1046=1,IF(D1046="BUY",E1046+(ROUND(F1046*J1046/B1046,0)*B1046),E1046-(ROUND(F1046*J1046/B1046,0)*B1046)),IF(D1046="BUY",E1046-(ROUND(F1046*J1046/B1046,0)*B1046),E1046+(ROUND(F1046*J1046/B1046,0)*B1046)))</f>
        <v>#DIV/0!</v>
      </c>
      <c r="K1047" s="29" t="e">
        <f>IF(C1046=1,IF(D1046="BUY",E1046-(ROUND(F1046*K1046/B1046,0)*B1046),E1046+(ROUND(F1046*K1046/B1046,0)*B1046)),IF(D1046="BUY",E1046-(ROUND(F1046*K1046/B1046,0)*B1046),E1046+(ROUND(F1046*K1046/B1046,0)*B1046)))</f>
        <v>#DIV/0!</v>
      </c>
      <c r="L1047" s="29" t="e">
        <f t="shared" ref="L1047" si="1565">IF(D1047="BUY",I1047+(R1047*B1047),I1047-(R1047*B1047))</f>
        <v>#DIV/0!</v>
      </c>
      <c r="M1047" s="29" t="e">
        <f>IF(D1046="BUY",E1046+(ROUND(F1046*M1046/B1046,0)*B1046),E1046-(ROUND(F1046*M1046/B1046,0)*B1046))</f>
        <v>#DIV/0!</v>
      </c>
      <c r="N1047" s="29" t="e">
        <f>IF(D1046="BUY",E1046-(ROUND(F1046*N1046/B1046,0)*B1046),E1046+(ROUND(F1046*N1046/B1046,0)*B1046))</f>
        <v>#DIV/0!</v>
      </c>
      <c r="O1047" s="31" t="e">
        <f>IF(D1047="BUY",N1047-VLOOKUP(A1047,Symbols!A$1:D$1000,4,FALSE),N1047+VLOOKUP(A1047,Symbols!A$1:D$1000,4,FALSE))</f>
        <v>#DIV/0!</v>
      </c>
      <c r="P1047" s="29">
        <f>P1046</f>
        <v>0</v>
      </c>
      <c r="Q1047" s="29">
        <f>Q1046</f>
        <v>0</v>
      </c>
      <c r="R1047" s="29">
        <f>R1046</f>
        <v>0</v>
      </c>
      <c r="S1047" s="29">
        <f>S1046</f>
        <v>0</v>
      </c>
      <c r="T1047" s="29">
        <f>T1046</f>
        <v>0</v>
      </c>
      <c r="U1047" s="29" t="e">
        <f>DATEDIF(DATE(1970,1,1),U1046,"D")*86400</f>
        <v>#NUM!</v>
      </c>
      <c r="V1047" s="29">
        <f>HOUR(V1046)*3600+MINUTE(V1046)*60+SECOND(V1046)</f>
        <v>0</v>
      </c>
      <c r="W1047" s="29" t="e">
        <f>DATEDIF(DATE(1970,1,1),W1046,"D")*86400</f>
        <v>#NUM!</v>
      </c>
      <c r="X1047" s="29">
        <f>HOUR(X1046)*3600+MINUTE(X1046)*60+SECOND(X1046)</f>
        <v>0</v>
      </c>
      <c r="Y1047" s="31">
        <f>(Y1046*B1047)</f>
        <v>0</v>
      </c>
      <c r="Z1047" s="29">
        <f>Z1046</f>
        <v>0</v>
      </c>
      <c r="AA1047" s="29" t="e">
        <f>DATEDIF(DATE(1970,1,1),AA1046,"D")*86400</f>
        <v>#NUM!</v>
      </c>
      <c r="AB1047" s="29">
        <f>HOUR(AB1046)*3600+MINUTE(AB1046)*60+SECOND(AB1046)</f>
        <v>0</v>
      </c>
      <c r="AC1047" s="29">
        <f>AC1046</f>
        <v>0</v>
      </c>
    </row>
    <row r="1048" spans="1:29">
      <c r="A1048" s="23">
        <f>Parameters!A525</f>
        <v>0</v>
      </c>
      <c r="B1048" s="23">
        <f>Parameters!B525</f>
        <v>0</v>
      </c>
      <c r="C1048" s="24">
        <f>Parameters!C525</f>
        <v>0</v>
      </c>
      <c r="D1048" s="24">
        <f>Parameters!D525</f>
        <v>0</v>
      </c>
      <c r="E1048" s="23">
        <f>Parameters!E525</f>
        <v>0</v>
      </c>
      <c r="F1048" s="23">
        <f>Parameters!F525</f>
        <v>0</v>
      </c>
      <c r="G1048" s="25">
        <f>Parameters!G525</f>
        <v>0</v>
      </c>
      <c r="H1048" s="25">
        <f>Parameters!H525</f>
        <v>0</v>
      </c>
      <c r="I1048" s="25">
        <f>Parameters!I525</f>
        <v>0</v>
      </c>
      <c r="J1048" s="25">
        <f>Parameters!J525</f>
        <v>0</v>
      </c>
      <c r="K1048" s="25">
        <f>Parameters!K525</f>
        <v>0</v>
      </c>
      <c r="L1048" s="26" t="e">
        <f t="shared" ref="L1048" si="1566">L1049</f>
        <v>#DIV/0!</v>
      </c>
      <c r="M1048" s="25">
        <f>Parameters!L525</f>
        <v>0</v>
      </c>
      <c r="N1048" s="25">
        <f>Parameters!M525</f>
        <v>0</v>
      </c>
      <c r="O1048" s="26" t="e">
        <f t="shared" ref="O1048" si="1567">O1049</f>
        <v>#DIV/0!</v>
      </c>
      <c r="P1048" s="23">
        <f>Parameters!N525</f>
        <v>0</v>
      </c>
      <c r="Q1048" s="23">
        <f>Parameters!O525</f>
        <v>0</v>
      </c>
      <c r="R1048" s="23">
        <f>Parameters!P525</f>
        <v>0</v>
      </c>
      <c r="S1048" s="23">
        <f>Parameters!Q525</f>
        <v>0</v>
      </c>
      <c r="T1048" s="23">
        <f>Parameters!R525</f>
        <v>0</v>
      </c>
      <c r="U1048" s="27">
        <f>Parameters!S525</f>
        <v>0</v>
      </c>
      <c r="V1048" s="28">
        <f>Parameters!T525</f>
        <v>0</v>
      </c>
      <c r="W1048" s="27">
        <f>Parameters!U525</f>
        <v>0</v>
      </c>
      <c r="X1048" s="28">
        <f>Parameters!V525</f>
        <v>0</v>
      </c>
      <c r="Y1048" s="25">
        <f>Parameters!W525</f>
        <v>0</v>
      </c>
      <c r="Z1048" s="23">
        <f>Parameters!X525</f>
        <v>0</v>
      </c>
      <c r="AA1048" s="27">
        <f>Parameters!Y525</f>
        <v>0</v>
      </c>
      <c r="AB1048" s="28">
        <f>Parameters!Z525</f>
        <v>0</v>
      </c>
      <c r="AC1048" s="23">
        <f>Parameters!AA525</f>
        <v>0</v>
      </c>
    </row>
    <row r="1049" spans="1:29">
      <c r="A1049" s="29" t="str">
        <f>UPPER(A1048)</f>
        <v>0</v>
      </c>
      <c r="B1049" s="29">
        <f>B1048</f>
        <v>0</v>
      </c>
      <c r="C1049" s="30">
        <f>C1048</f>
        <v>0</v>
      </c>
      <c r="D1049" s="30">
        <f>D1048</f>
        <v>0</v>
      </c>
      <c r="E1049" s="29">
        <f>E1048</f>
        <v>0</v>
      </c>
      <c r="F1049" s="29">
        <f>F1048</f>
        <v>0</v>
      </c>
      <c r="G1049" s="29" t="e">
        <f>IF(C1048=1,IF(D1048="BUY",E1048+(ROUND(F1048*G1048/B1048,0)*B1048),E1048-(ROUND(F1048*G1048/B1048,0)*B1048)),IF(D1048="BUY",E1048-(ROUND(F1048*G1048/B1048,0)*B1048),E1048+(ROUND(F1048*G1048/B1048,0)*B1048)))</f>
        <v>#DIV/0!</v>
      </c>
      <c r="H1049" s="29" t="e">
        <f>IF(C1048=1,IF(D1048="BUY",G1049-(ROUND(F1048*H1048/B1048,0)*B1048),G1049+(ROUND(F1048*H1048/B1048,0)*B1048)),IF(D1048="BUY",G1049+(ROUND(F1048*H1048/B1048,0)*B1048),G1049-(ROUND(F1048*H1048/B1048,0)*B1048)))</f>
        <v>#DIV/0!</v>
      </c>
      <c r="I1049" s="29" t="e">
        <f>IF(D1048="BUY",G1049+(ROUND(F1048*I1048/(B1048*100),0)*B1048),G1049-(ROUND(F1048*I1048/(B1048*100),0)*B1048))</f>
        <v>#DIV/0!</v>
      </c>
      <c r="J1049" s="29" t="e">
        <f>IF(C1048=1,IF(D1048="BUY",E1048+(ROUND(F1048*J1048/B1048,0)*B1048),E1048-(ROUND(F1048*J1048/B1048,0)*B1048)),IF(D1048="BUY",E1048-(ROUND(F1048*J1048/B1048,0)*B1048),E1048+(ROUND(F1048*J1048/B1048,0)*B1048)))</f>
        <v>#DIV/0!</v>
      </c>
      <c r="K1049" s="29" t="e">
        <f>IF(C1048=1,IF(D1048="BUY",E1048-(ROUND(F1048*K1048/B1048,0)*B1048),E1048+(ROUND(F1048*K1048/B1048,0)*B1048)),IF(D1048="BUY",E1048-(ROUND(F1048*K1048/B1048,0)*B1048),E1048+(ROUND(F1048*K1048/B1048,0)*B1048)))</f>
        <v>#DIV/0!</v>
      </c>
      <c r="L1049" s="29" t="e">
        <f t="shared" ref="L1049" si="1568">IF(D1049="BUY",I1049+(R1049*B1049),I1049-(R1049*B1049))</f>
        <v>#DIV/0!</v>
      </c>
      <c r="M1049" s="29" t="e">
        <f>IF(D1048="BUY",E1048+(ROUND(F1048*M1048/B1048,0)*B1048),E1048-(ROUND(F1048*M1048/B1048,0)*B1048))</f>
        <v>#DIV/0!</v>
      </c>
      <c r="N1049" s="29" t="e">
        <f>IF(D1048="BUY",E1048-(ROUND(F1048*N1048/B1048,0)*B1048),E1048+(ROUND(F1048*N1048/B1048,0)*B1048))</f>
        <v>#DIV/0!</v>
      </c>
      <c r="O1049" s="31" t="e">
        <f>IF(D1049="BUY",N1049-VLOOKUP(A1049,Symbols!A$1:D$1000,4,FALSE),N1049+VLOOKUP(A1049,Symbols!A$1:D$1000,4,FALSE))</f>
        <v>#DIV/0!</v>
      </c>
      <c r="P1049" s="29">
        <f>P1048</f>
        <v>0</v>
      </c>
      <c r="Q1049" s="29">
        <f>Q1048</f>
        <v>0</v>
      </c>
      <c r="R1049" s="29">
        <f>R1048</f>
        <v>0</v>
      </c>
      <c r="S1049" s="29">
        <f>S1048</f>
        <v>0</v>
      </c>
      <c r="T1049" s="29">
        <f>T1048</f>
        <v>0</v>
      </c>
      <c r="U1049" s="29" t="e">
        <f>DATEDIF(DATE(1970,1,1),U1048,"D")*86400</f>
        <v>#NUM!</v>
      </c>
      <c r="V1049" s="29">
        <f>HOUR(V1048)*3600+MINUTE(V1048)*60+SECOND(V1048)</f>
        <v>0</v>
      </c>
      <c r="W1049" s="29" t="e">
        <f>DATEDIF(DATE(1970,1,1),W1048,"D")*86400</f>
        <v>#NUM!</v>
      </c>
      <c r="X1049" s="29">
        <f>HOUR(X1048)*3600+MINUTE(X1048)*60+SECOND(X1048)</f>
        <v>0</v>
      </c>
      <c r="Y1049" s="31">
        <f>(Y1048*B1049)</f>
        <v>0</v>
      </c>
      <c r="Z1049" s="29">
        <f>Z1048</f>
        <v>0</v>
      </c>
      <c r="AA1049" s="29" t="e">
        <f>DATEDIF(DATE(1970,1,1),AA1048,"D")*86400</f>
        <v>#NUM!</v>
      </c>
      <c r="AB1049" s="29">
        <f>HOUR(AB1048)*3600+MINUTE(AB1048)*60+SECOND(AB1048)</f>
        <v>0</v>
      </c>
      <c r="AC1049" s="29">
        <f>AC1048</f>
        <v>0</v>
      </c>
    </row>
    <row r="1050" spans="1:29">
      <c r="A1050" s="23">
        <f>Parameters!A526</f>
        <v>0</v>
      </c>
      <c r="B1050" s="23">
        <f>Parameters!B526</f>
        <v>0</v>
      </c>
      <c r="C1050" s="24">
        <f>Parameters!C526</f>
        <v>0</v>
      </c>
      <c r="D1050" s="24">
        <f>Parameters!D526</f>
        <v>0</v>
      </c>
      <c r="E1050" s="23">
        <f>Parameters!E526</f>
        <v>0</v>
      </c>
      <c r="F1050" s="23">
        <f>Parameters!F526</f>
        <v>0</v>
      </c>
      <c r="G1050" s="25">
        <f>Parameters!G526</f>
        <v>0</v>
      </c>
      <c r="H1050" s="25">
        <f>Parameters!H526</f>
        <v>0</v>
      </c>
      <c r="I1050" s="25">
        <f>Parameters!I526</f>
        <v>0</v>
      </c>
      <c r="J1050" s="25">
        <f>Parameters!J526</f>
        <v>0</v>
      </c>
      <c r="K1050" s="25">
        <f>Parameters!K526</f>
        <v>0</v>
      </c>
      <c r="L1050" s="26" t="e">
        <f t="shared" ref="L1050" si="1569">L1051</f>
        <v>#DIV/0!</v>
      </c>
      <c r="M1050" s="25">
        <f>Parameters!L526</f>
        <v>0</v>
      </c>
      <c r="N1050" s="25">
        <f>Parameters!M526</f>
        <v>0</v>
      </c>
      <c r="O1050" s="26" t="e">
        <f t="shared" ref="O1050" si="1570">O1051</f>
        <v>#DIV/0!</v>
      </c>
      <c r="P1050" s="23">
        <f>Parameters!N526</f>
        <v>0</v>
      </c>
      <c r="Q1050" s="23">
        <f>Parameters!O526</f>
        <v>0</v>
      </c>
      <c r="R1050" s="23">
        <f>Parameters!P526</f>
        <v>0</v>
      </c>
      <c r="S1050" s="23">
        <f>Parameters!Q526</f>
        <v>0</v>
      </c>
      <c r="T1050" s="23">
        <f>Parameters!R526</f>
        <v>0</v>
      </c>
      <c r="U1050" s="27">
        <f>Parameters!S526</f>
        <v>0</v>
      </c>
      <c r="V1050" s="28">
        <f>Parameters!T526</f>
        <v>0</v>
      </c>
      <c r="W1050" s="27">
        <f>Parameters!U526</f>
        <v>0</v>
      </c>
      <c r="X1050" s="28">
        <f>Parameters!V526</f>
        <v>0</v>
      </c>
      <c r="Y1050" s="25">
        <f>Parameters!W526</f>
        <v>0</v>
      </c>
      <c r="Z1050" s="23">
        <f>Parameters!X526</f>
        <v>0</v>
      </c>
      <c r="AA1050" s="27">
        <f>Parameters!Y526</f>
        <v>0</v>
      </c>
      <c r="AB1050" s="28">
        <f>Parameters!Z526</f>
        <v>0</v>
      </c>
      <c r="AC1050" s="23">
        <f>Parameters!AA526</f>
        <v>0</v>
      </c>
    </row>
    <row r="1051" spans="1:29">
      <c r="A1051" s="29" t="str">
        <f>UPPER(A1050)</f>
        <v>0</v>
      </c>
      <c r="B1051" s="29">
        <f>B1050</f>
        <v>0</v>
      </c>
      <c r="C1051" s="30">
        <f>C1050</f>
        <v>0</v>
      </c>
      <c r="D1051" s="30">
        <f>D1050</f>
        <v>0</v>
      </c>
      <c r="E1051" s="29">
        <f>E1050</f>
        <v>0</v>
      </c>
      <c r="F1051" s="29">
        <f>F1050</f>
        <v>0</v>
      </c>
      <c r="G1051" s="29" t="e">
        <f>IF(C1050=1,IF(D1050="BUY",E1050+(ROUND(F1050*G1050/B1050,0)*B1050),E1050-(ROUND(F1050*G1050/B1050,0)*B1050)),IF(D1050="BUY",E1050-(ROUND(F1050*G1050/B1050,0)*B1050),E1050+(ROUND(F1050*G1050/B1050,0)*B1050)))</f>
        <v>#DIV/0!</v>
      </c>
      <c r="H1051" s="29" t="e">
        <f>IF(C1050=1,IF(D1050="BUY",G1051-(ROUND(F1050*H1050/B1050,0)*B1050),G1051+(ROUND(F1050*H1050/B1050,0)*B1050)),IF(D1050="BUY",G1051+(ROUND(F1050*H1050/B1050,0)*B1050),G1051-(ROUND(F1050*H1050/B1050,0)*B1050)))</f>
        <v>#DIV/0!</v>
      </c>
      <c r="I1051" s="29" t="e">
        <f>IF(D1050="BUY",G1051+(ROUND(F1050*I1050/(B1050*100),0)*B1050),G1051-(ROUND(F1050*I1050/(B1050*100),0)*B1050))</f>
        <v>#DIV/0!</v>
      </c>
      <c r="J1051" s="29" t="e">
        <f>IF(C1050=1,IF(D1050="BUY",E1050+(ROUND(F1050*J1050/B1050,0)*B1050),E1050-(ROUND(F1050*J1050/B1050,0)*B1050)),IF(D1050="BUY",E1050-(ROUND(F1050*J1050/B1050,0)*B1050),E1050+(ROUND(F1050*J1050/B1050,0)*B1050)))</f>
        <v>#DIV/0!</v>
      </c>
      <c r="K1051" s="29" t="e">
        <f>IF(C1050=1,IF(D1050="BUY",E1050-(ROUND(F1050*K1050/B1050,0)*B1050),E1050+(ROUND(F1050*K1050/B1050,0)*B1050)),IF(D1050="BUY",E1050-(ROUND(F1050*K1050/B1050,0)*B1050),E1050+(ROUND(F1050*K1050/B1050,0)*B1050)))</f>
        <v>#DIV/0!</v>
      </c>
      <c r="L1051" s="29" t="e">
        <f t="shared" ref="L1051" si="1571">IF(D1051="BUY",I1051+(R1051*B1051),I1051-(R1051*B1051))</f>
        <v>#DIV/0!</v>
      </c>
      <c r="M1051" s="29" t="e">
        <f>IF(D1050="BUY",E1050+(ROUND(F1050*M1050/B1050,0)*B1050),E1050-(ROUND(F1050*M1050/B1050,0)*B1050))</f>
        <v>#DIV/0!</v>
      </c>
      <c r="N1051" s="29" t="e">
        <f>IF(D1050="BUY",E1050-(ROUND(F1050*N1050/B1050,0)*B1050),E1050+(ROUND(F1050*N1050/B1050,0)*B1050))</f>
        <v>#DIV/0!</v>
      </c>
      <c r="O1051" s="31" t="e">
        <f>IF(D1051="BUY",N1051-VLOOKUP(A1051,Symbols!A$1:D$1000,4,FALSE),N1051+VLOOKUP(A1051,Symbols!A$1:D$1000,4,FALSE))</f>
        <v>#DIV/0!</v>
      </c>
      <c r="P1051" s="29">
        <f>P1050</f>
        <v>0</v>
      </c>
      <c r="Q1051" s="29">
        <f>Q1050</f>
        <v>0</v>
      </c>
      <c r="R1051" s="29">
        <f>R1050</f>
        <v>0</v>
      </c>
      <c r="S1051" s="29">
        <f>S1050</f>
        <v>0</v>
      </c>
      <c r="T1051" s="29">
        <f>T1050</f>
        <v>0</v>
      </c>
      <c r="U1051" s="29" t="e">
        <f>DATEDIF(DATE(1970,1,1),U1050,"D")*86400</f>
        <v>#NUM!</v>
      </c>
      <c r="V1051" s="29">
        <f>HOUR(V1050)*3600+MINUTE(V1050)*60+SECOND(V1050)</f>
        <v>0</v>
      </c>
      <c r="W1051" s="29" t="e">
        <f>DATEDIF(DATE(1970,1,1),W1050,"D")*86400</f>
        <v>#NUM!</v>
      </c>
      <c r="X1051" s="29">
        <f>HOUR(X1050)*3600+MINUTE(X1050)*60+SECOND(X1050)</f>
        <v>0</v>
      </c>
      <c r="Y1051" s="31">
        <f>(Y1050*B1051)</f>
        <v>0</v>
      </c>
      <c r="Z1051" s="29">
        <f>Z1050</f>
        <v>0</v>
      </c>
      <c r="AA1051" s="29" t="e">
        <f>DATEDIF(DATE(1970,1,1),AA1050,"D")*86400</f>
        <v>#NUM!</v>
      </c>
      <c r="AB1051" s="29">
        <f>HOUR(AB1050)*3600+MINUTE(AB1050)*60+SECOND(AB1050)</f>
        <v>0</v>
      </c>
      <c r="AC1051" s="29">
        <f>AC1050</f>
        <v>0</v>
      </c>
    </row>
    <row r="1052" spans="1:29">
      <c r="A1052" s="23">
        <f>Parameters!A527</f>
        <v>0</v>
      </c>
      <c r="B1052" s="23">
        <f>Parameters!B527</f>
        <v>0</v>
      </c>
      <c r="C1052" s="24">
        <f>Parameters!C527</f>
        <v>0</v>
      </c>
      <c r="D1052" s="24">
        <f>Parameters!D527</f>
        <v>0</v>
      </c>
      <c r="E1052" s="23">
        <f>Parameters!E527</f>
        <v>0</v>
      </c>
      <c r="F1052" s="23">
        <f>Parameters!F527</f>
        <v>0</v>
      </c>
      <c r="G1052" s="25">
        <f>Parameters!G527</f>
        <v>0</v>
      </c>
      <c r="H1052" s="25">
        <f>Parameters!H527</f>
        <v>0</v>
      </c>
      <c r="I1052" s="25">
        <f>Parameters!I527</f>
        <v>0</v>
      </c>
      <c r="J1052" s="25">
        <f>Parameters!J527</f>
        <v>0</v>
      </c>
      <c r="K1052" s="25">
        <f>Parameters!K527</f>
        <v>0</v>
      </c>
      <c r="L1052" s="26" t="e">
        <f t="shared" ref="L1052" si="1572">L1053</f>
        <v>#DIV/0!</v>
      </c>
      <c r="M1052" s="25">
        <f>Parameters!L527</f>
        <v>0</v>
      </c>
      <c r="N1052" s="25">
        <f>Parameters!M527</f>
        <v>0</v>
      </c>
      <c r="O1052" s="26" t="e">
        <f t="shared" ref="O1052" si="1573">O1053</f>
        <v>#DIV/0!</v>
      </c>
      <c r="P1052" s="23">
        <f>Parameters!N527</f>
        <v>0</v>
      </c>
      <c r="Q1052" s="23">
        <f>Parameters!O527</f>
        <v>0</v>
      </c>
      <c r="R1052" s="23">
        <f>Parameters!P527</f>
        <v>0</v>
      </c>
      <c r="S1052" s="23">
        <f>Parameters!Q527</f>
        <v>0</v>
      </c>
      <c r="T1052" s="23">
        <f>Parameters!R527</f>
        <v>0</v>
      </c>
      <c r="U1052" s="27">
        <f>Parameters!S527</f>
        <v>0</v>
      </c>
      <c r="V1052" s="28">
        <f>Parameters!T527</f>
        <v>0</v>
      </c>
      <c r="W1052" s="27">
        <f>Parameters!U527</f>
        <v>0</v>
      </c>
      <c r="X1052" s="28">
        <f>Parameters!V527</f>
        <v>0</v>
      </c>
      <c r="Y1052" s="25">
        <f>Parameters!W527</f>
        <v>0</v>
      </c>
      <c r="Z1052" s="23">
        <f>Parameters!X527</f>
        <v>0</v>
      </c>
      <c r="AA1052" s="27">
        <f>Parameters!Y527</f>
        <v>0</v>
      </c>
      <c r="AB1052" s="28">
        <f>Parameters!Z527</f>
        <v>0</v>
      </c>
      <c r="AC1052" s="23">
        <f>Parameters!AA527</f>
        <v>0</v>
      </c>
    </row>
    <row r="1053" spans="1:29">
      <c r="A1053" s="29" t="str">
        <f>UPPER(A1052)</f>
        <v>0</v>
      </c>
      <c r="B1053" s="29">
        <f>B1052</f>
        <v>0</v>
      </c>
      <c r="C1053" s="30">
        <f>C1052</f>
        <v>0</v>
      </c>
      <c r="D1053" s="30">
        <f>D1052</f>
        <v>0</v>
      </c>
      <c r="E1053" s="29">
        <f>E1052</f>
        <v>0</v>
      </c>
      <c r="F1053" s="29">
        <f>F1052</f>
        <v>0</v>
      </c>
      <c r="G1053" s="29" t="e">
        <f>IF(C1052=1,IF(D1052="BUY",E1052+(ROUND(F1052*G1052/B1052,0)*B1052),E1052-(ROUND(F1052*G1052/B1052,0)*B1052)),IF(D1052="BUY",E1052-(ROUND(F1052*G1052/B1052,0)*B1052),E1052+(ROUND(F1052*G1052/B1052,0)*B1052)))</f>
        <v>#DIV/0!</v>
      </c>
      <c r="H1053" s="29" t="e">
        <f>IF(C1052=1,IF(D1052="BUY",G1053-(ROUND(F1052*H1052/B1052,0)*B1052),G1053+(ROUND(F1052*H1052/B1052,0)*B1052)),IF(D1052="BUY",G1053+(ROUND(F1052*H1052/B1052,0)*B1052),G1053-(ROUND(F1052*H1052/B1052,0)*B1052)))</f>
        <v>#DIV/0!</v>
      </c>
      <c r="I1053" s="29" t="e">
        <f>IF(D1052="BUY",G1053+(ROUND(F1052*I1052/(B1052*100),0)*B1052),G1053-(ROUND(F1052*I1052/(B1052*100),0)*B1052))</f>
        <v>#DIV/0!</v>
      </c>
      <c r="J1053" s="29" t="e">
        <f>IF(C1052=1,IF(D1052="BUY",E1052+(ROUND(F1052*J1052/B1052,0)*B1052),E1052-(ROUND(F1052*J1052/B1052,0)*B1052)),IF(D1052="BUY",E1052-(ROUND(F1052*J1052/B1052,0)*B1052),E1052+(ROUND(F1052*J1052/B1052,0)*B1052)))</f>
        <v>#DIV/0!</v>
      </c>
      <c r="K1053" s="29" t="e">
        <f>IF(C1052=1,IF(D1052="BUY",E1052-(ROUND(F1052*K1052/B1052,0)*B1052),E1052+(ROUND(F1052*K1052/B1052,0)*B1052)),IF(D1052="BUY",E1052-(ROUND(F1052*K1052/B1052,0)*B1052),E1052+(ROUND(F1052*K1052/B1052,0)*B1052)))</f>
        <v>#DIV/0!</v>
      </c>
      <c r="L1053" s="29" t="e">
        <f t="shared" ref="L1053" si="1574">IF(D1053="BUY",I1053+(R1053*B1053),I1053-(R1053*B1053))</f>
        <v>#DIV/0!</v>
      </c>
      <c r="M1053" s="29" t="e">
        <f>IF(D1052="BUY",E1052+(ROUND(F1052*M1052/B1052,0)*B1052),E1052-(ROUND(F1052*M1052/B1052,0)*B1052))</f>
        <v>#DIV/0!</v>
      </c>
      <c r="N1053" s="29" t="e">
        <f>IF(D1052="BUY",E1052-(ROUND(F1052*N1052/B1052,0)*B1052),E1052+(ROUND(F1052*N1052/B1052,0)*B1052))</f>
        <v>#DIV/0!</v>
      </c>
      <c r="O1053" s="31" t="e">
        <f>IF(D1053="BUY",N1053-VLOOKUP(A1053,Symbols!A$1:D$1000,4,FALSE),N1053+VLOOKUP(A1053,Symbols!A$1:D$1000,4,FALSE))</f>
        <v>#DIV/0!</v>
      </c>
      <c r="P1053" s="29">
        <f>P1052</f>
        <v>0</v>
      </c>
      <c r="Q1053" s="29">
        <f>Q1052</f>
        <v>0</v>
      </c>
      <c r="R1053" s="29">
        <f>R1052</f>
        <v>0</v>
      </c>
      <c r="S1053" s="29">
        <f>S1052</f>
        <v>0</v>
      </c>
      <c r="T1053" s="29">
        <f>T1052</f>
        <v>0</v>
      </c>
      <c r="U1053" s="29" t="e">
        <f>DATEDIF(DATE(1970,1,1),U1052,"D")*86400</f>
        <v>#NUM!</v>
      </c>
      <c r="V1053" s="29">
        <f>HOUR(V1052)*3600+MINUTE(V1052)*60+SECOND(V1052)</f>
        <v>0</v>
      </c>
      <c r="W1053" s="29" t="e">
        <f>DATEDIF(DATE(1970,1,1),W1052,"D")*86400</f>
        <v>#NUM!</v>
      </c>
      <c r="X1053" s="29">
        <f>HOUR(X1052)*3600+MINUTE(X1052)*60+SECOND(X1052)</f>
        <v>0</v>
      </c>
      <c r="Y1053" s="31">
        <f>(Y1052*B1053)</f>
        <v>0</v>
      </c>
      <c r="Z1053" s="29">
        <f>Z1052</f>
        <v>0</v>
      </c>
      <c r="AA1053" s="29" t="e">
        <f>DATEDIF(DATE(1970,1,1),AA1052,"D")*86400</f>
        <v>#NUM!</v>
      </c>
      <c r="AB1053" s="29">
        <f>HOUR(AB1052)*3600+MINUTE(AB1052)*60+SECOND(AB1052)</f>
        <v>0</v>
      </c>
      <c r="AC1053" s="29">
        <f>AC1052</f>
        <v>0</v>
      </c>
    </row>
    <row r="1054" spans="1:29">
      <c r="A1054" s="23">
        <f>Parameters!A528</f>
        <v>0</v>
      </c>
      <c r="B1054" s="23">
        <f>Parameters!B528</f>
        <v>0</v>
      </c>
      <c r="C1054" s="24">
        <f>Parameters!C528</f>
        <v>0</v>
      </c>
      <c r="D1054" s="24">
        <f>Parameters!D528</f>
        <v>0</v>
      </c>
      <c r="E1054" s="23">
        <f>Parameters!E528</f>
        <v>0</v>
      </c>
      <c r="F1054" s="23">
        <f>Parameters!F528</f>
        <v>0</v>
      </c>
      <c r="G1054" s="25">
        <f>Parameters!G528</f>
        <v>0</v>
      </c>
      <c r="H1054" s="25">
        <f>Parameters!H528</f>
        <v>0</v>
      </c>
      <c r="I1054" s="25">
        <f>Parameters!I528</f>
        <v>0</v>
      </c>
      <c r="J1054" s="25">
        <f>Parameters!J528</f>
        <v>0</v>
      </c>
      <c r="K1054" s="25">
        <f>Parameters!K528</f>
        <v>0</v>
      </c>
      <c r="L1054" s="26" t="e">
        <f t="shared" ref="L1054" si="1575">L1055</f>
        <v>#DIV/0!</v>
      </c>
      <c r="M1054" s="25">
        <f>Parameters!L528</f>
        <v>0</v>
      </c>
      <c r="N1054" s="25">
        <f>Parameters!M528</f>
        <v>0</v>
      </c>
      <c r="O1054" s="26" t="e">
        <f t="shared" ref="O1054" si="1576">O1055</f>
        <v>#DIV/0!</v>
      </c>
      <c r="P1054" s="23">
        <f>Parameters!N528</f>
        <v>0</v>
      </c>
      <c r="Q1054" s="23">
        <f>Parameters!O528</f>
        <v>0</v>
      </c>
      <c r="R1054" s="23">
        <f>Parameters!P528</f>
        <v>0</v>
      </c>
      <c r="S1054" s="23">
        <f>Parameters!Q528</f>
        <v>0</v>
      </c>
      <c r="T1054" s="23">
        <f>Parameters!R528</f>
        <v>0</v>
      </c>
      <c r="U1054" s="27">
        <f>Parameters!S528</f>
        <v>0</v>
      </c>
      <c r="V1054" s="28">
        <f>Parameters!T528</f>
        <v>0</v>
      </c>
      <c r="W1054" s="27">
        <f>Parameters!U528</f>
        <v>0</v>
      </c>
      <c r="X1054" s="28">
        <f>Parameters!V528</f>
        <v>0</v>
      </c>
      <c r="Y1054" s="25">
        <f>Parameters!W528</f>
        <v>0</v>
      </c>
      <c r="Z1054" s="23">
        <f>Parameters!X528</f>
        <v>0</v>
      </c>
      <c r="AA1054" s="27">
        <f>Parameters!Y528</f>
        <v>0</v>
      </c>
      <c r="AB1054" s="28">
        <f>Parameters!Z528</f>
        <v>0</v>
      </c>
      <c r="AC1054" s="23">
        <f>Parameters!AA528</f>
        <v>0</v>
      </c>
    </row>
    <row r="1055" spans="1:29">
      <c r="A1055" s="29" t="str">
        <f>UPPER(A1054)</f>
        <v>0</v>
      </c>
      <c r="B1055" s="29">
        <f>B1054</f>
        <v>0</v>
      </c>
      <c r="C1055" s="30">
        <f>C1054</f>
        <v>0</v>
      </c>
      <c r="D1055" s="30">
        <f>D1054</f>
        <v>0</v>
      </c>
      <c r="E1055" s="29">
        <f>E1054</f>
        <v>0</v>
      </c>
      <c r="F1055" s="29">
        <f>F1054</f>
        <v>0</v>
      </c>
      <c r="G1055" s="29" t="e">
        <f>IF(C1054=1,IF(D1054="BUY",E1054+(ROUND(F1054*G1054/B1054,0)*B1054),E1054-(ROUND(F1054*G1054/B1054,0)*B1054)),IF(D1054="BUY",E1054-(ROUND(F1054*G1054/B1054,0)*B1054),E1054+(ROUND(F1054*G1054/B1054,0)*B1054)))</f>
        <v>#DIV/0!</v>
      </c>
      <c r="H1055" s="29" t="e">
        <f>IF(C1054=1,IF(D1054="BUY",G1055-(ROUND(F1054*H1054/B1054,0)*B1054),G1055+(ROUND(F1054*H1054/B1054,0)*B1054)),IF(D1054="BUY",G1055+(ROUND(F1054*H1054/B1054,0)*B1054),G1055-(ROUND(F1054*H1054/B1054,0)*B1054)))</f>
        <v>#DIV/0!</v>
      </c>
      <c r="I1055" s="29" t="e">
        <f>IF(D1054="BUY",G1055+(ROUND(F1054*I1054/(B1054*100),0)*B1054),G1055-(ROUND(F1054*I1054/(B1054*100),0)*B1054))</f>
        <v>#DIV/0!</v>
      </c>
      <c r="J1055" s="29" t="e">
        <f>IF(C1054=1,IF(D1054="BUY",E1054+(ROUND(F1054*J1054/B1054,0)*B1054),E1054-(ROUND(F1054*J1054/B1054,0)*B1054)),IF(D1054="BUY",E1054-(ROUND(F1054*J1054/B1054,0)*B1054),E1054+(ROUND(F1054*J1054/B1054,0)*B1054)))</f>
        <v>#DIV/0!</v>
      </c>
      <c r="K1055" s="29" t="e">
        <f>IF(C1054=1,IF(D1054="BUY",E1054-(ROUND(F1054*K1054/B1054,0)*B1054),E1054+(ROUND(F1054*K1054/B1054,0)*B1054)),IF(D1054="BUY",E1054-(ROUND(F1054*K1054/B1054,0)*B1054),E1054+(ROUND(F1054*K1054/B1054,0)*B1054)))</f>
        <v>#DIV/0!</v>
      </c>
      <c r="L1055" s="29" t="e">
        <f t="shared" ref="L1055" si="1577">IF(D1055="BUY",I1055+(R1055*B1055),I1055-(R1055*B1055))</f>
        <v>#DIV/0!</v>
      </c>
      <c r="M1055" s="29" t="e">
        <f>IF(D1054="BUY",E1054+(ROUND(F1054*M1054/B1054,0)*B1054),E1054-(ROUND(F1054*M1054/B1054,0)*B1054))</f>
        <v>#DIV/0!</v>
      </c>
      <c r="N1055" s="29" t="e">
        <f>IF(D1054="BUY",E1054-(ROUND(F1054*N1054/B1054,0)*B1054),E1054+(ROUND(F1054*N1054/B1054,0)*B1054))</f>
        <v>#DIV/0!</v>
      </c>
      <c r="O1055" s="31" t="e">
        <f>IF(D1055="BUY",N1055-VLOOKUP(A1055,Symbols!A$1:D$1000,4,FALSE),N1055+VLOOKUP(A1055,Symbols!A$1:D$1000,4,FALSE))</f>
        <v>#DIV/0!</v>
      </c>
      <c r="P1055" s="29">
        <f>P1054</f>
        <v>0</v>
      </c>
      <c r="Q1055" s="29">
        <f>Q1054</f>
        <v>0</v>
      </c>
      <c r="R1055" s="29">
        <f>R1054</f>
        <v>0</v>
      </c>
      <c r="S1055" s="29">
        <f>S1054</f>
        <v>0</v>
      </c>
      <c r="T1055" s="29">
        <f>T1054</f>
        <v>0</v>
      </c>
      <c r="U1055" s="29" t="e">
        <f>DATEDIF(DATE(1970,1,1),U1054,"D")*86400</f>
        <v>#NUM!</v>
      </c>
      <c r="V1055" s="29">
        <f>HOUR(V1054)*3600+MINUTE(V1054)*60+SECOND(V1054)</f>
        <v>0</v>
      </c>
      <c r="W1055" s="29" t="e">
        <f>DATEDIF(DATE(1970,1,1),W1054,"D")*86400</f>
        <v>#NUM!</v>
      </c>
      <c r="X1055" s="29">
        <f>HOUR(X1054)*3600+MINUTE(X1054)*60+SECOND(X1054)</f>
        <v>0</v>
      </c>
      <c r="Y1055" s="31">
        <f>(Y1054*B1055)</f>
        <v>0</v>
      </c>
      <c r="Z1055" s="29">
        <f>Z1054</f>
        <v>0</v>
      </c>
      <c r="AA1055" s="29" t="e">
        <f>DATEDIF(DATE(1970,1,1),AA1054,"D")*86400</f>
        <v>#NUM!</v>
      </c>
      <c r="AB1055" s="29">
        <f>HOUR(AB1054)*3600+MINUTE(AB1054)*60+SECOND(AB1054)</f>
        <v>0</v>
      </c>
      <c r="AC1055" s="29">
        <f>AC1054</f>
        <v>0</v>
      </c>
    </row>
    <row r="1056" spans="1:29">
      <c r="A1056" s="23">
        <f>Parameters!A529</f>
        <v>0</v>
      </c>
      <c r="B1056" s="23">
        <f>Parameters!B529</f>
        <v>0</v>
      </c>
      <c r="C1056" s="24">
        <f>Parameters!C529</f>
        <v>0</v>
      </c>
      <c r="D1056" s="24">
        <f>Parameters!D529</f>
        <v>0</v>
      </c>
      <c r="E1056" s="23">
        <f>Parameters!E529</f>
        <v>0</v>
      </c>
      <c r="F1056" s="23">
        <f>Parameters!F529</f>
        <v>0</v>
      </c>
      <c r="G1056" s="25">
        <f>Parameters!G529</f>
        <v>0</v>
      </c>
      <c r="H1056" s="25">
        <f>Parameters!H529</f>
        <v>0</v>
      </c>
      <c r="I1056" s="25">
        <f>Parameters!I529</f>
        <v>0</v>
      </c>
      <c r="J1056" s="25">
        <f>Parameters!J529</f>
        <v>0</v>
      </c>
      <c r="K1056" s="25">
        <f>Parameters!K529</f>
        <v>0</v>
      </c>
      <c r="L1056" s="26" t="e">
        <f t="shared" ref="L1056" si="1578">L1057</f>
        <v>#DIV/0!</v>
      </c>
      <c r="M1056" s="25">
        <f>Parameters!L529</f>
        <v>0</v>
      </c>
      <c r="N1056" s="25">
        <f>Parameters!M529</f>
        <v>0</v>
      </c>
      <c r="O1056" s="26" t="e">
        <f t="shared" ref="O1056" si="1579">O1057</f>
        <v>#DIV/0!</v>
      </c>
      <c r="P1056" s="23">
        <f>Parameters!N529</f>
        <v>0</v>
      </c>
      <c r="Q1056" s="23">
        <f>Parameters!O529</f>
        <v>0</v>
      </c>
      <c r="R1056" s="23">
        <f>Parameters!P529</f>
        <v>0</v>
      </c>
      <c r="S1056" s="23">
        <f>Parameters!Q529</f>
        <v>0</v>
      </c>
      <c r="T1056" s="23">
        <f>Parameters!R529</f>
        <v>0</v>
      </c>
      <c r="U1056" s="27">
        <f>Parameters!S529</f>
        <v>0</v>
      </c>
      <c r="V1056" s="28">
        <f>Parameters!T529</f>
        <v>0</v>
      </c>
      <c r="W1056" s="27">
        <f>Parameters!U529</f>
        <v>0</v>
      </c>
      <c r="X1056" s="28">
        <f>Parameters!V529</f>
        <v>0</v>
      </c>
      <c r="Y1056" s="25">
        <f>Parameters!W529</f>
        <v>0</v>
      </c>
      <c r="Z1056" s="23">
        <f>Parameters!X529</f>
        <v>0</v>
      </c>
      <c r="AA1056" s="27">
        <f>Parameters!Y529</f>
        <v>0</v>
      </c>
      <c r="AB1056" s="28">
        <f>Parameters!Z529</f>
        <v>0</v>
      </c>
      <c r="AC1056" s="23">
        <f>Parameters!AA529</f>
        <v>0</v>
      </c>
    </row>
    <row r="1057" spans="1:29">
      <c r="A1057" s="29" t="str">
        <f>UPPER(A1056)</f>
        <v>0</v>
      </c>
      <c r="B1057" s="29">
        <f>B1056</f>
        <v>0</v>
      </c>
      <c r="C1057" s="30">
        <f>C1056</f>
        <v>0</v>
      </c>
      <c r="D1057" s="30">
        <f>D1056</f>
        <v>0</v>
      </c>
      <c r="E1057" s="29">
        <f>E1056</f>
        <v>0</v>
      </c>
      <c r="F1057" s="29">
        <f>F1056</f>
        <v>0</v>
      </c>
      <c r="G1057" s="29" t="e">
        <f>IF(C1056=1,IF(D1056="BUY",E1056+(ROUND(F1056*G1056/B1056,0)*B1056),E1056-(ROUND(F1056*G1056/B1056,0)*B1056)),IF(D1056="BUY",E1056-(ROUND(F1056*G1056/B1056,0)*B1056),E1056+(ROUND(F1056*G1056/B1056,0)*B1056)))</f>
        <v>#DIV/0!</v>
      </c>
      <c r="H1057" s="29" t="e">
        <f>IF(C1056=1,IF(D1056="BUY",G1057-(ROUND(F1056*H1056/B1056,0)*B1056),G1057+(ROUND(F1056*H1056/B1056,0)*B1056)),IF(D1056="BUY",G1057+(ROUND(F1056*H1056/B1056,0)*B1056),G1057-(ROUND(F1056*H1056/B1056,0)*B1056)))</f>
        <v>#DIV/0!</v>
      </c>
      <c r="I1057" s="29" t="e">
        <f>IF(D1056="BUY",G1057+(ROUND(F1056*I1056/(B1056*100),0)*B1056),G1057-(ROUND(F1056*I1056/(B1056*100),0)*B1056))</f>
        <v>#DIV/0!</v>
      </c>
      <c r="J1057" s="29" t="e">
        <f>IF(C1056=1,IF(D1056="BUY",E1056+(ROUND(F1056*J1056/B1056,0)*B1056),E1056-(ROUND(F1056*J1056/B1056,0)*B1056)),IF(D1056="BUY",E1056-(ROUND(F1056*J1056/B1056,0)*B1056),E1056+(ROUND(F1056*J1056/B1056,0)*B1056)))</f>
        <v>#DIV/0!</v>
      </c>
      <c r="K1057" s="29" t="e">
        <f>IF(C1056=1,IF(D1056="BUY",E1056-(ROUND(F1056*K1056/B1056,0)*B1056),E1056+(ROUND(F1056*K1056/B1056,0)*B1056)),IF(D1056="BUY",E1056-(ROUND(F1056*K1056/B1056,0)*B1056),E1056+(ROUND(F1056*K1056/B1056,0)*B1056)))</f>
        <v>#DIV/0!</v>
      </c>
      <c r="L1057" s="29" t="e">
        <f t="shared" ref="L1057" si="1580">IF(D1057="BUY",I1057+(R1057*B1057),I1057-(R1057*B1057))</f>
        <v>#DIV/0!</v>
      </c>
      <c r="M1057" s="29" t="e">
        <f>IF(D1056="BUY",E1056+(ROUND(F1056*M1056/B1056,0)*B1056),E1056-(ROUND(F1056*M1056/B1056,0)*B1056))</f>
        <v>#DIV/0!</v>
      </c>
      <c r="N1057" s="29" t="e">
        <f>IF(D1056="BUY",E1056-(ROUND(F1056*N1056/B1056,0)*B1056),E1056+(ROUND(F1056*N1056/B1056,0)*B1056))</f>
        <v>#DIV/0!</v>
      </c>
      <c r="O1057" s="31" t="e">
        <f>IF(D1057="BUY",N1057-VLOOKUP(A1057,Symbols!A$1:D$1000,4,FALSE),N1057+VLOOKUP(A1057,Symbols!A$1:D$1000,4,FALSE))</f>
        <v>#DIV/0!</v>
      </c>
      <c r="P1057" s="29">
        <f>P1056</f>
        <v>0</v>
      </c>
      <c r="Q1057" s="29">
        <f>Q1056</f>
        <v>0</v>
      </c>
      <c r="R1057" s="29">
        <f>R1056</f>
        <v>0</v>
      </c>
      <c r="S1057" s="29">
        <f>S1056</f>
        <v>0</v>
      </c>
      <c r="T1057" s="29">
        <f>T1056</f>
        <v>0</v>
      </c>
      <c r="U1057" s="29" t="e">
        <f>DATEDIF(DATE(1970,1,1),U1056,"D")*86400</f>
        <v>#NUM!</v>
      </c>
      <c r="V1057" s="29">
        <f>HOUR(V1056)*3600+MINUTE(V1056)*60+SECOND(V1056)</f>
        <v>0</v>
      </c>
      <c r="W1057" s="29" t="e">
        <f>DATEDIF(DATE(1970,1,1),W1056,"D")*86400</f>
        <v>#NUM!</v>
      </c>
      <c r="X1057" s="29">
        <f>HOUR(X1056)*3600+MINUTE(X1056)*60+SECOND(X1056)</f>
        <v>0</v>
      </c>
      <c r="Y1057" s="31">
        <f>(Y1056*B1057)</f>
        <v>0</v>
      </c>
      <c r="Z1057" s="29">
        <f>Z1056</f>
        <v>0</v>
      </c>
      <c r="AA1057" s="29" t="e">
        <f>DATEDIF(DATE(1970,1,1),AA1056,"D")*86400</f>
        <v>#NUM!</v>
      </c>
      <c r="AB1057" s="29">
        <f>HOUR(AB1056)*3600+MINUTE(AB1056)*60+SECOND(AB1056)</f>
        <v>0</v>
      </c>
      <c r="AC1057" s="29">
        <f>AC1056</f>
        <v>0</v>
      </c>
    </row>
    <row r="1058" spans="1:29">
      <c r="A1058" s="23">
        <f>Parameters!A530</f>
        <v>0</v>
      </c>
      <c r="B1058" s="23">
        <f>Parameters!B530</f>
        <v>0</v>
      </c>
      <c r="C1058" s="24">
        <f>Parameters!C530</f>
        <v>0</v>
      </c>
      <c r="D1058" s="24">
        <f>Parameters!D530</f>
        <v>0</v>
      </c>
      <c r="E1058" s="23">
        <f>Parameters!E530</f>
        <v>0</v>
      </c>
      <c r="F1058" s="23">
        <f>Parameters!F530</f>
        <v>0</v>
      </c>
      <c r="G1058" s="25">
        <f>Parameters!G530</f>
        <v>0</v>
      </c>
      <c r="H1058" s="25">
        <f>Parameters!H530</f>
        <v>0</v>
      </c>
      <c r="I1058" s="25">
        <f>Parameters!I530</f>
        <v>0</v>
      </c>
      <c r="J1058" s="25">
        <f>Parameters!J530</f>
        <v>0</v>
      </c>
      <c r="K1058" s="25">
        <f>Parameters!K530</f>
        <v>0</v>
      </c>
      <c r="L1058" s="26" t="e">
        <f t="shared" ref="L1058" si="1581">L1059</f>
        <v>#DIV/0!</v>
      </c>
      <c r="M1058" s="25">
        <f>Parameters!L530</f>
        <v>0</v>
      </c>
      <c r="N1058" s="25">
        <f>Parameters!M530</f>
        <v>0</v>
      </c>
      <c r="O1058" s="26" t="e">
        <f t="shared" ref="O1058" si="1582">O1059</f>
        <v>#DIV/0!</v>
      </c>
      <c r="P1058" s="23">
        <f>Parameters!N530</f>
        <v>0</v>
      </c>
      <c r="Q1058" s="23">
        <f>Parameters!O530</f>
        <v>0</v>
      </c>
      <c r="R1058" s="23">
        <f>Parameters!P530</f>
        <v>0</v>
      </c>
      <c r="S1058" s="23">
        <f>Parameters!Q530</f>
        <v>0</v>
      </c>
      <c r="T1058" s="23">
        <f>Parameters!R530</f>
        <v>0</v>
      </c>
      <c r="U1058" s="27">
        <f>Parameters!S530</f>
        <v>0</v>
      </c>
      <c r="V1058" s="28">
        <f>Parameters!T530</f>
        <v>0</v>
      </c>
      <c r="W1058" s="27">
        <f>Parameters!U530</f>
        <v>0</v>
      </c>
      <c r="X1058" s="28">
        <f>Parameters!V530</f>
        <v>0</v>
      </c>
      <c r="Y1058" s="25">
        <f>Parameters!W530</f>
        <v>0</v>
      </c>
      <c r="Z1058" s="23">
        <f>Parameters!X530</f>
        <v>0</v>
      </c>
      <c r="AA1058" s="27">
        <f>Parameters!Y530</f>
        <v>0</v>
      </c>
      <c r="AB1058" s="28">
        <f>Parameters!Z530</f>
        <v>0</v>
      </c>
      <c r="AC1058" s="23">
        <f>Parameters!AA530</f>
        <v>0</v>
      </c>
    </row>
    <row r="1059" spans="1:29">
      <c r="A1059" s="29" t="str">
        <f>UPPER(A1058)</f>
        <v>0</v>
      </c>
      <c r="B1059" s="29">
        <f>B1058</f>
        <v>0</v>
      </c>
      <c r="C1059" s="30">
        <f>C1058</f>
        <v>0</v>
      </c>
      <c r="D1059" s="30">
        <f>D1058</f>
        <v>0</v>
      </c>
      <c r="E1059" s="29">
        <f>E1058</f>
        <v>0</v>
      </c>
      <c r="F1059" s="29">
        <f>F1058</f>
        <v>0</v>
      </c>
      <c r="G1059" s="29" t="e">
        <f>IF(C1058=1,IF(D1058="BUY",E1058+(ROUND(F1058*G1058/B1058,0)*B1058),E1058-(ROUND(F1058*G1058/B1058,0)*B1058)),IF(D1058="BUY",E1058-(ROUND(F1058*G1058/B1058,0)*B1058),E1058+(ROUND(F1058*G1058/B1058,0)*B1058)))</f>
        <v>#DIV/0!</v>
      </c>
      <c r="H1059" s="29" t="e">
        <f>IF(C1058=1,IF(D1058="BUY",G1059-(ROUND(F1058*H1058/B1058,0)*B1058),G1059+(ROUND(F1058*H1058/B1058,0)*B1058)),IF(D1058="BUY",G1059+(ROUND(F1058*H1058/B1058,0)*B1058),G1059-(ROUND(F1058*H1058/B1058,0)*B1058)))</f>
        <v>#DIV/0!</v>
      </c>
      <c r="I1059" s="29" t="e">
        <f>IF(D1058="BUY",G1059+(ROUND(F1058*I1058/(B1058*100),0)*B1058),G1059-(ROUND(F1058*I1058/(B1058*100),0)*B1058))</f>
        <v>#DIV/0!</v>
      </c>
      <c r="J1059" s="29" t="e">
        <f>IF(C1058=1,IF(D1058="BUY",E1058+(ROUND(F1058*J1058/B1058,0)*B1058),E1058-(ROUND(F1058*J1058/B1058,0)*B1058)),IF(D1058="BUY",E1058-(ROUND(F1058*J1058/B1058,0)*B1058),E1058+(ROUND(F1058*J1058/B1058,0)*B1058)))</f>
        <v>#DIV/0!</v>
      </c>
      <c r="K1059" s="29" t="e">
        <f>IF(C1058=1,IF(D1058="BUY",E1058-(ROUND(F1058*K1058/B1058,0)*B1058),E1058+(ROUND(F1058*K1058/B1058,0)*B1058)),IF(D1058="BUY",E1058-(ROUND(F1058*K1058/B1058,0)*B1058),E1058+(ROUND(F1058*K1058/B1058,0)*B1058)))</f>
        <v>#DIV/0!</v>
      </c>
      <c r="L1059" s="29" t="e">
        <f t="shared" ref="L1059" si="1583">IF(D1059="BUY",I1059+(R1059*B1059),I1059-(R1059*B1059))</f>
        <v>#DIV/0!</v>
      </c>
      <c r="M1059" s="29" t="e">
        <f>IF(D1058="BUY",E1058+(ROUND(F1058*M1058/B1058,0)*B1058),E1058-(ROUND(F1058*M1058/B1058,0)*B1058))</f>
        <v>#DIV/0!</v>
      </c>
      <c r="N1059" s="29" t="e">
        <f>IF(D1058="BUY",E1058-(ROUND(F1058*N1058/B1058,0)*B1058),E1058+(ROUND(F1058*N1058/B1058,0)*B1058))</f>
        <v>#DIV/0!</v>
      </c>
      <c r="O1059" s="31" t="e">
        <f>IF(D1059="BUY",N1059-VLOOKUP(A1059,Symbols!A$1:D$1000,4,FALSE),N1059+VLOOKUP(A1059,Symbols!A$1:D$1000,4,FALSE))</f>
        <v>#DIV/0!</v>
      </c>
      <c r="P1059" s="29">
        <f>P1058</f>
        <v>0</v>
      </c>
      <c r="Q1059" s="29">
        <f>Q1058</f>
        <v>0</v>
      </c>
      <c r="R1059" s="29">
        <f>R1058</f>
        <v>0</v>
      </c>
      <c r="S1059" s="29">
        <f>S1058</f>
        <v>0</v>
      </c>
      <c r="T1059" s="29">
        <f>T1058</f>
        <v>0</v>
      </c>
      <c r="U1059" s="29" t="e">
        <f>DATEDIF(DATE(1970,1,1),U1058,"D")*86400</f>
        <v>#NUM!</v>
      </c>
      <c r="V1059" s="29">
        <f>HOUR(V1058)*3600+MINUTE(V1058)*60+SECOND(V1058)</f>
        <v>0</v>
      </c>
      <c r="W1059" s="29" t="e">
        <f>DATEDIF(DATE(1970,1,1),W1058,"D")*86400</f>
        <v>#NUM!</v>
      </c>
      <c r="X1059" s="29">
        <f>HOUR(X1058)*3600+MINUTE(X1058)*60+SECOND(X1058)</f>
        <v>0</v>
      </c>
      <c r="Y1059" s="31">
        <f>(Y1058*B1059)</f>
        <v>0</v>
      </c>
      <c r="Z1059" s="29">
        <f>Z1058</f>
        <v>0</v>
      </c>
      <c r="AA1059" s="29" t="e">
        <f>DATEDIF(DATE(1970,1,1),AA1058,"D")*86400</f>
        <v>#NUM!</v>
      </c>
      <c r="AB1059" s="29">
        <f>HOUR(AB1058)*3600+MINUTE(AB1058)*60+SECOND(AB1058)</f>
        <v>0</v>
      </c>
      <c r="AC1059" s="29">
        <f>AC1058</f>
        <v>0</v>
      </c>
    </row>
    <row r="1060" spans="1:29">
      <c r="A1060" s="23">
        <f>Parameters!A531</f>
        <v>0</v>
      </c>
      <c r="B1060" s="23">
        <f>Parameters!B531</f>
        <v>0</v>
      </c>
      <c r="C1060" s="24">
        <f>Parameters!C531</f>
        <v>0</v>
      </c>
      <c r="D1060" s="24">
        <f>Parameters!D531</f>
        <v>0</v>
      </c>
      <c r="E1060" s="23">
        <f>Parameters!E531</f>
        <v>0</v>
      </c>
      <c r="F1060" s="23">
        <f>Parameters!F531</f>
        <v>0</v>
      </c>
      <c r="G1060" s="25">
        <f>Parameters!G531</f>
        <v>0</v>
      </c>
      <c r="H1060" s="25">
        <f>Parameters!H531</f>
        <v>0</v>
      </c>
      <c r="I1060" s="25">
        <f>Parameters!I531</f>
        <v>0</v>
      </c>
      <c r="J1060" s="25">
        <f>Parameters!J531</f>
        <v>0</v>
      </c>
      <c r="K1060" s="25">
        <f>Parameters!K531</f>
        <v>0</v>
      </c>
      <c r="L1060" s="26" t="e">
        <f t="shared" ref="L1060" si="1584">L1061</f>
        <v>#DIV/0!</v>
      </c>
      <c r="M1060" s="25">
        <f>Parameters!L531</f>
        <v>0</v>
      </c>
      <c r="N1060" s="25">
        <f>Parameters!M531</f>
        <v>0</v>
      </c>
      <c r="O1060" s="26" t="e">
        <f t="shared" ref="O1060" si="1585">O1061</f>
        <v>#DIV/0!</v>
      </c>
      <c r="P1060" s="23">
        <f>Parameters!N531</f>
        <v>0</v>
      </c>
      <c r="Q1060" s="23">
        <f>Parameters!O531</f>
        <v>0</v>
      </c>
      <c r="R1060" s="23">
        <f>Parameters!P531</f>
        <v>0</v>
      </c>
      <c r="S1060" s="23">
        <f>Parameters!Q531</f>
        <v>0</v>
      </c>
      <c r="T1060" s="23">
        <f>Parameters!R531</f>
        <v>0</v>
      </c>
      <c r="U1060" s="27">
        <f>Parameters!S531</f>
        <v>0</v>
      </c>
      <c r="V1060" s="28">
        <f>Parameters!T531</f>
        <v>0</v>
      </c>
      <c r="W1060" s="27">
        <f>Parameters!U531</f>
        <v>0</v>
      </c>
      <c r="X1060" s="28">
        <f>Parameters!V531</f>
        <v>0</v>
      </c>
      <c r="Y1060" s="25">
        <f>Parameters!W531</f>
        <v>0</v>
      </c>
      <c r="Z1060" s="23">
        <f>Parameters!X531</f>
        <v>0</v>
      </c>
      <c r="AA1060" s="27">
        <f>Parameters!Y531</f>
        <v>0</v>
      </c>
      <c r="AB1060" s="28">
        <f>Parameters!Z531</f>
        <v>0</v>
      </c>
      <c r="AC1060" s="23">
        <f>Parameters!AA531</f>
        <v>0</v>
      </c>
    </row>
    <row r="1061" spans="1:29">
      <c r="A1061" s="29" t="str">
        <f>UPPER(A1060)</f>
        <v>0</v>
      </c>
      <c r="B1061" s="29">
        <f>B1060</f>
        <v>0</v>
      </c>
      <c r="C1061" s="30">
        <f>C1060</f>
        <v>0</v>
      </c>
      <c r="D1061" s="30">
        <f>D1060</f>
        <v>0</v>
      </c>
      <c r="E1061" s="29">
        <f>E1060</f>
        <v>0</v>
      </c>
      <c r="F1061" s="29">
        <f>F1060</f>
        <v>0</v>
      </c>
      <c r="G1061" s="29" t="e">
        <f>IF(C1060=1,IF(D1060="BUY",E1060+(ROUND(F1060*G1060/B1060,0)*B1060),E1060-(ROUND(F1060*G1060/B1060,0)*B1060)),IF(D1060="BUY",E1060-(ROUND(F1060*G1060/B1060,0)*B1060),E1060+(ROUND(F1060*G1060/B1060,0)*B1060)))</f>
        <v>#DIV/0!</v>
      </c>
      <c r="H1061" s="29" t="e">
        <f>IF(C1060=1,IF(D1060="BUY",G1061-(ROUND(F1060*H1060/B1060,0)*B1060),G1061+(ROUND(F1060*H1060/B1060,0)*B1060)),IF(D1060="BUY",G1061+(ROUND(F1060*H1060/B1060,0)*B1060),G1061-(ROUND(F1060*H1060/B1060,0)*B1060)))</f>
        <v>#DIV/0!</v>
      </c>
      <c r="I1061" s="29" t="e">
        <f>IF(D1060="BUY",G1061+(ROUND(F1060*I1060/(B1060*100),0)*B1060),G1061-(ROUND(F1060*I1060/(B1060*100),0)*B1060))</f>
        <v>#DIV/0!</v>
      </c>
      <c r="J1061" s="29" t="e">
        <f>IF(C1060=1,IF(D1060="BUY",E1060+(ROUND(F1060*J1060/B1060,0)*B1060),E1060-(ROUND(F1060*J1060/B1060,0)*B1060)),IF(D1060="BUY",E1060-(ROUND(F1060*J1060/B1060,0)*B1060),E1060+(ROUND(F1060*J1060/B1060,0)*B1060)))</f>
        <v>#DIV/0!</v>
      </c>
      <c r="K1061" s="29" t="e">
        <f>IF(C1060=1,IF(D1060="BUY",E1060-(ROUND(F1060*K1060/B1060,0)*B1060),E1060+(ROUND(F1060*K1060/B1060,0)*B1060)),IF(D1060="BUY",E1060-(ROUND(F1060*K1060/B1060,0)*B1060),E1060+(ROUND(F1060*K1060/B1060,0)*B1060)))</f>
        <v>#DIV/0!</v>
      </c>
      <c r="L1061" s="29" t="e">
        <f t="shared" ref="L1061" si="1586">IF(D1061="BUY",I1061+(R1061*B1061),I1061-(R1061*B1061))</f>
        <v>#DIV/0!</v>
      </c>
      <c r="M1061" s="29" t="e">
        <f>IF(D1060="BUY",E1060+(ROUND(F1060*M1060/B1060,0)*B1060),E1060-(ROUND(F1060*M1060/B1060,0)*B1060))</f>
        <v>#DIV/0!</v>
      </c>
      <c r="N1061" s="29" t="e">
        <f>IF(D1060="BUY",E1060-(ROUND(F1060*N1060/B1060,0)*B1060),E1060+(ROUND(F1060*N1060/B1060,0)*B1060))</f>
        <v>#DIV/0!</v>
      </c>
      <c r="O1061" s="31" t="e">
        <f>IF(D1061="BUY",N1061-VLOOKUP(A1061,Symbols!A$1:D$1000,4,FALSE),N1061+VLOOKUP(A1061,Symbols!A$1:D$1000,4,FALSE))</f>
        <v>#DIV/0!</v>
      </c>
      <c r="P1061" s="29">
        <f>P1060</f>
        <v>0</v>
      </c>
      <c r="Q1061" s="29">
        <f>Q1060</f>
        <v>0</v>
      </c>
      <c r="R1061" s="29">
        <f>R1060</f>
        <v>0</v>
      </c>
      <c r="S1061" s="29">
        <f>S1060</f>
        <v>0</v>
      </c>
      <c r="T1061" s="29">
        <f>T1060</f>
        <v>0</v>
      </c>
      <c r="U1061" s="29" t="e">
        <f>DATEDIF(DATE(1970,1,1),U1060,"D")*86400</f>
        <v>#NUM!</v>
      </c>
      <c r="V1061" s="29">
        <f>HOUR(V1060)*3600+MINUTE(V1060)*60+SECOND(V1060)</f>
        <v>0</v>
      </c>
      <c r="W1061" s="29" t="e">
        <f>DATEDIF(DATE(1970,1,1),W1060,"D")*86400</f>
        <v>#NUM!</v>
      </c>
      <c r="X1061" s="29">
        <f>HOUR(X1060)*3600+MINUTE(X1060)*60+SECOND(X1060)</f>
        <v>0</v>
      </c>
      <c r="Y1061" s="31">
        <f>(Y1060*B1061)</f>
        <v>0</v>
      </c>
      <c r="Z1061" s="29">
        <f>Z1060</f>
        <v>0</v>
      </c>
      <c r="AA1061" s="29" t="e">
        <f>DATEDIF(DATE(1970,1,1),AA1060,"D")*86400</f>
        <v>#NUM!</v>
      </c>
      <c r="AB1061" s="29">
        <f>HOUR(AB1060)*3600+MINUTE(AB1060)*60+SECOND(AB1060)</f>
        <v>0</v>
      </c>
      <c r="AC1061" s="29">
        <f>AC1060</f>
        <v>0</v>
      </c>
    </row>
    <row r="1062" spans="1:29">
      <c r="A1062" s="23">
        <f>Parameters!A532</f>
        <v>0</v>
      </c>
      <c r="B1062" s="23">
        <f>Parameters!B532</f>
        <v>0</v>
      </c>
      <c r="C1062" s="24">
        <f>Parameters!C532</f>
        <v>0</v>
      </c>
      <c r="D1062" s="24">
        <f>Parameters!D532</f>
        <v>0</v>
      </c>
      <c r="E1062" s="23">
        <f>Parameters!E532</f>
        <v>0</v>
      </c>
      <c r="F1062" s="23">
        <f>Parameters!F532</f>
        <v>0</v>
      </c>
      <c r="G1062" s="25">
        <f>Parameters!G532</f>
        <v>0</v>
      </c>
      <c r="H1062" s="25">
        <f>Parameters!H532</f>
        <v>0</v>
      </c>
      <c r="I1062" s="25">
        <f>Parameters!I532</f>
        <v>0</v>
      </c>
      <c r="J1062" s="25">
        <f>Parameters!J532</f>
        <v>0</v>
      </c>
      <c r="K1062" s="25">
        <f>Parameters!K532</f>
        <v>0</v>
      </c>
      <c r="L1062" s="26" t="e">
        <f t="shared" ref="L1062" si="1587">L1063</f>
        <v>#DIV/0!</v>
      </c>
      <c r="M1062" s="25">
        <f>Parameters!L532</f>
        <v>0</v>
      </c>
      <c r="N1062" s="25">
        <f>Parameters!M532</f>
        <v>0</v>
      </c>
      <c r="O1062" s="26" t="e">
        <f t="shared" ref="O1062" si="1588">O1063</f>
        <v>#DIV/0!</v>
      </c>
      <c r="P1062" s="23">
        <f>Parameters!N532</f>
        <v>0</v>
      </c>
      <c r="Q1062" s="23">
        <f>Parameters!O532</f>
        <v>0</v>
      </c>
      <c r="R1062" s="23">
        <f>Parameters!P532</f>
        <v>0</v>
      </c>
      <c r="S1062" s="23">
        <f>Parameters!Q532</f>
        <v>0</v>
      </c>
      <c r="T1062" s="23">
        <f>Parameters!R532</f>
        <v>0</v>
      </c>
      <c r="U1062" s="27">
        <f>Parameters!S532</f>
        <v>0</v>
      </c>
      <c r="V1062" s="28">
        <f>Parameters!T532</f>
        <v>0</v>
      </c>
      <c r="W1062" s="27">
        <f>Parameters!U532</f>
        <v>0</v>
      </c>
      <c r="X1062" s="28">
        <f>Parameters!V532</f>
        <v>0</v>
      </c>
      <c r="Y1062" s="25">
        <f>Parameters!W532</f>
        <v>0</v>
      </c>
      <c r="Z1062" s="23">
        <f>Parameters!X532</f>
        <v>0</v>
      </c>
      <c r="AA1062" s="27">
        <f>Parameters!Y532</f>
        <v>0</v>
      </c>
      <c r="AB1062" s="28">
        <f>Parameters!Z532</f>
        <v>0</v>
      </c>
      <c r="AC1062" s="23">
        <f>Parameters!AA532</f>
        <v>0</v>
      </c>
    </row>
    <row r="1063" spans="1:29">
      <c r="A1063" s="29" t="str">
        <f>UPPER(A1062)</f>
        <v>0</v>
      </c>
      <c r="B1063" s="29">
        <f>B1062</f>
        <v>0</v>
      </c>
      <c r="C1063" s="30">
        <f>C1062</f>
        <v>0</v>
      </c>
      <c r="D1063" s="30">
        <f>D1062</f>
        <v>0</v>
      </c>
      <c r="E1063" s="29">
        <f>E1062</f>
        <v>0</v>
      </c>
      <c r="F1063" s="29">
        <f>F1062</f>
        <v>0</v>
      </c>
      <c r="G1063" s="29" t="e">
        <f>IF(C1062=1,IF(D1062="BUY",E1062+(ROUND(F1062*G1062/B1062,0)*B1062),E1062-(ROUND(F1062*G1062/B1062,0)*B1062)),IF(D1062="BUY",E1062-(ROUND(F1062*G1062/B1062,0)*B1062),E1062+(ROUND(F1062*G1062/B1062,0)*B1062)))</f>
        <v>#DIV/0!</v>
      </c>
      <c r="H1063" s="29" t="e">
        <f>IF(C1062=1,IF(D1062="BUY",G1063-(ROUND(F1062*H1062/B1062,0)*B1062),G1063+(ROUND(F1062*H1062/B1062,0)*B1062)),IF(D1062="BUY",G1063+(ROUND(F1062*H1062/B1062,0)*B1062),G1063-(ROUND(F1062*H1062/B1062,0)*B1062)))</f>
        <v>#DIV/0!</v>
      </c>
      <c r="I1063" s="29" t="e">
        <f>IF(D1062="BUY",G1063+(ROUND(F1062*I1062/(B1062*100),0)*B1062),G1063-(ROUND(F1062*I1062/(B1062*100),0)*B1062))</f>
        <v>#DIV/0!</v>
      </c>
      <c r="J1063" s="29" t="e">
        <f>IF(C1062=1,IF(D1062="BUY",E1062+(ROUND(F1062*J1062/B1062,0)*B1062),E1062-(ROUND(F1062*J1062/B1062,0)*B1062)),IF(D1062="BUY",E1062-(ROUND(F1062*J1062/B1062,0)*B1062),E1062+(ROUND(F1062*J1062/B1062,0)*B1062)))</f>
        <v>#DIV/0!</v>
      </c>
      <c r="K1063" s="29" t="e">
        <f>IF(C1062=1,IF(D1062="BUY",E1062-(ROUND(F1062*K1062/B1062,0)*B1062),E1062+(ROUND(F1062*K1062/B1062,0)*B1062)),IF(D1062="BUY",E1062-(ROUND(F1062*K1062/B1062,0)*B1062),E1062+(ROUND(F1062*K1062/B1062,0)*B1062)))</f>
        <v>#DIV/0!</v>
      </c>
      <c r="L1063" s="29" t="e">
        <f t="shared" ref="L1063" si="1589">IF(D1063="BUY",I1063+(R1063*B1063),I1063-(R1063*B1063))</f>
        <v>#DIV/0!</v>
      </c>
      <c r="M1063" s="29" t="e">
        <f>IF(D1062="BUY",E1062+(ROUND(F1062*M1062/B1062,0)*B1062),E1062-(ROUND(F1062*M1062/B1062,0)*B1062))</f>
        <v>#DIV/0!</v>
      </c>
      <c r="N1063" s="29" t="e">
        <f>IF(D1062="BUY",E1062-(ROUND(F1062*N1062/B1062,0)*B1062),E1062+(ROUND(F1062*N1062/B1062,0)*B1062))</f>
        <v>#DIV/0!</v>
      </c>
      <c r="O1063" s="31" t="e">
        <f>IF(D1063="BUY",N1063-VLOOKUP(A1063,Symbols!A$1:D$1000,4,FALSE),N1063+VLOOKUP(A1063,Symbols!A$1:D$1000,4,FALSE))</f>
        <v>#DIV/0!</v>
      </c>
      <c r="P1063" s="29">
        <f>P1062</f>
        <v>0</v>
      </c>
      <c r="Q1063" s="29">
        <f>Q1062</f>
        <v>0</v>
      </c>
      <c r="R1063" s="29">
        <f>R1062</f>
        <v>0</v>
      </c>
      <c r="S1063" s="29">
        <f>S1062</f>
        <v>0</v>
      </c>
      <c r="T1063" s="29">
        <f>T1062</f>
        <v>0</v>
      </c>
      <c r="U1063" s="29" t="e">
        <f>DATEDIF(DATE(1970,1,1),U1062,"D")*86400</f>
        <v>#NUM!</v>
      </c>
      <c r="V1063" s="29">
        <f>HOUR(V1062)*3600+MINUTE(V1062)*60+SECOND(V1062)</f>
        <v>0</v>
      </c>
      <c r="W1063" s="29" t="e">
        <f>DATEDIF(DATE(1970,1,1),W1062,"D")*86400</f>
        <v>#NUM!</v>
      </c>
      <c r="X1063" s="29">
        <f>HOUR(X1062)*3600+MINUTE(X1062)*60+SECOND(X1062)</f>
        <v>0</v>
      </c>
      <c r="Y1063" s="31">
        <f>(Y1062*B1063)</f>
        <v>0</v>
      </c>
      <c r="Z1063" s="29">
        <f>Z1062</f>
        <v>0</v>
      </c>
      <c r="AA1063" s="29" t="e">
        <f>DATEDIF(DATE(1970,1,1),AA1062,"D")*86400</f>
        <v>#NUM!</v>
      </c>
      <c r="AB1063" s="29">
        <f>HOUR(AB1062)*3600+MINUTE(AB1062)*60+SECOND(AB1062)</f>
        <v>0</v>
      </c>
      <c r="AC1063" s="29">
        <f>AC1062</f>
        <v>0</v>
      </c>
    </row>
    <row r="1064" spans="1:29">
      <c r="A1064" s="23">
        <f>Parameters!A533</f>
        <v>0</v>
      </c>
      <c r="B1064" s="23">
        <f>Parameters!B533</f>
        <v>0</v>
      </c>
      <c r="C1064" s="24">
        <f>Parameters!C533</f>
        <v>0</v>
      </c>
      <c r="D1064" s="24">
        <f>Parameters!D533</f>
        <v>0</v>
      </c>
      <c r="E1064" s="23">
        <f>Parameters!E533</f>
        <v>0</v>
      </c>
      <c r="F1064" s="23">
        <f>Parameters!F533</f>
        <v>0</v>
      </c>
      <c r="G1064" s="25">
        <f>Parameters!G533</f>
        <v>0</v>
      </c>
      <c r="H1064" s="25">
        <f>Parameters!H533</f>
        <v>0</v>
      </c>
      <c r="I1064" s="25">
        <f>Parameters!I533</f>
        <v>0</v>
      </c>
      <c r="J1064" s="25">
        <f>Parameters!J533</f>
        <v>0</v>
      </c>
      <c r="K1064" s="25">
        <f>Parameters!K533</f>
        <v>0</v>
      </c>
      <c r="L1064" s="26" t="e">
        <f t="shared" ref="L1064" si="1590">L1065</f>
        <v>#DIV/0!</v>
      </c>
      <c r="M1064" s="25">
        <f>Parameters!L533</f>
        <v>0</v>
      </c>
      <c r="N1064" s="25">
        <f>Parameters!M533</f>
        <v>0</v>
      </c>
      <c r="O1064" s="26" t="e">
        <f t="shared" ref="O1064" si="1591">O1065</f>
        <v>#DIV/0!</v>
      </c>
      <c r="P1064" s="23">
        <f>Parameters!N533</f>
        <v>0</v>
      </c>
      <c r="Q1064" s="23">
        <f>Parameters!O533</f>
        <v>0</v>
      </c>
      <c r="R1064" s="23">
        <f>Parameters!P533</f>
        <v>0</v>
      </c>
      <c r="S1064" s="23">
        <f>Parameters!Q533</f>
        <v>0</v>
      </c>
      <c r="T1064" s="23">
        <f>Parameters!R533</f>
        <v>0</v>
      </c>
      <c r="U1064" s="27">
        <f>Parameters!S533</f>
        <v>0</v>
      </c>
      <c r="V1064" s="28">
        <f>Parameters!T533</f>
        <v>0</v>
      </c>
      <c r="W1064" s="27">
        <f>Parameters!U533</f>
        <v>0</v>
      </c>
      <c r="X1064" s="28">
        <f>Parameters!V533</f>
        <v>0</v>
      </c>
      <c r="Y1064" s="25">
        <f>Parameters!W533</f>
        <v>0</v>
      </c>
      <c r="Z1064" s="23">
        <f>Parameters!X533</f>
        <v>0</v>
      </c>
      <c r="AA1064" s="27">
        <f>Parameters!Y533</f>
        <v>0</v>
      </c>
      <c r="AB1064" s="28">
        <f>Parameters!Z533</f>
        <v>0</v>
      </c>
      <c r="AC1064" s="23">
        <f>Parameters!AA533</f>
        <v>0</v>
      </c>
    </row>
    <row r="1065" spans="1:29">
      <c r="A1065" s="29" t="str">
        <f>UPPER(A1064)</f>
        <v>0</v>
      </c>
      <c r="B1065" s="29">
        <f>B1064</f>
        <v>0</v>
      </c>
      <c r="C1065" s="30">
        <f>C1064</f>
        <v>0</v>
      </c>
      <c r="D1065" s="30">
        <f>D1064</f>
        <v>0</v>
      </c>
      <c r="E1065" s="29">
        <f>E1064</f>
        <v>0</v>
      </c>
      <c r="F1065" s="29">
        <f>F1064</f>
        <v>0</v>
      </c>
      <c r="G1065" s="29" t="e">
        <f>IF(C1064=1,IF(D1064="BUY",E1064+(ROUND(F1064*G1064/B1064,0)*B1064),E1064-(ROUND(F1064*G1064/B1064,0)*B1064)),IF(D1064="BUY",E1064-(ROUND(F1064*G1064/B1064,0)*B1064),E1064+(ROUND(F1064*G1064/B1064,0)*B1064)))</f>
        <v>#DIV/0!</v>
      </c>
      <c r="H1065" s="29" t="e">
        <f>IF(C1064=1,IF(D1064="BUY",G1065-(ROUND(F1064*H1064/B1064,0)*B1064),G1065+(ROUND(F1064*H1064/B1064,0)*B1064)),IF(D1064="BUY",G1065+(ROUND(F1064*H1064/B1064,0)*B1064),G1065-(ROUND(F1064*H1064/B1064,0)*B1064)))</f>
        <v>#DIV/0!</v>
      </c>
      <c r="I1065" s="29" t="e">
        <f>IF(D1064="BUY",G1065+(ROUND(F1064*I1064/(B1064*100),0)*B1064),G1065-(ROUND(F1064*I1064/(B1064*100),0)*B1064))</f>
        <v>#DIV/0!</v>
      </c>
      <c r="J1065" s="29" t="e">
        <f>IF(C1064=1,IF(D1064="BUY",E1064+(ROUND(F1064*J1064/B1064,0)*B1064),E1064-(ROUND(F1064*J1064/B1064,0)*B1064)),IF(D1064="BUY",E1064-(ROUND(F1064*J1064/B1064,0)*B1064),E1064+(ROUND(F1064*J1064/B1064,0)*B1064)))</f>
        <v>#DIV/0!</v>
      </c>
      <c r="K1065" s="29" t="e">
        <f>IF(C1064=1,IF(D1064="BUY",E1064-(ROUND(F1064*K1064/B1064,0)*B1064),E1064+(ROUND(F1064*K1064/B1064,0)*B1064)),IF(D1064="BUY",E1064-(ROUND(F1064*K1064/B1064,0)*B1064),E1064+(ROUND(F1064*K1064/B1064,0)*B1064)))</f>
        <v>#DIV/0!</v>
      </c>
      <c r="L1065" s="29" t="e">
        <f t="shared" ref="L1065" si="1592">IF(D1065="BUY",I1065+(R1065*B1065),I1065-(R1065*B1065))</f>
        <v>#DIV/0!</v>
      </c>
      <c r="M1065" s="29" t="e">
        <f>IF(D1064="BUY",E1064+(ROUND(F1064*M1064/B1064,0)*B1064),E1064-(ROUND(F1064*M1064/B1064,0)*B1064))</f>
        <v>#DIV/0!</v>
      </c>
      <c r="N1065" s="29" t="e">
        <f>IF(D1064="BUY",E1064-(ROUND(F1064*N1064/B1064,0)*B1064),E1064+(ROUND(F1064*N1064/B1064,0)*B1064))</f>
        <v>#DIV/0!</v>
      </c>
      <c r="O1065" s="31" t="e">
        <f>IF(D1065="BUY",N1065-VLOOKUP(A1065,Symbols!A$1:D$1000,4,FALSE),N1065+VLOOKUP(A1065,Symbols!A$1:D$1000,4,FALSE))</f>
        <v>#DIV/0!</v>
      </c>
      <c r="P1065" s="29">
        <f>P1064</f>
        <v>0</v>
      </c>
      <c r="Q1065" s="29">
        <f>Q1064</f>
        <v>0</v>
      </c>
      <c r="R1065" s="29">
        <f>R1064</f>
        <v>0</v>
      </c>
      <c r="S1065" s="29">
        <f>S1064</f>
        <v>0</v>
      </c>
      <c r="T1065" s="29">
        <f>T1064</f>
        <v>0</v>
      </c>
      <c r="U1065" s="29" t="e">
        <f>DATEDIF(DATE(1970,1,1),U1064,"D")*86400</f>
        <v>#NUM!</v>
      </c>
      <c r="V1065" s="29">
        <f>HOUR(V1064)*3600+MINUTE(V1064)*60+SECOND(V1064)</f>
        <v>0</v>
      </c>
      <c r="W1065" s="29" t="e">
        <f>DATEDIF(DATE(1970,1,1),W1064,"D")*86400</f>
        <v>#NUM!</v>
      </c>
      <c r="X1065" s="29">
        <f>HOUR(X1064)*3600+MINUTE(X1064)*60+SECOND(X1064)</f>
        <v>0</v>
      </c>
      <c r="Y1065" s="31">
        <f>(Y1064*B1065)</f>
        <v>0</v>
      </c>
      <c r="Z1065" s="29">
        <f>Z1064</f>
        <v>0</v>
      </c>
      <c r="AA1065" s="29" t="e">
        <f>DATEDIF(DATE(1970,1,1),AA1064,"D")*86400</f>
        <v>#NUM!</v>
      </c>
      <c r="AB1065" s="29">
        <f>HOUR(AB1064)*3600+MINUTE(AB1064)*60+SECOND(AB1064)</f>
        <v>0</v>
      </c>
      <c r="AC1065" s="29">
        <f>AC1064</f>
        <v>0</v>
      </c>
    </row>
    <row r="1066" spans="1:29">
      <c r="A1066" s="23">
        <f>Parameters!A534</f>
        <v>0</v>
      </c>
      <c r="B1066" s="23">
        <f>Parameters!B534</f>
        <v>0</v>
      </c>
      <c r="C1066" s="24">
        <f>Parameters!C534</f>
        <v>0</v>
      </c>
      <c r="D1066" s="24">
        <f>Parameters!D534</f>
        <v>0</v>
      </c>
      <c r="E1066" s="23">
        <f>Parameters!E534</f>
        <v>0</v>
      </c>
      <c r="F1066" s="23">
        <f>Parameters!F534</f>
        <v>0</v>
      </c>
      <c r="G1066" s="25">
        <f>Parameters!G534</f>
        <v>0</v>
      </c>
      <c r="H1066" s="25">
        <f>Parameters!H534</f>
        <v>0</v>
      </c>
      <c r="I1066" s="25">
        <f>Parameters!I534</f>
        <v>0</v>
      </c>
      <c r="J1066" s="25">
        <f>Parameters!J534</f>
        <v>0</v>
      </c>
      <c r="K1066" s="25">
        <f>Parameters!K534</f>
        <v>0</v>
      </c>
      <c r="L1066" s="26" t="e">
        <f t="shared" ref="L1066" si="1593">L1067</f>
        <v>#DIV/0!</v>
      </c>
      <c r="M1066" s="25">
        <f>Parameters!L534</f>
        <v>0</v>
      </c>
      <c r="N1066" s="25">
        <f>Parameters!M534</f>
        <v>0</v>
      </c>
      <c r="O1066" s="26" t="e">
        <f t="shared" ref="O1066" si="1594">O1067</f>
        <v>#DIV/0!</v>
      </c>
      <c r="P1066" s="23">
        <f>Parameters!N534</f>
        <v>0</v>
      </c>
      <c r="Q1066" s="23">
        <f>Parameters!O534</f>
        <v>0</v>
      </c>
      <c r="R1066" s="23">
        <f>Parameters!P534</f>
        <v>0</v>
      </c>
      <c r="S1066" s="23">
        <f>Parameters!Q534</f>
        <v>0</v>
      </c>
      <c r="T1066" s="23">
        <f>Parameters!R534</f>
        <v>0</v>
      </c>
      <c r="U1066" s="27">
        <f>Parameters!S534</f>
        <v>0</v>
      </c>
      <c r="V1066" s="28">
        <f>Parameters!T534</f>
        <v>0</v>
      </c>
      <c r="W1066" s="27">
        <f>Parameters!U534</f>
        <v>0</v>
      </c>
      <c r="X1066" s="28">
        <f>Parameters!V534</f>
        <v>0</v>
      </c>
      <c r="Y1066" s="25">
        <f>Parameters!W534</f>
        <v>0</v>
      </c>
      <c r="Z1066" s="23">
        <f>Parameters!X534</f>
        <v>0</v>
      </c>
      <c r="AA1066" s="27">
        <f>Parameters!Y534</f>
        <v>0</v>
      </c>
      <c r="AB1066" s="28">
        <f>Parameters!Z534</f>
        <v>0</v>
      </c>
      <c r="AC1066" s="23">
        <f>Parameters!AA534</f>
        <v>0</v>
      </c>
    </row>
    <row r="1067" spans="1:29">
      <c r="A1067" s="29" t="str">
        <f>UPPER(A1066)</f>
        <v>0</v>
      </c>
      <c r="B1067" s="29">
        <f>B1066</f>
        <v>0</v>
      </c>
      <c r="C1067" s="30">
        <f>C1066</f>
        <v>0</v>
      </c>
      <c r="D1067" s="30">
        <f>D1066</f>
        <v>0</v>
      </c>
      <c r="E1067" s="29">
        <f>E1066</f>
        <v>0</v>
      </c>
      <c r="F1067" s="29">
        <f>F1066</f>
        <v>0</v>
      </c>
      <c r="G1067" s="29" t="e">
        <f>IF(C1066=1,IF(D1066="BUY",E1066+(ROUND(F1066*G1066/B1066,0)*B1066),E1066-(ROUND(F1066*G1066/B1066,0)*B1066)),IF(D1066="BUY",E1066-(ROUND(F1066*G1066/B1066,0)*B1066),E1066+(ROUND(F1066*G1066/B1066,0)*B1066)))</f>
        <v>#DIV/0!</v>
      </c>
      <c r="H1067" s="29" t="e">
        <f>IF(C1066=1,IF(D1066="BUY",G1067-(ROUND(F1066*H1066/B1066,0)*B1066),G1067+(ROUND(F1066*H1066/B1066,0)*B1066)),IF(D1066="BUY",G1067+(ROUND(F1066*H1066/B1066,0)*B1066),G1067-(ROUND(F1066*H1066/B1066,0)*B1066)))</f>
        <v>#DIV/0!</v>
      </c>
      <c r="I1067" s="29" t="e">
        <f>IF(D1066="BUY",G1067+(ROUND(F1066*I1066/(B1066*100),0)*B1066),G1067-(ROUND(F1066*I1066/(B1066*100),0)*B1066))</f>
        <v>#DIV/0!</v>
      </c>
      <c r="J1067" s="29" t="e">
        <f>IF(C1066=1,IF(D1066="BUY",E1066+(ROUND(F1066*J1066/B1066,0)*B1066),E1066-(ROUND(F1066*J1066/B1066,0)*B1066)),IF(D1066="BUY",E1066-(ROUND(F1066*J1066/B1066,0)*B1066),E1066+(ROUND(F1066*J1066/B1066,0)*B1066)))</f>
        <v>#DIV/0!</v>
      </c>
      <c r="K1067" s="29" t="e">
        <f>IF(C1066=1,IF(D1066="BUY",E1066-(ROUND(F1066*K1066/B1066,0)*B1066),E1066+(ROUND(F1066*K1066/B1066,0)*B1066)),IF(D1066="BUY",E1066-(ROUND(F1066*K1066/B1066,0)*B1066),E1066+(ROUND(F1066*K1066/B1066,0)*B1066)))</f>
        <v>#DIV/0!</v>
      </c>
      <c r="L1067" s="29" t="e">
        <f t="shared" ref="L1067" si="1595">IF(D1067="BUY",I1067+(R1067*B1067),I1067-(R1067*B1067))</f>
        <v>#DIV/0!</v>
      </c>
      <c r="M1067" s="29" t="e">
        <f>IF(D1066="BUY",E1066+(ROUND(F1066*M1066/B1066,0)*B1066),E1066-(ROUND(F1066*M1066/B1066,0)*B1066))</f>
        <v>#DIV/0!</v>
      </c>
      <c r="N1067" s="29" t="e">
        <f>IF(D1066="BUY",E1066-(ROUND(F1066*N1066/B1066,0)*B1066),E1066+(ROUND(F1066*N1066/B1066,0)*B1066))</f>
        <v>#DIV/0!</v>
      </c>
      <c r="O1067" s="31" t="e">
        <f>IF(D1067="BUY",N1067-VLOOKUP(A1067,Symbols!A$1:D$1000,4,FALSE),N1067+VLOOKUP(A1067,Symbols!A$1:D$1000,4,FALSE))</f>
        <v>#DIV/0!</v>
      </c>
      <c r="P1067" s="29">
        <f>P1066</f>
        <v>0</v>
      </c>
      <c r="Q1067" s="29">
        <f>Q1066</f>
        <v>0</v>
      </c>
      <c r="R1067" s="29">
        <f>R1066</f>
        <v>0</v>
      </c>
      <c r="S1067" s="29">
        <f>S1066</f>
        <v>0</v>
      </c>
      <c r="T1067" s="29">
        <f>T1066</f>
        <v>0</v>
      </c>
      <c r="U1067" s="29" t="e">
        <f>DATEDIF(DATE(1970,1,1),U1066,"D")*86400</f>
        <v>#NUM!</v>
      </c>
      <c r="V1067" s="29">
        <f>HOUR(V1066)*3600+MINUTE(V1066)*60+SECOND(V1066)</f>
        <v>0</v>
      </c>
      <c r="W1067" s="29" t="e">
        <f>DATEDIF(DATE(1970,1,1),W1066,"D")*86400</f>
        <v>#NUM!</v>
      </c>
      <c r="X1067" s="29">
        <f>HOUR(X1066)*3600+MINUTE(X1066)*60+SECOND(X1066)</f>
        <v>0</v>
      </c>
      <c r="Y1067" s="31">
        <f>(Y1066*B1067)</f>
        <v>0</v>
      </c>
      <c r="Z1067" s="29">
        <f>Z1066</f>
        <v>0</v>
      </c>
      <c r="AA1067" s="29" t="e">
        <f>DATEDIF(DATE(1970,1,1),AA1066,"D")*86400</f>
        <v>#NUM!</v>
      </c>
      <c r="AB1067" s="29">
        <f>HOUR(AB1066)*3600+MINUTE(AB1066)*60+SECOND(AB1066)</f>
        <v>0</v>
      </c>
      <c r="AC1067" s="29">
        <f>AC1066</f>
        <v>0</v>
      </c>
    </row>
    <row r="1068" spans="1:29">
      <c r="A1068" s="23">
        <f>Parameters!A535</f>
        <v>0</v>
      </c>
      <c r="B1068" s="23">
        <f>Parameters!B535</f>
        <v>0</v>
      </c>
      <c r="C1068" s="24">
        <f>Parameters!C535</f>
        <v>0</v>
      </c>
      <c r="D1068" s="24">
        <f>Parameters!D535</f>
        <v>0</v>
      </c>
      <c r="E1068" s="23">
        <f>Parameters!E535</f>
        <v>0</v>
      </c>
      <c r="F1068" s="23">
        <f>Parameters!F535</f>
        <v>0</v>
      </c>
      <c r="G1068" s="25">
        <f>Parameters!G535</f>
        <v>0</v>
      </c>
      <c r="H1068" s="25">
        <f>Parameters!H535</f>
        <v>0</v>
      </c>
      <c r="I1068" s="25">
        <f>Parameters!I535</f>
        <v>0</v>
      </c>
      <c r="J1068" s="25">
        <f>Parameters!J535</f>
        <v>0</v>
      </c>
      <c r="K1068" s="25">
        <f>Parameters!K535</f>
        <v>0</v>
      </c>
      <c r="L1068" s="26" t="e">
        <f t="shared" ref="L1068" si="1596">L1069</f>
        <v>#DIV/0!</v>
      </c>
      <c r="M1068" s="25">
        <f>Parameters!L535</f>
        <v>0</v>
      </c>
      <c r="N1068" s="25">
        <f>Parameters!M535</f>
        <v>0</v>
      </c>
      <c r="O1068" s="26" t="e">
        <f t="shared" ref="O1068" si="1597">O1069</f>
        <v>#DIV/0!</v>
      </c>
      <c r="P1068" s="23">
        <f>Parameters!N535</f>
        <v>0</v>
      </c>
      <c r="Q1068" s="23">
        <f>Parameters!O535</f>
        <v>0</v>
      </c>
      <c r="R1068" s="23">
        <f>Parameters!P535</f>
        <v>0</v>
      </c>
      <c r="S1068" s="23">
        <f>Parameters!Q535</f>
        <v>0</v>
      </c>
      <c r="T1068" s="23">
        <f>Parameters!R535</f>
        <v>0</v>
      </c>
      <c r="U1068" s="27">
        <f>Parameters!S535</f>
        <v>0</v>
      </c>
      <c r="V1068" s="28">
        <f>Parameters!T535</f>
        <v>0</v>
      </c>
      <c r="W1068" s="27">
        <f>Parameters!U535</f>
        <v>0</v>
      </c>
      <c r="X1068" s="28">
        <f>Parameters!V535</f>
        <v>0</v>
      </c>
      <c r="Y1068" s="25">
        <f>Parameters!W535</f>
        <v>0</v>
      </c>
      <c r="Z1068" s="23">
        <f>Parameters!X535</f>
        <v>0</v>
      </c>
      <c r="AA1068" s="27">
        <f>Parameters!Y535</f>
        <v>0</v>
      </c>
      <c r="AB1068" s="28">
        <f>Parameters!Z535</f>
        <v>0</v>
      </c>
      <c r="AC1068" s="23">
        <f>Parameters!AA535</f>
        <v>0</v>
      </c>
    </row>
    <row r="1069" spans="1:29">
      <c r="A1069" s="29" t="str">
        <f>UPPER(A1068)</f>
        <v>0</v>
      </c>
      <c r="B1069" s="29">
        <f>B1068</f>
        <v>0</v>
      </c>
      <c r="C1069" s="30">
        <f>C1068</f>
        <v>0</v>
      </c>
      <c r="D1069" s="30">
        <f>D1068</f>
        <v>0</v>
      </c>
      <c r="E1069" s="29">
        <f>E1068</f>
        <v>0</v>
      </c>
      <c r="F1069" s="29">
        <f>F1068</f>
        <v>0</v>
      </c>
      <c r="G1069" s="29" t="e">
        <f>IF(C1068=1,IF(D1068="BUY",E1068+(ROUND(F1068*G1068/B1068,0)*B1068),E1068-(ROUND(F1068*G1068/B1068,0)*B1068)),IF(D1068="BUY",E1068-(ROUND(F1068*G1068/B1068,0)*B1068),E1068+(ROUND(F1068*G1068/B1068,0)*B1068)))</f>
        <v>#DIV/0!</v>
      </c>
      <c r="H1069" s="29" t="e">
        <f>IF(C1068=1,IF(D1068="BUY",G1069-(ROUND(F1068*H1068/B1068,0)*B1068),G1069+(ROUND(F1068*H1068/B1068,0)*B1068)),IF(D1068="BUY",G1069+(ROUND(F1068*H1068/B1068,0)*B1068),G1069-(ROUND(F1068*H1068/B1068,0)*B1068)))</f>
        <v>#DIV/0!</v>
      </c>
      <c r="I1069" s="29" t="e">
        <f>IF(D1068="BUY",G1069+(ROUND(F1068*I1068/(B1068*100),0)*B1068),G1069-(ROUND(F1068*I1068/(B1068*100),0)*B1068))</f>
        <v>#DIV/0!</v>
      </c>
      <c r="J1069" s="29" t="e">
        <f>IF(C1068=1,IF(D1068="BUY",E1068+(ROUND(F1068*J1068/B1068,0)*B1068),E1068-(ROUND(F1068*J1068/B1068,0)*B1068)),IF(D1068="BUY",E1068-(ROUND(F1068*J1068/B1068,0)*B1068),E1068+(ROUND(F1068*J1068/B1068,0)*B1068)))</f>
        <v>#DIV/0!</v>
      </c>
      <c r="K1069" s="29" t="e">
        <f>IF(C1068=1,IF(D1068="BUY",E1068-(ROUND(F1068*K1068/B1068,0)*B1068),E1068+(ROUND(F1068*K1068/B1068,0)*B1068)),IF(D1068="BUY",E1068-(ROUND(F1068*K1068/B1068,0)*B1068),E1068+(ROUND(F1068*K1068/B1068,0)*B1068)))</f>
        <v>#DIV/0!</v>
      </c>
      <c r="L1069" s="29" t="e">
        <f t="shared" ref="L1069" si="1598">IF(D1069="BUY",I1069+(R1069*B1069),I1069-(R1069*B1069))</f>
        <v>#DIV/0!</v>
      </c>
      <c r="M1069" s="29" t="e">
        <f>IF(D1068="BUY",E1068+(ROUND(F1068*M1068/B1068,0)*B1068),E1068-(ROUND(F1068*M1068/B1068,0)*B1068))</f>
        <v>#DIV/0!</v>
      </c>
      <c r="N1069" s="29" t="e">
        <f>IF(D1068="BUY",E1068-(ROUND(F1068*N1068/B1068,0)*B1068),E1068+(ROUND(F1068*N1068/B1068,0)*B1068))</f>
        <v>#DIV/0!</v>
      </c>
      <c r="O1069" s="31" t="e">
        <f>IF(D1069="BUY",N1069-VLOOKUP(A1069,Symbols!A$1:D$1000,4,FALSE),N1069+VLOOKUP(A1069,Symbols!A$1:D$1000,4,FALSE))</f>
        <v>#DIV/0!</v>
      </c>
      <c r="P1069" s="29">
        <f>P1068</f>
        <v>0</v>
      </c>
      <c r="Q1069" s="29">
        <f>Q1068</f>
        <v>0</v>
      </c>
      <c r="R1069" s="29">
        <f>R1068</f>
        <v>0</v>
      </c>
      <c r="S1069" s="29">
        <f>S1068</f>
        <v>0</v>
      </c>
      <c r="T1069" s="29">
        <f>T1068</f>
        <v>0</v>
      </c>
      <c r="U1069" s="29" t="e">
        <f>DATEDIF(DATE(1970,1,1),U1068,"D")*86400</f>
        <v>#NUM!</v>
      </c>
      <c r="V1069" s="29">
        <f>HOUR(V1068)*3600+MINUTE(V1068)*60+SECOND(V1068)</f>
        <v>0</v>
      </c>
      <c r="W1069" s="29" t="e">
        <f>DATEDIF(DATE(1970,1,1),W1068,"D")*86400</f>
        <v>#NUM!</v>
      </c>
      <c r="X1069" s="29">
        <f>HOUR(X1068)*3600+MINUTE(X1068)*60+SECOND(X1068)</f>
        <v>0</v>
      </c>
      <c r="Y1069" s="31">
        <f>(Y1068*B1069)</f>
        <v>0</v>
      </c>
      <c r="Z1069" s="29">
        <f>Z1068</f>
        <v>0</v>
      </c>
      <c r="AA1069" s="29" t="e">
        <f>DATEDIF(DATE(1970,1,1),AA1068,"D")*86400</f>
        <v>#NUM!</v>
      </c>
      <c r="AB1069" s="29">
        <f>HOUR(AB1068)*3600+MINUTE(AB1068)*60+SECOND(AB1068)</f>
        <v>0</v>
      </c>
      <c r="AC1069" s="29">
        <f>AC1068</f>
        <v>0</v>
      </c>
    </row>
    <row r="1070" spans="1:29">
      <c r="A1070" s="23">
        <f>Parameters!A536</f>
        <v>0</v>
      </c>
      <c r="B1070" s="23">
        <f>Parameters!B536</f>
        <v>0</v>
      </c>
      <c r="C1070" s="24">
        <f>Parameters!C536</f>
        <v>0</v>
      </c>
      <c r="D1070" s="24">
        <f>Parameters!D536</f>
        <v>0</v>
      </c>
      <c r="E1070" s="23">
        <f>Parameters!E536</f>
        <v>0</v>
      </c>
      <c r="F1070" s="23">
        <f>Parameters!F536</f>
        <v>0</v>
      </c>
      <c r="G1070" s="25">
        <f>Parameters!G536</f>
        <v>0</v>
      </c>
      <c r="H1070" s="25">
        <f>Parameters!H536</f>
        <v>0</v>
      </c>
      <c r="I1070" s="25">
        <f>Parameters!I536</f>
        <v>0</v>
      </c>
      <c r="J1070" s="25">
        <f>Parameters!J536</f>
        <v>0</v>
      </c>
      <c r="K1070" s="25">
        <f>Parameters!K536</f>
        <v>0</v>
      </c>
      <c r="L1070" s="26" t="e">
        <f t="shared" ref="L1070" si="1599">L1071</f>
        <v>#DIV/0!</v>
      </c>
      <c r="M1070" s="25">
        <f>Parameters!L536</f>
        <v>0</v>
      </c>
      <c r="N1070" s="25">
        <f>Parameters!M536</f>
        <v>0</v>
      </c>
      <c r="O1070" s="26" t="e">
        <f t="shared" ref="O1070" si="1600">O1071</f>
        <v>#DIV/0!</v>
      </c>
      <c r="P1070" s="23">
        <f>Parameters!N536</f>
        <v>0</v>
      </c>
      <c r="Q1070" s="23">
        <f>Parameters!O536</f>
        <v>0</v>
      </c>
      <c r="R1070" s="23">
        <f>Parameters!P536</f>
        <v>0</v>
      </c>
      <c r="S1070" s="23">
        <f>Parameters!Q536</f>
        <v>0</v>
      </c>
      <c r="T1070" s="23">
        <f>Parameters!R536</f>
        <v>0</v>
      </c>
      <c r="U1070" s="27">
        <f>Parameters!S536</f>
        <v>0</v>
      </c>
      <c r="V1070" s="28">
        <f>Parameters!T536</f>
        <v>0</v>
      </c>
      <c r="W1070" s="27">
        <f>Parameters!U536</f>
        <v>0</v>
      </c>
      <c r="X1070" s="28">
        <f>Parameters!V536</f>
        <v>0</v>
      </c>
      <c r="Y1070" s="25">
        <f>Parameters!W536</f>
        <v>0</v>
      </c>
      <c r="Z1070" s="23">
        <f>Parameters!X536</f>
        <v>0</v>
      </c>
      <c r="AA1070" s="27">
        <f>Parameters!Y536</f>
        <v>0</v>
      </c>
      <c r="AB1070" s="28">
        <f>Parameters!Z536</f>
        <v>0</v>
      </c>
      <c r="AC1070" s="23">
        <f>Parameters!AA536</f>
        <v>0</v>
      </c>
    </row>
    <row r="1071" spans="1:29">
      <c r="A1071" s="29" t="str">
        <f>UPPER(A1070)</f>
        <v>0</v>
      </c>
      <c r="B1071" s="29">
        <f>B1070</f>
        <v>0</v>
      </c>
      <c r="C1071" s="30">
        <f>C1070</f>
        <v>0</v>
      </c>
      <c r="D1071" s="30">
        <f>D1070</f>
        <v>0</v>
      </c>
      <c r="E1071" s="29">
        <f>E1070</f>
        <v>0</v>
      </c>
      <c r="F1071" s="29">
        <f>F1070</f>
        <v>0</v>
      </c>
      <c r="G1071" s="29" t="e">
        <f>IF(C1070=1,IF(D1070="BUY",E1070+(ROUND(F1070*G1070/B1070,0)*B1070),E1070-(ROUND(F1070*G1070/B1070,0)*B1070)),IF(D1070="BUY",E1070-(ROUND(F1070*G1070/B1070,0)*B1070),E1070+(ROUND(F1070*G1070/B1070,0)*B1070)))</f>
        <v>#DIV/0!</v>
      </c>
      <c r="H1071" s="29" t="e">
        <f>IF(C1070=1,IF(D1070="BUY",G1071-(ROUND(F1070*H1070/B1070,0)*B1070),G1071+(ROUND(F1070*H1070/B1070,0)*B1070)),IF(D1070="BUY",G1071+(ROUND(F1070*H1070/B1070,0)*B1070),G1071-(ROUND(F1070*H1070/B1070,0)*B1070)))</f>
        <v>#DIV/0!</v>
      </c>
      <c r="I1071" s="29" t="e">
        <f>IF(D1070="BUY",G1071+(ROUND(F1070*I1070/(B1070*100),0)*B1070),G1071-(ROUND(F1070*I1070/(B1070*100),0)*B1070))</f>
        <v>#DIV/0!</v>
      </c>
      <c r="J1071" s="29" t="e">
        <f>IF(C1070=1,IF(D1070="BUY",E1070+(ROUND(F1070*J1070/B1070,0)*B1070),E1070-(ROUND(F1070*J1070/B1070,0)*B1070)),IF(D1070="BUY",E1070-(ROUND(F1070*J1070/B1070,0)*B1070),E1070+(ROUND(F1070*J1070/B1070,0)*B1070)))</f>
        <v>#DIV/0!</v>
      </c>
      <c r="K1071" s="29" t="e">
        <f>IF(C1070=1,IF(D1070="BUY",E1070-(ROUND(F1070*K1070/B1070,0)*B1070),E1070+(ROUND(F1070*K1070/B1070,0)*B1070)),IF(D1070="BUY",E1070-(ROUND(F1070*K1070/B1070,0)*B1070),E1070+(ROUND(F1070*K1070/B1070,0)*B1070)))</f>
        <v>#DIV/0!</v>
      </c>
      <c r="L1071" s="29" t="e">
        <f t="shared" ref="L1071" si="1601">IF(D1071="BUY",I1071+(R1071*B1071),I1071-(R1071*B1071))</f>
        <v>#DIV/0!</v>
      </c>
      <c r="M1071" s="29" t="e">
        <f>IF(D1070="BUY",E1070+(ROUND(F1070*M1070/B1070,0)*B1070),E1070-(ROUND(F1070*M1070/B1070,0)*B1070))</f>
        <v>#DIV/0!</v>
      </c>
      <c r="N1071" s="29" t="e">
        <f>IF(D1070="BUY",E1070-(ROUND(F1070*N1070/B1070,0)*B1070),E1070+(ROUND(F1070*N1070/B1070,0)*B1070))</f>
        <v>#DIV/0!</v>
      </c>
      <c r="O1071" s="31" t="e">
        <f>IF(D1071="BUY",N1071-VLOOKUP(A1071,Symbols!A$1:D$1000,4,FALSE),N1071+VLOOKUP(A1071,Symbols!A$1:D$1000,4,FALSE))</f>
        <v>#DIV/0!</v>
      </c>
      <c r="P1071" s="29">
        <f>P1070</f>
        <v>0</v>
      </c>
      <c r="Q1071" s="29">
        <f>Q1070</f>
        <v>0</v>
      </c>
      <c r="R1071" s="29">
        <f>R1070</f>
        <v>0</v>
      </c>
      <c r="S1071" s="29">
        <f>S1070</f>
        <v>0</v>
      </c>
      <c r="T1071" s="29">
        <f>T1070</f>
        <v>0</v>
      </c>
      <c r="U1071" s="29" t="e">
        <f>DATEDIF(DATE(1970,1,1),U1070,"D")*86400</f>
        <v>#NUM!</v>
      </c>
      <c r="V1071" s="29">
        <f>HOUR(V1070)*3600+MINUTE(V1070)*60+SECOND(V1070)</f>
        <v>0</v>
      </c>
      <c r="W1071" s="29" t="e">
        <f>DATEDIF(DATE(1970,1,1),W1070,"D")*86400</f>
        <v>#NUM!</v>
      </c>
      <c r="X1071" s="29">
        <f>HOUR(X1070)*3600+MINUTE(X1070)*60+SECOND(X1070)</f>
        <v>0</v>
      </c>
      <c r="Y1071" s="31">
        <f>(Y1070*B1071)</f>
        <v>0</v>
      </c>
      <c r="Z1071" s="29">
        <f>Z1070</f>
        <v>0</v>
      </c>
      <c r="AA1071" s="29" t="e">
        <f>DATEDIF(DATE(1970,1,1),AA1070,"D")*86400</f>
        <v>#NUM!</v>
      </c>
      <c r="AB1071" s="29">
        <f>HOUR(AB1070)*3600+MINUTE(AB1070)*60+SECOND(AB1070)</f>
        <v>0</v>
      </c>
      <c r="AC1071" s="29">
        <f>AC1070</f>
        <v>0</v>
      </c>
    </row>
    <row r="1072" spans="1:29">
      <c r="A1072" s="23">
        <f>Parameters!A537</f>
        <v>0</v>
      </c>
      <c r="B1072" s="23">
        <f>Parameters!B537</f>
        <v>0</v>
      </c>
      <c r="C1072" s="24">
        <f>Parameters!C537</f>
        <v>0</v>
      </c>
      <c r="D1072" s="24">
        <f>Parameters!D537</f>
        <v>0</v>
      </c>
      <c r="E1072" s="23">
        <f>Parameters!E537</f>
        <v>0</v>
      </c>
      <c r="F1072" s="23">
        <f>Parameters!F537</f>
        <v>0</v>
      </c>
      <c r="G1072" s="25">
        <f>Parameters!G537</f>
        <v>0</v>
      </c>
      <c r="H1072" s="25">
        <f>Parameters!H537</f>
        <v>0</v>
      </c>
      <c r="I1072" s="25">
        <f>Parameters!I537</f>
        <v>0</v>
      </c>
      <c r="J1072" s="25">
        <f>Parameters!J537</f>
        <v>0</v>
      </c>
      <c r="K1072" s="25">
        <f>Parameters!K537</f>
        <v>0</v>
      </c>
      <c r="L1072" s="26" t="e">
        <f t="shared" ref="L1072" si="1602">L1073</f>
        <v>#DIV/0!</v>
      </c>
      <c r="M1072" s="25">
        <f>Parameters!L537</f>
        <v>0</v>
      </c>
      <c r="N1072" s="25">
        <f>Parameters!M537</f>
        <v>0</v>
      </c>
      <c r="O1072" s="26" t="e">
        <f t="shared" ref="O1072" si="1603">O1073</f>
        <v>#DIV/0!</v>
      </c>
      <c r="P1072" s="23">
        <f>Parameters!N537</f>
        <v>0</v>
      </c>
      <c r="Q1072" s="23">
        <f>Parameters!O537</f>
        <v>0</v>
      </c>
      <c r="R1072" s="23">
        <f>Parameters!P537</f>
        <v>0</v>
      </c>
      <c r="S1072" s="23">
        <f>Parameters!Q537</f>
        <v>0</v>
      </c>
      <c r="T1072" s="23">
        <f>Parameters!R537</f>
        <v>0</v>
      </c>
      <c r="U1072" s="27">
        <f>Parameters!S537</f>
        <v>0</v>
      </c>
      <c r="V1072" s="28">
        <f>Parameters!T537</f>
        <v>0</v>
      </c>
      <c r="W1072" s="27">
        <f>Parameters!U537</f>
        <v>0</v>
      </c>
      <c r="X1072" s="28">
        <f>Parameters!V537</f>
        <v>0</v>
      </c>
      <c r="Y1072" s="25">
        <f>Parameters!W537</f>
        <v>0</v>
      </c>
      <c r="Z1072" s="23">
        <f>Parameters!X537</f>
        <v>0</v>
      </c>
      <c r="AA1072" s="27">
        <f>Parameters!Y537</f>
        <v>0</v>
      </c>
      <c r="AB1072" s="28">
        <f>Parameters!Z537</f>
        <v>0</v>
      </c>
      <c r="AC1072" s="23">
        <f>Parameters!AA537</f>
        <v>0</v>
      </c>
    </row>
    <row r="1073" spans="1:29">
      <c r="A1073" s="29" t="str">
        <f>UPPER(A1072)</f>
        <v>0</v>
      </c>
      <c r="B1073" s="29">
        <f>B1072</f>
        <v>0</v>
      </c>
      <c r="C1073" s="30">
        <f>C1072</f>
        <v>0</v>
      </c>
      <c r="D1073" s="30">
        <f>D1072</f>
        <v>0</v>
      </c>
      <c r="E1073" s="29">
        <f>E1072</f>
        <v>0</v>
      </c>
      <c r="F1073" s="29">
        <f>F1072</f>
        <v>0</v>
      </c>
      <c r="G1073" s="29" t="e">
        <f>IF(C1072=1,IF(D1072="BUY",E1072+(ROUND(F1072*G1072/B1072,0)*B1072),E1072-(ROUND(F1072*G1072/B1072,0)*B1072)),IF(D1072="BUY",E1072-(ROUND(F1072*G1072/B1072,0)*B1072),E1072+(ROUND(F1072*G1072/B1072,0)*B1072)))</f>
        <v>#DIV/0!</v>
      </c>
      <c r="H1073" s="29" t="e">
        <f>IF(C1072=1,IF(D1072="BUY",G1073-(ROUND(F1072*H1072/B1072,0)*B1072),G1073+(ROUND(F1072*H1072/B1072,0)*B1072)),IF(D1072="BUY",G1073+(ROUND(F1072*H1072/B1072,0)*B1072),G1073-(ROUND(F1072*H1072/B1072,0)*B1072)))</f>
        <v>#DIV/0!</v>
      </c>
      <c r="I1073" s="29" t="e">
        <f>IF(D1072="BUY",G1073+(ROUND(F1072*I1072/(B1072*100),0)*B1072),G1073-(ROUND(F1072*I1072/(B1072*100),0)*B1072))</f>
        <v>#DIV/0!</v>
      </c>
      <c r="J1073" s="29" t="e">
        <f>IF(C1072=1,IF(D1072="BUY",E1072+(ROUND(F1072*J1072/B1072,0)*B1072),E1072-(ROUND(F1072*J1072/B1072,0)*B1072)),IF(D1072="BUY",E1072-(ROUND(F1072*J1072/B1072,0)*B1072),E1072+(ROUND(F1072*J1072/B1072,0)*B1072)))</f>
        <v>#DIV/0!</v>
      </c>
      <c r="K1073" s="29" t="e">
        <f>IF(C1072=1,IF(D1072="BUY",E1072-(ROUND(F1072*K1072/B1072,0)*B1072),E1072+(ROUND(F1072*K1072/B1072,0)*B1072)),IF(D1072="BUY",E1072-(ROUND(F1072*K1072/B1072,0)*B1072),E1072+(ROUND(F1072*K1072/B1072,0)*B1072)))</f>
        <v>#DIV/0!</v>
      </c>
      <c r="L1073" s="29" t="e">
        <f t="shared" ref="L1073" si="1604">IF(D1073="BUY",I1073+(R1073*B1073),I1073-(R1073*B1073))</f>
        <v>#DIV/0!</v>
      </c>
      <c r="M1073" s="29" t="e">
        <f>IF(D1072="BUY",E1072+(ROUND(F1072*M1072/B1072,0)*B1072),E1072-(ROUND(F1072*M1072/B1072,0)*B1072))</f>
        <v>#DIV/0!</v>
      </c>
      <c r="N1073" s="29" t="e">
        <f>IF(D1072="BUY",E1072-(ROUND(F1072*N1072/B1072,0)*B1072),E1072+(ROUND(F1072*N1072/B1072,0)*B1072))</f>
        <v>#DIV/0!</v>
      </c>
      <c r="O1073" s="31" t="e">
        <f>IF(D1073="BUY",N1073-VLOOKUP(A1073,Symbols!A$1:D$1000,4,FALSE),N1073+VLOOKUP(A1073,Symbols!A$1:D$1000,4,FALSE))</f>
        <v>#DIV/0!</v>
      </c>
      <c r="P1073" s="29">
        <f>P1072</f>
        <v>0</v>
      </c>
      <c r="Q1073" s="29">
        <f>Q1072</f>
        <v>0</v>
      </c>
      <c r="R1073" s="29">
        <f>R1072</f>
        <v>0</v>
      </c>
      <c r="S1073" s="29">
        <f>S1072</f>
        <v>0</v>
      </c>
      <c r="T1073" s="29">
        <f>T1072</f>
        <v>0</v>
      </c>
      <c r="U1073" s="29" t="e">
        <f>DATEDIF(DATE(1970,1,1),U1072,"D")*86400</f>
        <v>#NUM!</v>
      </c>
      <c r="V1073" s="29">
        <f>HOUR(V1072)*3600+MINUTE(V1072)*60+SECOND(V1072)</f>
        <v>0</v>
      </c>
      <c r="W1073" s="29" t="e">
        <f>DATEDIF(DATE(1970,1,1),W1072,"D")*86400</f>
        <v>#NUM!</v>
      </c>
      <c r="X1073" s="29">
        <f>HOUR(X1072)*3600+MINUTE(X1072)*60+SECOND(X1072)</f>
        <v>0</v>
      </c>
      <c r="Y1073" s="31">
        <f>(Y1072*B1073)</f>
        <v>0</v>
      </c>
      <c r="Z1073" s="29">
        <f>Z1072</f>
        <v>0</v>
      </c>
      <c r="AA1073" s="29" t="e">
        <f>DATEDIF(DATE(1970,1,1),AA1072,"D")*86400</f>
        <v>#NUM!</v>
      </c>
      <c r="AB1073" s="29">
        <f>HOUR(AB1072)*3600+MINUTE(AB1072)*60+SECOND(AB1072)</f>
        <v>0</v>
      </c>
      <c r="AC1073" s="29">
        <f>AC1072</f>
        <v>0</v>
      </c>
    </row>
    <row r="1074" spans="1:29">
      <c r="A1074" s="23">
        <f>Parameters!A538</f>
        <v>0</v>
      </c>
      <c r="B1074" s="23">
        <f>Parameters!B538</f>
        <v>0</v>
      </c>
      <c r="C1074" s="24">
        <f>Parameters!C538</f>
        <v>0</v>
      </c>
      <c r="D1074" s="24">
        <f>Parameters!D538</f>
        <v>0</v>
      </c>
      <c r="E1074" s="23">
        <f>Parameters!E538</f>
        <v>0</v>
      </c>
      <c r="F1074" s="23">
        <f>Parameters!F538</f>
        <v>0</v>
      </c>
      <c r="G1074" s="25">
        <f>Parameters!G538</f>
        <v>0</v>
      </c>
      <c r="H1074" s="25">
        <f>Parameters!H538</f>
        <v>0</v>
      </c>
      <c r="I1074" s="25">
        <f>Parameters!I538</f>
        <v>0</v>
      </c>
      <c r="J1074" s="25">
        <f>Parameters!J538</f>
        <v>0</v>
      </c>
      <c r="K1074" s="25">
        <f>Parameters!K538</f>
        <v>0</v>
      </c>
      <c r="L1074" s="26" t="e">
        <f t="shared" ref="L1074" si="1605">L1075</f>
        <v>#DIV/0!</v>
      </c>
      <c r="M1074" s="25">
        <f>Parameters!L538</f>
        <v>0</v>
      </c>
      <c r="N1074" s="25">
        <f>Parameters!M538</f>
        <v>0</v>
      </c>
      <c r="O1074" s="26" t="e">
        <f t="shared" ref="O1074" si="1606">O1075</f>
        <v>#DIV/0!</v>
      </c>
      <c r="P1074" s="23">
        <f>Parameters!N538</f>
        <v>0</v>
      </c>
      <c r="Q1074" s="23">
        <f>Parameters!O538</f>
        <v>0</v>
      </c>
      <c r="R1074" s="23">
        <f>Parameters!P538</f>
        <v>0</v>
      </c>
      <c r="S1074" s="23">
        <f>Parameters!Q538</f>
        <v>0</v>
      </c>
      <c r="T1074" s="23">
        <f>Parameters!R538</f>
        <v>0</v>
      </c>
      <c r="U1074" s="27">
        <f>Parameters!S538</f>
        <v>0</v>
      </c>
      <c r="V1074" s="28">
        <f>Parameters!T538</f>
        <v>0</v>
      </c>
      <c r="W1074" s="27">
        <f>Parameters!U538</f>
        <v>0</v>
      </c>
      <c r="X1074" s="28">
        <f>Parameters!V538</f>
        <v>0</v>
      </c>
      <c r="Y1074" s="25">
        <f>Parameters!W538</f>
        <v>0</v>
      </c>
      <c r="Z1074" s="23">
        <f>Parameters!X538</f>
        <v>0</v>
      </c>
      <c r="AA1074" s="27">
        <f>Parameters!Y538</f>
        <v>0</v>
      </c>
      <c r="AB1074" s="28">
        <f>Parameters!Z538</f>
        <v>0</v>
      </c>
      <c r="AC1074" s="23">
        <f>Parameters!AA538</f>
        <v>0</v>
      </c>
    </row>
    <row r="1075" spans="1:29">
      <c r="A1075" s="29" t="str">
        <f>UPPER(A1074)</f>
        <v>0</v>
      </c>
      <c r="B1075" s="29">
        <f>B1074</f>
        <v>0</v>
      </c>
      <c r="C1075" s="30">
        <f>C1074</f>
        <v>0</v>
      </c>
      <c r="D1075" s="30">
        <f>D1074</f>
        <v>0</v>
      </c>
      <c r="E1075" s="29">
        <f>E1074</f>
        <v>0</v>
      </c>
      <c r="F1075" s="29">
        <f>F1074</f>
        <v>0</v>
      </c>
      <c r="G1075" s="29" t="e">
        <f>IF(C1074=1,IF(D1074="BUY",E1074+(ROUND(F1074*G1074/B1074,0)*B1074),E1074-(ROUND(F1074*G1074/B1074,0)*B1074)),IF(D1074="BUY",E1074-(ROUND(F1074*G1074/B1074,0)*B1074),E1074+(ROUND(F1074*G1074/B1074,0)*B1074)))</f>
        <v>#DIV/0!</v>
      </c>
      <c r="H1075" s="29" t="e">
        <f>IF(C1074=1,IF(D1074="BUY",G1075-(ROUND(F1074*H1074/B1074,0)*B1074),G1075+(ROUND(F1074*H1074/B1074,0)*B1074)),IF(D1074="BUY",G1075+(ROUND(F1074*H1074/B1074,0)*B1074),G1075-(ROUND(F1074*H1074/B1074,0)*B1074)))</f>
        <v>#DIV/0!</v>
      </c>
      <c r="I1075" s="29" t="e">
        <f>IF(D1074="BUY",G1075+(ROUND(F1074*I1074/(B1074*100),0)*B1074),G1075-(ROUND(F1074*I1074/(B1074*100),0)*B1074))</f>
        <v>#DIV/0!</v>
      </c>
      <c r="J1075" s="29" t="e">
        <f>IF(C1074=1,IF(D1074="BUY",E1074+(ROUND(F1074*J1074/B1074,0)*B1074),E1074-(ROUND(F1074*J1074/B1074,0)*B1074)),IF(D1074="BUY",E1074-(ROUND(F1074*J1074/B1074,0)*B1074),E1074+(ROUND(F1074*J1074/B1074,0)*B1074)))</f>
        <v>#DIV/0!</v>
      </c>
      <c r="K1075" s="29" t="e">
        <f>IF(C1074=1,IF(D1074="BUY",E1074-(ROUND(F1074*K1074/B1074,0)*B1074),E1074+(ROUND(F1074*K1074/B1074,0)*B1074)),IF(D1074="BUY",E1074-(ROUND(F1074*K1074/B1074,0)*B1074),E1074+(ROUND(F1074*K1074/B1074,0)*B1074)))</f>
        <v>#DIV/0!</v>
      </c>
      <c r="L1075" s="29" t="e">
        <f t="shared" ref="L1075" si="1607">IF(D1075="BUY",I1075+(R1075*B1075),I1075-(R1075*B1075))</f>
        <v>#DIV/0!</v>
      </c>
      <c r="M1075" s="29" t="e">
        <f>IF(D1074="BUY",E1074+(ROUND(F1074*M1074/B1074,0)*B1074),E1074-(ROUND(F1074*M1074/B1074,0)*B1074))</f>
        <v>#DIV/0!</v>
      </c>
      <c r="N1075" s="29" t="e">
        <f>IF(D1074="BUY",E1074-(ROUND(F1074*N1074/B1074,0)*B1074),E1074+(ROUND(F1074*N1074/B1074,0)*B1074))</f>
        <v>#DIV/0!</v>
      </c>
      <c r="O1075" s="31" t="e">
        <f>IF(D1075="BUY",N1075-VLOOKUP(A1075,Symbols!A$1:D$1000,4,FALSE),N1075+VLOOKUP(A1075,Symbols!A$1:D$1000,4,FALSE))</f>
        <v>#DIV/0!</v>
      </c>
      <c r="P1075" s="29">
        <f>P1074</f>
        <v>0</v>
      </c>
      <c r="Q1075" s="29">
        <f>Q1074</f>
        <v>0</v>
      </c>
      <c r="R1075" s="29">
        <f>R1074</f>
        <v>0</v>
      </c>
      <c r="S1075" s="29">
        <f>S1074</f>
        <v>0</v>
      </c>
      <c r="T1075" s="29">
        <f>T1074</f>
        <v>0</v>
      </c>
      <c r="U1075" s="29" t="e">
        <f>DATEDIF(DATE(1970,1,1),U1074,"D")*86400</f>
        <v>#NUM!</v>
      </c>
      <c r="V1075" s="29">
        <f>HOUR(V1074)*3600+MINUTE(V1074)*60+SECOND(V1074)</f>
        <v>0</v>
      </c>
      <c r="W1075" s="29" t="e">
        <f>DATEDIF(DATE(1970,1,1),W1074,"D")*86400</f>
        <v>#NUM!</v>
      </c>
      <c r="X1075" s="29">
        <f>HOUR(X1074)*3600+MINUTE(X1074)*60+SECOND(X1074)</f>
        <v>0</v>
      </c>
      <c r="Y1075" s="31">
        <f>(Y1074*B1075)</f>
        <v>0</v>
      </c>
      <c r="Z1075" s="29">
        <f>Z1074</f>
        <v>0</v>
      </c>
      <c r="AA1075" s="29" t="e">
        <f>DATEDIF(DATE(1970,1,1),AA1074,"D")*86400</f>
        <v>#NUM!</v>
      </c>
      <c r="AB1075" s="29">
        <f>HOUR(AB1074)*3600+MINUTE(AB1074)*60+SECOND(AB1074)</f>
        <v>0</v>
      </c>
      <c r="AC1075" s="29">
        <f>AC1074</f>
        <v>0</v>
      </c>
    </row>
    <row r="1076" spans="1:29">
      <c r="A1076" s="23">
        <f>Parameters!A539</f>
        <v>0</v>
      </c>
      <c r="B1076" s="23">
        <f>Parameters!B539</f>
        <v>0</v>
      </c>
      <c r="C1076" s="24">
        <f>Parameters!C539</f>
        <v>0</v>
      </c>
      <c r="D1076" s="24">
        <f>Parameters!D539</f>
        <v>0</v>
      </c>
      <c r="E1076" s="23">
        <f>Parameters!E539</f>
        <v>0</v>
      </c>
      <c r="F1076" s="23">
        <f>Parameters!F539</f>
        <v>0</v>
      </c>
      <c r="G1076" s="25">
        <f>Parameters!G539</f>
        <v>0</v>
      </c>
      <c r="H1076" s="25">
        <f>Parameters!H539</f>
        <v>0</v>
      </c>
      <c r="I1076" s="25">
        <f>Parameters!I539</f>
        <v>0</v>
      </c>
      <c r="J1076" s="25">
        <f>Parameters!J539</f>
        <v>0</v>
      </c>
      <c r="K1076" s="25">
        <f>Parameters!K539</f>
        <v>0</v>
      </c>
      <c r="L1076" s="26" t="e">
        <f t="shared" ref="L1076" si="1608">L1077</f>
        <v>#DIV/0!</v>
      </c>
      <c r="M1076" s="25">
        <f>Parameters!L539</f>
        <v>0</v>
      </c>
      <c r="N1076" s="25">
        <f>Parameters!M539</f>
        <v>0</v>
      </c>
      <c r="O1076" s="26" t="e">
        <f t="shared" ref="O1076" si="1609">O1077</f>
        <v>#DIV/0!</v>
      </c>
      <c r="P1076" s="23">
        <f>Parameters!N539</f>
        <v>0</v>
      </c>
      <c r="Q1076" s="23">
        <f>Parameters!O539</f>
        <v>0</v>
      </c>
      <c r="R1076" s="23">
        <f>Parameters!P539</f>
        <v>0</v>
      </c>
      <c r="S1076" s="23">
        <f>Parameters!Q539</f>
        <v>0</v>
      </c>
      <c r="T1076" s="23">
        <f>Parameters!R539</f>
        <v>0</v>
      </c>
      <c r="U1076" s="27">
        <f>Parameters!S539</f>
        <v>0</v>
      </c>
      <c r="V1076" s="28">
        <f>Parameters!T539</f>
        <v>0</v>
      </c>
      <c r="W1076" s="27">
        <f>Parameters!U539</f>
        <v>0</v>
      </c>
      <c r="X1076" s="28">
        <f>Parameters!V539</f>
        <v>0</v>
      </c>
      <c r="Y1076" s="25">
        <f>Parameters!W539</f>
        <v>0</v>
      </c>
      <c r="Z1076" s="23">
        <f>Parameters!X539</f>
        <v>0</v>
      </c>
      <c r="AA1076" s="27">
        <f>Parameters!Y539</f>
        <v>0</v>
      </c>
      <c r="AB1076" s="28">
        <f>Parameters!Z539</f>
        <v>0</v>
      </c>
      <c r="AC1076" s="23">
        <f>Parameters!AA539</f>
        <v>0</v>
      </c>
    </row>
    <row r="1077" spans="1:29">
      <c r="A1077" s="29" t="str">
        <f>UPPER(A1076)</f>
        <v>0</v>
      </c>
      <c r="B1077" s="29">
        <f>B1076</f>
        <v>0</v>
      </c>
      <c r="C1077" s="30">
        <f>C1076</f>
        <v>0</v>
      </c>
      <c r="D1077" s="30">
        <f>D1076</f>
        <v>0</v>
      </c>
      <c r="E1077" s="29">
        <f>E1076</f>
        <v>0</v>
      </c>
      <c r="F1077" s="29">
        <f>F1076</f>
        <v>0</v>
      </c>
      <c r="G1077" s="29" t="e">
        <f>IF(C1076=1,IF(D1076="BUY",E1076+(ROUND(F1076*G1076/B1076,0)*B1076),E1076-(ROUND(F1076*G1076/B1076,0)*B1076)),IF(D1076="BUY",E1076-(ROUND(F1076*G1076/B1076,0)*B1076),E1076+(ROUND(F1076*G1076/B1076,0)*B1076)))</f>
        <v>#DIV/0!</v>
      </c>
      <c r="H1077" s="29" t="e">
        <f>IF(C1076=1,IF(D1076="BUY",G1077-(ROUND(F1076*H1076/B1076,0)*B1076),G1077+(ROUND(F1076*H1076/B1076,0)*B1076)),IF(D1076="BUY",G1077+(ROUND(F1076*H1076/B1076,0)*B1076),G1077-(ROUND(F1076*H1076/B1076,0)*B1076)))</f>
        <v>#DIV/0!</v>
      </c>
      <c r="I1077" s="29" t="e">
        <f>IF(D1076="BUY",G1077+(ROUND(F1076*I1076/(B1076*100),0)*B1076),G1077-(ROUND(F1076*I1076/(B1076*100),0)*B1076))</f>
        <v>#DIV/0!</v>
      </c>
      <c r="J1077" s="29" t="e">
        <f>IF(C1076=1,IF(D1076="BUY",E1076+(ROUND(F1076*J1076/B1076,0)*B1076),E1076-(ROUND(F1076*J1076/B1076,0)*B1076)),IF(D1076="BUY",E1076-(ROUND(F1076*J1076/B1076,0)*B1076),E1076+(ROUND(F1076*J1076/B1076,0)*B1076)))</f>
        <v>#DIV/0!</v>
      </c>
      <c r="K1077" s="29" t="e">
        <f>IF(C1076=1,IF(D1076="BUY",E1076-(ROUND(F1076*K1076/B1076,0)*B1076),E1076+(ROUND(F1076*K1076/B1076,0)*B1076)),IF(D1076="BUY",E1076-(ROUND(F1076*K1076/B1076,0)*B1076),E1076+(ROUND(F1076*K1076/B1076,0)*B1076)))</f>
        <v>#DIV/0!</v>
      </c>
      <c r="L1077" s="29" t="e">
        <f t="shared" ref="L1077" si="1610">IF(D1077="BUY",I1077+(R1077*B1077),I1077-(R1077*B1077))</f>
        <v>#DIV/0!</v>
      </c>
      <c r="M1077" s="29" t="e">
        <f>IF(D1076="BUY",E1076+(ROUND(F1076*M1076/B1076,0)*B1076),E1076-(ROUND(F1076*M1076/B1076,0)*B1076))</f>
        <v>#DIV/0!</v>
      </c>
      <c r="N1077" s="29" t="e">
        <f>IF(D1076="BUY",E1076-(ROUND(F1076*N1076/B1076,0)*B1076),E1076+(ROUND(F1076*N1076/B1076,0)*B1076))</f>
        <v>#DIV/0!</v>
      </c>
      <c r="O1077" s="31" t="e">
        <f>IF(D1077="BUY",N1077-VLOOKUP(A1077,Symbols!A$1:D$1000,4,FALSE),N1077+VLOOKUP(A1077,Symbols!A$1:D$1000,4,FALSE))</f>
        <v>#DIV/0!</v>
      </c>
      <c r="P1077" s="29">
        <f>P1076</f>
        <v>0</v>
      </c>
      <c r="Q1077" s="29">
        <f>Q1076</f>
        <v>0</v>
      </c>
      <c r="R1077" s="29">
        <f>R1076</f>
        <v>0</v>
      </c>
      <c r="S1077" s="29">
        <f>S1076</f>
        <v>0</v>
      </c>
      <c r="T1077" s="29">
        <f>T1076</f>
        <v>0</v>
      </c>
      <c r="U1077" s="29" t="e">
        <f>DATEDIF(DATE(1970,1,1),U1076,"D")*86400</f>
        <v>#NUM!</v>
      </c>
      <c r="V1077" s="29">
        <f>HOUR(V1076)*3600+MINUTE(V1076)*60+SECOND(V1076)</f>
        <v>0</v>
      </c>
      <c r="W1077" s="29" t="e">
        <f>DATEDIF(DATE(1970,1,1),W1076,"D")*86400</f>
        <v>#NUM!</v>
      </c>
      <c r="X1077" s="29">
        <f>HOUR(X1076)*3600+MINUTE(X1076)*60+SECOND(X1076)</f>
        <v>0</v>
      </c>
      <c r="Y1077" s="31">
        <f>(Y1076*B1077)</f>
        <v>0</v>
      </c>
      <c r="Z1077" s="29">
        <f>Z1076</f>
        <v>0</v>
      </c>
      <c r="AA1077" s="29" t="e">
        <f>DATEDIF(DATE(1970,1,1),AA1076,"D")*86400</f>
        <v>#NUM!</v>
      </c>
      <c r="AB1077" s="29">
        <f>HOUR(AB1076)*3600+MINUTE(AB1076)*60+SECOND(AB1076)</f>
        <v>0</v>
      </c>
      <c r="AC1077" s="29">
        <f>AC1076</f>
        <v>0</v>
      </c>
    </row>
    <row r="1078" spans="1:29">
      <c r="A1078" s="23">
        <f>Parameters!A540</f>
        <v>0</v>
      </c>
      <c r="B1078" s="23">
        <f>Parameters!B540</f>
        <v>0</v>
      </c>
      <c r="C1078" s="24">
        <f>Parameters!C540</f>
        <v>0</v>
      </c>
      <c r="D1078" s="24">
        <f>Parameters!D540</f>
        <v>0</v>
      </c>
      <c r="E1078" s="23">
        <f>Parameters!E540</f>
        <v>0</v>
      </c>
      <c r="F1078" s="23">
        <f>Parameters!F540</f>
        <v>0</v>
      </c>
      <c r="G1078" s="25">
        <f>Parameters!G540</f>
        <v>0</v>
      </c>
      <c r="H1078" s="25">
        <f>Parameters!H540</f>
        <v>0</v>
      </c>
      <c r="I1078" s="25">
        <f>Parameters!I540</f>
        <v>0</v>
      </c>
      <c r="J1078" s="25">
        <f>Parameters!J540</f>
        <v>0</v>
      </c>
      <c r="K1078" s="25">
        <f>Parameters!K540</f>
        <v>0</v>
      </c>
      <c r="L1078" s="26" t="e">
        <f t="shared" ref="L1078" si="1611">L1079</f>
        <v>#DIV/0!</v>
      </c>
      <c r="M1078" s="25">
        <f>Parameters!L540</f>
        <v>0</v>
      </c>
      <c r="N1078" s="25">
        <f>Parameters!M540</f>
        <v>0</v>
      </c>
      <c r="O1078" s="26" t="e">
        <f t="shared" ref="O1078" si="1612">O1079</f>
        <v>#DIV/0!</v>
      </c>
      <c r="P1078" s="23">
        <f>Parameters!N540</f>
        <v>0</v>
      </c>
      <c r="Q1078" s="23">
        <f>Parameters!O540</f>
        <v>0</v>
      </c>
      <c r="R1078" s="23">
        <f>Parameters!P540</f>
        <v>0</v>
      </c>
      <c r="S1078" s="23">
        <f>Parameters!Q540</f>
        <v>0</v>
      </c>
      <c r="T1078" s="23">
        <f>Parameters!R540</f>
        <v>0</v>
      </c>
      <c r="U1078" s="27">
        <f>Parameters!S540</f>
        <v>0</v>
      </c>
      <c r="V1078" s="28">
        <f>Parameters!T540</f>
        <v>0</v>
      </c>
      <c r="W1078" s="27">
        <f>Parameters!U540</f>
        <v>0</v>
      </c>
      <c r="X1078" s="28">
        <f>Parameters!V540</f>
        <v>0</v>
      </c>
      <c r="Y1078" s="25">
        <f>Parameters!W540</f>
        <v>0</v>
      </c>
      <c r="Z1078" s="23">
        <f>Parameters!X540</f>
        <v>0</v>
      </c>
      <c r="AA1078" s="27">
        <f>Parameters!Y540</f>
        <v>0</v>
      </c>
      <c r="AB1078" s="28">
        <f>Parameters!Z540</f>
        <v>0</v>
      </c>
      <c r="AC1078" s="23">
        <f>Parameters!AA540</f>
        <v>0</v>
      </c>
    </row>
    <row r="1079" spans="1:29">
      <c r="A1079" s="29" t="str">
        <f>UPPER(A1078)</f>
        <v>0</v>
      </c>
      <c r="B1079" s="29">
        <f>B1078</f>
        <v>0</v>
      </c>
      <c r="C1079" s="30">
        <f>C1078</f>
        <v>0</v>
      </c>
      <c r="D1079" s="30">
        <f>D1078</f>
        <v>0</v>
      </c>
      <c r="E1079" s="29">
        <f>E1078</f>
        <v>0</v>
      </c>
      <c r="F1079" s="29">
        <f>F1078</f>
        <v>0</v>
      </c>
      <c r="G1079" s="29" t="e">
        <f>IF(C1078=1,IF(D1078="BUY",E1078+(ROUND(F1078*G1078/B1078,0)*B1078),E1078-(ROUND(F1078*G1078/B1078,0)*B1078)),IF(D1078="BUY",E1078-(ROUND(F1078*G1078/B1078,0)*B1078),E1078+(ROUND(F1078*G1078/B1078,0)*B1078)))</f>
        <v>#DIV/0!</v>
      </c>
      <c r="H1079" s="29" t="e">
        <f>IF(C1078=1,IF(D1078="BUY",G1079-(ROUND(F1078*H1078/B1078,0)*B1078),G1079+(ROUND(F1078*H1078/B1078,0)*B1078)),IF(D1078="BUY",G1079+(ROUND(F1078*H1078/B1078,0)*B1078),G1079-(ROUND(F1078*H1078/B1078,0)*B1078)))</f>
        <v>#DIV/0!</v>
      </c>
      <c r="I1079" s="29" t="e">
        <f>IF(D1078="BUY",G1079+(ROUND(F1078*I1078/(B1078*100),0)*B1078),G1079-(ROUND(F1078*I1078/(B1078*100),0)*B1078))</f>
        <v>#DIV/0!</v>
      </c>
      <c r="J1079" s="29" t="e">
        <f>IF(C1078=1,IF(D1078="BUY",E1078+(ROUND(F1078*J1078/B1078,0)*B1078),E1078-(ROUND(F1078*J1078/B1078,0)*B1078)),IF(D1078="BUY",E1078-(ROUND(F1078*J1078/B1078,0)*B1078),E1078+(ROUND(F1078*J1078/B1078,0)*B1078)))</f>
        <v>#DIV/0!</v>
      </c>
      <c r="K1079" s="29" t="e">
        <f>IF(C1078=1,IF(D1078="BUY",E1078-(ROUND(F1078*K1078/B1078,0)*B1078),E1078+(ROUND(F1078*K1078/B1078,0)*B1078)),IF(D1078="BUY",E1078-(ROUND(F1078*K1078/B1078,0)*B1078),E1078+(ROUND(F1078*K1078/B1078,0)*B1078)))</f>
        <v>#DIV/0!</v>
      </c>
      <c r="L1079" s="29" t="e">
        <f t="shared" ref="L1079" si="1613">IF(D1079="BUY",I1079+(R1079*B1079),I1079-(R1079*B1079))</f>
        <v>#DIV/0!</v>
      </c>
      <c r="M1079" s="29" t="e">
        <f>IF(D1078="BUY",E1078+(ROUND(F1078*M1078/B1078,0)*B1078),E1078-(ROUND(F1078*M1078/B1078,0)*B1078))</f>
        <v>#DIV/0!</v>
      </c>
      <c r="N1079" s="29" t="e">
        <f>IF(D1078="BUY",E1078-(ROUND(F1078*N1078/B1078,0)*B1078),E1078+(ROUND(F1078*N1078/B1078,0)*B1078))</f>
        <v>#DIV/0!</v>
      </c>
      <c r="O1079" s="31" t="e">
        <f>IF(D1079="BUY",N1079-VLOOKUP(A1079,Symbols!A$1:D$1000,4,FALSE),N1079+VLOOKUP(A1079,Symbols!A$1:D$1000,4,FALSE))</f>
        <v>#DIV/0!</v>
      </c>
      <c r="P1079" s="29">
        <f>P1078</f>
        <v>0</v>
      </c>
      <c r="Q1079" s="29">
        <f>Q1078</f>
        <v>0</v>
      </c>
      <c r="R1079" s="29">
        <f>R1078</f>
        <v>0</v>
      </c>
      <c r="S1079" s="29">
        <f>S1078</f>
        <v>0</v>
      </c>
      <c r="T1079" s="29">
        <f>T1078</f>
        <v>0</v>
      </c>
      <c r="U1079" s="29" t="e">
        <f>DATEDIF(DATE(1970,1,1),U1078,"D")*86400</f>
        <v>#NUM!</v>
      </c>
      <c r="V1079" s="29">
        <f>HOUR(V1078)*3600+MINUTE(V1078)*60+SECOND(V1078)</f>
        <v>0</v>
      </c>
      <c r="W1079" s="29" t="e">
        <f>DATEDIF(DATE(1970,1,1),W1078,"D")*86400</f>
        <v>#NUM!</v>
      </c>
      <c r="X1079" s="29">
        <f>HOUR(X1078)*3600+MINUTE(X1078)*60+SECOND(X1078)</f>
        <v>0</v>
      </c>
      <c r="Y1079" s="31">
        <f>(Y1078*B1079)</f>
        <v>0</v>
      </c>
      <c r="Z1079" s="29">
        <f>Z1078</f>
        <v>0</v>
      </c>
      <c r="AA1079" s="29" t="e">
        <f>DATEDIF(DATE(1970,1,1),AA1078,"D")*86400</f>
        <v>#NUM!</v>
      </c>
      <c r="AB1079" s="29">
        <f>HOUR(AB1078)*3600+MINUTE(AB1078)*60+SECOND(AB1078)</f>
        <v>0</v>
      </c>
      <c r="AC1079" s="29">
        <f>AC1078</f>
        <v>0</v>
      </c>
    </row>
    <row r="1080" spans="1:29">
      <c r="A1080" s="23">
        <f>Parameters!A541</f>
        <v>0</v>
      </c>
      <c r="B1080" s="23">
        <f>Parameters!B541</f>
        <v>0</v>
      </c>
      <c r="C1080" s="24">
        <f>Parameters!C541</f>
        <v>0</v>
      </c>
      <c r="D1080" s="24">
        <f>Parameters!D541</f>
        <v>0</v>
      </c>
      <c r="E1080" s="23">
        <f>Parameters!E541</f>
        <v>0</v>
      </c>
      <c r="F1080" s="23">
        <f>Parameters!F541</f>
        <v>0</v>
      </c>
      <c r="G1080" s="25">
        <f>Parameters!G541</f>
        <v>0</v>
      </c>
      <c r="H1080" s="25">
        <f>Parameters!H541</f>
        <v>0</v>
      </c>
      <c r="I1080" s="25">
        <f>Parameters!I541</f>
        <v>0</v>
      </c>
      <c r="J1080" s="25">
        <f>Parameters!J541</f>
        <v>0</v>
      </c>
      <c r="K1080" s="25">
        <f>Parameters!K541</f>
        <v>0</v>
      </c>
      <c r="L1080" s="26" t="e">
        <f t="shared" ref="L1080" si="1614">L1081</f>
        <v>#DIV/0!</v>
      </c>
      <c r="M1080" s="25">
        <f>Parameters!L541</f>
        <v>0</v>
      </c>
      <c r="N1080" s="25">
        <f>Parameters!M541</f>
        <v>0</v>
      </c>
      <c r="O1080" s="26" t="e">
        <f t="shared" ref="O1080" si="1615">O1081</f>
        <v>#DIV/0!</v>
      </c>
      <c r="P1080" s="23">
        <f>Parameters!N541</f>
        <v>0</v>
      </c>
      <c r="Q1080" s="23">
        <f>Parameters!O541</f>
        <v>0</v>
      </c>
      <c r="R1080" s="23">
        <f>Parameters!P541</f>
        <v>0</v>
      </c>
      <c r="S1080" s="23">
        <f>Parameters!Q541</f>
        <v>0</v>
      </c>
      <c r="T1080" s="23">
        <f>Parameters!R541</f>
        <v>0</v>
      </c>
      <c r="U1080" s="27">
        <f>Parameters!S541</f>
        <v>0</v>
      </c>
      <c r="V1080" s="28">
        <f>Parameters!T541</f>
        <v>0</v>
      </c>
      <c r="W1080" s="27">
        <f>Parameters!U541</f>
        <v>0</v>
      </c>
      <c r="X1080" s="28">
        <f>Parameters!V541</f>
        <v>0</v>
      </c>
      <c r="Y1080" s="25">
        <f>Parameters!W541</f>
        <v>0</v>
      </c>
      <c r="Z1080" s="23">
        <f>Parameters!X541</f>
        <v>0</v>
      </c>
      <c r="AA1080" s="27">
        <f>Parameters!Y541</f>
        <v>0</v>
      </c>
      <c r="AB1080" s="28">
        <f>Parameters!Z541</f>
        <v>0</v>
      </c>
      <c r="AC1080" s="23">
        <f>Parameters!AA541</f>
        <v>0</v>
      </c>
    </row>
    <row r="1081" spans="1:29">
      <c r="A1081" s="29" t="str">
        <f>UPPER(A1080)</f>
        <v>0</v>
      </c>
      <c r="B1081" s="29">
        <f>B1080</f>
        <v>0</v>
      </c>
      <c r="C1081" s="30">
        <f>C1080</f>
        <v>0</v>
      </c>
      <c r="D1081" s="30">
        <f>D1080</f>
        <v>0</v>
      </c>
      <c r="E1081" s="29">
        <f>E1080</f>
        <v>0</v>
      </c>
      <c r="F1081" s="29">
        <f>F1080</f>
        <v>0</v>
      </c>
      <c r="G1081" s="29" t="e">
        <f>IF(C1080=1,IF(D1080="BUY",E1080+(ROUND(F1080*G1080/B1080,0)*B1080),E1080-(ROUND(F1080*G1080/B1080,0)*B1080)),IF(D1080="BUY",E1080-(ROUND(F1080*G1080/B1080,0)*B1080),E1080+(ROUND(F1080*G1080/B1080,0)*B1080)))</f>
        <v>#DIV/0!</v>
      </c>
      <c r="H1081" s="29" t="e">
        <f>IF(C1080=1,IF(D1080="BUY",G1081-(ROUND(F1080*H1080/B1080,0)*B1080),G1081+(ROUND(F1080*H1080/B1080,0)*B1080)),IF(D1080="BUY",G1081+(ROUND(F1080*H1080/B1080,0)*B1080),G1081-(ROUND(F1080*H1080/B1080,0)*B1080)))</f>
        <v>#DIV/0!</v>
      </c>
      <c r="I1081" s="29" t="e">
        <f>IF(D1080="BUY",G1081+(ROUND(F1080*I1080/(B1080*100),0)*B1080),G1081-(ROUND(F1080*I1080/(B1080*100),0)*B1080))</f>
        <v>#DIV/0!</v>
      </c>
      <c r="J1081" s="29" t="e">
        <f>IF(C1080=1,IF(D1080="BUY",E1080+(ROUND(F1080*J1080/B1080,0)*B1080),E1080-(ROUND(F1080*J1080/B1080,0)*B1080)),IF(D1080="BUY",E1080-(ROUND(F1080*J1080/B1080,0)*B1080),E1080+(ROUND(F1080*J1080/B1080,0)*B1080)))</f>
        <v>#DIV/0!</v>
      </c>
      <c r="K1081" s="29" t="e">
        <f>IF(C1080=1,IF(D1080="BUY",E1080-(ROUND(F1080*K1080/B1080,0)*B1080),E1080+(ROUND(F1080*K1080/B1080,0)*B1080)),IF(D1080="BUY",E1080-(ROUND(F1080*K1080/B1080,0)*B1080),E1080+(ROUND(F1080*K1080/B1080,0)*B1080)))</f>
        <v>#DIV/0!</v>
      </c>
      <c r="L1081" s="29" t="e">
        <f t="shared" ref="L1081" si="1616">IF(D1081="BUY",I1081+(R1081*B1081),I1081-(R1081*B1081))</f>
        <v>#DIV/0!</v>
      </c>
      <c r="M1081" s="29" t="e">
        <f>IF(D1080="BUY",E1080+(ROUND(F1080*M1080/B1080,0)*B1080),E1080-(ROUND(F1080*M1080/B1080,0)*B1080))</f>
        <v>#DIV/0!</v>
      </c>
      <c r="N1081" s="29" t="e">
        <f>IF(D1080="BUY",E1080-(ROUND(F1080*N1080/B1080,0)*B1080),E1080+(ROUND(F1080*N1080/B1080,0)*B1080))</f>
        <v>#DIV/0!</v>
      </c>
      <c r="O1081" s="31" t="e">
        <f>IF(D1081="BUY",N1081-VLOOKUP(A1081,Symbols!A$1:D$1000,4,FALSE),N1081+VLOOKUP(A1081,Symbols!A$1:D$1000,4,FALSE))</f>
        <v>#DIV/0!</v>
      </c>
      <c r="P1081" s="29">
        <f>P1080</f>
        <v>0</v>
      </c>
      <c r="Q1081" s="29">
        <f>Q1080</f>
        <v>0</v>
      </c>
      <c r="R1081" s="29">
        <f>R1080</f>
        <v>0</v>
      </c>
      <c r="S1081" s="29">
        <f>S1080</f>
        <v>0</v>
      </c>
      <c r="T1081" s="29">
        <f>T1080</f>
        <v>0</v>
      </c>
      <c r="U1081" s="29" t="e">
        <f>DATEDIF(DATE(1970,1,1),U1080,"D")*86400</f>
        <v>#NUM!</v>
      </c>
      <c r="V1081" s="29">
        <f>HOUR(V1080)*3600+MINUTE(V1080)*60+SECOND(V1080)</f>
        <v>0</v>
      </c>
      <c r="W1081" s="29" t="e">
        <f>DATEDIF(DATE(1970,1,1),W1080,"D")*86400</f>
        <v>#NUM!</v>
      </c>
      <c r="X1081" s="29">
        <f>HOUR(X1080)*3600+MINUTE(X1080)*60+SECOND(X1080)</f>
        <v>0</v>
      </c>
      <c r="Y1081" s="31">
        <f>(Y1080*B1081)</f>
        <v>0</v>
      </c>
      <c r="Z1081" s="29">
        <f>Z1080</f>
        <v>0</v>
      </c>
      <c r="AA1081" s="29" t="e">
        <f>DATEDIF(DATE(1970,1,1),AA1080,"D")*86400</f>
        <v>#NUM!</v>
      </c>
      <c r="AB1081" s="29">
        <f>HOUR(AB1080)*3600+MINUTE(AB1080)*60+SECOND(AB1080)</f>
        <v>0</v>
      </c>
      <c r="AC1081" s="29">
        <f>AC1080</f>
        <v>0</v>
      </c>
    </row>
    <row r="1082" spans="1:29">
      <c r="A1082" s="23">
        <f>Parameters!A542</f>
        <v>0</v>
      </c>
      <c r="B1082" s="23">
        <f>Parameters!B542</f>
        <v>0</v>
      </c>
      <c r="C1082" s="24">
        <f>Parameters!C542</f>
        <v>0</v>
      </c>
      <c r="D1082" s="24">
        <f>Parameters!D542</f>
        <v>0</v>
      </c>
      <c r="E1082" s="23">
        <f>Parameters!E542</f>
        <v>0</v>
      </c>
      <c r="F1082" s="23">
        <f>Parameters!F542</f>
        <v>0</v>
      </c>
      <c r="G1082" s="25">
        <f>Parameters!G542</f>
        <v>0</v>
      </c>
      <c r="H1082" s="25">
        <f>Parameters!H542</f>
        <v>0</v>
      </c>
      <c r="I1082" s="25">
        <f>Parameters!I542</f>
        <v>0</v>
      </c>
      <c r="J1082" s="25">
        <f>Parameters!J542</f>
        <v>0</v>
      </c>
      <c r="K1082" s="25">
        <f>Parameters!K542</f>
        <v>0</v>
      </c>
      <c r="L1082" s="26" t="e">
        <f t="shared" ref="L1082" si="1617">L1083</f>
        <v>#DIV/0!</v>
      </c>
      <c r="M1082" s="25">
        <f>Parameters!L542</f>
        <v>0</v>
      </c>
      <c r="N1082" s="25">
        <f>Parameters!M542</f>
        <v>0</v>
      </c>
      <c r="O1082" s="26" t="e">
        <f t="shared" ref="O1082" si="1618">O1083</f>
        <v>#DIV/0!</v>
      </c>
      <c r="P1082" s="23">
        <f>Parameters!N542</f>
        <v>0</v>
      </c>
      <c r="Q1082" s="23">
        <f>Parameters!O542</f>
        <v>0</v>
      </c>
      <c r="R1082" s="23">
        <f>Parameters!P542</f>
        <v>0</v>
      </c>
      <c r="S1082" s="23">
        <f>Parameters!Q542</f>
        <v>0</v>
      </c>
      <c r="T1082" s="23">
        <f>Parameters!R542</f>
        <v>0</v>
      </c>
      <c r="U1082" s="27">
        <f>Parameters!S542</f>
        <v>0</v>
      </c>
      <c r="V1082" s="28">
        <f>Parameters!T542</f>
        <v>0</v>
      </c>
      <c r="W1082" s="27">
        <f>Parameters!U542</f>
        <v>0</v>
      </c>
      <c r="X1082" s="28">
        <f>Parameters!V542</f>
        <v>0</v>
      </c>
      <c r="Y1082" s="25">
        <f>Parameters!W542</f>
        <v>0</v>
      </c>
      <c r="Z1082" s="23">
        <f>Parameters!X542</f>
        <v>0</v>
      </c>
      <c r="AA1082" s="27">
        <f>Parameters!Y542</f>
        <v>0</v>
      </c>
      <c r="AB1082" s="28">
        <f>Parameters!Z542</f>
        <v>0</v>
      </c>
      <c r="AC1082" s="23">
        <f>Parameters!AA542</f>
        <v>0</v>
      </c>
    </row>
    <row r="1083" spans="1:29">
      <c r="A1083" s="29" t="str">
        <f>UPPER(A1082)</f>
        <v>0</v>
      </c>
      <c r="B1083" s="29">
        <f>B1082</f>
        <v>0</v>
      </c>
      <c r="C1083" s="30">
        <f>C1082</f>
        <v>0</v>
      </c>
      <c r="D1083" s="30">
        <f>D1082</f>
        <v>0</v>
      </c>
      <c r="E1083" s="29">
        <f>E1082</f>
        <v>0</v>
      </c>
      <c r="F1083" s="29">
        <f>F1082</f>
        <v>0</v>
      </c>
      <c r="G1083" s="29" t="e">
        <f>IF(C1082=1,IF(D1082="BUY",E1082+(ROUND(F1082*G1082/B1082,0)*B1082),E1082-(ROUND(F1082*G1082/B1082,0)*B1082)),IF(D1082="BUY",E1082-(ROUND(F1082*G1082/B1082,0)*B1082),E1082+(ROUND(F1082*G1082/B1082,0)*B1082)))</f>
        <v>#DIV/0!</v>
      </c>
      <c r="H1083" s="29" t="e">
        <f>IF(C1082=1,IF(D1082="BUY",G1083-(ROUND(F1082*H1082/B1082,0)*B1082),G1083+(ROUND(F1082*H1082/B1082,0)*B1082)),IF(D1082="BUY",G1083+(ROUND(F1082*H1082/B1082,0)*B1082),G1083-(ROUND(F1082*H1082/B1082,0)*B1082)))</f>
        <v>#DIV/0!</v>
      </c>
      <c r="I1083" s="29" t="e">
        <f>IF(D1082="BUY",G1083+(ROUND(F1082*I1082/(B1082*100),0)*B1082),G1083-(ROUND(F1082*I1082/(B1082*100),0)*B1082))</f>
        <v>#DIV/0!</v>
      </c>
      <c r="J1083" s="29" t="e">
        <f>IF(C1082=1,IF(D1082="BUY",E1082+(ROUND(F1082*J1082/B1082,0)*B1082),E1082-(ROUND(F1082*J1082/B1082,0)*B1082)),IF(D1082="BUY",E1082-(ROUND(F1082*J1082/B1082,0)*B1082),E1082+(ROUND(F1082*J1082/B1082,0)*B1082)))</f>
        <v>#DIV/0!</v>
      </c>
      <c r="K1083" s="29" t="e">
        <f>IF(C1082=1,IF(D1082="BUY",E1082-(ROUND(F1082*K1082/B1082,0)*B1082),E1082+(ROUND(F1082*K1082/B1082,0)*B1082)),IF(D1082="BUY",E1082-(ROUND(F1082*K1082/B1082,0)*B1082),E1082+(ROUND(F1082*K1082/B1082,0)*B1082)))</f>
        <v>#DIV/0!</v>
      </c>
      <c r="L1083" s="29" t="e">
        <f t="shared" ref="L1083" si="1619">IF(D1083="BUY",I1083+(R1083*B1083),I1083-(R1083*B1083))</f>
        <v>#DIV/0!</v>
      </c>
      <c r="M1083" s="29" t="e">
        <f>IF(D1082="BUY",E1082+(ROUND(F1082*M1082/B1082,0)*B1082),E1082-(ROUND(F1082*M1082/B1082,0)*B1082))</f>
        <v>#DIV/0!</v>
      </c>
      <c r="N1083" s="29" t="e">
        <f>IF(D1082="BUY",E1082-(ROUND(F1082*N1082/B1082,0)*B1082),E1082+(ROUND(F1082*N1082/B1082,0)*B1082))</f>
        <v>#DIV/0!</v>
      </c>
      <c r="O1083" s="31" t="e">
        <f>IF(D1083="BUY",N1083-VLOOKUP(A1083,Symbols!A$1:D$1000,4,FALSE),N1083+VLOOKUP(A1083,Symbols!A$1:D$1000,4,FALSE))</f>
        <v>#DIV/0!</v>
      </c>
      <c r="P1083" s="29">
        <f>P1082</f>
        <v>0</v>
      </c>
      <c r="Q1083" s="29">
        <f>Q1082</f>
        <v>0</v>
      </c>
      <c r="R1083" s="29">
        <f>R1082</f>
        <v>0</v>
      </c>
      <c r="S1083" s="29">
        <f>S1082</f>
        <v>0</v>
      </c>
      <c r="T1083" s="29">
        <f>T1082</f>
        <v>0</v>
      </c>
      <c r="U1083" s="29" t="e">
        <f>DATEDIF(DATE(1970,1,1),U1082,"D")*86400</f>
        <v>#NUM!</v>
      </c>
      <c r="V1083" s="29">
        <f>HOUR(V1082)*3600+MINUTE(V1082)*60+SECOND(V1082)</f>
        <v>0</v>
      </c>
      <c r="W1083" s="29" t="e">
        <f>DATEDIF(DATE(1970,1,1),W1082,"D")*86400</f>
        <v>#NUM!</v>
      </c>
      <c r="X1083" s="29">
        <f>HOUR(X1082)*3600+MINUTE(X1082)*60+SECOND(X1082)</f>
        <v>0</v>
      </c>
      <c r="Y1083" s="31">
        <f>(Y1082*B1083)</f>
        <v>0</v>
      </c>
      <c r="Z1083" s="29">
        <f>Z1082</f>
        <v>0</v>
      </c>
      <c r="AA1083" s="29" t="e">
        <f>DATEDIF(DATE(1970,1,1),AA1082,"D")*86400</f>
        <v>#NUM!</v>
      </c>
      <c r="AB1083" s="29">
        <f>HOUR(AB1082)*3600+MINUTE(AB1082)*60+SECOND(AB1082)</f>
        <v>0</v>
      </c>
      <c r="AC1083" s="29">
        <f>AC1082</f>
        <v>0</v>
      </c>
    </row>
    <row r="1084" spans="1:29">
      <c r="A1084" s="23">
        <f>Parameters!A543</f>
        <v>0</v>
      </c>
      <c r="B1084" s="23">
        <f>Parameters!B543</f>
        <v>0</v>
      </c>
      <c r="C1084" s="24">
        <f>Parameters!C543</f>
        <v>0</v>
      </c>
      <c r="D1084" s="24">
        <f>Parameters!D543</f>
        <v>0</v>
      </c>
      <c r="E1084" s="23">
        <f>Parameters!E543</f>
        <v>0</v>
      </c>
      <c r="F1084" s="23">
        <f>Parameters!F543</f>
        <v>0</v>
      </c>
      <c r="G1084" s="25">
        <f>Parameters!G543</f>
        <v>0</v>
      </c>
      <c r="H1084" s="25">
        <f>Parameters!H543</f>
        <v>0</v>
      </c>
      <c r="I1084" s="25">
        <f>Parameters!I543</f>
        <v>0</v>
      </c>
      <c r="J1084" s="25">
        <f>Parameters!J543</f>
        <v>0</v>
      </c>
      <c r="K1084" s="25">
        <f>Parameters!K543</f>
        <v>0</v>
      </c>
      <c r="L1084" s="26" t="e">
        <f t="shared" ref="L1084" si="1620">L1085</f>
        <v>#DIV/0!</v>
      </c>
      <c r="M1084" s="25">
        <f>Parameters!L543</f>
        <v>0</v>
      </c>
      <c r="N1084" s="25">
        <f>Parameters!M543</f>
        <v>0</v>
      </c>
      <c r="O1084" s="26" t="e">
        <f t="shared" ref="O1084" si="1621">O1085</f>
        <v>#DIV/0!</v>
      </c>
      <c r="P1084" s="23">
        <f>Parameters!N543</f>
        <v>0</v>
      </c>
      <c r="Q1084" s="23">
        <f>Parameters!O543</f>
        <v>0</v>
      </c>
      <c r="R1084" s="23">
        <f>Parameters!P543</f>
        <v>0</v>
      </c>
      <c r="S1084" s="23">
        <f>Parameters!Q543</f>
        <v>0</v>
      </c>
      <c r="T1084" s="23">
        <f>Parameters!R543</f>
        <v>0</v>
      </c>
      <c r="U1084" s="27">
        <f>Parameters!S543</f>
        <v>0</v>
      </c>
      <c r="V1084" s="28">
        <f>Parameters!T543</f>
        <v>0</v>
      </c>
      <c r="W1084" s="27">
        <f>Parameters!U543</f>
        <v>0</v>
      </c>
      <c r="X1084" s="28">
        <f>Parameters!V543</f>
        <v>0</v>
      </c>
      <c r="Y1084" s="25">
        <f>Parameters!W543</f>
        <v>0</v>
      </c>
      <c r="Z1084" s="23">
        <f>Parameters!X543</f>
        <v>0</v>
      </c>
      <c r="AA1084" s="27">
        <f>Parameters!Y543</f>
        <v>0</v>
      </c>
      <c r="AB1084" s="28">
        <f>Parameters!Z543</f>
        <v>0</v>
      </c>
      <c r="AC1084" s="23">
        <f>Parameters!AA543</f>
        <v>0</v>
      </c>
    </row>
    <row r="1085" spans="1:29">
      <c r="A1085" s="29" t="str">
        <f>UPPER(A1084)</f>
        <v>0</v>
      </c>
      <c r="B1085" s="29">
        <f>B1084</f>
        <v>0</v>
      </c>
      <c r="C1085" s="30">
        <f>C1084</f>
        <v>0</v>
      </c>
      <c r="D1085" s="30">
        <f>D1084</f>
        <v>0</v>
      </c>
      <c r="E1085" s="29">
        <f>E1084</f>
        <v>0</v>
      </c>
      <c r="F1085" s="29">
        <f>F1084</f>
        <v>0</v>
      </c>
      <c r="G1085" s="29" t="e">
        <f>IF(C1084=1,IF(D1084="BUY",E1084+(ROUND(F1084*G1084/B1084,0)*B1084),E1084-(ROUND(F1084*G1084/B1084,0)*B1084)),IF(D1084="BUY",E1084-(ROUND(F1084*G1084/B1084,0)*B1084),E1084+(ROUND(F1084*G1084/B1084,0)*B1084)))</f>
        <v>#DIV/0!</v>
      </c>
      <c r="H1085" s="29" t="e">
        <f>IF(C1084=1,IF(D1084="BUY",G1085-(ROUND(F1084*H1084/B1084,0)*B1084),G1085+(ROUND(F1084*H1084/B1084,0)*B1084)),IF(D1084="BUY",G1085+(ROUND(F1084*H1084/B1084,0)*B1084),G1085-(ROUND(F1084*H1084/B1084,0)*B1084)))</f>
        <v>#DIV/0!</v>
      </c>
      <c r="I1085" s="29" t="e">
        <f>IF(D1084="BUY",G1085+(ROUND(F1084*I1084/(B1084*100),0)*B1084),G1085-(ROUND(F1084*I1084/(B1084*100),0)*B1084))</f>
        <v>#DIV/0!</v>
      </c>
      <c r="J1085" s="29" t="e">
        <f>IF(C1084=1,IF(D1084="BUY",E1084+(ROUND(F1084*J1084/B1084,0)*B1084),E1084-(ROUND(F1084*J1084/B1084,0)*B1084)),IF(D1084="BUY",E1084-(ROUND(F1084*J1084/B1084,0)*B1084),E1084+(ROUND(F1084*J1084/B1084,0)*B1084)))</f>
        <v>#DIV/0!</v>
      </c>
      <c r="K1085" s="29" t="e">
        <f>IF(C1084=1,IF(D1084="BUY",E1084-(ROUND(F1084*K1084/B1084,0)*B1084),E1084+(ROUND(F1084*K1084/B1084,0)*B1084)),IF(D1084="BUY",E1084-(ROUND(F1084*K1084/B1084,0)*B1084),E1084+(ROUND(F1084*K1084/B1084,0)*B1084)))</f>
        <v>#DIV/0!</v>
      </c>
      <c r="L1085" s="29" t="e">
        <f t="shared" ref="L1085" si="1622">IF(D1085="BUY",I1085+(R1085*B1085),I1085-(R1085*B1085))</f>
        <v>#DIV/0!</v>
      </c>
      <c r="M1085" s="29" t="e">
        <f>IF(D1084="BUY",E1084+(ROUND(F1084*M1084/B1084,0)*B1084),E1084-(ROUND(F1084*M1084/B1084,0)*B1084))</f>
        <v>#DIV/0!</v>
      </c>
      <c r="N1085" s="29" t="e">
        <f>IF(D1084="BUY",E1084-(ROUND(F1084*N1084/B1084,0)*B1084),E1084+(ROUND(F1084*N1084/B1084,0)*B1084))</f>
        <v>#DIV/0!</v>
      </c>
      <c r="O1085" s="31" t="e">
        <f>IF(D1085="BUY",N1085-VLOOKUP(A1085,Symbols!A$1:D$1000,4,FALSE),N1085+VLOOKUP(A1085,Symbols!A$1:D$1000,4,FALSE))</f>
        <v>#DIV/0!</v>
      </c>
      <c r="P1085" s="29">
        <f>P1084</f>
        <v>0</v>
      </c>
      <c r="Q1085" s="29">
        <f>Q1084</f>
        <v>0</v>
      </c>
      <c r="R1085" s="29">
        <f>R1084</f>
        <v>0</v>
      </c>
      <c r="S1085" s="29">
        <f>S1084</f>
        <v>0</v>
      </c>
      <c r="T1085" s="29">
        <f>T1084</f>
        <v>0</v>
      </c>
      <c r="U1085" s="29" t="e">
        <f>DATEDIF(DATE(1970,1,1),U1084,"D")*86400</f>
        <v>#NUM!</v>
      </c>
      <c r="V1085" s="29">
        <f>HOUR(V1084)*3600+MINUTE(V1084)*60+SECOND(V1084)</f>
        <v>0</v>
      </c>
      <c r="W1085" s="29" t="e">
        <f>DATEDIF(DATE(1970,1,1),W1084,"D")*86400</f>
        <v>#NUM!</v>
      </c>
      <c r="X1085" s="29">
        <f>HOUR(X1084)*3600+MINUTE(X1084)*60+SECOND(X1084)</f>
        <v>0</v>
      </c>
      <c r="Y1085" s="31">
        <f>(Y1084*B1085)</f>
        <v>0</v>
      </c>
      <c r="Z1085" s="29">
        <f>Z1084</f>
        <v>0</v>
      </c>
      <c r="AA1085" s="29" t="e">
        <f>DATEDIF(DATE(1970,1,1),AA1084,"D")*86400</f>
        <v>#NUM!</v>
      </c>
      <c r="AB1085" s="29">
        <f>HOUR(AB1084)*3600+MINUTE(AB1084)*60+SECOND(AB1084)</f>
        <v>0</v>
      </c>
      <c r="AC1085" s="29">
        <f>AC1084</f>
        <v>0</v>
      </c>
    </row>
    <row r="1086" spans="1:29">
      <c r="A1086" s="23">
        <f>Parameters!A544</f>
        <v>0</v>
      </c>
      <c r="B1086" s="23">
        <f>Parameters!B544</f>
        <v>0</v>
      </c>
      <c r="C1086" s="24">
        <f>Parameters!C544</f>
        <v>0</v>
      </c>
      <c r="D1086" s="24">
        <f>Parameters!D544</f>
        <v>0</v>
      </c>
      <c r="E1086" s="23">
        <f>Parameters!E544</f>
        <v>0</v>
      </c>
      <c r="F1086" s="23">
        <f>Parameters!F544</f>
        <v>0</v>
      </c>
      <c r="G1086" s="25">
        <f>Parameters!G544</f>
        <v>0</v>
      </c>
      <c r="H1086" s="25">
        <f>Parameters!H544</f>
        <v>0</v>
      </c>
      <c r="I1086" s="25">
        <f>Parameters!I544</f>
        <v>0</v>
      </c>
      <c r="J1086" s="25">
        <f>Parameters!J544</f>
        <v>0</v>
      </c>
      <c r="K1086" s="25">
        <f>Parameters!K544</f>
        <v>0</v>
      </c>
      <c r="L1086" s="26" t="e">
        <f t="shared" ref="L1086" si="1623">L1087</f>
        <v>#DIV/0!</v>
      </c>
      <c r="M1086" s="25">
        <f>Parameters!L544</f>
        <v>0</v>
      </c>
      <c r="N1086" s="25">
        <f>Parameters!M544</f>
        <v>0</v>
      </c>
      <c r="O1086" s="26" t="e">
        <f t="shared" ref="O1086" si="1624">O1087</f>
        <v>#DIV/0!</v>
      </c>
      <c r="P1086" s="23">
        <f>Parameters!N544</f>
        <v>0</v>
      </c>
      <c r="Q1086" s="23">
        <f>Parameters!O544</f>
        <v>0</v>
      </c>
      <c r="R1086" s="23">
        <f>Parameters!P544</f>
        <v>0</v>
      </c>
      <c r="S1086" s="23">
        <f>Parameters!Q544</f>
        <v>0</v>
      </c>
      <c r="T1086" s="23">
        <f>Parameters!R544</f>
        <v>0</v>
      </c>
      <c r="U1086" s="27">
        <f>Parameters!S544</f>
        <v>0</v>
      </c>
      <c r="V1086" s="28">
        <f>Parameters!T544</f>
        <v>0</v>
      </c>
      <c r="W1086" s="27">
        <f>Parameters!U544</f>
        <v>0</v>
      </c>
      <c r="X1086" s="28">
        <f>Parameters!V544</f>
        <v>0</v>
      </c>
      <c r="Y1086" s="25">
        <f>Parameters!W544</f>
        <v>0</v>
      </c>
      <c r="Z1086" s="23">
        <f>Parameters!X544</f>
        <v>0</v>
      </c>
      <c r="AA1086" s="27">
        <f>Parameters!Y544</f>
        <v>0</v>
      </c>
      <c r="AB1086" s="28">
        <f>Parameters!Z544</f>
        <v>0</v>
      </c>
      <c r="AC1086" s="23">
        <f>Parameters!AA544</f>
        <v>0</v>
      </c>
    </row>
    <row r="1087" spans="1:29">
      <c r="A1087" s="29" t="str">
        <f>UPPER(A1086)</f>
        <v>0</v>
      </c>
      <c r="B1087" s="29">
        <f>B1086</f>
        <v>0</v>
      </c>
      <c r="C1087" s="30">
        <f>C1086</f>
        <v>0</v>
      </c>
      <c r="D1087" s="30">
        <f>D1086</f>
        <v>0</v>
      </c>
      <c r="E1087" s="29">
        <f>E1086</f>
        <v>0</v>
      </c>
      <c r="F1087" s="29">
        <f>F1086</f>
        <v>0</v>
      </c>
      <c r="G1087" s="29" t="e">
        <f>IF(C1086=1,IF(D1086="BUY",E1086+(ROUND(F1086*G1086/B1086,0)*B1086),E1086-(ROUND(F1086*G1086/B1086,0)*B1086)),IF(D1086="BUY",E1086-(ROUND(F1086*G1086/B1086,0)*B1086),E1086+(ROUND(F1086*G1086/B1086,0)*B1086)))</f>
        <v>#DIV/0!</v>
      </c>
      <c r="H1087" s="29" t="e">
        <f>IF(C1086=1,IF(D1086="BUY",G1087-(ROUND(F1086*H1086/B1086,0)*B1086),G1087+(ROUND(F1086*H1086/B1086,0)*B1086)),IF(D1086="BUY",G1087+(ROUND(F1086*H1086/B1086,0)*B1086),G1087-(ROUND(F1086*H1086/B1086,0)*B1086)))</f>
        <v>#DIV/0!</v>
      </c>
      <c r="I1087" s="29" t="e">
        <f>IF(D1086="BUY",G1087+(ROUND(F1086*I1086/(B1086*100),0)*B1086),G1087-(ROUND(F1086*I1086/(B1086*100),0)*B1086))</f>
        <v>#DIV/0!</v>
      </c>
      <c r="J1087" s="29" t="e">
        <f>IF(C1086=1,IF(D1086="BUY",E1086+(ROUND(F1086*J1086/B1086,0)*B1086),E1086-(ROUND(F1086*J1086/B1086,0)*B1086)),IF(D1086="BUY",E1086-(ROUND(F1086*J1086/B1086,0)*B1086),E1086+(ROUND(F1086*J1086/B1086,0)*B1086)))</f>
        <v>#DIV/0!</v>
      </c>
      <c r="K1087" s="29" t="e">
        <f>IF(C1086=1,IF(D1086="BUY",E1086-(ROUND(F1086*K1086/B1086,0)*B1086),E1086+(ROUND(F1086*K1086/B1086,0)*B1086)),IF(D1086="BUY",E1086-(ROUND(F1086*K1086/B1086,0)*B1086),E1086+(ROUND(F1086*K1086/B1086,0)*B1086)))</f>
        <v>#DIV/0!</v>
      </c>
      <c r="L1087" s="29" t="e">
        <f t="shared" ref="L1087" si="1625">IF(D1087="BUY",I1087+(R1087*B1087),I1087-(R1087*B1087))</f>
        <v>#DIV/0!</v>
      </c>
      <c r="M1087" s="29" t="e">
        <f>IF(D1086="BUY",E1086+(ROUND(F1086*M1086/B1086,0)*B1086),E1086-(ROUND(F1086*M1086/B1086,0)*B1086))</f>
        <v>#DIV/0!</v>
      </c>
      <c r="N1087" s="29" t="e">
        <f>IF(D1086="BUY",E1086-(ROUND(F1086*N1086/B1086,0)*B1086),E1086+(ROUND(F1086*N1086/B1086,0)*B1086))</f>
        <v>#DIV/0!</v>
      </c>
      <c r="O1087" s="31" t="e">
        <f>IF(D1087="BUY",N1087-VLOOKUP(A1087,Symbols!A$1:D$1000,4,FALSE),N1087+VLOOKUP(A1087,Symbols!A$1:D$1000,4,FALSE))</f>
        <v>#DIV/0!</v>
      </c>
      <c r="P1087" s="29">
        <f>P1086</f>
        <v>0</v>
      </c>
      <c r="Q1087" s="29">
        <f>Q1086</f>
        <v>0</v>
      </c>
      <c r="R1087" s="29">
        <f>R1086</f>
        <v>0</v>
      </c>
      <c r="S1087" s="29">
        <f>S1086</f>
        <v>0</v>
      </c>
      <c r="T1087" s="29">
        <f>T1086</f>
        <v>0</v>
      </c>
      <c r="U1087" s="29" t="e">
        <f>DATEDIF(DATE(1970,1,1),U1086,"D")*86400</f>
        <v>#NUM!</v>
      </c>
      <c r="V1087" s="29">
        <f>HOUR(V1086)*3600+MINUTE(V1086)*60+SECOND(V1086)</f>
        <v>0</v>
      </c>
      <c r="W1087" s="29" t="e">
        <f>DATEDIF(DATE(1970,1,1),W1086,"D")*86400</f>
        <v>#NUM!</v>
      </c>
      <c r="X1087" s="29">
        <f>HOUR(X1086)*3600+MINUTE(X1086)*60+SECOND(X1086)</f>
        <v>0</v>
      </c>
      <c r="Y1087" s="31">
        <f>(Y1086*B1087)</f>
        <v>0</v>
      </c>
      <c r="Z1087" s="29">
        <f>Z1086</f>
        <v>0</v>
      </c>
      <c r="AA1087" s="29" t="e">
        <f>DATEDIF(DATE(1970,1,1),AA1086,"D")*86400</f>
        <v>#NUM!</v>
      </c>
      <c r="AB1087" s="29">
        <f>HOUR(AB1086)*3600+MINUTE(AB1086)*60+SECOND(AB1086)</f>
        <v>0</v>
      </c>
      <c r="AC1087" s="29">
        <f>AC1086</f>
        <v>0</v>
      </c>
    </row>
    <row r="1088" spans="1:29">
      <c r="A1088" s="23">
        <f>Parameters!A545</f>
        <v>0</v>
      </c>
      <c r="B1088" s="23">
        <f>Parameters!B545</f>
        <v>0</v>
      </c>
      <c r="C1088" s="24">
        <f>Parameters!C545</f>
        <v>0</v>
      </c>
      <c r="D1088" s="24">
        <f>Parameters!D545</f>
        <v>0</v>
      </c>
      <c r="E1088" s="23">
        <f>Parameters!E545</f>
        <v>0</v>
      </c>
      <c r="F1088" s="23">
        <f>Parameters!F545</f>
        <v>0</v>
      </c>
      <c r="G1088" s="25">
        <f>Parameters!G545</f>
        <v>0</v>
      </c>
      <c r="H1088" s="25">
        <f>Parameters!H545</f>
        <v>0</v>
      </c>
      <c r="I1088" s="25">
        <f>Parameters!I545</f>
        <v>0</v>
      </c>
      <c r="J1088" s="25">
        <f>Parameters!J545</f>
        <v>0</v>
      </c>
      <c r="K1088" s="25">
        <f>Parameters!K545</f>
        <v>0</v>
      </c>
      <c r="L1088" s="26" t="e">
        <f t="shared" ref="L1088" si="1626">L1089</f>
        <v>#DIV/0!</v>
      </c>
      <c r="M1088" s="25">
        <f>Parameters!L545</f>
        <v>0</v>
      </c>
      <c r="N1088" s="25">
        <f>Parameters!M545</f>
        <v>0</v>
      </c>
      <c r="O1088" s="26" t="e">
        <f t="shared" ref="O1088" si="1627">O1089</f>
        <v>#DIV/0!</v>
      </c>
      <c r="P1088" s="23">
        <f>Parameters!N545</f>
        <v>0</v>
      </c>
      <c r="Q1088" s="23">
        <f>Parameters!O545</f>
        <v>0</v>
      </c>
      <c r="R1088" s="23">
        <f>Parameters!P545</f>
        <v>0</v>
      </c>
      <c r="S1088" s="23">
        <f>Parameters!Q545</f>
        <v>0</v>
      </c>
      <c r="T1088" s="23">
        <f>Parameters!R545</f>
        <v>0</v>
      </c>
      <c r="U1088" s="27">
        <f>Parameters!S545</f>
        <v>0</v>
      </c>
      <c r="V1088" s="28">
        <f>Parameters!T545</f>
        <v>0</v>
      </c>
      <c r="W1088" s="27">
        <f>Parameters!U545</f>
        <v>0</v>
      </c>
      <c r="X1088" s="28">
        <f>Parameters!V545</f>
        <v>0</v>
      </c>
      <c r="Y1088" s="25">
        <f>Parameters!W545</f>
        <v>0</v>
      </c>
      <c r="Z1088" s="23">
        <f>Parameters!X545</f>
        <v>0</v>
      </c>
      <c r="AA1088" s="27">
        <f>Parameters!Y545</f>
        <v>0</v>
      </c>
      <c r="AB1088" s="28">
        <f>Parameters!Z545</f>
        <v>0</v>
      </c>
      <c r="AC1088" s="23">
        <f>Parameters!AA545</f>
        <v>0</v>
      </c>
    </row>
    <row r="1089" spans="1:29">
      <c r="A1089" s="29" t="str">
        <f>UPPER(A1088)</f>
        <v>0</v>
      </c>
      <c r="B1089" s="29">
        <f>B1088</f>
        <v>0</v>
      </c>
      <c r="C1089" s="30">
        <f>C1088</f>
        <v>0</v>
      </c>
      <c r="D1089" s="30">
        <f>D1088</f>
        <v>0</v>
      </c>
      <c r="E1089" s="29">
        <f>E1088</f>
        <v>0</v>
      </c>
      <c r="F1089" s="29">
        <f>F1088</f>
        <v>0</v>
      </c>
      <c r="G1089" s="29" t="e">
        <f>IF(C1088=1,IF(D1088="BUY",E1088+(ROUND(F1088*G1088/B1088,0)*B1088),E1088-(ROUND(F1088*G1088/B1088,0)*B1088)),IF(D1088="BUY",E1088-(ROUND(F1088*G1088/B1088,0)*B1088),E1088+(ROUND(F1088*G1088/B1088,0)*B1088)))</f>
        <v>#DIV/0!</v>
      </c>
      <c r="H1089" s="29" t="e">
        <f>IF(C1088=1,IF(D1088="BUY",G1089-(ROUND(F1088*H1088/B1088,0)*B1088),G1089+(ROUND(F1088*H1088/B1088,0)*B1088)),IF(D1088="BUY",G1089+(ROUND(F1088*H1088/B1088,0)*B1088),G1089-(ROUND(F1088*H1088/B1088,0)*B1088)))</f>
        <v>#DIV/0!</v>
      </c>
      <c r="I1089" s="29" t="e">
        <f>IF(D1088="BUY",G1089+(ROUND(F1088*I1088/(B1088*100),0)*B1088),G1089-(ROUND(F1088*I1088/(B1088*100),0)*B1088))</f>
        <v>#DIV/0!</v>
      </c>
      <c r="J1089" s="29" t="e">
        <f>IF(C1088=1,IF(D1088="BUY",E1088+(ROUND(F1088*J1088/B1088,0)*B1088),E1088-(ROUND(F1088*J1088/B1088,0)*B1088)),IF(D1088="BUY",E1088-(ROUND(F1088*J1088/B1088,0)*B1088),E1088+(ROUND(F1088*J1088/B1088,0)*B1088)))</f>
        <v>#DIV/0!</v>
      </c>
      <c r="K1089" s="29" t="e">
        <f>IF(C1088=1,IF(D1088="BUY",E1088-(ROUND(F1088*K1088/B1088,0)*B1088),E1088+(ROUND(F1088*K1088/B1088,0)*B1088)),IF(D1088="BUY",E1088-(ROUND(F1088*K1088/B1088,0)*B1088),E1088+(ROUND(F1088*K1088/B1088,0)*B1088)))</f>
        <v>#DIV/0!</v>
      </c>
      <c r="L1089" s="29" t="e">
        <f t="shared" ref="L1089" si="1628">IF(D1089="BUY",I1089+(R1089*B1089),I1089-(R1089*B1089))</f>
        <v>#DIV/0!</v>
      </c>
      <c r="M1089" s="29" t="e">
        <f>IF(D1088="BUY",E1088+(ROUND(F1088*M1088/B1088,0)*B1088),E1088-(ROUND(F1088*M1088/B1088,0)*B1088))</f>
        <v>#DIV/0!</v>
      </c>
      <c r="N1089" s="29" t="e">
        <f>IF(D1088="BUY",E1088-(ROUND(F1088*N1088/B1088,0)*B1088),E1088+(ROUND(F1088*N1088/B1088,0)*B1088))</f>
        <v>#DIV/0!</v>
      </c>
      <c r="O1089" s="31" t="e">
        <f>IF(D1089="BUY",N1089-VLOOKUP(A1089,Symbols!A$1:D$1000,4,FALSE),N1089+VLOOKUP(A1089,Symbols!A$1:D$1000,4,FALSE))</f>
        <v>#DIV/0!</v>
      </c>
      <c r="P1089" s="29">
        <f>P1088</f>
        <v>0</v>
      </c>
      <c r="Q1089" s="29">
        <f>Q1088</f>
        <v>0</v>
      </c>
      <c r="R1089" s="29">
        <f>R1088</f>
        <v>0</v>
      </c>
      <c r="S1089" s="29">
        <f>S1088</f>
        <v>0</v>
      </c>
      <c r="T1089" s="29">
        <f>T1088</f>
        <v>0</v>
      </c>
      <c r="U1089" s="29" t="e">
        <f>DATEDIF(DATE(1970,1,1),U1088,"D")*86400</f>
        <v>#NUM!</v>
      </c>
      <c r="V1089" s="29">
        <f>HOUR(V1088)*3600+MINUTE(V1088)*60+SECOND(V1088)</f>
        <v>0</v>
      </c>
      <c r="W1089" s="29" t="e">
        <f>DATEDIF(DATE(1970,1,1),W1088,"D")*86400</f>
        <v>#NUM!</v>
      </c>
      <c r="X1089" s="29">
        <f>HOUR(X1088)*3600+MINUTE(X1088)*60+SECOND(X1088)</f>
        <v>0</v>
      </c>
      <c r="Y1089" s="31">
        <f>(Y1088*B1089)</f>
        <v>0</v>
      </c>
      <c r="Z1089" s="29">
        <f>Z1088</f>
        <v>0</v>
      </c>
      <c r="AA1089" s="29" t="e">
        <f>DATEDIF(DATE(1970,1,1),AA1088,"D")*86400</f>
        <v>#NUM!</v>
      </c>
      <c r="AB1089" s="29">
        <f>HOUR(AB1088)*3600+MINUTE(AB1088)*60+SECOND(AB1088)</f>
        <v>0</v>
      </c>
      <c r="AC1089" s="29">
        <f>AC1088</f>
        <v>0</v>
      </c>
    </row>
    <row r="1090" spans="1:29">
      <c r="A1090" s="23">
        <f>Parameters!A546</f>
        <v>0</v>
      </c>
      <c r="B1090" s="23">
        <f>Parameters!B546</f>
        <v>0</v>
      </c>
      <c r="C1090" s="24">
        <f>Parameters!C546</f>
        <v>0</v>
      </c>
      <c r="D1090" s="24">
        <f>Parameters!D546</f>
        <v>0</v>
      </c>
      <c r="E1090" s="23">
        <f>Parameters!E546</f>
        <v>0</v>
      </c>
      <c r="F1090" s="23">
        <f>Parameters!F546</f>
        <v>0</v>
      </c>
      <c r="G1090" s="25">
        <f>Parameters!G546</f>
        <v>0</v>
      </c>
      <c r="H1090" s="25">
        <f>Parameters!H546</f>
        <v>0</v>
      </c>
      <c r="I1090" s="25">
        <f>Parameters!I546</f>
        <v>0</v>
      </c>
      <c r="J1090" s="25">
        <f>Parameters!J546</f>
        <v>0</v>
      </c>
      <c r="K1090" s="25">
        <f>Parameters!K546</f>
        <v>0</v>
      </c>
      <c r="L1090" s="26" t="e">
        <f t="shared" ref="L1090" si="1629">L1091</f>
        <v>#DIV/0!</v>
      </c>
      <c r="M1090" s="25">
        <f>Parameters!L546</f>
        <v>0</v>
      </c>
      <c r="N1090" s="25">
        <f>Parameters!M546</f>
        <v>0</v>
      </c>
      <c r="O1090" s="26" t="e">
        <f t="shared" ref="O1090" si="1630">O1091</f>
        <v>#DIV/0!</v>
      </c>
      <c r="P1090" s="23">
        <f>Parameters!N546</f>
        <v>0</v>
      </c>
      <c r="Q1090" s="23">
        <f>Parameters!O546</f>
        <v>0</v>
      </c>
      <c r="R1090" s="23">
        <f>Parameters!P546</f>
        <v>0</v>
      </c>
      <c r="S1090" s="23">
        <f>Parameters!Q546</f>
        <v>0</v>
      </c>
      <c r="T1090" s="23">
        <f>Parameters!R546</f>
        <v>0</v>
      </c>
      <c r="U1090" s="27">
        <f>Parameters!S546</f>
        <v>0</v>
      </c>
      <c r="V1090" s="28">
        <f>Parameters!T546</f>
        <v>0</v>
      </c>
      <c r="W1090" s="27">
        <f>Parameters!U546</f>
        <v>0</v>
      </c>
      <c r="X1090" s="28">
        <f>Parameters!V546</f>
        <v>0</v>
      </c>
      <c r="Y1090" s="25">
        <f>Parameters!W546</f>
        <v>0</v>
      </c>
      <c r="Z1090" s="23">
        <f>Parameters!X546</f>
        <v>0</v>
      </c>
      <c r="AA1090" s="27">
        <f>Parameters!Y546</f>
        <v>0</v>
      </c>
      <c r="AB1090" s="28">
        <f>Parameters!Z546</f>
        <v>0</v>
      </c>
      <c r="AC1090" s="23">
        <f>Parameters!AA546</f>
        <v>0</v>
      </c>
    </row>
    <row r="1091" spans="1:29">
      <c r="A1091" s="29" t="str">
        <f>UPPER(A1090)</f>
        <v>0</v>
      </c>
      <c r="B1091" s="29">
        <f>B1090</f>
        <v>0</v>
      </c>
      <c r="C1091" s="30">
        <f>C1090</f>
        <v>0</v>
      </c>
      <c r="D1091" s="30">
        <f>D1090</f>
        <v>0</v>
      </c>
      <c r="E1091" s="29">
        <f>E1090</f>
        <v>0</v>
      </c>
      <c r="F1091" s="29">
        <f>F1090</f>
        <v>0</v>
      </c>
      <c r="G1091" s="29" t="e">
        <f>IF(C1090=1,IF(D1090="BUY",E1090+(ROUND(F1090*G1090/B1090,0)*B1090),E1090-(ROUND(F1090*G1090/B1090,0)*B1090)),IF(D1090="BUY",E1090-(ROUND(F1090*G1090/B1090,0)*B1090),E1090+(ROUND(F1090*G1090/B1090,0)*B1090)))</f>
        <v>#DIV/0!</v>
      </c>
      <c r="H1091" s="29" t="e">
        <f>IF(C1090=1,IF(D1090="BUY",G1091-(ROUND(F1090*H1090/B1090,0)*B1090),G1091+(ROUND(F1090*H1090/B1090,0)*B1090)),IF(D1090="BUY",G1091+(ROUND(F1090*H1090/B1090,0)*B1090),G1091-(ROUND(F1090*H1090/B1090,0)*B1090)))</f>
        <v>#DIV/0!</v>
      </c>
      <c r="I1091" s="29" t="e">
        <f>IF(D1090="BUY",G1091+(ROUND(F1090*I1090/(B1090*100),0)*B1090),G1091-(ROUND(F1090*I1090/(B1090*100),0)*B1090))</f>
        <v>#DIV/0!</v>
      </c>
      <c r="J1091" s="29" t="e">
        <f>IF(C1090=1,IF(D1090="BUY",E1090+(ROUND(F1090*J1090/B1090,0)*B1090),E1090-(ROUND(F1090*J1090/B1090,0)*B1090)),IF(D1090="BUY",E1090-(ROUND(F1090*J1090/B1090,0)*B1090),E1090+(ROUND(F1090*J1090/B1090,0)*B1090)))</f>
        <v>#DIV/0!</v>
      </c>
      <c r="K1091" s="29" t="e">
        <f>IF(C1090=1,IF(D1090="BUY",E1090-(ROUND(F1090*K1090/B1090,0)*B1090),E1090+(ROUND(F1090*K1090/B1090,0)*B1090)),IF(D1090="BUY",E1090-(ROUND(F1090*K1090/B1090,0)*B1090),E1090+(ROUND(F1090*K1090/B1090,0)*B1090)))</f>
        <v>#DIV/0!</v>
      </c>
      <c r="L1091" s="29" t="e">
        <f t="shared" ref="L1091" si="1631">IF(D1091="BUY",I1091+(R1091*B1091),I1091-(R1091*B1091))</f>
        <v>#DIV/0!</v>
      </c>
      <c r="M1091" s="29" t="e">
        <f>IF(D1090="BUY",E1090+(ROUND(F1090*M1090/B1090,0)*B1090),E1090-(ROUND(F1090*M1090/B1090,0)*B1090))</f>
        <v>#DIV/0!</v>
      </c>
      <c r="N1091" s="29" t="e">
        <f>IF(D1090="BUY",E1090-(ROUND(F1090*N1090/B1090,0)*B1090),E1090+(ROUND(F1090*N1090/B1090,0)*B1090))</f>
        <v>#DIV/0!</v>
      </c>
      <c r="O1091" s="31" t="e">
        <f>IF(D1091="BUY",N1091-VLOOKUP(A1091,Symbols!A$1:D$1000,4,FALSE),N1091+VLOOKUP(A1091,Symbols!A$1:D$1000,4,FALSE))</f>
        <v>#DIV/0!</v>
      </c>
      <c r="P1091" s="29">
        <f>P1090</f>
        <v>0</v>
      </c>
      <c r="Q1091" s="29">
        <f>Q1090</f>
        <v>0</v>
      </c>
      <c r="R1091" s="29">
        <f>R1090</f>
        <v>0</v>
      </c>
      <c r="S1091" s="29">
        <f>S1090</f>
        <v>0</v>
      </c>
      <c r="T1091" s="29">
        <f>T1090</f>
        <v>0</v>
      </c>
      <c r="U1091" s="29" t="e">
        <f>DATEDIF(DATE(1970,1,1),U1090,"D")*86400</f>
        <v>#NUM!</v>
      </c>
      <c r="V1091" s="29">
        <f>HOUR(V1090)*3600+MINUTE(V1090)*60+SECOND(V1090)</f>
        <v>0</v>
      </c>
      <c r="W1091" s="29" t="e">
        <f>DATEDIF(DATE(1970,1,1),W1090,"D")*86400</f>
        <v>#NUM!</v>
      </c>
      <c r="X1091" s="29">
        <f>HOUR(X1090)*3600+MINUTE(X1090)*60+SECOND(X1090)</f>
        <v>0</v>
      </c>
      <c r="Y1091" s="31">
        <f>(Y1090*B1091)</f>
        <v>0</v>
      </c>
      <c r="Z1091" s="29">
        <f>Z1090</f>
        <v>0</v>
      </c>
      <c r="AA1091" s="29" t="e">
        <f>DATEDIF(DATE(1970,1,1),AA1090,"D")*86400</f>
        <v>#NUM!</v>
      </c>
      <c r="AB1091" s="29">
        <f>HOUR(AB1090)*3600+MINUTE(AB1090)*60+SECOND(AB1090)</f>
        <v>0</v>
      </c>
      <c r="AC1091" s="29">
        <f>AC1090</f>
        <v>0</v>
      </c>
    </row>
    <row r="1092" spans="1:29">
      <c r="A1092" s="23">
        <f>Parameters!A547</f>
        <v>0</v>
      </c>
      <c r="B1092" s="23">
        <f>Parameters!B547</f>
        <v>0</v>
      </c>
      <c r="C1092" s="24">
        <f>Parameters!C547</f>
        <v>0</v>
      </c>
      <c r="D1092" s="24">
        <f>Parameters!D547</f>
        <v>0</v>
      </c>
      <c r="E1092" s="23">
        <f>Parameters!E547</f>
        <v>0</v>
      </c>
      <c r="F1092" s="23">
        <f>Parameters!F547</f>
        <v>0</v>
      </c>
      <c r="G1092" s="25">
        <f>Parameters!G547</f>
        <v>0</v>
      </c>
      <c r="H1092" s="25">
        <f>Parameters!H547</f>
        <v>0</v>
      </c>
      <c r="I1092" s="25">
        <f>Parameters!I547</f>
        <v>0</v>
      </c>
      <c r="J1092" s="25">
        <f>Parameters!J547</f>
        <v>0</v>
      </c>
      <c r="K1092" s="25">
        <f>Parameters!K547</f>
        <v>0</v>
      </c>
      <c r="L1092" s="26" t="e">
        <f t="shared" ref="L1092" si="1632">L1093</f>
        <v>#DIV/0!</v>
      </c>
      <c r="M1092" s="25">
        <f>Parameters!L547</f>
        <v>0</v>
      </c>
      <c r="N1092" s="25">
        <f>Parameters!M547</f>
        <v>0</v>
      </c>
      <c r="O1092" s="26" t="e">
        <f t="shared" ref="O1092" si="1633">O1093</f>
        <v>#DIV/0!</v>
      </c>
      <c r="P1092" s="23">
        <f>Parameters!N547</f>
        <v>0</v>
      </c>
      <c r="Q1092" s="23">
        <f>Parameters!O547</f>
        <v>0</v>
      </c>
      <c r="R1092" s="23">
        <f>Parameters!P547</f>
        <v>0</v>
      </c>
      <c r="S1092" s="23">
        <f>Parameters!Q547</f>
        <v>0</v>
      </c>
      <c r="T1092" s="23">
        <f>Parameters!R547</f>
        <v>0</v>
      </c>
      <c r="U1092" s="27">
        <f>Parameters!S547</f>
        <v>0</v>
      </c>
      <c r="V1092" s="28">
        <f>Parameters!T547</f>
        <v>0</v>
      </c>
      <c r="W1092" s="27">
        <f>Parameters!U547</f>
        <v>0</v>
      </c>
      <c r="X1092" s="28">
        <f>Parameters!V547</f>
        <v>0</v>
      </c>
      <c r="Y1092" s="25">
        <f>Parameters!W547</f>
        <v>0</v>
      </c>
      <c r="Z1092" s="23">
        <f>Parameters!X547</f>
        <v>0</v>
      </c>
      <c r="AA1092" s="27">
        <f>Parameters!Y547</f>
        <v>0</v>
      </c>
      <c r="AB1092" s="28">
        <f>Parameters!Z547</f>
        <v>0</v>
      </c>
      <c r="AC1092" s="23">
        <f>Parameters!AA547</f>
        <v>0</v>
      </c>
    </row>
    <row r="1093" spans="1:29">
      <c r="A1093" s="29" t="str">
        <f>UPPER(A1092)</f>
        <v>0</v>
      </c>
      <c r="B1093" s="29">
        <f>B1092</f>
        <v>0</v>
      </c>
      <c r="C1093" s="30">
        <f>C1092</f>
        <v>0</v>
      </c>
      <c r="D1093" s="30">
        <f>D1092</f>
        <v>0</v>
      </c>
      <c r="E1093" s="29">
        <f>E1092</f>
        <v>0</v>
      </c>
      <c r="F1093" s="29">
        <f>F1092</f>
        <v>0</v>
      </c>
      <c r="G1093" s="29" t="e">
        <f>IF(C1092=1,IF(D1092="BUY",E1092+(ROUND(F1092*G1092/B1092,0)*B1092),E1092-(ROUND(F1092*G1092/B1092,0)*B1092)),IF(D1092="BUY",E1092-(ROUND(F1092*G1092/B1092,0)*B1092),E1092+(ROUND(F1092*G1092/B1092,0)*B1092)))</f>
        <v>#DIV/0!</v>
      </c>
      <c r="H1093" s="29" t="e">
        <f>IF(C1092=1,IF(D1092="BUY",G1093-(ROUND(F1092*H1092/B1092,0)*B1092),G1093+(ROUND(F1092*H1092/B1092,0)*B1092)),IF(D1092="BUY",G1093+(ROUND(F1092*H1092/B1092,0)*B1092),G1093-(ROUND(F1092*H1092/B1092,0)*B1092)))</f>
        <v>#DIV/0!</v>
      </c>
      <c r="I1093" s="29" t="e">
        <f>IF(D1092="BUY",G1093+(ROUND(F1092*I1092/(B1092*100),0)*B1092),G1093-(ROUND(F1092*I1092/(B1092*100),0)*B1092))</f>
        <v>#DIV/0!</v>
      </c>
      <c r="J1093" s="29" t="e">
        <f>IF(C1092=1,IF(D1092="BUY",E1092+(ROUND(F1092*J1092/B1092,0)*B1092),E1092-(ROUND(F1092*J1092/B1092,0)*B1092)),IF(D1092="BUY",E1092-(ROUND(F1092*J1092/B1092,0)*B1092),E1092+(ROUND(F1092*J1092/B1092,0)*B1092)))</f>
        <v>#DIV/0!</v>
      </c>
      <c r="K1093" s="29" t="e">
        <f>IF(C1092=1,IF(D1092="BUY",E1092-(ROUND(F1092*K1092/B1092,0)*B1092),E1092+(ROUND(F1092*K1092/B1092,0)*B1092)),IF(D1092="BUY",E1092-(ROUND(F1092*K1092/B1092,0)*B1092),E1092+(ROUND(F1092*K1092/B1092,0)*B1092)))</f>
        <v>#DIV/0!</v>
      </c>
      <c r="L1093" s="29" t="e">
        <f t="shared" ref="L1093" si="1634">IF(D1093="BUY",I1093+(R1093*B1093),I1093-(R1093*B1093))</f>
        <v>#DIV/0!</v>
      </c>
      <c r="M1093" s="29" t="e">
        <f>IF(D1092="BUY",E1092+(ROUND(F1092*M1092/B1092,0)*B1092),E1092-(ROUND(F1092*M1092/B1092,0)*B1092))</f>
        <v>#DIV/0!</v>
      </c>
      <c r="N1093" s="29" t="e">
        <f>IF(D1092="BUY",E1092-(ROUND(F1092*N1092/B1092,0)*B1092),E1092+(ROUND(F1092*N1092/B1092,0)*B1092))</f>
        <v>#DIV/0!</v>
      </c>
      <c r="O1093" s="31" t="e">
        <f>IF(D1093="BUY",N1093-VLOOKUP(A1093,Symbols!A$1:D$1000,4,FALSE),N1093+VLOOKUP(A1093,Symbols!A$1:D$1000,4,FALSE))</f>
        <v>#DIV/0!</v>
      </c>
      <c r="P1093" s="29">
        <f>P1092</f>
        <v>0</v>
      </c>
      <c r="Q1093" s="29">
        <f>Q1092</f>
        <v>0</v>
      </c>
      <c r="R1093" s="29">
        <f>R1092</f>
        <v>0</v>
      </c>
      <c r="S1093" s="29">
        <f>S1092</f>
        <v>0</v>
      </c>
      <c r="T1093" s="29">
        <f>T1092</f>
        <v>0</v>
      </c>
      <c r="U1093" s="29" t="e">
        <f>DATEDIF(DATE(1970,1,1),U1092,"D")*86400</f>
        <v>#NUM!</v>
      </c>
      <c r="V1093" s="29">
        <f>HOUR(V1092)*3600+MINUTE(V1092)*60+SECOND(V1092)</f>
        <v>0</v>
      </c>
      <c r="W1093" s="29" t="e">
        <f>DATEDIF(DATE(1970,1,1),W1092,"D")*86400</f>
        <v>#NUM!</v>
      </c>
      <c r="X1093" s="29">
        <f>HOUR(X1092)*3600+MINUTE(X1092)*60+SECOND(X1092)</f>
        <v>0</v>
      </c>
      <c r="Y1093" s="31">
        <f>(Y1092*B1093)</f>
        <v>0</v>
      </c>
      <c r="Z1093" s="29">
        <f>Z1092</f>
        <v>0</v>
      </c>
      <c r="AA1093" s="29" t="e">
        <f>DATEDIF(DATE(1970,1,1),AA1092,"D")*86400</f>
        <v>#NUM!</v>
      </c>
      <c r="AB1093" s="29">
        <f>HOUR(AB1092)*3600+MINUTE(AB1092)*60+SECOND(AB1092)</f>
        <v>0</v>
      </c>
      <c r="AC1093" s="29">
        <f>AC1092</f>
        <v>0</v>
      </c>
    </row>
    <row r="1094" spans="1:29">
      <c r="A1094" s="23">
        <f>Parameters!A548</f>
        <v>0</v>
      </c>
      <c r="B1094" s="23">
        <f>Parameters!B548</f>
        <v>0</v>
      </c>
      <c r="C1094" s="24">
        <f>Parameters!C548</f>
        <v>0</v>
      </c>
      <c r="D1094" s="24">
        <f>Parameters!D548</f>
        <v>0</v>
      </c>
      <c r="E1094" s="23">
        <f>Parameters!E548</f>
        <v>0</v>
      </c>
      <c r="F1094" s="23">
        <f>Parameters!F548</f>
        <v>0</v>
      </c>
      <c r="G1094" s="25">
        <f>Parameters!G548</f>
        <v>0</v>
      </c>
      <c r="H1094" s="25">
        <f>Parameters!H548</f>
        <v>0</v>
      </c>
      <c r="I1094" s="25">
        <f>Parameters!I548</f>
        <v>0</v>
      </c>
      <c r="J1094" s="25">
        <f>Parameters!J548</f>
        <v>0</v>
      </c>
      <c r="K1094" s="25">
        <f>Parameters!K548</f>
        <v>0</v>
      </c>
      <c r="L1094" s="26" t="e">
        <f t="shared" ref="L1094" si="1635">L1095</f>
        <v>#DIV/0!</v>
      </c>
      <c r="M1094" s="25">
        <f>Parameters!L548</f>
        <v>0</v>
      </c>
      <c r="N1094" s="25">
        <f>Parameters!M548</f>
        <v>0</v>
      </c>
      <c r="O1094" s="26" t="e">
        <f t="shared" ref="O1094" si="1636">O1095</f>
        <v>#DIV/0!</v>
      </c>
      <c r="P1094" s="23">
        <f>Parameters!N548</f>
        <v>0</v>
      </c>
      <c r="Q1094" s="23">
        <f>Parameters!O548</f>
        <v>0</v>
      </c>
      <c r="R1094" s="23">
        <f>Parameters!P548</f>
        <v>0</v>
      </c>
      <c r="S1094" s="23">
        <f>Parameters!Q548</f>
        <v>0</v>
      </c>
      <c r="T1094" s="23">
        <f>Parameters!R548</f>
        <v>0</v>
      </c>
      <c r="U1094" s="27">
        <f>Parameters!S548</f>
        <v>0</v>
      </c>
      <c r="V1094" s="28">
        <f>Parameters!T548</f>
        <v>0</v>
      </c>
      <c r="W1094" s="27">
        <f>Parameters!U548</f>
        <v>0</v>
      </c>
      <c r="X1094" s="28">
        <f>Parameters!V548</f>
        <v>0</v>
      </c>
      <c r="Y1094" s="25">
        <f>Parameters!W548</f>
        <v>0</v>
      </c>
      <c r="Z1094" s="23">
        <f>Parameters!X548</f>
        <v>0</v>
      </c>
      <c r="AA1094" s="27">
        <f>Parameters!Y548</f>
        <v>0</v>
      </c>
      <c r="AB1094" s="28">
        <f>Parameters!Z548</f>
        <v>0</v>
      </c>
      <c r="AC1094" s="23">
        <f>Parameters!AA548</f>
        <v>0</v>
      </c>
    </row>
    <row r="1095" spans="1:29">
      <c r="A1095" s="29" t="str">
        <f>UPPER(A1094)</f>
        <v>0</v>
      </c>
      <c r="B1095" s="29">
        <f>B1094</f>
        <v>0</v>
      </c>
      <c r="C1095" s="30">
        <f>C1094</f>
        <v>0</v>
      </c>
      <c r="D1095" s="30">
        <f>D1094</f>
        <v>0</v>
      </c>
      <c r="E1095" s="29">
        <f>E1094</f>
        <v>0</v>
      </c>
      <c r="F1095" s="29">
        <f>F1094</f>
        <v>0</v>
      </c>
      <c r="G1095" s="29" t="e">
        <f>IF(C1094=1,IF(D1094="BUY",E1094+(ROUND(F1094*G1094/B1094,0)*B1094),E1094-(ROUND(F1094*G1094/B1094,0)*B1094)),IF(D1094="BUY",E1094-(ROUND(F1094*G1094/B1094,0)*B1094),E1094+(ROUND(F1094*G1094/B1094,0)*B1094)))</f>
        <v>#DIV/0!</v>
      </c>
      <c r="H1095" s="29" t="e">
        <f>IF(C1094=1,IF(D1094="BUY",G1095-(ROUND(F1094*H1094/B1094,0)*B1094),G1095+(ROUND(F1094*H1094/B1094,0)*B1094)),IF(D1094="BUY",G1095+(ROUND(F1094*H1094/B1094,0)*B1094),G1095-(ROUND(F1094*H1094/B1094,0)*B1094)))</f>
        <v>#DIV/0!</v>
      </c>
      <c r="I1095" s="29" t="e">
        <f>IF(D1094="BUY",G1095+(ROUND(F1094*I1094/(B1094*100),0)*B1094),G1095-(ROUND(F1094*I1094/(B1094*100),0)*B1094))</f>
        <v>#DIV/0!</v>
      </c>
      <c r="J1095" s="29" t="e">
        <f>IF(C1094=1,IF(D1094="BUY",E1094+(ROUND(F1094*J1094/B1094,0)*B1094),E1094-(ROUND(F1094*J1094/B1094,0)*B1094)),IF(D1094="BUY",E1094-(ROUND(F1094*J1094/B1094,0)*B1094),E1094+(ROUND(F1094*J1094/B1094,0)*B1094)))</f>
        <v>#DIV/0!</v>
      </c>
      <c r="K1095" s="29" t="e">
        <f>IF(C1094=1,IF(D1094="BUY",E1094-(ROUND(F1094*K1094/B1094,0)*B1094),E1094+(ROUND(F1094*K1094/B1094,0)*B1094)),IF(D1094="BUY",E1094-(ROUND(F1094*K1094/B1094,0)*B1094),E1094+(ROUND(F1094*K1094/B1094,0)*B1094)))</f>
        <v>#DIV/0!</v>
      </c>
      <c r="L1095" s="29" t="e">
        <f t="shared" ref="L1095" si="1637">IF(D1095="BUY",I1095+(R1095*B1095),I1095-(R1095*B1095))</f>
        <v>#DIV/0!</v>
      </c>
      <c r="M1095" s="29" t="e">
        <f>IF(D1094="BUY",E1094+(ROUND(F1094*M1094/B1094,0)*B1094),E1094-(ROUND(F1094*M1094/B1094,0)*B1094))</f>
        <v>#DIV/0!</v>
      </c>
      <c r="N1095" s="29" t="e">
        <f>IF(D1094="BUY",E1094-(ROUND(F1094*N1094/B1094,0)*B1094),E1094+(ROUND(F1094*N1094/B1094,0)*B1094))</f>
        <v>#DIV/0!</v>
      </c>
      <c r="O1095" s="31" t="e">
        <f>IF(D1095="BUY",N1095-VLOOKUP(A1095,Symbols!A$1:D$1000,4,FALSE),N1095+VLOOKUP(A1095,Symbols!A$1:D$1000,4,FALSE))</f>
        <v>#DIV/0!</v>
      </c>
      <c r="P1095" s="29">
        <f>P1094</f>
        <v>0</v>
      </c>
      <c r="Q1095" s="29">
        <f>Q1094</f>
        <v>0</v>
      </c>
      <c r="R1095" s="29">
        <f>R1094</f>
        <v>0</v>
      </c>
      <c r="S1095" s="29">
        <f>S1094</f>
        <v>0</v>
      </c>
      <c r="T1095" s="29">
        <f>T1094</f>
        <v>0</v>
      </c>
      <c r="U1095" s="29" t="e">
        <f>DATEDIF(DATE(1970,1,1),U1094,"D")*86400</f>
        <v>#NUM!</v>
      </c>
      <c r="V1095" s="29">
        <f>HOUR(V1094)*3600+MINUTE(V1094)*60+SECOND(V1094)</f>
        <v>0</v>
      </c>
      <c r="W1095" s="29" t="e">
        <f>DATEDIF(DATE(1970,1,1),W1094,"D")*86400</f>
        <v>#NUM!</v>
      </c>
      <c r="X1095" s="29">
        <f>HOUR(X1094)*3600+MINUTE(X1094)*60+SECOND(X1094)</f>
        <v>0</v>
      </c>
      <c r="Y1095" s="31">
        <f>(Y1094*B1095)</f>
        <v>0</v>
      </c>
      <c r="Z1095" s="29">
        <f>Z1094</f>
        <v>0</v>
      </c>
      <c r="AA1095" s="29" t="e">
        <f>DATEDIF(DATE(1970,1,1),AA1094,"D")*86400</f>
        <v>#NUM!</v>
      </c>
      <c r="AB1095" s="29">
        <f>HOUR(AB1094)*3600+MINUTE(AB1094)*60+SECOND(AB1094)</f>
        <v>0</v>
      </c>
      <c r="AC1095" s="29">
        <f>AC1094</f>
        <v>0</v>
      </c>
    </row>
    <row r="1096" spans="1:29">
      <c r="A1096" s="23">
        <f>Parameters!A549</f>
        <v>0</v>
      </c>
      <c r="B1096" s="23">
        <f>Parameters!B549</f>
        <v>0</v>
      </c>
      <c r="C1096" s="24">
        <f>Parameters!C549</f>
        <v>0</v>
      </c>
      <c r="D1096" s="24">
        <f>Parameters!D549</f>
        <v>0</v>
      </c>
      <c r="E1096" s="23">
        <f>Parameters!E549</f>
        <v>0</v>
      </c>
      <c r="F1096" s="23">
        <f>Parameters!F549</f>
        <v>0</v>
      </c>
      <c r="G1096" s="25">
        <f>Parameters!G549</f>
        <v>0</v>
      </c>
      <c r="H1096" s="25">
        <f>Parameters!H549</f>
        <v>0</v>
      </c>
      <c r="I1096" s="25">
        <f>Parameters!I549</f>
        <v>0</v>
      </c>
      <c r="J1096" s="25">
        <f>Parameters!J549</f>
        <v>0</v>
      </c>
      <c r="K1096" s="25">
        <f>Parameters!K549</f>
        <v>0</v>
      </c>
      <c r="L1096" s="26" t="e">
        <f t="shared" ref="L1096" si="1638">L1097</f>
        <v>#DIV/0!</v>
      </c>
      <c r="M1096" s="25">
        <f>Parameters!L549</f>
        <v>0</v>
      </c>
      <c r="N1096" s="25">
        <f>Parameters!M549</f>
        <v>0</v>
      </c>
      <c r="O1096" s="26" t="e">
        <f t="shared" ref="O1096" si="1639">O1097</f>
        <v>#DIV/0!</v>
      </c>
      <c r="P1096" s="23">
        <f>Parameters!N549</f>
        <v>0</v>
      </c>
      <c r="Q1096" s="23">
        <f>Parameters!O549</f>
        <v>0</v>
      </c>
      <c r="R1096" s="23">
        <f>Parameters!P549</f>
        <v>0</v>
      </c>
      <c r="S1096" s="23">
        <f>Parameters!Q549</f>
        <v>0</v>
      </c>
      <c r="T1096" s="23">
        <f>Parameters!R549</f>
        <v>0</v>
      </c>
      <c r="U1096" s="27">
        <f>Parameters!S549</f>
        <v>0</v>
      </c>
      <c r="V1096" s="28">
        <f>Parameters!T549</f>
        <v>0</v>
      </c>
      <c r="W1096" s="27">
        <f>Parameters!U549</f>
        <v>0</v>
      </c>
      <c r="X1096" s="28">
        <f>Parameters!V549</f>
        <v>0</v>
      </c>
      <c r="Y1096" s="25">
        <f>Parameters!W549</f>
        <v>0</v>
      </c>
      <c r="Z1096" s="23">
        <f>Parameters!X549</f>
        <v>0</v>
      </c>
      <c r="AA1096" s="27">
        <f>Parameters!Y549</f>
        <v>0</v>
      </c>
      <c r="AB1096" s="28">
        <f>Parameters!Z549</f>
        <v>0</v>
      </c>
      <c r="AC1096" s="23">
        <f>Parameters!AA549</f>
        <v>0</v>
      </c>
    </row>
    <row r="1097" spans="1:29">
      <c r="A1097" s="29" t="str">
        <f>UPPER(A1096)</f>
        <v>0</v>
      </c>
      <c r="B1097" s="29">
        <f>B1096</f>
        <v>0</v>
      </c>
      <c r="C1097" s="30">
        <f>C1096</f>
        <v>0</v>
      </c>
      <c r="D1097" s="30">
        <f>D1096</f>
        <v>0</v>
      </c>
      <c r="E1097" s="29">
        <f>E1096</f>
        <v>0</v>
      </c>
      <c r="F1097" s="29">
        <f>F1096</f>
        <v>0</v>
      </c>
      <c r="G1097" s="29" t="e">
        <f>IF(C1096=1,IF(D1096="BUY",E1096+(ROUND(F1096*G1096/B1096,0)*B1096),E1096-(ROUND(F1096*G1096/B1096,0)*B1096)),IF(D1096="BUY",E1096-(ROUND(F1096*G1096/B1096,0)*B1096),E1096+(ROUND(F1096*G1096/B1096,0)*B1096)))</f>
        <v>#DIV/0!</v>
      </c>
      <c r="H1097" s="29" t="e">
        <f>IF(C1096=1,IF(D1096="BUY",G1097-(ROUND(F1096*H1096/B1096,0)*B1096),G1097+(ROUND(F1096*H1096/B1096,0)*B1096)),IF(D1096="BUY",G1097+(ROUND(F1096*H1096/B1096,0)*B1096),G1097-(ROUND(F1096*H1096/B1096,0)*B1096)))</f>
        <v>#DIV/0!</v>
      </c>
      <c r="I1097" s="29" t="e">
        <f>IF(D1096="BUY",G1097+(ROUND(F1096*I1096/(B1096*100),0)*B1096),G1097-(ROUND(F1096*I1096/(B1096*100),0)*B1096))</f>
        <v>#DIV/0!</v>
      </c>
      <c r="J1097" s="29" t="e">
        <f>IF(C1096=1,IF(D1096="BUY",E1096+(ROUND(F1096*J1096/B1096,0)*B1096),E1096-(ROUND(F1096*J1096/B1096,0)*B1096)),IF(D1096="BUY",E1096-(ROUND(F1096*J1096/B1096,0)*B1096),E1096+(ROUND(F1096*J1096/B1096,0)*B1096)))</f>
        <v>#DIV/0!</v>
      </c>
      <c r="K1097" s="29" t="e">
        <f>IF(C1096=1,IF(D1096="BUY",E1096-(ROUND(F1096*K1096/B1096,0)*B1096),E1096+(ROUND(F1096*K1096/B1096,0)*B1096)),IF(D1096="BUY",E1096-(ROUND(F1096*K1096/B1096,0)*B1096),E1096+(ROUND(F1096*K1096/B1096,0)*B1096)))</f>
        <v>#DIV/0!</v>
      </c>
      <c r="L1097" s="29" t="e">
        <f t="shared" ref="L1097" si="1640">IF(D1097="BUY",I1097+(R1097*B1097),I1097-(R1097*B1097))</f>
        <v>#DIV/0!</v>
      </c>
      <c r="M1097" s="29" t="e">
        <f>IF(D1096="BUY",E1096+(ROUND(F1096*M1096/B1096,0)*B1096),E1096-(ROUND(F1096*M1096/B1096,0)*B1096))</f>
        <v>#DIV/0!</v>
      </c>
      <c r="N1097" s="29" t="e">
        <f>IF(D1096="BUY",E1096-(ROUND(F1096*N1096/B1096,0)*B1096),E1096+(ROUND(F1096*N1096/B1096,0)*B1096))</f>
        <v>#DIV/0!</v>
      </c>
      <c r="O1097" s="31" t="e">
        <f>IF(D1097="BUY",N1097-VLOOKUP(A1097,Symbols!A$1:D$1000,4,FALSE),N1097+VLOOKUP(A1097,Symbols!A$1:D$1000,4,FALSE))</f>
        <v>#DIV/0!</v>
      </c>
      <c r="P1097" s="29">
        <f>P1096</f>
        <v>0</v>
      </c>
      <c r="Q1097" s="29">
        <f>Q1096</f>
        <v>0</v>
      </c>
      <c r="R1097" s="29">
        <f>R1096</f>
        <v>0</v>
      </c>
      <c r="S1097" s="29">
        <f>S1096</f>
        <v>0</v>
      </c>
      <c r="T1097" s="29">
        <f>T1096</f>
        <v>0</v>
      </c>
      <c r="U1097" s="29" t="e">
        <f>DATEDIF(DATE(1970,1,1),U1096,"D")*86400</f>
        <v>#NUM!</v>
      </c>
      <c r="V1097" s="29">
        <f>HOUR(V1096)*3600+MINUTE(V1096)*60+SECOND(V1096)</f>
        <v>0</v>
      </c>
      <c r="W1097" s="29" t="e">
        <f>DATEDIF(DATE(1970,1,1),W1096,"D")*86400</f>
        <v>#NUM!</v>
      </c>
      <c r="X1097" s="29">
        <f>HOUR(X1096)*3600+MINUTE(X1096)*60+SECOND(X1096)</f>
        <v>0</v>
      </c>
      <c r="Y1097" s="31">
        <f>(Y1096*B1097)</f>
        <v>0</v>
      </c>
      <c r="Z1097" s="29">
        <f>Z1096</f>
        <v>0</v>
      </c>
      <c r="AA1097" s="29" t="e">
        <f>DATEDIF(DATE(1970,1,1),AA1096,"D")*86400</f>
        <v>#NUM!</v>
      </c>
      <c r="AB1097" s="29">
        <f>HOUR(AB1096)*3600+MINUTE(AB1096)*60+SECOND(AB1096)</f>
        <v>0</v>
      </c>
      <c r="AC1097" s="29">
        <f>AC1096</f>
        <v>0</v>
      </c>
    </row>
    <row r="1098" spans="1:29">
      <c r="A1098" s="23">
        <f>Parameters!A550</f>
        <v>0</v>
      </c>
      <c r="B1098" s="23">
        <f>Parameters!B550</f>
        <v>0</v>
      </c>
      <c r="C1098" s="24">
        <f>Parameters!C550</f>
        <v>0</v>
      </c>
      <c r="D1098" s="24">
        <f>Parameters!D550</f>
        <v>0</v>
      </c>
      <c r="E1098" s="23">
        <f>Parameters!E550</f>
        <v>0</v>
      </c>
      <c r="F1098" s="23">
        <f>Parameters!F550</f>
        <v>0</v>
      </c>
      <c r="G1098" s="25">
        <f>Parameters!G550</f>
        <v>0</v>
      </c>
      <c r="H1098" s="25">
        <f>Parameters!H550</f>
        <v>0</v>
      </c>
      <c r="I1098" s="25">
        <f>Parameters!I550</f>
        <v>0</v>
      </c>
      <c r="J1098" s="25">
        <f>Parameters!J550</f>
        <v>0</v>
      </c>
      <c r="K1098" s="25">
        <f>Parameters!K550</f>
        <v>0</v>
      </c>
      <c r="L1098" s="26" t="e">
        <f t="shared" ref="L1098" si="1641">L1099</f>
        <v>#DIV/0!</v>
      </c>
      <c r="M1098" s="25">
        <f>Parameters!L550</f>
        <v>0</v>
      </c>
      <c r="N1098" s="25">
        <f>Parameters!M550</f>
        <v>0</v>
      </c>
      <c r="O1098" s="26" t="e">
        <f t="shared" ref="O1098" si="1642">O1099</f>
        <v>#DIV/0!</v>
      </c>
      <c r="P1098" s="23">
        <f>Parameters!N550</f>
        <v>0</v>
      </c>
      <c r="Q1098" s="23">
        <f>Parameters!O550</f>
        <v>0</v>
      </c>
      <c r="R1098" s="23">
        <f>Parameters!P550</f>
        <v>0</v>
      </c>
      <c r="S1098" s="23">
        <f>Parameters!Q550</f>
        <v>0</v>
      </c>
      <c r="T1098" s="23">
        <f>Parameters!R550</f>
        <v>0</v>
      </c>
      <c r="U1098" s="27">
        <f>Parameters!S550</f>
        <v>0</v>
      </c>
      <c r="V1098" s="28">
        <f>Parameters!T550</f>
        <v>0</v>
      </c>
      <c r="W1098" s="27">
        <f>Parameters!U550</f>
        <v>0</v>
      </c>
      <c r="X1098" s="28">
        <f>Parameters!V550</f>
        <v>0</v>
      </c>
      <c r="Y1098" s="25">
        <f>Parameters!W550</f>
        <v>0</v>
      </c>
      <c r="Z1098" s="23">
        <f>Parameters!X550</f>
        <v>0</v>
      </c>
      <c r="AA1098" s="27">
        <f>Parameters!Y550</f>
        <v>0</v>
      </c>
      <c r="AB1098" s="28">
        <f>Parameters!Z550</f>
        <v>0</v>
      </c>
      <c r="AC1098" s="23">
        <f>Parameters!AA550</f>
        <v>0</v>
      </c>
    </row>
    <row r="1099" spans="1:29">
      <c r="A1099" s="29" t="str">
        <f>UPPER(A1098)</f>
        <v>0</v>
      </c>
      <c r="B1099" s="29">
        <f>B1098</f>
        <v>0</v>
      </c>
      <c r="C1099" s="30">
        <f>C1098</f>
        <v>0</v>
      </c>
      <c r="D1099" s="30">
        <f>D1098</f>
        <v>0</v>
      </c>
      <c r="E1099" s="29">
        <f>E1098</f>
        <v>0</v>
      </c>
      <c r="F1099" s="29">
        <f>F1098</f>
        <v>0</v>
      </c>
      <c r="G1099" s="29" t="e">
        <f>IF(C1098=1,IF(D1098="BUY",E1098+(ROUND(F1098*G1098/B1098,0)*B1098),E1098-(ROUND(F1098*G1098/B1098,0)*B1098)),IF(D1098="BUY",E1098-(ROUND(F1098*G1098/B1098,0)*B1098),E1098+(ROUND(F1098*G1098/B1098,0)*B1098)))</f>
        <v>#DIV/0!</v>
      </c>
      <c r="H1099" s="29" t="e">
        <f>IF(C1098=1,IF(D1098="BUY",G1099-(ROUND(F1098*H1098/B1098,0)*B1098),G1099+(ROUND(F1098*H1098/B1098,0)*B1098)),IF(D1098="BUY",G1099+(ROUND(F1098*H1098/B1098,0)*B1098),G1099-(ROUND(F1098*H1098/B1098,0)*B1098)))</f>
        <v>#DIV/0!</v>
      </c>
      <c r="I1099" s="29" t="e">
        <f>IF(D1098="BUY",G1099+(ROUND(F1098*I1098/(B1098*100),0)*B1098),G1099-(ROUND(F1098*I1098/(B1098*100),0)*B1098))</f>
        <v>#DIV/0!</v>
      </c>
      <c r="J1099" s="29" t="e">
        <f>IF(C1098=1,IF(D1098="BUY",E1098+(ROUND(F1098*J1098/B1098,0)*B1098),E1098-(ROUND(F1098*J1098/B1098,0)*B1098)),IF(D1098="BUY",E1098-(ROUND(F1098*J1098/B1098,0)*B1098),E1098+(ROUND(F1098*J1098/B1098,0)*B1098)))</f>
        <v>#DIV/0!</v>
      </c>
      <c r="K1099" s="29" t="e">
        <f>IF(C1098=1,IF(D1098="BUY",E1098-(ROUND(F1098*K1098/B1098,0)*B1098),E1098+(ROUND(F1098*K1098/B1098,0)*B1098)),IF(D1098="BUY",E1098-(ROUND(F1098*K1098/B1098,0)*B1098),E1098+(ROUND(F1098*K1098/B1098,0)*B1098)))</f>
        <v>#DIV/0!</v>
      </c>
      <c r="L1099" s="29" t="e">
        <f t="shared" ref="L1099" si="1643">IF(D1099="BUY",I1099+(R1099*B1099),I1099-(R1099*B1099))</f>
        <v>#DIV/0!</v>
      </c>
      <c r="M1099" s="29" t="e">
        <f>IF(D1098="BUY",E1098+(ROUND(F1098*M1098/B1098,0)*B1098),E1098-(ROUND(F1098*M1098/B1098,0)*B1098))</f>
        <v>#DIV/0!</v>
      </c>
      <c r="N1099" s="29" t="e">
        <f>IF(D1098="BUY",E1098-(ROUND(F1098*N1098/B1098,0)*B1098),E1098+(ROUND(F1098*N1098/B1098,0)*B1098))</f>
        <v>#DIV/0!</v>
      </c>
      <c r="O1099" s="31" t="e">
        <f>IF(D1099="BUY",N1099-VLOOKUP(A1099,Symbols!A$1:D$1000,4,FALSE),N1099+VLOOKUP(A1099,Symbols!A$1:D$1000,4,FALSE))</f>
        <v>#DIV/0!</v>
      </c>
      <c r="P1099" s="29">
        <f>P1098</f>
        <v>0</v>
      </c>
      <c r="Q1099" s="29">
        <f>Q1098</f>
        <v>0</v>
      </c>
      <c r="R1099" s="29">
        <f>R1098</f>
        <v>0</v>
      </c>
      <c r="S1099" s="29">
        <f>S1098</f>
        <v>0</v>
      </c>
      <c r="T1099" s="29">
        <f>T1098</f>
        <v>0</v>
      </c>
      <c r="U1099" s="29" t="e">
        <f>DATEDIF(DATE(1970,1,1),U1098,"D")*86400</f>
        <v>#NUM!</v>
      </c>
      <c r="V1099" s="29">
        <f>HOUR(V1098)*3600+MINUTE(V1098)*60+SECOND(V1098)</f>
        <v>0</v>
      </c>
      <c r="W1099" s="29" t="e">
        <f>DATEDIF(DATE(1970,1,1),W1098,"D")*86400</f>
        <v>#NUM!</v>
      </c>
      <c r="X1099" s="29">
        <f>HOUR(X1098)*3600+MINUTE(X1098)*60+SECOND(X1098)</f>
        <v>0</v>
      </c>
      <c r="Y1099" s="31">
        <f>(Y1098*B1099)</f>
        <v>0</v>
      </c>
      <c r="Z1099" s="29">
        <f>Z1098</f>
        <v>0</v>
      </c>
      <c r="AA1099" s="29" t="e">
        <f>DATEDIF(DATE(1970,1,1),AA1098,"D")*86400</f>
        <v>#NUM!</v>
      </c>
      <c r="AB1099" s="29">
        <f>HOUR(AB1098)*3600+MINUTE(AB1098)*60+SECOND(AB1098)</f>
        <v>0</v>
      </c>
      <c r="AC1099" s="29">
        <f>AC1098</f>
        <v>0</v>
      </c>
    </row>
    <row r="1100" spans="1:29">
      <c r="A1100" s="23">
        <f>Parameters!A551</f>
        <v>0</v>
      </c>
      <c r="B1100" s="23">
        <f>Parameters!B551</f>
        <v>0</v>
      </c>
      <c r="C1100" s="24">
        <f>Parameters!C551</f>
        <v>0</v>
      </c>
      <c r="D1100" s="24">
        <f>Parameters!D551</f>
        <v>0</v>
      </c>
      <c r="E1100" s="23">
        <f>Parameters!E551</f>
        <v>0</v>
      </c>
      <c r="F1100" s="23">
        <f>Parameters!F551</f>
        <v>0</v>
      </c>
      <c r="G1100" s="25">
        <f>Parameters!G551</f>
        <v>0</v>
      </c>
      <c r="H1100" s="25">
        <f>Parameters!H551</f>
        <v>0</v>
      </c>
      <c r="I1100" s="25">
        <f>Parameters!I551</f>
        <v>0</v>
      </c>
      <c r="J1100" s="25">
        <f>Parameters!J551</f>
        <v>0</v>
      </c>
      <c r="K1100" s="25">
        <f>Parameters!K551</f>
        <v>0</v>
      </c>
      <c r="L1100" s="26" t="e">
        <f t="shared" ref="L1100" si="1644">L1101</f>
        <v>#DIV/0!</v>
      </c>
      <c r="M1100" s="25">
        <f>Parameters!L551</f>
        <v>0</v>
      </c>
      <c r="N1100" s="25">
        <f>Parameters!M551</f>
        <v>0</v>
      </c>
      <c r="O1100" s="26" t="e">
        <f t="shared" ref="O1100" si="1645">O1101</f>
        <v>#DIV/0!</v>
      </c>
      <c r="P1100" s="23">
        <f>Parameters!N551</f>
        <v>0</v>
      </c>
      <c r="Q1100" s="23">
        <f>Parameters!O551</f>
        <v>0</v>
      </c>
      <c r="R1100" s="23">
        <f>Parameters!P551</f>
        <v>0</v>
      </c>
      <c r="S1100" s="23">
        <f>Parameters!Q551</f>
        <v>0</v>
      </c>
      <c r="T1100" s="23">
        <f>Parameters!R551</f>
        <v>0</v>
      </c>
      <c r="U1100" s="27">
        <f>Parameters!S551</f>
        <v>0</v>
      </c>
      <c r="V1100" s="28">
        <f>Parameters!T551</f>
        <v>0</v>
      </c>
      <c r="W1100" s="27">
        <f>Parameters!U551</f>
        <v>0</v>
      </c>
      <c r="X1100" s="28">
        <f>Parameters!V551</f>
        <v>0</v>
      </c>
      <c r="Y1100" s="25">
        <f>Parameters!W551</f>
        <v>0</v>
      </c>
      <c r="Z1100" s="23">
        <f>Parameters!X551</f>
        <v>0</v>
      </c>
      <c r="AA1100" s="27">
        <f>Parameters!Y551</f>
        <v>0</v>
      </c>
      <c r="AB1100" s="28">
        <f>Parameters!Z551</f>
        <v>0</v>
      </c>
      <c r="AC1100" s="23">
        <f>Parameters!AA551</f>
        <v>0</v>
      </c>
    </row>
    <row r="1101" spans="1:29">
      <c r="A1101" s="29" t="str">
        <f>UPPER(A1100)</f>
        <v>0</v>
      </c>
      <c r="B1101" s="29">
        <f>B1100</f>
        <v>0</v>
      </c>
      <c r="C1101" s="30">
        <f>C1100</f>
        <v>0</v>
      </c>
      <c r="D1101" s="30">
        <f>D1100</f>
        <v>0</v>
      </c>
      <c r="E1101" s="29">
        <f>E1100</f>
        <v>0</v>
      </c>
      <c r="F1101" s="29">
        <f>F1100</f>
        <v>0</v>
      </c>
      <c r="G1101" s="29" t="e">
        <f>IF(C1100=1,IF(D1100="BUY",E1100+(ROUND(F1100*G1100/B1100,0)*B1100),E1100-(ROUND(F1100*G1100/B1100,0)*B1100)),IF(D1100="BUY",E1100-(ROUND(F1100*G1100/B1100,0)*B1100),E1100+(ROUND(F1100*G1100/B1100,0)*B1100)))</f>
        <v>#DIV/0!</v>
      </c>
      <c r="H1101" s="29" t="e">
        <f>IF(C1100=1,IF(D1100="BUY",G1101-(ROUND(F1100*H1100/B1100,0)*B1100),G1101+(ROUND(F1100*H1100/B1100,0)*B1100)),IF(D1100="BUY",G1101+(ROUND(F1100*H1100/B1100,0)*B1100),G1101-(ROUND(F1100*H1100/B1100,0)*B1100)))</f>
        <v>#DIV/0!</v>
      </c>
      <c r="I1101" s="29" t="e">
        <f>IF(D1100="BUY",G1101+(ROUND(F1100*I1100/(B1100*100),0)*B1100),G1101-(ROUND(F1100*I1100/(B1100*100),0)*B1100))</f>
        <v>#DIV/0!</v>
      </c>
      <c r="J1101" s="29" t="e">
        <f>IF(C1100=1,IF(D1100="BUY",E1100+(ROUND(F1100*J1100/B1100,0)*B1100),E1100-(ROUND(F1100*J1100/B1100,0)*B1100)),IF(D1100="BUY",E1100-(ROUND(F1100*J1100/B1100,0)*B1100),E1100+(ROUND(F1100*J1100/B1100,0)*B1100)))</f>
        <v>#DIV/0!</v>
      </c>
      <c r="K1101" s="29" t="e">
        <f>IF(C1100=1,IF(D1100="BUY",E1100-(ROUND(F1100*K1100/B1100,0)*B1100),E1100+(ROUND(F1100*K1100/B1100,0)*B1100)),IF(D1100="BUY",E1100-(ROUND(F1100*K1100/B1100,0)*B1100),E1100+(ROUND(F1100*K1100/B1100,0)*B1100)))</f>
        <v>#DIV/0!</v>
      </c>
      <c r="L1101" s="29" t="e">
        <f t="shared" ref="L1101" si="1646">IF(D1101="BUY",I1101+(R1101*B1101),I1101-(R1101*B1101))</f>
        <v>#DIV/0!</v>
      </c>
      <c r="M1101" s="29" t="e">
        <f>IF(D1100="BUY",E1100+(ROUND(F1100*M1100/B1100,0)*B1100),E1100-(ROUND(F1100*M1100/B1100,0)*B1100))</f>
        <v>#DIV/0!</v>
      </c>
      <c r="N1101" s="29" t="e">
        <f>IF(D1100="BUY",E1100-(ROUND(F1100*N1100/B1100,0)*B1100),E1100+(ROUND(F1100*N1100/B1100,0)*B1100))</f>
        <v>#DIV/0!</v>
      </c>
      <c r="O1101" s="31" t="e">
        <f>IF(D1101="BUY",N1101-VLOOKUP(A1101,Symbols!A$1:D$1000,4,FALSE),N1101+VLOOKUP(A1101,Symbols!A$1:D$1000,4,FALSE))</f>
        <v>#DIV/0!</v>
      </c>
      <c r="P1101" s="29">
        <f>P1100</f>
        <v>0</v>
      </c>
      <c r="Q1101" s="29">
        <f>Q1100</f>
        <v>0</v>
      </c>
      <c r="R1101" s="29">
        <f>R1100</f>
        <v>0</v>
      </c>
      <c r="S1101" s="29">
        <f>S1100</f>
        <v>0</v>
      </c>
      <c r="T1101" s="29">
        <f>T1100</f>
        <v>0</v>
      </c>
      <c r="U1101" s="29" t="e">
        <f>DATEDIF(DATE(1970,1,1),U1100,"D")*86400</f>
        <v>#NUM!</v>
      </c>
      <c r="V1101" s="29">
        <f>HOUR(V1100)*3600+MINUTE(V1100)*60+SECOND(V1100)</f>
        <v>0</v>
      </c>
      <c r="W1101" s="29" t="e">
        <f>DATEDIF(DATE(1970,1,1),W1100,"D")*86400</f>
        <v>#NUM!</v>
      </c>
      <c r="X1101" s="29">
        <f>HOUR(X1100)*3600+MINUTE(X1100)*60+SECOND(X1100)</f>
        <v>0</v>
      </c>
      <c r="Y1101" s="31">
        <f>(Y1100*B1101)</f>
        <v>0</v>
      </c>
      <c r="Z1101" s="29">
        <f>Z1100</f>
        <v>0</v>
      </c>
      <c r="AA1101" s="29" t="e">
        <f>DATEDIF(DATE(1970,1,1),AA1100,"D")*86400</f>
        <v>#NUM!</v>
      </c>
      <c r="AB1101" s="29">
        <f>HOUR(AB1100)*3600+MINUTE(AB1100)*60+SECOND(AB1100)</f>
        <v>0</v>
      </c>
      <c r="AC1101" s="29">
        <f>AC1100</f>
        <v>0</v>
      </c>
    </row>
    <row r="1102" spans="1:29">
      <c r="A1102" s="23">
        <f>Parameters!A552</f>
        <v>0</v>
      </c>
      <c r="B1102" s="23">
        <f>Parameters!B552</f>
        <v>0</v>
      </c>
      <c r="C1102" s="24">
        <f>Parameters!C552</f>
        <v>0</v>
      </c>
      <c r="D1102" s="24">
        <f>Parameters!D552</f>
        <v>0</v>
      </c>
      <c r="E1102" s="23">
        <f>Parameters!E552</f>
        <v>0</v>
      </c>
      <c r="F1102" s="23">
        <f>Parameters!F552</f>
        <v>0</v>
      </c>
      <c r="G1102" s="25">
        <f>Parameters!G552</f>
        <v>0</v>
      </c>
      <c r="H1102" s="25">
        <f>Parameters!H552</f>
        <v>0</v>
      </c>
      <c r="I1102" s="25">
        <f>Parameters!I552</f>
        <v>0</v>
      </c>
      <c r="J1102" s="25">
        <f>Parameters!J552</f>
        <v>0</v>
      </c>
      <c r="K1102" s="25">
        <f>Parameters!K552</f>
        <v>0</v>
      </c>
      <c r="L1102" s="26" t="e">
        <f t="shared" ref="L1102" si="1647">L1103</f>
        <v>#DIV/0!</v>
      </c>
      <c r="M1102" s="25">
        <f>Parameters!L552</f>
        <v>0</v>
      </c>
      <c r="N1102" s="25">
        <f>Parameters!M552</f>
        <v>0</v>
      </c>
      <c r="O1102" s="26" t="e">
        <f t="shared" ref="O1102" si="1648">O1103</f>
        <v>#DIV/0!</v>
      </c>
      <c r="P1102" s="23">
        <f>Parameters!N552</f>
        <v>0</v>
      </c>
      <c r="Q1102" s="23">
        <f>Parameters!O552</f>
        <v>0</v>
      </c>
      <c r="R1102" s="23">
        <f>Parameters!P552</f>
        <v>0</v>
      </c>
      <c r="S1102" s="23">
        <f>Parameters!Q552</f>
        <v>0</v>
      </c>
      <c r="T1102" s="23">
        <f>Parameters!R552</f>
        <v>0</v>
      </c>
      <c r="U1102" s="27">
        <f>Parameters!S552</f>
        <v>0</v>
      </c>
      <c r="V1102" s="28">
        <f>Parameters!T552</f>
        <v>0</v>
      </c>
      <c r="W1102" s="27">
        <f>Parameters!U552</f>
        <v>0</v>
      </c>
      <c r="X1102" s="28">
        <f>Parameters!V552</f>
        <v>0</v>
      </c>
      <c r="Y1102" s="25">
        <f>Parameters!W552</f>
        <v>0</v>
      </c>
      <c r="Z1102" s="23">
        <f>Parameters!X552</f>
        <v>0</v>
      </c>
      <c r="AA1102" s="27">
        <f>Parameters!Y552</f>
        <v>0</v>
      </c>
      <c r="AB1102" s="28">
        <f>Parameters!Z552</f>
        <v>0</v>
      </c>
      <c r="AC1102" s="23">
        <f>Parameters!AA552</f>
        <v>0</v>
      </c>
    </row>
    <row r="1103" spans="1:29">
      <c r="A1103" s="29" t="str">
        <f>UPPER(A1102)</f>
        <v>0</v>
      </c>
      <c r="B1103" s="29">
        <f>B1102</f>
        <v>0</v>
      </c>
      <c r="C1103" s="30">
        <f>C1102</f>
        <v>0</v>
      </c>
      <c r="D1103" s="30">
        <f>D1102</f>
        <v>0</v>
      </c>
      <c r="E1103" s="29">
        <f>E1102</f>
        <v>0</v>
      </c>
      <c r="F1103" s="29">
        <f>F1102</f>
        <v>0</v>
      </c>
      <c r="G1103" s="29" t="e">
        <f>IF(C1102=1,IF(D1102="BUY",E1102+(ROUND(F1102*G1102/B1102,0)*B1102),E1102-(ROUND(F1102*G1102/B1102,0)*B1102)),IF(D1102="BUY",E1102-(ROUND(F1102*G1102/B1102,0)*B1102),E1102+(ROUND(F1102*G1102/B1102,0)*B1102)))</f>
        <v>#DIV/0!</v>
      </c>
      <c r="H1103" s="29" t="e">
        <f>IF(C1102=1,IF(D1102="BUY",G1103-(ROUND(F1102*H1102/B1102,0)*B1102),G1103+(ROUND(F1102*H1102/B1102,0)*B1102)),IF(D1102="BUY",G1103+(ROUND(F1102*H1102/B1102,0)*B1102),G1103-(ROUND(F1102*H1102/B1102,0)*B1102)))</f>
        <v>#DIV/0!</v>
      </c>
      <c r="I1103" s="29" t="e">
        <f>IF(D1102="BUY",G1103+(ROUND(F1102*I1102/(B1102*100),0)*B1102),G1103-(ROUND(F1102*I1102/(B1102*100),0)*B1102))</f>
        <v>#DIV/0!</v>
      </c>
      <c r="J1103" s="29" t="e">
        <f>IF(C1102=1,IF(D1102="BUY",E1102+(ROUND(F1102*J1102/B1102,0)*B1102),E1102-(ROUND(F1102*J1102/B1102,0)*B1102)),IF(D1102="BUY",E1102-(ROUND(F1102*J1102/B1102,0)*B1102),E1102+(ROUND(F1102*J1102/B1102,0)*B1102)))</f>
        <v>#DIV/0!</v>
      </c>
      <c r="K1103" s="29" t="e">
        <f>IF(C1102=1,IF(D1102="BUY",E1102-(ROUND(F1102*K1102/B1102,0)*B1102),E1102+(ROUND(F1102*K1102/B1102,0)*B1102)),IF(D1102="BUY",E1102-(ROUND(F1102*K1102/B1102,0)*B1102),E1102+(ROUND(F1102*K1102/B1102,0)*B1102)))</f>
        <v>#DIV/0!</v>
      </c>
      <c r="L1103" s="29" t="e">
        <f t="shared" ref="L1103" si="1649">IF(D1103="BUY",I1103+(R1103*B1103),I1103-(R1103*B1103))</f>
        <v>#DIV/0!</v>
      </c>
      <c r="M1103" s="29" t="e">
        <f>IF(D1102="BUY",E1102+(ROUND(F1102*M1102/B1102,0)*B1102),E1102-(ROUND(F1102*M1102/B1102,0)*B1102))</f>
        <v>#DIV/0!</v>
      </c>
      <c r="N1103" s="29" t="e">
        <f>IF(D1102="BUY",E1102-(ROUND(F1102*N1102/B1102,0)*B1102),E1102+(ROUND(F1102*N1102/B1102,0)*B1102))</f>
        <v>#DIV/0!</v>
      </c>
      <c r="O1103" s="31" t="e">
        <f>IF(D1103="BUY",N1103-VLOOKUP(A1103,Symbols!A$1:D$1000,4,FALSE),N1103+VLOOKUP(A1103,Symbols!A$1:D$1000,4,FALSE))</f>
        <v>#DIV/0!</v>
      </c>
      <c r="P1103" s="29">
        <f>P1102</f>
        <v>0</v>
      </c>
      <c r="Q1103" s="29">
        <f>Q1102</f>
        <v>0</v>
      </c>
      <c r="R1103" s="29">
        <f>R1102</f>
        <v>0</v>
      </c>
      <c r="S1103" s="29">
        <f>S1102</f>
        <v>0</v>
      </c>
      <c r="T1103" s="29">
        <f>T1102</f>
        <v>0</v>
      </c>
      <c r="U1103" s="29" t="e">
        <f>DATEDIF(DATE(1970,1,1),U1102,"D")*86400</f>
        <v>#NUM!</v>
      </c>
      <c r="V1103" s="29">
        <f>HOUR(V1102)*3600+MINUTE(V1102)*60+SECOND(V1102)</f>
        <v>0</v>
      </c>
      <c r="W1103" s="29" t="e">
        <f>DATEDIF(DATE(1970,1,1),W1102,"D")*86400</f>
        <v>#NUM!</v>
      </c>
      <c r="X1103" s="29">
        <f>HOUR(X1102)*3600+MINUTE(X1102)*60+SECOND(X1102)</f>
        <v>0</v>
      </c>
      <c r="Y1103" s="31">
        <f>(Y1102*B1103)</f>
        <v>0</v>
      </c>
      <c r="Z1103" s="29">
        <f>Z1102</f>
        <v>0</v>
      </c>
      <c r="AA1103" s="29" t="e">
        <f>DATEDIF(DATE(1970,1,1),AA1102,"D")*86400</f>
        <v>#NUM!</v>
      </c>
      <c r="AB1103" s="29">
        <f>HOUR(AB1102)*3600+MINUTE(AB1102)*60+SECOND(AB1102)</f>
        <v>0</v>
      </c>
      <c r="AC1103" s="29">
        <f>AC1102</f>
        <v>0</v>
      </c>
    </row>
    <row r="1104" spans="1:29">
      <c r="A1104" s="23">
        <f>Parameters!A553</f>
        <v>0</v>
      </c>
      <c r="B1104" s="23">
        <f>Parameters!B553</f>
        <v>0</v>
      </c>
      <c r="C1104" s="24">
        <f>Parameters!C553</f>
        <v>0</v>
      </c>
      <c r="D1104" s="24">
        <f>Parameters!D553</f>
        <v>0</v>
      </c>
      <c r="E1104" s="23">
        <f>Parameters!E553</f>
        <v>0</v>
      </c>
      <c r="F1104" s="23">
        <f>Parameters!F553</f>
        <v>0</v>
      </c>
      <c r="G1104" s="25">
        <f>Parameters!G553</f>
        <v>0</v>
      </c>
      <c r="H1104" s="25">
        <f>Parameters!H553</f>
        <v>0</v>
      </c>
      <c r="I1104" s="25">
        <f>Parameters!I553</f>
        <v>0</v>
      </c>
      <c r="J1104" s="25">
        <f>Parameters!J553</f>
        <v>0</v>
      </c>
      <c r="K1104" s="25">
        <f>Parameters!K553</f>
        <v>0</v>
      </c>
      <c r="L1104" s="26" t="e">
        <f t="shared" ref="L1104" si="1650">L1105</f>
        <v>#DIV/0!</v>
      </c>
      <c r="M1104" s="25">
        <f>Parameters!L553</f>
        <v>0</v>
      </c>
      <c r="N1104" s="25">
        <f>Parameters!M553</f>
        <v>0</v>
      </c>
      <c r="O1104" s="26" t="e">
        <f t="shared" ref="O1104" si="1651">O1105</f>
        <v>#DIV/0!</v>
      </c>
      <c r="P1104" s="23">
        <f>Parameters!N553</f>
        <v>0</v>
      </c>
      <c r="Q1104" s="23">
        <f>Parameters!O553</f>
        <v>0</v>
      </c>
      <c r="R1104" s="23">
        <f>Parameters!P553</f>
        <v>0</v>
      </c>
      <c r="S1104" s="23">
        <f>Parameters!Q553</f>
        <v>0</v>
      </c>
      <c r="T1104" s="23">
        <f>Parameters!R553</f>
        <v>0</v>
      </c>
      <c r="U1104" s="27">
        <f>Parameters!S553</f>
        <v>0</v>
      </c>
      <c r="V1104" s="28">
        <f>Parameters!T553</f>
        <v>0</v>
      </c>
      <c r="W1104" s="27">
        <f>Parameters!U553</f>
        <v>0</v>
      </c>
      <c r="X1104" s="28">
        <f>Parameters!V553</f>
        <v>0</v>
      </c>
      <c r="Y1104" s="25">
        <f>Parameters!W553</f>
        <v>0</v>
      </c>
      <c r="Z1104" s="23">
        <f>Parameters!X553</f>
        <v>0</v>
      </c>
      <c r="AA1104" s="27">
        <f>Parameters!Y553</f>
        <v>0</v>
      </c>
      <c r="AB1104" s="28">
        <f>Parameters!Z553</f>
        <v>0</v>
      </c>
      <c r="AC1104" s="23">
        <f>Parameters!AA553</f>
        <v>0</v>
      </c>
    </row>
    <row r="1105" spans="1:29">
      <c r="A1105" s="29" t="str">
        <f>UPPER(A1104)</f>
        <v>0</v>
      </c>
      <c r="B1105" s="29">
        <f>B1104</f>
        <v>0</v>
      </c>
      <c r="C1105" s="30">
        <f>C1104</f>
        <v>0</v>
      </c>
      <c r="D1105" s="30">
        <f>D1104</f>
        <v>0</v>
      </c>
      <c r="E1105" s="29">
        <f>E1104</f>
        <v>0</v>
      </c>
      <c r="F1105" s="29">
        <f>F1104</f>
        <v>0</v>
      </c>
      <c r="G1105" s="29" t="e">
        <f>IF(C1104=1,IF(D1104="BUY",E1104+(ROUND(F1104*G1104/B1104,0)*B1104),E1104-(ROUND(F1104*G1104/B1104,0)*B1104)),IF(D1104="BUY",E1104-(ROUND(F1104*G1104/B1104,0)*B1104),E1104+(ROUND(F1104*G1104/B1104,0)*B1104)))</f>
        <v>#DIV/0!</v>
      </c>
      <c r="H1105" s="29" t="e">
        <f>IF(C1104=1,IF(D1104="BUY",G1105-(ROUND(F1104*H1104/B1104,0)*B1104),G1105+(ROUND(F1104*H1104/B1104,0)*B1104)),IF(D1104="BUY",G1105+(ROUND(F1104*H1104/B1104,0)*B1104),G1105-(ROUND(F1104*H1104/B1104,0)*B1104)))</f>
        <v>#DIV/0!</v>
      </c>
      <c r="I1105" s="29" t="e">
        <f>IF(D1104="BUY",G1105+(ROUND(F1104*I1104/(B1104*100),0)*B1104),G1105-(ROUND(F1104*I1104/(B1104*100),0)*B1104))</f>
        <v>#DIV/0!</v>
      </c>
      <c r="J1105" s="29" t="e">
        <f>IF(C1104=1,IF(D1104="BUY",E1104+(ROUND(F1104*J1104/B1104,0)*B1104),E1104-(ROUND(F1104*J1104/B1104,0)*B1104)),IF(D1104="BUY",E1104-(ROUND(F1104*J1104/B1104,0)*B1104),E1104+(ROUND(F1104*J1104/B1104,0)*B1104)))</f>
        <v>#DIV/0!</v>
      </c>
      <c r="K1105" s="29" t="e">
        <f>IF(C1104=1,IF(D1104="BUY",E1104-(ROUND(F1104*K1104/B1104,0)*B1104),E1104+(ROUND(F1104*K1104/B1104,0)*B1104)),IF(D1104="BUY",E1104-(ROUND(F1104*K1104/B1104,0)*B1104),E1104+(ROUND(F1104*K1104/B1104,0)*B1104)))</f>
        <v>#DIV/0!</v>
      </c>
      <c r="L1105" s="29" t="e">
        <f t="shared" ref="L1105" si="1652">IF(D1105="BUY",I1105+(R1105*B1105),I1105-(R1105*B1105))</f>
        <v>#DIV/0!</v>
      </c>
      <c r="M1105" s="29" t="e">
        <f>IF(D1104="BUY",E1104+(ROUND(F1104*M1104/B1104,0)*B1104),E1104-(ROUND(F1104*M1104/B1104,0)*B1104))</f>
        <v>#DIV/0!</v>
      </c>
      <c r="N1105" s="29" t="e">
        <f>IF(D1104="BUY",E1104-(ROUND(F1104*N1104/B1104,0)*B1104),E1104+(ROUND(F1104*N1104/B1104,0)*B1104))</f>
        <v>#DIV/0!</v>
      </c>
      <c r="O1105" s="31" t="e">
        <f>IF(D1105="BUY",N1105-VLOOKUP(A1105,Symbols!A$1:D$1000,4,FALSE),N1105+VLOOKUP(A1105,Symbols!A$1:D$1000,4,FALSE))</f>
        <v>#DIV/0!</v>
      </c>
      <c r="P1105" s="29">
        <f>P1104</f>
        <v>0</v>
      </c>
      <c r="Q1105" s="29">
        <f>Q1104</f>
        <v>0</v>
      </c>
      <c r="R1105" s="29">
        <f>R1104</f>
        <v>0</v>
      </c>
      <c r="S1105" s="29">
        <f>S1104</f>
        <v>0</v>
      </c>
      <c r="T1105" s="29">
        <f>T1104</f>
        <v>0</v>
      </c>
      <c r="U1105" s="29" t="e">
        <f>DATEDIF(DATE(1970,1,1),U1104,"D")*86400</f>
        <v>#NUM!</v>
      </c>
      <c r="V1105" s="29">
        <f>HOUR(V1104)*3600+MINUTE(V1104)*60+SECOND(V1104)</f>
        <v>0</v>
      </c>
      <c r="W1105" s="29" t="e">
        <f>DATEDIF(DATE(1970,1,1),W1104,"D")*86400</f>
        <v>#NUM!</v>
      </c>
      <c r="X1105" s="29">
        <f>HOUR(X1104)*3600+MINUTE(X1104)*60+SECOND(X1104)</f>
        <v>0</v>
      </c>
      <c r="Y1105" s="31">
        <f>(Y1104*B1105)</f>
        <v>0</v>
      </c>
      <c r="Z1105" s="29">
        <f>Z1104</f>
        <v>0</v>
      </c>
      <c r="AA1105" s="29" t="e">
        <f>DATEDIF(DATE(1970,1,1),AA1104,"D")*86400</f>
        <v>#NUM!</v>
      </c>
      <c r="AB1105" s="29">
        <f>HOUR(AB1104)*3600+MINUTE(AB1104)*60+SECOND(AB1104)</f>
        <v>0</v>
      </c>
      <c r="AC1105" s="29">
        <f>AC1104</f>
        <v>0</v>
      </c>
    </row>
    <row r="1106" spans="1:29">
      <c r="A1106" s="23">
        <f>Parameters!A554</f>
        <v>0</v>
      </c>
      <c r="B1106" s="23">
        <f>Parameters!B554</f>
        <v>0</v>
      </c>
      <c r="C1106" s="24">
        <f>Parameters!C554</f>
        <v>0</v>
      </c>
      <c r="D1106" s="24">
        <f>Parameters!D554</f>
        <v>0</v>
      </c>
      <c r="E1106" s="23">
        <f>Parameters!E554</f>
        <v>0</v>
      </c>
      <c r="F1106" s="23">
        <f>Parameters!F554</f>
        <v>0</v>
      </c>
      <c r="G1106" s="25">
        <f>Parameters!G554</f>
        <v>0</v>
      </c>
      <c r="H1106" s="25">
        <f>Parameters!H554</f>
        <v>0</v>
      </c>
      <c r="I1106" s="25">
        <f>Parameters!I554</f>
        <v>0</v>
      </c>
      <c r="J1106" s="25">
        <f>Parameters!J554</f>
        <v>0</v>
      </c>
      <c r="K1106" s="25">
        <f>Parameters!K554</f>
        <v>0</v>
      </c>
      <c r="L1106" s="26" t="e">
        <f t="shared" ref="L1106" si="1653">L1107</f>
        <v>#DIV/0!</v>
      </c>
      <c r="M1106" s="25">
        <f>Parameters!L554</f>
        <v>0</v>
      </c>
      <c r="N1106" s="25">
        <f>Parameters!M554</f>
        <v>0</v>
      </c>
      <c r="O1106" s="26" t="e">
        <f t="shared" ref="O1106" si="1654">O1107</f>
        <v>#DIV/0!</v>
      </c>
      <c r="P1106" s="23">
        <f>Parameters!N554</f>
        <v>0</v>
      </c>
      <c r="Q1106" s="23">
        <f>Parameters!O554</f>
        <v>0</v>
      </c>
      <c r="R1106" s="23">
        <f>Parameters!P554</f>
        <v>0</v>
      </c>
      <c r="S1106" s="23">
        <f>Parameters!Q554</f>
        <v>0</v>
      </c>
      <c r="T1106" s="23">
        <f>Parameters!R554</f>
        <v>0</v>
      </c>
      <c r="U1106" s="27">
        <f>Parameters!S554</f>
        <v>0</v>
      </c>
      <c r="V1106" s="28">
        <f>Parameters!T554</f>
        <v>0</v>
      </c>
      <c r="W1106" s="27">
        <f>Parameters!U554</f>
        <v>0</v>
      </c>
      <c r="X1106" s="28">
        <f>Parameters!V554</f>
        <v>0</v>
      </c>
      <c r="Y1106" s="25">
        <f>Parameters!W554</f>
        <v>0</v>
      </c>
      <c r="Z1106" s="23">
        <f>Parameters!X554</f>
        <v>0</v>
      </c>
      <c r="AA1106" s="27">
        <f>Parameters!Y554</f>
        <v>0</v>
      </c>
      <c r="AB1106" s="28">
        <f>Parameters!Z554</f>
        <v>0</v>
      </c>
      <c r="AC1106" s="23">
        <f>Parameters!AA554</f>
        <v>0</v>
      </c>
    </row>
    <row r="1107" spans="1:29">
      <c r="A1107" s="29" t="str">
        <f>UPPER(A1106)</f>
        <v>0</v>
      </c>
      <c r="B1107" s="29">
        <f>B1106</f>
        <v>0</v>
      </c>
      <c r="C1107" s="30">
        <f>C1106</f>
        <v>0</v>
      </c>
      <c r="D1107" s="30">
        <f>D1106</f>
        <v>0</v>
      </c>
      <c r="E1107" s="29">
        <f>E1106</f>
        <v>0</v>
      </c>
      <c r="F1107" s="29">
        <f>F1106</f>
        <v>0</v>
      </c>
      <c r="G1107" s="29" t="e">
        <f>IF(C1106=1,IF(D1106="BUY",E1106+(ROUND(F1106*G1106/B1106,0)*B1106),E1106-(ROUND(F1106*G1106/B1106,0)*B1106)),IF(D1106="BUY",E1106-(ROUND(F1106*G1106/B1106,0)*B1106),E1106+(ROUND(F1106*G1106/B1106,0)*B1106)))</f>
        <v>#DIV/0!</v>
      </c>
      <c r="H1107" s="29" t="e">
        <f>IF(C1106=1,IF(D1106="BUY",G1107-(ROUND(F1106*H1106/B1106,0)*B1106),G1107+(ROUND(F1106*H1106/B1106,0)*B1106)),IF(D1106="BUY",G1107+(ROUND(F1106*H1106/B1106,0)*B1106),G1107-(ROUND(F1106*H1106/B1106,0)*B1106)))</f>
        <v>#DIV/0!</v>
      </c>
      <c r="I1107" s="29" t="e">
        <f>IF(D1106="BUY",G1107+(ROUND(F1106*I1106/(B1106*100),0)*B1106),G1107-(ROUND(F1106*I1106/(B1106*100),0)*B1106))</f>
        <v>#DIV/0!</v>
      </c>
      <c r="J1107" s="29" t="e">
        <f>IF(C1106=1,IF(D1106="BUY",E1106+(ROUND(F1106*J1106/B1106,0)*B1106),E1106-(ROUND(F1106*J1106/B1106,0)*B1106)),IF(D1106="BUY",E1106-(ROUND(F1106*J1106/B1106,0)*B1106),E1106+(ROUND(F1106*J1106/B1106,0)*B1106)))</f>
        <v>#DIV/0!</v>
      </c>
      <c r="K1107" s="29" t="e">
        <f>IF(C1106=1,IF(D1106="BUY",E1106-(ROUND(F1106*K1106/B1106,0)*B1106),E1106+(ROUND(F1106*K1106/B1106,0)*B1106)),IF(D1106="BUY",E1106-(ROUND(F1106*K1106/B1106,0)*B1106),E1106+(ROUND(F1106*K1106/B1106,0)*B1106)))</f>
        <v>#DIV/0!</v>
      </c>
      <c r="L1107" s="29" t="e">
        <f t="shared" ref="L1107" si="1655">IF(D1107="BUY",I1107+(R1107*B1107),I1107-(R1107*B1107))</f>
        <v>#DIV/0!</v>
      </c>
      <c r="M1107" s="29" t="e">
        <f>IF(D1106="BUY",E1106+(ROUND(F1106*M1106/B1106,0)*B1106),E1106-(ROUND(F1106*M1106/B1106,0)*B1106))</f>
        <v>#DIV/0!</v>
      </c>
      <c r="N1107" s="29" t="e">
        <f>IF(D1106="BUY",E1106-(ROUND(F1106*N1106/B1106,0)*B1106),E1106+(ROUND(F1106*N1106/B1106,0)*B1106))</f>
        <v>#DIV/0!</v>
      </c>
      <c r="O1107" s="31" t="e">
        <f>IF(D1107="BUY",N1107-VLOOKUP(A1107,Symbols!A$1:D$1000,4,FALSE),N1107+VLOOKUP(A1107,Symbols!A$1:D$1000,4,FALSE))</f>
        <v>#DIV/0!</v>
      </c>
      <c r="P1107" s="29">
        <f>P1106</f>
        <v>0</v>
      </c>
      <c r="Q1107" s="29">
        <f>Q1106</f>
        <v>0</v>
      </c>
      <c r="R1107" s="29">
        <f>R1106</f>
        <v>0</v>
      </c>
      <c r="S1107" s="29">
        <f>S1106</f>
        <v>0</v>
      </c>
      <c r="T1107" s="29">
        <f>T1106</f>
        <v>0</v>
      </c>
      <c r="U1107" s="29" t="e">
        <f>DATEDIF(DATE(1970,1,1),U1106,"D")*86400</f>
        <v>#NUM!</v>
      </c>
      <c r="V1107" s="29">
        <f>HOUR(V1106)*3600+MINUTE(V1106)*60+SECOND(V1106)</f>
        <v>0</v>
      </c>
      <c r="W1107" s="29" t="e">
        <f>DATEDIF(DATE(1970,1,1),W1106,"D")*86400</f>
        <v>#NUM!</v>
      </c>
      <c r="X1107" s="29">
        <f>HOUR(X1106)*3600+MINUTE(X1106)*60+SECOND(X1106)</f>
        <v>0</v>
      </c>
      <c r="Y1107" s="31">
        <f>(Y1106*B1107)</f>
        <v>0</v>
      </c>
      <c r="Z1107" s="29">
        <f>Z1106</f>
        <v>0</v>
      </c>
      <c r="AA1107" s="29" t="e">
        <f>DATEDIF(DATE(1970,1,1),AA1106,"D")*86400</f>
        <v>#NUM!</v>
      </c>
      <c r="AB1107" s="29">
        <f>HOUR(AB1106)*3600+MINUTE(AB1106)*60+SECOND(AB1106)</f>
        <v>0</v>
      </c>
      <c r="AC1107" s="29">
        <f>AC1106</f>
        <v>0</v>
      </c>
    </row>
    <row r="1108" spans="1:29">
      <c r="A1108" s="23">
        <f>Parameters!A555</f>
        <v>0</v>
      </c>
      <c r="B1108" s="23">
        <f>Parameters!B555</f>
        <v>0</v>
      </c>
      <c r="C1108" s="24">
        <f>Parameters!C555</f>
        <v>0</v>
      </c>
      <c r="D1108" s="24">
        <f>Parameters!D555</f>
        <v>0</v>
      </c>
      <c r="E1108" s="23">
        <f>Parameters!E555</f>
        <v>0</v>
      </c>
      <c r="F1108" s="23">
        <f>Parameters!F555</f>
        <v>0</v>
      </c>
      <c r="G1108" s="25">
        <f>Parameters!G555</f>
        <v>0</v>
      </c>
      <c r="H1108" s="25">
        <f>Parameters!H555</f>
        <v>0</v>
      </c>
      <c r="I1108" s="25">
        <f>Parameters!I555</f>
        <v>0</v>
      </c>
      <c r="J1108" s="25">
        <f>Parameters!J555</f>
        <v>0</v>
      </c>
      <c r="K1108" s="25">
        <f>Parameters!K555</f>
        <v>0</v>
      </c>
      <c r="L1108" s="26" t="e">
        <f t="shared" ref="L1108" si="1656">L1109</f>
        <v>#DIV/0!</v>
      </c>
      <c r="M1108" s="25">
        <f>Parameters!L555</f>
        <v>0</v>
      </c>
      <c r="N1108" s="25">
        <f>Parameters!M555</f>
        <v>0</v>
      </c>
      <c r="O1108" s="26" t="e">
        <f t="shared" ref="O1108" si="1657">O1109</f>
        <v>#DIV/0!</v>
      </c>
      <c r="P1108" s="23">
        <f>Parameters!N555</f>
        <v>0</v>
      </c>
      <c r="Q1108" s="23">
        <f>Parameters!O555</f>
        <v>0</v>
      </c>
      <c r="R1108" s="23">
        <f>Parameters!P555</f>
        <v>0</v>
      </c>
      <c r="S1108" s="23">
        <f>Parameters!Q555</f>
        <v>0</v>
      </c>
      <c r="T1108" s="23">
        <f>Parameters!R555</f>
        <v>0</v>
      </c>
      <c r="U1108" s="27">
        <f>Parameters!S555</f>
        <v>0</v>
      </c>
      <c r="V1108" s="28">
        <f>Parameters!T555</f>
        <v>0</v>
      </c>
      <c r="W1108" s="27">
        <f>Parameters!U555</f>
        <v>0</v>
      </c>
      <c r="X1108" s="28">
        <f>Parameters!V555</f>
        <v>0</v>
      </c>
      <c r="Y1108" s="25">
        <f>Parameters!W555</f>
        <v>0</v>
      </c>
      <c r="Z1108" s="23">
        <f>Parameters!X555</f>
        <v>0</v>
      </c>
      <c r="AA1108" s="27">
        <f>Parameters!Y555</f>
        <v>0</v>
      </c>
      <c r="AB1108" s="28">
        <f>Parameters!Z555</f>
        <v>0</v>
      </c>
      <c r="AC1108" s="23">
        <f>Parameters!AA555</f>
        <v>0</v>
      </c>
    </row>
    <row r="1109" spans="1:29">
      <c r="A1109" s="29" t="str">
        <f>UPPER(A1108)</f>
        <v>0</v>
      </c>
      <c r="B1109" s="29">
        <f>B1108</f>
        <v>0</v>
      </c>
      <c r="C1109" s="30">
        <f>C1108</f>
        <v>0</v>
      </c>
      <c r="D1109" s="30">
        <f>D1108</f>
        <v>0</v>
      </c>
      <c r="E1109" s="29">
        <f>E1108</f>
        <v>0</v>
      </c>
      <c r="F1109" s="29">
        <f>F1108</f>
        <v>0</v>
      </c>
      <c r="G1109" s="29" t="e">
        <f>IF(C1108=1,IF(D1108="BUY",E1108+(ROUND(F1108*G1108/B1108,0)*B1108),E1108-(ROUND(F1108*G1108/B1108,0)*B1108)),IF(D1108="BUY",E1108-(ROUND(F1108*G1108/B1108,0)*B1108),E1108+(ROUND(F1108*G1108/B1108,0)*B1108)))</f>
        <v>#DIV/0!</v>
      </c>
      <c r="H1109" s="29" t="e">
        <f>IF(C1108=1,IF(D1108="BUY",G1109-(ROUND(F1108*H1108/B1108,0)*B1108),G1109+(ROUND(F1108*H1108/B1108,0)*B1108)),IF(D1108="BUY",G1109+(ROUND(F1108*H1108/B1108,0)*B1108),G1109-(ROUND(F1108*H1108/B1108,0)*B1108)))</f>
        <v>#DIV/0!</v>
      </c>
      <c r="I1109" s="29" t="e">
        <f>IF(D1108="BUY",G1109+(ROUND(F1108*I1108/(B1108*100),0)*B1108),G1109-(ROUND(F1108*I1108/(B1108*100),0)*B1108))</f>
        <v>#DIV/0!</v>
      </c>
      <c r="J1109" s="29" t="e">
        <f>IF(C1108=1,IF(D1108="BUY",E1108+(ROUND(F1108*J1108/B1108,0)*B1108),E1108-(ROUND(F1108*J1108/B1108,0)*B1108)),IF(D1108="BUY",E1108-(ROUND(F1108*J1108/B1108,0)*B1108),E1108+(ROUND(F1108*J1108/B1108,0)*B1108)))</f>
        <v>#DIV/0!</v>
      </c>
      <c r="K1109" s="29" t="e">
        <f>IF(C1108=1,IF(D1108="BUY",E1108-(ROUND(F1108*K1108/B1108,0)*B1108),E1108+(ROUND(F1108*K1108/B1108,0)*B1108)),IF(D1108="BUY",E1108-(ROUND(F1108*K1108/B1108,0)*B1108),E1108+(ROUND(F1108*K1108/B1108,0)*B1108)))</f>
        <v>#DIV/0!</v>
      </c>
      <c r="L1109" s="29" t="e">
        <f t="shared" ref="L1109" si="1658">IF(D1109="BUY",I1109+(R1109*B1109),I1109-(R1109*B1109))</f>
        <v>#DIV/0!</v>
      </c>
      <c r="M1109" s="29" t="e">
        <f>IF(D1108="BUY",E1108+(ROUND(F1108*M1108/B1108,0)*B1108),E1108-(ROUND(F1108*M1108/B1108,0)*B1108))</f>
        <v>#DIV/0!</v>
      </c>
      <c r="N1109" s="29" t="e">
        <f>IF(D1108="BUY",E1108-(ROUND(F1108*N1108/B1108,0)*B1108),E1108+(ROUND(F1108*N1108/B1108,0)*B1108))</f>
        <v>#DIV/0!</v>
      </c>
      <c r="O1109" s="31" t="e">
        <f>IF(D1109="BUY",N1109-VLOOKUP(A1109,Symbols!A$1:D$1000,4,FALSE),N1109+VLOOKUP(A1109,Symbols!A$1:D$1000,4,FALSE))</f>
        <v>#DIV/0!</v>
      </c>
      <c r="P1109" s="29">
        <f>P1108</f>
        <v>0</v>
      </c>
      <c r="Q1109" s="29">
        <f>Q1108</f>
        <v>0</v>
      </c>
      <c r="R1109" s="29">
        <f>R1108</f>
        <v>0</v>
      </c>
      <c r="S1109" s="29">
        <f>S1108</f>
        <v>0</v>
      </c>
      <c r="T1109" s="29">
        <f>T1108</f>
        <v>0</v>
      </c>
      <c r="U1109" s="29" t="e">
        <f>DATEDIF(DATE(1970,1,1),U1108,"D")*86400</f>
        <v>#NUM!</v>
      </c>
      <c r="V1109" s="29">
        <f>HOUR(V1108)*3600+MINUTE(V1108)*60+SECOND(V1108)</f>
        <v>0</v>
      </c>
      <c r="W1109" s="29" t="e">
        <f>DATEDIF(DATE(1970,1,1),W1108,"D")*86400</f>
        <v>#NUM!</v>
      </c>
      <c r="X1109" s="29">
        <f>HOUR(X1108)*3600+MINUTE(X1108)*60+SECOND(X1108)</f>
        <v>0</v>
      </c>
      <c r="Y1109" s="31">
        <f>(Y1108*B1109)</f>
        <v>0</v>
      </c>
      <c r="Z1109" s="29">
        <f>Z1108</f>
        <v>0</v>
      </c>
      <c r="AA1109" s="29" t="e">
        <f>DATEDIF(DATE(1970,1,1),AA1108,"D")*86400</f>
        <v>#NUM!</v>
      </c>
      <c r="AB1109" s="29">
        <f>HOUR(AB1108)*3600+MINUTE(AB1108)*60+SECOND(AB1108)</f>
        <v>0</v>
      </c>
      <c r="AC1109" s="29">
        <f>AC1108</f>
        <v>0</v>
      </c>
    </row>
    <row r="1110" spans="1:29">
      <c r="A1110" s="23">
        <f>Parameters!A556</f>
        <v>0</v>
      </c>
      <c r="B1110" s="23">
        <f>Parameters!B556</f>
        <v>0</v>
      </c>
      <c r="C1110" s="24">
        <f>Parameters!C556</f>
        <v>0</v>
      </c>
      <c r="D1110" s="24">
        <f>Parameters!D556</f>
        <v>0</v>
      </c>
      <c r="E1110" s="23">
        <f>Parameters!E556</f>
        <v>0</v>
      </c>
      <c r="F1110" s="23">
        <f>Parameters!F556</f>
        <v>0</v>
      </c>
      <c r="G1110" s="25">
        <f>Parameters!G556</f>
        <v>0</v>
      </c>
      <c r="H1110" s="25">
        <f>Parameters!H556</f>
        <v>0</v>
      </c>
      <c r="I1110" s="25">
        <f>Parameters!I556</f>
        <v>0</v>
      </c>
      <c r="J1110" s="25">
        <f>Parameters!J556</f>
        <v>0</v>
      </c>
      <c r="K1110" s="25">
        <f>Parameters!K556</f>
        <v>0</v>
      </c>
      <c r="L1110" s="26" t="e">
        <f t="shared" ref="L1110" si="1659">L1111</f>
        <v>#DIV/0!</v>
      </c>
      <c r="M1110" s="25">
        <f>Parameters!L556</f>
        <v>0</v>
      </c>
      <c r="N1110" s="25">
        <f>Parameters!M556</f>
        <v>0</v>
      </c>
      <c r="O1110" s="26" t="e">
        <f t="shared" ref="O1110" si="1660">O1111</f>
        <v>#DIV/0!</v>
      </c>
      <c r="P1110" s="23">
        <f>Parameters!N556</f>
        <v>0</v>
      </c>
      <c r="Q1110" s="23">
        <f>Parameters!O556</f>
        <v>0</v>
      </c>
      <c r="R1110" s="23">
        <f>Parameters!P556</f>
        <v>0</v>
      </c>
      <c r="S1110" s="23">
        <f>Parameters!Q556</f>
        <v>0</v>
      </c>
      <c r="T1110" s="23">
        <f>Parameters!R556</f>
        <v>0</v>
      </c>
      <c r="U1110" s="27">
        <f>Parameters!S556</f>
        <v>0</v>
      </c>
      <c r="V1110" s="28">
        <f>Parameters!T556</f>
        <v>0</v>
      </c>
      <c r="W1110" s="27">
        <f>Parameters!U556</f>
        <v>0</v>
      </c>
      <c r="X1110" s="28">
        <f>Parameters!V556</f>
        <v>0</v>
      </c>
      <c r="Y1110" s="25">
        <f>Parameters!W556</f>
        <v>0</v>
      </c>
      <c r="Z1110" s="23">
        <f>Parameters!X556</f>
        <v>0</v>
      </c>
      <c r="AA1110" s="27">
        <f>Parameters!Y556</f>
        <v>0</v>
      </c>
      <c r="AB1110" s="28">
        <f>Parameters!Z556</f>
        <v>0</v>
      </c>
      <c r="AC1110" s="23">
        <f>Parameters!AA556</f>
        <v>0</v>
      </c>
    </row>
    <row r="1111" spans="1:29">
      <c r="A1111" s="29" t="str">
        <f>UPPER(A1110)</f>
        <v>0</v>
      </c>
      <c r="B1111" s="29">
        <f>B1110</f>
        <v>0</v>
      </c>
      <c r="C1111" s="30">
        <f>C1110</f>
        <v>0</v>
      </c>
      <c r="D1111" s="30">
        <f>D1110</f>
        <v>0</v>
      </c>
      <c r="E1111" s="29">
        <f>E1110</f>
        <v>0</v>
      </c>
      <c r="F1111" s="29">
        <f>F1110</f>
        <v>0</v>
      </c>
      <c r="G1111" s="29" t="e">
        <f>IF(C1110=1,IF(D1110="BUY",E1110+(ROUND(F1110*G1110/B1110,0)*B1110),E1110-(ROUND(F1110*G1110/B1110,0)*B1110)),IF(D1110="BUY",E1110-(ROUND(F1110*G1110/B1110,0)*B1110),E1110+(ROUND(F1110*G1110/B1110,0)*B1110)))</f>
        <v>#DIV/0!</v>
      </c>
      <c r="H1111" s="29" t="e">
        <f>IF(C1110=1,IF(D1110="BUY",G1111-(ROUND(F1110*H1110/B1110,0)*B1110),G1111+(ROUND(F1110*H1110/B1110,0)*B1110)),IF(D1110="BUY",G1111+(ROUND(F1110*H1110/B1110,0)*B1110),G1111-(ROUND(F1110*H1110/B1110,0)*B1110)))</f>
        <v>#DIV/0!</v>
      </c>
      <c r="I1111" s="29" t="e">
        <f>IF(D1110="BUY",G1111+(ROUND(F1110*I1110/(B1110*100),0)*B1110),G1111-(ROUND(F1110*I1110/(B1110*100),0)*B1110))</f>
        <v>#DIV/0!</v>
      </c>
      <c r="J1111" s="29" t="e">
        <f>IF(C1110=1,IF(D1110="BUY",E1110+(ROUND(F1110*J1110/B1110,0)*B1110),E1110-(ROUND(F1110*J1110/B1110,0)*B1110)),IF(D1110="BUY",E1110-(ROUND(F1110*J1110/B1110,0)*B1110),E1110+(ROUND(F1110*J1110/B1110,0)*B1110)))</f>
        <v>#DIV/0!</v>
      </c>
      <c r="K1111" s="29" t="e">
        <f>IF(C1110=1,IF(D1110="BUY",E1110-(ROUND(F1110*K1110/B1110,0)*B1110),E1110+(ROUND(F1110*K1110/B1110,0)*B1110)),IF(D1110="BUY",E1110-(ROUND(F1110*K1110/B1110,0)*B1110),E1110+(ROUND(F1110*K1110/B1110,0)*B1110)))</f>
        <v>#DIV/0!</v>
      </c>
      <c r="L1111" s="29" t="e">
        <f t="shared" ref="L1111" si="1661">IF(D1111="BUY",I1111+(R1111*B1111),I1111-(R1111*B1111))</f>
        <v>#DIV/0!</v>
      </c>
      <c r="M1111" s="29" t="e">
        <f>IF(D1110="BUY",E1110+(ROUND(F1110*M1110/B1110,0)*B1110),E1110-(ROUND(F1110*M1110/B1110,0)*B1110))</f>
        <v>#DIV/0!</v>
      </c>
      <c r="N1111" s="29" t="e">
        <f>IF(D1110="BUY",E1110-(ROUND(F1110*N1110/B1110,0)*B1110),E1110+(ROUND(F1110*N1110/B1110,0)*B1110))</f>
        <v>#DIV/0!</v>
      </c>
      <c r="O1111" s="31" t="e">
        <f>IF(D1111="BUY",N1111-VLOOKUP(A1111,Symbols!A$1:D$1000,4,FALSE),N1111+VLOOKUP(A1111,Symbols!A$1:D$1000,4,FALSE))</f>
        <v>#DIV/0!</v>
      </c>
      <c r="P1111" s="29">
        <f>P1110</f>
        <v>0</v>
      </c>
      <c r="Q1111" s="29">
        <f>Q1110</f>
        <v>0</v>
      </c>
      <c r="R1111" s="29">
        <f>R1110</f>
        <v>0</v>
      </c>
      <c r="S1111" s="29">
        <f>S1110</f>
        <v>0</v>
      </c>
      <c r="T1111" s="29">
        <f>T1110</f>
        <v>0</v>
      </c>
      <c r="U1111" s="29" t="e">
        <f>DATEDIF(DATE(1970,1,1),U1110,"D")*86400</f>
        <v>#NUM!</v>
      </c>
      <c r="V1111" s="29">
        <f>HOUR(V1110)*3600+MINUTE(V1110)*60+SECOND(V1110)</f>
        <v>0</v>
      </c>
      <c r="W1111" s="29" t="e">
        <f>DATEDIF(DATE(1970,1,1),W1110,"D")*86400</f>
        <v>#NUM!</v>
      </c>
      <c r="X1111" s="29">
        <f>HOUR(X1110)*3600+MINUTE(X1110)*60+SECOND(X1110)</f>
        <v>0</v>
      </c>
      <c r="Y1111" s="31">
        <f>(Y1110*B1111)</f>
        <v>0</v>
      </c>
      <c r="Z1111" s="29">
        <f>Z1110</f>
        <v>0</v>
      </c>
      <c r="AA1111" s="29" t="e">
        <f>DATEDIF(DATE(1970,1,1),AA1110,"D")*86400</f>
        <v>#NUM!</v>
      </c>
      <c r="AB1111" s="29">
        <f>HOUR(AB1110)*3600+MINUTE(AB1110)*60+SECOND(AB1110)</f>
        <v>0</v>
      </c>
      <c r="AC1111" s="29">
        <f>AC1110</f>
        <v>0</v>
      </c>
    </row>
    <row r="1112" spans="1:29">
      <c r="A1112" s="23">
        <f>Parameters!A557</f>
        <v>0</v>
      </c>
      <c r="B1112" s="23">
        <f>Parameters!B557</f>
        <v>0</v>
      </c>
      <c r="C1112" s="24">
        <f>Parameters!C557</f>
        <v>0</v>
      </c>
      <c r="D1112" s="24">
        <f>Parameters!D557</f>
        <v>0</v>
      </c>
      <c r="E1112" s="23">
        <f>Parameters!E557</f>
        <v>0</v>
      </c>
      <c r="F1112" s="23">
        <f>Parameters!F557</f>
        <v>0</v>
      </c>
      <c r="G1112" s="25">
        <f>Parameters!G557</f>
        <v>0</v>
      </c>
      <c r="H1112" s="25">
        <f>Parameters!H557</f>
        <v>0</v>
      </c>
      <c r="I1112" s="25">
        <f>Parameters!I557</f>
        <v>0</v>
      </c>
      <c r="J1112" s="25">
        <f>Parameters!J557</f>
        <v>0</v>
      </c>
      <c r="K1112" s="25">
        <f>Parameters!K557</f>
        <v>0</v>
      </c>
      <c r="L1112" s="26" t="e">
        <f t="shared" ref="L1112" si="1662">L1113</f>
        <v>#DIV/0!</v>
      </c>
      <c r="M1112" s="25">
        <f>Parameters!L557</f>
        <v>0</v>
      </c>
      <c r="N1112" s="25">
        <f>Parameters!M557</f>
        <v>0</v>
      </c>
      <c r="O1112" s="26" t="e">
        <f t="shared" ref="O1112" si="1663">O1113</f>
        <v>#DIV/0!</v>
      </c>
      <c r="P1112" s="23">
        <f>Parameters!N557</f>
        <v>0</v>
      </c>
      <c r="Q1112" s="23">
        <f>Parameters!O557</f>
        <v>0</v>
      </c>
      <c r="R1112" s="23">
        <f>Parameters!P557</f>
        <v>0</v>
      </c>
      <c r="S1112" s="23">
        <f>Parameters!Q557</f>
        <v>0</v>
      </c>
      <c r="T1112" s="23">
        <f>Parameters!R557</f>
        <v>0</v>
      </c>
      <c r="U1112" s="27">
        <f>Parameters!S557</f>
        <v>0</v>
      </c>
      <c r="V1112" s="28">
        <f>Parameters!T557</f>
        <v>0</v>
      </c>
      <c r="W1112" s="27">
        <f>Parameters!U557</f>
        <v>0</v>
      </c>
      <c r="X1112" s="28">
        <f>Parameters!V557</f>
        <v>0</v>
      </c>
      <c r="Y1112" s="25">
        <f>Parameters!W557</f>
        <v>0</v>
      </c>
      <c r="Z1112" s="23">
        <f>Parameters!X557</f>
        <v>0</v>
      </c>
      <c r="AA1112" s="27">
        <f>Parameters!Y557</f>
        <v>0</v>
      </c>
      <c r="AB1112" s="28">
        <f>Parameters!Z557</f>
        <v>0</v>
      </c>
      <c r="AC1112" s="23">
        <f>Parameters!AA557</f>
        <v>0</v>
      </c>
    </row>
    <row r="1113" spans="1:29">
      <c r="A1113" s="29" t="str">
        <f>UPPER(A1112)</f>
        <v>0</v>
      </c>
      <c r="B1113" s="29">
        <f>B1112</f>
        <v>0</v>
      </c>
      <c r="C1113" s="30">
        <f>C1112</f>
        <v>0</v>
      </c>
      <c r="D1113" s="30">
        <f>D1112</f>
        <v>0</v>
      </c>
      <c r="E1113" s="29">
        <f>E1112</f>
        <v>0</v>
      </c>
      <c r="F1113" s="29">
        <f>F1112</f>
        <v>0</v>
      </c>
      <c r="G1113" s="29" t="e">
        <f>IF(C1112=1,IF(D1112="BUY",E1112+(ROUND(F1112*G1112/B1112,0)*B1112),E1112-(ROUND(F1112*G1112/B1112,0)*B1112)),IF(D1112="BUY",E1112-(ROUND(F1112*G1112/B1112,0)*B1112),E1112+(ROUND(F1112*G1112/B1112,0)*B1112)))</f>
        <v>#DIV/0!</v>
      </c>
      <c r="H1113" s="29" t="e">
        <f>IF(C1112=1,IF(D1112="BUY",G1113-(ROUND(F1112*H1112/B1112,0)*B1112),G1113+(ROUND(F1112*H1112/B1112,0)*B1112)),IF(D1112="BUY",G1113+(ROUND(F1112*H1112/B1112,0)*B1112),G1113-(ROUND(F1112*H1112/B1112,0)*B1112)))</f>
        <v>#DIV/0!</v>
      </c>
      <c r="I1113" s="29" t="e">
        <f>IF(D1112="BUY",G1113+(ROUND(F1112*I1112/(B1112*100),0)*B1112),G1113-(ROUND(F1112*I1112/(B1112*100),0)*B1112))</f>
        <v>#DIV/0!</v>
      </c>
      <c r="J1113" s="29" t="e">
        <f>IF(C1112=1,IF(D1112="BUY",E1112+(ROUND(F1112*J1112/B1112,0)*B1112),E1112-(ROUND(F1112*J1112/B1112,0)*B1112)),IF(D1112="BUY",E1112-(ROUND(F1112*J1112/B1112,0)*B1112),E1112+(ROUND(F1112*J1112/B1112,0)*B1112)))</f>
        <v>#DIV/0!</v>
      </c>
      <c r="K1113" s="29" t="e">
        <f>IF(C1112=1,IF(D1112="BUY",E1112-(ROUND(F1112*K1112/B1112,0)*B1112),E1112+(ROUND(F1112*K1112/B1112,0)*B1112)),IF(D1112="BUY",E1112-(ROUND(F1112*K1112/B1112,0)*B1112),E1112+(ROUND(F1112*K1112/B1112,0)*B1112)))</f>
        <v>#DIV/0!</v>
      </c>
      <c r="L1113" s="29" t="e">
        <f t="shared" ref="L1113" si="1664">IF(D1113="BUY",I1113+(R1113*B1113),I1113-(R1113*B1113))</f>
        <v>#DIV/0!</v>
      </c>
      <c r="M1113" s="29" t="e">
        <f>IF(D1112="BUY",E1112+(ROUND(F1112*M1112/B1112,0)*B1112),E1112-(ROUND(F1112*M1112/B1112,0)*B1112))</f>
        <v>#DIV/0!</v>
      </c>
      <c r="N1113" s="29" t="e">
        <f>IF(D1112="BUY",E1112-(ROUND(F1112*N1112/B1112,0)*B1112),E1112+(ROUND(F1112*N1112/B1112,0)*B1112))</f>
        <v>#DIV/0!</v>
      </c>
      <c r="O1113" s="31" t="e">
        <f>IF(D1113="BUY",N1113-VLOOKUP(A1113,Symbols!A$1:D$1000,4,FALSE),N1113+VLOOKUP(A1113,Symbols!A$1:D$1000,4,FALSE))</f>
        <v>#DIV/0!</v>
      </c>
      <c r="P1113" s="29">
        <f>P1112</f>
        <v>0</v>
      </c>
      <c r="Q1113" s="29">
        <f>Q1112</f>
        <v>0</v>
      </c>
      <c r="R1113" s="29">
        <f>R1112</f>
        <v>0</v>
      </c>
      <c r="S1113" s="29">
        <f>S1112</f>
        <v>0</v>
      </c>
      <c r="T1113" s="29">
        <f>T1112</f>
        <v>0</v>
      </c>
      <c r="U1113" s="29" t="e">
        <f>DATEDIF(DATE(1970,1,1),U1112,"D")*86400</f>
        <v>#NUM!</v>
      </c>
      <c r="V1113" s="29">
        <f>HOUR(V1112)*3600+MINUTE(V1112)*60+SECOND(V1112)</f>
        <v>0</v>
      </c>
      <c r="W1113" s="29" t="e">
        <f>DATEDIF(DATE(1970,1,1),W1112,"D")*86400</f>
        <v>#NUM!</v>
      </c>
      <c r="X1113" s="29">
        <f>HOUR(X1112)*3600+MINUTE(X1112)*60+SECOND(X1112)</f>
        <v>0</v>
      </c>
      <c r="Y1113" s="31">
        <f>(Y1112*B1113)</f>
        <v>0</v>
      </c>
      <c r="Z1113" s="29">
        <f>Z1112</f>
        <v>0</v>
      </c>
      <c r="AA1113" s="29" t="e">
        <f>DATEDIF(DATE(1970,1,1),AA1112,"D")*86400</f>
        <v>#NUM!</v>
      </c>
      <c r="AB1113" s="29">
        <f>HOUR(AB1112)*3600+MINUTE(AB1112)*60+SECOND(AB1112)</f>
        <v>0</v>
      </c>
      <c r="AC1113" s="29">
        <f>AC1112</f>
        <v>0</v>
      </c>
    </row>
    <row r="1114" spans="1:29">
      <c r="A1114" s="23">
        <f>Parameters!A558</f>
        <v>0</v>
      </c>
      <c r="B1114" s="23">
        <f>Parameters!B558</f>
        <v>0</v>
      </c>
      <c r="C1114" s="24">
        <f>Parameters!C558</f>
        <v>0</v>
      </c>
      <c r="D1114" s="24">
        <f>Parameters!D558</f>
        <v>0</v>
      </c>
      <c r="E1114" s="23">
        <f>Parameters!E558</f>
        <v>0</v>
      </c>
      <c r="F1114" s="23">
        <f>Parameters!F558</f>
        <v>0</v>
      </c>
      <c r="G1114" s="25">
        <f>Parameters!G558</f>
        <v>0</v>
      </c>
      <c r="H1114" s="25">
        <f>Parameters!H558</f>
        <v>0</v>
      </c>
      <c r="I1114" s="25">
        <f>Parameters!I558</f>
        <v>0</v>
      </c>
      <c r="J1114" s="25">
        <f>Parameters!J558</f>
        <v>0</v>
      </c>
      <c r="K1114" s="25">
        <f>Parameters!K558</f>
        <v>0</v>
      </c>
      <c r="L1114" s="26" t="e">
        <f t="shared" ref="L1114" si="1665">L1115</f>
        <v>#DIV/0!</v>
      </c>
      <c r="M1114" s="25">
        <f>Parameters!L558</f>
        <v>0</v>
      </c>
      <c r="N1114" s="25">
        <f>Parameters!M558</f>
        <v>0</v>
      </c>
      <c r="O1114" s="26" t="e">
        <f t="shared" ref="O1114" si="1666">O1115</f>
        <v>#DIV/0!</v>
      </c>
      <c r="P1114" s="23">
        <f>Parameters!N558</f>
        <v>0</v>
      </c>
      <c r="Q1114" s="23">
        <f>Parameters!O558</f>
        <v>0</v>
      </c>
      <c r="R1114" s="23">
        <f>Parameters!P558</f>
        <v>0</v>
      </c>
      <c r="S1114" s="23">
        <f>Parameters!Q558</f>
        <v>0</v>
      </c>
      <c r="T1114" s="23">
        <f>Parameters!R558</f>
        <v>0</v>
      </c>
      <c r="U1114" s="27">
        <f>Parameters!S558</f>
        <v>0</v>
      </c>
      <c r="V1114" s="28">
        <f>Parameters!T558</f>
        <v>0</v>
      </c>
      <c r="W1114" s="27">
        <f>Parameters!U558</f>
        <v>0</v>
      </c>
      <c r="X1114" s="28">
        <f>Parameters!V558</f>
        <v>0</v>
      </c>
      <c r="Y1114" s="25">
        <f>Parameters!W558</f>
        <v>0</v>
      </c>
      <c r="Z1114" s="23">
        <f>Parameters!X558</f>
        <v>0</v>
      </c>
      <c r="AA1114" s="27">
        <f>Parameters!Y558</f>
        <v>0</v>
      </c>
      <c r="AB1114" s="28">
        <f>Parameters!Z558</f>
        <v>0</v>
      </c>
      <c r="AC1114" s="23">
        <f>Parameters!AA558</f>
        <v>0</v>
      </c>
    </row>
    <row r="1115" spans="1:29">
      <c r="A1115" s="29" t="str">
        <f>UPPER(A1114)</f>
        <v>0</v>
      </c>
      <c r="B1115" s="29">
        <f>B1114</f>
        <v>0</v>
      </c>
      <c r="C1115" s="30">
        <f>C1114</f>
        <v>0</v>
      </c>
      <c r="D1115" s="30">
        <f>D1114</f>
        <v>0</v>
      </c>
      <c r="E1115" s="29">
        <f>E1114</f>
        <v>0</v>
      </c>
      <c r="F1115" s="29">
        <f>F1114</f>
        <v>0</v>
      </c>
      <c r="G1115" s="29" t="e">
        <f>IF(C1114=1,IF(D1114="BUY",E1114+(ROUND(F1114*G1114/B1114,0)*B1114),E1114-(ROUND(F1114*G1114/B1114,0)*B1114)),IF(D1114="BUY",E1114-(ROUND(F1114*G1114/B1114,0)*B1114),E1114+(ROUND(F1114*G1114/B1114,0)*B1114)))</f>
        <v>#DIV/0!</v>
      </c>
      <c r="H1115" s="29" t="e">
        <f>IF(C1114=1,IF(D1114="BUY",G1115-(ROUND(F1114*H1114/B1114,0)*B1114),G1115+(ROUND(F1114*H1114/B1114,0)*B1114)),IF(D1114="BUY",G1115+(ROUND(F1114*H1114/B1114,0)*B1114),G1115-(ROUND(F1114*H1114/B1114,0)*B1114)))</f>
        <v>#DIV/0!</v>
      </c>
      <c r="I1115" s="29" t="e">
        <f>IF(D1114="BUY",G1115+(ROUND(F1114*I1114/(B1114*100),0)*B1114),G1115-(ROUND(F1114*I1114/(B1114*100),0)*B1114))</f>
        <v>#DIV/0!</v>
      </c>
      <c r="J1115" s="29" t="e">
        <f>IF(C1114=1,IF(D1114="BUY",E1114+(ROUND(F1114*J1114/B1114,0)*B1114),E1114-(ROUND(F1114*J1114/B1114,0)*B1114)),IF(D1114="BUY",E1114-(ROUND(F1114*J1114/B1114,0)*B1114),E1114+(ROUND(F1114*J1114/B1114,0)*B1114)))</f>
        <v>#DIV/0!</v>
      </c>
      <c r="K1115" s="29" t="e">
        <f>IF(C1114=1,IF(D1114="BUY",E1114-(ROUND(F1114*K1114/B1114,0)*B1114),E1114+(ROUND(F1114*K1114/B1114,0)*B1114)),IF(D1114="BUY",E1114-(ROUND(F1114*K1114/B1114,0)*B1114),E1114+(ROUND(F1114*K1114/B1114,0)*B1114)))</f>
        <v>#DIV/0!</v>
      </c>
      <c r="L1115" s="29" t="e">
        <f t="shared" ref="L1115" si="1667">IF(D1115="BUY",I1115+(R1115*B1115),I1115-(R1115*B1115))</f>
        <v>#DIV/0!</v>
      </c>
      <c r="M1115" s="29" t="e">
        <f>IF(D1114="BUY",E1114+(ROUND(F1114*M1114/B1114,0)*B1114),E1114-(ROUND(F1114*M1114/B1114,0)*B1114))</f>
        <v>#DIV/0!</v>
      </c>
      <c r="N1115" s="29" t="e">
        <f>IF(D1114="BUY",E1114-(ROUND(F1114*N1114/B1114,0)*B1114),E1114+(ROUND(F1114*N1114/B1114,0)*B1114))</f>
        <v>#DIV/0!</v>
      </c>
      <c r="O1115" s="31" t="e">
        <f>IF(D1115="BUY",N1115-VLOOKUP(A1115,Symbols!A$1:D$1000,4,FALSE),N1115+VLOOKUP(A1115,Symbols!A$1:D$1000,4,FALSE))</f>
        <v>#DIV/0!</v>
      </c>
      <c r="P1115" s="29">
        <f>P1114</f>
        <v>0</v>
      </c>
      <c r="Q1115" s="29">
        <f>Q1114</f>
        <v>0</v>
      </c>
      <c r="R1115" s="29">
        <f>R1114</f>
        <v>0</v>
      </c>
      <c r="S1115" s="29">
        <f>S1114</f>
        <v>0</v>
      </c>
      <c r="T1115" s="29">
        <f>T1114</f>
        <v>0</v>
      </c>
      <c r="U1115" s="29" t="e">
        <f>DATEDIF(DATE(1970,1,1),U1114,"D")*86400</f>
        <v>#NUM!</v>
      </c>
      <c r="V1115" s="29">
        <f>HOUR(V1114)*3600+MINUTE(V1114)*60+SECOND(V1114)</f>
        <v>0</v>
      </c>
      <c r="W1115" s="29" t="e">
        <f>DATEDIF(DATE(1970,1,1),W1114,"D")*86400</f>
        <v>#NUM!</v>
      </c>
      <c r="X1115" s="29">
        <f>HOUR(X1114)*3600+MINUTE(X1114)*60+SECOND(X1114)</f>
        <v>0</v>
      </c>
      <c r="Y1115" s="31">
        <f>(Y1114*B1115)</f>
        <v>0</v>
      </c>
      <c r="Z1115" s="29">
        <f>Z1114</f>
        <v>0</v>
      </c>
      <c r="AA1115" s="29" t="e">
        <f>DATEDIF(DATE(1970,1,1),AA1114,"D")*86400</f>
        <v>#NUM!</v>
      </c>
      <c r="AB1115" s="29">
        <f>HOUR(AB1114)*3600+MINUTE(AB1114)*60+SECOND(AB1114)</f>
        <v>0</v>
      </c>
      <c r="AC1115" s="29">
        <f>AC1114</f>
        <v>0</v>
      </c>
    </row>
    <row r="1116" spans="1:29">
      <c r="A1116" s="23">
        <f>Parameters!A559</f>
        <v>0</v>
      </c>
      <c r="B1116" s="23">
        <f>Parameters!B559</f>
        <v>0</v>
      </c>
      <c r="C1116" s="24">
        <f>Parameters!C559</f>
        <v>0</v>
      </c>
      <c r="D1116" s="24">
        <f>Parameters!D559</f>
        <v>0</v>
      </c>
      <c r="E1116" s="23">
        <f>Parameters!E559</f>
        <v>0</v>
      </c>
      <c r="F1116" s="23">
        <f>Parameters!F559</f>
        <v>0</v>
      </c>
      <c r="G1116" s="25">
        <f>Parameters!G559</f>
        <v>0</v>
      </c>
      <c r="H1116" s="25">
        <f>Parameters!H559</f>
        <v>0</v>
      </c>
      <c r="I1116" s="25">
        <f>Parameters!I559</f>
        <v>0</v>
      </c>
      <c r="J1116" s="25">
        <f>Parameters!J559</f>
        <v>0</v>
      </c>
      <c r="K1116" s="25">
        <f>Parameters!K559</f>
        <v>0</v>
      </c>
      <c r="L1116" s="26" t="e">
        <f t="shared" ref="L1116" si="1668">L1117</f>
        <v>#DIV/0!</v>
      </c>
      <c r="M1116" s="25">
        <f>Parameters!L559</f>
        <v>0</v>
      </c>
      <c r="N1116" s="25">
        <f>Parameters!M559</f>
        <v>0</v>
      </c>
      <c r="O1116" s="26" t="e">
        <f t="shared" ref="O1116" si="1669">O1117</f>
        <v>#DIV/0!</v>
      </c>
      <c r="P1116" s="23">
        <f>Parameters!N559</f>
        <v>0</v>
      </c>
      <c r="Q1116" s="23">
        <f>Parameters!O559</f>
        <v>0</v>
      </c>
      <c r="R1116" s="23">
        <f>Parameters!P559</f>
        <v>0</v>
      </c>
      <c r="S1116" s="23">
        <f>Parameters!Q559</f>
        <v>0</v>
      </c>
      <c r="T1116" s="23">
        <f>Parameters!R559</f>
        <v>0</v>
      </c>
      <c r="U1116" s="27">
        <f>Parameters!S559</f>
        <v>0</v>
      </c>
      <c r="V1116" s="28">
        <f>Parameters!T559</f>
        <v>0</v>
      </c>
      <c r="W1116" s="27">
        <f>Parameters!U559</f>
        <v>0</v>
      </c>
      <c r="X1116" s="28">
        <f>Parameters!V559</f>
        <v>0</v>
      </c>
      <c r="Y1116" s="25">
        <f>Parameters!W559</f>
        <v>0</v>
      </c>
      <c r="Z1116" s="23">
        <f>Parameters!X559</f>
        <v>0</v>
      </c>
      <c r="AA1116" s="27">
        <f>Parameters!Y559</f>
        <v>0</v>
      </c>
      <c r="AB1116" s="28">
        <f>Parameters!Z559</f>
        <v>0</v>
      </c>
      <c r="AC1116" s="23">
        <f>Parameters!AA559</f>
        <v>0</v>
      </c>
    </row>
    <row r="1117" spans="1:29">
      <c r="A1117" s="29" t="str">
        <f>UPPER(A1116)</f>
        <v>0</v>
      </c>
      <c r="B1117" s="29">
        <f>B1116</f>
        <v>0</v>
      </c>
      <c r="C1117" s="30">
        <f>C1116</f>
        <v>0</v>
      </c>
      <c r="D1117" s="30">
        <f>D1116</f>
        <v>0</v>
      </c>
      <c r="E1117" s="29">
        <f>E1116</f>
        <v>0</v>
      </c>
      <c r="F1117" s="29">
        <f>F1116</f>
        <v>0</v>
      </c>
      <c r="G1117" s="29" t="e">
        <f>IF(C1116=1,IF(D1116="BUY",E1116+(ROUND(F1116*G1116/B1116,0)*B1116),E1116-(ROUND(F1116*G1116/B1116,0)*B1116)),IF(D1116="BUY",E1116-(ROUND(F1116*G1116/B1116,0)*B1116),E1116+(ROUND(F1116*G1116/B1116,0)*B1116)))</f>
        <v>#DIV/0!</v>
      </c>
      <c r="H1117" s="29" t="e">
        <f>IF(C1116=1,IF(D1116="BUY",G1117-(ROUND(F1116*H1116/B1116,0)*B1116),G1117+(ROUND(F1116*H1116/B1116,0)*B1116)),IF(D1116="BUY",G1117+(ROUND(F1116*H1116/B1116,0)*B1116),G1117-(ROUND(F1116*H1116/B1116,0)*B1116)))</f>
        <v>#DIV/0!</v>
      </c>
      <c r="I1117" s="29" t="e">
        <f>IF(D1116="BUY",G1117+(ROUND(F1116*I1116/(B1116*100),0)*B1116),G1117-(ROUND(F1116*I1116/(B1116*100),0)*B1116))</f>
        <v>#DIV/0!</v>
      </c>
      <c r="J1117" s="29" t="e">
        <f>IF(C1116=1,IF(D1116="BUY",E1116+(ROUND(F1116*J1116/B1116,0)*B1116),E1116-(ROUND(F1116*J1116/B1116,0)*B1116)),IF(D1116="BUY",E1116-(ROUND(F1116*J1116/B1116,0)*B1116),E1116+(ROUND(F1116*J1116/B1116,0)*B1116)))</f>
        <v>#DIV/0!</v>
      </c>
      <c r="K1117" s="29" t="e">
        <f>IF(C1116=1,IF(D1116="BUY",E1116-(ROUND(F1116*K1116/B1116,0)*B1116),E1116+(ROUND(F1116*K1116/B1116,0)*B1116)),IF(D1116="BUY",E1116-(ROUND(F1116*K1116/B1116,0)*B1116),E1116+(ROUND(F1116*K1116/B1116,0)*B1116)))</f>
        <v>#DIV/0!</v>
      </c>
      <c r="L1117" s="29" t="e">
        <f t="shared" ref="L1117" si="1670">IF(D1117="BUY",I1117+(R1117*B1117),I1117-(R1117*B1117))</f>
        <v>#DIV/0!</v>
      </c>
      <c r="M1117" s="29" t="e">
        <f>IF(D1116="BUY",E1116+(ROUND(F1116*M1116/B1116,0)*B1116),E1116-(ROUND(F1116*M1116/B1116,0)*B1116))</f>
        <v>#DIV/0!</v>
      </c>
      <c r="N1117" s="29" t="e">
        <f>IF(D1116="BUY",E1116-(ROUND(F1116*N1116/B1116,0)*B1116),E1116+(ROUND(F1116*N1116/B1116,0)*B1116))</f>
        <v>#DIV/0!</v>
      </c>
      <c r="O1117" s="31" t="e">
        <f>IF(D1117="BUY",N1117-VLOOKUP(A1117,Symbols!A$1:D$1000,4,FALSE),N1117+VLOOKUP(A1117,Symbols!A$1:D$1000,4,FALSE))</f>
        <v>#DIV/0!</v>
      </c>
      <c r="P1117" s="29">
        <f>P1116</f>
        <v>0</v>
      </c>
      <c r="Q1117" s="29">
        <f>Q1116</f>
        <v>0</v>
      </c>
      <c r="R1117" s="29">
        <f>R1116</f>
        <v>0</v>
      </c>
      <c r="S1117" s="29">
        <f>S1116</f>
        <v>0</v>
      </c>
      <c r="T1117" s="29">
        <f>T1116</f>
        <v>0</v>
      </c>
      <c r="U1117" s="29" t="e">
        <f>DATEDIF(DATE(1970,1,1),U1116,"D")*86400</f>
        <v>#NUM!</v>
      </c>
      <c r="V1117" s="29">
        <f>HOUR(V1116)*3600+MINUTE(V1116)*60+SECOND(V1116)</f>
        <v>0</v>
      </c>
      <c r="W1117" s="29" t="e">
        <f>DATEDIF(DATE(1970,1,1),W1116,"D")*86400</f>
        <v>#NUM!</v>
      </c>
      <c r="X1117" s="29">
        <f>HOUR(X1116)*3600+MINUTE(X1116)*60+SECOND(X1116)</f>
        <v>0</v>
      </c>
      <c r="Y1117" s="31">
        <f>(Y1116*B1117)</f>
        <v>0</v>
      </c>
      <c r="Z1117" s="29">
        <f>Z1116</f>
        <v>0</v>
      </c>
      <c r="AA1117" s="29" t="e">
        <f>DATEDIF(DATE(1970,1,1),AA1116,"D")*86400</f>
        <v>#NUM!</v>
      </c>
      <c r="AB1117" s="29">
        <f>HOUR(AB1116)*3600+MINUTE(AB1116)*60+SECOND(AB1116)</f>
        <v>0</v>
      </c>
      <c r="AC1117" s="29">
        <f>AC1116</f>
        <v>0</v>
      </c>
    </row>
    <row r="1118" spans="1:29">
      <c r="A1118" s="23">
        <f>Parameters!A560</f>
        <v>0</v>
      </c>
      <c r="B1118" s="23">
        <f>Parameters!B560</f>
        <v>0</v>
      </c>
      <c r="C1118" s="24">
        <f>Parameters!C560</f>
        <v>0</v>
      </c>
      <c r="D1118" s="24">
        <f>Parameters!D560</f>
        <v>0</v>
      </c>
      <c r="E1118" s="23">
        <f>Parameters!E560</f>
        <v>0</v>
      </c>
      <c r="F1118" s="23">
        <f>Parameters!F560</f>
        <v>0</v>
      </c>
      <c r="G1118" s="25">
        <f>Parameters!G560</f>
        <v>0</v>
      </c>
      <c r="H1118" s="25">
        <f>Parameters!H560</f>
        <v>0</v>
      </c>
      <c r="I1118" s="25">
        <f>Parameters!I560</f>
        <v>0</v>
      </c>
      <c r="J1118" s="25">
        <f>Parameters!J560</f>
        <v>0</v>
      </c>
      <c r="K1118" s="25">
        <f>Parameters!K560</f>
        <v>0</v>
      </c>
      <c r="L1118" s="26" t="e">
        <f t="shared" ref="L1118" si="1671">L1119</f>
        <v>#DIV/0!</v>
      </c>
      <c r="M1118" s="25">
        <f>Parameters!L560</f>
        <v>0</v>
      </c>
      <c r="N1118" s="25">
        <f>Parameters!M560</f>
        <v>0</v>
      </c>
      <c r="O1118" s="26" t="e">
        <f t="shared" ref="O1118" si="1672">O1119</f>
        <v>#DIV/0!</v>
      </c>
      <c r="P1118" s="23">
        <f>Parameters!N560</f>
        <v>0</v>
      </c>
      <c r="Q1118" s="23">
        <f>Parameters!O560</f>
        <v>0</v>
      </c>
      <c r="R1118" s="23">
        <f>Parameters!P560</f>
        <v>0</v>
      </c>
      <c r="S1118" s="23">
        <f>Parameters!Q560</f>
        <v>0</v>
      </c>
      <c r="T1118" s="23">
        <f>Parameters!R560</f>
        <v>0</v>
      </c>
      <c r="U1118" s="27">
        <f>Parameters!S560</f>
        <v>0</v>
      </c>
      <c r="V1118" s="28">
        <f>Parameters!T560</f>
        <v>0</v>
      </c>
      <c r="W1118" s="27">
        <f>Parameters!U560</f>
        <v>0</v>
      </c>
      <c r="X1118" s="28">
        <f>Parameters!V560</f>
        <v>0</v>
      </c>
      <c r="Y1118" s="25">
        <f>Parameters!W560</f>
        <v>0</v>
      </c>
      <c r="Z1118" s="23">
        <f>Parameters!X560</f>
        <v>0</v>
      </c>
      <c r="AA1118" s="27">
        <f>Parameters!Y560</f>
        <v>0</v>
      </c>
      <c r="AB1118" s="28">
        <f>Parameters!Z560</f>
        <v>0</v>
      </c>
      <c r="AC1118" s="23">
        <f>Parameters!AA560</f>
        <v>0</v>
      </c>
    </row>
    <row r="1119" spans="1:29">
      <c r="A1119" s="29" t="str">
        <f>UPPER(A1118)</f>
        <v>0</v>
      </c>
      <c r="B1119" s="29">
        <f>B1118</f>
        <v>0</v>
      </c>
      <c r="C1119" s="30">
        <f>C1118</f>
        <v>0</v>
      </c>
      <c r="D1119" s="30">
        <f>D1118</f>
        <v>0</v>
      </c>
      <c r="E1119" s="29">
        <f>E1118</f>
        <v>0</v>
      </c>
      <c r="F1119" s="29">
        <f>F1118</f>
        <v>0</v>
      </c>
      <c r="G1119" s="29" t="e">
        <f>IF(C1118=1,IF(D1118="BUY",E1118+(ROUND(F1118*G1118/B1118,0)*B1118),E1118-(ROUND(F1118*G1118/B1118,0)*B1118)),IF(D1118="BUY",E1118-(ROUND(F1118*G1118/B1118,0)*B1118),E1118+(ROUND(F1118*G1118/B1118,0)*B1118)))</f>
        <v>#DIV/0!</v>
      </c>
      <c r="H1119" s="29" t="e">
        <f>IF(C1118=1,IF(D1118="BUY",G1119-(ROUND(F1118*H1118/B1118,0)*B1118),G1119+(ROUND(F1118*H1118/B1118,0)*B1118)),IF(D1118="BUY",G1119+(ROUND(F1118*H1118/B1118,0)*B1118),G1119-(ROUND(F1118*H1118/B1118,0)*B1118)))</f>
        <v>#DIV/0!</v>
      </c>
      <c r="I1119" s="29" t="e">
        <f>IF(D1118="BUY",G1119+(ROUND(F1118*I1118/(B1118*100),0)*B1118),G1119-(ROUND(F1118*I1118/(B1118*100),0)*B1118))</f>
        <v>#DIV/0!</v>
      </c>
      <c r="J1119" s="29" t="e">
        <f>IF(C1118=1,IF(D1118="BUY",E1118+(ROUND(F1118*J1118/B1118,0)*B1118),E1118-(ROUND(F1118*J1118/B1118,0)*B1118)),IF(D1118="BUY",E1118-(ROUND(F1118*J1118/B1118,0)*B1118),E1118+(ROUND(F1118*J1118/B1118,0)*B1118)))</f>
        <v>#DIV/0!</v>
      </c>
      <c r="K1119" s="29" t="e">
        <f>IF(C1118=1,IF(D1118="BUY",E1118-(ROUND(F1118*K1118/B1118,0)*B1118),E1118+(ROUND(F1118*K1118/B1118,0)*B1118)),IF(D1118="BUY",E1118-(ROUND(F1118*K1118/B1118,0)*B1118),E1118+(ROUND(F1118*K1118/B1118,0)*B1118)))</f>
        <v>#DIV/0!</v>
      </c>
      <c r="L1119" s="29" t="e">
        <f t="shared" ref="L1119" si="1673">IF(D1119="BUY",I1119+(R1119*B1119),I1119-(R1119*B1119))</f>
        <v>#DIV/0!</v>
      </c>
      <c r="M1119" s="29" t="e">
        <f>IF(D1118="BUY",E1118+(ROUND(F1118*M1118/B1118,0)*B1118),E1118-(ROUND(F1118*M1118/B1118,0)*B1118))</f>
        <v>#DIV/0!</v>
      </c>
      <c r="N1119" s="29" t="e">
        <f>IF(D1118="BUY",E1118-(ROUND(F1118*N1118/B1118,0)*B1118),E1118+(ROUND(F1118*N1118/B1118,0)*B1118))</f>
        <v>#DIV/0!</v>
      </c>
      <c r="O1119" s="31" t="e">
        <f>IF(D1119="BUY",N1119-VLOOKUP(A1119,Symbols!A$1:D$1000,4,FALSE),N1119+VLOOKUP(A1119,Symbols!A$1:D$1000,4,FALSE))</f>
        <v>#DIV/0!</v>
      </c>
      <c r="P1119" s="29">
        <f>P1118</f>
        <v>0</v>
      </c>
      <c r="Q1119" s="29">
        <f>Q1118</f>
        <v>0</v>
      </c>
      <c r="R1119" s="29">
        <f>R1118</f>
        <v>0</v>
      </c>
      <c r="S1119" s="29">
        <f>S1118</f>
        <v>0</v>
      </c>
      <c r="T1119" s="29">
        <f>T1118</f>
        <v>0</v>
      </c>
      <c r="U1119" s="29" t="e">
        <f>DATEDIF(DATE(1970,1,1),U1118,"D")*86400</f>
        <v>#NUM!</v>
      </c>
      <c r="V1119" s="29">
        <f>HOUR(V1118)*3600+MINUTE(V1118)*60+SECOND(V1118)</f>
        <v>0</v>
      </c>
      <c r="W1119" s="29" t="e">
        <f>DATEDIF(DATE(1970,1,1),W1118,"D")*86400</f>
        <v>#NUM!</v>
      </c>
      <c r="X1119" s="29">
        <f>HOUR(X1118)*3600+MINUTE(X1118)*60+SECOND(X1118)</f>
        <v>0</v>
      </c>
      <c r="Y1119" s="31">
        <f>(Y1118*B1119)</f>
        <v>0</v>
      </c>
      <c r="Z1119" s="29">
        <f>Z1118</f>
        <v>0</v>
      </c>
      <c r="AA1119" s="29" t="e">
        <f>DATEDIF(DATE(1970,1,1),AA1118,"D")*86400</f>
        <v>#NUM!</v>
      </c>
      <c r="AB1119" s="29">
        <f>HOUR(AB1118)*3600+MINUTE(AB1118)*60+SECOND(AB1118)</f>
        <v>0</v>
      </c>
      <c r="AC1119" s="29">
        <f>AC1118</f>
        <v>0</v>
      </c>
    </row>
    <row r="1120" spans="1:29">
      <c r="A1120" s="23">
        <f>Parameters!A561</f>
        <v>0</v>
      </c>
      <c r="B1120" s="23">
        <f>Parameters!B561</f>
        <v>0</v>
      </c>
      <c r="C1120" s="24">
        <f>Parameters!C561</f>
        <v>0</v>
      </c>
      <c r="D1120" s="24">
        <f>Parameters!D561</f>
        <v>0</v>
      </c>
      <c r="E1120" s="23">
        <f>Parameters!E561</f>
        <v>0</v>
      </c>
      <c r="F1120" s="23">
        <f>Parameters!F561</f>
        <v>0</v>
      </c>
      <c r="G1120" s="25">
        <f>Parameters!G561</f>
        <v>0</v>
      </c>
      <c r="H1120" s="25">
        <f>Parameters!H561</f>
        <v>0</v>
      </c>
      <c r="I1120" s="25">
        <f>Parameters!I561</f>
        <v>0</v>
      </c>
      <c r="J1120" s="25">
        <f>Parameters!J561</f>
        <v>0</v>
      </c>
      <c r="K1120" s="25">
        <f>Parameters!K561</f>
        <v>0</v>
      </c>
      <c r="L1120" s="26" t="e">
        <f t="shared" ref="L1120" si="1674">L1121</f>
        <v>#DIV/0!</v>
      </c>
      <c r="M1120" s="25">
        <f>Parameters!L561</f>
        <v>0</v>
      </c>
      <c r="N1120" s="25">
        <f>Parameters!M561</f>
        <v>0</v>
      </c>
      <c r="O1120" s="26" t="e">
        <f t="shared" ref="O1120" si="1675">O1121</f>
        <v>#DIV/0!</v>
      </c>
      <c r="P1120" s="23">
        <f>Parameters!N561</f>
        <v>0</v>
      </c>
      <c r="Q1120" s="23">
        <f>Parameters!O561</f>
        <v>0</v>
      </c>
      <c r="R1120" s="23">
        <f>Parameters!P561</f>
        <v>0</v>
      </c>
      <c r="S1120" s="23">
        <f>Parameters!Q561</f>
        <v>0</v>
      </c>
      <c r="T1120" s="23">
        <f>Parameters!R561</f>
        <v>0</v>
      </c>
      <c r="U1120" s="27">
        <f>Parameters!S561</f>
        <v>0</v>
      </c>
      <c r="V1120" s="28">
        <f>Parameters!T561</f>
        <v>0</v>
      </c>
      <c r="W1120" s="27">
        <f>Parameters!U561</f>
        <v>0</v>
      </c>
      <c r="X1120" s="28">
        <f>Parameters!V561</f>
        <v>0</v>
      </c>
      <c r="Y1120" s="25">
        <f>Parameters!W561</f>
        <v>0</v>
      </c>
      <c r="Z1120" s="23">
        <f>Parameters!X561</f>
        <v>0</v>
      </c>
      <c r="AA1120" s="27">
        <f>Parameters!Y561</f>
        <v>0</v>
      </c>
      <c r="AB1120" s="28">
        <f>Parameters!Z561</f>
        <v>0</v>
      </c>
      <c r="AC1120" s="23">
        <f>Parameters!AA561</f>
        <v>0</v>
      </c>
    </row>
    <row r="1121" spans="1:29">
      <c r="A1121" s="29" t="str">
        <f>UPPER(A1120)</f>
        <v>0</v>
      </c>
      <c r="B1121" s="29">
        <f>B1120</f>
        <v>0</v>
      </c>
      <c r="C1121" s="30">
        <f>C1120</f>
        <v>0</v>
      </c>
      <c r="D1121" s="30">
        <f>D1120</f>
        <v>0</v>
      </c>
      <c r="E1121" s="29">
        <f>E1120</f>
        <v>0</v>
      </c>
      <c r="F1121" s="29">
        <f>F1120</f>
        <v>0</v>
      </c>
      <c r="G1121" s="29" t="e">
        <f>IF(C1120=1,IF(D1120="BUY",E1120+(ROUND(F1120*G1120/B1120,0)*B1120),E1120-(ROUND(F1120*G1120/B1120,0)*B1120)),IF(D1120="BUY",E1120-(ROUND(F1120*G1120/B1120,0)*B1120),E1120+(ROUND(F1120*G1120/B1120,0)*B1120)))</f>
        <v>#DIV/0!</v>
      </c>
      <c r="H1121" s="29" t="e">
        <f>IF(C1120=1,IF(D1120="BUY",G1121-(ROUND(F1120*H1120/B1120,0)*B1120),G1121+(ROUND(F1120*H1120/B1120,0)*B1120)),IF(D1120="BUY",G1121+(ROUND(F1120*H1120/B1120,0)*B1120),G1121-(ROUND(F1120*H1120/B1120,0)*B1120)))</f>
        <v>#DIV/0!</v>
      </c>
      <c r="I1121" s="29" t="e">
        <f>IF(D1120="BUY",G1121+(ROUND(F1120*I1120/(B1120*100),0)*B1120),G1121-(ROUND(F1120*I1120/(B1120*100),0)*B1120))</f>
        <v>#DIV/0!</v>
      </c>
      <c r="J1121" s="29" t="e">
        <f>IF(C1120=1,IF(D1120="BUY",E1120+(ROUND(F1120*J1120/B1120,0)*B1120),E1120-(ROUND(F1120*J1120/B1120,0)*B1120)),IF(D1120="BUY",E1120-(ROUND(F1120*J1120/B1120,0)*B1120),E1120+(ROUND(F1120*J1120/B1120,0)*B1120)))</f>
        <v>#DIV/0!</v>
      </c>
      <c r="K1121" s="29" t="e">
        <f>IF(C1120=1,IF(D1120="BUY",E1120-(ROUND(F1120*K1120/B1120,0)*B1120),E1120+(ROUND(F1120*K1120/B1120,0)*B1120)),IF(D1120="BUY",E1120-(ROUND(F1120*K1120/B1120,0)*B1120),E1120+(ROUND(F1120*K1120/B1120,0)*B1120)))</f>
        <v>#DIV/0!</v>
      </c>
      <c r="L1121" s="29" t="e">
        <f t="shared" ref="L1121" si="1676">IF(D1121="BUY",I1121+(R1121*B1121),I1121-(R1121*B1121))</f>
        <v>#DIV/0!</v>
      </c>
      <c r="M1121" s="29" t="e">
        <f>IF(D1120="BUY",E1120+(ROUND(F1120*M1120/B1120,0)*B1120),E1120-(ROUND(F1120*M1120/B1120,0)*B1120))</f>
        <v>#DIV/0!</v>
      </c>
      <c r="N1121" s="29" t="e">
        <f>IF(D1120="BUY",E1120-(ROUND(F1120*N1120/B1120,0)*B1120),E1120+(ROUND(F1120*N1120/B1120,0)*B1120))</f>
        <v>#DIV/0!</v>
      </c>
      <c r="O1121" s="31" t="e">
        <f>IF(D1121="BUY",N1121-VLOOKUP(A1121,Symbols!A$1:D$1000,4,FALSE),N1121+VLOOKUP(A1121,Symbols!A$1:D$1000,4,FALSE))</f>
        <v>#DIV/0!</v>
      </c>
      <c r="P1121" s="29">
        <f>P1120</f>
        <v>0</v>
      </c>
      <c r="Q1121" s="29">
        <f>Q1120</f>
        <v>0</v>
      </c>
      <c r="R1121" s="29">
        <f>R1120</f>
        <v>0</v>
      </c>
      <c r="S1121" s="29">
        <f>S1120</f>
        <v>0</v>
      </c>
      <c r="T1121" s="29">
        <f>T1120</f>
        <v>0</v>
      </c>
      <c r="U1121" s="29" t="e">
        <f>DATEDIF(DATE(1970,1,1),U1120,"D")*86400</f>
        <v>#NUM!</v>
      </c>
      <c r="V1121" s="29">
        <f>HOUR(V1120)*3600+MINUTE(V1120)*60+SECOND(V1120)</f>
        <v>0</v>
      </c>
      <c r="W1121" s="29" t="e">
        <f>DATEDIF(DATE(1970,1,1),W1120,"D")*86400</f>
        <v>#NUM!</v>
      </c>
      <c r="X1121" s="29">
        <f>HOUR(X1120)*3600+MINUTE(X1120)*60+SECOND(X1120)</f>
        <v>0</v>
      </c>
      <c r="Y1121" s="31">
        <f>(Y1120*B1121)</f>
        <v>0</v>
      </c>
      <c r="Z1121" s="29">
        <f>Z1120</f>
        <v>0</v>
      </c>
      <c r="AA1121" s="29" t="e">
        <f>DATEDIF(DATE(1970,1,1),AA1120,"D")*86400</f>
        <v>#NUM!</v>
      </c>
      <c r="AB1121" s="29">
        <f>HOUR(AB1120)*3600+MINUTE(AB1120)*60+SECOND(AB1120)</f>
        <v>0</v>
      </c>
      <c r="AC1121" s="29">
        <f>AC1120</f>
        <v>0</v>
      </c>
    </row>
    <row r="1122" spans="1:29">
      <c r="A1122" s="23">
        <f>Parameters!A562</f>
        <v>0</v>
      </c>
      <c r="B1122" s="23">
        <f>Parameters!B562</f>
        <v>0</v>
      </c>
      <c r="C1122" s="24">
        <f>Parameters!C562</f>
        <v>0</v>
      </c>
      <c r="D1122" s="24">
        <f>Parameters!D562</f>
        <v>0</v>
      </c>
      <c r="E1122" s="23">
        <f>Parameters!E562</f>
        <v>0</v>
      </c>
      <c r="F1122" s="23">
        <f>Parameters!F562</f>
        <v>0</v>
      </c>
      <c r="G1122" s="25">
        <f>Parameters!G562</f>
        <v>0</v>
      </c>
      <c r="H1122" s="25">
        <f>Parameters!H562</f>
        <v>0</v>
      </c>
      <c r="I1122" s="25">
        <f>Parameters!I562</f>
        <v>0</v>
      </c>
      <c r="J1122" s="25">
        <f>Parameters!J562</f>
        <v>0</v>
      </c>
      <c r="K1122" s="25">
        <f>Parameters!K562</f>
        <v>0</v>
      </c>
      <c r="L1122" s="26" t="e">
        <f t="shared" ref="L1122" si="1677">L1123</f>
        <v>#DIV/0!</v>
      </c>
      <c r="M1122" s="25">
        <f>Parameters!L562</f>
        <v>0</v>
      </c>
      <c r="N1122" s="25">
        <f>Parameters!M562</f>
        <v>0</v>
      </c>
      <c r="O1122" s="26" t="e">
        <f t="shared" ref="O1122" si="1678">O1123</f>
        <v>#DIV/0!</v>
      </c>
      <c r="P1122" s="23">
        <f>Parameters!N562</f>
        <v>0</v>
      </c>
      <c r="Q1122" s="23">
        <f>Parameters!O562</f>
        <v>0</v>
      </c>
      <c r="R1122" s="23">
        <f>Parameters!P562</f>
        <v>0</v>
      </c>
      <c r="S1122" s="23">
        <f>Parameters!Q562</f>
        <v>0</v>
      </c>
      <c r="T1122" s="23">
        <f>Parameters!R562</f>
        <v>0</v>
      </c>
      <c r="U1122" s="27">
        <f>Parameters!S562</f>
        <v>0</v>
      </c>
      <c r="V1122" s="28">
        <f>Parameters!T562</f>
        <v>0</v>
      </c>
      <c r="W1122" s="27">
        <f>Parameters!U562</f>
        <v>0</v>
      </c>
      <c r="X1122" s="28">
        <f>Parameters!V562</f>
        <v>0</v>
      </c>
      <c r="Y1122" s="25">
        <f>Parameters!W562</f>
        <v>0</v>
      </c>
      <c r="Z1122" s="23">
        <f>Parameters!X562</f>
        <v>0</v>
      </c>
      <c r="AA1122" s="27">
        <f>Parameters!Y562</f>
        <v>0</v>
      </c>
      <c r="AB1122" s="28">
        <f>Parameters!Z562</f>
        <v>0</v>
      </c>
      <c r="AC1122" s="23">
        <f>Parameters!AA562</f>
        <v>0</v>
      </c>
    </row>
    <row r="1123" spans="1:29">
      <c r="A1123" s="29" t="str">
        <f>UPPER(A1122)</f>
        <v>0</v>
      </c>
      <c r="B1123" s="29">
        <f>B1122</f>
        <v>0</v>
      </c>
      <c r="C1123" s="30">
        <f>C1122</f>
        <v>0</v>
      </c>
      <c r="D1123" s="30">
        <f>D1122</f>
        <v>0</v>
      </c>
      <c r="E1123" s="29">
        <f>E1122</f>
        <v>0</v>
      </c>
      <c r="F1123" s="29">
        <f>F1122</f>
        <v>0</v>
      </c>
      <c r="G1123" s="29" t="e">
        <f>IF(C1122=1,IF(D1122="BUY",E1122+(ROUND(F1122*G1122/B1122,0)*B1122),E1122-(ROUND(F1122*G1122/B1122,0)*B1122)),IF(D1122="BUY",E1122-(ROUND(F1122*G1122/B1122,0)*B1122),E1122+(ROUND(F1122*G1122/B1122,0)*B1122)))</f>
        <v>#DIV/0!</v>
      </c>
      <c r="H1123" s="29" t="e">
        <f>IF(C1122=1,IF(D1122="BUY",G1123-(ROUND(F1122*H1122/B1122,0)*B1122),G1123+(ROUND(F1122*H1122/B1122,0)*B1122)),IF(D1122="BUY",G1123+(ROUND(F1122*H1122/B1122,0)*B1122),G1123-(ROUND(F1122*H1122/B1122,0)*B1122)))</f>
        <v>#DIV/0!</v>
      </c>
      <c r="I1123" s="29" t="e">
        <f>IF(D1122="BUY",G1123+(ROUND(F1122*I1122/(B1122*100),0)*B1122),G1123-(ROUND(F1122*I1122/(B1122*100),0)*B1122))</f>
        <v>#DIV/0!</v>
      </c>
      <c r="J1123" s="29" t="e">
        <f>IF(C1122=1,IF(D1122="BUY",E1122+(ROUND(F1122*J1122/B1122,0)*B1122),E1122-(ROUND(F1122*J1122/B1122,0)*B1122)),IF(D1122="BUY",E1122-(ROUND(F1122*J1122/B1122,0)*B1122),E1122+(ROUND(F1122*J1122/B1122,0)*B1122)))</f>
        <v>#DIV/0!</v>
      </c>
      <c r="K1123" s="29" t="e">
        <f>IF(C1122=1,IF(D1122="BUY",E1122-(ROUND(F1122*K1122/B1122,0)*B1122),E1122+(ROUND(F1122*K1122/B1122,0)*B1122)),IF(D1122="BUY",E1122-(ROUND(F1122*K1122/B1122,0)*B1122),E1122+(ROUND(F1122*K1122/B1122,0)*B1122)))</f>
        <v>#DIV/0!</v>
      </c>
      <c r="L1123" s="29" t="e">
        <f t="shared" ref="L1123" si="1679">IF(D1123="BUY",I1123+(R1123*B1123),I1123-(R1123*B1123))</f>
        <v>#DIV/0!</v>
      </c>
      <c r="M1123" s="29" t="e">
        <f>IF(D1122="BUY",E1122+(ROUND(F1122*M1122/B1122,0)*B1122),E1122-(ROUND(F1122*M1122/B1122,0)*B1122))</f>
        <v>#DIV/0!</v>
      </c>
      <c r="N1123" s="29" t="e">
        <f>IF(D1122="BUY",E1122-(ROUND(F1122*N1122/B1122,0)*B1122),E1122+(ROUND(F1122*N1122/B1122,0)*B1122))</f>
        <v>#DIV/0!</v>
      </c>
      <c r="O1123" s="31" t="e">
        <f>IF(D1123="BUY",N1123-VLOOKUP(A1123,Symbols!A$1:D$1000,4,FALSE),N1123+VLOOKUP(A1123,Symbols!A$1:D$1000,4,FALSE))</f>
        <v>#DIV/0!</v>
      </c>
      <c r="P1123" s="29">
        <f>P1122</f>
        <v>0</v>
      </c>
      <c r="Q1123" s="29">
        <f>Q1122</f>
        <v>0</v>
      </c>
      <c r="R1123" s="29">
        <f>R1122</f>
        <v>0</v>
      </c>
      <c r="S1123" s="29">
        <f>S1122</f>
        <v>0</v>
      </c>
      <c r="T1123" s="29">
        <f>T1122</f>
        <v>0</v>
      </c>
      <c r="U1123" s="29" t="e">
        <f>DATEDIF(DATE(1970,1,1),U1122,"D")*86400</f>
        <v>#NUM!</v>
      </c>
      <c r="V1123" s="29">
        <f>HOUR(V1122)*3600+MINUTE(V1122)*60+SECOND(V1122)</f>
        <v>0</v>
      </c>
      <c r="W1123" s="29" t="e">
        <f>DATEDIF(DATE(1970,1,1),W1122,"D")*86400</f>
        <v>#NUM!</v>
      </c>
      <c r="X1123" s="29">
        <f>HOUR(X1122)*3600+MINUTE(X1122)*60+SECOND(X1122)</f>
        <v>0</v>
      </c>
      <c r="Y1123" s="31">
        <f>(Y1122*B1123)</f>
        <v>0</v>
      </c>
      <c r="Z1123" s="29">
        <f>Z1122</f>
        <v>0</v>
      </c>
      <c r="AA1123" s="29" t="e">
        <f>DATEDIF(DATE(1970,1,1),AA1122,"D")*86400</f>
        <v>#NUM!</v>
      </c>
      <c r="AB1123" s="29">
        <f>HOUR(AB1122)*3600+MINUTE(AB1122)*60+SECOND(AB1122)</f>
        <v>0</v>
      </c>
      <c r="AC1123" s="29">
        <f>AC1122</f>
        <v>0</v>
      </c>
    </row>
    <row r="1124" spans="1:29">
      <c r="A1124" s="23">
        <f>Parameters!A563</f>
        <v>0</v>
      </c>
      <c r="B1124" s="23">
        <f>Parameters!B563</f>
        <v>0</v>
      </c>
      <c r="C1124" s="24">
        <f>Parameters!C563</f>
        <v>0</v>
      </c>
      <c r="D1124" s="24">
        <f>Parameters!D563</f>
        <v>0</v>
      </c>
      <c r="E1124" s="23">
        <f>Parameters!E563</f>
        <v>0</v>
      </c>
      <c r="F1124" s="23">
        <f>Parameters!F563</f>
        <v>0</v>
      </c>
      <c r="G1124" s="25">
        <f>Parameters!G563</f>
        <v>0</v>
      </c>
      <c r="H1124" s="25">
        <f>Parameters!H563</f>
        <v>0</v>
      </c>
      <c r="I1124" s="25">
        <f>Parameters!I563</f>
        <v>0</v>
      </c>
      <c r="J1124" s="25">
        <f>Parameters!J563</f>
        <v>0</v>
      </c>
      <c r="K1124" s="25">
        <f>Parameters!K563</f>
        <v>0</v>
      </c>
      <c r="L1124" s="26" t="e">
        <f t="shared" ref="L1124" si="1680">L1125</f>
        <v>#DIV/0!</v>
      </c>
      <c r="M1124" s="25">
        <f>Parameters!L563</f>
        <v>0</v>
      </c>
      <c r="N1124" s="25">
        <f>Parameters!M563</f>
        <v>0</v>
      </c>
      <c r="O1124" s="26" t="e">
        <f t="shared" ref="O1124" si="1681">O1125</f>
        <v>#DIV/0!</v>
      </c>
      <c r="P1124" s="23">
        <f>Parameters!N563</f>
        <v>0</v>
      </c>
      <c r="Q1124" s="23">
        <f>Parameters!O563</f>
        <v>0</v>
      </c>
      <c r="R1124" s="23">
        <f>Parameters!P563</f>
        <v>0</v>
      </c>
      <c r="S1124" s="23">
        <f>Parameters!Q563</f>
        <v>0</v>
      </c>
      <c r="T1124" s="23">
        <f>Parameters!R563</f>
        <v>0</v>
      </c>
      <c r="U1124" s="27">
        <f>Parameters!S563</f>
        <v>0</v>
      </c>
      <c r="V1124" s="28">
        <f>Parameters!T563</f>
        <v>0</v>
      </c>
      <c r="W1124" s="27">
        <f>Parameters!U563</f>
        <v>0</v>
      </c>
      <c r="X1124" s="28">
        <f>Parameters!V563</f>
        <v>0</v>
      </c>
      <c r="Y1124" s="25">
        <f>Parameters!W563</f>
        <v>0</v>
      </c>
      <c r="Z1124" s="23">
        <f>Parameters!X563</f>
        <v>0</v>
      </c>
      <c r="AA1124" s="27">
        <f>Parameters!Y563</f>
        <v>0</v>
      </c>
      <c r="AB1124" s="28">
        <f>Parameters!Z563</f>
        <v>0</v>
      </c>
      <c r="AC1124" s="23">
        <f>Parameters!AA563</f>
        <v>0</v>
      </c>
    </row>
    <row r="1125" spans="1:29">
      <c r="A1125" s="29" t="str">
        <f>UPPER(A1124)</f>
        <v>0</v>
      </c>
      <c r="B1125" s="29">
        <f>B1124</f>
        <v>0</v>
      </c>
      <c r="C1125" s="30">
        <f>C1124</f>
        <v>0</v>
      </c>
      <c r="D1125" s="30">
        <f>D1124</f>
        <v>0</v>
      </c>
      <c r="E1125" s="29">
        <f>E1124</f>
        <v>0</v>
      </c>
      <c r="F1125" s="29">
        <f>F1124</f>
        <v>0</v>
      </c>
      <c r="G1125" s="29" t="e">
        <f>IF(C1124=1,IF(D1124="BUY",E1124+(ROUND(F1124*G1124/B1124,0)*B1124),E1124-(ROUND(F1124*G1124/B1124,0)*B1124)),IF(D1124="BUY",E1124-(ROUND(F1124*G1124/B1124,0)*B1124),E1124+(ROUND(F1124*G1124/B1124,0)*B1124)))</f>
        <v>#DIV/0!</v>
      </c>
      <c r="H1125" s="29" t="e">
        <f>IF(C1124=1,IF(D1124="BUY",G1125-(ROUND(F1124*H1124/B1124,0)*B1124),G1125+(ROUND(F1124*H1124/B1124,0)*B1124)),IF(D1124="BUY",G1125+(ROUND(F1124*H1124/B1124,0)*B1124),G1125-(ROUND(F1124*H1124/B1124,0)*B1124)))</f>
        <v>#DIV/0!</v>
      </c>
      <c r="I1125" s="29" t="e">
        <f>IF(D1124="BUY",G1125+(ROUND(F1124*I1124/(B1124*100),0)*B1124),G1125-(ROUND(F1124*I1124/(B1124*100),0)*B1124))</f>
        <v>#DIV/0!</v>
      </c>
      <c r="J1125" s="29" t="e">
        <f>IF(C1124=1,IF(D1124="BUY",E1124+(ROUND(F1124*J1124/B1124,0)*B1124),E1124-(ROUND(F1124*J1124/B1124,0)*B1124)),IF(D1124="BUY",E1124-(ROUND(F1124*J1124/B1124,0)*B1124),E1124+(ROUND(F1124*J1124/B1124,0)*B1124)))</f>
        <v>#DIV/0!</v>
      </c>
      <c r="K1125" s="29" t="e">
        <f>IF(C1124=1,IF(D1124="BUY",E1124-(ROUND(F1124*K1124/B1124,0)*B1124),E1124+(ROUND(F1124*K1124/B1124,0)*B1124)),IF(D1124="BUY",E1124-(ROUND(F1124*K1124/B1124,0)*B1124),E1124+(ROUND(F1124*K1124/B1124,0)*B1124)))</f>
        <v>#DIV/0!</v>
      </c>
      <c r="L1125" s="29" t="e">
        <f t="shared" ref="L1125" si="1682">IF(D1125="BUY",I1125+(R1125*B1125),I1125-(R1125*B1125))</f>
        <v>#DIV/0!</v>
      </c>
      <c r="M1125" s="29" t="e">
        <f>IF(D1124="BUY",E1124+(ROUND(F1124*M1124/B1124,0)*B1124),E1124-(ROUND(F1124*M1124/B1124,0)*B1124))</f>
        <v>#DIV/0!</v>
      </c>
      <c r="N1125" s="29" t="e">
        <f>IF(D1124="BUY",E1124-(ROUND(F1124*N1124/B1124,0)*B1124),E1124+(ROUND(F1124*N1124/B1124,0)*B1124))</f>
        <v>#DIV/0!</v>
      </c>
      <c r="O1125" s="31" t="e">
        <f>IF(D1125="BUY",N1125-VLOOKUP(A1125,Symbols!A$1:D$1000,4,FALSE),N1125+VLOOKUP(A1125,Symbols!A$1:D$1000,4,FALSE))</f>
        <v>#DIV/0!</v>
      </c>
      <c r="P1125" s="29">
        <f>P1124</f>
        <v>0</v>
      </c>
      <c r="Q1125" s="29">
        <f>Q1124</f>
        <v>0</v>
      </c>
      <c r="R1125" s="29">
        <f>R1124</f>
        <v>0</v>
      </c>
      <c r="S1125" s="29">
        <f>S1124</f>
        <v>0</v>
      </c>
      <c r="T1125" s="29">
        <f>T1124</f>
        <v>0</v>
      </c>
      <c r="U1125" s="29" t="e">
        <f>DATEDIF(DATE(1970,1,1),U1124,"D")*86400</f>
        <v>#NUM!</v>
      </c>
      <c r="V1125" s="29">
        <f>HOUR(V1124)*3600+MINUTE(V1124)*60+SECOND(V1124)</f>
        <v>0</v>
      </c>
      <c r="W1125" s="29" t="e">
        <f>DATEDIF(DATE(1970,1,1),W1124,"D")*86400</f>
        <v>#NUM!</v>
      </c>
      <c r="X1125" s="29">
        <f>HOUR(X1124)*3600+MINUTE(X1124)*60+SECOND(X1124)</f>
        <v>0</v>
      </c>
      <c r="Y1125" s="31">
        <f>(Y1124*B1125)</f>
        <v>0</v>
      </c>
      <c r="Z1125" s="29">
        <f>Z1124</f>
        <v>0</v>
      </c>
      <c r="AA1125" s="29" t="e">
        <f>DATEDIF(DATE(1970,1,1),AA1124,"D")*86400</f>
        <v>#NUM!</v>
      </c>
      <c r="AB1125" s="29">
        <f>HOUR(AB1124)*3600+MINUTE(AB1124)*60+SECOND(AB1124)</f>
        <v>0</v>
      </c>
      <c r="AC1125" s="29">
        <f>AC1124</f>
        <v>0</v>
      </c>
    </row>
    <row r="1126" spans="1:29">
      <c r="A1126" s="23">
        <f>Parameters!A564</f>
        <v>0</v>
      </c>
      <c r="B1126" s="23">
        <f>Parameters!B564</f>
        <v>0</v>
      </c>
      <c r="C1126" s="24">
        <f>Parameters!C564</f>
        <v>0</v>
      </c>
      <c r="D1126" s="24">
        <f>Parameters!D564</f>
        <v>0</v>
      </c>
      <c r="E1126" s="23">
        <f>Parameters!E564</f>
        <v>0</v>
      </c>
      <c r="F1126" s="23">
        <f>Parameters!F564</f>
        <v>0</v>
      </c>
      <c r="G1126" s="25">
        <f>Parameters!G564</f>
        <v>0</v>
      </c>
      <c r="H1126" s="25">
        <f>Parameters!H564</f>
        <v>0</v>
      </c>
      <c r="I1126" s="25">
        <f>Parameters!I564</f>
        <v>0</v>
      </c>
      <c r="J1126" s="25">
        <f>Parameters!J564</f>
        <v>0</v>
      </c>
      <c r="K1126" s="25">
        <f>Parameters!K564</f>
        <v>0</v>
      </c>
      <c r="L1126" s="26" t="e">
        <f t="shared" ref="L1126" si="1683">L1127</f>
        <v>#DIV/0!</v>
      </c>
      <c r="M1126" s="25">
        <f>Parameters!L564</f>
        <v>0</v>
      </c>
      <c r="N1126" s="25">
        <f>Parameters!M564</f>
        <v>0</v>
      </c>
      <c r="O1126" s="26" t="e">
        <f t="shared" ref="O1126" si="1684">O1127</f>
        <v>#DIV/0!</v>
      </c>
      <c r="P1126" s="23">
        <f>Parameters!N564</f>
        <v>0</v>
      </c>
      <c r="Q1126" s="23">
        <f>Parameters!O564</f>
        <v>0</v>
      </c>
      <c r="R1126" s="23">
        <f>Parameters!P564</f>
        <v>0</v>
      </c>
      <c r="S1126" s="23">
        <f>Parameters!Q564</f>
        <v>0</v>
      </c>
      <c r="T1126" s="23">
        <f>Parameters!R564</f>
        <v>0</v>
      </c>
      <c r="U1126" s="27">
        <f>Parameters!S564</f>
        <v>0</v>
      </c>
      <c r="V1126" s="28">
        <f>Parameters!T564</f>
        <v>0</v>
      </c>
      <c r="W1126" s="27">
        <f>Parameters!U564</f>
        <v>0</v>
      </c>
      <c r="X1126" s="28">
        <f>Parameters!V564</f>
        <v>0</v>
      </c>
      <c r="Y1126" s="25">
        <f>Parameters!W564</f>
        <v>0</v>
      </c>
      <c r="Z1126" s="23">
        <f>Parameters!X564</f>
        <v>0</v>
      </c>
      <c r="AA1126" s="27">
        <f>Parameters!Y564</f>
        <v>0</v>
      </c>
      <c r="AB1126" s="28">
        <f>Parameters!Z564</f>
        <v>0</v>
      </c>
      <c r="AC1126" s="23">
        <f>Parameters!AA564</f>
        <v>0</v>
      </c>
    </row>
    <row r="1127" spans="1:29">
      <c r="A1127" s="29" t="str">
        <f>UPPER(A1126)</f>
        <v>0</v>
      </c>
      <c r="B1127" s="29">
        <f>B1126</f>
        <v>0</v>
      </c>
      <c r="C1127" s="30">
        <f>C1126</f>
        <v>0</v>
      </c>
      <c r="D1127" s="30">
        <f>D1126</f>
        <v>0</v>
      </c>
      <c r="E1127" s="29">
        <f>E1126</f>
        <v>0</v>
      </c>
      <c r="F1127" s="29">
        <f>F1126</f>
        <v>0</v>
      </c>
      <c r="G1127" s="29" t="e">
        <f>IF(C1126=1,IF(D1126="BUY",E1126+(ROUND(F1126*G1126/B1126,0)*B1126),E1126-(ROUND(F1126*G1126/B1126,0)*B1126)),IF(D1126="BUY",E1126-(ROUND(F1126*G1126/B1126,0)*B1126),E1126+(ROUND(F1126*G1126/B1126,0)*B1126)))</f>
        <v>#DIV/0!</v>
      </c>
      <c r="H1127" s="29" t="e">
        <f>IF(C1126=1,IF(D1126="BUY",G1127-(ROUND(F1126*H1126/B1126,0)*B1126),G1127+(ROUND(F1126*H1126/B1126,0)*B1126)),IF(D1126="BUY",G1127+(ROUND(F1126*H1126/B1126,0)*B1126),G1127-(ROUND(F1126*H1126/B1126,0)*B1126)))</f>
        <v>#DIV/0!</v>
      </c>
      <c r="I1127" s="29" t="e">
        <f>IF(D1126="BUY",G1127+(ROUND(F1126*I1126/(B1126*100),0)*B1126),G1127-(ROUND(F1126*I1126/(B1126*100),0)*B1126))</f>
        <v>#DIV/0!</v>
      </c>
      <c r="J1127" s="29" t="e">
        <f>IF(C1126=1,IF(D1126="BUY",E1126+(ROUND(F1126*J1126/B1126,0)*B1126),E1126-(ROUND(F1126*J1126/B1126,0)*B1126)),IF(D1126="BUY",E1126-(ROUND(F1126*J1126/B1126,0)*B1126),E1126+(ROUND(F1126*J1126/B1126,0)*B1126)))</f>
        <v>#DIV/0!</v>
      </c>
      <c r="K1127" s="29" t="e">
        <f>IF(C1126=1,IF(D1126="BUY",E1126-(ROUND(F1126*K1126/B1126,0)*B1126),E1126+(ROUND(F1126*K1126/B1126,0)*B1126)),IF(D1126="BUY",E1126-(ROUND(F1126*K1126/B1126,0)*B1126),E1126+(ROUND(F1126*K1126/B1126,0)*B1126)))</f>
        <v>#DIV/0!</v>
      </c>
      <c r="L1127" s="29" t="e">
        <f t="shared" ref="L1127" si="1685">IF(D1127="BUY",I1127+(R1127*B1127),I1127-(R1127*B1127))</f>
        <v>#DIV/0!</v>
      </c>
      <c r="M1127" s="29" t="e">
        <f>IF(D1126="BUY",E1126+(ROUND(F1126*M1126/B1126,0)*B1126),E1126-(ROUND(F1126*M1126/B1126,0)*B1126))</f>
        <v>#DIV/0!</v>
      </c>
      <c r="N1127" s="29" t="e">
        <f>IF(D1126="BUY",E1126-(ROUND(F1126*N1126/B1126,0)*B1126),E1126+(ROUND(F1126*N1126/B1126,0)*B1126))</f>
        <v>#DIV/0!</v>
      </c>
      <c r="O1127" s="31" t="e">
        <f>IF(D1127="BUY",N1127-VLOOKUP(A1127,Symbols!A$1:D$1000,4,FALSE),N1127+VLOOKUP(A1127,Symbols!A$1:D$1000,4,FALSE))</f>
        <v>#DIV/0!</v>
      </c>
      <c r="P1127" s="29">
        <f>P1126</f>
        <v>0</v>
      </c>
      <c r="Q1127" s="29">
        <f>Q1126</f>
        <v>0</v>
      </c>
      <c r="R1127" s="29">
        <f>R1126</f>
        <v>0</v>
      </c>
      <c r="S1127" s="29">
        <f>S1126</f>
        <v>0</v>
      </c>
      <c r="T1127" s="29">
        <f>T1126</f>
        <v>0</v>
      </c>
      <c r="U1127" s="29" t="e">
        <f>DATEDIF(DATE(1970,1,1),U1126,"D")*86400</f>
        <v>#NUM!</v>
      </c>
      <c r="V1127" s="29">
        <f>HOUR(V1126)*3600+MINUTE(V1126)*60+SECOND(V1126)</f>
        <v>0</v>
      </c>
      <c r="W1127" s="29" t="e">
        <f>DATEDIF(DATE(1970,1,1),W1126,"D")*86400</f>
        <v>#NUM!</v>
      </c>
      <c r="X1127" s="29">
        <f>HOUR(X1126)*3600+MINUTE(X1126)*60+SECOND(X1126)</f>
        <v>0</v>
      </c>
      <c r="Y1127" s="31">
        <f>(Y1126*B1127)</f>
        <v>0</v>
      </c>
      <c r="Z1127" s="29">
        <f>Z1126</f>
        <v>0</v>
      </c>
      <c r="AA1127" s="29" t="e">
        <f>DATEDIF(DATE(1970,1,1),AA1126,"D")*86400</f>
        <v>#NUM!</v>
      </c>
      <c r="AB1127" s="29">
        <f>HOUR(AB1126)*3600+MINUTE(AB1126)*60+SECOND(AB1126)</f>
        <v>0</v>
      </c>
      <c r="AC1127" s="29">
        <f>AC1126</f>
        <v>0</v>
      </c>
    </row>
    <row r="1128" spans="1:29">
      <c r="A1128" s="23">
        <f>Parameters!A565</f>
        <v>0</v>
      </c>
      <c r="B1128" s="23">
        <f>Parameters!B565</f>
        <v>0</v>
      </c>
      <c r="C1128" s="24">
        <f>Parameters!C565</f>
        <v>0</v>
      </c>
      <c r="D1128" s="24">
        <f>Parameters!D565</f>
        <v>0</v>
      </c>
      <c r="E1128" s="23">
        <f>Parameters!E565</f>
        <v>0</v>
      </c>
      <c r="F1128" s="23">
        <f>Parameters!F565</f>
        <v>0</v>
      </c>
      <c r="G1128" s="25">
        <f>Parameters!G565</f>
        <v>0</v>
      </c>
      <c r="H1128" s="25">
        <f>Parameters!H565</f>
        <v>0</v>
      </c>
      <c r="I1128" s="25">
        <f>Parameters!I565</f>
        <v>0</v>
      </c>
      <c r="J1128" s="25">
        <f>Parameters!J565</f>
        <v>0</v>
      </c>
      <c r="K1128" s="25">
        <f>Parameters!K565</f>
        <v>0</v>
      </c>
      <c r="L1128" s="26" t="e">
        <f t="shared" ref="L1128" si="1686">L1129</f>
        <v>#DIV/0!</v>
      </c>
      <c r="M1128" s="25">
        <f>Parameters!L565</f>
        <v>0</v>
      </c>
      <c r="N1128" s="25">
        <f>Parameters!M565</f>
        <v>0</v>
      </c>
      <c r="O1128" s="26" t="e">
        <f t="shared" ref="O1128" si="1687">O1129</f>
        <v>#DIV/0!</v>
      </c>
      <c r="P1128" s="23">
        <f>Parameters!N565</f>
        <v>0</v>
      </c>
      <c r="Q1128" s="23">
        <f>Parameters!O565</f>
        <v>0</v>
      </c>
      <c r="R1128" s="23">
        <f>Parameters!P565</f>
        <v>0</v>
      </c>
      <c r="S1128" s="23">
        <f>Parameters!Q565</f>
        <v>0</v>
      </c>
      <c r="T1128" s="23">
        <f>Parameters!R565</f>
        <v>0</v>
      </c>
      <c r="U1128" s="27">
        <f>Parameters!S565</f>
        <v>0</v>
      </c>
      <c r="V1128" s="28">
        <f>Parameters!T565</f>
        <v>0</v>
      </c>
      <c r="W1128" s="27">
        <f>Parameters!U565</f>
        <v>0</v>
      </c>
      <c r="X1128" s="28">
        <f>Parameters!V565</f>
        <v>0</v>
      </c>
      <c r="Y1128" s="25">
        <f>Parameters!W565</f>
        <v>0</v>
      </c>
      <c r="Z1128" s="23">
        <f>Parameters!X565</f>
        <v>0</v>
      </c>
      <c r="AA1128" s="27">
        <f>Parameters!Y565</f>
        <v>0</v>
      </c>
      <c r="AB1128" s="28">
        <f>Parameters!Z565</f>
        <v>0</v>
      </c>
      <c r="AC1128" s="23">
        <f>Parameters!AA565</f>
        <v>0</v>
      </c>
    </row>
    <row r="1129" spans="1:29">
      <c r="A1129" s="29" t="str">
        <f>UPPER(A1128)</f>
        <v>0</v>
      </c>
      <c r="B1129" s="29">
        <f>B1128</f>
        <v>0</v>
      </c>
      <c r="C1129" s="30">
        <f>C1128</f>
        <v>0</v>
      </c>
      <c r="D1129" s="30">
        <f>D1128</f>
        <v>0</v>
      </c>
      <c r="E1129" s="29">
        <f>E1128</f>
        <v>0</v>
      </c>
      <c r="F1129" s="29">
        <f>F1128</f>
        <v>0</v>
      </c>
      <c r="G1129" s="29" t="e">
        <f>IF(C1128=1,IF(D1128="BUY",E1128+(ROUND(F1128*G1128/B1128,0)*B1128),E1128-(ROUND(F1128*G1128/B1128,0)*B1128)),IF(D1128="BUY",E1128-(ROUND(F1128*G1128/B1128,0)*B1128),E1128+(ROUND(F1128*G1128/B1128,0)*B1128)))</f>
        <v>#DIV/0!</v>
      </c>
      <c r="H1129" s="29" t="e">
        <f>IF(C1128=1,IF(D1128="BUY",G1129-(ROUND(F1128*H1128/B1128,0)*B1128),G1129+(ROUND(F1128*H1128/B1128,0)*B1128)),IF(D1128="BUY",G1129+(ROUND(F1128*H1128/B1128,0)*B1128),G1129-(ROUND(F1128*H1128/B1128,0)*B1128)))</f>
        <v>#DIV/0!</v>
      </c>
      <c r="I1129" s="29" t="e">
        <f>IF(D1128="BUY",G1129+(ROUND(F1128*I1128/(B1128*100),0)*B1128),G1129-(ROUND(F1128*I1128/(B1128*100),0)*B1128))</f>
        <v>#DIV/0!</v>
      </c>
      <c r="J1129" s="29" t="e">
        <f>IF(C1128=1,IF(D1128="BUY",E1128+(ROUND(F1128*J1128/B1128,0)*B1128),E1128-(ROUND(F1128*J1128/B1128,0)*B1128)),IF(D1128="BUY",E1128-(ROUND(F1128*J1128/B1128,0)*B1128),E1128+(ROUND(F1128*J1128/B1128,0)*B1128)))</f>
        <v>#DIV/0!</v>
      </c>
      <c r="K1129" s="29" t="e">
        <f>IF(C1128=1,IF(D1128="BUY",E1128-(ROUND(F1128*K1128/B1128,0)*B1128),E1128+(ROUND(F1128*K1128/B1128,0)*B1128)),IF(D1128="BUY",E1128-(ROUND(F1128*K1128/B1128,0)*B1128),E1128+(ROUND(F1128*K1128/B1128,0)*B1128)))</f>
        <v>#DIV/0!</v>
      </c>
      <c r="L1129" s="29" t="e">
        <f t="shared" ref="L1129" si="1688">IF(D1129="BUY",I1129+(R1129*B1129),I1129-(R1129*B1129))</f>
        <v>#DIV/0!</v>
      </c>
      <c r="M1129" s="29" t="e">
        <f>IF(D1128="BUY",E1128+(ROUND(F1128*M1128/B1128,0)*B1128),E1128-(ROUND(F1128*M1128/B1128,0)*B1128))</f>
        <v>#DIV/0!</v>
      </c>
      <c r="N1129" s="29" t="e">
        <f>IF(D1128="BUY",E1128-(ROUND(F1128*N1128/B1128,0)*B1128),E1128+(ROUND(F1128*N1128/B1128,0)*B1128))</f>
        <v>#DIV/0!</v>
      </c>
      <c r="O1129" s="31" t="e">
        <f>IF(D1129="BUY",N1129-VLOOKUP(A1129,Symbols!A$1:D$1000,4,FALSE),N1129+VLOOKUP(A1129,Symbols!A$1:D$1000,4,FALSE))</f>
        <v>#DIV/0!</v>
      </c>
      <c r="P1129" s="29">
        <f>P1128</f>
        <v>0</v>
      </c>
      <c r="Q1129" s="29">
        <f>Q1128</f>
        <v>0</v>
      </c>
      <c r="R1129" s="29">
        <f>R1128</f>
        <v>0</v>
      </c>
      <c r="S1129" s="29">
        <f>S1128</f>
        <v>0</v>
      </c>
      <c r="T1129" s="29">
        <f>T1128</f>
        <v>0</v>
      </c>
      <c r="U1129" s="29" t="e">
        <f>DATEDIF(DATE(1970,1,1),U1128,"D")*86400</f>
        <v>#NUM!</v>
      </c>
      <c r="V1129" s="29">
        <f>HOUR(V1128)*3600+MINUTE(V1128)*60+SECOND(V1128)</f>
        <v>0</v>
      </c>
      <c r="W1129" s="29" t="e">
        <f>DATEDIF(DATE(1970,1,1),W1128,"D")*86400</f>
        <v>#NUM!</v>
      </c>
      <c r="X1129" s="29">
        <f>HOUR(X1128)*3600+MINUTE(X1128)*60+SECOND(X1128)</f>
        <v>0</v>
      </c>
      <c r="Y1129" s="31">
        <f>(Y1128*B1129)</f>
        <v>0</v>
      </c>
      <c r="Z1129" s="29">
        <f>Z1128</f>
        <v>0</v>
      </c>
      <c r="AA1129" s="29" t="e">
        <f>DATEDIF(DATE(1970,1,1),AA1128,"D")*86400</f>
        <v>#NUM!</v>
      </c>
      <c r="AB1129" s="29">
        <f>HOUR(AB1128)*3600+MINUTE(AB1128)*60+SECOND(AB1128)</f>
        <v>0</v>
      </c>
      <c r="AC1129" s="29">
        <f>AC1128</f>
        <v>0</v>
      </c>
    </row>
    <row r="1130" spans="1:29">
      <c r="A1130" s="23">
        <f>Parameters!A566</f>
        <v>0</v>
      </c>
      <c r="B1130" s="23">
        <f>Parameters!B566</f>
        <v>0</v>
      </c>
      <c r="C1130" s="24">
        <f>Parameters!C566</f>
        <v>0</v>
      </c>
      <c r="D1130" s="24">
        <f>Parameters!D566</f>
        <v>0</v>
      </c>
      <c r="E1130" s="23">
        <f>Parameters!E566</f>
        <v>0</v>
      </c>
      <c r="F1130" s="23">
        <f>Parameters!F566</f>
        <v>0</v>
      </c>
      <c r="G1130" s="25">
        <f>Parameters!G566</f>
        <v>0</v>
      </c>
      <c r="H1130" s="25">
        <f>Parameters!H566</f>
        <v>0</v>
      </c>
      <c r="I1130" s="25">
        <f>Parameters!I566</f>
        <v>0</v>
      </c>
      <c r="J1130" s="25">
        <f>Parameters!J566</f>
        <v>0</v>
      </c>
      <c r="K1130" s="25">
        <f>Parameters!K566</f>
        <v>0</v>
      </c>
      <c r="L1130" s="26" t="e">
        <f t="shared" ref="L1130" si="1689">L1131</f>
        <v>#DIV/0!</v>
      </c>
      <c r="M1130" s="25">
        <f>Parameters!L566</f>
        <v>0</v>
      </c>
      <c r="N1130" s="25">
        <f>Parameters!M566</f>
        <v>0</v>
      </c>
      <c r="O1130" s="26" t="e">
        <f t="shared" ref="O1130" si="1690">O1131</f>
        <v>#DIV/0!</v>
      </c>
      <c r="P1130" s="23">
        <f>Parameters!N566</f>
        <v>0</v>
      </c>
      <c r="Q1130" s="23">
        <f>Parameters!O566</f>
        <v>0</v>
      </c>
      <c r="R1130" s="23">
        <f>Parameters!P566</f>
        <v>0</v>
      </c>
      <c r="S1130" s="23">
        <f>Parameters!Q566</f>
        <v>0</v>
      </c>
      <c r="T1130" s="23">
        <f>Parameters!R566</f>
        <v>0</v>
      </c>
      <c r="U1130" s="27">
        <f>Parameters!S566</f>
        <v>0</v>
      </c>
      <c r="V1130" s="28">
        <f>Parameters!T566</f>
        <v>0</v>
      </c>
      <c r="W1130" s="27">
        <f>Parameters!U566</f>
        <v>0</v>
      </c>
      <c r="X1130" s="28">
        <f>Parameters!V566</f>
        <v>0</v>
      </c>
      <c r="Y1130" s="25">
        <f>Parameters!W566</f>
        <v>0</v>
      </c>
      <c r="Z1130" s="23">
        <f>Parameters!X566</f>
        <v>0</v>
      </c>
      <c r="AA1130" s="27">
        <f>Parameters!Y566</f>
        <v>0</v>
      </c>
      <c r="AB1130" s="28">
        <f>Parameters!Z566</f>
        <v>0</v>
      </c>
      <c r="AC1130" s="23">
        <f>Parameters!AA566</f>
        <v>0</v>
      </c>
    </row>
    <row r="1131" spans="1:29">
      <c r="A1131" s="29" t="str">
        <f>UPPER(A1130)</f>
        <v>0</v>
      </c>
      <c r="B1131" s="29">
        <f>B1130</f>
        <v>0</v>
      </c>
      <c r="C1131" s="30">
        <f>C1130</f>
        <v>0</v>
      </c>
      <c r="D1131" s="30">
        <f>D1130</f>
        <v>0</v>
      </c>
      <c r="E1131" s="29">
        <f>E1130</f>
        <v>0</v>
      </c>
      <c r="F1131" s="29">
        <f>F1130</f>
        <v>0</v>
      </c>
      <c r="G1131" s="29" t="e">
        <f>IF(C1130=1,IF(D1130="BUY",E1130+(ROUND(F1130*G1130/B1130,0)*B1130),E1130-(ROUND(F1130*G1130/B1130,0)*B1130)),IF(D1130="BUY",E1130-(ROUND(F1130*G1130/B1130,0)*B1130),E1130+(ROUND(F1130*G1130/B1130,0)*B1130)))</f>
        <v>#DIV/0!</v>
      </c>
      <c r="H1131" s="29" t="e">
        <f>IF(C1130=1,IF(D1130="BUY",G1131-(ROUND(F1130*H1130/B1130,0)*B1130),G1131+(ROUND(F1130*H1130/B1130,0)*B1130)),IF(D1130="BUY",G1131+(ROUND(F1130*H1130/B1130,0)*B1130),G1131-(ROUND(F1130*H1130/B1130,0)*B1130)))</f>
        <v>#DIV/0!</v>
      </c>
      <c r="I1131" s="29" t="e">
        <f>IF(D1130="BUY",G1131+(ROUND(F1130*I1130/(B1130*100),0)*B1130),G1131-(ROUND(F1130*I1130/(B1130*100),0)*B1130))</f>
        <v>#DIV/0!</v>
      </c>
      <c r="J1131" s="29" t="e">
        <f>IF(C1130=1,IF(D1130="BUY",E1130+(ROUND(F1130*J1130/B1130,0)*B1130),E1130-(ROUND(F1130*J1130/B1130,0)*B1130)),IF(D1130="BUY",E1130-(ROUND(F1130*J1130/B1130,0)*B1130),E1130+(ROUND(F1130*J1130/B1130,0)*B1130)))</f>
        <v>#DIV/0!</v>
      </c>
      <c r="K1131" s="29" t="e">
        <f>IF(C1130=1,IF(D1130="BUY",E1130-(ROUND(F1130*K1130/B1130,0)*B1130),E1130+(ROUND(F1130*K1130/B1130,0)*B1130)),IF(D1130="BUY",E1130-(ROUND(F1130*K1130/B1130,0)*B1130),E1130+(ROUND(F1130*K1130/B1130,0)*B1130)))</f>
        <v>#DIV/0!</v>
      </c>
      <c r="L1131" s="29" t="e">
        <f t="shared" ref="L1131" si="1691">IF(D1131="BUY",I1131+(R1131*B1131),I1131-(R1131*B1131))</f>
        <v>#DIV/0!</v>
      </c>
      <c r="M1131" s="29" t="e">
        <f>IF(D1130="BUY",E1130+(ROUND(F1130*M1130/B1130,0)*B1130),E1130-(ROUND(F1130*M1130/B1130,0)*B1130))</f>
        <v>#DIV/0!</v>
      </c>
      <c r="N1131" s="29" t="e">
        <f>IF(D1130="BUY",E1130-(ROUND(F1130*N1130/B1130,0)*B1130),E1130+(ROUND(F1130*N1130/B1130,0)*B1130))</f>
        <v>#DIV/0!</v>
      </c>
      <c r="O1131" s="31" t="e">
        <f>IF(D1131="BUY",N1131-VLOOKUP(A1131,Symbols!A$1:D$1000,4,FALSE),N1131+VLOOKUP(A1131,Symbols!A$1:D$1000,4,FALSE))</f>
        <v>#DIV/0!</v>
      </c>
      <c r="P1131" s="29">
        <f>P1130</f>
        <v>0</v>
      </c>
      <c r="Q1131" s="29">
        <f>Q1130</f>
        <v>0</v>
      </c>
      <c r="R1131" s="29">
        <f>R1130</f>
        <v>0</v>
      </c>
      <c r="S1131" s="29">
        <f>S1130</f>
        <v>0</v>
      </c>
      <c r="T1131" s="29">
        <f>T1130</f>
        <v>0</v>
      </c>
      <c r="U1131" s="29" t="e">
        <f>DATEDIF(DATE(1970,1,1),U1130,"D")*86400</f>
        <v>#NUM!</v>
      </c>
      <c r="V1131" s="29">
        <f>HOUR(V1130)*3600+MINUTE(V1130)*60+SECOND(V1130)</f>
        <v>0</v>
      </c>
      <c r="W1131" s="29" t="e">
        <f>DATEDIF(DATE(1970,1,1),W1130,"D")*86400</f>
        <v>#NUM!</v>
      </c>
      <c r="X1131" s="29">
        <f>HOUR(X1130)*3600+MINUTE(X1130)*60+SECOND(X1130)</f>
        <v>0</v>
      </c>
      <c r="Y1131" s="31">
        <f>(Y1130*B1131)</f>
        <v>0</v>
      </c>
      <c r="Z1131" s="29">
        <f>Z1130</f>
        <v>0</v>
      </c>
      <c r="AA1131" s="29" t="e">
        <f>DATEDIF(DATE(1970,1,1),AA1130,"D")*86400</f>
        <v>#NUM!</v>
      </c>
      <c r="AB1131" s="29">
        <f>HOUR(AB1130)*3600+MINUTE(AB1130)*60+SECOND(AB1130)</f>
        <v>0</v>
      </c>
      <c r="AC1131" s="29">
        <f>AC1130</f>
        <v>0</v>
      </c>
    </row>
    <row r="1132" spans="1:29">
      <c r="A1132" s="23">
        <f>Parameters!A567</f>
        <v>0</v>
      </c>
      <c r="B1132" s="23">
        <f>Parameters!B567</f>
        <v>0</v>
      </c>
      <c r="C1132" s="24">
        <f>Parameters!C567</f>
        <v>0</v>
      </c>
      <c r="D1132" s="24">
        <f>Parameters!D567</f>
        <v>0</v>
      </c>
      <c r="E1132" s="23">
        <f>Parameters!E567</f>
        <v>0</v>
      </c>
      <c r="F1132" s="23">
        <f>Parameters!F567</f>
        <v>0</v>
      </c>
      <c r="G1132" s="25">
        <f>Parameters!G567</f>
        <v>0</v>
      </c>
      <c r="H1132" s="25">
        <f>Parameters!H567</f>
        <v>0</v>
      </c>
      <c r="I1132" s="25">
        <f>Parameters!I567</f>
        <v>0</v>
      </c>
      <c r="J1132" s="25">
        <f>Parameters!J567</f>
        <v>0</v>
      </c>
      <c r="K1132" s="25">
        <f>Parameters!K567</f>
        <v>0</v>
      </c>
      <c r="L1132" s="26" t="e">
        <f t="shared" ref="L1132" si="1692">L1133</f>
        <v>#DIV/0!</v>
      </c>
      <c r="M1132" s="25">
        <f>Parameters!L567</f>
        <v>0</v>
      </c>
      <c r="N1132" s="25">
        <f>Parameters!M567</f>
        <v>0</v>
      </c>
      <c r="O1132" s="26" t="e">
        <f t="shared" ref="O1132" si="1693">O1133</f>
        <v>#DIV/0!</v>
      </c>
      <c r="P1132" s="23">
        <f>Parameters!N567</f>
        <v>0</v>
      </c>
      <c r="Q1132" s="23">
        <f>Parameters!O567</f>
        <v>0</v>
      </c>
      <c r="R1132" s="23">
        <f>Parameters!P567</f>
        <v>0</v>
      </c>
      <c r="S1132" s="23">
        <f>Parameters!Q567</f>
        <v>0</v>
      </c>
      <c r="T1132" s="23">
        <f>Parameters!R567</f>
        <v>0</v>
      </c>
      <c r="U1132" s="27">
        <f>Parameters!S567</f>
        <v>0</v>
      </c>
      <c r="V1132" s="28">
        <f>Parameters!T567</f>
        <v>0</v>
      </c>
      <c r="W1132" s="27">
        <f>Parameters!U567</f>
        <v>0</v>
      </c>
      <c r="X1132" s="28">
        <f>Parameters!V567</f>
        <v>0</v>
      </c>
      <c r="Y1132" s="25">
        <f>Parameters!W567</f>
        <v>0</v>
      </c>
      <c r="Z1132" s="23">
        <f>Parameters!X567</f>
        <v>0</v>
      </c>
      <c r="AA1132" s="27">
        <f>Parameters!Y567</f>
        <v>0</v>
      </c>
      <c r="AB1132" s="28">
        <f>Parameters!Z567</f>
        <v>0</v>
      </c>
      <c r="AC1132" s="23">
        <f>Parameters!AA567</f>
        <v>0</v>
      </c>
    </row>
    <row r="1133" spans="1:29">
      <c r="A1133" s="29" t="str">
        <f>UPPER(A1132)</f>
        <v>0</v>
      </c>
      <c r="B1133" s="29">
        <f>B1132</f>
        <v>0</v>
      </c>
      <c r="C1133" s="30">
        <f>C1132</f>
        <v>0</v>
      </c>
      <c r="D1133" s="30">
        <f>D1132</f>
        <v>0</v>
      </c>
      <c r="E1133" s="29">
        <f>E1132</f>
        <v>0</v>
      </c>
      <c r="F1133" s="29">
        <f>F1132</f>
        <v>0</v>
      </c>
      <c r="G1133" s="29" t="e">
        <f>IF(C1132=1,IF(D1132="BUY",E1132+(ROUND(F1132*G1132/B1132,0)*B1132),E1132-(ROUND(F1132*G1132/B1132,0)*B1132)),IF(D1132="BUY",E1132-(ROUND(F1132*G1132/B1132,0)*B1132),E1132+(ROUND(F1132*G1132/B1132,0)*B1132)))</f>
        <v>#DIV/0!</v>
      </c>
      <c r="H1133" s="29" t="e">
        <f>IF(C1132=1,IF(D1132="BUY",G1133-(ROUND(F1132*H1132/B1132,0)*B1132),G1133+(ROUND(F1132*H1132/B1132,0)*B1132)),IF(D1132="BUY",G1133+(ROUND(F1132*H1132/B1132,0)*B1132),G1133-(ROUND(F1132*H1132/B1132,0)*B1132)))</f>
        <v>#DIV/0!</v>
      </c>
      <c r="I1133" s="29" t="e">
        <f>IF(D1132="BUY",G1133+(ROUND(F1132*I1132/(B1132*100),0)*B1132),G1133-(ROUND(F1132*I1132/(B1132*100),0)*B1132))</f>
        <v>#DIV/0!</v>
      </c>
      <c r="J1133" s="29" t="e">
        <f>IF(C1132=1,IF(D1132="BUY",E1132+(ROUND(F1132*J1132/B1132,0)*B1132),E1132-(ROUND(F1132*J1132/B1132,0)*B1132)),IF(D1132="BUY",E1132-(ROUND(F1132*J1132/B1132,0)*B1132),E1132+(ROUND(F1132*J1132/B1132,0)*B1132)))</f>
        <v>#DIV/0!</v>
      </c>
      <c r="K1133" s="29" t="e">
        <f>IF(C1132=1,IF(D1132="BUY",E1132-(ROUND(F1132*K1132/B1132,0)*B1132),E1132+(ROUND(F1132*K1132/B1132,0)*B1132)),IF(D1132="BUY",E1132-(ROUND(F1132*K1132/B1132,0)*B1132),E1132+(ROUND(F1132*K1132/B1132,0)*B1132)))</f>
        <v>#DIV/0!</v>
      </c>
      <c r="L1133" s="29" t="e">
        <f t="shared" ref="L1133" si="1694">IF(D1133="BUY",I1133+(R1133*B1133),I1133-(R1133*B1133))</f>
        <v>#DIV/0!</v>
      </c>
      <c r="M1133" s="29" t="e">
        <f>IF(D1132="BUY",E1132+(ROUND(F1132*M1132/B1132,0)*B1132),E1132-(ROUND(F1132*M1132/B1132,0)*B1132))</f>
        <v>#DIV/0!</v>
      </c>
      <c r="N1133" s="29" t="e">
        <f>IF(D1132="BUY",E1132-(ROUND(F1132*N1132/B1132,0)*B1132),E1132+(ROUND(F1132*N1132/B1132,0)*B1132))</f>
        <v>#DIV/0!</v>
      </c>
      <c r="O1133" s="31" t="e">
        <f>IF(D1133="BUY",N1133-VLOOKUP(A1133,Symbols!A$1:D$1000,4,FALSE),N1133+VLOOKUP(A1133,Symbols!A$1:D$1000,4,FALSE))</f>
        <v>#DIV/0!</v>
      </c>
      <c r="P1133" s="29">
        <f>P1132</f>
        <v>0</v>
      </c>
      <c r="Q1133" s="29">
        <f>Q1132</f>
        <v>0</v>
      </c>
      <c r="R1133" s="29">
        <f>R1132</f>
        <v>0</v>
      </c>
      <c r="S1133" s="29">
        <f>S1132</f>
        <v>0</v>
      </c>
      <c r="T1133" s="29">
        <f>T1132</f>
        <v>0</v>
      </c>
      <c r="U1133" s="29" t="e">
        <f>DATEDIF(DATE(1970,1,1),U1132,"D")*86400</f>
        <v>#NUM!</v>
      </c>
      <c r="V1133" s="29">
        <f>HOUR(V1132)*3600+MINUTE(V1132)*60+SECOND(V1132)</f>
        <v>0</v>
      </c>
      <c r="W1133" s="29" t="e">
        <f>DATEDIF(DATE(1970,1,1),W1132,"D")*86400</f>
        <v>#NUM!</v>
      </c>
      <c r="X1133" s="29">
        <f>HOUR(X1132)*3600+MINUTE(X1132)*60+SECOND(X1132)</f>
        <v>0</v>
      </c>
      <c r="Y1133" s="31">
        <f>(Y1132*B1133)</f>
        <v>0</v>
      </c>
      <c r="Z1133" s="29">
        <f>Z1132</f>
        <v>0</v>
      </c>
      <c r="AA1133" s="29" t="e">
        <f>DATEDIF(DATE(1970,1,1),AA1132,"D")*86400</f>
        <v>#NUM!</v>
      </c>
      <c r="AB1133" s="29">
        <f>HOUR(AB1132)*3600+MINUTE(AB1132)*60+SECOND(AB1132)</f>
        <v>0</v>
      </c>
      <c r="AC1133" s="29">
        <f>AC1132</f>
        <v>0</v>
      </c>
    </row>
    <row r="1134" spans="1:29">
      <c r="A1134" s="23">
        <f>Parameters!A568</f>
        <v>0</v>
      </c>
      <c r="B1134" s="23">
        <f>Parameters!B568</f>
        <v>0</v>
      </c>
      <c r="C1134" s="24">
        <f>Parameters!C568</f>
        <v>0</v>
      </c>
      <c r="D1134" s="24">
        <f>Parameters!D568</f>
        <v>0</v>
      </c>
      <c r="E1134" s="23">
        <f>Parameters!E568</f>
        <v>0</v>
      </c>
      <c r="F1134" s="23">
        <f>Parameters!F568</f>
        <v>0</v>
      </c>
      <c r="G1134" s="25">
        <f>Parameters!G568</f>
        <v>0</v>
      </c>
      <c r="H1134" s="25">
        <f>Parameters!H568</f>
        <v>0</v>
      </c>
      <c r="I1134" s="25">
        <f>Parameters!I568</f>
        <v>0</v>
      </c>
      <c r="J1134" s="25">
        <f>Parameters!J568</f>
        <v>0</v>
      </c>
      <c r="K1134" s="25">
        <f>Parameters!K568</f>
        <v>0</v>
      </c>
      <c r="L1134" s="26" t="e">
        <f t="shared" ref="L1134" si="1695">L1135</f>
        <v>#DIV/0!</v>
      </c>
      <c r="M1134" s="25">
        <f>Parameters!L568</f>
        <v>0</v>
      </c>
      <c r="N1134" s="25">
        <f>Parameters!M568</f>
        <v>0</v>
      </c>
      <c r="O1134" s="26" t="e">
        <f t="shared" ref="O1134" si="1696">O1135</f>
        <v>#DIV/0!</v>
      </c>
      <c r="P1134" s="23">
        <f>Parameters!N568</f>
        <v>0</v>
      </c>
      <c r="Q1134" s="23">
        <f>Parameters!O568</f>
        <v>0</v>
      </c>
      <c r="R1134" s="23">
        <f>Parameters!P568</f>
        <v>0</v>
      </c>
      <c r="S1134" s="23">
        <f>Parameters!Q568</f>
        <v>0</v>
      </c>
      <c r="T1134" s="23">
        <f>Parameters!R568</f>
        <v>0</v>
      </c>
      <c r="U1134" s="27">
        <f>Parameters!S568</f>
        <v>0</v>
      </c>
      <c r="V1134" s="28">
        <f>Parameters!T568</f>
        <v>0</v>
      </c>
      <c r="W1134" s="27">
        <f>Parameters!U568</f>
        <v>0</v>
      </c>
      <c r="X1134" s="28">
        <f>Parameters!V568</f>
        <v>0</v>
      </c>
      <c r="Y1134" s="25">
        <f>Parameters!W568</f>
        <v>0</v>
      </c>
      <c r="Z1134" s="23">
        <f>Parameters!X568</f>
        <v>0</v>
      </c>
      <c r="AA1134" s="27">
        <f>Parameters!Y568</f>
        <v>0</v>
      </c>
      <c r="AB1134" s="28">
        <f>Parameters!Z568</f>
        <v>0</v>
      </c>
      <c r="AC1134" s="23">
        <f>Parameters!AA568</f>
        <v>0</v>
      </c>
    </row>
    <row r="1135" spans="1:29">
      <c r="A1135" s="29" t="str">
        <f>UPPER(A1134)</f>
        <v>0</v>
      </c>
      <c r="B1135" s="29">
        <f>B1134</f>
        <v>0</v>
      </c>
      <c r="C1135" s="30">
        <f>C1134</f>
        <v>0</v>
      </c>
      <c r="D1135" s="30">
        <f>D1134</f>
        <v>0</v>
      </c>
      <c r="E1135" s="29">
        <f>E1134</f>
        <v>0</v>
      </c>
      <c r="F1135" s="29">
        <f>F1134</f>
        <v>0</v>
      </c>
      <c r="G1135" s="29" t="e">
        <f>IF(C1134=1,IF(D1134="BUY",E1134+(ROUND(F1134*G1134/B1134,0)*B1134),E1134-(ROUND(F1134*G1134/B1134,0)*B1134)),IF(D1134="BUY",E1134-(ROUND(F1134*G1134/B1134,0)*B1134),E1134+(ROUND(F1134*G1134/B1134,0)*B1134)))</f>
        <v>#DIV/0!</v>
      </c>
      <c r="H1135" s="29" t="e">
        <f>IF(C1134=1,IF(D1134="BUY",G1135-(ROUND(F1134*H1134/B1134,0)*B1134),G1135+(ROUND(F1134*H1134/B1134,0)*B1134)),IF(D1134="BUY",G1135+(ROUND(F1134*H1134/B1134,0)*B1134),G1135-(ROUND(F1134*H1134/B1134,0)*B1134)))</f>
        <v>#DIV/0!</v>
      </c>
      <c r="I1135" s="29" t="e">
        <f>IF(D1134="BUY",G1135+(ROUND(F1134*I1134/(B1134*100),0)*B1134),G1135-(ROUND(F1134*I1134/(B1134*100),0)*B1134))</f>
        <v>#DIV/0!</v>
      </c>
      <c r="J1135" s="29" t="e">
        <f>IF(C1134=1,IF(D1134="BUY",E1134+(ROUND(F1134*J1134/B1134,0)*B1134),E1134-(ROUND(F1134*J1134/B1134,0)*B1134)),IF(D1134="BUY",E1134-(ROUND(F1134*J1134/B1134,0)*B1134),E1134+(ROUND(F1134*J1134/B1134,0)*B1134)))</f>
        <v>#DIV/0!</v>
      </c>
      <c r="K1135" s="29" t="e">
        <f>IF(C1134=1,IF(D1134="BUY",E1134-(ROUND(F1134*K1134/B1134,0)*B1134),E1134+(ROUND(F1134*K1134/B1134,0)*B1134)),IF(D1134="BUY",E1134-(ROUND(F1134*K1134/B1134,0)*B1134),E1134+(ROUND(F1134*K1134/B1134,0)*B1134)))</f>
        <v>#DIV/0!</v>
      </c>
      <c r="L1135" s="29" t="e">
        <f t="shared" ref="L1135" si="1697">IF(D1135="BUY",I1135+(R1135*B1135),I1135-(R1135*B1135))</f>
        <v>#DIV/0!</v>
      </c>
      <c r="M1135" s="29" t="e">
        <f>IF(D1134="BUY",E1134+(ROUND(F1134*M1134/B1134,0)*B1134),E1134-(ROUND(F1134*M1134/B1134,0)*B1134))</f>
        <v>#DIV/0!</v>
      </c>
      <c r="N1135" s="29" t="e">
        <f>IF(D1134="BUY",E1134-(ROUND(F1134*N1134/B1134,0)*B1134),E1134+(ROUND(F1134*N1134/B1134,0)*B1134))</f>
        <v>#DIV/0!</v>
      </c>
      <c r="O1135" s="31" t="e">
        <f>IF(D1135="BUY",N1135-VLOOKUP(A1135,Symbols!A$1:D$1000,4,FALSE),N1135+VLOOKUP(A1135,Symbols!A$1:D$1000,4,FALSE))</f>
        <v>#DIV/0!</v>
      </c>
      <c r="P1135" s="29">
        <f>P1134</f>
        <v>0</v>
      </c>
      <c r="Q1135" s="29">
        <f>Q1134</f>
        <v>0</v>
      </c>
      <c r="R1135" s="29">
        <f>R1134</f>
        <v>0</v>
      </c>
      <c r="S1135" s="29">
        <f>S1134</f>
        <v>0</v>
      </c>
      <c r="T1135" s="29">
        <f>T1134</f>
        <v>0</v>
      </c>
      <c r="U1135" s="29" t="e">
        <f>DATEDIF(DATE(1970,1,1),U1134,"D")*86400</f>
        <v>#NUM!</v>
      </c>
      <c r="V1135" s="29">
        <f>HOUR(V1134)*3600+MINUTE(V1134)*60+SECOND(V1134)</f>
        <v>0</v>
      </c>
      <c r="W1135" s="29" t="e">
        <f>DATEDIF(DATE(1970,1,1),W1134,"D")*86400</f>
        <v>#NUM!</v>
      </c>
      <c r="X1135" s="29">
        <f>HOUR(X1134)*3600+MINUTE(X1134)*60+SECOND(X1134)</f>
        <v>0</v>
      </c>
      <c r="Y1135" s="31">
        <f>(Y1134*B1135)</f>
        <v>0</v>
      </c>
      <c r="Z1135" s="29">
        <f>Z1134</f>
        <v>0</v>
      </c>
      <c r="AA1135" s="29" t="e">
        <f>DATEDIF(DATE(1970,1,1),AA1134,"D")*86400</f>
        <v>#NUM!</v>
      </c>
      <c r="AB1135" s="29">
        <f>HOUR(AB1134)*3600+MINUTE(AB1134)*60+SECOND(AB1134)</f>
        <v>0</v>
      </c>
      <c r="AC1135" s="29">
        <f>AC1134</f>
        <v>0</v>
      </c>
    </row>
    <row r="1136" spans="1:29">
      <c r="A1136" s="23">
        <f>Parameters!A569</f>
        <v>0</v>
      </c>
      <c r="B1136" s="23">
        <f>Parameters!B569</f>
        <v>0</v>
      </c>
      <c r="C1136" s="24">
        <f>Parameters!C569</f>
        <v>0</v>
      </c>
      <c r="D1136" s="24">
        <f>Parameters!D569</f>
        <v>0</v>
      </c>
      <c r="E1136" s="23">
        <f>Parameters!E569</f>
        <v>0</v>
      </c>
      <c r="F1136" s="23">
        <f>Parameters!F569</f>
        <v>0</v>
      </c>
      <c r="G1136" s="25">
        <f>Parameters!G569</f>
        <v>0</v>
      </c>
      <c r="H1136" s="25">
        <f>Parameters!H569</f>
        <v>0</v>
      </c>
      <c r="I1136" s="25">
        <f>Parameters!I569</f>
        <v>0</v>
      </c>
      <c r="J1136" s="25">
        <f>Parameters!J569</f>
        <v>0</v>
      </c>
      <c r="K1136" s="25">
        <f>Parameters!K569</f>
        <v>0</v>
      </c>
      <c r="L1136" s="26" t="e">
        <f t="shared" ref="L1136" si="1698">L1137</f>
        <v>#DIV/0!</v>
      </c>
      <c r="M1136" s="25">
        <f>Parameters!L569</f>
        <v>0</v>
      </c>
      <c r="N1136" s="25">
        <f>Parameters!M569</f>
        <v>0</v>
      </c>
      <c r="O1136" s="26" t="e">
        <f t="shared" ref="O1136" si="1699">O1137</f>
        <v>#DIV/0!</v>
      </c>
      <c r="P1136" s="23">
        <f>Parameters!N569</f>
        <v>0</v>
      </c>
      <c r="Q1136" s="23">
        <f>Parameters!O569</f>
        <v>0</v>
      </c>
      <c r="R1136" s="23">
        <f>Parameters!P569</f>
        <v>0</v>
      </c>
      <c r="S1136" s="23">
        <f>Parameters!Q569</f>
        <v>0</v>
      </c>
      <c r="T1136" s="23">
        <f>Parameters!R569</f>
        <v>0</v>
      </c>
      <c r="U1136" s="27">
        <f>Parameters!S569</f>
        <v>0</v>
      </c>
      <c r="V1136" s="28">
        <f>Parameters!T569</f>
        <v>0</v>
      </c>
      <c r="W1136" s="27">
        <f>Parameters!U569</f>
        <v>0</v>
      </c>
      <c r="X1136" s="28">
        <f>Parameters!V569</f>
        <v>0</v>
      </c>
      <c r="Y1136" s="25">
        <f>Parameters!W569</f>
        <v>0</v>
      </c>
      <c r="Z1136" s="23">
        <f>Parameters!X569</f>
        <v>0</v>
      </c>
      <c r="AA1136" s="27">
        <f>Parameters!Y569</f>
        <v>0</v>
      </c>
      <c r="AB1136" s="28">
        <f>Parameters!Z569</f>
        <v>0</v>
      </c>
      <c r="AC1136" s="23">
        <f>Parameters!AA569</f>
        <v>0</v>
      </c>
    </row>
    <row r="1137" spans="1:29">
      <c r="A1137" s="29" t="str">
        <f>UPPER(A1136)</f>
        <v>0</v>
      </c>
      <c r="B1137" s="29">
        <f>B1136</f>
        <v>0</v>
      </c>
      <c r="C1137" s="30">
        <f>C1136</f>
        <v>0</v>
      </c>
      <c r="D1137" s="30">
        <f>D1136</f>
        <v>0</v>
      </c>
      <c r="E1137" s="29">
        <f>E1136</f>
        <v>0</v>
      </c>
      <c r="F1137" s="29">
        <f>F1136</f>
        <v>0</v>
      </c>
      <c r="G1137" s="29" t="e">
        <f>IF(C1136=1,IF(D1136="BUY",E1136+(ROUND(F1136*G1136/B1136,0)*B1136),E1136-(ROUND(F1136*G1136/B1136,0)*B1136)),IF(D1136="BUY",E1136-(ROUND(F1136*G1136/B1136,0)*B1136),E1136+(ROUND(F1136*G1136/B1136,0)*B1136)))</f>
        <v>#DIV/0!</v>
      </c>
      <c r="H1137" s="29" t="e">
        <f>IF(C1136=1,IF(D1136="BUY",G1137-(ROUND(F1136*H1136/B1136,0)*B1136),G1137+(ROUND(F1136*H1136/B1136,0)*B1136)),IF(D1136="BUY",G1137+(ROUND(F1136*H1136/B1136,0)*B1136),G1137-(ROUND(F1136*H1136/B1136,0)*B1136)))</f>
        <v>#DIV/0!</v>
      </c>
      <c r="I1137" s="29" t="e">
        <f>IF(D1136="BUY",G1137+(ROUND(F1136*I1136/(B1136*100),0)*B1136),G1137-(ROUND(F1136*I1136/(B1136*100),0)*B1136))</f>
        <v>#DIV/0!</v>
      </c>
      <c r="J1137" s="29" t="e">
        <f>IF(C1136=1,IF(D1136="BUY",E1136+(ROUND(F1136*J1136/B1136,0)*B1136),E1136-(ROUND(F1136*J1136/B1136,0)*B1136)),IF(D1136="BUY",E1136-(ROUND(F1136*J1136/B1136,0)*B1136),E1136+(ROUND(F1136*J1136/B1136,0)*B1136)))</f>
        <v>#DIV/0!</v>
      </c>
      <c r="K1137" s="29" t="e">
        <f>IF(C1136=1,IF(D1136="BUY",E1136-(ROUND(F1136*K1136/B1136,0)*B1136),E1136+(ROUND(F1136*K1136/B1136,0)*B1136)),IF(D1136="BUY",E1136-(ROUND(F1136*K1136/B1136,0)*B1136),E1136+(ROUND(F1136*K1136/B1136,0)*B1136)))</f>
        <v>#DIV/0!</v>
      </c>
      <c r="L1137" s="29" t="e">
        <f t="shared" ref="L1137" si="1700">IF(D1137="BUY",I1137+(R1137*B1137),I1137-(R1137*B1137))</f>
        <v>#DIV/0!</v>
      </c>
      <c r="M1137" s="29" t="e">
        <f>IF(D1136="BUY",E1136+(ROUND(F1136*M1136/B1136,0)*B1136),E1136-(ROUND(F1136*M1136/B1136,0)*B1136))</f>
        <v>#DIV/0!</v>
      </c>
      <c r="N1137" s="29" t="e">
        <f>IF(D1136="BUY",E1136-(ROUND(F1136*N1136/B1136,0)*B1136),E1136+(ROUND(F1136*N1136/B1136,0)*B1136))</f>
        <v>#DIV/0!</v>
      </c>
      <c r="O1137" s="31" t="e">
        <f>IF(D1137="BUY",N1137-VLOOKUP(A1137,Symbols!A$1:D$1000,4,FALSE),N1137+VLOOKUP(A1137,Symbols!A$1:D$1000,4,FALSE))</f>
        <v>#DIV/0!</v>
      </c>
      <c r="P1137" s="29">
        <f>P1136</f>
        <v>0</v>
      </c>
      <c r="Q1137" s="29">
        <f>Q1136</f>
        <v>0</v>
      </c>
      <c r="R1137" s="29">
        <f>R1136</f>
        <v>0</v>
      </c>
      <c r="S1137" s="29">
        <f>S1136</f>
        <v>0</v>
      </c>
      <c r="T1137" s="29">
        <f>T1136</f>
        <v>0</v>
      </c>
      <c r="U1137" s="29" t="e">
        <f>DATEDIF(DATE(1970,1,1),U1136,"D")*86400</f>
        <v>#NUM!</v>
      </c>
      <c r="V1137" s="29">
        <f>HOUR(V1136)*3600+MINUTE(V1136)*60+SECOND(V1136)</f>
        <v>0</v>
      </c>
      <c r="W1137" s="29" t="e">
        <f>DATEDIF(DATE(1970,1,1),W1136,"D")*86400</f>
        <v>#NUM!</v>
      </c>
      <c r="X1137" s="29">
        <f>HOUR(X1136)*3600+MINUTE(X1136)*60+SECOND(X1136)</f>
        <v>0</v>
      </c>
      <c r="Y1137" s="31">
        <f>(Y1136*B1137)</f>
        <v>0</v>
      </c>
      <c r="Z1137" s="29">
        <f>Z1136</f>
        <v>0</v>
      </c>
      <c r="AA1137" s="29" t="e">
        <f>DATEDIF(DATE(1970,1,1),AA1136,"D")*86400</f>
        <v>#NUM!</v>
      </c>
      <c r="AB1137" s="29">
        <f>HOUR(AB1136)*3600+MINUTE(AB1136)*60+SECOND(AB1136)</f>
        <v>0</v>
      </c>
      <c r="AC1137" s="29">
        <f>AC1136</f>
        <v>0</v>
      </c>
    </row>
    <row r="1138" spans="1:29">
      <c r="A1138" s="23">
        <f>Parameters!A570</f>
        <v>0</v>
      </c>
      <c r="B1138" s="23">
        <f>Parameters!B570</f>
        <v>0</v>
      </c>
      <c r="C1138" s="24">
        <f>Parameters!C570</f>
        <v>0</v>
      </c>
      <c r="D1138" s="24">
        <f>Parameters!D570</f>
        <v>0</v>
      </c>
      <c r="E1138" s="23">
        <f>Parameters!E570</f>
        <v>0</v>
      </c>
      <c r="F1138" s="23">
        <f>Parameters!F570</f>
        <v>0</v>
      </c>
      <c r="G1138" s="25">
        <f>Parameters!G570</f>
        <v>0</v>
      </c>
      <c r="H1138" s="25">
        <f>Parameters!H570</f>
        <v>0</v>
      </c>
      <c r="I1138" s="25">
        <f>Parameters!I570</f>
        <v>0</v>
      </c>
      <c r="J1138" s="25">
        <f>Parameters!J570</f>
        <v>0</v>
      </c>
      <c r="K1138" s="25">
        <f>Parameters!K570</f>
        <v>0</v>
      </c>
      <c r="L1138" s="26" t="e">
        <f t="shared" ref="L1138" si="1701">L1139</f>
        <v>#DIV/0!</v>
      </c>
      <c r="M1138" s="25">
        <f>Parameters!L570</f>
        <v>0</v>
      </c>
      <c r="N1138" s="25">
        <f>Parameters!M570</f>
        <v>0</v>
      </c>
      <c r="O1138" s="26" t="e">
        <f t="shared" ref="O1138" si="1702">O1139</f>
        <v>#DIV/0!</v>
      </c>
      <c r="P1138" s="23">
        <f>Parameters!N570</f>
        <v>0</v>
      </c>
      <c r="Q1138" s="23">
        <f>Parameters!O570</f>
        <v>0</v>
      </c>
      <c r="R1138" s="23">
        <f>Parameters!P570</f>
        <v>0</v>
      </c>
      <c r="S1138" s="23">
        <f>Parameters!Q570</f>
        <v>0</v>
      </c>
      <c r="T1138" s="23">
        <f>Parameters!R570</f>
        <v>0</v>
      </c>
      <c r="U1138" s="27">
        <f>Parameters!S570</f>
        <v>0</v>
      </c>
      <c r="V1138" s="28">
        <f>Parameters!T570</f>
        <v>0</v>
      </c>
      <c r="W1138" s="27">
        <f>Parameters!U570</f>
        <v>0</v>
      </c>
      <c r="X1138" s="28">
        <f>Parameters!V570</f>
        <v>0</v>
      </c>
      <c r="Y1138" s="25">
        <f>Parameters!W570</f>
        <v>0</v>
      </c>
      <c r="Z1138" s="23">
        <f>Parameters!X570</f>
        <v>0</v>
      </c>
      <c r="AA1138" s="27">
        <f>Parameters!Y570</f>
        <v>0</v>
      </c>
      <c r="AB1138" s="28">
        <f>Parameters!Z570</f>
        <v>0</v>
      </c>
      <c r="AC1138" s="23">
        <f>Parameters!AA570</f>
        <v>0</v>
      </c>
    </row>
    <row r="1139" spans="1:29">
      <c r="A1139" s="29" t="str">
        <f>UPPER(A1138)</f>
        <v>0</v>
      </c>
      <c r="B1139" s="29">
        <f>B1138</f>
        <v>0</v>
      </c>
      <c r="C1139" s="30">
        <f>C1138</f>
        <v>0</v>
      </c>
      <c r="D1139" s="30">
        <f>D1138</f>
        <v>0</v>
      </c>
      <c r="E1139" s="29">
        <f>E1138</f>
        <v>0</v>
      </c>
      <c r="F1139" s="29">
        <f>F1138</f>
        <v>0</v>
      </c>
      <c r="G1139" s="29" t="e">
        <f>IF(C1138=1,IF(D1138="BUY",E1138+(ROUND(F1138*G1138/B1138,0)*B1138),E1138-(ROUND(F1138*G1138/B1138,0)*B1138)),IF(D1138="BUY",E1138-(ROUND(F1138*G1138/B1138,0)*B1138),E1138+(ROUND(F1138*G1138/B1138,0)*B1138)))</f>
        <v>#DIV/0!</v>
      </c>
      <c r="H1139" s="29" t="e">
        <f>IF(C1138=1,IF(D1138="BUY",G1139-(ROUND(F1138*H1138/B1138,0)*B1138),G1139+(ROUND(F1138*H1138/B1138,0)*B1138)),IF(D1138="BUY",G1139+(ROUND(F1138*H1138/B1138,0)*B1138),G1139-(ROUND(F1138*H1138/B1138,0)*B1138)))</f>
        <v>#DIV/0!</v>
      </c>
      <c r="I1139" s="29" t="e">
        <f>IF(D1138="BUY",G1139+(ROUND(F1138*I1138/(B1138*100),0)*B1138),G1139-(ROUND(F1138*I1138/(B1138*100),0)*B1138))</f>
        <v>#DIV/0!</v>
      </c>
      <c r="J1139" s="29" t="e">
        <f>IF(C1138=1,IF(D1138="BUY",E1138+(ROUND(F1138*J1138/B1138,0)*B1138),E1138-(ROUND(F1138*J1138/B1138,0)*B1138)),IF(D1138="BUY",E1138-(ROUND(F1138*J1138/B1138,0)*B1138),E1138+(ROUND(F1138*J1138/B1138,0)*B1138)))</f>
        <v>#DIV/0!</v>
      </c>
      <c r="K1139" s="29" t="e">
        <f>IF(C1138=1,IF(D1138="BUY",E1138-(ROUND(F1138*K1138/B1138,0)*B1138),E1138+(ROUND(F1138*K1138/B1138,0)*B1138)),IF(D1138="BUY",E1138-(ROUND(F1138*K1138/B1138,0)*B1138),E1138+(ROUND(F1138*K1138/B1138,0)*B1138)))</f>
        <v>#DIV/0!</v>
      </c>
      <c r="L1139" s="29" t="e">
        <f t="shared" ref="L1139" si="1703">IF(D1139="BUY",I1139+(R1139*B1139),I1139-(R1139*B1139))</f>
        <v>#DIV/0!</v>
      </c>
      <c r="M1139" s="29" t="e">
        <f>IF(D1138="BUY",E1138+(ROUND(F1138*M1138/B1138,0)*B1138),E1138-(ROUND(F1138*M1138/B1138,0)*B1138))</f>
        <v>#DIV/0!</v>
      </c>
      <c r="N1139" s="29" t="e">
        <f>IF(D1138="BUY",E1138-(ROUND(F1138*N1138/B1138,0)*B1138),E1138+(ROUND(F1138*N1138/B1138,0)*B1138))</f>
        <v>#DIV/0!</v>
      </c>
      <c r="O1139" s="31" t="e">
        <f>IF(D1139="BUY",N1139-VLOOKUP(A1139,Symbols!A$1:D$1000,4,FALSE),N1139+VLOOKUP(A1139,Symbols!A$1:D$1000,4,FALSE))</f>
        <v>#DIV/0!</v>
      </c>
      <c r="P1139" s="29">
        <f>P1138</f>
        <v>0</v>
      </c>
      <c r="Q1139" s="29">
        <f>Q1138</f>
        <v>0</v>
      </c>
      <c r="R1139" s="29">
        <f>R1138</f>
        <v>0</v>
      </c>
      <c r="S1139" s="29">
        <f>S1138</f>
        <v>0</v>
      </c>
      <c r="T1139" s="29">
        <f>T1138</f>
        <v>0</v>
      </c>
      <c r="U1139" s="29" t="e">
        <f>DATEDIF(DATE(1970,1,1),U1138,"D")*86400</f>
        <v>#NUM!</v>
      </c>
      <c r="V1139" s="29">
        <f>HOUR(V1138)*3600+MINUTE(V1138)*60+SECOND(V1138)</f>
        <v>0</v>
      </c>
      <c r="W1139" s="29" t="e">
        <f>DATEDIF(DATE(1970,1,1),W1138,"D")*86400</f>
        <v>#NUM!</v>
      </c>
      <c r="X1139" s="29">
        <f>HOUR(X1138)*3600+MINUTE(X1138)*60+SECOND(X1138)</f>
        <v>0</v>
      </c>
      <c r="Y1139" s="31">
        <f>(Y1138*B1139)</f>
        <v>0</v>
      </c>
      <c r="Z1139" s="29">
        <f>Z1138</f>
        <v>0</v>
      </c>
      <c r="AA1139" s="29" t="e">
        <f>DATEDIF(DATE(1970,1,1),AA1138,"D")*86400</f>
        <v>#NUM!</v>
      </c>
      <c r="AB1139" s="29">
        <f>HOUR(AB1138)*3600+MINUTE(AB1138)*60+SECOND(AB1138)</f>
        <v>0</v>
      </c>
      <c r="AC1139" s="29">
        <f>AC1138</f>
        <v>0</v>
      </c>
    </row>
    <row r="1140" spans="1:29">
      <c r="A1140" s="23">
        <f>Parameters!A571</f>
        <v>0</v>
      </c>
      <c r="B1140" s="23">
        <f>Parameters!B571</f>
        <v>0</v>
      </c>
      <c r="C1140" s="24">
        <f>Parameters!C571</f>
        <v>0</v>
      </c>
      <c r="D1140" s="24">
        <f>Parameters!D571</f>
        <v>0</v>
      </c>
      <c r="E1140" s="23">
        <f>Parameters!E571</f>
        <v>0</v>
      </c>
      <c r="F1140" s="23">
        <f>Parameters!F571</f>
        <v>0</v>
      </c>
      <c r="G1140" s="25">
        <f>Parameters!G571</f>
        <v>0</v>
      </c>
      <c r="H1140" s="25">
        <f>Parameters!H571</f>
        <v>0</v>
      </c>
      <c r="I1140" s="25">
        <f>Parameters!I571</f>
        <v>0</v>
      </c>
      <c r="J1140" s="25">
        <f>Parameters!J571</f>
        <v>0</v>
      </c>
      <c r="K1140" s="25">
        <f>Parameters!K571</f>
        <v>0</v>
      </c>
      <c r="L1140" s="26" t="e">
        <f t="shared" ref="L1140" si="1704">L1141</f>
        <v>#DIV/0!</v>
      </c>
      <c r="M1140" s="25">
        <f>Parameters!L571</f>
        <v>0</v>
      </c>
      <c r="N1140" s="25">
        <f>Parameters!M571</f>
        <v>0</v>
      </c>
      <c r="O1140" s="26" t="e">
        <f t="shared" ref="O1140" si="1705">O1141</f>
        <v>#DIV/0!</v>
      </c>
      <c r="P1140" s="23">
        <f>Parameters!N571</f>
        <v>0</v>
      </c>
      <c r="Q1140" s="23">
        <f>Parameters!O571</f>
        <v>0</v>
      </c>
      <c r="R1140" s="23">
        <f>Parameters!P571</f>
        <v>0</v>
      </c>
      <c r="S1140" s="23">
        <f>Parameters!Q571</f>
        <v>0</v>
      </c>
      <c r="T1140" s="23">
        <f>Parameters!R571</f>
        <v>0</v>
      </c>
      <c r="U1140" s="27">
        <f>Parameters!S571</f>
        <v>0</v>
      </c>
      <c r="V1140" s="28">
        <f>Parameters!T571</f>
        <v>0</v>
      </c>
      <c r="W1140" s="27">
        <f>Parameters!U571</f>
        <v>0</v>
      </c>
      <c r="X1140" s="28">
        <f>Parameters!V571</f>
        <v>0</v>
      </c>
      <c r="Y1140" s="25">
        <f>Parameters!W571</f>
        <v>0</v>
      </c>
      <c r="Z1140" s="23">
        <f>Parameters!X571</f>
        <v>0</v>
      </c>
      <c r="AA1140" s="27">
        <f>Parameters!Y571</f>
        <v>0</v>
      </c>
      <c r="AB1140" s="28">
        <f>Parameters!Z571</f>
        <v>0</v>
      </c>
      <c r="AC1140" s="23">
        <f>Parameters!AA571</f>
        <v>0</v>
      </c>
    </row>
    <row r="1141" spans="1:29">
      <c r="A1141" s="29" t="str">
        <f>UPPER(A1140)</f>
        <v>0</v>
      </c>
      <c r="B1141" s="29">
        <f>B1140</f>
        <v>0</v>
      </c>
      <c r="C1141" s="30">
        <f>C1140</f>
        <v>0</v>
      </c>
      <c r="D1141" s="30">
        <f>D1140</f>
        <v>0</v>
      </c>
      <c r="E1141" s="29">
        <f>E1140</f>
        <v>0</v>
      </c>
      <c r="F1141" s="29">
        <f>F1140</f>
        <v>0</v>
      </c>
      <c r="G1141" s="29" t="e">
        <f>IF(C1140=1,IF(D1140="BUY",E1140+(ROUND(F1140*G1140/B1140,0)*B1140),E1140-(ROUND(F1140*G1140/B1140,0)*B1140)),IF(D1140="BUY",E1140-(ROUND(F1140*G1140/B1140,0)*B1140),E1140+(ROUND(F1140*G1140/B1140,0)*B1140)))</f>
        <v>#DIV/0!</v>
      </c>
      <c r="H1141" s="29" t="e">
        <f>IF(C1140=1,IF(D1140="BUY",G1141-(ROUND(F1140*H1140/B1140,0)*B1140),G1141+(ROUND(F1140*H1140/B1140,0)*B1140)),IF(D1140="BUY",G1141+(ROUND(F1140*H1140/B1140,0)*B1140),G1141-(ROUND(F1140*H1140/B1140,0)*B1140)))</f>
        <v>#DIV/0!</v>
      </c>
      <c r="I1141" s="29" t="e">
        <f>IF(D1140="BUY",G1141+(ROUND(F1140*I1140/(B1140*100),0)*B1140),G1141-(ROUND(F1140*I1140/(B1140*100),0)*B1140))</f>
        <v>#DIV/0!</v>
      </c>
      <c r="J1141" s="29" t="e">
        <f>IF(C1140=1,IF(D1140="BUY",E1140+(ROUND(F1140*J1140/B1140,0)*B1140),E1140-(ROUND(F1140*J1140/B1140,0)*B1140)),IF(D1140="BUY",E1140-(ROUND(F1140*J1140/B1140,0)*B1140),E1140+(ROUND(F1140*J1140/B1140,0)*B1140)))</f>
        <v>#DIV/0!</v>
      </c>
      <c r="K1141" s="29" t="e">
        <f>IF(C1140=1,IF(D1140="BUY",E1140-(ROUND(F1140*K1140/B1140,0)*B1140),E1140+(ROUND(F1140*K1140/B1140,0)*B1140)),IF(D1140="BUY",E1140-(ROUND(F1140*K1140/B1140,0)*B1140),E1140+(ROUND(F1140*K1140/B1140,0)*B1140)))</f>
        <v>#DIV/0!</v>
      </c>
      <c r="L1141" s="29" t="e">
        <f t="shared" ref="L1141" si="1706">IF(D1141="BUY",I1141+(R1141*B1141),I1141-(R1141*B1141))</f>
        <v>#DIV/0!</v>
      </c>
      <c r="M1141" s="29" t="e">
        <f>IF(D1140="BUY",E1140+(ROUND(F1140*M1140/B1140,0)*B1140),E1140-(ROUND(F1140*M1140/B1140,0)*B1140))</f>
        <v>#DIV/0!</v>
      </c>
      <c r="N1141" s="29" t="e">
        <f>IF(D1140="BUY",E1140-(ROUND(F1140*N1140/B1140,0)*B1140),E1140+(ROUND(F1140*N1140/B1140,0)*B1140))</f>
        <v>#DIV/0!</v>
      </c>
      <c r="O1141" s="31" t="e">
        <f>IF(D1141="BUY",N1141-VLOOKUP(A1141,Symbols!A$1:D$1000,4,FALSE),N1141+VLOOKUP(A1141,Symbols!A$1:D$1000,4,FALSE))</f>
        <v>#DIV/0!</v>
      </c>
      <c r="P1141" s="29">
        <f>P1140</f>
        <v>0</v>
      </c>
      <c r="Q1141" s="29">
        <f>Q1140</f>
        <v>0</v>
      </c>
      <c r="R1141" s="29">
        <f>R1140</f>
        <v>0</v>
      </c>
      <c r="S1141" s="29">
        <f>S1140</f>
        <v>0</v>
      </c>
      <c r="T1141" s="29">
        <f>T1140</f>
        <v>0</v>
      </c>
      <c r="U1141" s="29" t="e">
        <f>DATEDIF(DATE(1970,1,1),U1140,"D")*86400</f>
        <v>#NUM!</v>
      </c>
      <c r="V1141" s="29">
        <f>HOUR(V1140)*3600+MINUTE(V1140)*60+SECOND(V1140)</f>
        <v>0</v>
      </c>
      <c r="W1141" s="29" t="e">
        <f>DATEDIF(DATE(1970,1,1),W1140,"D")*86400</f>
        <v>#NUM!</v>
      </c>
      <c r="X1141" s="29">
        <f>HOUR(X1140)*3600+MINUTE(X1140)*60+SECOND(X1140)</f>
        <v>0</v>
      </c>
      <c r="Y1141" s="31">
        <f>(Y1140*B1141)</f>
        <v>0</v>
      </c>
      <c r="Z1141" s="29">
        <f>Z1140</f>
        <v>0</v>
      </c>
      <c r="AA1141" s="29" t="e">
        <f>DATEDIF(DATE(1970,1,1),AA1140,"D")*86400</f>
        <v>#NUM!</v>
      </c>
      <c r="AB1141" s="29">
        <f>HOUR(AB1140)*3600+MINUTE(AB1140)*60+SECOND(AB1140)</f>
        <v>0</v>
      </c>
      <c r="AC1141" s="29">
        <f>AC1140</f>
        <v>0</v>
      </c>
    </row>
    <row r="1142" spans="1:29">
      <c r="A1142" s="23">
        <f>Parameters!A572</f>
        <v>0</v>
      </c>
      <c r="B1142" s="23">
        <f>Parameters!B572</f>
        <v>0</v>
      </c>
      <c r="C1142" s="24">
        <f>Parameters!C572</f>
        <v>0</v>
      </c>
      <c r="D1142" s="24">
        <f>Parameters!D572</f>
        <v>0</v>
      </c>
      <c r="E1142" s="23">
        <f>Parameters!E572</f>
        <v>0</v>
      </c>
      <c r="F1142" s="23">
        <f>Parameters!F572</f>
        <v>0</v>
      </c>
      <c r="G1142" s="25">
        <f>Parameters!G572</f>
        <v>0</v>
      </c>
      <c r="H1142" s="25">
        <f>Parameters!H572</f>
        <v>0</v>
      </c>
      <c r="I1142" s="25">
        <f>Parameters!I572</f>
        <v>0</v>
      </c>
      <c r="J1142" s="25">
        <f>Parameters!J572</f>
        <v>0</v>
      </c>
      <c r="K1142" s="25">
        <f>Parameters!K572</f>
        <v>0</v>
      </c>
      <c r="L1142" s="26" t="e">
        <f t="shared" ref="L1142" si="1707">L1143</f>
        <v>#DIV/0!</v>
      </c>
      <c r="M1142" s="25">
        <f>Parameters!L572</f>
        <v>0</v>
      </c>
      <c r="N1142" s="25">
        <f>Parameters!M572</f>
        <v>0</v>
      </c>
      <c r="O1142" s="26" t="e">
        <f t="shared" ref="O1142" si="1708">O1143</f>
        <v>#DIV/0!</v>
      </c>
      <c r="P1142" s="23">
        <f>Parameters!N572</f>
        <v>0</v>
      </c>
      <c r="Q1142" s="23">
        <f>Parameters!O572</f>
        <v>0</v>
      </c>
      <c r="R1142" s="23">
        <f>Parameters!P572</f>
        <v>0</v>
      </c>
      <c r="S1142" s="23">
        <f>Parameters!Q572</f>
        <v>0</v>
      </c>
      <c r="T1142" s="23">
        <f>Parameters!R572</f>
        <v>0</v>
      </c>
      <c r="U1142" s="27">
        <f>Parameters!S572</f>
        <v>0</v>
      </c>
      <c r="V1142" s="28">
        <f>Parameters!T572</f>
        <v>0</v>
      </c>
      <c r="W1142" s="27">
        <f>Parameters!U572</f>
        <v>0</v>
      </c>
      <c r="X1142" s="28">
        <f>Parameters!V572</f>
        <v>0</v>
      </c>
      <c r="Y1142" s="25">
        <f>Parameters!W572</f>
        <v>0</v>
      </c>
      <c r="Z1142" s="23">
        <f>Parameters!X572</f>
        <v>0</v>
      </c>
      <c r="AA1142" s="27">
        <f>Parameters!Y572</f>
        <v>0</v>
      </c>
      <c r="AB1142" s="28">
        <f>Parameters!Z572</f>
        <v>0</v>
      </c>
      <c r="AC1142" s="23">
        <f>Parameters!AA572</f>
        <v>0</v>
      </c>
    </row>
    <row r="1143" spans="1:29">
      <c r="A1143" s="29" t="str">
        <f>UPPER(A1142)</f>
        <v>0</v>
      </c>
      <c r="B1143" s="29">
        <f>B1142</f>
        <v>0</v>
      </c>
      <c r="C1143" s="30">
        <f>C1142</f>
        <v>0</v>
      </c>
      <c r="D1143" s="30">
        <f>D1142</f>
        <v>0</v>
      </c>
      <c r="E1143" s="29">
        <f>E1142</f>
        <v>0</v>
      </c>
      <c r="F1143" s="29">
        <f>F1142</f>
        <v>0</v>
      </c>
      <c r="G1143" s="29" t="e">
        <f>IF(C1142=1,IF(D1142="BUY",E1142+(ROUND(F1142*G1142/B1142,0)*B1142),E1142-(ROUND(F1142*G1142/B1142,0)*B1142)),IF(D1142="BUY",E1142-(ROUND(F1142*G1142/B1142,0)*B1142),E1142+(ROUND(F1142*G1142/B1142,0)*B1142)))</f>
        <v>#DIV/0!</v>
      </c>
      <c r="H1143" s="29" t="e">
        <f>IF(C1142=1,IF(D1142="BUY",G1143-(ROUND(F1142*H1142/B1142,0)*B1142),G1143+(ROUND(F1142*H1142/B1142,0)*B1142)),IF(D1142="BUY",G1143+(ROUND(F1142*H1142/B1142,0)*B1142),G1143-(ROUND(F1142*H1142/B1142,0)*B1142)))</f>
        <v>#DIV/0!</v>
      </c>
      <c r="I1143" s="29" t="e">
        <f>IF(D1142="BUY",G1143+(ROUND(F1142*I1142/(B1142*100),0)*B1142),G1143-(ROUND(F1142*I1142/(B1142*100),0)*B1142))</f>
        <v>#DIV/0!</v>
      </c>
      <c r="J1143" s="29" t="e">
        <f>IF(C1142=1,IF(D1142="BUY",E1142+(ROUND(F1142*J1142/B1142,0)*B1142),E1142-(ROUND(F1142*J1142/B1142,0)*B1142)),IF(D1142="BUY",E1142-(ROUND(F1142*J1142/B1142,0)*B1142),E1142+(ROUND(F1142*J1142/B1142,0)*B1142)))</f>
        <v>#DIV/0!</v>
      </c>
      <c r="K1143" s="29" t="e">
        <f>IF(C1142=1,IF(D1142="BUY",E1142-(ROUND(F1142*K1142/B1142,0)*B1142),E1142+(ROUND(F1142*K1142/B1142,0)*B1142)),IF(D1142="BUY",E1142-(ROUND(F1142*K1142/B1142,0)*B1142),E1142+(ROUND(F1142*K1142/B1142,0)*B1142)))</f>
        <v>#DIV/0!</v>
      </c>
      <c r="L1143" s="29" t="e">
        <f t="shared" ref="L1143" si="1709">IF(D1143="BUY",I1143+(R1143*B1143),I1143-(R1143*B1143))</f>
        <v>#DIV/0!</v>
      </c>
      <c r="M1143" s="29" t="e">
        <f>IF(D1142="BUY",E1142+(ROUND(F1142*M1142/B1142,0)*B1142),E1142-(ROUND(F1142*M1142/B1142,0)*B1142))</f>
        <v>#DIV/0!</v>
      </c>
      <c r="N1143" s="29" t="e">
        <f>IF(D1142="BUY",E1142-(ROUND(F1142*N1142/B1142,0)*B1142),E1142+(ROUND(F1142*N1142/B1142,0)*B1142))</f>
        <v>#DIV/0!</v>
      </c>
      <c r="O1143" s="31" t="e">
        <f>IF(D1143="BUY",N1143-VLOOKUP(A1143,Symbols!A$1:D$1000,4,FALSE),N1143+VLOOKUP(A1143,Symbols!A$1:D$1000,4,FALSE))</f>
        <v>#DIV/0!</v>
      </c>
      <c r="P1143" s="29">
        <f>P1142</f>
        <v>0</v>
      </c>
      <c r="Q1143" s="29">
        <f>Q1142</f>
        <v>0</v>
      </c>
      <c r="R1143" s="29">
        <f>R1142</f>
        <v>0</v>
      </c>
      <c r="S1143" s="29">
        <f>S1142</f>
        <v>0</v>
      </c>
      <c r="T1143" s="29">
        <f>T1142</f>
        <v>0</v>
      </c>
      <c r="U1143" s="29" t="e">
        <f>DATEDIF(DATE(1970,1,1),U1142,"D")*86400</f>
        <v>#NUM!</v>
      </c>
      <c r="V1143" s="29">
        <f>HOUR(V1142)*3600+MINUTE(V1142)*60+SECOND(V1142)</f>
        <v>0</v>
      </c>
      <c r="W1143" s="29" t="e">
        <f>DATEDIF(DATE(1970,1,1),W1142,"D")*86400</f>
        <v>#NUM!</v>
      </c>
      <c r="X1143" s="29">
        <f>HOUR(X1142)*3600+MINUTE(X1142)*60+SECOND(X1142)</f>
        <v>0</v>
      </c>
      <c r="Y1143" s="31">
        <f>(Y1142*B1143)</f>
        <v>0</v>
      </c>
      <c r="Z1143" s="29">
        <f>Z1142</f>
        <v>0</v>
      </c>
      <c r="AA1143" s="29" t="e">
        <f>DATEDIF(DATE(1970,1,1),AA1142,"D")*86400</f>
        <v>#NUM!</v>
      </c>
      <c r="AB1143" s="29">
        <f>HOUR(AB1142)*3600+MINUTE(AB1142)*60+SECOND(AB1142)</f>
        <v>0</v>
      </c>
      <c r="AC1143" s="29">
        <f>AC1142</f>
        <v>0</v>
      </c>
    </row>
    <row r="1144" spans="1:29">
      <c r="A1144" s="23">
        <f>Parameters!A573</f>
        <v>0</v>
      </c>
      <c r="B1144" s="23">
        <f>Parameters!B573</f>
        <v>0</v>
      </c>
      <c r="C1144" s="24">
        <f>Parameters!C573</f>
        <v>0</v>
      </c>
      <c r="D1144" s="24">
        <f>Parameters!D573</f>
        <v>0</v>
      </c>
      <c r="E1144" s="23">
        <f>Parameters!E573</f>
        <v>0</v>
      </c>
      <c r="F1144" s="23">
        <f>Parameters!F573</f>
        <v>0</v>
      </c>
      <c r="G1144" s="25">
        <f>Parameters!G573</f>
        <v>0</v>
      </c>
      <c r="H1144" s="25">
        <f>Parameters!H573</f>
        <v>0</v>
      </c>
      <c r="I1144" s="25">
        <f>Parameters!I573</f>
        <v>0</v>
      </c>
      <c r="J1144" s="25">
        <f>Parameters!J573</f>
        <v>0</v>
      </c>
      <c r="K1144" s="25">
        <f>Parameters!K573</f>
        <v>0</v>
      </c>
      <c r="L1144" s="26" t="e">
        <f t="shared" ref="L1144" si="1710">L1145</f>
        <v>#DIV/0!</v>
      </c>
      <c r="M1144" s="25">
        <f>Parameters!L573</f>
        <v>0</v>
      </c>
      <c r="N1144" s="25">
        <f>Parameters!M573</f>
        <v>0</v>
      </c>
      <c r="O1144" s="26" t="e">
        <f t="shared" ref="O1144" si="1711">O1145</f>
        <v>#DIV/0!</v>
      </c>
      <c r="P1144" s="23">
        <f>Parameters!N573</f>
        <v>0</v>
      </c>
      <c r="Q1144" s="23">
        <f>Parameters!O573</f>
        <v>0</v>
      </c>
      <c r="R1144" s="23">
        <f>Parameters!P573</f>
        <v>0</v>
      </c>
      <c r="S1144" s="23">
        <f>Parameters!Q573</f>
        <v>0</v>
      </c>
      <c r="T1144" s="23">
        <f>Parameters!R573</f>
        <v>0</v>
      </c>
      <c r="U1144" s="27">
        <f>Parameters!S573</f>
        <v>0</v>
      </c>
      <c r="V1144" s="28">
        <f>Parameters!T573</f>
        <v>0</v>
      </c>
      <c r="W1144" s="27">
        <f>Parameters!U573</f>
        <v>0</v>
      </c>
      <c r="X1144" s="28">
        <f>Parameters!V573</f>
        <v>0</v>
      </c>
      <c r="Y1144" s="25">
        <f>Parameters!W573</f>
        <v>0</v>
      </c>
      <c r="Z1144" s="23">
        <f>Parameters!X573</f>
        <v>0</v>
      </c>
      <c r="AA1144" s="27">
        <f>Parameters!Y573</f>
        <v>0</v>
      </c>
      <c r="AB1144" s="28">
        <f>Parameters!Z573</f>
        <v>0</v>
      </c>
      <c r="AC1144" s="23">
        <f>Parameters!AA573</f>
        <v>0</v>
      </c>
    </row>
    <row r="1145" spans="1:29">
      <c r="A1145" s="29" t="str">
        <f>UPPER(A1144)</f>
        <v>0</v>
      </c>
      <c r="B1145" s="29">
        <f>B1144</f>
        <v>0</v>
      </c>
      <c r="C1145" s="30">
        <f>C1144</f>
        <v>0</v>
      </c>
      <c r="D1145" s="30">
        <f>D1144</f>
        <v>0</v>
      </c>
      <c r="E1145" s="29">
        <f>E1144</f>
        <v>0</v>
      </c>
      <c r="F1145" s="29">
        <f>F1144</f>
        <v>0</v>
      </c>
      <c r="G1145" s="29" t="e">
        <f>IF(C1144=1,IF(D1144="BUY",E1144+(ROUND(F1144*G1144/B1144,0)*B1144),E1144-(ROUND(F1144*G1144/B1144,0)*B1144)),IF(D1144="BUY",E1144-(ROUND(F1144*G1144/B1144,0)*B1144),E1144+(ROUND(F1144*G1144/B1144,0)*B1144)))</f>
        <v>#DIV/0!</v>
      </c>
      <c r="H1145" s="29" t="e">
        <f>IF(C1144=1,IF(D1144="BUY",G1145-(ROUND(F1144*H1144/B1144,0)*B1144),G1145+(ROUND(F1144*H1144/B1144,0)*B1144)),IF(D1144="BUY",G1145+(ROUND(F1144*H1144/B1144,0)*B1144),G1145-(ROUND(F1144*H1144/B1144,0)*B1144)))</f>
        <v>#DIV/0!</v>
      </c>
      <c r="I1145" s="29" t="e">
        <f>IF(D1144="BUY",G1145+(ROUND(F1144*I1144/(B1144*100),0)*B1144),G1145-(ROUND(F1144*I1144/(B1144*100),0)*B1144))</f>
        <v>#DIV/0!</v>
      </c>
      <c r="J1145" s="29" t="e">
        <f>IF(C1144=1,IF(D1144="BUY",E1144+(ROUND(F1144*J1144/B1144,0)*B1144),E1144-(ROUND(F1144*J1144/B1144,0)*B1144)),IF(D1144="BUY",E1144-(ROUND(F1144*J1144/B1144,0)*B1144),E1144+(ROUND(F1144*J1144/B1144,0)*B1144)))</f>
        <v>#DIV/0!</v>
      </c>
      <c r="K1145" s="29" t="e">
        <f>IF(C1144=1,IF(D1144="BUY",E1144-(ROUND(F1144*K1144/B1144,0)*B1144),E1144+(ROUND(F1144*K1144/B1144,0)*B1144)),IF(D1144="BUY",E1144-(ROUND(F1144*K1144/B1144,0)*B1144),E1144+(ROUND(F1144*K1144/B1144,0)*B1144)))</f>
        <v>#DIV/0!</v>
      </c>
      <c r="L1145" s="29" t="e">
        <f t="shared" ref="L1145" si="1712">IF(D1145="BUY",I1145+(R1145*B1145),I1145-(R1145*B1145))</f>
        <v>#DIV/0!</v>
      </c>
      <c r="M1145" s="29" t="e">
        <f>IF(D1144="BUY",E1144+(ROUND(F1144*M1144/B1144,0)*B1144),E1144-(ROUND(F1144*M1144/B1144,0)*B1144))</f>
        <v>#DIV/0!</v>
      </c>
      <c r="N1145" s="29" t="e">
        <f>IF(D1144="BUY",E1144-(ROUND(F1144*N1144/B1144,0)*B1144),E1144+(ROUND(F1144*N1144/B1144,0)*B1144))</f>
        <v>#DIV/0!</v>
      </c>
      <c r="O1145" s="31" t="e">
        <f>IF(D1145="BUY",N1145-VLOOKUP(A1145,Symbols!A$1:D$1000,4,FALSE),N1145+VLOOKUP(A1145,Symbols!A$1:D$1000,4,FALSE))</f>
        <v>#DIV/0!</v>
      </c>
      <c r="P1145" s="29">
        <f>P1144</f>
        <v>0</v>
      </c>
      <c r="Q1145" s="29">
        <f>Q1144</f>
        <v>0</v>
      </c>
      <c r="R1145" s="29">
        <f>R1144</f>
        <v>0</v>
      </c>
      <c r="S1145" s="29">
        <f>S1144</f>
        <v>0</v>
      </c>
      <c r="T1145" s="29">
        <f>T1144</f>
        <v>0</v>
      </c>
      <c r="U1145" s="29" t="e">
        <f>DATEDIF(DATE(1970,1,1),U1144,"D")*86400</f>
        <v>#NUM!</v>
      </c>
      <c r="V1145" s="29">
        <f>HOUR(V1144)*3600+MINUTE(V1144)*60+SECOND(V1144)</f>
        <v>0</v>
      </c>
      <c r="W1145" s="29" t="e">
        <f>DATEDIF(DATE(1970,1,1),W1144,"D")*86400</f>
        <v>#NUM!</v>
      </c>
      <c r="X1145" s="29">
        <f>HOUR(X1144)*3600+MINUTE(X1144)*60+SECOND(X1144)</f>
        <v>0</v>
      </c>
      <c r="Y1145" s="31">
        <f>(Y1144*B1145)</f>
        <v>0</v>
      </c>
      <c r="Z1145" s="29">
        <f>Z1144</f>
        <v>0</v>
      </c>
      <c r="AA1145" s="29" t="e">
        <f>DATEDIF(DATE(1970,1,1),AA1144,"D")*86400</f>
        <v>#NUM!</v>
      </c>
      <c r="AB1145" s="29">
        <f>HOUR(AB1144)*3600+MINUTE(AB1144)*60+SECOND(AB1144)</f>
        <v>0</v>
      </c>
      <c r="AC1145" s="29">
        <f>AC1144</f>
        <v>0</v>
      </c>
    </row>
    <row r="1146" spans="1:29">
      <c r="A1146" s="23">
        <f>Parameters!A574</f>
        <v>0</v>
      </c>
      <c r="B1146" s="23">
        <f>Parameters!B574</f>
        <v>0</v>
      </c>
      <c r="C1146" s="24">
        <f>Parameters!C574</f>
        <v>0</v>
      </c>
      <c r="D1146" s="24">
        <f>Parameters!D574</f>
        <v>0</v>
      </c>
      <c r="E1146" s="23">
        <f>Parameters!E574</f>
        <v>0</v>
      </c>
      <c r="F1146" s="23">
        <f>Parameters!F574</f>
        <v>0</v>
      </c>
      <c r="G1146" s="25">
        <f>Parameters!G574</f>
        <v>0</v>
      </c>
      <c r="H1146" s="25">
        <f>Parameters!H574</f>
        <v>0</v>
      </c>
      <c r="I1146" s="25">
        <f>Parameters!I574</f>
        <v>0</v>
      </c>
      <c r="J1146" s="25">
        <f>Parameters!J574</f>
        <v>0</v>
      </c>
      <c r="K1146" s="25">
        <f>Parameters!K574</f>
        <v>0</v>
      </c>
      <c r="L1146" s="26" t="e">
        <f t="shared" ref="L1146" si="1713">L1147</f>
        <v>#DIV/0!</v>
      </c>
      <c r="M1146" s="25">
        <f>Parameters!L574</f>
        <v>0</v>
      </c>
      <c r="N1146" s="25">
        <f>Parameters!M574</f>
        <v>0</v>
      </c>
      <c r="O1146" s="26" t="e">
        <f t="shared" ref="O1146" si="1714">O1147</f>
        <v>#DIV/0!</v>
      </c>
      <c r="P1146" s="23">
        <f>Parameters!N574</f>
        <v>0</v>
      </c>
      <c r="Q1146" s="23">
        <f>Parameters!O574</f>
        <v>0</v>
      </c>
      <c r="R1146" s="23">
        <f>Parameters!P574</f>
        <v>0</v>
      </c>
      <c r="S1146" s="23">
        <f>Parameters!Q574</f>
        <v>0</v>
      </c>
      <c r="T1146" s="23">
        <f>Parameters!R574</f>
        <v>0</v>
      </c>
      <c r="U1146" s="27">
        <f>Parameters!S574</f>
        <v>0</v>
      </c>
      <c r="V1146" s="28">
        <f>Parameters!T574</f>
        <v>0</v>
      </c>
      <c r="W1146" s="27">
        <f>Parameters!U574</f>
        <v>0</v>
      </c>
      <c r="X1146" s="28">
        <f>Parameters!V574</f>
        <v>0</v>
      </c>
      <c r="Y1146" s="25">
        <f>Parameters!W574</f>
        <v>0</v>
      </c>
      <c r="Z1146" s="23">
        <f>Parameters!X574</f>
        <v>0</v>
      </c>
      <c r="AA1146" s="27">
        <f>Parameters!Y574</f>
        <v>0</v>
      </c>
      <c r="AB1146" s="28">
        <f>Parameters!Z574</f>
        <v>0</v>
      </c>
      <c r="AC1146" s="23">
        <f>Parameters!AA574</f>
        <v>0</v>
      </c>
    </row>
    <row r="1147" spans="1:29">
      <c r="A1147" s="29" t="str">
        <f>UPPER(A1146)</f>
        <v>0</v>
      </c>
      <c r="B1147" s="29">
        <f>B1146</f>
        <v>0</v>
      </c>
      <c r="C1147" s="30">
        <f>C1146</f>
        <v>0</v>
      </c>
      <c r="D1147" s="30">
        <f>D1146</f>
        <v>0</v>
      </c>
      <c r="E1147" s="29">
        <f>E1146</f>
        <v>0</v>
      </c>
      <c r="F1147" s="29">
        <f>F1146</f>
        <v>0</v>
      </c>
      <c r="G1147" s="29" t="e">
        <f>IF(C1146=1,IF(D1146="BUY",E1146+(ROUND(F1146*G1146/B1146,0)*B1146),E1146-(ROUND(F1146*G1146/B1146,0)*B1146)),IF(D1146="BUY",E1146-(ROUND(F1146*G1146/B1146,0)*B1146),E1146+(ROUND(F1146*G1146/B1146,0)*B1146)))</f>
        <v>#DIV/0!</v>
      </c>
      <c r="H1147" s="29" t="e">
        <f>IF(C1146=1,IF(D1146="BUY",G1147-(ROUND(F1146*H1146/B1146,0)*B1146),G1147+(ROUND(F1146*H1146/B1146,0)*B1146)),IF(D1146="BUY",G1147+(ROUND(F1146*H1146/B1146,0)*B1146),G1147-(ROUND(F1146*H1146/B1146,0)*B1146)))</f>
        <v>#DIV/0!</v>
      </c>
      <c r="I1147" s="29" t="e">
        <f>IF(D1146="BUY",G1147+(ROUND(F1146*I1146/(B1146*100),0)*B1146),G1147-(ROUND(F1146*I1146/(B1146*100),0)*B1146))</f>
        <v>#DIV/0!</v>
      </c>
      <c r="J1147" s="29" t="e">
        <f>IF(C1146=1,IF(D1146="BUY",E1146+(ROUND(F1146*J1146/B1146,0)*B1146),E1146-(ROUND(F1146*J1146/B1146,0)*B1146)),IF(D1146="BUY",E1146-(ROUND(F1146*J1146/B1146,0)*B1146),E1146+(ROUND(F1146*J1146/B1146,0)*B1146)))</f>
        <v>#DIV/0!</v>
      </c>
      <c r="K1147" s="29" t="e">
        <f>IF(C1146=1,IF(D1146="BUY",E1146-(ROUND(F1146*K1146/B1146,0)*B1146),E1146+(ROUND(F1146*K1146/B1146,0)*B1146)),IF(D1146="BUY",E1146-(ROUND(F1146*K1146/B1146,0)*B1146),E1146+(ROUND(F1146*K1146/B1146,0)*B1146)))</f>
        <v>#DIV/0!</v>
      </c>
      <c r="L1147" s="29" t="e">
        <f t="shared" ref="L1147" si="1715">IF(D1147="BUY",I1147+(R1147*B1147),I1147-(R1147*B1147))</f>
        <v>#DIV/0!</v>
      </c>
      <c r="M1147" s="29" t="e">
        <f>IF(D1146="BUY",E1146+(ROUND(F1146*M1146/B1146,0)*B1146),E1146-(ROUND(F1146*M1146/B1146,0)*B1146))</f>
        <v>#DIV/0!</v>
      </c>
      <c r="N1147" s="29" t="e">
        <f>IF(D1146="BUY",E1146-(ROUND(F1146*N1146/B1146,0)*B1146),E1146+(ROUND(F1146*N1146/B1146,0)*B1146))</f>
        <v>#DIV/0!</v>
      </c>
      <c r="O1147" s="31" t="e">
        <f>IF(D1147="BUY",N1147-VLOOKUP(A1147,Symbols!A$1:D$1000,4,FALSE),N1147+VLOOKUP(A1147,Symbols!A$1:D$1000,4,FALSE))</f>
        <v>#DIV/0!</v>
      </c>
      <c r="P1147" s="29">
        <f>P1146</f>
        <v>0</v>
      </c>
      <c r="Q1147" s="29">
        <f>Q1146</f>
        <v>0</v>
      </c>
      <c r="R1147" s="29">
        <f>R1146</f>
        <v>0</v>
      </c>
      <c r="S1147" s="29">
        <f>S1146</f>
        <v>0</v>
      </c>
      <c r="T1147" s="29">
        <f>T1146</f>
        <v>0</v>
      </c>
      <c r="U1147" s="29" t="e">
        <f>DATEDIF(DATE(1970,1,1),U1146,"D")*86400</f>
        <v>#NUM!</v>
      </c>
      <c r="V1147" s="29">
        <f>HOUR(V1146)*3600+MINUTE(V1146)*60+SECOND(V1146)</f>
        <v>0</v>
      </c>
      <c r="W1147" s="29" t="e">
        <f>DATEDIF(DATE(1970,1,1),W1146,"D")*86400</f>
        <v>#NUM!</v>
      </c>
      <c r="X1147" s="29">
        <f>HOUR(X1146)*3600+MINUTE(X1146)*60+SECOND(X1146)</f>
        <v>0</v>
      </c>
      <c r="Y1147" s="31">
        <f>(Y1146*B1147)</f>
        <v>0</v>
      </c>
      <c r="Z1147" s="29">
        <f>Z1146</f>
        <v>0</v>
      </c>
      <c r="AA1147" s="29" t="e">
        <f>DATEDIF(DATE(1970,1,1),AA1146,"D")*86400</f>
        <v>#NUM!</v>
      </c>
      <c r="AB1147" s="29">
        <f>HOUR(AB1146)*3600+MINUTE(AB1146)*60+SECOND(AB1146)</f>
        <v>0</v>
      </c>
      <c r="AC1147" s="29">
        <f>AC1146</f>
        <v>0</v>
      </c>
    </row>
    <row r="1148" spans="1:29">
      <c r="A1148" s="23">
        <f>Parameters!A575</f>
        <v>0</v>
      </c>
      <c r="B1148" s="23">
        <f>Parameters!B575</f>
        <v>0</v>
      </c>
      <c r="C1148" s="24">
        <f>Parameters!C575</f>
        <v>0</v>
      </c>
      <c r="D1148" s="24">
        <f>Parameters!D575</f>
        <v>0</v>
      </c>
      <c r="E1148" s="23">
        <f>Parameters!E575</f>
        <v>0</v>
      </c>
      <c r="F1148" s="23">
        <f>Parameters!F575</f>
        <v>0</v>
      </c>
      <c r="G1148" s="25">
        <f>Parameters!G575</f>
        <v>0</v>
      </c>
      <c r="H1148" s="25">
        <f>Parameters!H575</f>
        <v>0</v>
      </c>
      <c r="I1148" s="25">
        <f>Parameters!I575</f>
        <v>0</v>
      </c>
      <c r="J1148" s="25">
        <f>Parameters!J575</f>
        <v>0</v>
      </c>
      <c r="K1148" s="25">
        <f>Parameters!K575</f>
        <v>0</v>
      </c>
      <c r="L1148" s="26" t="e">
        <f t="shared" ref="L1148" si="1716">L1149</f>
        <v>#DIV/0!</v>
      </c>
      <c r="M1148" s="25">
        <f>Parameters!L575</f>
        <v>0</v>
      </c>
      <c r="N1148" s="25">
        <f>Parameters!M575</f>
        <v>0</v>
      </c>
      <c r="O1148" s="26" t="e">
        <f t="shared" ref="O1148" si="1717">O1149</f>
        <v>#DIV/0!</v>
      </c>
      <c r="P1148" s="23">
        <f>Parameters!N575</f>
        <v>0</v>
      </c>
      <c r="Q1148" s="23">
        <f>Parameters!O575</f>
        <v>0</v>
      </c>
      <c r="R1148" s="23">
        <f>Parameters!P575</f>
        <v>0</v>
      </c>
      <c r="S1148" s="23">
        <f>Parameters!Q575</f>
        <v>0</v>
      </c>
      <c r="T1148" s="23">
        <f>Parameters!R575</f>
        <v>0</v>
      </c>
      <c r="U1148" s="27">
        <f>Parameters!S575</f>
        <v>0</v>
      </c>
      <c r="V1148" s="28">
        <f>Parameters!T575</f>
        <v>0</v>
      </c>
      <c r="W1148" s="27">
        <f>Parameters!U575</f>
        <v>0</v>
      </c>
      <c r="X1148" s="28">
        <f>Parameters!V575</f>
        <v>0</v>
      </c>
      <c r="Y1148" s="25">
        <f>Parameters!W575</f>
        <v>0</v>
      </c>
      <c r="Z1148" s="23">
        <f>Parameters!X575</f>
        <v>0</v>
      </c>
      <c r="AA1148" s="27">
        <f>Parameters!Y575</f>
        <v>0</v>
      </c>
      <c r="AB1148" s="28">
        <f>Parameters!Z575</f>
        <v>0</v>
      </c>
      <c r="AC1148" s="23">
        <f>Parameters!AA575</f>
        <v>0</v>
      </c>
    </row>
    <row r="1149" spans="1:29">
      <c r="A1149" s="29" t="str">
        <f>UPPER(A1148)</f>
        <v>0</v>
      </c>
      <c r="B1149" s="29">
        <f>B1148</f>
        <v>0</v>
      </c>
      <c r="C1149" s="30">
        <f>C1148</f>
        <v>0</v>
      </c>
      <c r="D1149" s="30">
        <f>D1148</f>
        <v>0</v>
      </c>
      <c r="E1149" s="29">
        <f>E1148</f>
        <v>0</v>
      </c>
      <c r="F1149" s="29">
        <f>F1148</f>
        <v>0</v>
      </c>
      <c r="G1149" s="29" t="e">
        <f>IF(C1148=1,IF(D1148="BUY",E1148+(ROUND(F1148*G1148/B1148,0)*B1148),E1148-(ROUND(F1148*G1148/B1148,0)*B1148)),IF(D1148="BUY",E1148-(ROUND(F1148*G1148/B1148,0)*B1148),E1148+(ROUND(F1148*G1148/B1148,0)*B1148)))</f>
        <v>#DIV/0!</v>
      </c>
      <c r="H1149" s="29" t="e">
        <f>IF(C1148=1,IF(D1148="BUY",G1149-(ROUND(F1148*H1148/B1148,0)*B1148),G1149+(ROUND(F1148*H1148/B1148,0)*B1148)),IF(D1148="BUY",G1149+(ROUND(F1148*H1148/B1148,0)*B1148),G1149-(ROUND(F1148*H1148/B1148,0)*B1148)))</f>
        <v>#DIV/0!</v>
      </c>
      <c r="I1149" s="29" t="e">
        <f>IF(D1148="BUY",G1149+(ROUND(F1148*I1148/(B1148*100),0)*B1148),G1149-(ROUND(F1148*I1148/(B1148*100),0)*B1148))</f>
        <v>#DIV/0!</v>
      </c>
      <c r="J1149" s="29" t="e">
        <f>IF(C1148=1,IF(D1148="BUY",E1148+(ROUND(F1148*J1148/B1148,0)*B1148),E1148-(ROUND(F1148*J1148/B1148,0)*B1148)),IF(D1148="BUY",E1148-(ROUND(F1148*J1148/B1148,0)*B1148),E1148+(ROUND(F1148*J1148/B1148,0)*B1148)))</f>
        <v>#DIV/0!</v>
      </c>
      <c r="K1149" s="29" t="e">
        <f>IF(C1148=1,IF(D1148="BUY",E1148-(ROUND(F1148*K1148/B1148,0)*B1148),E1148+(ROUND(F1148*K1148/B1148,0)*B1148)),IF(D1148="BUY",E1148-(ROUND(F1148*K1148/B1148,0)*B1148),E1148+(ROUND(F1148*K1148/B1148,0)*B1148)))</f>
        <v>#DIV/0!</v>
      </c>
      <c r="L1149" s="29" t="e">
        <f t="shared" ref="L1149" si="1718">IF(D1149="BUY",I1149+(R1149*B1149),I1149-(R1149*B1149))</f>
        <v>#DIV/0!</v>
      </c>
      <c r="M1149" s="29" t="e">
        <f>IF(D1148="BUY",E1148+(ROUND(F1148*M1148/B1148,0)*B1148),E1148-(ROUND(F1148*M1148/B1148,0)*B1148))</f>
        <v>#DIV/0!</v>
      </c>
      <c r="N1149" s="29" t="e">
        <f>IF(D1148="BUY",E1148-(ROUND(F1148*N1148/B1148,0)*B1148),E1148+(ROUND(F1148*N1148/B1148,0)*B1148))</f>
        <v>#DIV/0!</v>
      </c>
      <c r="O1149" s="31" t="e">
        <f>IF(D1149="BUY",N1149-VLOOKUP(A1149,Symbols!A$1:D$1000,4,FALSE),N1149+VLOOKUP(A1149,Symbols!A$1:D$1000,4,FALSE))</f>
        <v>#DIV/0!</v>
      </c>
      <c r="P1149" s="29">
        <f>P1148</f>
        <v>0</v>
      </c>
      <c r="Q1149" s="29">
        <f>Q1148</f>
        <v>0</v>
      </c>
      <c r="R1149" s="29">
        <f>R1148</f>
        <v>0</v>
      </c>
      <c r="S1149" s="29">
        <f>S1148</f>
        <v>0</v>
      </c>
      <c r="T1149" s="29">
        <f>T1148</f>
        <v>0</v>
      </c>
      <c r="U1149" s="29" t="e">
        <f>DATEDIF(DATE(1970,1,1),U1148,"D")*86400</f>
        <v>#NUM!</v>
      </c>
      <c r="V1149" s="29">
        <f>HOUR(V1148)*3600+MINUTE(V1148)*60+SECOND(V1148)</f>
        <v>0</v>
      </c>
      <c r="W1149" s="29" t="e">
        <f>DATEDIF(DATE(1970,1,1),W1148,"D")*86400</f>
        <v>#NUM!</v>
      </c>
      <c r="X1149" s="29">
        <f>HOUR(X1148)*3600+MINUTE(X1148)*60+SECOND(X1148)</f>
        <v>0</v>
      </c>
      <c r="Y1149" s="31">
        <f>(Y1148*B1149)</f>
        <v>0</v>
      </c>
      <c r="Z1149" s="29">
        <f>Z1148</f>
        <v>0</v>
      </c>
      <c r="AA1149" s="29" t="e">
        <f>DATEDIF(DATE(1970,1,1),AA1148,"D")*86400</f>
        <v>#NUM!</v>
      </c>
      <c r="AB1149" s="29">
        <f>HOUR(AB1148)*3600+MINUTE(AB1148)*60+SECOND(AB1148)</f>
        <v>0</v>
      </c>
      <c r="AC1149" s="29">
        <f>AC1148</f>
        <v>0</v>
      </c>
    </row>
    <row r="1150" spans="1:29">
      <c r="A1150" s="23">
        <f>Parameters!A576</f>
        <v>0</v>
      </c>
      <c r="B1150" s="23">
        <f>Parameters!B576</f>
        <v>0</v>
      </c>
      <c r="C1150" s="24">
        <f>Parameters!C576</f>
        <v>0</v>
      </c>
      <c r="D1150" s="24">
        <f>Parameters!D576</f>
        <v>0</v>
      </c>
      <c r="E1150" s="23">
        <f>Parameters!E576</f>
        <v>0</v>
      </c>
      <c r="F1150" s="23">
        <f>Parameters!F576</f>
        <v>0</v>
      </c>
      <c r="G1150" s="25">
        <f>Parameters!G576</f>
        <v>0</v>
      </c>
      <c r="H1150" s="25">
        <f>Parameters!H576</f>
        <v>0</v>
      </c>
      <c r="I1150" s="25">
        <f>Parameters!I576</f>
        <v>0</v>
      </c>
      <c r="J1150" s="25">
        <f>Parameters!J576</f>
        <v>0</v>
      </c>
      <c r="K1150" s="25">
        <f>Parameters!K576</f>
        <v>0</v>
      </c>
      <c r="L1150" s="26" t="e">
        <f t="shared" ref="L1150" si="1719">L1151</f>
        <v>#DIV/0!</v>
      </c>
      <c r="M1150" s="25">
        <f>Parameters!L576</f>
        <v>0</v>
      </c>
      <c r="N1150" s="25">
        <f>Parameters!M576</f>
        <v>0</v>
      </c>
      <c r="O1150" s="26" t="e">
        <f t="shared" ref="O1150" si="1720">O1151</f>
        <v>#DIV/0!</v>
      </c>
      <c r="P1150" s="23">
        <f>Parameters!N576</f>
        <v>0</v>
      </c>
      <c r="Q1150" s="23">
        <f>Parameters!O576</f>
        <v>0</v>
      </c>
      <c r="R1150" s="23">
        <f>Parameters!P576</f>
        <v>0</v>
      </c>
      <c r="S1150" s="23">
        <f>Parameters!Q576</f>
        <v>0</v>
      </c>
      <c r="T1150" s="23">
        <f>Parameters!R576</f>
        <v>0</v>
      </c>
      <c r="U1150" s="27">
        <f>Parameters!S576</f>
        <v>0</v>
      </c>
      <c r="V1150" s="28">
        <f>Parameters!T576</f>
        <v>0</v>
      </c>
      <c r="W1150" s="27">
        <f>Parameters!U576</f>
        <v>0</v>
      </c>
      <c r="X1150" s="28">
        <f>Parameters!V576</f>
        <v>0</v>
      </c>
      <c r="Y1150" s="25">
        <f>Parameters!W576</f>
        <v>0</v>
      </c>
      <c r="Z1150" s="23">
        <f>Parameters!X576</f>
        <v>0</v>
      </c>
      <c r="AA1150" s="27">
        <f>Parameters!Y576</f>
        <v>0</v>
      </c>
      <c r="AB1150" s="28">
        <f>Parameters!Z576</f>
        <v>0</v>
      </c>
      <c r="AC1150" s="23">
        <f>Parameters!AA576</f>
        <v>0</v>
      </c>
    </row>
    <row r="1151" spans="1:29">
      <c r="A1151" s="29" t="str">
        <f>UPPER(A1150)</f>
        <v>0</v>
      </c>
      <c r="B1151" s="29">
        <f>B1150</f>
        <v>0</v>
      </c>
      <c r="C1151" s="30">
        <f>C1150</f>
        <v>0</v>
      </c>
      <c r="D1151" s="30">
        <f>D1150</f>
        <v>0</v>
      </c>
      <c r="E1151" s="29">
        <f>E1150</f>
        <v>0</v>
      </c>
      <c r="F1151" s="29">
        <f>F1150</f>
        <v>0</v>
      </c>
      <c r="G1151" s="29" t="e">
        <f>IF(C1150=1,IF(D1150="BUY",E1150+(ROUND(F1150*G1150/B1150,0)*B1150),E1150-(ROUND(F1150*G1150/B1150,0)*B1150)),IF(D1150="BUY",E1150-(ROUND(F1150*G1150/B1150,0)*B1150),E1150+(ROUND(F1150*G1150/B1150,0)*B1150)))</f>
        <v>#DIV/0!</v>
      </c>
      <c r="H1151" s="29" t="e">
        <f>IF(C1150=1,IF(D1150="BUY",G1151-(ROUND(F1150*H1150/B1150,0)*B1150),G1151+(ROUND(F1150*H1150/B1150,0)*B1150)),IF(D1150="BUY",G1151+(ROUND(F1150*H1150/B1150,0)*B1150),G1151-(ROUND(F1150*H1150/B1150,0)*B1150)))</f>
        <v>#DIV/0!</v>
      </c>
      <c r="I1151" s="29" t="e">
        <f>IF(D1150="BUY",G1151+(ROUND(F1150*I1150/(B1150*100),0)*B1150),G1151-(ROUND(F1150*I1150/(B1150*100),0)*B1150))</f>
        <v>#DIV/0!</v>
      </c>
      <c r="J1151" s="29" t="e">
        <f>IF(C1150=1,IF(D1150="BUY",E1150+(ROUND(F1150*J1150/B1150,0)*B1150),E1150-(ROUND(F1150*J1150/B1150,0)*B1150)),IF(D1150="BUY",E1150-(ROUND(F1150*J1150/B1150,0)*B1150),E1150+(ROUND(F1150*J1150/B1150,0)*B1150)))</f>
        <v>#DIV/0!</v>
      </c>
      <c r="K1151" s="29" t="e">
        <f>IF(C1150=1,IF(D1150="BUY",E1150-(ROUND(F1150*K1150/B1150,0)*B1150),E1150+(ROUND(F1150*K1150/B1150,0)*B1150)),IF(D1150="BUY",E1150-(ROUND(F1150*K1150/B1150,0)*B1150),E1150+(ROUND(F1150*K1150/B1150,0)*B1150)))</f>
        <v>#DIV/0!</v>
      </c>
      <c r="L1151" s="29" t="e">
        <f t="shared" ref="L1151" si="1721">IF(D1151="BUY",I1151+(R1151*B1151),I1151-(R1151*B1151))</f>
        <v>#DIV/0!</v>
      </c>
      <c r="M1151" s="29" t="e">
        <f>IF(D1150="BUY",E1150+(ROUND(F1150*M1150/B1150,0)*B1150),E1150-(ROUND(F1150*M1150/B1150,0)*B1150))</f>
        <v>#DIV/0!</v>
      </c>
      <c r="N1151" s="29" t="e">
        <f>IF(D1150="BUY",E1150-(ROUND(F1150*N1150/B1150,0)*B1150),E1150+(ROUND(F1150*N1150/B1150,0)*B1150))</f>
        <v>#DIV/0!</v>
      </c>
      <c r="O1151" s="31" t="e">
        <f>IF(D1151="BUY",N1151-VLOOKUP(A1151,Symbols!A$1:D$1000,4,FALSE),N1151+VLOOKUP(A1151,Symbols!A$1:D$1000,4,FALSE))</f>
        <v>#DIV/0!</v>
      </c>
      <c r="P1151" s="29">
        <f>P1150</f>
        <v>0</v>
      </c>
      <c r="Q1151" s="29">
        <f>Q1150</f>
        <v>0</v>
      </c>
      <c r="R1151" s="29">
        <f>R1150</f>
        <v>0</v>
      </c>
      <c r="S1151" s="29">
        <f>S1150</f>
        <v>0</v>
      </c>
      <c r="T1151" s="29">
        <f>T1150</f>
        <v>0</v>
      </c>
      <c r="U1151" s="29" t="e">
        <f>DATEDIF(DATE(1970,1,1),U1150,"D")*86400</f>
        <v>#NUM!</v>
      </c>
      <c r="V1151" s="29">
        <f>HOUR(V1150)*3600+MINUTE(V1150)*60+SECOND(V1150)</f>
        <v>0</v>
      </c>
      <c r="W1151" s="29" t="e">
        <f>DATEDIF(DATE(1970,1,1),W1150,"D")*86400</f>
        <v>#NUM!</v>
      </c>
      <c r="X1151" s="29">
        <f>HOUR(X1150)*3600+MINUTE(X1150)*60+SECOND(X1150)</f>
        <v>0</v>
      </c>
      <c r="Y1151" s="31">
        <f>(Y1150*B1151)</f>
        <v>0</v>
      </c>
      <c r="Z1151" s="29">
        <f>Z1150</f>
        <v>0</v>
      </c>
      <c r="AA1151" s="29" t="e">
        <f>DATEDIF(DATE(1970,1,1),AA1150,"D")*86400</f>
        <v>#NUM!</v>
      </c>
      <c r="AB1151" s="29">
        <f>HOUR(AB1150)*3600+MINUTE(AB1150)*60+SECOND(AB1150)</f>
        <v>0</v>
      </c>
      <c r="AC1151" s="29">
        <f>AC1150</f>
        <v>0</v>
      </c>
    </row>
    <row r="1152" spans="1:29">
      <c r="A1152" s="23">
        <f>Parameters!A577</f>
        <v>0</v>
      </c>
      <c r="B1152" s="23">
        <f>Parameters!B577</f>
        <v>0</v>
      </c>
      <c r="C1152" s="24">
        <f>Parameters!C577</f>
        <v>0</v>
      </c>
      <c r="D1152" s="24">
        <f>Parameters!D577</f>
        <v>0</v>
      </c>
      <c r="E1152" s="23">
        <f>Parameters!E577</f>
        <v>0</v>
      </c>
      <c r="F1152" s="23">
        <f>Parameters!F577</f>
        <v>0</v>
      </c>
      <c r="G1152" s="25">
        <f>Parameters!G577</f>
        <v>0</v>
      </c>
      <c r="H1152" s="25">
        <f>Parameters!H577</f>
        <v>0</v>
      </c>
      <c r="I1152" s="25">
        <f>Parameters!I577</f>
        <v>0</v>
      </c>
      <c r="J1152" s="25">
        <f>Parameters!J577</f>
        <v>0</v>
      </c>
      <c r="K1152" s="25">
        <f>Parameters!K577</f>
        <v>0</v>
      </c>
      <c r="L1152" s="26" t="e">
        <f t="shared" ref="L1152" si="1722">L1153</f>
        <v>#DIV/0!</v>
      </c>
      <c r="M1152" s="25">
        <f>Parameters!L577</f>
        <v>0</v>
      </c>
      <c r="N1152" s="25">
        <f>Parameters!M577</f>
        <v>0</v>
      </c>
      <c r="O1152" s="26" t="e">
        <f t="shared" ref="O1152" si="1723">O1153</f>
        <v>#DIV/0!</v>
      </c>
      <c r="P1152" s="23">
        <f>Parameters!N577</f>
        <v>0</v>
      </c>
      <c r="Q1152" s="23">
        <f>Parameters!O577</f>
        <v>0</v>
      </c>
      <c r="R1152" s="23">
        <f>Parameters!P577</f>
        <v>0</v>
      </c>
      <c r="S1152" s="23">
        <f>Parameters!Q577</f>
        <v>0</v>
      </c>
      <c r="T1152" s="23">
        <f>Parameters!R577</f>
        <v>0</v>
      </c>
      <c r="U1152" s="27">
        <f>Parameters!S577</f>
        <v>0</v>
      </c>
      <c r="V1152" s="28">
        <f>Parameters!T577</f>
        <v>0</v>
      </c>
      <c r="W1152" s="27">
        <f>Parameters!U577</f>
        <v>0</v>
      </c>
      <c r="X1152" s="28">
        <f>Parameters!V577</f>
        <v>0</v>
      </c>
      <c r="Y1152" s="25">
        <f>Parameters!W577</f>
        <v>0</v>
      </c>
      <c r="Z1152" s="23">
        <f>Parameters!X577</f>
        <v>0</v>
      </c>
      <c r="AA1152" s="27">
        <f>Parameters!Y577</f>
        <v>0</v>
      </c>
      <c r="AB1152" s="28">
        <f>Parameters!Z577</f>
        <v>0</v>
      </c>
      <c r="AC1152" s="23">
        <f>Parameters!AA577</f>
        <v>0</v>
      </c>
    </row>
    <row r="1153" spans="1:29">
      <c r="A1153" s="29" t="str">
        <f>UPPER(A1152)</f>
        <v>0</v>
      </c>
      <c r="B1153" s="29">
        <f>B1152</f>
        <v>0</v>
      </c>
      <c r="C1153" s="30">
        <f>C1152</f>
        <v>0</v>
      </c>
      <c r="D1153" s="30">
        <f>D1152</f>
        <v>0</v>
      </c>
      <c r="E1153" s="29">
        <f>E1152</f>
        <v>0</v>
      </c>
      <c r="F1153" s="29">
        <f>F1152</f>
        <v>0</v>
      </c>
      <c r="G1153" s="29" t="e">
        <f>IF(C1152=1,IF(D1152="BUY",E1152+(ROUND(F1152*G1152/B1152,0)*B1152),E1152-(ROUND(F1152*G1152/B1152,0)*B1152)),IF(D1152="BUY",E1152-(ROUND(F1152*G1152/B1152,0)*B1152),E1152+(ROUND(F1152*G1152/B1152,0)*B1152)))</f>
        <v>#DIV/0!</v>
      </c>
      <c r="H1153" s="29" t="e">
        <f>IF(C1152=1,IF(D1152="BUY",G1153-(ROUND(F1152*H1152/B1152,0)*B1152),G1153+(ROUND(F1152*H1152/B1152,0)*B1152)),IF(D1152="BUY",G1153+(ROUND(F1152*H1152/B1152,0)*B1152),G1153-(ROUND(F1152*H1152/B1152,0)*B1152)))</f>
        <v>#DIV/0!</v>
      </c>
      <c r="I1153" s="29" t="e">
        <f>IF(D1152="BUY",G1153+(ROUND(F1152*I1152/(B1152*100),0)*B1152),G1153-(ROUND(F1152*I1152/(B1152*100),0)*B1152))</f>
        <v>#DIV/0!</v>
      </c>
      <c r="J1153" s="29" t="e">
        <f>IF(C1152=1,IF(D1152="BUY",E1152+(ROUND(F1152*J1152/B1152,0)*B1152),E1152-(ROUND(F1152*J1152/B1152,0)*B1152)),IF(D1152="BUY",E1152-(ROUND(F1152*J1152/B1152,0)*B1152),E1152+(ROUND(F1152*J1152/B1152,0)*B1152)))</f>
        <v>#DIV/0!</v>
      </c>
      <c r="K1153" s="29" t="e">
        <f>IF(C1152=1,IF(D1152="BUY",E1152-(ROUND(F1152*K1152/B1152,0)*B1152),E1152+(ROUND(F1152*K1152/B1152,0)*B1152)),IF(D1152="BUY",E1152-(ROUND(F1152*K1152/B1152,0)*B1152),E1152+(ROUND(F1152*K1152/B1152,0)*B1152)))</f>
        <v>#DIV/0!</v>
      </c>
      <c r="L1153" s="29" t="e">
        <f t="shared" ref="L1153" si="1724">IF(D1153="BUY",I1153+(R1153*B1153),I1153-(R1153*B1153))</f>
        <v>#DIV/0!</v>
      </c>
      <c r="M1153" s="29" t="e">
        <f>IF(D1152="BUY",E1152+(ROUND(F1152*M1152/B1152,0)*B1152),E1152-(ROUND(F1152*M1152/B1152,0)*B1152))</f>
        <v>#DIV/0!</v>
      </c>
      <c r="N1153" s="29" t="e">
        <f>IF(D1152="BUY",E1152-(ROUND(F1152*N1152/B1152,0)*B1152),E1152+(ROUND(F1152*N1152/B1152,0)*B1152))</f>
        <v>#DIV/0!</v>
      </c>
      <c r="O1153" s="31" t="e">
        <f>IF(D1153="BUY",N1153-VLOOKUP(A1153,Symbols!A$1:D$1000,4,FALSE),N1153+VLOOKUP(A1153,Symbols!A$1:D$1000,4,FALSE))</f>
        <v>#DIV/0!</v>
      </c>
      <c r="P1153" s="29">
        <f>P1152</f>
        <v>0</v>
      </c>
      <c r="Q1153" s="29">
        <f>Q1152</f>
        <v>0</v>
      </c>
      <c r="R1153" s="29">
        <f>R1152</f>
        <v>0</v>
      </c>
      <c r="S1153" s="29">
        <f>S1152</f>
        <v>0</v>
      </c>
      <c r="T1153" s="29">
        <f>T1152</f>
        <v>0</v>
      </c>
      <c r="U1153" s="29" t="e">
        <f>DATEDIF(DATE(1970,1,1),U1152,"D")*86400</f>
        <v>#NUM!</v>
      </c>
      <c r="V1153" s="29">
        <f>HOUR(V1152)*3600+MINUTE(V1152)*60+SECOND(V1152)</f>
        <v>0</v>
      </c>
      <c r="W1153" s="29" t="e">
        <f>DATEDIF(DATE(1970,1,1),W1152,"D")*86400</f>
        <v>#NUM!</v>
      </c>
      <c r="X1153" s="29">
        <f>HOUR(X1152)*3600+MINUTE(X1152)*60+SECOND(X1152)</f>
        <v>0</v>
      </c>
      <c r="Y1153" s="31">
        <f>(Y1152*B1153)</f>
        <v>0</v>
      </c>
      <c r="Z1153" s="29">
        <f>Z1152</f>
        <v>0</v>
      </c>
      <c r="AA1153" s="29" t="e">
        <f>DATEDIF(DATE(1970,1,1),AA1152,"D")*86400</f>
        <v>#NUM!</v>
      </c>
      <c r="AB1153" s="29">
        <f>HOUR(AB1152)*3600+MINUTE(AB1152)*60+SECOND(AB1152)</f>
        <v>0</v>
      </c>
      <c r="AC1153" s="29">
        <f>AC1152</f>
        <v>0</v>
      </c>
    </row>
    <row r="1154" spans="1:29">
      <c r="A1154" s="23">
        <f>Parameters!A578</f>
        <v>0</v>
      </c>
      <c r="B1154" s="23">
        <f>Parameters!B578</f>
        <v>0</v>
      </c>
      <c r="C1154" s="24">
        <f>Parameters!C578</f>
        <v>0</v>
      </c>
      <c r="D1154" s="24">
        <f>Parameters!D578</f>
        <v>0</v>
      </c>
      <c r="E1154" s="23">
        <f>Parameters!E578</f>
        <v>0</v>
      </c>
      <c r="F1154" s="23">
        <f>Parameters!F578</f>
        <v>0</v>
      </c>
      <c r="G1154" s="25">
        <f>Parameters!G578</f>
        <v>0</v>
      </c>
      <c r="H1154" s="25">
        <f>Parameters!H578</f>
        <v>0</v>
      </c>
      <c r="I1154" s="25">
        <f>Parameters!I578</f>
        <v>0</v>
      </c>
      <c r="J1154" s="25">
        <f>Parameters!J578</f>
        <v>0</v>
      </c>
      <c r="K1154" s="25">
        <f>Parameters!K578</f>
        <v>0</v>
      </c>
      <c r="L1154" s="26" t="e">
        <f t="shared" ref="L1154" si="1725">L1155</f>
        <v>#DIV/0!</v>
      </c>
      <c r="M1154" s="25">
        <f>Parameters!L578</f>
        <v>0</v>
      </c>
      <c r="N1154" s="25">
        <f>Parameters!M578</f>
        <v>0</v>
      </c>
      <c r="O1154" s="26" t="e">
        <f t="shared" ref="O1154" si="1726">O1155</f>
        <v>#DIV/0!</v>
      </c>
      <c r="P1154" s="23">
        <f>Parameters!N578</f>
        <v>0</v>
      </c>
      <c r="Q1154" s="23">
        <f>Parameters!O578</f>
        <v>0</v>
      </c>
      <c r="R1154" s="23">
        <f>Parameters!P578</f>
        <v>0</v>
      </c>
      <c r="S1154" s="23">
        <f>Parameters!Q578</f>
        <v>0</v>
      </c>
      <c r="T1154" s="23">
        <f>Parameters!R578</f>
        <v>0</v>
      </c>
      <c r="U1154" s="27">
        <f>Parameters!S578</f>
        <v>0</v>
      </c>
      <c r="V1154" s="28">
        <f>Parameters!T578</f>
        <v>0</v>
      </c>
      <c r="W1154" s="27">
        <f>Parameters!U578</f>
        <v>0</v>
      </c>
      <c r="X1154" s="28">
        <f>Parameters!V578</f>
        <v>0</v>
      </c>
      <c r="Y1154" s="25">
        <f>Parameters!W578</f>
        <v>0</v>
      </c>
      <c r="Z1154" s="23">
        <f>Parameters!X578</f>
        <v>0</v>
      </c>
      <c r="AA1154" s="27">
        <f>Parameters!Y578</f>
        <v>0</v>
      </c>
      <c r="AB1154" s="28">
        <f>Parameters!Z578</f>
        <v>0</v>
      </c>
      <c r="AC1154" s="23">
        <f>Parameters!AA578</f>
        <v>0</v>
      </c>
    </row>
    <row r="1155" spans="1:29">
      <c r="A1155" s="29" t="str">
        <f>UPPER(A1154)</f>
        <v>0</v>
      </c>
      <c r="B1155" s="29">
        <f>B1154</f>
        <v>0</v>
      </c>
      <c r="C1155" s="30">
        <f>C1154</f>
        <v>0</v>
      </c>
      <c r="D1155" s="30">
        <f>D1154</f>
        <v>0</v>
      </c>
      <c r="E1155" s="29">
        <f>E1154</f>
        <v>0</v>
      </c>
      <c r="F1155" s="29">
        <f>F1154</f>
        <v>0</v>
      </c>
      <c r="G1155" s="29" t="e">
        <f>IF(C1154=1,IF(D1154="BUY",E1154+(ROUND(F1154*G1154/B1154,0)*B1154),E1154-(ROUND(F1154*G1154/B1154,0)*B1154)),IF(D1154="BUY",E1154-(ROUND(F1154*G1154/B1154,0)*B1154),E1154+(ROUND(F1154*G1154/B1154,0)*B1154)))</f>
        <v>#DIV/0!</v>
      </c>
      <c r="H1155" s="29" t="e">
        <f>IF(C1154=1,IF(D1154="BUY",G1155-(ROUND(F1154*H1154/B1154,0)*B1154),G1155+(ROUND(F1154*H1154/B1154,0)*B1154)),IF(D1154="BUY",G1155+(ROUND(F1154*H1154/B1154,0)*B1154),G1155-(ROUND(F1154*H1154/B1154,0)*B1154)))</f>
        <v>#DIV/0!</v>
      </c>
      <c r="I1155" s="29" t="e">
        <f>IF(D1154="BUY",G1155+(ROUND(F1154*I1154/(B1154*100),0)*B1154),G1155-(ROUND(F1154*I1154/(B1154*100),0)*B1154))</f>
        <v>#DIV/0!</v>
      </c>
      <c r="J1155" s="29" t="e">
        <f>IF(C1154=1,IF(D1154="BUY",E1154+(ROUND(F1154*J1154/B1154,0)*B1154),E1154-(ROUND(F1154*J1154/B1154,0)*B1154)),IF(D1154="BUY",E1154-(ROUND(F1154*J1154/B1154,0)*B1154),E1154+(ROUND(F1154*J1154/B1154,0)*B1154)))</f>
        <v>#DIV/0!</v>
      </c>
      <c r="K1155" s="29" t="e">
        <f>IF(C1154=1,IF(D1154="BUY",E1154-(ROUND(F1154*K1154/B1154,0)*B1154),E1154+(ROUND(F1154*K1154/B1154,0)*B1154)),IF(D1154="BUY",E1154-(ROUND(F1154*K1154/B1154,0)*B1154),E1154+(ROUND(F1154*K1154/B1154,0)*B1154)))</f>
        <v>#DIV/0!</v>
      </c>
      <c r="L1155" s="29" t="e">
        <f t="shared" ref="L1155" si="1727">IF(D1155="BUY",I1155+(R1155*B1155),I1155-(R1155*B1155))</f>
        <v>#DIV/0!</v>
      </c>
      <c r="M1155" s="29" t="e">
        <f>IF(D1154="BUY",E1154+(ROUND(F1154*M1154/B1154,0)*B1154),E1154-(ROUND(F1154*M1154/B1154,0)*B1154))</f>
        <v>#DIV/0!</v>
      </c>
      <c r="N1155" s="29" t="e">
        <f>IF(D1154="BUY",E1154-(ROUND(F1154*N1154/B1154,0)*B1154),E1154+(ROUND(F1154*N1154/B1154,0)*B1154))</f>
        <v>#DIV/0!</v>
      </c>
      <c r="O1155" s="31" t="e">
        <f>IF(D1155="BUY",N1155-VLOOKUP(A1155,Symbols!A$1:D$1000,4,FALSE),N1155+VLOOKUP(A1155,Symbols!A$1:D$1000,4,FALSE))</f>
        <v>#DIV/0!</v>
      </c>
      <c r="P1155" s="29">
        <f>P1154</f>
        <v>0</v>
      </c>
      <c r="Q1155" s="29">
        <f>Q1154</f>
        <v>0</v>
      </c>
      <c r="R1155" s="29">
        <f>R1154</f>
        <v>0</v>
      </c>
      <c r="S1155" s="29">
        <f>S1154</f>
        <v>0</v>
      </c>
      <c r="T1155" s="29">
        <f>T1154</f>
        <v>0</v>
      </c>
      <c r="U1155" s="29" t="e">
        <f>DATEDIF(DATE(1970,1,1),U1154,"D")*86400</f>
        <v>#NUM!</v>
      </c>
      <c r="V1155" s="29">
        <f>HOUR(V1154)*3600+MINUTE(V1154)*60+SECOND(V1154)</f>
        <v>0</v>
      </c>
      <c r="W1155" s="29" t="e">
        <f>DATEDIF(DATE(1970,1,1),W1154,"D")*86400</f>
        <v>#NUM!</v>
      </c>
      <c r="X1155" s="29">
        <f>HOUR(X1154)*3600+MINUTE(X1154)*60+SECOND(X1154)</f>
        <v>0</v>
      </c>
      <c r="Y1155" s="31">
        <f>(Y1154*B1155)</f>
        <v>0</v>
      </c>
      <c r="Z1155" s="29">
        <f>Z1154</f>
        <v>0</v>
      </c>
      <c r="AA1155" s="29" t="e">
        <f>DATEDIF(DATE(1970,1,1),AA1154,"D")*86400</f>
        <v>#NUM!</v>
      </c>
      <c r="AB1155" s="29">
        <f>HOUR(AB1154)*3600+MINUTE(AB1154)*60+SECOND(AB1154)</f>
        <v>0</v>
      </c>
      <c r="AC1155" s="29">
        <f>AC1154</f>
        <v>0</v>
      </c>
    </row>
    <row r="1156" spans="1:29">
      <c r="A1156" s="23">
        <f>Parameters!A579</f>
        <v>0</v>
      </c>
      <c r="B1156" s="23">
        <f>Parameters!B579</f>
        <v>0</v>
      </c>
      <c r="C1156" s="24">
        <f>Parameters!C579</f>
        <v>0</v>
      </c>
      <c r="D1156" s="24">
        <f>Parameters!D579</f>
        <v>0</v>
      </c>
      <c r="E1156" s="23">
        <f>Parameters!E579</f>
        <v>0</v>
      </c>
      <c r="F1156" s="23">
        <f>Parameters!F579</f>
        <v>0</v>
      </c>
      <c r="G1156" s="25">
        <f>Parameters!G579</f>
        <v>0</v>
      </c>
      <c r="H1156" s="25">
        <f>Parameters!H579</f>
        <v>0</v>
      </c>
      <c r="I1156" s="25">
        <f>Parameters!I579</f>
        <v>0</v>
      </c>
      <c r="J1156" s="25">
        <f>Parameters!J579</f>
        <v>0</v>
      </c>
      <c r="K1156" s="25">
        <f>Parameters!K579</f>
        <v>0</v>
      </c>
      <c r="L1156" s="26" t="e">
        <f t="shared" ref="L1156" si="1728">L1157</f>
        <v>#DIV/0!</v>
      </c>
      <c r="M1156" s="25">
        <f>Parameters!L579</f>
        <v>0</v>
      </c>
      <c r="N1156" s="25">
        <f>Parameters!M579</f>
        <v>0</v>
      </c>
      <c r="O1156" s="26" t="e">
        <f t="shared" ref="O1156" si="1729">O1157</f>
        <v>#DIV/0!</v>
      </c>
      <c r="P1156" s="23">
        <f>Parameters!N579</f>
        <v>0</v>
      </c>
      <c r="Q1156" s="23">
        <f>Parameters!O579</f>
        <v>0</v>
      </c>
      <c r="R1156" s="23">
        <f>Parameters!P579</f>
        <v>0</v>
      </c>
      <c r="S1156" s="23">
        <f>Parameters!Q579</f>
        <v>0</v>
      </c>
      <c r="T1156" s="23">
        <f>Parameters!R579</f>
        <v>0</v>
      </c>
      <c r="U1156" s="27">
        <f>Parameters!S579</f>
        <v>0</v>
      </c>
      <c r="V1156" s="28">
        <f>Parameters!T579</f>
        <v>0</v>
      </c>
      <c r="W1156" s="27">
        <f>Parameters!U579</f>
        <v>0</v>
      </c>
      <c r="X1156" s="28">
        <f>Parameters!V579</f>
        <v>0</v>
      </c>
      <c r="Y1156" s="25">
        <f>Parameters!W579</f>
        <v>0</v>
      </c>
      <c r="Z1156" s="23">
        <f>Parameters!X579</f>
        <v>0</v>
      </c>
      <c r="AA1156" s="27">
        <f>Parameters!Y579</f>
        <v>0</v>
      </c>
      <c r="AB1156" s="28">
        <f>Parameters!Z579</f>
        <v>0</v>
      </c>
      <c r="AC1156" s="23">
        <f>Parameters!AA579</f>
        <v>0</v>
      </c>
    </row>
    <row r="1157" spans="1:29">
      <c r="A1157" s="29" t="str">
        <f>UPPER(A1156)</f>
        <v>0</v>
      </c>
      <c r="B1157" s="29">
        <f>B1156</f>
        <v>0</v>
      </c>
      <c r="C1157" s="30">
        <f>C1156</f>
        <v>0</v>
      </c>
      <c r="D1157" s="30">
        <f>D1156</f>
        <v>0</v>
      </c>
      <c r="E1157" s="29">
        <f>E1156</f>
        <v>0</v>
      </c>
      <c r="F1157" s="29">
        <f>F1156</f>
        <v>0</v>
      </c>
      <c r="G1157" s="29" t="e">
        <f>IF(C1156=1,IF(D1156="BUY",E1156+(ROUND(F1156*G1156/B1156,0)*B1156),E1156-(ROUND(F1156*G1156/B1156,0)*B1156)),IF(D1156="BUY",E1156-(ROUND(F1156*G1156/B1156,0)*B1156),E1156+(ROUND(F1156*G1156/B1156,0)*B1156)))</f>
        <v>#DIV/0!</v>
      </c>
      <c r="H1157" s="29" t="e">
        <f>IF(C1156=1,IF(D1156="BUY",G1157-(ROUND(F1156*H1156/B1156,0)*B1156),G1157+(ROUND(F1156*H1156/B1156,0)*B1156)),IF(D1156="BUY",G1157+(ROUND(F1156*H1156/B1156,0)*B1156),G1157-(ROUND(F1156*H1156/B1156,0)*B1156)))</f>
        <v>#DIV/0!</v>
      </c>
      <c r="I1157" s="29" t="e">
        <f>IF(D1156="BUY",G1157+(ROUND(F1156*I1156/(B1156*100),0)*B1156),G1157-(ROUND(F1156*I1156/(B1156*100),0)*B1156))</f>
        <v>#DIV/0!</v>
      </c>
      <c r="J1157" s="29" t="e">
        <f>IF(C1156=1,IF(D1156="BUY",E1156+(ROUND(F1156*J1156/B1156,0)*B1156),E1156-(ROUND(F1156*J1156/B1156,0)*B1156)),IF(D1156="BUY",E1156-(ROUND(F1156*J1156/B1156,0)*B1156),E1156+(ROUND(F1156*J1156/B1156,0)*B1156)))</f>
        <v>#DIV/0!</v>
      </c>
      <c r="K1157" s="29" t="e">
        <f>IF(C1156=1,IF(D1156="BUY",E1156-(ROUND(F1156*K1156/B1156,0)*B1156),E1156+(ROUND(F1156*K1156/B1156,0)*B1156)),IF(D1156="BUY",E1156-(ROUND(F1156*K1156/B1156,0)*B1156),E1156+(ROUND(F1156*K1156/B1156,0)*B1156)))</f>
        <v>#DIV/0!</v>
      </c>
      <c r="L1157" s="29" t="e">
        <f t="shared" ref="L1157" si="1730">IF(D1157="BUY",I1157+(R1157*B1157),I1157-(R1157*B1157))</f>
        <v>#DIV/0!</v>
      </c>
      <c r="M1157" s="29" t="e">
        <f>IF(D1156="BUY",E1156+(ROUND(F1156*M1156/B1156,0)*B1156),E1156-(ROUND(F1156*M1156/B1156,0)*B1156))</f>
        <v>#DIV/0!</v>
      </c>
      <c r="N1157" s="29" t="e">
        <f>IF(D1156="BUY",E1156-(ROUND(F1156*N1156/B1156,0)*B1156),E1156+(ROUND(F1156*N1156/B1156,0)*B1156))</f>
        <v>#DIV/0!</v>
      </c>
      <c r="O1157" s="31" t="e">
        <f>IF(D1157="BUY",N1157-VLOOKUP(A1157,Symbols!A$1:D$1000,4,FALSE),N1157+VLOOKUP(A1157,Symbols!A$1:D$1000,4,FALSE))</f>
        <v>#DIV/0!</v>
      </c>
      <c r="P1157" s="29">
        <f>P1156</f>
        <v>0</v>
      </c>
      <c r="Q1157" s="29">
        <f>Q1156</f>
        <v>0</v>
      </c>
      <c r="R1157" s="29">
        <f>R1156</f>
        <v>0</v>
      </c>
      <c r="S1157" s="29">
        <f>S1156</f>
        <v>0</v>
      </c>
      <c r="T1157" s="29">
        <f>T1156</f>
        <v>0</v>
      </c>
      <c r="U1157" s="29" t="e">
        <f>DATEDIF(DATE(1970,1,1),U1156,"D")*86400</f>
        <v>#NUM!</v>
      </c>
      <c r="V1157" s="29">
        <f>HOUR(V1156)*3600+MINUTE(V1156)*60+SECOND(V1156)</f>
        <v>0</v>
      </c>
      <c r="W1157" s="29" t="e">
        <f>DATEDIF(DATE(1970,1,1),W1156,"D")*86400</f>
        <v>#NUM!</v>
      </c>
      <c r="X1157" s="29">
        <f>HOUR(X1156)*3600+MINUTE(X1156)*60+SECOND(X1156)</f>
        <v>0</v>
      </c>
      <c r="Y1157" s="31">
        <f>(Y1156*B1157)</f>
        <v>0</v>
      </c>
      <c r="Z1157" s="29">
        <f>Z1156</f>
        <v>0</v>
      </c>
      <c r="AA1157" s="29" t="e">
        <f>DATEDIF(DATE(1970,1,1),AA1156,"D")*86400</f>
        <v>#NUM!</v>
      </c>
      <c r="AB1157" s="29">
        <f>HOUR(AB1156)*3600+MINUTE(AB1156)*60+SECOND(AB1156)</f>
        <v>0</v>
      </c>
      <c r="AC1157" s="29">
        <f>AC1156</f>
        <v>0</v>
      </c>
    </row>
    <row r="1158" spans="1:29">
      <c r="A1158" s="23">
        <f>Parameters!A580</f>
        <v>0</v>
      </c>
      <c r="B1158" s="23">
        <f>Parameters!B580</f>
        <v>0</v>
      </c>
      <c r="C1158" s="24">
        <f>Parameters!C580</f>
        <v>0</v>
      </c>
      <c r="D1158" s="24">
        <f>Parameters!D580</f>
        <v>0</v>
      </c>
      <c r="E1158" s="23">
        <f>Parameters!E580</f>
        <v>0</v>
      </c>
      <c r="F1158" s="23">
        <f>Parameters!F580</f>
        <v>0</v>
      </c>
      <c r="G1158" s="25">
        <f>Parameters!G580</f>
        <v>0</v>
      </c>
      <c r="H1158" s="25">
        <f>Parameters!H580</f>
        <v>0</v>
      </c>
      <c r="I1158" s="25">
        <f>Parameters!I580</f>
        <v>0</v>
      </c>
      <c r="J1158" s="25">
        <f>Parameters!J580</f>
        <v>0</v>
      </c>
      <c r="K1158" s="25">
        <f>Parameters!K580</f>
        <v>0</v>
      </c>
      <c r="L1158" s="26" t="e">
        <f t="shared" ref="L1158" si="1731">L1159</f>
        <v>#DIV/0!</v>
      </c>
      <c r="M1158" s="25">
        <f>Parameters!L580</f>
        <v>0</v>
      </c>
      <c r="N1158" s="25">
        <f>Parameters!M580</f>
        <v>0</v>
      </c>
      <c r="O1158" s="26" t="e">
        <f t="shared" ref="O1158" si="1732">O1159</f>
        <v>#DIV/0!</v>
      </c>
      <c r="P1158" s="23">
        <f>Parameters!N580</f>
        <v>0</v>
      </c>
      <c r="Q1158" s="23">
        <f>Parameters!O580</f>
        <v>0</v>
      </c>
      <c r="R1158" s="23">
        <f>Parameters!P580</f>
        <v>0</v>
      </c>
      <c r="S1158" s="23">
        <f>Parameters!Q580</f>
        <v>0</v>
      </c>
      <c r="T1158" s="23">
        <f>Parameters!R580</f>
        <v>0</v>
      </c>
      <c r="U1158" s="27">
        <f>Parameters!S580</f>
        <v>0</v>
      </c>
      <c r="V1158" s="28">
        <f>Parameters!T580</f>
        <v>0</v>
      </c>
      <c r="W1158" s="27">
        <f>Parameters!U580</f>
        <v>0</v>
      </c>
      <c r="X1158" s="28">
        <f>Parameters!V580</f>
        <v>0</v>
      </c>
      <c r="Y1158" s="25">
        <f>Parameters!W580</f>
        <v>0</v>
      </c>
      <c r="Z1158" s="23">
        <f>Parameters!X580</f>
        <v>0</v>
      </c>
      <c r="AA1158" s="27">
        <f>Parameters!Y580</f>
        <v>0</v>
      </c>
      <c r="AB1158" s="28">
        <f>Parameters!Z580</f>
        <v>0</v>
      </c>
      <c r="AC1158" s="23">
        <f>Parameters!AA580</f>
        <v>0</v>
      </c>
    </row>
    <row r="1159" spans="1:29">
      <c r="A1159" s="29" t="str">
        <f>UPPER(A1158)</f>
        <v>0</v>
      </c>
      <c r="B1159" s="29">
        <f>B1158</f>
        <v>0</v>
      </c>
      <c r="C1159" s="30">
        <f>C1158</f>
        <v>0</v>
      </c>
      <c r="D1159" s="30">
        <f>D1158</f>
        <v>0</v>
      </c>
      <c r="E1159" s="29">
        <f>E1158</f>
        <v>0</v>
      </c>
      <c r="F1159" s="29">
        <f>F1158</f>
        <v>0</v>
      </c>
      <c r="G1159" s="29" t="e">
        <f>IF(C1158=1,IF(D1158="BUY",E1158+(ROUND(F1158*G1158/B1158,0)*B1158),E1158-(ROUND(F1158*G1158/B1158,0)*B1158)),IF(D1158="BUY",E1158-(ROUND(F1158*G1158/B1158,0)*B1158),E1158+(ROUND(F1158*G1158/B1158,0)*B1158)))</f>
        <v>#DIV/0!</v>
      </c>
      <c r="H1159" s="29" t="e">
        <f>IF(C1158=1,IF(D1158="BUY",G1159-(ROUND(F1158*H1158/B1158,0)*B1158),G1159+(ROUND(F1158*H1158/B1158,0)*B1158)),IF(D1158="BUY",G1159+(ROUND(F1158*H1158/B1158,0)*B1158),G1159-(ROUND(F1158*H1158/B1158,0)*B1158)))</f>
        <v>#DIV/0!</v>
      </c>
      <c r="I1159" s="29" t="e">
        <f>IF(D1158="BUY",G1159+(ROUND(F1158*I1158/(B1158*100),0)*B1158),G1159-(ROUND(F1158*I1158/(B1158*100),0)*B1158))</f>
        <v>#DIV/0!</v>
      </c>
      <c r="J1159" s="29" t="e">
        <f>IF(C1158=1,IF(D1158="BUY",E1158+(ROUND(F1158*J1158/B1158,0)*B1158),E1158-(ROUND(F1158*J1158/B1158,0)*B1158)),IF(D1158="BUY",E1158-(ROUND(F1158*J1158/B1158,0)*B1158),E1158+(ROUND(F1158*J1158/B1158,0)*B1158)))</f>
        <v>#DIV/0!</v>
      </c>
      <c r="K1159" s="29" t="e">
        <f>IF(C1158=1,IF(D1158="BUY",E1158-(ROUND(F1158*K1158/B1158,0)*B1158),E1158+(ROUND(F1158*K1158/B1158,0)*B1158)),IF(D1158="BUY",E1158-(ROUND(F1158*K1158/B1158,0)*B1158),E1158+(ROUND(F1158*K1158/B1158,0)*B1158)))</f>
        <v>#DIV/0!</v>
      </c>
      <c r="L1159" s="29" t="e">
        <f t="shared" ref="L1159" si="1733">IF(D1159="BUY",I1159+(R1159*B1159),I1159-(R1159*B1159))</f>
        <v>#DIV/0!</v>
      </c>
      <c r="M1159" s="29" t="e">
        <f>IF(D1158="BUY",E1158+(ROUND(F1158*M1158/B1158,0)*B1158),E1158-(ROUND(F1158*M1158/B1158,0)*B1158))</f>
        <v>#DIV/0!</v>
      </c>
      <c r="N1159" s="29" t="e">
        <f>IF(D1158="BUY",E1158-(ROUND(F1158*N1158/B1158,0)*B1158),E1158+(ROUND(F1158*N1158/B1158,0)*B1158))</f>
        <v>#DIV/0!</v>
      </c>
      <c r="O1159" s="31" t="e">
        <f>IF(D1159="BUY",N1159-VLOOKUP(A1159,Symbols!A$1:D$1000,4,FALSE),N1159+VLOOKUP(A1159,Symbols!A$1:D$1000,4,FALSE))</f>
        <v>#DIV/0!</v>
      </c>
      <c r="P1159" s="29">
        <f>P1158</f>
        <v>0</v>
      </c>
      <c r="Q1159" s="29">
        <f>Q1158</f>
        <v>0</v>
      </c>
      <c r="R1159" s="29">
        <f>R1158</f>
        <v>0</v>
      </c>
      <c r="S1159" s="29">
        <f>S1158</f>
        <v>0</v>
      </c>
      <c r="T1159" s="29">
        <f>T1158</f>
        <v>0</v>
      </c>
      <c r="U1159" s="29" t="e">
        <f>DATEDIF(DATE(1970,1,1),U1158,"D")*86400</f>
        <v>#NUM!</v>
      </c>
      <c r="V1159" s="29">
        <f>HOUR(V1158)*3600+MINUTE(V1158)*60+SECOND(V1158)</f>
        <v>0</v>
      </c>
      <c r="W1159" s="29" t="e">
        <f>DATEDIF(DATE(1970,1,1),W1158,"D")*86400</f>
        <v>#NUM!</v>
      </c>
      <c r="X1159" s="29">
        <f>HOUR(X1158)*3600+MINUTE(X1158)*60+SECOND(X1158)</f>
        <v>0</v>
      </c>
      <c r="Y1159" s="31">
        <f>(Y1158*B1159)</f>
        <v>0</v>
      </c>
      <c r="Z1159" s="29">
        <f>Z1158</f>
        <v>0</v>
      </c>
      <c r="AA1159" s="29" t="e">
        <f>DATEDIF(DATE(1970,1,1),AA1158,"D")*86400</f>
        <v>#NUM!</v>
      </c>
      <c r="AB1159" s="29">
        <f>HOUR(AB1158)*3600+MINUTE(AB1158)*60+SECOND(AB1158)</f>
        <v>0</v>
      </c>
      <c r="AC1159" s="29">
        <f>AC1158</f>
        <v>0</v>
      </c>
    </row>
    <row r="1160" spans="1:29">
      <c r="A1160" s="23">
        <f>Parameters!A581</f>
        <v>0</v>
      </c>
      <c r="B1160" s="23">
        <f>Parameters!B581</f>
        <v>0</v>
      </c>
      <c r="C1160" s="24">
        <f>Parameters!C581</f>
        <v>0</v>
      </c>
      <c r="D1160" s="24">
        <f>Parameters!D581</f>
        <v>0</v>
      </c>
      <c r="E1160" s="23">
        <f>Parameters!E581</f>
        <v>0</v>
      </c>
      <c r="F1160" s="23">
        <f>Parameters!F581</f>
        <v>0</v>
      </c>
      <c r="G1160" s="25">
        <f>Parameters!G581</f>
        <v>0</v>
      </c>
      <c r="H1160" s="25">
        <f>Parameters!H581</f>
        <v>0</v>
      </c>
      <c r="I1160" s="25">
        <f>Parameters!I581</f>
        <v>0</v>
      </c>
      <c r="J1160" s="25">
        <f>Parameters!J581</f>
        <v>0</v>
      </c>
      <c r="K1160" s="25">
        <f>Parameters!K581</f>
        <v>0</v>
      </c>
      <c r="L1160" s="26" t="e">
        <f t="shared" ref="L1160" si="1734">L1161</f>
        <v>#DIV/0!</v>
      </c>
      <c r="M1160" s="25">
        <f>Parameters!L581</f>
        <v>0</v>
      </c>
      <c r="N1160" s="25">
        <f>Parameters!M581</f>
        <v>0</v>
      </c>
      <c r="O1160" s="26" t="e">
        <f t="shared" ref="O1160" si="1735">O1161</f>
        <v>#DIV/0!</v>
      </c>
      <c r="P1160" s="23">
        <f>Parameters!N581</f>
        <v>0</v>
      </c>
      <c r="Q1160" s="23">
        <f>Parameters!O581</f>
        <v>0</v>
      </c>
      <c r="R1160" s="23">
        <f>Parameters!P581</f>
        <v>0</v>
      </c>
      <c r="S1160" s="23">
        <f>Parameters!Q581</f>
        <v>0</v>
      </c>
      <c r="T1160" s="23">
        <f>Parameters!R581</f>
        <v>0</v>
      </c>
      <c r="U1160" s="27">
        <f>Parameters!S581</f>
        <v>0</v>
      </c>
      <c r="V1160" s="28">
        <f>Parameters!T581</f>
        <v>0</v>
      </c>
      <c r="W1160" s="27">
        <f>Parameters!U581</f>
        <v>0</v>
      </c>
      <c r="X1160" s="28">
        <f>Parameters!V581</f>
        <v>0</v>
      </c>
      <c r="Y1160" s="25">
        <f>Parameters!W581</f>
        <v>0</v>
      </c>
      <c r="Z1160" s="23">
        <f>Parameters!X581</f>
        <v>0</v>
      </c>
      <c r="AA1160" s="27">
        <f>Parameters!Y581</f>
        <v>0</v>
      </c>
      <c r="AB1160" s="28">
        <f>Parameters!Z581</f>
        <v>0</v>
      </c>
      <c r="AC1160" s="23">
        <f>Parameters!AA581</f>
        <v>0</v>
      </c>
    </row>
    <row r="1161" spans="1:29">
      <c r="A1161" s="29" t="str">
        <f>UPPER(A1160)</f>
        <v>0</v>
      </c>
      <c r="B1161" s="29">
        <f>B1160</f>
        <v>0</v>
      </c>
      <c r="C1161" s="30">
        <f>C1160</f>
        <v>0</v>
      </c>
      <c r="D1161" s="30">
        <f>D1160</f>
        <v>0</v>
      </c>
      <c r="E1161" s="29">
        <f>E1160</f>
        <v>0</v>
      </c>
      <c r="F1161" s="29">
        <f>F1160</f>
        <v>0</v>
      </c>
      <c r="G1161" s="29" t="e">
        <f>IF(C1160=1,IF(D1160="BUY",E1160+(ROUND(F1160*G1160/B1160,0)*B1160),E1160-(ROUND(F1160*G1160/B1160,0)*B1160)),IF(D1160="BUY",E1160-(ROUND(F1160*G1160/B1160,0)*B1160),E1160+(ROUND(F1160*G1160/B1160,0)*B1160)))</f>
        <v>#DIV/0!</v>
      </c>
      <c r="H1161" s="29" t="e">
        <f>IF(C1160=1,IF(D1160="BUY",G1161-(ROUND(F1160*H1160/B1160,0)*B1160),G1161+(ROUND(F1160*H1160/B1160,0)*B1160)),IF(D1160="BUY",G1161+(ROUND(F1160*H1160/B1160,0)*B1160),G1161-(ROUND(F1160*H1160/B1160,0)*B1160)))</f>
        <v>#DIV/0!</v>
      </c>
      <c r="I1161" s="29" t="e">
        <f>IF(D1160="BUY",G1161+(ROUND(F1160*I1160/(B1160*100),0)*B1160),G1161-(ROUND(F1160*I1160/(B1160*100),0)*B1160))</f>
        <v>#DIV/0!</v>
      </c>
      <c r="J1161" s="29" t="e">
        <f>IF(C1160=1,IF(D1160="BUY",E1160+(ROUND(F1160*J1160/B1160,0)*B1160),E1160-(ROUND(F1160*J1160/B1160,0)*B1160)),IF(D1160="BUY",E1160-(ROUND(F1160*J1160/B1160,0)*B1160),E1160+(ROUND(F1160*J1160/B1160,0)*B1160)))</f>
        <v>#DIV/0!</v>
      </c>
      <c r="K1161" s="29" t="e">
        <f>IF(C1160=1,IF(D1160="BUY",E1160-(ROUND(F1160*K1160/B1160,0)*B1160),E1160+(ROUND(F1160*K1160/B1160,0)*B1160)),IF(D1160="BUY",E1160-(ROUND(F1160*K1160/B1160,0)*B1160),E1160+(ROUND(F1160*K1160/B1160,0)*B1160)))</f>
        <v>#DIV/0!</v>
      </c>
      <c r="L1161" s="29" t="e">
        <f t="shared" ref="L1161" si="1736">IF(D1161="BUY",I1161+(R1161*B1161),I1161-(R1161*B1161))</f>
        <v>#DIV/0!</v>
      </c>
      <c r="M1161" s="29" t="e">
        <f>IF(D1160="BUY",E1160+(ROUND(F1160*M1160/B1160,0)*B1160),E1160-(ROUND(F1160*M1160/B1160,0)*B1160))</f>
        <v>#DIV/0!</v>
      </c>
      <c r="N1161" s="29" t="e">
        <f>IF(D1160="BUY",E1160-(ROUND(F1160*N1160/B1160,0)*B1160),E1160+(ROUND(F1160*N1160/B1160,0)*B1160))</f>
        <v>#DIV/0!</v>
      </c>
      <c r="O1161" s="31" t="e">
        <f>IF(D1161="BUY",N1161-VLOOKUP(A1161,Symbols!A$1:D$1000,4,FALSE),N1161+VLOOKUP(A1161,Symbols!A$1:D$1000,4,FALSE))</f>
        <v>#DIV/0!</v>
      </c>
      <c r="P1161" s="29">
        <f>P1160</f>
        <v>0</v>
      </c>
      <c r="Q1161" s="29">
        <f>Q1160</f>
        <v>0</v>
      </c>
      <c r="R1161" s="29">
        <f>R1160</f>
        <v>0</v>
      </c>
      <c r="S1161" s="29">
        <f>S1160</f>
        <v>0</v>
      </c>
      <c r="T1161" s="29">
        <f>T1160</f>
        <v>0</v>
      </c>
      <c r="U1161" s="29" t="e">
        <f>DATEDIF(DATE(1970,1,1),U1160,"D")*86400</f>
        <v>#NUM!</v>
      </c>
      <c r="V1161" s="29">
        <f>HOUR(V1160)*3600+MINUTE(V1160)*60+SECOND(V1160)</f>
        <v>0</v>
      </c>
      <c r="W1161" s="29" t="e">
        <f>DATEDIF(DATE(1970,1,1),W1160,"D")*86400</f>
        <v>#NUM!</v>
      </c>
      <c r="X1161" s="29">
        <f>HOUR(X1160)*3600+MINUTE(X1160)*60+SECOND(X1160)</f>
        <v>0</v>
      </c>
      <c r="Y1161" s="31">
        <f>(Y1160*B1161)</f>
        <v>0</v>
      </c>
      <c r="Z1161" s="29">
        <f>Z1160</f>
        <v>0</v>
      </c>
      <c r="AA1161" s="29" t="e">
        <f>DATEDIF(DATE(1970,1,1),AA1160,"D")*86400</f>
        <v>#NUM!</v>
      </c>
      <c r="AB1161" s="29">
        <f>HOUR(AB1160)*3600+MINUTE(AB1160)*60+SECOND(AB1160)</f>
        <v>0</v>
      </c>
      <c r="AC1161" s="29">
        <f>AC1160</f>
        <v>0</v>
      </c>
    </row>
    <row r="1162" spans="1:29">
      <c r="A1162" s="23">
        <f>Parameters!A582</f>
        <v>0</v>
      </c>
      <c r="B1162" s="23">
        <f>Parameters!B582</f>
        <v>0</v>
      </c>
      <c r="C1162" s="24">
        <f>Parameters!C582</f>
        <v>0</v>
      </c>
      <c r="D1162" s="24">
        <f>Parameters!D582</f>
        <v>0</v>
      </c>
      <c r="E1162" s="23">
        <f>Parameters!E582</f>
        <v>0</v>
      </c>
      <c r="F1162" s="23">
        <f>Parameters!F582</f>
        <v>0</v>
      </c>
      <c r="G1162" s="25">
        <f>Parameters!G582</f>
        <v>0</v>
      </c>
      <c r="H1162" s="25">
        <f>Parameters!H582</f>
        <v>0</v>
      </c>
      <c r="I1162" s="25">
        <f>Parameters!I582</f>
        <v>0</v>
      </c>
      <c r="J1162" s="25">
        <f>Parameters!J582</f>
        <v>0</v>
      </c>
      <c r="K1162" s="25">
        <f>Parameters!K582</f>
        <v>0</v>
      </c>
      <c r="L1162" s="26" t="e">
        <f t="shared" ref="L1162" si="1737">L1163</f>
        <v>#DIV/0!</v>
      </c>
      <c r="M1162" s="25">
        <f>Parameters!L582</f>
        <v>0</v>
      </c>
      <c r="N1162" s="25">
        <f>Parameters!M582</f>
        <v>0</v>
      </c>
      <c r="O1162" s="26" t="e">
        <f t="shared" ref="O1162" si="1738">O1163</f>
        <v>#DIV/0!</v>
      </c>
      <c r="P1162" s="23">
        <f>Parameters!N582</f>
        <v>0</v>
      </c>
      <c r="Q1162" s="23">
        <f>Parameters!O582</f>
        <v>0</v>
      </c>
      <c r="R1162" s="23">
        <f>Parameters!P582</f>
        <v>0</v>
      </c>
      <c r="S1162" s="23">
        <f>Parameters!Q582</f>
        <v>0</v>
      </c>
      <c r="T1162" s="23">
        <f>Parameters!R582</f>
        <v>0</v>
      </c>
      <c r="U1162" s="27">
        <f>Parameters!S582</f>
        <v>0</v>
      </c>
      <c r="V1162" s="28">
        <f>Parameters!T582</f>
        <v>0</v>
      </c>
      <c r="W1162" s="27">
        <f>Parameters!U582</f>
        <v>0</v>
      </c>
      <c r="X1162" s="28">
        <f>Parameters!V582</f>
        <v>0</v>
      </c>
      <c r="Y1162" s="25">
        <f>Parameters!W582</f>
        <v>0</v>
      </c>
      <c r="Z1162" s="23">
        <f>Parameters!X582</f>
        <v>0</v>
      </c>
      <c r="AA1162" s="27">
        <f>Parameters!Y582</f>
        <v>0</v>
      </c>
      <c r="AB1162" s="28">
        <f>Parameters!Z582</f>
        <v>0</v>
      </c>
      <c r="AC1162" s="23">
        <f>Parameters!AA582</f>
        <v>0</v>
      </c>
    </row>
    <row r="1163" spans="1:29">
      <c r="A1163" s="29" t="str">
        <f>UPPER(A1162)</f>
        <v>0</v>
      </c>
      <c r="B1163" s="29">
        <f>B1162</f>
        <v>0</v>
      </c>
      <c r="C1163" s="30">
        <f>C1162</f>
        <v>0</v>
      </c>
      <c r="D1163" s="30">
        <f>D1162</f>
        <v>0</v>
      </c>
      <c r="E1163" s="29">
        <f>E1162</f>
        <v>0</v>
      </c>
      <c r="F1163" s="29">
        <f>F1162</f>
        <v>0</v>
      </c>
      <c r="G1163" s="29" t="e">
        <f>IF(C1162=1,IF(D1162="BUY",E1162+(ROUND(F1162*G1162/B1162,0)*B1162),E1162-(ROUND(F1162*G1162/B1162,0)*B1162)),IF(D1162="BUY",E1162-(ROUND(F1162*G1162/B1162,0)*B1162),E1162+(ROUND(F1162*G1162/B1162,0)*B1162)))</f>
        <v>#DIV/0!</v>
      </c>
      <c r="H1163" s="29" t="e">
        <f>IF(C1162=1,IF(D1162="BUY",G1163-(ROUND(F1162*H1162/B1162,0)*B1162),G1163+(ROUND(F1162*H1162/B1162,0)*B1162)),IF(D1162="BUY",G1163+(ROUND(F1162*H1162/B1162,0)*B1162),G1163-(ROUND(F1162*H1162/B1162,0)*B1162)))</f>
        <v>#DIV/0!</v>
      </c>
      <c r="I1163" s="29" t="e">
        <f>IF(D1162="BUY",G1163+(ROUND(F1162*I1162/(B1162*100),0)*B1162),G1163-(ROUND(F1162*I1162/(B1162*100),0)*B1162))</f>
        <v>#DIV/0!</v>
      </c>
      <c r="J1163" s="29" t="e">
        <f>IF(C1162=1,IF(D1162="BUY",E1162+(ROUND(F1162*J1162/B1162,0)*B1162),E1162-(ROUND(F1162*J1162/B1162,0)*B1162)),IF(D1162="BUY",E1162-(ROUND(F1162*J1162/B1162,0)*B1162),E1162+(ROUND(F1162*J1162/B1162,0)*B1162)))</f>
        <v>#DIV/0!</v>
      </c>
      <c r="K1163" s="29" t="e">
        <f>IF(C1162=1,IF(D1162="BUY",E1162-(ROUND(F1162*K1162/B1162,0)*B1162),E1162+(ROUND(F1162*K1162/B1162,0)*B1162)),IF(D1162="BUY",E1162-(ROUND(F1162*K1162/B1162,0)*B1162),E1162+(ROUND(F1162*K1162/B1162,0)*B1162)))</f>
        <v>#DIV/0!</v>
      </c>
      <c r="L1163" s="29" t="e">
        <f t="shared" ref="L1163" si="1739">IF(D1163="BUY",I1163+(R1163*B1163),I1163-(R1163*B1163))</f>
        <v>#DIV/0!</v>
      </c>
      <c r="M1163" s="29" t="e">
        <f>IF(D1162="BUY",E1162+(ROUND(F1162*M1162/B1162,0)*B1162),E1162-(ROUND(F1162*M1162/B1162,0)*B1162))</f>
        <v>#DIV/0!</v>
      </c>
      <c r="N1163" s="29" t="e">
        <f>IF(D1162="BUY",E1162-(ROUND(F1162*N1162/B1162,0)*B1162),E1162+(ROUND(F1162*N1162/B1162,0)*B1162))</f>
        <v>#DIV/0!</v>
      </c>
      <c r="O1163" s="31" t="e">
        <f>IF(D1163="BUY",N1163-VLOOKUP(A1163,Symbols!A$1:D$1000,4,FALSE),N1163+VLOOKUP(A1163,Symbols!A$1:D$1000,4,FALSE))</f>
        <v>#DIV/0!</v>
      </c>
      <c r="P1163" s="29">
        <f>P1162</f>
        <v>0</v>
      </c>
      <c r="Q1163" s="29">
        <f>Q1162</f>
        <v>0</v>
      </c>
      <c r="R1163" s="29">
        <f>R1162</f>
        <v>0</v>
      </c>
      <c r="S1163" s="29">
        <f>S1162</f>
        <v>0</v>
      </c>
      <c r="T1163" s="29">
        <f>T1162</f>
        <v>0</v>
      </c>
      <c r="U1163" s="29" t="e">
        <f>DATEDIF(DATE(1970,1,1),U1162,"D")*86400</f>
        <v>#NUM!</v>
      </c>
      <c r="V1163" s="29">
        <f>HOUR(V1162)*3600+MINUTE(V1162)*60+SECOND(V1162)</f>
        <v>0</v>
      </c>
      <c r="W1163" s="29" t="e">
        <f>DATEDIF(DATE(1970,1,1),W1162,"D")*86400</f>
        <v>#NUM!</v>
      </c>
      <c r="X1163" s="29">
        <f>HOUR(X1162)*3600+MINUTE(X1162)*60+SECOND(X1162)</f>
        <v>0</v>
      </c>
      <c r="Y1163" s="31">
        <f>(Y1162*B1163)</f>
        <v>0</v>
      </c>
      <c r="Z1163" s="29">
        <f>Z1162</f>
        <v>0</v>
      </c>
      <c r="AA1163" s="29" t="e">
        <f>DATEDIF(DATE(1970,1,1),AA1162,"D")*86400</f>
        <v>#NUM!</v>
      </c>
      <c r="AB1163" s="29">
        <f>HOUR(AB1162)*3600+MINUTE(AB1162)*60+SECOND(AB1162)</f>
        <v>0</v>
      </c>
      <c r="AC1163" s="29">
        <f>AC1162</f>
        <v>0</v>
      </c>
    </row>
    <row r="1164" spans="1:29">
      <c r="A1164" s="23">
        <f>Parameters!A583</f>
        <v>0</v>
      </c>
      <c r="B1164" s="23">
        <f>Parameters!B583</f>
        <v>0</v>
      </c>
      <c r="C1164" s="24">
        <f>Parameters!C583</f>
        <v>0</v>
      </c>
      <c r="D1164" s="24">
        <f>Parameters!D583</f>
        <v>0</v>
      </c>
      <c r="E1164" s="23">
        <f>Parameters!E583</f>
        <v>0</v>
      </c>
      <c r="F1164" s="23">
        <f>Parameters!F583</f>
        <v>0</v>
      </c>
      <c r="G1164" s="25">
        <f>Parameters!G583</f>
        <v>0</v>
      </c>
      <c r="H1164" s="25">
        <f>Parameters!H583</f>
        <v>0</v>
      </c>
      <c r="I1164" s="25">
        <f>Parameters!I583</f>
        <v>0</v>
      </c>
      <c r="J1164" s="25">
        <f>Parameters!J583</f>
        <v>0</v>
      </c>
      <c r="K1164" s="25">
        <f>Parameters!K583</f>
        <v>0</v>
      </c>
      <c r="L1164" s="26" t="e">
        <f t="shared" ref="L1164" si="1740">L1165</f>
        <v>#DIV/0!</v>
      </c>
      <c r="M1164" s="25">
        <f>Parameters!L583</f>
        <v>0</v>
      </c>
      <c r="N1164" s="25">
        <f>Parameters!M583</f>
        <v>0</v>
      </c>
      <c r="O1164" s="26" t="e">
        <f t="shared" ref="O1164" si="1741">O1165</f>
        <v>#DIV/0!</v>
      </c>
      <c r="P1164" s="23">
        <f>Parameters!N583</f>
        <v>0</v>
      </c>
      <c r="Q1164" s="23">
        <f>Parameters!O583</f>
        <v>0</v>
      </c>
      <c r="R1164" s="23">
        <f>Parameters!P583</f>
        <v>0</v>
      </c>
      <c r="S1164" s="23">
        <f>Parameters!Q583</f>
        <v>0</v>
      </c>
      <c r="T1164" s="23">
        <f>Parameters!R583</f>
        <v>0</v>
      </c>
      <c r="U1164" s="27">
        <f>Parameters!S583</f>
        <v>0</v>
      </c>
      <c r="V1164" s="28">
        <f>Parameters!T583</f>
        <v>0</v>
      </c>
      <c r="W1164" s="27">
        <f>Parameters!U583</f>
        <v>0</v>
      </c>
      <c r="X1164" s="28">
        <f>Parameters!V583</f>
        <v>0</v>
      </c>
      <c r="Y1164" s="25">
        <f>Parameters!W583</f>
        <v>0</v>
      </c>
      <c r="Z1164" s="23">
        <f>Parameters!X583</f>
        <v>0</v>
      </c>
      <c r="AA1164" s="27">
        <f>Parameters!Y583</f>
        <v>0</v>
      </c>
      <c r="AB1164" s="28">
        <f>Parameters!Z583</f>
        <v>0</v>
      </c>
      <c r="AC1164" s="23">
        <f>Parameters!AA583</f>
        <v>0</v>
      </c>
    </row>
    <row r="1165" spans="1:29">
      <c r="A1165" s="29" t="str">
        <f>UPPER(A1164)</f>
        <v>0</v>
      </c>
      <c r="B1165" s="29">
        <f>B1164</f>
        <v>0</v>
      </c>
      <c r="C1165" s="30">
        <f>C1164</f>
        <v>0</v>
      </c>
      <c r="D1165" s="30">
        <f>D1164</f>
        <v>0</v>
      </c>
      <c r="E1165" s="29">
        <f>E1164</f>
        <v>0</v>
      </c>
      <c r="F1165" s="29">
        <f>F1164</f>
        <v>0</v>
      </c>
      <c r="G1165" s="29" t="e">
        <f>IF(C1164=1,IF(D1164="BUY",E1164+(ROUND(F1164*G1164/B1164,0)*B1164),E1164-(ROUND(F1164*G1164/B1164,0)*B1164)),IF(D1164="BUY",E1164-(ROUND(F1164*G1164/B1164,0)*B1164),E1164+(ROUND(F1164*G1164/B1164,0)*B1164)))</f>
        <v>#DIV/0!</v>
      </c>
      <c r="H1165" s="29" t="e">
        <f>IF(C1164=1,IF(D1164="BUY",G1165-(ROUND(F1164*H1164/B1164,0)*B1164),G1165+(ROUND(F1164*H1164/B1164,0)*B1164)),IF(D1164="BUY",G1165+(ROUND(F1164*H1164/B1164,0)*B1164),G1165-(ROUND(F1164*H1164/B1164,0)*B1164)))</f>
        <v>#DIV/0!</v>
      </c>
      <c r="I1165" s="29" t="e">
        <f>IF(D1164="BUY",G1165+(ROUND(F1164*I1164/(B1164*100),0)*B1164),G1165-(ROUND(F1164*I1164/(B1164*100),0)*B1164))</f>
        <v>#DIV/0!</v>
      </c>
      <c r="J1165" s="29" t="e">
        <f>IF(C1164=1,IF(D1164="BUY",E1164+(ROUND(F1164*J1164/B1164,0)*B1164),E1164-(ROUND(F1164*J1164/B1164,0)*B1164)),IF(D1164="BUY",E1164-(ROUND(F1164*J1164/B1164,0)*B1164),E1164+(ROUND(F1164*J1164/B1164,0)*B1164)))</f>
        <v>#DIV/0!</v>
      </c>
      <c r="K1165" s="29" t="e">
        <f>IF(C1164=1,IF(D1164="BUY",E1164-(ROUND(F1164*K1164/B1164,0)*B1164),E1164+(ROUND(F1164*K1164/B1164,0)*B1164)),IF(D1164="BUY",E1164-(ROUND(F1164*K1164/B1164,0)*B1164),E1164+(ROUND(F1164*K1164/B1164,0)*B1164)))</f>
        <v>#DIV/0!</v>
      </c>
      <c r="L1165" s="29" t="e">
        <f t="shared" ref="L1165" si="1742">IF(D1165="BUY",I1165+(R1165*B1165),I1165-(R1165*B1165))</f>
        <v>#DIV/0!</v>
      </c>
      <c r="M1165" s="29" t="e">
        <f>IF(D1164="BUY",E1164+(ROUND(F1164*M1164/B1164,0)*B1164),E1164-(ROUND(F1164*M1164/B1164,0)*B1164))</f>
        <v>#DIV/0!</v>
      </c>
      <c r="N1165" s="29" t="e">
        <f>IF(D1164="BUY",E1164-(ROUND(F1164*N1164/B1164,0)*B1164),E1164+(ROUND(F1164*N1164/B1164,0)*B1164))</f>
        <v>#DIV/0!</v>
      </c>
      <c r="O1165" s="31" t="e">
        <f>IF(D1165="BUY",N1165-VLOOKUP(A1165,Symbols!A$1:D$1000,4,FALSE),N1165+VLOOKUP(A1165,Symbols!A$1:D$1000,4,FALSE))</f>
        <v>#DIV/0!</v>
      </c>
      <c r="P1165" s="29">
        <f>P1164</f>
        <v>0</v>
      </c>
      <c r="Q1165" s="29">
        <f>Q1164</f>
        <v>0</v>
      </c>
      <c r="R1165" s="29">
        <f>R1164</f>
        <v>0</v>
      </c>
      <c r="S1165" s="29">
        <f>S1164</f>
        <v>0</v>
      </c>
      <c r="T1165" s="29">
        <f>T1164</f>
        <v>0</v>
      </c>
      <c r="U1165" s="29" t="e">
        <f>DATEDIF(DATE(1970,1,1),U1164,"D")*86400</f>
        <v>#NUM!</v>
      </c>
      <c r="V1165" s="29">
        <f>HOUR(V1164)*3600+MINUTE(V1164)*60+SECOND(V1164)</f>
        <v>0</v>
      </c>
      <c r="W1165" s="29" t="e">
        <f>DATEDIF(DATE(1970,1,1),W1164,"D")*86400</f>
        <v>#NUM!</v>
      </c>
      <c r="X1165" s="29">
        <f>HOUR(X1164)*3600+MINUTE(X1164)*60+SECOND(X1164)</f>
        <v>0</v>
      </c>
      <c r="Y1165" s="31">
        <f>(Y1164*B1165)</f>
        <v>0</v>
      </c>
      <c r="Z1165" s="29">
        <f>Z1164</f>
        <v>0</v>
      </c>
      <c r="AA1165" s="29" t="e">
        <f>DATEDIF(DATE(1970,1,1),AA1164,"D")*86400</f>
        <v>#NUM!</v>
      </c>
      <c r="AB1165" s="29">
        <f>HOUR(AB1164)*3600+MINUTE(AB1164)*60+SECOND(AB1164)</f>
        <v>0</v>
      </c>
      <c r="AC1165" s="29">
        <f>AC1164</f>
        <v>0</v>
      </c>
    </row>
    <row r="1166" spans="1:29">
      <c r="A1166" s="23">
        <f>Parameters!A584</f>
        <v>0</v>
      </c>
      <c r="B1166" s="23">
        <f>Parameters!B584</f>
        <v>0</v>
      </c>
      <c r="C1166" s="24">
        <f>Parameters!C584</f>
        <v>0</v>
      </c>
      <c r="D1166" s="24">
        <f>Parameters!D584</f>
        <v>0</v>
      </c>
      <c r="E1166" s="23">
        <f>Parameters!E584</f>
        <v>0</v>
      </c>
      <c r="F1166" s="23">
        <f>Parameters!F584</f>
        <v>0</v>
      </c>
      <c r="G1166" s="25">
        <f>Parameters!G584</f>
        <v>0</v>
      </c>
      <c r="H1166" s="25">
        <f>Parameters!H584</f>
        <v>0</v>
      </c>
      <c r="I1166" s="25">
        <f>Parameters!I584</f>
        <v>0</v>
      </c>
      <c r="J1166" s="25">
        <f>Parameters!J584</f>
        <v>0</v>
      </c>
      <c r="K1166" s="25">
        <f>Parameters!K584</f>
        <v>0</v>
      </c>
      <c r="L1166" s="26" t="e">
        <f t="shared" ref="L1166" si="1743">L1167</f>
        <v>#DIV/0!</v>
      </c>
      <c r="M1166" s="25">
        <f>Parameters!L584</f>
        <v>0</v>
      </c>
      <c r="N1166" s="25">
        <f>Parameters!M584</f>
        <v>0</v>
      </c>
      <c r="O1166" s="26" t="e">
        <f t="shared" ref="O1166" si="1744">O1167</f>
        <v>#DIV/0!</v>
      </c>
      <c r="P1166" s="23">
        <f>Parameters!N584</f>
        <v>0</v>
      </c>
      <c r="Q1166" s="23">
        <f>Parameters!O584</f>
        <v>0</v>
      </c>
      <c r="R1166" s="23">
        <f>Parameters!P584</f>
        <v>0</v>
      </c>
      <c r="S1166" s="23">
        <f>Parameters!Q584</f>
        <v>0</v>
      </c>
      <c r="T1166" s="23">
        <f>Parameters!R584</f>
        <v>0</v>
      </c>
      <c r="U1166" s="27">
        <f>Parameters!S584</f>
        <v>0</v>
      </c>
      <c r="V1166" s="28">
        <f>Parameters!T584</f>
        <v>0</v>
      </c>
      <c r="W1166" s="27">
        <f>Parameters!U584</f>
        <v>0</v>
      </c>
      <c r="X1166" s="28">
        <f>Parameters!V584</f>
        <v>0</v>
      </c>
      <c r="Y1166" s="25">
        <f>Parameters!W584</f>
        <v>0</v>
      </c>
      <c r="Z1166" s="23">
        <f>Parameters!X584</f>
        <v>0</v>
      </c>
      <c r="AA1166" s="27">
        <f>Parameters!Y584</f>
        <v>0</v>
      </c>
      <c r="AB1166" s="28">
        <f>Parameters!Z584</f>
        <v>0</v>
      </c>
      <c r="AC1166" s="23">
        <f>Parameters!AA584</f>
        <v>0</v>
      </c>
    </row>
    <row r="1167" spans="1:29">
      <c r="A1167" s="29" t="str">
        <f>UPPER(A1166)</f>
        <v>0</v>
      </c>
      <c r="B1167" s="29">
        <f>B1166</f>
        <v>0</v>
      </c>
      <c r="C1167" s="30">
        <f>C1166</f>
        <v>0</v>
      </c>
      <c r="D1167" s="30">
        <f>D1166</f>
        <v>0</v>
      </c>
      <c r="E1167" s="29">
        <f>E1166</f>
        <v>0</v>
      </c>
      <c r="F1167" s="29">
        <f>F1166</f>
        <v>0</v>
      </c>
      <c r="G1167" s="29" t="e">
        <f>IF(C1166=1,IF(D1166="BUY",E1166+(ROUND(F1166*G1166/B1166,0)*B1166),E1166-(ROUND(F1166*G1166/B1166,0)*B1166)),IF(D1166="BUY",E1166-(ROUND(F1166*G1166/B1166,0)*B1166),E1166+(ROUND(F1166*G1166/B1166,0)*B1166)))</f>
        <v>#DIV/0!</v>
      </c>
      <c r="H1167" s="29" t="e">
        <f>IF(C1166=1,IF(D1166="BUY",G1167-(ROUND(F1166*H1166/B1166,0)*B1166),G1167+(ROUND(F1166*H1166/B1166,0)*B1166)),IF(D1166="BUY",G1167+(ROUND(F1166*H1166/B1166,0)*B1166),G1167-(ROUND(F1166*H1166/B1166,0)*B1166)))</f>
        <v>#DIV/0!</v>
      </c>
      <c r="I1167" s="29" t="e">
        <f>IF(D1166="BUY",G1167+(ROUND(F1166*I1166/(B1166*100),0)*B1166),G1167-(ROUND(F1166*I1166/(B1166*100),0)*B1166))</f>
        <v>#DIV/0!</v>
      </c>
      <c r="J1167" s="29" t="e">
        <f>IF(C1166=1,IF(D1166="BUY",E1166+(ROUND(F1166*J1166/B1166,0)*B1166),E1166-(ROUND(F1166*J1166/B1166,0)*B1166)),IF(D1166="BUY",E1166-(ROUND(F1166*J1166/B1166,0)*B1166),E1166+(ROUND(F1166*J1166/B1166,0)*B1166)))</f>
        <v>#DIV/0!</v>
      </c>
      <c r="K1167" s="29" t="e">
        <f>IF(C1166=1,IF(D1166="BUY",E1166-(ROUND(F1166*K1166/B1166,0)*B1166),E1166+(ROUND(F1166*K1166/B1166,0)*B1166)),IF(D1166="BUY",E1166-(ROUND(F1166*K1166/B1166,0)*B1166),E1166+(ROUND(F1166*K1166/B1166,0)*B1166)))</f>
        <v>#DIV/0!</v>
      </c>
      <c r="L1167" s="29" t="e">
        <f t="shared" ref="L1167" si="1745">IF(D1167="BUY",I1167+(R1167*B1167),I1167-(R1167*B1167))</f>
        <v>#DIV/0!</v>
      </c>
      <c r="M1167" s="29" t="e">
        <f>IF(D1166="BUY",E1166+(ROUND(F1166*M1166/B1166,0)*B1166),E1166-(ROUND(F1166*M1166/B1166,0)*B1166))</f>
        <v>#DIV/0!</v>
      </c>
      <c r="N1167" s="29" t="e">
        <f>IF(D1166="BUY",E1166-(ROUND(F1166*N1166/B1166,0)*B1166),E1166+(ROUND(F1166*N1166/B1166,0)*B1166))</f>
        <v>#DIV/0!</v>
      </c>
      <c r="O1167" s="31" t="e">
        <f>IF(D1167="BUY",N1167-VLOOKUP(A1167,Symbols!A$1:D$1000,4,FALSE),N1167+VLOOKUP(A1167,Symbols!A$1:D$1000,4,FALSE))</f>
        <v>#DIV/0!</v>
      </c>
      <c r="P1167" s="29">
        <f>P1166</f>
        <v>0</v>
      </c>
      <c r="Q1167" s="29">
        <f>Q1166</f>
        <v>0</v>
      </c>
      <c r="R1167" s="29">
        <f>R1166</f>
        <v>0</v>
      </c>
      <c r="S1167" s="29">
        <f>S1166</f>
        <v>0</v>
      </c>
      <c r="T1167" s="29">
        <f>T1166</f>
        <v>0</v>
      </c>
      <c r="U1167" s="29" t="e">
        <f>DATEDIF(DATE(1970,1,1),U1166,"D")*86400</f>
        <v>#NUM!</v>
      </c>
      <c r="V1167" s="29">
        <f>HOUR(V1166)*3600+MINUTE(V1166)*60+SECOND(V1166)</f>
        <v>0</v>
      </c>
      <c r="W1167" s="29" t="e">
        <f>DATEDIF(DATE(1970,1,1),W1166,"D")*86400</f>
        <v>#NUM!</v>
      </c>
      <c r="X1167" s="29">
        <f>HOUR(X1166)*3600+MINUTE(X1166)*60+SECOND(X1166)</f>
        <v>0</v>
      </c>
      <c r="Y1167" s="31">
        <f>(Y1166*B1167)</f>
        <v>0</v>
      </c>
      <c r="Z1167" s="29">
        <f>Z1166</f>
        <v>0</v>
      </c>
      <c r="AA1167" s="29" t="e">
        <f>DATEDIF(DATE(1970,1,1),AA1166,"D")*86400</f>
        <v>#NUM!</v>
      </c>
      <c r="AB1167" s="29">
        <f>HOUR(AB1166)*3600+MINUTE(AB1166)*60+SECOND(AB1166)</f>
        <v>0</v>
      </c>
      <c r="AC1167" s="29">
        <f>AC1166</f>
        <v>0</v>
      </c>
    </row>
    <row r="1168" spans="1:29">
      <c r="A1168" s="23">
        <f>Parameters!A585</f>
        <v>0</v>
      </c>
      <c r="B1168" s="23">
        <f>Parameters!B585</f>
        <v>0</v>
      </c>
      <c r="C1168" s="24">
        <f>Parameters!C585</f>
        <v>0</v>
      </c>
      <c r="D1168" s="24">
        <f>Parameters!D585</f>
        <v>0</v>
      </c>
      <c r="E1168" s="23">
        <f>Parameters!E585</f>
        <v>0</v>
      </c>
      <c r="F1168" s="23">
        <f>Parameters!F585</f>
        <v>0</v>
      </c>
      <c r="G1168" s="25">
        <f>Parameters!G585</f>
        <v>0</v>
      </c>
      <c r="H1168" s="25">
        <f>Parameters!H585</f>
        <v>0</v>
      </c>
      <c r="I1168" s="25">
        <f>Parameters!I585</f>
        <v>0</v>
      </c>
      <c r="J1168" s="25">
        <f>Parameters!J585</f>
        <v>0</v>
      </c>
      <c r="K1168" s="25">
        <f>Parameters!K585</f>
        <v>0</v>
      </c>
      <c r="L1168" s="26" t="e">
        <f t="shared" ref="L1168" si="1746">L1169</f>
        <v>#DIV/0!</v>
      </c>
      <c r="M1168" s="25">
        <f>Parameters!L585</f>
        <v>0</v>
      </c>
      <c r="N1168" s="25">
        <f>Parameters!M585</f>
        <v>0</v>
      </c>
      <c r="O1168" s="26" t="e">
        <f t="shared" ref="O1168" si="1747">O1169</f>
        <v>#DIV/0!</v>
      </c>
      <c r="P1168" s="23">
        <f>Parameters!N585</f>
        <v>0</v>
      </c>
      <c r="Q1168" s="23">
        <f>Parameters!O585</f>
        <v>0</v>
      </c>
      <c r="R1168" s="23">
        <f>Parameters!P585</f>
        <v>0</v>
      </c>
      <c r="S1168" s="23">
        <f>Parameters!Q585</f>
        <v>0</v>
      </c>
      <c r="T1168" s="23">
        <f>Parameters!R585</f>
        <v>0</v>
      </c>
      <c r="U1168" s="27">
        <f>Parameters!S585</f>
        <v>0</v>
      </c>
      <c r="V1168" s="28">
        <f>Parameters!T585</f>
        <v>0</v>
      </c>
      <c r="W1168" s="27">
        <f>Parameters!U585</f>
        <v>0</v>
      </c>
      <c r="X1168" s="28">
        <f>Parameters!V585</f>
        <v>0</v>
      </c>
      <c r="Y1168" s="25">
        <f>Parameters!W585</f>
        <v>0</v>
      </c>
      <c r="Z1168" s="23">
        <f>Parameters!X585</f>
        <v>0</v>
      </c>
      <c r="AA1168" s="27">
        <f>Parameters!Y585</f>
        <v>0</v>
      </c>
      <c r="AB1168" s="28">
        <f>Parameters!Z585</f>
        <v>0</v>
      </c>
      <c r="AC1168" s="23">
        <f>Parameters!AA585</f>
        <v>0</v>
      </c>
    </row>
    <row r="1169" spans="1:29">
      <c r="A1169" s="29" t="str">
        <f>UPPER(A1168)</f>
        <v>0</v>
      </c>
      <c r="B1169" s="29">
        <f>B1168</f>
        <v>0</v>
      </c>
      <c r="C1169" s="30">
        <f>C1168</f>
        <v>0</v>
      </c>
      <c r="D1169" s="30">
        <f>D1168</f>
        <v>0</v>
      </c>
      <c r="E1169" s="29">
        <f>E1168</f>
        <v>0</v>
      </c>
      <c r="F1169" s="29">
        <f>F1168</f>
        <v>0</v>
      </c>
      <c r="G1169" s="29" t="e">
        <f>IF(C1168=1,IF(D1168="BUY",E1168+(ROUND(F1168*G1168/B1168,0)*B1168),E1168-(ROUND(F1168*G1168/B1168,0)*B1168)),IF(D1168="BUY",E1168-(ROUND(F1168*G1168/B1168,0)*B1168),E1168+(ROUND(F1168*G1168/B1168,0)*B1168)))</f>
        <v>#DIV/0!</v>
      </c>
      <c r="H1169" s="29" t="e">
        <f>IF(C1168=1,IF(D1168="BUY",G1169-(ROUND(F1168*H1168/B1168,0)*B1168),G1169+(ROUND(F1168*H1168/B1168,0)*B1168)),IF(D1168="BUY",G1169+(ROUND(F1168*H1168/B1168,0)*B1168),G1169-(ROUND(F1168*H1168/B1168,0)*B1168)))</f>
        <v>#DIV/0!</v>
      </c>
      <c r="I1169" s="29" t="e">
        <f>IF(D1168="BUY",G1169+(ROUND(F1168*I1168/(B1168*100),0)*B1168),G1169-(ROUND(F1168*I1168/(B1168*100),0)*B1168))</f>
        <v>#DIV/0!</v>
      </c>
      <c r="J1169" s="29" t="e">
        <f>IF(C1168=1,IF(D1168="BUY",E1168+(ROUND(F1168*J1168/B1168,0)*B1168),E1168-(ROUND(F1168*J1168/B1168,0)*B1168)),IF(D1168="BUY",E1168-(ROUND(F1168*J1168/B1168,0)*B1168),E1168+(ROUND(F1168*J1168/B1168,0)*B1168)))</f>
        <v>#DIV/0!</v>
      </c>
      <c r="K1169" s="29" t="e">
        <f>IF(C1168=1,IF(D1168="BUY",E1168-(ROUND(F1168*K1168/B1168,0)*B1168),E1168+(ROUND(F1168*K1168/B1168,0)*B1168)),IF(D1168="BUY",E1168-(ROUND(F1168*K1168/B1168,0)*B1168),E1168+(ROUND(F1168*K1168/B1168,0)*B1168)))</f>
        <v>#DIV/0!</v>
      </c>
      <c r="L1169" s="29" t="e">
        <f t="shared" ref="L1169" si="1748">IF(D1169="BUY",I1169+(R1169*B1169),I1169-(R1169*B1169))</f>
        <v>#DIV/0!</v>
      </c>
      <c r="M1169" s="29" t="e">
        <f>IF(D1168="BUY",E1168+(ROUND(F1168*M1168/B1168,0)*B1168),E1168-(ROUND(F1168*M1168/B1168,0)*B1168))</f>
        <v>#DIV/0!</v>
      </c>
      <c r="N1169" s="29" t="e">
        <f>IF(D1168="BUY",E1168-(ROUND(F1168*N1168/B1168,0)*B1168),E1168+(ROUND(F1168*N1168/B1168,0)*B1168))</f>
        <v>#DIV/0!</v>
      </c>
      <c r="O1169" s="31" t="e">
        <f>IF(D1169="BUY",N1169-VLOOKUP(A1169,Symbols!A$1:D$1000,4,FALSE),N1169+VLOOKUP(A1169,Symbols!A$1:D$1000,4,FALSE))</f>
        <v>#DIV/0!</v>
      </c>
      <c r="P1169" s="29">
        <f>P1168</f>
        <v>0</v>
      </c>
      <c r="Q1169" s="29">
        <f>Q1168</f>
        <v>0</v>
      </c>
      <c r="R1169" s="29">
        <f>R1168</f>
        <v>0</v>
      </c>
      <c r="S1169" s="29">
        <f>S1168</f>
        <v>0</v>
      </c>
      <c r="T1169" s="29">
        <f>T1168</f>
        <v>0</v>
      </c>
      <c r="U1169" s="29" t="e">
        <f>DATEDIF(DATE(1970,1,1),U1168,"D")*86400</f>
        <v>#NUM!</v>
      </c>
      <c r="V1169" s="29">
        <f>HOUR(V1168)*3600+MINUTE(V1168)*60+SECOND(V1168)</f>
        <v>0</v>
      </c>
      <c r="W1169" s="29" t="e">
        <f>DATEDIF(DATE(1970,1,1),W1168,"D")*86400</f>
        <v>#NUM!</v>
      </c>
      <c r="X1169" s="29">
        <f>HOUR(X1168)*3600+MINUTE(X1168)*60+SECOND(X1168)</f>
        <v>0</v>
      </c>
      <c r="Y1169" s="31">
        <f>(Y1168*B1169)</f>
        <v>0</v>
      </c>
      <c r="Z1169" s="29">
        <f>Z1168</f>
        <v>0</v>
      </c>
      <c r="AA1169" s="29" t="e">
        <f>DATEDIF(DATE(1970,1,1),AA1168,"D")*86400</f>
        <v>#NUM!</v>
      </c>
      <c r="AB1169" s="29">
        <f>HOUR(AB1168)*3600+MINUTE(AB1168)*60+SECOND(AB1168)</f>
        <v>0</v>
      </c>
      <c r="AC1169" s="29">
        <f>AC1168</f>
        <v>0</v>
      </c>
    </row>
    <row r="1170" spans="1:29">
      <c r="A1170" s="23">
        <f>Parameters!A586</f>
        <v>0</v>
      </c>
      <c r="B1170" s="23">
        <f>Parameters!B586</f>
        <v>0</v>
      </c>
      <c r="C1170" s="24">
        <f>Parameters!C586</f>
        <v>0</v>
      </c>
      <c r="D1170" s="24">
        <f>Parameters!D586</f>
        <v>0</v>
      </c>
      <c r="E1170" s="23">
        <f>Parameters!E586</f>
        <v>0</v>
      </c>
      <c r="F1170" s="23">
        <f>Parameters!F586</f>
        <v>0</v>
      </c>
      <c r="G1170" s="25">
        <f>Parameters!G586</f>
        <v>0</v>
      </c>
      <c r="H1170" s="25">
        <f>Parameters!H586</f>
        <v>0</v>
      </c>
      <c r="I1170" s="25">
        <f>Parameters!I586</f>
        <v>0</v>
      </c>
      <c r="J1170" s="25">
        <f>Parameters!J586</f>
        <v>0</v>
      </c>
      <c r="K1170" s="25">
        <f>Parameters!K586</f>
        <v>0</v>
      </c>
      <c r="L1170" s="26" t="e">
        <f t="shared" ref="L1170" si="1749">L1171</f>
        <v>#DIV/0!</v>
      </c>
      <c r="M1170" s="25">
        <f>Parameters!L586</f>
        <v>0</v>
      </c>
      <c r="N1170" s="25">
        <f>Parameters!M586</f>
        <v>0</v>
      </c>
      <c r="O1170" s="26" t="e">
        <f t="shared" ref="O1170" si="1750">O1171</f>
        <v>#DIV/0!</v>
      </c>
      <c r="P1170" s="23">
        <f>Parameters!N586</f>
        <v>0</v>
      </c>
      <c r="Q1170" s="23">
        <f>Parameters!O586</f>
        <v>0</v>
      </c>
      <c r="R1170" s="23">
        <f>Parameters!P586</f>
        <v>0</v>
      </c>
      <c r="S1170" s="23">
        <f>Parameters!Q586</f>
        <v>0</v>
      </c>
      <c r="T1170" s="23">
        <f>Parameters!R586</f>
        <v>0</v>
      </c>
      <c r="U1170" s="27">
        <f>Parameters!S586</f>
        <v>0</v>
      </c>
      <c r="V1170" s="28">
        <f>Parameters!T586</f>
        <v>0</v>
      </c>
      <c r="W1170" s="27">
        <f>Parameters!U586</f>
        <v>0</v>
      </c>
      <c r="X1170" s="28">
        <f>Parameters!V586</f>
        <v>0</v>
      </c>
      <c r="Y1170" s="25">
        <f>Parameters!W586</f>
        <v>0</v>
      </c>
      <c r="Z1170" s="23">
        <f>Parameters!X586</f>
        <v>0</v>
      </c>
      <c r="AA1170" s="27">
        <f>Parameters!Y586</f>
        <v>0</v>
      </c>
      <c r="AB1170" s="28">
        <f>Parameters!Z586</f>
        <v>0</v>
      </c>
      <c r="AC1170" s="23">
        <f>Parameters!AA586</f>
        <v>0</v>
      </c>
    </row>
    <row r="1171" spans="1:29">
      <c r="A1171" s="29" t="str">
        <f>UPPER(A1170)</f>
        <v>0</v>
      </c>
      <c r="B1171" s="29">
        <f>B1170</f>
        <v>0</v>
      </c>
      <c r="C1171" s="30">
        <f>C1170</f>
        <v>0</v>
      </c>
      <c r="D1171" s="30">
        <f>D1170</f>
        <v>0</v>
      </c>
      <c r="E1171" s="29">
        <f>E1170</f>
        <v>0</v>
      </c>
      <c r="F1171" s="29">
        <f>F1170</f>
        <v>0</v>
      </c>
      <c r="G1171" s="29" t="e">
        <f>IF(C1170=1,IF(D1170="BUY",E1170+(ROUND(F1170*G1170/B1170,0)*B1170),E1170-(ROUND(F1170*G1170/B1170,0)*B1170)),IF(D1170="BUY",E1170-(ROUND(F1170*G1170/B1170,0)*B1170),E1170+(ROUND(F1170*G1170/B1170,0)*B1170)))</f>
        <v>#DIV/0!</v>
      </c>
      <c r="H1171" s="29" t="e">
        <f>IF(C1170=1,IF(D1170="BUY",G1171-(ROUND(F1170*H1170/B1170,0)*B1170),G1171+(ROUND(F1170*H1170/B1170,0)*B1170)),IF(D1170="BUY",G1171+(ROUND(F1170*H1170/B1170,0)*B1170),G1171-(ROUND(F1170*H1170/B1170,0)*B1170)))</f>
        <v>#DIV/0!</v>
      </c>
      <c r="I1171" s="29" t="e">
        <f>IF(D1170="BUY",G1171+(ROUND(F1170*I1170/(B1170*100),0)*B1170),G1171-(ROUND(F1170*I1170/(B1170*100),0)*B1170))</f>
        <v>#DIV/0!</v>
      </c>
      <c r="J1171" s="29" t="e">
        <f>IF(C1170=1,IF(D1170="BUY",E1170+(ROUND(F1170*J1170/B1170,0)*B1170),E1170-(ROUND(F1170*J1170/B1170,0)*B1170)),IF(D1170="BUY",E1170-(ROUND(F1170*J1170/B1170,0)*B1170),E1170+(ROUND(F1170*J1170/B1170,0)*B1170)))</f>
        <v>#DIV/0!</v>
      </c>
      <c r="K1171" s="29" t="e">
        <f>IF(C1170=1,IF(D1170="BUY",E1170-(ROUND(F1170*K1170/B1170,0)*B1170),E1170+(ROUND(F1170*K1170/B1170,0)*B1170)),IF(D1170="BUY",E1170-(ROUND(F1170*K1170/B1170,0)*B1170),E1170+(ROUND(F1170*K1170/B1170,0)*B1170)))</f>
        <v>#DIV/0!</v>
      </c>
      <c r="L1171" s="29" t="e">
        <f t="shared" ref="L1171" si="1751">IF(D1171="BUY",I1171+(R1171*B1171),I1171-(R1171*B1171))</f>
        <v>#DIV/0!</v>
      </c>
      <c r="M1171" s="29" t="e">
        <f>IF(D1170="BUY",E1170+(ROUND(F1170*M1170/B1170,0)*B1170),E1170-(ROUND(F1170*M1170/B1170,0)*B1170))</f>
        <v>#DIV/0!</v>
      </c>
      <c r="N1171" s="29" t="e">
        <f>IF(D1170="BUY",E1170-(ROUND(F1170*N1170/B1170,0)*B1170),E1170+(ROUND(F1170*N1170/B1170,0)*B1170))</f>
        <v>#DIV/0!</v>
      </c>
      <c r="O1171" s="31" t="e">
        <f>IF(D1171="BUY",N1171-VLOOKUP(A1171,Symbols!A$1:D$1000,4,FALSE),N1171+VLOOKUP(A1171,Symbols!A$1:D$1000,4,FALSE))</f>
        <v>#DIV/0!</v>
      </c>
      <c r="P1171" s="29">
        <f>P1170</f>
        <v>0</v>
      </c>
      <c r="Q1171" s="29">
        <f>Q1170</f>
        <v>0</v>
      </c>
      <c r="R1171" s="29">
        <f>R1170</f>
        <v>0</v>
      </c>
      <c r="S1171" s="29">
        <f>S1170</f>
        <v>0</v>
      </c>
      <c r="T1171" s="29">
        <f>T1170</f>
        <v>0</v>
      </c>
      <c r="U1171" s="29" t="e">
        <f>DATEDIF(DATE(1970,1,1),U1170,"D")*86400</f>
        <v>#NUM!</v>
      </c>
      <c r="V1171" s="29">
        <f>HOUR(V1170)*3600+MINUTE(V1170)*60+SECOND(V1170)</f>
        <v>0</v>
      </c>
      <c r="W1171" s="29" t="e">
        <f>DATEDIF(DATE(1970,1,1),W1170,"D")*86400</f>
        <v>#NUM!</v>
      </c>
      <c r="X1171" s="29">
        <f>HOUR(X1170)*3600+MINUTE(X1170)*60+SECOND(X1170)</f>
        <v>0</v>
      </c>
      <c r="Y1171" s="31">
        <f>(Y1170*B1171)</f>
        <v>0</v>
      </c>
      <c r="Z1171" s="29">
        <f>Z1170</f>
        <v>0</v>
      </c>
      <c r="AA1171" s="29" t="e">
        <f>DATEDIF(DATE(1970,1,1),AA1170,"D")*86400</f>
        <v>#NUM!</v>
      </c>
      <c r="AB1171" s="29">
        <f>HOUR(AB1170)*3600+MINUTE(AB1170)*60+SECOND(AB1170)</f>
        <v>0</v>
      </c>
      <c r="AC1171" s="29">
        <f>AC1170</f>
        <v>0</v>
      </c>
    </row>
    <row r="1172" spans="1:29">
      <c r="A1172" s="23">
        <f>Parameters!A587</f>
        <v>0</v>
      </c>
      <c r="B1172" s="23">
        <f>Parameters!B587</f>
        <v>0</v>
      </c>
      <c r="C1172" s="24">
        <f>Parameters!C587</f>
        <v>0</v>
      </c>
      <c r="D1172" s="24">
        <f>Parameters!D587</f>
        <v>0</v>
      </c>
      <c r="E1172" s="23">
        <f>Parameters!E587</f>
        <v>0</v>
      </c>
      <c r="F1172" s="23">
        <f>Parameters!F587</f>
        <v>0</v>
      </c>
      <c r="G1172" s="25">
        <f>Parameters!G587</f>
        <v>0</v>
      </c>
      <c r="H1172" s="25">
        <f>Parameters!H587</f>
        <v>0</v>
      </c>
      <c r="I1172" s="25">
        <f>Parameters!I587</f>
        <v>0</v>
      </c>
      <c r="J1172" s="25">
        <f>Parameters!J587</f>
        <v>0</v>
      </c>
      <c r="K1172" s="25">
        <f>Parameters!K587</f>
        <v>0</v>
      </c>
      <c r="L1172" s="26" t="e">
        <f t="shared" ref="L1172" si="1752">L1173</f>
        <v>#DIV/0!</v>
      </c>
      <c r="M1172" s="25">
        <f>Parameters!L587</f>
        <v>0</v>
      </c>
      <c r="N1172" s="25">
        <f>Parameters!M587</f>
        <v>0</v>
      </c>
      <c r="O1172" s="26" t="e">
        <f t="shared" ref="O1172" si="1753">O1173</f>
        <v>#DIV/0!</v>
      </c>
      <c r="P1172" s="23">
        <f>Parameters!N587</f>
        <v>0</v>
      </c>
      <c r="Q1172" s="23">
        <f>Parameters!O587</f>
        <v>0</v>
      </c>
      <c r="R1172" s="23">
        <f>Parameters!P587</f>
        <v>0</v>
      </c>
      <c r="S1172" s="23">
        <f>Parameters!Q587</f>
        <v>0</v>
      </c>
      <c r="T1172" s="23">
        <f>Parameters!R587</f>
        <v>0</v>
      </c>
      <c r="U1172" s="27">
        <f>Parameters!S587</f>
        <v>0</v>
      </c>
      <c r="V1172" s="28">
        <f>Parameters!T587</f>
        <v>0</v>
      </c>
      <c r="W1172" s="27">
        <f>Parameters!U587</f>
        <v>0</v>
      </c>
      <c r="X1172" s="28">
        <f>Parameters!V587</f>
        <v>0</v>
      </c>
      <c r="Y1172" s="25">
        <f>Parameters!W587</f>
        <v>0</v>
      </c>
      <c r="Z1172" s="23">
        <f>Parameters!X587</f>
        <v>0</v>
      </c>
      <c r="AA1172" s="27">
        <f>Parameters!Y587</f>
        <v>0</v>
      </c>
      <c r="AB1172" s="28">
        <f>Parameters!Z587</f>
        <v>0</v>
      </c>
      <c r="AC1172" s="23">
        <f>Parameters!AA587</f>
        <v>0</v>
      </c>
    </row>
    <row r="1173" spans="1:29">
      <c r="A1173" s="29" t="str">
        <f>UPPER(A1172)</f>
        <v>0</v>
      </c>
      <c r="B1173" s="29">
        <f>B1172</f>
        <v>0</v>
      </c>
      <c r="C1173" s="30">
        <f>C1172</f>
        <v>0</v>
      </c>
      <c r="D1173" s="30">
        <f>D1172</f>
        <v>0</v>
      </c>
      <c r="E1173" s="29">
        <f>E1172</f>
        <v>0</v>
      </c>
      <c r="F1173" s="29">
        <f>F1172</f>
        <v>0</v>
      </c>
      <c r="G1173" s="29" t="e">
        <f>IF(C1172=1,IF(D1172="BUY",E1172+(ROUND(F1172*G1172/B1172,0)*B1172),E1172-(ROUND(F1172*G1172/B1172,0)*B1172)),IF(D1172="BUY",E1172-(ROUND(F1172*G1172/B1172,0)*B1172),E1172+(ROUND(F1172*G1172/B1172,0)*B1172)))</f>
        <v>#DIV/0!</v>
      </c>
      <c r="H1173" s="29" t="e">
        <f>IF(C1172=1,IF(D1172="BUY",G1173-(ROUND(F1172*H1172/B1172,0)*B1172),G1173+(ROUND(F1172*H1172/B1172,0)*B1172)),IF(D1172="BUY",G1173+(ROUND(F1172*H1172/B1172,0)*B1172),G1173-(ROUND(F1172*H1172/B1172,0)*B1172)))</f>
        <v>#DIV/0!</v>
      </c>
      <c r="I1173" s="29" t="e">
        <f>IF(D1172="BUY",G1173+(ROUND(F1172*I1172/(B1172*100),0)*B1172),G1173-(ROUND(F1172*I1172/(B1172*100),0)*B1172))</f>
        <v>#DIV/0!</v>
      </c>
      <c r="J1173" s="29" t="e">
        <f>IF(C1172=1,IF(D1172="BUY",E1172+(ROUND(F1172*J1172/B1172,0)*B1172),E1172-(ROUND(F1172*J1172/B1172,0)*B1172)),IF(D1172="BUY",E1172-(ROUND(F1172*J1172/B1172,0)*B1172),E1172+(ROUND(F1172*J1172/B1172,0)*B1172)))</f>
        <v>#DIV/0!</v>
      </c>
      <c r="K1173" s="29" t="e">
        <f>IF(C1172=1,IF(D1172="BUY",E1172-(ROUND(F1172*K1172/B1172,0)*B1172),E1172+(ROUND(F1172*K1172/B1172,0)*B1172)),IF(D1172="BUY",E1172-(ROUND(F1172*K1172/B1172,0)*B1172),E1172+(ROUND(F1172*K1172/B1172,0)*B1172)))</f>
        <v>#DIV/0!</v>
      </c>
      <c r="L1173" s="29" t="e">
        <f t="shared" ref="L1173" si="1754">IF(D1173="BUY",I1173+(R1173*B1173),I1173-(R1173*B1173))</f>
        <v>#DIV/0!</v>
      </c>
      <c r="M1173" s="29" t="e">
        <f>IF(D1172="BUY",E1172+(ROUND(F1172*M1172/B1172,0)*B1172),E1172-(ROUND(F1172*M1172/B1172,0)*B1172))</f>
        <v>#DIV/0!</v>
      </c>
      <c r="N1173" s="29" t="e">
        <f>IF(D1172="BUY",E1172-(ROUND(F1172*N1172/B1172,0)*B1172),E1172+(ROUND(F1172*N1172/B1172,0)*B1172))</f>
        <v>#DIV/0!</v>
      </c>
      <c r="O1173" s="31" t="e">
        <f>IF(D1173="BUY",N1173-VLOOKUP(A1173,Symbols!A$1:D$1000,4,FALSE),N1173+VLOOKUP(A1173,Symbols!A$1:D$1000,4,FALSE))</f>
        <v>#DIV/0!</v>
      </c>
      <c r="P1173" s="29">
        <f>P1172</f>
        <v>0</v>
      </c>
      <c r="Q1173" s="29">
        <f>Q1172</f>
        <v>0</v>
      </c>
      <c r="R1173" s="29">
        <f>R1172</f>
        <v>0</v>
      </c>
      <c r="S1173" s="29">
        <f>S1172</f>
        <v>0</v>
      </c>
      <c r="T1173" s="29">
        <f>T1172</f>
        <v>0</v>
      </c>
      <c r="U1173" s="29" t="e">
        <f>DATEDIF(DATE(1970,1,1),U1172,"D")*86400</f>
        <v>#NUM!</v>
      </c>
      <c r="V1173" s="29">
        <f>HOUR(V1172)*3600+MINUTE(V1172)*60+SECOND(V1172)</f>
        <v>0</v>
      </c>
      <c r="W1173" s="29" t="e">
        <f>DATEDIF(DATE(1970,1,1),W1172,"D")*86400</f>
        <v>#NUM!</v>
      </c>
      <c r="X1173" s="29">
        <f>HOUR(X1172)*3600+MINUTE(X1172)*60+SECOND(X1172)</f>
        <v>0</v>
      </c>
      <c r="Y1173" s="31">
        <f>(Y1172*B1173)</f>
        <v>0</v>
      </c>
      <c r="Z1173" s="29">
        <f>Z1172</f>
        <v>0</v>
      </c>
      <c r="AA1173" s="29" t="e">
        <f>DATEDIF(DATE(1970,1,1),AA1172,"D")*86400</f>
        <v>#NUM!</v>
      </c>
      <c r="AB1173" s="29">
        <f>HOUR(AB1172)*3600+MINUTE(AB1172)*60+SECOND(AB1172)</f>
        <v>0</v>
      </c>
      <c r="AC1173" s="29">
        <f>AC1172</f>
        <v>0</v>
      </c>
    </row>
    <row r="1174" spans="1:29">
      <c r="A1174" s="23">
        <f>Parameters!A588</f>
        <v>0</v>
      </c>
      <c r="B1174" s="23">
        <f>Parameters!B588</f>
        <v>0</v>
      </c>
      <c r="C1174" s="24">
        <f>Parameters!C588</f>
        <v>0</v>
      </c>
      <c r="D1174" s="24">
        <f>Parameters!D588</f>
        <v>0</v>
      </c>
      <c r="E1174" s="23">
        <f>Parameters!E588</f>
        <v>0</v>
      </c>
      <c r="F1174" s="23">
        <f>Parameters!F588</f>
        <v>0</v>
      </c>
      <c r="G1174" s="25">
        <f>Parameters!G588</f>
        <v>0</v>
      </c>
      <c r="H1174" s="25">
        <f>Parameters!H588</f>
        <v>0</v>
      </c>
      <c r="I1174" s="25">
        <f>Parameters!I588</f>
        <v>0</v>
      </c>
      <c r="J1174" s="25">
        <f>Parameters!J588</f>
        <v>0</v>
      </c>
      <c r="K1174" s="25">
        <f>Parameters!K588</f>
        <v>0</v>
      </c>
      <c r="L1174" s="26" t="e">
        <f t="shared" ref="L1174" si="1755">L1175</f>
        <v>#DIV/0!</v>
      </c>
      <c r="M1174" s="25">
        <f>Parameters!L588</f>
        <v>0</v>
      </c>
      <c r="N1174" s="25">
        <f>Parameters!M588</f>
        <v>0</v>
      </c>
      <c r="O1174" s="26" t="e">
        <f t="shared" ref="O1174" si="1756">O1175</f>
        <v>#DIV/0!</v>
      </c>
      <c r="P1174" s="23">
        <f>Parameters!N588</f>
        <v>0</v>
      </c>
      <c r="Q1174" s="23">
        <f>Parameters!O588</f>
        <v>0</v>
      </c>
      <c r="R1174" s="23">
        <f>Parameters!P588</f>
        <v>0</v>
      </c>
      <c r="S1174" s="23">
        <f>Parameters!Q588</f>
        <v>0</v>
      </c>
      <c r="T1174" s="23">
        <f>Parameters!R588</f>
        <v>0</v>
      </c>
      <c r="U1174" s="27">
        <f>Parameters!S588</f>
        <v>0</v>
      </c>
      <c r="V1174" s="28">
        <f>Parameters!T588</f>
        <v>0</v>
      </c>
      <c r="W1174" s="27">
        <f>Parameters!U588</f>
        <v>0</v>
      </c>
      <c r="X1174" s="28">
        <f>Parameters!V588</f>
        <v>0</v>
      </c>
      <c r="Y1174" s="25">
        <f>Parameters!W588</f>
        <v>0</v>
      </c>
      <c r="Z1174" s="23">
        <f>Parameters!X588</f>
        <v>0</v>
      </c>
      <c r="AA1174" s="27">
        <f>Parameters!Y588</f>
        <v>0</v>
      </c>
      <c r="AB1174" s="28">
        <f>Parameters!Z588</f>
        <v>0</v>
      </c>
      <c r="AC1174" s="23">
        <f>Parameters!AA588</f>
        <v>0</v>
      </c>
    </row>
    <row r="1175" spans="1:29">
      <c r="A1175" s="29" t="str">
        <f>UPPER(A1174)</f>
        <v>0</v>
      </c>
      <c r="B1175" s="29">
        <f>B1174</f>
        <v>0</v>
      </c>
      <c r="C1175" s="30">
        <f>C1174</f>
        <v>0</v>
      </c>
      <c r="D1175" s="30">
        <f>D1174</f>
        <v>0</v>
      </c>
      <c r="E1175" s="29">
        <f>E1174</f>
        <v>0</v>
      </c>
      <c r="F1175" s="29">
        <f>F1174</f>
        <v>0</v>
      </c>
      <c r="G1175" s="29" t="e">
        <f>IF(C1174=1,IF(D1174="BUY",E1174+(ROUND(F1174*G1174/B1174,0)*B1174),E1174-(ROUND(F1174*G1174/B1174,0)*B1174)),IF(D1174="BUY",E1174-(ROUND(F1174*G1174/B1174,0)*B1174),E1174+(ROUND(F1174*G1174/B1174,0)*B1174)))</f>
        <v>#DIV/0!</v>
      </c>
      <c r="H1175" s="29" t="e">
        <f>IF(C1174=1,IF(D1174="BUY",G1175-(ROUND(F1174*H1174/B1174,0)*B1174),G1175+(ROUND(F1174*H1174/B1174,0)*B1174)),IF(D1174="BUY",G1175+(ROUND(F1174*H1174/B1174,0)*B1174),G1175-(ROUND(F1174*H1174/B1174,0)*B1174)))</f>
        <v>#DIV/0!</v>
      </c>
      <c r="I1175" s="29" t="e">
        <f>IF(D1174="BUY",G1175+(ROUND(F1174*I1174/(B1174*100),0)*B1174),G1175-(ROUND(F1174*I1174/(B1174*100),0)*B1174))</f>
        <v>#DIV/0!</v>
      </c>
      <c r="J1175" s="29" t="e">
        <f>IF(C1174=1,IF(D1174="BUY",E1174+(ROUND(F1174*J1174/B1174,0)*B1174),E1174-(ROUND(F1174*J1174/B1174,0)*B1174)),IF(D1174="BUY",E1174-(ROUND(F1174*J1174/B1174,0)*B1174),E1174+(ROUND(F1174*J1174/B1174,0)*B1174)))</f>
        <v>#DIV/0!</v>
      </c>
      <c r="K1175" s="29" t="e">
        <f>IF(C1174=1,IF(D1174="BUY",E1174-(ROUND(F1174*K1174/B1174,0)*B1174),E1174+(ROUND(F1174*K1174/B1174,0)*B1174)),IF(D1174="BUY",E1174-(ROUND(F1174*K1174/B1174,0)*B1174),E1174+(ROUND(F1174*K1174/B1174,0)*B1174)))</f>
        <v>#DIV/0!</v>
      </c>
      <c r="L1175" s="29" t="e">
        <f t="shared" ref="L1175" si="1757">IF(D1175="BUY",I1175+(R1175*B1175),I1175-(R1175*B1175))</f>
        <v>#DIV/0!</v>
      </c>
      <c r="M1175" s="29" t="e">
        <f>IF(D1174="BUY",E1174+(ROUND(F1174*M1174/B1174,0)*B1174),E1174-(ROUND(F1174*M1174/B1174,0)*B1174))</f>
        <v>#DIV/0!</v>
      </c>
      <c r="N1175" s="29" t="e">
        <f>IF(D1174="BUY",E1174-(ROUND(F1174*N1174/B1174,0)*B1174),E1174+(ROUND(F1174*N1174/B1174,0)*B1174))</f>
        <v>#DIV/0!</v>
      </c>
      <c r="O1175" s="31" t="e">
        <f>IF(D1175="BUY",N1175-VLOOKUP(A1175,Symbols!A$1:D$1000,4,FALSE),N1175+VLOOKUP(A1175,Symbols!A$1:D$1000,4,FALSE))</f>
        <v>#DIV/0!</v>
      </c>
      <c r="P1175" s="29">
        <f>P1174</f>
        <v>0</v>
      </c>
      <c r="Q1175" s="29">
        <f>Q1174</f>
        <v>0</v>
      </c>
      <c r="R1175" s="29">
        <f>R1174</f>
        <v>0</v>
      </c>
      <c r="S1175" s="29">
        <f>S1174</f>
        <v>0</v>
      </c>
      <c r="T1175" s="29">
        <f>T1174</f>
        <v>0</v>
      </c>
      <c r="U1175" s="29" t="e">
        <f>DATEDIF(DATE(1970,1,1),U1174,"D")*86400</f>
        <v>#NUM!</v>
      </c>
      <c r="V1175" s="29">
        <f>HOUR(V1174)*3600+MINUTE(V1174)*60+SECOND(V1174)</f>
        <v>0</v>
      </c>
      <c r="W1175" s="29" t="e">
        <f>DATEDIF(DATE(1970,1,1),W1174,"D")*86400</f>
        <v>#NUM!</v>
      </c>
      <c r="X1175" s="29">
        <f>HOUR(X1174)*3600+MINUTE(X1174)*60+SECOND(X1174)</f>
        <v>0</v>
      </c>
      <c r="Y1175" s="31">
        <f>(Y1174*B1175)</f>
        <v>0</v>
      </c>
      <c r="Z1175" s="29">
        <f>Z1174</f>
        <v>0</v>
      </c>
      <c r="AA1175" s="29" t="e">
        <f>DATEDIF(DATE(1970,1,1),AA1174,"D")*86400</f>
        <v>#NUM!</v>
      </c>
      <c r="AB1175" s="29">
        <f>HOUR(AB1174)*3600+MINUTE(AB1174)*60+SECOND(AB1174)</f>
        <v>0</v>
      </c>
      <c r="AC1175" s="29">
        <f>AC1174</f>
        <v>0</v>
      </c>
    </row>
    <row r="1176" spans="1:29">
      <c r="A1176" s="23">
        <f>Parameters!A589</f>
        <v>0</v>
      </c>
      <c r="B1176" s="23">
        <f>Parameters!B589</f>
        <v>0</v>
      </c>
      <c r="C1176" s="24">
        <f>Parameters!C589</f>
        <v>0</v>
      </c>
      <c r="D1176" s="24">
        <f>Parameters!D589</f>
        <v>0</v>
      </c>
      <c r="E1176" s="23">
        <f>Parameters!E589</f>
        <v>0</v>
      </c>
      <c r="F1176" s="23">
        <f>Parameters!F589</f>
        <v>0</v>
      </c>
      <c r="G1176" s="25">
        <f>Parameters!G589</f>
        <v>0</v>
      </c>
      <c r="H1176" s="25">
        <f>Parameters!H589</f>
        <v>0</v>
      </c>
      <c r="I1176" s="25">
        <f>Parameters!I589</f>
        <v>0</v>
      </c>
      <c r="J1176" s="25">
        <f>Parameters!J589</f>
        <v>0</v>
      </c>
      <c r="K1176" s="25">
        <f>Parameters!K589</f>
        <v>0</v>
      </c>
      <c r="L1176" s="26" t="e">
        <f t="shared" ref="L1176" si="1758">L1177</f>
        <v>#DIV/0!</v>
      </c>
      <c r="M1176" s="25">
        <f>Parameters!L589</f>
        <v>0</v>
      </c>
      <c r="N1176" s="25">
        <f>Parameters!M589</f>
        <v>0</v>
      </c>
      <c r="O1176" s="26" t="e">
        <f t="shared" ref="O1176" si="1759">O1177</f>
        <v>#DIV/0!</v>
      </c>
      <c r="P1176" s="23">
        <f>Parameters!N589</f>
        <v>0</v>
      </c>
      <c r="Q1176" s="23">
        <f>Parameters!O589</f>
        <v>0</v>
      </c>
      <c r="R1176" s="23">
        <f>Parameters!P589</f>
        <v>0</v>
      </c>
      <c r="S1176" s="23">
        <f>Parameters!Q589</f>
        <v>0</v>
      </c>
      <c r="T1176" s="23">
        <f>Parameters!R589</f>
        <v>0</v>
      </c>
      <c r="U1176" s="27">
        <f>Parameters!S589</f>
        <v>0</v>
      </c>
      <c r="V1176" s="28">
        <f>Parameters!T589</f>
        <v>0</v>
      </c>
      <c r="W1176" s="27">
        <f>Parameters!U589</f>
        <v>0</v>
      </c>
      <c r="X1176" s="28">
        <f>Parameters!V589</f>
        <v>0</v>
      </c>
      <c r="Y1176" s="25">
        <f>Parameters!W589</f>
        <v>0</v>
      </c>
      <c r="Z1176" s="23">
        <f>Parameters!X589</f>
        <v>0</v>
      </c>
      <c r="AA1176" s="27">
        <f>Parameters!Y589</f>
        <v>0</v>
      </c>
      <c r="AB1176" s="28">
        <f>Parameters!Z589</f>
        <v>0</v>
      </c>
      <c r="AC1176" s="23">
        <f>Parameters!AA589</f>
        <v>0</v>
      </c>
    </row>
    <row r="1177" spans="1:29">
      <c r="A1177" s="29" t="str">
        <f>UPPER(A1176)</f>
        <v>0</v>
      </c>
      <c r="B1177" s="29">
        <f>B1176</f>
        <v>0</v>
      </c>
      <c r="C1177" s="30">
        <f>C1176</f>
        <v>0</v>
      </c>
      <c r="D1177" s="30">
        <f>D1176</f>
        <v>0</v>
      </c>
      <c r="E1177" s="29">
        <f>E1176</f>
        <v>0</v>
      </c>
      <c r="F1177" s="29">
        <f>F1176</f>
        <v>0</v>
      </c>
      <c r="G1177" s="29" t="e">
        <f>IF(C1176=1,IF(D1176="BUY",E1176+(ROUND(F1176*G1176/B1176,0)*B1176),E1176-(ROUND(F1176*G1176/B1176,0)*B1176)),IF(D1176="BUY",E1176-(ROUND(F1176*G1176/B1176,0)*B1176),E1176+(ROUND(F1176*G1176/B1176,0)*B1176)))</f>
        <v>#DIV/0!</v>
      </c>
      <c r="H1177" s="29" t="e">
        <f>IF(C1176=1,IF(D1176="BUY",G1177-(ROUND(F1176*H1176/B1176,0)*B1176),G1177+(ROUND(F1176*H1176/B1176,0)*B1176)),IF(D1176="BUY",G1177+(ROUND(F1176*H1176/B1176,0)*B1176),G1177-(ROUND(F1176*H1176/B1176,0)*B1176)))</f>
        <v>#DIV/0!</v>
      </c>
      <c r="I1177" s="29" t="e">
        <f>IF(D1176="BUY",G1177+(ROUND(F1176*I1176/(B1176*100),0)*B1176),G1177-(ROUND(F1176*I1176/(B1176*100),0)*B1176))</f>
        <v>#DIV/0!</v>
      </c>
      <c r="J1177" s="29" t="e">
        <f>IF(C1176=1,IF(D1176="BUY",E1176+(ROUND(F1176*J1176/B1176,0)*B1176),E1176-(ROUND(F1176*J1176/B1176,0)*B1176)),IF(D1176="BUY",E1176-(ROUND(F1176*J1176/B1176,0)*B1176),E1176+(ROUND(F1176*J1176/B1176,0)*B1176)))</f>
        <v>#DIV/0!</v>
      </c>
      <c r="K1177" s="29" t="e">
        <f>IF(C1176=1,IF(D1176="BUY",E1176-(ROUND(F1176*K1176/B1176,0)*B1176),E1176+(ROUND(F1176*K1176/B1176,0)*B1176)),IF(D1176="BUY",E1176-(ROUND(F1176*K1176/B1176,0)*B1176),E1176+(ROUND(F1176*K1176/B1176,0)*B1176)))</f>
        <v>#DIV/0!</v>
      </c>
      <c r="L1177" s="29" t="e">
        <f t="shared" ref="L1177" si="1760">IF(D1177="BUY",I1177+(R1177*B1177),I1177-(R1177*B1177))</f>
        <v>#DIV/0!</v>
      </c>
      <c r="M1177" s="29" t="e">
        <f>IF(D1176="BUY",E1176+(ROUND(F1176*M1176/B1176,0)*B1176),E1176-(ROUND(F1176*M1176/B1176,0)*B1176))</f>
        <v>#DIV/0!</v>
      </c>
      <c r="N1177" s="29" t="e">
        <f>IF(D1176="BUY",E1176-(ROUND(F1176*N1176/B1176,0)*B1176),E1176+(ROUND(F1176*N1176/B1176,0)*B1176))</f>
        <v>#DIV/0!</v>
      </c>
      <c r="O1177" s="31" t="e">
        <f>IF(D1177="BUY",N1177-VLOOKUP(A1177,Symbols!A$1:D$1000,4,FALSE),N1177+VLOOKUP(A1177,Symbols!A$1:D$1000,4,FALSE))</f>
        <v>#DIV/0!</v>
      </c>
      <c r="P1177" s="29">
        <f>P1176</f>
        <v>0</v>
      </c>
      <c r="Q1177" s="29">
        <f>Q1176</f>
        <v>0</v>
      </c>
      <c r="R1177" s="29">
        <f>R1176</f>
        <v>0</v>
      </c>
      <c r="S1177" s="29">
        <f>S1176</f>
        <v>0</v>
      </c>
      <c r="T1177" s="29">
        <f>T1176</f>
        <v>0</v>
      </c>
      <c r="U1177" s="29" t="e">
        <f>DATEDIF(DATE(1970,1,1),U1176,"D")*86400</f>
        <v>#NUM!</v>
      </c>
      <c r="V1177" s="29">
        <f>HOUR(V1176)*3600+MINUTE(V1176)*60+SECOND(V1176)</f>
        <v>0</v>
      </c>
      <c r="W1177" s="29" t="e">
        <f>DATEDIF(DATE(1970,1,1),W1176,"D")*86400</f>
        <v>#NUM!</v>
      </c>
      <c r="X1177" s="29">
        <f>HOUR(X1176)*3600+MINUTE(X1176)*60+SECOND(X1176)</f>
        <v>0</v>
      </c>
      <c r="Y1177" s="31">
        <f>(Y1176*B1177)</f>
        <v>0</v>
      </c>
      <c r="Z1177" s="29">
        <f>Z1176</f>
        <v>0</v>
      </c>
      <c r="AA1177" s="29" t="e">
        <f>DATEDIF(DATE(1970,1,1),AA1176,"D")*86400</f>
        <v>#NUM!</v>
      </c>
      <c r="AB1177" s="29">
        <f>HOUR(AB1176)*3600+MINUTE(AB1176)*60+SECOND(AB1176)</f>
        <v>0</v>
      </c>
      <c r="AC1177" s="29">
        <f>AC1176</f>
        <v>0</v>
      </c>
    </row>
    <row r="1178" spans="1:29">
      <c r="A1178" s="23">
        <f>Parameters!A590</f>
        <v>0</v>
      </c>
      <c r="B1178" s="23">
        <f>Parameters!B590</f>
        <v>0</v>
      </c>
      <c r="C1178" s="24">
        <f>Parameters!C590</f>
        <v>0</v>
      </c>
      <c r="D1178" s="24">
        <f>Parameters!D590</f>
        <v>0</v>
      </c>
      <c r="E1178" s="23">
        <f>Parameters!E590</f>
        <v>0</v>
      </c>
      <c r="F1178" s="23">
        <f>Parameters!F590</f>
        <v>0</v>
      </c>
      <c r="G1178" s="25">
        <f>Parameters!G590</f>
        <v>0</v>
      </c>
      <c r="H1178" s="25">
        <f>Parameters!H590</f>
        <v>0</v>
      </c>
      <c r="I1178" s="25">
        <f>Parameters!I590</f>
        <v>0</v>
      </c>
      <c r="J1178" s="25">
        <f>Parameters!J590</f>
        <v>0</v>
      </c>
      <c r="K1178" s="25">
        <f>Parameters!K590</f>
        <v>0</v>
      </c>
      <c r="L1178" s="26" t="e">
        <f t="shared" ref="L1178" si="1761">L1179</f>
        <v>#DIV/0!</v>
      </c>
      <c r="M1178" s="25">
        <f>Parameters!L590</f>
        <v>0</v>
      </c>
      <c r="N1178" s="25">
        <f>Parameters!M590</f>
        <v>0</v>
      </c>
      <c r="O1178" s="26" t="e">
        <f t="shared" ref="O1178" si="1762">O1179</f>
        <v>#DIV/0!</v>
      </c>
      <c r="P1178" s="23">
        <f>Parameters!N590</f>
        <v>0</v>
      </c>
      <c r="Q1178" s="23">
        <f>Parameters!O590</f>
        <v>0</v>
      </c>
      <c r="R1178" s="23">
        <f>Parameters!P590</f>
        <v>0</v>
      </c>
      <c r="S1178" s="23">
        <f>Parameters!Q590</f>
        <v>0</v>
      </c>
      <c r="T1178" s="23">
        <f>Parameters!R590</f>
        <v>0</v>
      </c>
      <c r="U1178" s="27">
        <f>Parameters!S590</f>
        <v>0</v>
      </c>
      <c r="V1178" s="28">
        <f>Parameters!T590</f>
        <v>0</v>
      </c>
      <c r="W1178" s="27">
        <f>Parameters!U590</f>
        <v>0</v>
      </c>
      <c r="X1178" s="28">
        <f>Parameters!V590</f>
        <v>0</v>
      </c>
      <c r="Y1178" s="25">
        <f>Parameters!W590</f>
        <v>0</v>
      </c>
      <c r="Z1178" s="23">
        <f>Parameters!X590</f>
        <v>0</v>
      </c>
      <c r="AA1178" s="27">
        <f>Parameters!Y590</f>
        <v>0</v>
      </c>
      <c r="AB1178" s="28">
        <f>Parameters!Z590</f>
        <v>0</v>
      </c>
      <c r="AC1178" s="23">
        <f>Parameters!AA590</f>
        <v>0</v>
      </c>
    </row>
    <row r="1179" spans="1:29">
      <c r="A1179" s="29" t="str">
        <f>UPPER(A1178)</f>
        <v>0</v>
      </c>
      <c r="B1179" s="29">
        <f>B1178</f>
        <v>0</v>
      </c>
      <c r="C1179" s="30">
        <f>C1178</f>
        <v>0</v>
      </c>
      <c r="D1179" s="30">
        <f>D1178</f>
        <v>0</v>
      </c>
      <c r="E1179" s="29">
        <f>E1178</f>
        <v>0</v>
      </c>
      <c r="F1179" s="29">
        <f>F1178</f>
        <v>0</v>
      </c>
      <c r="G1179" s="29" t="e">
        <f>IF(C1178=1,IF(D1178="BUY",E1178+(ROUND(F1178*G1178/B1178,0)*B1178),E1178-(ROUND(F1178*G1178/B1178,0)*B1178)),IF(D1178="BUY",E1178-(ROUND(F1178*G1178/B1178,0)*B1178),E1178+(ROUND(F1178*G1178/B1178,0)*B1178)))</f>
        <v>#DIV/0!</v>
      </c>
      <c r="H1179" s="29" t="e">
        <f>IF(C1178=1,IF(D1178="BUY",G1179-(ROUND(F1178*H1178/B1178,0)*B1178),G1179+(ROUND(F1178*H1178/B1178,0)*B1178)),IF(D1178="BUY",G1179+(ROUND(F1178*H1178/B1178,0)*B1178),G1179-(ROUND(F1178*H1178/B1178,0)*B1178)))</f>
        <v>#DIV/0!</v>
      </c>
      <c r="I1179" s="29" t="e">
        <f>IF(D1178="BUY",G1179+(ROUND(F1178*I1178/(B1178*100),0)*B1178),G1179-(ROUND(F1178*I1178/(B1178*100),0)*B1178))</f>
        <v>#DIV/0!</v>
      </c>
      <c r="J1179" s="29" t="e">
        <f>IF(C1178=1,IF(D1178="BUY",E1178+(ROUND(F1178*J1178/B1178,0)*B1178),E1178-(ROUND(F1178*J1178/B1178,0)*B1178)),IF(D1178="BUY",E1178-(ROUND(F1178*J1178/B1178,0)*B1178),E1178+(ROUND(F1178*J1178/B1178,0)*B1178)))</f>
        <v>#DIV/0!</v>
      </c>
      <c r="K1179" s="29" t="e">
        <f>IF(C1178=1,IF(D1178="BUY",E1178-(ROUND(F1178*K1178/B1178,0)*B1178),E1178+(ROUND(F1178*K1178/B1178,0)*B1178)),IF(D1178="BUY",E1178-(ROUND(F1178*K1178/B1178,0)*B1178),E1178+(ROUND(F1178*K1178/B1178,0)*B1178)))</f>
        <v>#DIV/0!</v>
      </c>
      <c r="L1179" s="29" t="e">
        <f t="shared" ref="L1179" si="1763">IF(D1179="BUY",I1179+(R1179*B1179),I1179-(R1179*B1179))</f>
        <v>#DIV/0!</v>
      </c>
      <c r="M1179" s="29" t="e">
        <f>IF(D1178="BUY",E1178+(ROUND(F1178*M1178/B1178,0)*B1178),E1178-(ROUND(F1178*M1178/B1178,0)*B1178))</f>
        <v>#DIV/0!</v>
      </c>
      <c r="N1179" s="29" t="e">
        <f>IF(D1178="BUY",E1178-(ROUND(F1178*N1178/B1178,0)*B1178),E1178+(ROUND(F1178*N1178/B1178,0)*B1178))</f>
        <v>#DIV/0!</v>
      </c>
      <c r="O1179" s="31" t="e">
        <f>IF(D1179="BUY",N1179-VLOOKUP(A1179,Symbols!A$1:D$1000,4,FALSE),N1179+VLOOKUP(A1179,Symbols!A$1:D$1000,4,FALSE))</f>
        <v>#DIV/0!</v>
      </c>
      <c r="P1179" s="29">
        <f>P1178</f>
        <v>0</v>
      </c>
      <c r="Q1179" s="29">
        <f>Q1178</f>
        <v>0</v>
      </c>
      <c r="R1179" s="29">
        <f>R1178</f>
        <v>0</v>
      </c>
      <c r="S1179" s="29">
        <f>S1178</f>
        <v>0</v>
      </c>
      <c r="T1179" s="29">
        <f>T1178</f>
        <v>0</v>
      </c>
      <c r="U1179" s="29" t="e">
        <f>DATEDIF(DATE(1970,1,1),U1178,"D")*86400</f>
        <v>#NUM!</v>
      </c>
      <c r="V1179" s="29">
        <f>HOUR(V1178)*3600+MINUTE(V1178)*60+SECOND(V1178)</f>
        <v>0</v>
      </c>
      <c r="W1179" s="29" t="e">
        <f>DATEDIF(DATE(1970,1,1),W1178,"D")*86400</f>
        <v>#NUM!</v>
      </c>
      <c r="X1179" s="29">
        <f>HOUR(X1178)*3600+MINUTE(X1178)*60+SECOND(X1178)</f>
        <v>0</v>
      </c>
      <c r="Y1179" s="31">
        <f>(Y1178*B1179)</f>
        <v>0</v>
      </c>
      <c r="Z1179" s="29">
        <f>Z1178</f>
        <v>0</v>
      </c>
      <c r="AA1179" s="29" t="e">
        <f>DATEDIF(DATE(1970,1,1),AA1178,"D")*86400</f>
        <v>#NUM!</v>
      </c>
      <c r="AB1179" s="29">
        <f>HOUR(AB1178)*3600+MINUTE(AB1178)*60+SECOND(AB1178)</f>
        <v>0</v>
      </c>
      <c r="AC1179" s="29">
        <f>AC1178</f>
        <v>0</v>
      </c>
    </row>
    <row r="1180" spans="1:29">
      <c r="A1180" s="23">
        <f>Parameters!A591</f>
        <v>0</v>
      </c>
      <c r="B1180" s="23">
        <f>Parameters!B591</f>
        <v>0</v>
      </c>
      <c r="C1180" s="24">
        <f>Parameters!C591</f>
        <v>0</v>
      </c>
      <c r="D1180" s="24">
        <f>Parameters!D591</f>
        <v>0</v>
      </c>
      <c r="E1180" s="23">
        <f>Parameters!E591</f>
        <v>0</v>
      </c>
      <c r="F1180" s="23">
        <f>Parameters!F591</f>
        <v>0</v>
      </c>
      <c r="G1180" s="25">
        <f>Parameters!G591</f>
        <v>0</v>
      </c>
      <c r="H1180" s="25">
        <f>Parameters!H591</f>
        <v>0</v>
      </c>
      <c r="I1180" s="25">
        <f>Parameters!I591</f>
        <v>0</v>
      </c>
      <c r="J1180" s="25">
        <f>Parameters!J591</f>
        <v>0</v>
      </c>
      <c r="K1180" s="25">
        <f>Parameters!K591</f>
        <v>0</v>
      </c>
      <c r="L1180" s="26" t="e">
        <f t="shared" ref="L1180" si="1764">L1181</f>
        <v>#DIV/0!</v>
      </c>
      <c r="M1180" s="25">
        <f>Parameters!L591</f>
        <v>0</v>
      </c>
      <c r="N1180" s="25">
        <f>Parameters!M591</f>
        <v>0</v>
      </c>
      <c r="O1180" s="26" t="e">
        <f t="shared" ref="O1180" si="1765">O1181</f>
        <v>#DIV/0!</v>
      </c>
      <c r="P1180" s="23">
        <f>Parameters!N591</f>
        <v>0</v>
      </c>
      <c r="Q1180" s="23">
        <f>Parameters!O591</f>
        <v>0</v>
      </c>
      <c r="R1180" s="23">
        <f>Parameters!P591</f>
        <v>0</v>
      </c>
      <c r="S1180" s="23">
        <f>Parameters!Q591</f>
        <v>0</v>
      </c>
      <c r="T1180" s="23">
        <f>Parameters!R591</f>
        <v>0</v>
      </c>
      <c r="U1180" s="27">
        <f>Parameters!S591</f>
        <v>0</v>
      </c>
      <c r="V1180" s="28">
        <f>Parameters!T591</f>
        <v>0</v>
      </c>
      <c r="W1180" s="27">
        <f>Parameters!U591</f>
        <v>0</v>
      </c>
      <c r="X1180" s="28">
        <f>Parameters!V591</f>
        <v>0</v>
      </c>
      <c r="Y1180" s="25">
        <f>Parameters!W591</f>
        <v>0</v>
      </c>
      <c r="Z1180" s="23">
        <f>Parameters!X591</f>
        <v>0</v>
      </c>
      <c r="AA1180" s="27">
        <f>Parameters!Y591</f>
        <v>0</v>
      </c>
      <c r="AB1180" s="28">
        <f>Parameters!Z591</f>
        <v>0</v>
      </c>
      <c r="AC1180" s="23">
        <f>Parameters!AA591</f>
        <v>0</v>
      </c>
    </row>
    <row r="1181" spans="1:29">
      <c r="A1181" s="29" t="str">
        <f>UPPER(A1180)</f>
        <v>0</v>
      </c>
      <c r="B1181" s="29">
        <f>B1180</f>
        <v>0</v>
      </c>
      <c r="C1181" s="30">
        <f>C1180</f>
        <v>0</v>
      </c>
      <c r="D1181" s="30">
        <f>D1180</f>
        <v>0</v>
      </c>
      <c r="E1181" s="29">
        <f>E1180</f>
        <v>0</v>
      </c>
      <c r="F1181" s="29">
        <f>F1180</f>
        <v>0</v>
      </c>
      <c r="G1181" s="29" t="e">
        <f>IF(C1180=1,IF(D1180="BUY",E1180+(ROUND(F1180*G1180/B1180,0)*B1180),E1180-(ROUND(F1180*G1180/B1180,0)*B1180)),IF(D1180="BUY",E1180-(ROUND(F1180*G1180/B1180,0)*B1180),E1180+(ROUND(F1180*G1180/B1180,0)*B1180)))</f>
        <v>#DIV/0!</v>
      </c>
      <c r="H1181" s="29" t="e">
        <f>IF(C1180=1,IF(D1180="BUY",G1181-(ROUND(F1180*H1180/B1180,0)*B1180),G1181+(ROUND(F1180*H1180/B1180,0)*B1180)),IF(D1180="BUY",G1181+(ROUND(F1180*H1180/B1180,0)*B1180),G1181-(ROUND(F1180*H1180/B1180,0)*B1180)))</f>
        <v>#DIV/0!</v>
      </c>
      <c r="I1181" s="29" t="e">
        <f>IF(D1180="BUY",G1181+(ROUND(F1180*I1180/(B1180*100),0)*B1180),G1181-(ROUND(F1180*I1180/(B1180*100),0)*B1180))</f>
        <v>#DIV/0!</v>
      </c>
      <c r="J1181" s="29" t="e">
        <f>IF(C1180=1,IF(D1180="BUY",E1180+(ROUND(F1180*J1180/B1180,0)*B1180),E1180-(ROUND(F1180*J1180/B1180,0)*B1180)),IF(D1180="BUY",E1180-(ROUND(F1180*J1180/B1180,0)*B1180),E1180+(ROUND(F1180*J1180/B1180,0)*B1180)))</f>
        <v>#DIV/0!</v>
      </c>
      <c r="K1181" s="29" t="e">
        <f>IF(C1180=1,IF(D1180="BUY",E1180-(ROUND(F1180*K1180/B1180,0)*B1180),E1180+(ROUND(F1180*K1180/B1180,0)*B1180)),IF(D1180="BUY",E1180-(ROUND(F1180*K1180/B1180,0)*B1180),E1180+(ROUND(F1180*K1180/B1180,0)*B1180)))</f>
        <v>#DIV/0!</v>
      </c>
      <c r="L1181" s="29" t="e">
        <f t="shared" ref="L1181" si="1766">IF(D1181="BUY",I1181+(R1181*B1181),I1181-(R1181*B1181))</f>
        <v>#DIV/0!</v>
      </c>
      <c r="M1181" s="29" t="e">
        <f>IF(D1180="BUY",E1180+(ROUND(F1180*M1180/B1180,0)*B1180),E1180-(ROUND(F1180*M1180/B1180,0)*B1180))</f>
        <v>#DIV/0!</v>
      </c>
      <c r="N1181" s="29" t="e">
        <f>IF(D1180="BUY",E1180-(ROUND(F1180*N1180/B1180,0)*B1180),E1180+(ROUND(F1180*N1180/B1180,0)*B1180))</f>
        <v>#DIV/0!</v>
      </c>
      <c r="O1181" s="31" t="e">
        <f>IF(D1181="BUY",N1181-VLOOKUP(A1181,Symbols!A$1:D$1000,4,FALSE),N1181+VLOOKUP(A1181,Symbols!A$1:D$1000,4,FALSE))</f>
        <v>#DIV/0!</v>
      </c>
      <c r="P1181" s="29">
        <f>P1180</f>
        <v>0</v>
      </c>
      <c r="Q1181" s="29">
        <f>Q1180</f>
        <v>0</v>
      </c>
      <c r="R1181" s="29">
        <f>R1180</f>
        <v>0</v>
      </c>
      <c r="S1181" s="29">
        <f>S1180</f>
        <v>0</v>
      </c>
      <c r="T1181" s="29">
        <f>T1180</f>
        <v>0</v>
      </c>
      <c r="U1181" s="29" t="e">
        <f>DATEDIF(DATE(1970,1,1),U1180,"D")*86400</f>
        <v>#NUM!</v>
      </c>
      <c r="V1181" s="29">
        <f>HOUR(V1180)*3600+MINUTE(V1180)*60+SECOND(V1180)</f>
        <v>0</v>
      </c>
      <c r="W1181" s="29" t="e">
        <f>DATEDIF(DATE(1970,1,1),W1180,"D")*86400</f>
        <v>#NUM!</v>
      </c>
      <c r="X1181" s="29">
        <f>HOUR(X1180)*3600+MINUTE(X1180)*60+SECOND(X1180)</f>
        <v>0</v>
      </c>
      <c r="Y1181" s="31">
        <f>(Y1180*B1181)</f>
        <v>0</v>
      </c>
      <c r="Z1181" s="29">
        <f>Z1180</f>
        <v>0</v>
      </c>
      <c r="AA1181" s="29" t="e">
        <f>DATEDIF(DATE(1970,1,1),AA1180,"D")*86400</f>
        <v>#NUM!</v>
      </c>
      <c r="AB1181" s="29">
        <f>HOUR(AB1180)*3600+MINUTE(AB1180)*60+SECOND(AB1180)</f>
        <v>0</v>
      </c>
      <c r="AC1181" s="29">
        <f>AC1180</f>
        <v>0</v>
      </c>
    </row>
    <row r="1182" spans="1:29">
      <c r="A1182" s="23">
        <f>Parameters!A592</f>
        <v>0</v>
      </c>
      <c r="B1182" s="23">
        <f>Parameters!B592</f>
        <v>0</v>
      </c>
      <c r="C1182" s="24">
        <f>Parameters!C592</f>
        <v>0</v>
      </c>
      <c r="D1182" s="24">
        <f>Parameters!D592</f>
        <v>0</v>
      </c>
      <c r="E1182" s="23">
        <f>Parameters!E592</f>
        <v>0</v>
      </c>
      <c r="F1182" s="23">
        <f>Parameters!F592</f>
        <v>0</v>
      </c>
      <c r="G1182" s="25">
        <f>Parameters!G592</f>
        <v>0</v>
      </c>
      <c r="H1182" s="25">
        <f>Parameters!H592</f>
        <v>0</v>
      </c>
      <c r="I1182" s="25">
        <f>Parameters!I592</f>
        <v>0</v>
      </c>
      <c r="J1182" s="25">
        <f>Parameters!J592</f>
        <v>0</v>
      </c>
      <c r="K1182" s="25">
        <f>Parameters!K592</f>
        <v>0</v>
      </c>
      <c r="L1182" s="26" t="e">
        <f t="shared" ref="L1182" si="1767">L1183</f>
        <v>#DIV/0!</v>
      </c>
      <c r="M1182" s="25">
        <f>Parameters!L592</f>
        <v>0</v>
      </c>
      <c r="N1182" s="25">
        <f>Parameters!M592</f>
        <v>0</v>
      </c>
      <c r="O1182" s="26" t="e">
        <f t="shared" ref="O1182" si="1768">O1183</f>
        <v>#DIV/0!</v>
      </c>
      <c r="P1182" s="23">
        <f>Parameters!N592</f>
        <v>0</v>
      </c>
      <c r="Q1182" s="23">
        <f>Parameters!O592</f>
        <v>0</v>
      </c>
      <c r="R1182" s="23">
        <f>Parameters!P592</f>
        <v>0</v>
      </c>
      <c r="S1182" s="23">
        <f>Parameters!Q592</f>
        <v>0</v>
      </c>
      <c r="T1182" s="23">
        <f>Parameters!R592</f>
        <v>0</v>
      </c>
      <c r="U1182" s="27">
        <f>Parameters!S592</f>
        <v>0</v>
      </c>
      <c r="V1182" s="28">
        <f>Parameters!T592</f>
        <v>0</v>
      </c>
      <c r="W1182" s="27">
        <f>Parameters!U592</f>
        <v>0</v>
      </c>
      <c r="X1182" s="28">
        <f>Parameters!V592</f>
        <v>0</v>
      </c>
      <c r="Y1182" s="25">
        <f>Parameters!W592</f>
        <v>0</v>
      </c>
      <c r="Z1182" s="23">
        <f>Parameters!X592</f>
        <v>0</v>
      </c>
      <c r="AA1182" s="27">
        <f>Parameters!Y592</f>
        <v>0</v>
      </c>
      <c r="AB1182" s="28">
        <f>Parameters!Z592</f>
        <v>0</v>
      </c>
      <c r="AC1182" s="23">
        <f>Parameters!AA592</f>
        <v>0</v>
      </c>
    </row>
    <row r="1183" spans="1:29">
      <c r="A1183" s="29" t="str">
        <f>UPPER(A1182)</f>
        <v>0</v>
      </c>
      <c r="B1183" s="29">
        <f>B1182</f>
        <v>0</v>
      </c>
      <c r="C1183" s="30">
        <f>C1182</f>
        <v>0</v>
      </c>
      <c r="D1183" s="30">
        <f>D1182</f>
        <v>0</v>
      </c>
      <c r="E1183" s="29">
        <f>E1182</f>
        <v>0</v>
      </c>
      <c r="F1183" s="29">
        <f>F1182</f>
        <v>0</v>
      </c>
      <c r="G1183" s="29" t="e">
        <f>IF(C1182=1,IF(D1182="BUY",E1182+(ROUND(F1182*G1182/B1182,0)*B1182),E1182-(ROUND(F1182*G1182/B1182,0)*B1182)),IF(D1182="BUY",E1182-(ROUND(F1182*G1182/B1182,0)*B1182),E1182+(ROUND(F1182*G1182/B1182,0)*B1182)))</f>
        <v>#DIV/0!</v>
      </c>
      <c r="H1183" s="29" t="e">
        <f>IF(C1182=1,IF(D1182="BUY",G1183-(ROUND(F1182*H1182/B1182,0)*B1182),G1183+(ROUND(F1182*H1182/B1182,0)*B1182)),IF(D1182="BUY",G1183+(ROUND(F1182*H1182/B1182,0)*B1182),G1183-(ROUND(F1182*H1182/B1182,0)*B1182)))</f>
        <v>#DIV/0!</v>
      </c>
      <c r="I1183" s="29" t="e">
        <f>IF(D1182="BUY",G1183+(ROUND(F1182*I1182/(B1182*100),0)*B1182),G1183-(ROUND(F1182*I1182/(B1182*100),0)*B1182))</f>
        <v>#DIV/0!</v>
      </c>
      <c r="J1183" s="29" t="e">
        <f>IF(C1182=1,IF(D1182="BUY",E1182+(ROUND(F1182*J1182/B1182,0)*B1182),E1182-(ROUND(F1182*J1182/B1182,0)*B1182)),IF(D1182="BUY",E1182-(ROUND(F1182*J1182/B1182,0)*B1182),E1182+(ROUND(F1182*J1182/B1182,0)*B1182)))</f>
        <v>#DIV/0!</v>
      </c>
      <c r="K1183" s="29" t="e">
        <f>IF(C1182=1,IF(D1182="BUY",E1182-(ROUND(F1182*K1182/B1182,0)*B1182),E1182+(ROUND(F1182*K1182/B1182,0)*B1182)),IF(D1182="BUY",E1182-(ROUND(F1182*K1182/B1182,0)*B1182),E1182+(ROUND(F1182*K1182/B1182,0)*B1182)))</f>
        <v>#DIV/0!</v>
      </c>
      <c r="L1183" s="29" t="e">
        <f t="shared" ref="L1183" si="1769">IF(D1183="BUY",I1183+(R1183*B1183),I1183-(R1183*B1183))</f>
        <v>#DIV/0!</v>
      </c>
      <c r="M1183" s="29" t="e">
        <f>IF(D1182="BUY",E1182+(ROUND(F1182*M1182/B1182,0)*B1182),E1182-(ROUND(F1182*M1182/B1182,0)*B1182))</f>
        <v>#DIV/0!</v>
      </c>
      <c r="N1183" s="29" t="e">
        <f>IF(D1182="BUY",E1182-(ROUND(F1182*N1182/B1182,0)*B1182),E1182+(ROUND(F1182*N1182/B1182,0)*B1182))</f>
        <v>#DIV/0!</v>
      </c>
      <c r="O1183" s="31" t="e">
        <f>IF(D1183="BUY",N1183-VLOOKUP(A1183,Symbols!A$1:D$1000,4,FALSE),N1183+VLOOKUP(A1183,Symbols!A$1:D$1000,4,FALSE))</f>
        <v>#DIV/0!</v>
      </c>
      <c r="P1183" s="29">
        <f>P1182</f>
        <v>0</v>
      </c>
      <c r="Q1183" s="29">
        <f>Q1182</f>
        <v>0</v>
      </c>
      <c r="R1183" s="29">
        <f>R1182</f>
        <v>0</v>
      </c>
      <c r="S1183" s="29">
        <f>S1182</f>
        <v>0</v>
      </c>
      <c r="T1183" s="29">
        <f>T1182</f>
        <v>0</v>
      </c>
      <c r="U1183" s="29" t="e">
        <f>DATEDIF(DATE(1970,1,1),U1182,"D")*86400</f>
        <v>#NUM!</v>
      </c>
      <c r="V1183" s="29">
        <f>HOUR(V1182)*3600+MINUTE(V1182)*60+SECOND(V1182)</f>
        <v>0</v>
      </c>
      <c r="W1183" s="29" t="e">
        <f>DATEDIF(DATE(1970,1,1),W1182,"D")*86400</f>
        <v>#NUM!</v>
      </c>
      <c r="X1183" s="29">
        <f>HOUR(X1182)*3600+MINUTE(X1182)*60+SECOND(X1182)</f>
        <v>0</v>
      </c>
      <c r="Y1183" s="31">
        <f>(Y1182*B1183)</f>
        <v>0</v>
      </c>
      <c r="Z1183" s="29">
        <f>Z1182</f>
        <v>0</v>
      </c>
      <c r="AA1183" s="29" t="e">
        <f>DATEDIF(DATE(1970,1,1),AA1182,"D")*86400</f>
        <v>#NUM!</v>
      </c>
      <c r="AB1183" s="29">
        <f>HOUR(AB1182)*3600+MINUTE(AB1182)*60+SECOND(AB1182)</f>
        <v>0</v>
      </c>
      <c r="AC1183" s="29">
        <f>AC1182</f>
        <v>0</v>
      </c>
    </row>
    <row r="1184" spans="1:29">
      <c r="A1184" s="23">
        <f>Parameters!A593</f>
        <v>0</v>
      </c>
      <c r="B1184" s="23">
        <f>Parameters!B593</f>
        <v>0</v>
      </c>
      <c r="C1184" s="24">
        <f>Parameters!C593</f>
        <v>0</v>
      </c>
      <c r="D1184" s="24">
        <f>Parameters!D593</f>
        <v>0</v>
      </c>
      <c r="E1184" s="23">
        <f>Parameters!E593</f>
        <v>0</v>
      </c>
      <c r="F1184" s="23">
        <f>Parameters!F593</f>
        <v>0</v>
      </c>
      <c r="G1184" s="25">
        <f>Parameters!G593</f>
        <v>0</v>
      </c>
      <c r="H1184" s="25">
        <f>Parameters!H593</f>
        <v>0</v>
      </c>
      <c r="I1184" s="25">
        <f>Parameters!I593</f>
        <v>0</v>
      </c>
      <c r="J1184" s="25">
        <f>Parameters!J593</f>
        <v>0</v>
      </c>
      <c r="K1184" s="25">
        <f>Parameters!K593</f>
        <v>0</v>
      </c>
      <c r="L1184" s="26" t="e">
        <f t="shared" ref="L1184" si="1770">L1185</f>
        <v>#DIV/0!</v>
      </c>
      <c r="M1184" s="25">
        <f>Parameters!L593</f>
        <v>0</v>
      </c>
      <c r="N1184" s="25">
        <f>Parameters!M593</f>
        <v>0</v>
      </c>
      <c r="O1184" s="26" t="e">
        <f t="shared" ref="O1184" si="1771">O1185</f>
        <v>#DIV/0!</v>
      </c>
      <c r="P1184" s="23">
        <f>Parameters!N593</f>
        <v>0</v>
      </c>
      <c r="Q1184" s="23">
        <f>Parameters!O593</f>
        <v>0</v>
      </c>
      <c r="R1184" s="23">
        <f>Parameters!P593</f>
        <v>0</v>
      </c>
      <c r="S1184" s="23">
        <f>Parameters!Q593</f>
        <v>0</v>
      </c>
      <c r="T1184" s="23">
        <f>Parameters!R593</f>
        <v>0</v>
      </c>
      <c r="U1184" s="27">
        <f>Parameters!S593</f>
        <v>0</v>
      </c>
      <c r="V1184" s="28">
        <f>Parameters!T593</f>
        <v>0</v>
      </c>
      <c r="W1184" s="27">
        <f>Parameters!U593</f>
        <v>0</v>
      </c>
      <c r="X1184" s="28">
        <f>Parameters!V593</f>
        <v>0</v>
      </c>
      <c r="Y1184" s="25">
        <f>Parameters!W593</f>
        <v>0</v>
      </c>
      <c r="Z1184" s="23">
        <f>Parameters!X593</f>
        <v>0</v>
      </c>
      <c r="AA1184" s="27">
        <f>Parameters!Y593</f>
        <v>0</v>
      </c>
      <c r="AB1184" s="28">
        <f>Parameters!Z593</f>
        <v>0</v>
      </c>
      <c r="AC1184" s="23">
        <f>Parameters!AA593</f>
        <v>0</v>
      </c>
    </row>
    <row r="1185" spans="1:29">
      <c r="A1185" s="29" t="str">
        <f>UPPER(A1184)</f>
        <v>0</v>
      </c>
      <c r="B1185" s="29">
        <f>B1184</f>
        <v>0</v>
      </c>
      <c r="C1185" s="30">
        <f>C1184</f>
        <v>0</v>
      </c>
      <c r="D1185" s="30">
        <f>D1184</f>
        <v>0</v>
      </c>
      <c r="E1185" s="29">
        <f>E1184</f>
        <v>0</v>
      </c>
      <c r="F1185" s="29">
        <f>F1184</f>
        <v>0</v>
      </c>
      <c r="G1185" s="29" t="e">
        <f>IF(C1184=1,IF(D1184="BUY",E1184+(ROUND(F1184*G1184/B1184,0)*B1184),E1184-(ROUND(F1184*G1184/B1184,0)*B1184)),IF(D1184="BUY",E1184-(ROUND(F1184*G1184/B1184,0)*B1184),E1184+(ROUND(F1184*G1184/B1184,0)*B1184)))</f>
        <v>#DIV/0!</v>
      </c>
      <c r="H1185" s="29" t="e">
        <f>IF(C1184=1,IF(D1184="BUY",G1185-(ROUND(F1184*H1184/B1184,0)*B1184),G1185+(ROUND(F1184*H1184/B1184,0)*B1184)),IF(D1184="BUY",G1185+(ROUND(F1184*H1184/B1184,0)*B1184),G1185-(ROUND(F1184*H1184/B1184,0)*B1184)))</f>
        <v>#DIV/0!</v>
      </c>
      <c r="I1185" s="29" t="e">
        <f>IF(D1184="BUY",G1185+(ROUND(F1184*I1184/(B1184*100),0)*B1184),G1185-(ROUND(F1184*I1184/(B1184*100),0)*B1184))</f>
        <v>#DIV/0!</v>
      </c>
      <c r="J1185" s="29" t="e">
        <f>IF(C1184=1,IF(D1184="BUY",E1184+(ROUND(F1184*J1184/B1184,0)*B1184),E1184-(ROUND(F1184*J1184/B1184,0)*B1184)),IF(D1184="BUY",E1184-(ROUND(F1184*J1184/B1184,0)*B1184),E1184+(ROUND(F1184*J1184/B1184,0)*B1184)))</f>
        <v>#DIV/0!</v>
      </c>
      <c r="K1185" s="29" t="e">
        <f>IF(C1184=1,IF(D1184="BUY",E1184-(ROUND(F1184*K1184/B1184,0)*B1184),E1184+(ROUND(F1184*K1184/B1184,0)*B1184)),IF(D1184="BUY",E1184-(ROUND(F1184*K1184/B1184,0)*B1184),E1184+(ROUND(F1184*K1184/B1184,0)*B1184)))</f>
        <v>#DIV/0!</v>
      </c>
      <c r="L1185" s="29" t="e">
        <f t="shared" ref="L1185" si="1772">IF(D1185="BUY",I1185+(R1185*B1185),I1185-(R1185*B1185))</f>
        <v>#DIV/0!</v>
      </c>
      <c r="M1185" s="29" t="e">
        <f>IF(D1184="BUY",E1184+(ROUND(F1184*M1184/B1184,0)*B1184),E1184-(ROUND(F1184*M1184/B1184,0)*B1184))</f>
        <v>#DIV/0!</v>
      </c>
      <c r="N1185" s="29" t="e">
        <f>IF(D1184="BUY",E1184-(ROUND(F1184*N1184/B1184,0)*B1184),E1184+(ROUND(F1184*N1184/B1184,0)*B1184))</f>
        <v>#DIV/0!</v>
      </c>
      <c r="O1185" s="31" t="e">
        <f>IF(D1185="BUY",N1185-VLOOKUP(A1185,Symbols!A$1:D$1000,4,FALSE),N1185+VLOOKUP(A1185,Symbols!A$1:D$1000,4,FALSE))</f>
        <v>#DIV/0!</v>
      </c>
      <c r="P1185" s="29">
        <f>P1184</f>
        <v>0</v>
      </c>
      <c r="Q1185" s="29">
        <f>Q1184</f>
        <v>0</v>
      </c>
      <c r="R1185" s="29">
        <f>R1184</f>
        <v>0</v>
      </c>
      <c r="S1185" s="29">
        <f>S1184</f>
        <v>0</v>
      </c>
      <c r="T1185" s="29">
        <f>T1184</f>
        <v>0</v>
      </c>
      <c r="U1185" s="29" t="e">
        <f>DATEDIF(DATE(1970,1,1),U1184,"D")*86400</f>
        <v>#NUM!</v>
      </c>
      <c r="V1185" s="29">
        <f>HOUR(V1184)*3600+MINUTE(V1184)*60+SECOND(V1184)</f>
        <v>0</v>
      </c>
      <c r="W1185" s="29" t="e">
        <f>DATEDIF(DATE(1970,1,1),W1184,"D")*86400</f>
        <v>#NUM!</v>
      </c>
      <c r="X1185" s="29">
        <f>HOUR(X1184)*3600+MINUTE(X1184)*60+SECOND(X1184)</f>
        <v>0</v>
      </c>
      <c r="Y1185" s="31">
        <f>(Y1184*B1185)</f>
        <v>0</v>
      </c>
      <c r="Z1185" s="29">
        <f>Z1184</f>
        <v>0</v>
      </c>
      <c r="AA1185" s="29" t="e">
        <f>DATEDIF(DATE(1970,1,1),AA1184,"D")*86400</f>
        <v>#NUM!</v>
      </c>
      <c r="AB1185" s="29">
        <f>HOUR(AB1184)*3600+MINUTE(AB1184)*60+SECOND(AB1184)</f>
        <v>0</v>
      </c>
      <c r="AC1185" s="29">
        <f>AC1184</f>
        <v>0</v>
      </c>
    </row>
    <row r="1186" spans="1:29">
      <c r="A1186" s="23">
        <f>Parameters!A594</f>
        <v>0</v>
      </c>
      <c r="B1186" s="23">
        <f>Parameters!B594</f>
        <v>0</v>
      </c>
      <c r="C1186" s="24">
        <f>Parameters!C594</f>
        <v>0</v>
      </c>
      <c r="D1186" s="24">
        <f>Parameters!D594</f>
        <v>0</v>
      </c>
      <c r="E1186" s="23">
        <f>Parameters!E594</f>
        <v>0</v>
      </c>
      <c r="F1186" s="23">
        <f>Parameters!F594</f>
        <v>0</v>
      </c>
      <c r="G1186" s="25">
        <f>Parameters!G594</f>
        <v>0</v>
      </c>
      <c r="H1186" s="25">
        <f>Parameters!H594</f>
        <v>0</v>
      </c>
      <c r="I1186" s="25">
        <f>Parameters!I594</f>
        <v>0</v>
      </c>
      <c r="J1186" s="25">
        <f>Parameters!J594</f>
        <v>0</v>
      </c>
      <c r="K1186" s="25">
        <f>Parameters!K594</f>
        <v>0</v>
      </c>
      <c r="L1186" s="26" t="e">
        <f t="shared" ref="L1186" si="1773">L1187</f>
        <v>#DIV/0!</v>
      </c>
      <c r="M1186" s="25">
        <f>Parameters!L594</f>
        <v>0</v>
      </c>
      <c r="N1186" s="25">
        <f>Parameters!M594</f>
        <v>0</v>
      </c>
      <c r="O1186" s="26" t="e">
        <f t="shared" ref="O1186" si="1774">O1187</f>
        <v>#DIV/0!</v>
      </c>
      <c r="P1186" s="23">
        <f>Parameters!N594</f>
        <v>0</v>
      </c>
      <c r="Q1186" s="23">
        <f>Parameters!O594</f>
        <v>0</v>
      </c>
      <c r="R1186" s="23">
        <f>Parameters!P594</f>
        <v>0</v>
      </c>
      <c r="S1186" s="23">
        <f>Parameters!Q594</f>
        <v>0</v>
      </c>
      <c r="T1186" s="23">
        <f>Parameters!R594</f>
        <v>0</v>
      </c>
      <c r="U1186" s="27">
        <f>Parameters!S594</f>
        <v>0</v>
      </c>
      <c r="V1186" s="28">
        <f>Parameters!T594</f>
        <v>0</v>
      </c>
      <c r="W1186" s="27">
        <f>Parameters!U594</f>
        <v>0</v>
      </c>
      <c r="X1186" s="28">
        <f>Parameters!V594</f>
        <v>0</v>
      </c>
      <c r="Y1186" s="25">
        <f>Parameters!W594</f>
        <v>0</v>
      </c>
      <c r="Z1186" s="23">
        <f>Parameters!X594</f>
        <v>0</v>
      </c>
      <c r="AA1186" s="27">
        <f>Parameters!Y594</f>
        <v>0</v>
      </c>
      <c r="AB1186" s="28">
        <f>Parameters!Z594</f>
        <v>0</v>
      </c>
      <c r="AC1186" s="23">
        <f>Parameters!AA594</f>
        <v>0</v>
      </c>
    </row>
    <row r="1187" spans="1:29">
      <c r="A1187" s="29" t="str">
        <f>UPPER(A1186)</f>
        <v>0</v>
      </c>
      <c r="B1187" s="29">
        <f>B1186</f>
        <v>0</v>
      </c>
      <c r="C1187" s="30">
        <f>C1186</f>
        <v>0</v>
      </c>
      <c r="D1187" s="30">
        <f>D1186</f>
        <v>0</v>
      </c>
      <c r="E1187" s="29">
        <f>E1186</f>
        <v>0</v>
      </c>
      <c r="F1187" s="29">
        <f>F1186</f>
        <v>0</v>
      </c>
      <c r="G1187" s="29" t="e">
        <f>IF(C1186=1,IF(D1186="BUY",E1186+(ROUND(F1186*G1186/B1186,0)*B1186),E1186-(ROUND(F1186*G1186/B1186,0)*B1186)),IF(D1186="BUY",E1186-(ROUND(F1186*G1186/B1186,0)*B1186),E1186+(ROUND(F1186*G1186/B1186,0)*B1186)))</f>
        <v>#DIV/0!</v>
      </c>
      <c r="H1187" s="29" t="e">
        <f>IF(C1186=1,IF(D1186="BUY",G1187-(ROUND(F1186*H1186/B1186,0)*B1186),G1187+(ROUND(F1186*H1186/B1186,0)*B1186)),IF(D1186="BUY",G1187+(ROUND(F1186*H1186/B1186,0)*B1186),G1187-(ROUND(F1186*H1186/B1186,0)*B1186)))</f>
        <v>#DIV/0!</v>
      </c>
      <c r="I1187" s="29" t="e">
        <f>IF(D1186="BUY",G1187+(ROUND(F1186*I1186/(B1186*100),0)*B1186),G1187-(ROUND(F1186*I1186/(B1186*100),0)*B1186))</f>
        <v>#DIV/0!</v>
      </c>
      <c r="J1187" s="29" t="e">
        <f>IF(C1186=1,IF(D1186="BUY",E1186+(ROUND(F1186*J1186/B1186,0)*B1186),E1186-(ROUND(F1186*J1186/B1186,0)*B1186)),IF(D1186="BUY",E1186-(ROUND(F1186*J1186/B1186,0)*B1186),E1186+(ROUND(F1186*J1186/B1186,0)*B1186)))</f>
        <v>#DIV/0!</v>
      </c>
      <c r="K1187" s="29" t="e">
        <f>IF(C1186=1,IF(D1186="BUY",E1186-(ROUND(F1186*K1186/B1186,0)*B1186),E1186+(ROUND(F1186*K1186/B1186,0)*B1186)),IF(D1186="BUY",E1186-(ROUND(F1186*K1186/B1186,0)*B1186),E1186+(ROUND(F1186*K1186/B1186,0)*B1186)))</f>
        <v>#DIV/0!</v>
      </c>
      <c r="L1187" s="29" t="e">
        <f t="shared" ref="L1187" si="1775">IF(D1187="BUY",I1187+(R1187*B1187),I1187-(R1187*B1187))</f>
        <v>#DIV/0!</v>
      </c>
      <c r="M1187" s="29" t="e">
        <f>IF(D1186="BUY",E1186+(ROUND(F1186*M1186/B1186,0)*B1186),E1186-(ROUND(F1186*M1186/B1186,0)*B1186))</f>
        <v>#DIV/0!</v>
      </c>
      <c r="N1187" s="29" t="e">
        <f>IF(D1186="BUY",E1186-(ROUND(F1186*N1186/B1186,0)*B1186),E1186+(ROUND(F1186*N1186/B1186,0)*B1186))</f>
        <v>#DIV/0!</v>
      </c>
      <c r="O1187" s="31" t="e">
        <f>IF(D1187="BUY",N1187-VLOOKUP(A1187,Symbols!A$1:D$1000,4,FALSE),N1187+VLOOKUP(A1187,Symbols!A$1:D$1000,4,FALSE))</f>
        <v>#DIV/0!</v>
      </c>
      <c r="P1187" s="29">
        <f>P1186</f>
        <v>0</v>
      </c>
      <c r="Q1187" s="29">
        <f>Q1186</f>
        <v>0</v>
      </c>
      <c r="R1187" s="29">
        <f>R1186</f>
        <v>0</v>
      </c>
      <c r="S1187" s="29">
        <f>S1186</f>
        <v>0</v>
      </c>
      <c r="T1187" s="29">
        <f>T1186</f>
        <v>0</v>
      </c>
      <c r="U1187" s="29" t="e">
        <f>DATEDIF(DATE(1970,1,1),U1186,"D")*86400</f>
        <v>#NUM!</v>
      </c>
      <c r="V1187" s="29">
        <f>HOUR(V1186)*3600+MINUTE(V1186)*60+SECOND(V1186)</f>
        <v>0</v>
      </c>
      <c r="W1187" s="29" t="e">
        <f>DATEDIF(DATE(1970,1,1),W1186,"D")*86400</f>
        <v>#NUM!</v>
      </c>
      <c r="X1187" s="29">
        <f>HOUR(X1186)*3600+MINUTE(X1186)*60+SECOND(X1186)</f>
        <v>0</v>
      </c>
      <c r="Y1187" s="31">
        <f>(Y1186*B1187)</f>
        <v>0</v>
      </c>
      <c r="Z1187" s="29">
        <f>Z1186</f>
        <v>0</v>
      </c>
      <c r="AA1187" s="29" t="e">
        <f>DATEDIF(DATE(1970,1,1),AA1186,"D")*86400</f>
        <v>#NUM!</v>
      </c>
      <c r="AB1187" s="29">
        <f>HOUR(AB1186)*3600+MINUTE(AB1186)*60+SECOND(AB1186)</f>
        <v>0</v>
      </c>
      <c r="AC1187" s="29">
        <f>AC1186</f>
        <v>0</v>
      </c>
    </row>
    <row r="1188" spans="1:29">
      <c r="A1188" s="23">
        <f>Parameters!A595</f>
        <v>0</v>
      </c>
      <c r="B1188" s="23">
        <f>Parameters!B595</f>
        <v>0</v>
      </c>
      <c r="C1188" s="24">
        <f>Parameters!C595</f>
        <v>0</v>
      </c>
      <c r="D1188" s="24">
        <f>Parameters!D595</f>
        <v>0</v>
      </c>
      <c r="E1188" s="23">
        <f>Parameters!E595</f>
        <v>0</v>
      </c>
      <c r="F1188" s="23">
        <f>Parameters!F595</f>
        <v>0</v>
      </c>
      <c r="G1188" s="25">
        <f>Parameters!G595</f>
        <v>0</v>
      </c>
      <c r="H1188" s="25">
        <f>Parameters!H595</f>
        <v>0</v>
      </c>
      <c r="I1188" s="25">
        <f>Parameters!I595</f>
        <v>0</v>
      </c>
      <c r="J1188" s="25">
        <f>Parameters!J595</f>
        <v>0</v>
      </c>
      <c r="K1188" s="25">
        <f>Parameters!K595</f>
        <v>0</v>
      </c>
      <c r="L1188" s="26" t="e">
        <f t="shared" ref="L1188" si="1776">L1189</f>
        <v>#DIV/0!</v>
      </c>
      <c r="M1188" s="25">
        <f>Parameters!L595</f>
        <v>0</v>
      </c>
      <c r="N1188" s="25">
        <f>Parameters!M595</f>
        <v>0</v>
      </c>
      <c r="O1188" s="26" t="e">
        <f t="shared" ref="O1188" si="1777">O1189</f>
        <v>#DIV/0!</v>
      </c>
      <c r="P1188" s="23">
        <f>Parameters!N595</f>
        <v>0</v>
      </c>
      <c r="Q1188" s="23">
        <f>Parameters!O595</f>
        <v>0</v>
      </c>
      <c r="R1188" s="23">
        <f>Parameters!P595</f>
        <v>0</v>
      </c>
      <c r="S1188" s="23">
        <f>Parameters!Q595</f>
        <v>0</v>
      </c>
      <c r="T1188" s="23">
        <f>Parameters!R595</f>
        <v>0</v>
      </c>
      <c r="U1188" s="27">
        <f>Parameters!S595</f>
        <v>0</v>
      </c>
      <c r="V1188" s="28">
        <f>Parameters!T595</f>
        <v>0</v>
      </c>
      <c r="W1188" s="27">
        <f>Parameters!U595</f>
        <v>0</v>
      </c>
      <c r="X1188" s="28">
        <f>Parameters!V595</f>
        <v>0</v>
      </c>
      <c r="Y1188" s="25">
        <f>Parameters!W595</f>
        <v>0</v>
      </c>
      <c r="Z1188" s="23">
        <f>Parameters!X595</f>
        <v>0</v>
      </c>
      <c r="AA1188" s="27">
        <f>Parameters!Y595</f>
        <v>0</v>
      </c>
      <c r="AB1188" s="28">
        <f>Parameters!Z595</f>
        <v>0</v>
      </c>
      <c r="AC1188" s="23">
        <f>Parameters!AA595</f>
        <v>0</v>
      </c>
    </row>
    <row r="1189" spans="1:29">
      <c r="A1189" s="29" t="str">
        <f>UPPER(A1188)</f>
        <v>0</v>
      </c>
      <c r="B1189" s="29">
        <f>B1188</f>
        <v>0</v>
      </c>
      <c r="C1189" s="30">
        <f>C1188</f>
        <v>0</v>
      </c>
      <c r="D1189" s="30">
        <f>D1188</f>
        <v>0</v>
      </c>
      <c r="E1189" s="29">
        <f>E1188</f>
        <v>0</v>
      </c>
      <c r="F1189" s="29">
        <f>F1188</f>
        <v>0</v>
      </c>
      <c r="G1189" s="29" t="e">
        <f>IF(C1188=1,IF(D1188="BUY",E1188+(ROUND(F1188*G1188/B1188,0)*B1188),E1188-(ROUND(F1188*G1188/B1188,0)*B1188)),IF(D1188="BUY",E1188-(ROUND(F1188*G1188/B1188,0)*B1188),E1188+(ROUND(F1188*G1188/B1188,0)*B1188)))</f>
        <v>#DIV/0!</v>
      </c>
      <c r="H1189" s="29" t="e">
        <f>IF(C1188=1,IF(D1188="BUY",G1189-(ROUND(F1188*H1188/B1188,0)*B1188),G1189+(ROUND(F1188*H1188/B1188,0)*B1188)),IF(D1188="BUY",G1189+(ROUND(F1188*H1188/B1188,0)*B1188),G1189-(ROUND(F1188*H1188/B1188,0)*B1188)))</f>
        <v>#DIV/0!</v>
      </c>
      <c r="I1189" s="29" t="e">
        <f>IF(D1188="BUY",G1189+(ROUND(F1188*I1188/(B1188*100),0)*B1188),G1189-(ROUND(F1188*I1188/(B1188*100),0)*B1188))</f>
        <v>#DIV/0!</v>
      </c>
      <c r="J1189" s="29" t="e">
        <f>IF(C1188=1,IF(D1188="BUY",E1188+(ROUND(F1188*J1188/B1188,0)*B1188),E1188-(ROUND(F1188*J1188/B1188,0)*B1188)),IF(D1188="BUY",E1188-(ROUND(F1188*J1188/B1188,0)*B1188),E1188+(ROUND(F1188*J1188/B1188,0)*B1188)))</f>
        <v>#DIV/0!</v>
      </c>
      <c r="K1189" s="29" t="e">
        <f>IF(C1188=1,IF(D1188="BUY",E1188-(ROUND(F1188*K1188/B1188,0)*B1188),E1188+(ROUND(F1188*K1188/B1188,0)*B1188)),IF(D1188="BUY",E1188-(ROUND(F1188*K1188/B1188,0)*B1188),E1188+(ROUND(F1188*K1188/B1188,0)*B1188)))</f>
        <v>#DIV/0!</v>
      </c>
      <c r="L1189" s="29" t="e">
        <f t="shared" ref="L1189" si="1778">IF(D1189="BUY",I1189+(R1189*B1189),I1189-(R1189*B1189))</f>
        <v>#DIV/0!</v>
      </c>
      <c r="M1189" s="29" t="e">
        <f>IF(D1188="BUY",E1188+(ROUND(F1188*M1188/B1188,0)*B1188),E1188-(ROUND(F1188*M1188/B1188,0)*B1188))</f>
        <v>#DIV/0!</v>
      </c>
      <c r="N1189" s="29" t="e">
        <f>IF(D1188="BUY",E1188-(ROUND(F1188*N1188/B1188,0)*B1188),E1188+(ROUND(F1188*N1188/B1188,0)*B1188))</f>
        <v>#DIV/0!</v>
      </c>
      <c r="O1189" s="31" t="e">
        <f>IF(D1189="BUY",N1189-VLOOKUP(A1189,Symbols!A$1:D$1000,4,FALSE),N1189+VLOOKUP(A1189,Symbols!A$1:D$1000,4,FALSE))</f>
        <v>#DIV/0!</v>
      </c>
      <c r="P1189" s="29">
        <f>P1188</f>
        <v>0</v>
      </c>
      <c r="Q1189" s="29">
        <f>Q1188</f>
        <v>0</v>
      </c>
      <c r="R1189" s="29">
        <f>R1188</f>
        <v>0</v>
      </c>
      <c r="S1189" s="29">
        <f>S1188</f>
        <v>0</v>
      </c>
      <c r="T1189" s="29">
        <f>T1188</f>
        <v>0</v>
      </c>
      <c r="U1189" s="29" t="e">
        <f>DATEDIF(DATE(1970,1,1),U1188,"D")*86400</f>
        <v>#NUM!</v>
      </c>
      <c r="V1189" s="29">
        <f>HOUR(V1188)*3600+MINUTE(V1188)*60+SECOND(V1188)</f>
        <v>0</v>
      </c>
      <c r="W1189" s="29" t="e">
        <f>DATEDIF(DATE(1970,1,1),W1188,"D")*86400</f>
        <v>#NUM!</v>
      </c>
      <c r="X1189" s="29">
        <f>HOUR(X1188)*3600+MINUTE(X1188)*60+SECOND(X1188)</f>
        <v>0</v>
      </c>
      <c r="Y1189" s="31">
        <f>(Y1188*B1189)</f>
        <v>0</v>
      </c>
      <c r="Z1189" s="29">
        <f>Z1188</f>
        <v>0</v>
      </c>
      <c r="AA1189" s="29" t="e">
        <f>DATEDIF(DATE(1970,1,1),AA1188,"D")*86400</f>
        <v>#NUM!</v>
      </c>
      <c r="AB1189" s="29">
        <f>HOUR(AB1188)*3600+MINUTE(AB1188)*60+SECOND(AB1188)</f>
        <v>0</v>
      </c>
      <c r="AC1189" s="29">
        <f>AC1188</f>
        <v>0</v>
      </c>
    </row>
    <row r="1190" spans="1:29">
      <c r="A1190" s="23">
        <f>Parameters!A596</f>
        <v>0</v>
      </c>
      <c r="B1190" s="23">
        <f>Parameters!B596</f>
        <v>0</v>
      </c>
      <c r="C1190" s="24">
        <f>Parameters!C596</f>
        <v>0</v>
      </c>
      <c r="D1190" s="24">
        <f>Parameters!D596</f>
        <v>0</v>
      </c>
      <c r="E1190" s="23">
        <f>Parameters!E596</f>
        <v>0</v>
      </c>
      <c r="F1190" s="23">
        <f>Parameters!F596</f>
        <v>0</v>
      </c>
      <c r="G1190" s="25">
        <f>Parameters!G596</f>
        <v>0</v>
      </c>
      <c r="H1190" s="25">
        <f>Parameters!H596</f>
        <v>0</v>
      </c>
      <c r="I1190" s="25">
        <f>Parameters!I596</f>
        <v>0</v>
      </c>
      <c r="J1190" s="25">
        <f>Parameters!J596</f>
        <v>0</v>
      </c>
      <c r="K1190" s="25">
        <f>Parameters!K596</f>
        <v>0</v>
      </c>
      <c r="L1190" s="26" t="e">
        <f t="shared" ref="L1190" si="1779">L1191</f>
        <v>#DIV/0!</v>
      </c>
      <c r="M1190" s="25">
        <f>Parameters!L596</f>
        <v>0</v>
      </c>
      <c r="N1190" s="25">
        <f>Parameters!M596</f>
        <v>0</v>
      </c>
      <c r="O1190" s="26" t="e">
        <f t="shared" ref="O1190" si="1780">O1191</f>
        <v>#DIV/0!</v>
      </c>
      <c r="P1190" s="23">
        <f>Parameters!N596</f>
        <v>0</v>
      </c>
      <c r="Q1190" s="23">
        <f>Parameters!O596</f>
        <v>0</v>
      </c>
      <c r="R1190" s="23">
        <f>Parameters!P596</f>
        <v>0</v>
      </c>
      <c r="S1190" s="23">
        <f>Parameters!Q596</f>
        <v>0</v>
      </c>
      <c r="T1190" s="23">
        <f>Parameters!R596</f>
        <v>0</v>
      </c>
      <c r="U1190" s="27">
        <f>Parameters!S596</f>
        <v>0</v>
      </c>
      <c r="V1190" s="28">
        <f>Parameters!T596</f>
        <v>0</v>
      </c>
      <c r="W1190" s="27">
        <f>Parameters!U596</f>
        <v>0</v>
      </c>
      <c r="X1190" s="28">
        <f>Parameters!V596</f>
        <v>0</v>
      </c>
      <c r="Y1190" s="25">
        <f>Parameters!W596</f>
        <v>0</v>
      </c>
      <c r="Z1190" s="23">
        <f>Parameters!X596</f>
        <v>0</v>
      </c>
      <c r="AA1190" s="27">
        <f>Parameters!Y596</f>
        <v>0</v>
      </c>
      <c r="AB1190" s="28">
        <f>Parameters!Z596</f>
        <v>0</v>
      </c>
      <c r="AC1190" s="23">
        <f>Parameters!AA596</f>
        <v>0</v>
      </c>
    </row>
    <row r="1191" spans="1:29">
      <c r="A1191" s="29" t="str">
        <f>UPPER(A1190)</f>
        <v>0</v>
      </c>
      <c r="B1191" s="29">
        <f>B1190</f>
        <v>0</v>
      </c>
      <c r="C1191" s="30">
        <f>C1190</f>
        <v>0</v>
      </c>
      <c r="D1191" s="30">
        <f>D1190</f>
        <v>0</v>
      </c>
      <c r="E1191" s="29">
        <f>E1190</f>
        <v>0</v>
      </c>
      <c r="F1191" s="29">
        <f>F1190</f>
        <v>0</v>
      </c>
      <c r="G1191" s="29" t="e">
        <f>IF(C1190=1,IF(D1190="BUY",E1190+(ROUND(F1190*G1190/B1190,0)*B1190),E1190-(ROUND(F1190*G1190/B1190,0)*B1190)),IF(D1190="BUY",E1190-(ROUND(F1190*G1190/B1190,0)*B1190),E1190+(ROUND(F1190*G1190/B1190,0)*B1190)))</f>
        <v>#DIV/0!</v>
      </c>
      <c r="H1191" s="29" t="e">
        <f>IF(C1190=1,IF(D1190="BUY",G1191-(ROUND(F1190*H1190/B1190,0)*B1190),G1191+(ROUND(F1190*H1190/B1190,0)*B1190)),IF(D1190="BUY",G1191+(ROUND(F1190*H1190/B1190,0)*B1190),G1191-(ROUND(F1190*H1190/B1190,0)*B1190)))</f>
        <v>#DIV/0!</v>
      </c>
      <c r="I1191" s="29" t="e">
        <f>IF(D1190="BUY",G1191+(ROUND(F1190*I1190/(B1190*100),0)*B1190),G1191-(ROUND(F1190*I1190/(B1190*100),0)*B1190))</f>
        <v>#DIV/0!</v>
      </c>
      <c r="J1191" s="29" t="e">
        <f>IF(C1190=1,IF(D1190="BUY",E1190+(ROUND(F1190*J1190/B1190,0)*B1190),E1190-(ROUND(F1190*J1190/B1190,0)*B1190)),IF(D1190="BUY",E1190-(ROUND(F1190*J1190/B1190,0)*B1190),E1190+(ROUND(F1190*J1190/B1190,0)*B1190)))</f>
        <v>#DIV/0!</v>
      </c>
      <c r="K1191" s="29" t="e">
        <f>IF(C1190=1,IF(D1190="BUY",E1190-(ROUND(F1190*K1190/B1190,0)*B1190),E1190+(ROUND(F1190*K1190/B1190,0)*B1190)),IF(D1190="BUY",E1190-(ROUND(F1190*K1190/B1190,0)*B1190),E1190+(ROUND(F1190*K1190/B1190,0)*B1190)))</f>
        <v>#DIV/0!</v>
      </c>
      <c r="L1191" s="29" t="e">
        <f t="shared" ref="L1191" si="1781">IF(D1191="BUY",I1191+(R1191*B1191),I1191-(R1191*B1191))</f>
        <v>#DIV/0!</v>
      </c>
      <c r="M1191" s="29" t="e">
        <f>IF(D1190="BUY",E1190+(ROUND(F1190*M1190/B1190,0)*B1190),E1190-(ROUND(F1190*M1190/B1190,0)*B1190))</f>
        <v>#DIV/0!</v>
      </c>
      <c r="N1191" s="29" t="e">
        <f>IF(D1190="BUY",E1190-(ROUND(F1190*N1190/B1190,0)*B1190),E1190+(ROUND(F1190*N1190/B1190,0)*B1190))</f>
        <v>#DIV/0!</v>
      </c>
      <c r="O1191" s="31" t="e">
        <f>IF(D1191="BUY",N1191-VLOOKUP(A1191,Symbols!A$1:D$1000,4,FALSE),N1191+VLOOKUP(A1191,Symbols!A$1:D$1000,4,FALSE))</f>
        <v>#DIV/0!</v>
      </c>
      <c r="P1191" s="29">
        <f>P1190</f>
        <v>0</v>
      </c>
      <c r="Q1191" s="29">
        <f>Q1190</f>
        <v>0</v>
      </c>
      <c r="R1191" s="29">
        <f>R1190</f>
        <v>0</v>
      </c>
      <c r="S1191" s="29">
        <f>S1190</f>
        <v>0</v>
      </c>
      <c r="T1191" s="29">
        <f>T1190</f>
        <v>0</v>
      </c>
      <c r="U1191" s="29" t="e">
        <f>DATEDIF(DATE(1970,1,1),U1190,"D")*86400</f>
        <v>#NUM!</v>
      </c>
      <c r="V1191" s="29">
        <f>HOUR(V1190)*3600+MINUTE(V1190)*60+SECOND(V1190)</f>
        <v>0</v>
      </c>
      <c r="W1191" s="29" t="e">
        <f>DATEDIF(DATE(1970,1,1),W1190,"D")*86400</f>
        <v>#NUM!</v>
      </c>
      <c r="X1191" s="29">
        <f>HOUR(X1190)*3600+MINUTE(X1190)*60+SECOND(X1190)</f>
        <v>0</v>
      </c>
      <c r="Y1191" s="31">
        <f>(Y1190*B1191)</f>
        <v>0</v>
      </c>
      <c r="Z1191" s="29">
        <f>Z1190</f>
        <v>0</v>
      </c>
      <c r="AA1191" s="29" t="e">
        <f>DATEDIF(DATE(1970,1,1),AA1190,"D")*86400</f>
        <v>#NUM!</v>
      </c>
      <c r="AB1191" s="29">
        <f>HOUR(AB1190)*3600+MINUTE(AB1190)*60+SECOND(AB1190)</f>
        <v>0</v>
      </c>
      <c r="AC1191" s="29">
        <f>AC1190</f>
        <v>0</v>
      </c>
    </row>
    <row r="1192" spans="1:29">
      <c r="A1192" s="23">
        <f>Parameters!A597</f>
        <v>0</v>
      </c>
      <c r="B1192" s="23">
        <f>Parameters!B597</f>
        <v>0</v>
      </c>
      <c r="C1192" s="24">
        <f>Parameters!C597</f>
        <v>0</v>
      </c>
      <c r="D1192" s="24">
        <f>Parameters!D597</f>
        <v>0</v>
      </c>
      <c r="E1192" s="23">
        <f>Parameters!E597</f>
        <v>0</v>
      </c>
      <c r="F1192" s="23">
        <f>Parameters!F597</f>
        <v>0</v>
      </c>
      <c r="G1192" s="25">
        <f>Parameters!G597</f>
        <v>0</v>
      </c>
      <c r="H1192" s="25">
        <f>Parameters!H597</f>
        <v>0</v>
      </c>
      <c r="I1192" s="25">
        <f>Parameters!I597</f>
        <v>0</v>
      </c>
      <c r="J1192" s="25">
        <f>Parameters!J597</f>
        <v>0</v>
      </c>
      <c r="K1192" s="25">
        <f>Parameters!K597</f>
        <v>0</v>
      </c>
      <c r="L1192" s="26" t="e">
        <f t="shared" ref="L1192" si="1782">L1193</f>
        <v>#DIV/0!</v>
      </c>
      <c r="M1192" s="25">
        <f>Parameters!L597</f>
        <v>0</v>
      </c>
      <c r="N1192" s="25">
        <f>Parameters!M597</f>
        <v>0</v>
      </c>
      <c r="O1192" s="26" t="e">
        <f t="shared" ref="O1192" si="1783">O1193</f>
        <v>#DIV/0!</v>
      </c>
      <c r="P1192" s="23">
        <f>Parameters!N597</f>
        <v>0</v>
      </c>
      <c r="Q1192" s="23">
        <f>Parameters!O597</f>
        <v>0</v>
      </c>
      <c r="R1192" s="23">
        <f>Parameters!P597</f>
        <v>0</v>
      </c>
      <c r="S1192" s="23">
        <f>Parameters!Q597</f>
        <v>0</v>
      </c>
      <c r="T1192" s="23">
        <f>Parameters!R597</f>
        <v>0</v>
      </c>
      <c r="U1192" s="27">
        <f>Parameters!S597</f>
        <v>0</v>
      </c>
      <c r="V1192" s="28">
        <f>Parameters!T597</f>
        <v>0</v>
      </c>
      <c r="W1192" s="27">
        <f>Parameters!U597</f>
        <v>0</v>
      </c>
      <c r="X1192" s="28">
        <f>Parameters!V597</f>
        <v>0</v>
      </c>
      <c r="Y1192" s="25">
        <f>Parameters!W597</f>
        <v>0</v>
      </c>
      <c r="Z1192" s="23">
        <f>Parameters!X597</f>
        <v>0</v>
      </c>
      <c r="AA1192" s="27">
        <f>Parameters!Y597</f>
        <v>0</v>
      </c>
      <c r="AB1192" s="28">
        <f>Parameters!Z597</f>
        <v>0</v>
      </c>
      <c r="AC1192" s="23">
        <f>Parameters!AA597</f>
        <v>0</v>
      </c>
    </row>
    <row r="1193" spans="1:29">
      <c r="A1193" s="29" t="str">
        <f>UPPER(A1192)</f>
        <v>0</v>
      </c>
      <c r="B1193" s="29">
        <f>B1192</f>
        <v>0</v>
      </c>
      <c r="C1193" s="30">
        <f>C1192</f>
        <v>0</v>
      </c>
      <c r="D1193" s="30">
        <f>D1192</f>
        <v>0</v>
      </c>
      <c r="E1193" s="29">
        <f>E1192</f>
        <v>0</v>
      </c>
      <c r="F1193" s="29">
        <f>F1192</f>
        <v>0</v>
      </c>
      <c r="G1193" s="29" t="e">
        <f>IF(C1192=1,IF(D1192="BUY",E1192+(ROUND(F1192*G1192/B1192,0)*B1192),E1192-(ROUND(F1192*G1192/B1192,0)*B1192)),IF(D1192="BUY",E1192-(ROUND(F1192*G1192/B1192,0)*B1192),E1192+(ROUND(F1192*G1192/B1192,0)*B1192)))</f>
        <v>#DIV/0!</v>
      </c>
      <c r="H1193" s="29" t="e">
        <f>IF(C1192=1,IF(D1192="BUY",G1193-(ROUND(F1192*H1192/B1192,0)*B1192),G1193+(ROUND(F1192*H1192/B1192,0)*B1192)),IF(D1192="BUY",G1193+(ROUND(F1192*H1192/B1192,0)*B1192),G1193-(ROUND(F1192*H1192/B1192,0)*B1192)))</f>
        <v>#DIV/0!</v>
      </c>
      <c r="I1193" s="29" t="e">
        <f>IF(D1192="BUY",G1193+(ROUND(F1192*I1192/(B1192*100),0)*B1192),G1193-(ROUND(F1192*I1192/(B1192*100),0)*B1192))</f>
        <v>#DIV/0!</v>
      </c>
      <c r="J1193" s="29" t="e">
        <f>IF(C1192=1,IF(D1192="BUY",E1192+(ROUND(F1192*J1192/B1192,0)*B1192),E1192-(ROUND(F1192*J1192/B1192,0)*B1192)),IF(D1192="BUY",E1192-(ROUND(F1192*J1192/B1192,0)*B1192),E1192+(ROUND(F1192*J1192/B1192,0)*B1192)))</f>
        <v>#DIV/0!</v>
      </c>
      <c r="K1193" s="29" t="e">
        <f>IF(C1192=1,IF(D1192="BUY",E1192-(ROUND(F1192*K1192/B1192,0)*B1192),E1192+(ROUND(F1192*K1192/B1192,0)*B1192)),IF(D1192="BUY",E1192-(ROUND(F1192*K1192/B1192,0)*B1192),E1192+(ROUND(F1192*K1192/B1192,0)*B1192)))</f>
        <v>#DIV/0!</v>
      </c>
      <c r="L1193" s="29" t="e">
        <f t="shared" ref="L1193" si="1784">IF(D1193="BUY",I1193+(R1193*B1193),I1193-(R1193*B1193))</f>
        <v>#DIV/0!</v>
      </c>
      <c r="M1193" s="29" t="e">
        <f>IF(D1192="BUY",E1192+(ROUND(F1192*M1192/B1192,0)*B1192),E1192-(ROUND(F1192*M1192/B1192,0)*B1192))</f>
        <v>#DIV/0!</v>
      </c>
      <c r="N1193" s="29" t="e">
        <f>IF(D1192="BUY",E1192-(ROUND(F1192*N1192/B1192,0)*B1192),E1192+(ROUND(F1192*N1192/B1192,0)*B1192))</f>
        <v>#DIV/0!</v>
      </c>
      <c r="O1193" s="31" t="e">
        <f>IF(D1193="BUY",N1193-VLOOKUP(A1193,Symbols!A$1:D$1000,4,FALSE),N1193+VLOOKUP(A1193,Symbols!A$1:D$1000,4,FALSE))</f>
        <v>#DIV/0!</v>
      </c>
      <c r="P1193" s="29">
        <f>P1192</f>
        <v>0</v>
      </c>
      <c r="Q1193" s="29">
        <f>Q1192</f>
        <v>0</v>
      </c>
      <c r="R1193" s="29">
        <f>R1192</f>
        <v>0</v>
      </c>
      <c r="S1193" s="29">
        <f>S1192</f>
        <v>0</v>
      </c>
      <c r="T1193" s="29">
        <f>T1192</f>
        <v>0</v>
      </c>
      <c r="U1193" s="29" t="e">
        <f>DATEDIF(DATE(1970,1,1),U1192,"D")*86400</f>
        <v>#NUM!</v>
      </c>
      <c r="V1193" s="29">
        <f>HOUR(V1192)*3600+MINUTE(V1192)*60+SECOND(V1192)</f>
        <v>0</v>
      </c>
      <c r="W1193" s="29" t="e">
        <f>DATEDIF(DATE(1970,1,1),W1192,"D")*86400</f>
        <v>#NUM!</v>
      </c>
      <c r="X1193" s="29">
        <f>HOUR(X1192)*3600+MINUTE(X1192)*60+SECOND(X1192)</f>
        <v>0</v>
      </c>
      <c r="Y1193" s="31">
        <f>(Y1192*B1193)</f>
        <v>0</v>
      </c>
      <c r="Z1193" s="29">
        <f>Z1192</f>
        <v>0</v>
      </c>
      <c r="AA1193" s="29" t="e">
        <f>DATEDIF(DATE(1970,1,1),AA1192,"D")*86400</f>
        <v>#NUM!</v>
      </c>
      <c r="AB1193" s="29">
        <f>HOUR(AB1192)*3600+MINUTE(AB1192)*60+SECOND(AB1192)</f>
        <v>0</v>
      </c>
      <c r="AC1193" s="29">
        <f>AC1192</f>
        <v>0</v>
      </c>
    </row>
    <row r="1194" spans="1:29">
      <c r="A1194" s="23">
        <f>Parameters!A598</f>
        <v>0</v>
      </c>
      <c r="B1194" s="23">
        <f>Parameters!B598</f>
        <v>0</v>
      </c>
      <c r="C1194" s="24">
        <f>Parameters!C598</f>
        <v>0</v>
      </c>
      <c r="D1194" s="24">
        <f>Parameters!D598</f>
        <v>0</v>
      </c>
      <c r="E1194" s="23">
        <f>Parameters!E598</f>
        <v>0</v>
      </c>
      <c r="F1194" s="23">
        <f>Parameters!F598</f>
        <v>0</v>
      </c>
      <c r="G1194" s="25">
        <f>Parameters!G598</f>
        <v>0</v>
      </c>
      <c r="H1194" s="25">
        <f>Parameters!H598</f>
        <v>0</v>
      </c>
      <c r="I1194" s="25">
        <f>Parameters!I598</f>
        <v>0</v>
      </c>
      <c r="J1194" s="25">
        <f>Parameters!J598</f>
        <v>0</v>
      </c>
      <c r="K1194" s="25">
        <f>Parameters!K598</f>
        <v>0</v>
      </c>
      <c r="L1194" s="26" t="e">
        <f t="shared" ref="L1194" si="1785">L1195</f>
        <v>#DIV/0!</v>
      </c>
      <c r="M1194" s="25">
        <f>Parameters!L598</f>
        <v>0</v>
      </c>
      <c r="N1194" s="25">
        <f>Parameters!M598</f>
        <v>0</v>
      </c>
      <c r="O1194" s="26" t="e">
        <f t="shared" ref="O1194" si="1786">O1195</f>
        <v>#DIV/0!</v>
      </c>
      <c r="P1194" s="23">
        <f>Parameters!N598</f>
        <v>0</v>
      </c>
      <c r="Q1194" s="23">
        <f>Parameters!O598</f>
        <v>0</v>
      </c>
      <c r="R1194" s="23">
        <f>Parameters!P598</f>
        <v>0</v>
      </c>
      <c r="S1194" s="23">
        <f>Parameters!Q598</f>
        <v>0</v>
      </c>
      <c r="T1194" s="23">
        <f>Parameters!R598</f>
        <v>0</v>
      </c>
      <c r="U1194" s="27">
        <f>Parameters!S598</f>
        <v>0</v>
      </c>
      <c r="V1194" s="28">
        <f>Parameters!T598</f>
        <v>0</v>
      </c>
      <c r="W1194" s="27">
        <f>Parameters!U598</f>
        <v>0</v>
      </c>
      <c r="X1194" s="28">
        <f>Parameters!V598</f>
        <v>0</v>
      </c>
      <c r="Y1194" s="25">
        <f>Parameters!W598</f>
        <v>0</v>
      </c>
      <c r="Z1194" s="23">
        <f>Parameters!X598</f>
        <v>0</v>
      </c>
      <c r="AA1194" s="27">
        <f>Parameters!Y598</f>
        <v>0</v>
      </c>
      <c r="AB1194" s="28">
        <f>Parameters!Z598</f>
        <v>0</v>
      </c>
      <c r="AC1194" s="23">
        <f>Parameters!AA598</f>
        <v>0</v>
      </c>
    </row>
    <row r="1195" spans="1:29">
      <c r="A1195" s="29" t="str">
        <f>UPPER(A1194)</f>
        <v>0</v>
      </c>
      <c r="B1195" s="29">
        <f>B1194</f>
        <v>0</v>
      </c>
      <c r="C1195" s="30">
        <f>C1194</f>
        <v>0</v>
      </c>
      <c r="D1195" s="30">
        <f>D1194</f>
        <v>0</v>
      </c>
      <c r="E1195" s="29">
        <f>E1194</f>
        <v>0</v>
      </c>
      <c r="F1195" s="29">
        <f>F1194</f>
        <v>0</v>
      </c>
      <c r="G1195" s="29" t="e">
        <f>IF(C1194=1,IF(D1194="BUY",E1194+(ROUND(F1194*G1194/B1194,0)*B1194),E1194-(ROUND(F1194*G1194/B1194,0)*B1194)),IF(D1194="BUY",E1194-(ROUND(F1194*G1194/B1194,0)*B1194),E1194+(ROUND(F1194*G1194/B1194,0)*B1194)))</f>
        <v>#DIV/0!</v>
      </c>
      <c r="H1195" s="29" t="e">
        <f>IF(C1194=1,IF(D1194="BUY",G1195-(ROUND(F1194*H1194/B1194,0)*B1194),G1195+(ROUND(F1194*H1194/B1194,0)*B1194)),IF(D1194="BUY",G1195+(ROUND(F1194*H1194/B1194,0)*B1194),G1195-(ROUND(F1194*H1194/B1194,0)*B1194)))</f>
        <v>#DIV/0!</v>
      </c>
      <c r="I1195" s="29" t="e">
        <f>IF(D1194="BUY",G1195+(ROUND(F1194*I1194/(B1194*100),0)*B1194),G1195-(ROUND(F1194*I1194/(B1194*100),0)*B1194))</f>
        <v>#DIV/0!</v>
      </c>
      <c r="J1195" s="29" t="e">
        <f>IF(C1194=1,IF(D1194="BUY",E1194+(ROUND(F1194*J1194/B1194,0)*B1194),E1194-(ROUND(F1194*J1194/B1194,0)*B1194)),IF(D1194="BUY",E1194-(ROUND(F1194*J1194/B1194,0)*B1194),E1194+(ROUND(F1194*J1194/B1194,0)*B1194)))</f>
        <v>#DIV/0!</v>
      </c>
      <c r="K1195" s="29" t="e">
        <f>IF(C1194=1,IF(D1194="BUY",E1194-(ROUND(F1194*K1194/B1194,0)*B1194),E1194+(ROUND(F1194*K1194/B1194,0)*B1194)),IF(D1194="BUY",E1194-(ROUND(F1194*K1194/B1194,0)*B1194),E1194+(ROUND(F1194*K1194/B1194,0)*B1194)))</f>
        <v>#DIV/0!</v>
      </c>
      <c r="L1195" s="29" t="e">
        <f t="shared" ref="L1195" si="1787">IF(D1195="BUY",I1195+(R1195*B1195),I1195-(R1195*B1195))</f>
        <v>#DIV/0!</v>
      </c>
      <c r="M1195" s="29" t="e">
        <f>IF(D1194="BUY",E1194+(ROUND(F1194*M1194/B1194,0)*B1194),E1194-(ROUND(F1194*M1194/B1194,0)*B1194))</f>
        <v>#DIV/0!</v>
      </c>
      <c r="N1195" s="29" t="e">
        <f>IF(D1194="BUY",E1194-(ROUND(F1194*N1194/B1194,0)*B1194),E1194+(ROUND(F1194*N1194/B1194,0)*B1194))</f>
        <v>#DIV/0!</v>
      </c>
      <c r="O1195" s="31" t="e">
        <f>IF(D1195="BUY",N1195-VLOOKUP(A1195,Symbols!A$1:D$1000,4,FALSE),N1195+VLOOKUP(A1195,Symbols!A$1:D$1000,4,FALSE))</f>
        <v>#DIV/0!</v>
      </c>
      <c r="P1195" s="29">
        <f>P1194</f>
        <v>0</v>
      </c>
      <c r="Q1195" s="29">
        <f>Q1194</f>
        <v>0</v>
      </c>
      <c r="R1195" s="29">
        <f>R1194</f>
        <v>0</v>
      </c>
      <c r="S1195" s="29">
        <f>S1194</f>
        <v>0</v>
      </c>
      <c r="T1195" s="29">
        <f>T1194</f>
        <v>0</v>
      </c>
      <c r="U1195" s="29" t="e">
        <f>DATEDIF(DATE(1970,1,1),U1194,"D")*86400</f>
        <v>#NUM!</v>
      </c>
      <c r="V1195" s="29">
        <f>HOUR(V1194)*3600+MINUTE(V1194)*60+SECOND(V1194)</f>
        <v>0</v>
      </c>
      <c r="W1195" s="29" t="e">
        <f>DATEDIF(DATE(1970,1,1),W1194,"D")*86400</f>
        <v>#NUM!</v>
      </c>
      <c r="X1195" s="29">
        <f>HOUR(X1194)*3600+MINUTE(X1194)*60+SECOND(X1194)</f>
        <v>0</v>
      </c>
      <c r="Y1195" s="31">
        <f>(Y1194*B1195)</f>
        <v>0</v>
      </c>
      <c r="Z1195" s="29">
        <f>Z1194</f>
        <v>0</v>
      </c>
      <c r="AA1195" s="29" t="e">
        <f>DATEDIF(DATE(1970,1,1),AA1194,"D")*86400</f>
        <v>#NUM!</v>
      </c>
      <c r="AB1195" s="29">
        <f>HOUR(AB1194)*3600+MINUTE(AB1194)*60+SECOND(AB1194)</f>
        <v>0</v>
      </c>
      <c r="AC1195" s="29">
        <f>AC1194</f>
        <v>0</v>
      </c>
    </row>
    <row r="1196" spans="1:29">
      <c r="A1196" s="23">
        <f>Parameters!A599</f>
        <v>0</v>
      </c>
      <c r="B1196" s="23">
        <f>Parameters!B599</f>
        <v>0</v>
      </c>
      <c r="C1196" s="24">
        <f>Parameters!C599</f>
        <v>0</v>
      </c>
      <c r="D1196" s="24">
        <f>Parameters!D599</f>
        <v>0</v>
      </c>
      <c r="E1196" s="23">
        <f>Parameters!E599</f>
        <v>0</v>
      </c>
      <c r="F1196" s="23">
        <f>Parameters!F599</f>
        <v>0</v>
      </c>
      <c r="G1196" s="25">
        <f>Parameters!G599</f>
        <v>0</v>
      </c>
      <c r="H1196" s="25">
        <f>Parameters!H599</f>
        <v>0</v>
      </c>
      <c r="I1196" s="25">
        <f>Parameters!I599</f>
        <v>0</v>
      </c>
      <c r="J1196" s="25">
        <f>Parameters!J599</f>
        <v>0</v>
      </c>
      <c r="K1196" s="25">
        <f>Parameters!K599</f>
        <v>0</v>
      </c>
      <c r="L1196" s="26" t="e">
        <f t="shared" ref="L1196" si="1788">L1197</f>
        <v>#DIV/0!</v>
      </c>
      <c r="M1196" s="25">
        <f>Parameters!L599</f>
        <v>0</v>
      </c>
      <c r="N1196" s="25">
        <f>Parameters!M599</f>
        <v>0</v>
      </c>
      <c r="O1196" s="26" t="e">
        <f t="shared" ref="O1196" si="1789">O1197</f>
        <v>#DIV/0!</v>
      </c>
      <c r="P1196" s="23">
        <f>Parameters!N599</f>
        <v>0</v>
      </c>
      <c r="Q1196" s="23">
        <f>Parameters!O599</f>
        <v>0</v>
      </c>
      <c r="R1196" s="23">
        <f>Parameters!P599</f>
        <v>0</v>
      </c>
      <c r="S1196" s="23">
        <f>Parameters!Q599</f>
        <v>0</v>
      </c>
      <c r="T1196" s="23">
        <f>Parameters!R599</f>
        <v>0</v>
      </c>
      <c r="U1196" s="27">
        <f>Parameters!S599</f>
        <v>0</v>
      </c>
      <c r="V1196" s="28">
        <f>Parameters!T599</f>
        <v>0</v>
      </c>
      <c r="W1196" s="27">
        <f>Parameters!U599</f>
        <v>0</v>
      </c>
      <c r="X1196" s="28">
        <f>Parameters!V599</f>
        <v>0</v>
      </c>
      <c r="Y1196" s="25">
        <f>Parameters!W599</f>
        <v>0</v>
      </c>
      <c r="Z1196" s="23">
        <f>Parameters!X599</f>
        <v>0</v>
      </c>
      <c r="AA1196" s="27">
        <f>Parameters!Y599</f>
        <v>0</v>
      </c>
      <c r="AB1196" s="28">
        <f>Parameters!Z599</f>
        <v>0</v>
      </c>
      <c r="AC1196" s="23">
        <f>Parameters!AA599</f>
        <v>0</v>
      </c>
    </row>
    <row r="1197" spans="1:29">
      <c r="A1197" s="29" t="str">
        <f>UPPER(A1196)</f>
        <v>0</v>
      </c>
      <c r="B1197" s="29">
        <f>B1196</f>
        <v>0</v>
      </c>
      <c r="C1197" s="30">
        <f>C1196</f>
        <v>0</v>
      </c>
      <c r="D1197" s="30">
        <f>D1196</f>
        <v>0</v>
      </c>
      <c r="E1197" s="29">
        <f>E1196</f>
        <v>0</v>
      </c>
      <c r="F1197" s="29">
        <f>F1196</f>
        <v>0</v>
      </c>
      <c r="G1197" s="29" t="e">
        <f>IF(C1196=1,IF(D1196="BUY",E1196+(ROUND(F1196*G1196/B1196,0)*B1196),E1196-(ROUND(F1196*G1196/B1196,0)*B1196)),IF(D1196="BUY",E1196-(ROUND(F1196*G1196/B1196,0)*B1196),E1196+(ROUND(F1196*G1196/B1196,0)*B1196)))</f>
        <v>#DIV/0!</v>
      </c>
      <c r="H1197" s="29" t="e">
        <f>IF(C1196=1,IF(D1196="BUY",G1197-(ROUND(F1196*H1196/B1196,0)*B1196),G1197+(ROUND(F1196*H1196/B1196,0)*B1196)),IF(D1196="BUY",G1197+(ROUND(F1196*H1196/B1196,0)*B1196),G1197-(ROUND(F1196*H1196/B1196,0)*B1196)))</f>
        <v>#DIV/0!</v>
      </c>
      <c r="I1197" s="29" t="e">
        <f>IF(D1196="BUY",G1197+(ROUND(F1196*I1196/(B1196*100),0)*B1196),G1197-(ROUND(F1196*I1196/(B1196*100),0)*B1196))</f>
        <v>#DIV/0!</v>
      </c>
      <c r="J1197" s="29" t="e">
        <f>IF(C1196=1,IF(D1196="BUY",E1196+(ROUND(F1196*J1196/B1196,0)*B1196),E1196-(ROUND(F1196*J1196/B1196,0)*B1196)),IF(D1196="BUY",E1196-(ROUND(F1196*J1196/B1196,0)*B1196),E1196+(ROUND(F1196*J1196/B1196,0)*B1196)))</f>
        <v>#DIV/0!</v>
      </c>
      <c r="K1197" s="29" t="e">
        <f>IF(C1196=1,IF(D1196="BUY",E1196-(ROUND(F1196*K1196/B1196,0)*B1196),E1196+(ROUND(F1196*K1196/B1196,0)*B1196)),IF(D1196="BUY",E1196-(ROUND(F1196*K1196/B1196,0)*B1196),E1196+(ROUND(F1196*K1196/B1196,0)*B1196)))</f>
        <v>#DIV/0!</v>
      </c>
      <c r="L1197" s="29" t="e">
        <f t="shared" ref="L1197" si="1790">IF(D1197="BUY",I1197+(R1197*B1197),I1197-(R1197*B1197))</f>
        <v>#DIV/0!</v>
      </c>
      <c r="M1197" s="29" t="e">
        <f>IF(D1196="BUY",E1196+(ROUND(F1196*M1196/B1196,0)*B1196),E1196-(ROUND(F1196*M1196/B1196,0)*B1196))</f>
        <v>#DIV/0!</v>
      </c>
      <c r="N1197" s="29" t="e">
        <f>IF(D1196="BUY",E1196-(ROUND(F1196*N1196/B1196,0)*B1196),E1196+(ROUND(F1196*N1196/B1196,0)*B1196))</f>
        <v>#DIV/0!</v>
      </c>
      <c r="O1197" s="31" t="e">
        <f>IF(D1197="BUY",N1197-VLOOKUP(A1197,Symbols!A$1:D$1000,4,FALSE),N1197+VLOOKUP(A1197,Symbols!A$1:D$1000,4,FALSE))</f>
        <v>#DIV/0!</v>
      </c>
      <c r="P1197" s="29">
        <f>P1196</f>
        <v>0</v>
      </c>
      <c r="Q1197" s="29">
        <f>Q1196</f>
        <v>0</v>
      </c>
      <c r="R1197" s="29">
        <f>R1196</f>
        <v>0</v>
      </c>
      <c r="S1197" s="29">
        <f>S1196</f>
        <v>0</v>
      </c>
      <c r="T1197" s="29">
        <f>T1196</f>
        <v>0</v>
      </c>
      <c r="U1197" s="29" t="e">
        <f>DATEDIF(DATE(1970,1,1),U1196,"D")*86400</f>
        <v>#NUM!</v>
      </c>
      <c r="V1197" s="29">
        <f>HOUR(V1196)*3600+MINUTE(V1196)*60+SECOND(V1196)</f>
        <v>0</v>
      </c>
      <c r="W1197" s="29" t="e">
        <f>DATEDIF(DATE(1970,1,1),W1196,"D")*86400</f>
        <v>#NUM!</v>
      </c>
      <c r="X1197" s="29">
        <f>HOUR(X1196)*3600+MINUTE(X1196)*60+SECOND(X1196)</f>
        <v>0</v>
      </c>
      <c r="Y1197" s="31">
        <f>(Y1196*B1197)</f>
        <v>0</v>
      </c>
      <c r="Z1197" s="29">
        <f>Z1196</f>
        <v>0</v>
      </c>
      <c r="AA1197" s="29" t="e">
        <f>DATEDIF(DATE(1970,1,1),AA1196,"D")*86400</f>
        <v>#NUM!</v>
      </c>
      <c r="AB1197" s="29">
        <f>HOUR(AB1196)*3600+MINUTE(AB1196)*60+SECOND(AB1196)</f>
        <v>0</v>
      </c>
      <c r="AC1197" s="29">
        <f>AC1196</f>
        <v>0</v>
      </c>
    </row>
    <row r="1198" spans="1:29">
      <c r="A1198" s="23">
        <f>Parameters!A600</f>
        <v>0</v>
      </c>
      <c r="B1198" s="23">
        <f>Parameters!B600</f>
        <v>0</v>
      </c>
      <c r="C1198" s="24">
        <f>Parameters!C600</f>
        <v>0</v>
      </c>
      <c r="D1198" s="24">
        <f>Parameters!D600</f>
        <v>0</v>
      </c>
      <c r="E1198" s="23">
        <f>Parameters!E600</f>
        <v>0</v>
      </c>
      <c r="F1198" s="23">
        <f>Parameters!F600</f>
        <v>0</v>
      </c>
      <c r="G1198" s="25">
        <f>Parameters!G600</f>
        <v>0</v>
      </c>
      <c r="H1198" s="25">
        <f>Parameters!H600</f>
        <v>0</v>
      </c>
      <c r="I1198" s="25">
        <f>Parameters!I600</f>
        <v>0</v>
      </c>
      <c r="J1198" s="25">
        <f>Parameters!J600</f>
        <v>0</v>
      </c>
      <c r="K1198" s="25">
        <f>Parameters!K600</f>
        <v>0</v>
      </c>
      <c r="L1198" s="26" t="e">
        <f t="shared" ref="L1198" si="1791">L1199</f>
        <v>#DIV/0!</v>
      </c>
      <c r="M1198" s="25">
        <f>Parameters!L600</f>
        <v>0</v>
      </c>
      <c r="N1198" s="25">
        <f>Parameters!M600</f>
        <v>0</v>
      </c>
      <c r="O1198" s="26" t="e">
        <f t="shared" ref="O1198" si="1792">O1199</f>
        <v>#DIV/0!</v>
      </c>
      <c r="P1198" s="23">
        <f>Parameters!N600</f>
        <v>0</v>
      </c>
      <c r="Q1198" s="23">
        <f>Parameters!O600</f>
        <v>0</v>
      </c>
      <c r="R1198" s="23">
        <f>Parameters!P600</f>
        <v>0</v>
      </c>
      <c r="S1198" s="23">
        <f>Parameters!Q600</f>
        <v>0</v>
      </c>
      <c r="T1198" s="23">
        <f>Parameters!R600</f>
        <v>0</v>
      </c>
      <c r="U1198" s="27">
        <f>Parameters!S600</f>
        <v>0</v>
      </c>
      <c r="V1198" s="28">
        <f>Parameters!T600</f>
        <v>0</v>
      </c>
      <c r="W1198" s="27">
        <f>Parameters!U600</f>
        <v>0</v>
      </c>
      <c r="X1198" s="28">
        <f>Parameters!V600</f>
        <v>0</v>
      </c>
      <c r="Y1198" s="25">
        <f>Parameters!W600</f>
        <v>0</v>
      </c>
      <c r="Z1198" s="23">
        <f>Parameters!X600</f>
        <v>0</v>
      </c>
      <c r="AA1198" s="27">
        <f>Parameters!Y600</f>
        <v>0</v>
      </c>
      <c r="AB1198" s="28">
        <f>Parameters!Z600</f>
        <v>0</v>
      </c>
      <c r="AC1198" s="23">
        <f>Parameters!AA600</f>
        <v>0</v>
      </c>
    </row>
    <row r="1199" spans="1:29">
      <c r="A1199" s="29" t="str">
        <f>UPPER(A1198)</f>
        <v>0</v>
      </c>
      <c r="B1199" s="29">
        <f>B1198</f>
        <v>0</v>
      </c>
      <c r="C1199" s="30">
        <f>C1198</f>
        <v>0</v>
      </c>
      <c r="D1199" s="30">
        <f>D1198</f>
        <v>0</v>
      </c>
      <c r="E1199" s="29">
        <f>E1198</f>
        <v>0</v>
      </c>
      <c r="F1199" s="29">
        <f>F1198</f>
        <v>0</v>
      </c>
      <c r="G1199" s="29" t="e">
        <f>IF(C1198=1,IF(D1198="BUY",E1198+(ROUND(F1198*G1198/B1198,0)*B1198),E1198-(ROUND(F1198*G1198/B1198,0)*B1198)),IF(D1198="BUY",E1198-(ROUND(F1198*G1198/B1198,0)*B1198),E1198+(ROUND(F1198*G1198/B1198,0)*B1198)))</f>
        <v>#DIV/0!</v>
      </c>
      <c r="H1199" s="29" t="e">
        <f>IF(C1198=1,IF(D1198="BUY",G1199-(ROUND(F1198*H1198/B1198,0)*B1198),G1199+(ROUND(F1198*H1198/B1198,0)*B1198)),IF(D1198="BUY",G1199+(ROUND(F1198*H1198/B1198,0)*B1198),G1199-(ROUND(F1198*H1198/B1198,0)*B1198)))</f>
        <v>#DIV/0!</v>
      </c>
      <c r="I1199" s="29" t="e">
        <f>IF(D1198="BUY",G1199+(ROUND(F1198*I1198/(B1198*100),0)*B1198),G1199-(ROUND(F1198*I1198/(B1198*100),0)*B1198))</f>
        <v>#DIV/0!</v>
      </c>
      <c r="J1199" s="29" t="e">
        <f>IF(C1198=1,IF(D1198="BUY",E1198+(ROUND(F1198*J1198/B1198,0)*B1198),E1198-(ROUND(F1198*J1198/B1198,0)*B1198)),IF(D1198="BUY",E1198-(ROUND(F1198*J1198/B1198,0)*B1198),E1198+(ROUND(F1198*J1198/B1198,0)*B1198)))</f>
        <v>#DIV/0!</v>
      </c>
      <c r="K1199" s="29" t="e">
        <f>IF(C1198=1,IF(D1198="BUY",E1198-(ROUND(F1198*K1198/B1198,0)*B1198),E1198+(ROUND(F1198*K1198/B1198,0)*B1198)),IF(D1198="BUY",E1198-(ROUND(F1198*K1198/B1198,0)*B1198),E1198+(ROUND(F1198*K1198/B1198,0)*B1198)))</f>
        <v>#DIV/0!</v>
      </c>
      <c r="L1199" s="29" t="e">
        <f t="shared" ref="L1199" si="1793">IF(D1199="BUY",I1199+(R1199*B1199),I1199-(R1199*B1199))</f>
        <v>#DIV/0!</v>
      </c>
      <c r="M1199" s="29" t="e">
        <f>IF(D1198="BUY",E1198+(ROUND(F1198*M1198/B1198,0)*B1198),E1198-(ROUND(F1198*M1198/B1198,0)*B1198))</f>
        <v>#DIV/0!</v>
      </c>
      <c r="N1199" s="29" t="e">
        <f>IF(D1198="BUY",E1198-(ROUND(F1198*N1198/B1198,0)*B1198),E1198+(ROUND(F1198*N1198/B1198,0)*B1198))</f>
        <v>#DIV/0!</v>
      </c>
      <c r="O1199" s="31" t="e">
        <f>IF(D1199="BUY",N1199-VLOOKUP(A1199,Symbols!A$1:D$1000,4,FALSE),N1199+VLOOKUP(A1199,Symbols!A$1:D$1000,4,FALSE))</f>
        <v>#DIV/0!</v>
      </c>
      <c r="P1199" s="29">
        <f>P1198</f>
        <v>0</v>
      </c>
      <c r="Q1199" s="29">
        <f>Q1198</f>
        <v>0</v>
      </c>
      <c r="R1199" s="29">
        <f>R1198</f>
        <v>0</v>
      </c>
      <c r="S1199" s="29">
        <f>S1198</f>
        <v>0</v>
      </c>
      <c r="T1199" s="29">
        <f>T1198</f>
        <v>0</v>
      </c>
      <c r="U1199" s="29" t="e">
        <f>DATEDIF(DATE(1970,1,1),U1198,"D")*86400</f>
        <v>#NUM!</v>
      </c>
      <c r="V1199" s="29">
        <f>HOUR(V1198)*3600+MINUTE(V1198)*60+SECOND(V1198)</f>
        <v>0</v>
      </c>
      <c r="W1199" s="29" t="e">
        <f>DATEDIF(DATE(1970,1,1),W1198,"D")*86400</f>
        <v>#NUM!</v>
      </c>
      <c r="X1199" s="29">
        <f>HOUR(X1198)*3600+MINUTE(X1198)*60+SECOND(X1198)</f>
        <v>0</v>
      </c>
      <c r="Y1199" s="31">
        <f>(Y1198*B1199)</f>
        <v>0</v>
      </c>
      <c r="Z1199" s="29">
        <f>Z1198</f>
        <v>0</v>
      </c>
      <c r="AA1199" s="29" t="e">
        <f>DATEDIF(DATE(1970,1,1),AA1198,"D")*86400</f>
        <v>#NUM!</v>
      </c>
      <c r="AB1199" s="29">
        <f>HOUR(AB1198)*3600+MINUTE(AB1198)*60+SECOND(AB1198)</f>
        <v>0</v>
      </c>
      <c r="AC1199" s="29">
        <f>AC1198</f>
        <v>0</v>
      </c>
    </row>
    <row r="1200" spans="1:29">
      <c r="A1200" s="23">
        <f>Parameters!A601</f>
        <v>0</v>
      </c>
      <c r="B1200" s="23">
        <f>Parameters!B601</f>
        <v>0</v>
      </c>
      <c r="C1200" s="24">
        <f>Parameters!C601</f>
        <v>0</v>
      </c>
      <c r="D1200" s="24">
        <f>Parameters!D601</f>
        <v>0</v>
      </c>
      <c r="E1200" s="23">
        <f>Parameters!E601</f>
        <v>0</v>
      </c>
      <c r="F1200" s="23">
        <f>Parameters!F601</f>
        <v>0</v>
      </c>
      <c r="G1200" s="25">
        <f>Parameters!G601</f>
        <v>0</v>
      </c>
      <c r="H1200" s="25">
        <f>Parameters!H601</f>
        <v>0</v>
      </c>
      <c r="I1200" s="25">
        <f>Parameters!I601</f>
        <v>0</v>
      </c>
      <c r="J1200" s="25">
        <f>Parameters!J601</f>
        <v>0</v>
      </c>
      <c r="K1200" s="25">
        <f>Parameters!K601</f>
        <v>0</v>
      </c>
      <c r="L1200" s="26" t="e">
        <f t="shared" ref="L1200" si="1794">L1201</f>
        <v>#DIV/0!</v>
      </c>
      <c r="M1200" s="25">
        <f>Parameters!L601</f>
        <v>0</v>
      </c>
      <c r="N1200" s="25">
        <f>Parameters!M601</f>
        <v>0</v>
      </c>
      <c r="O1200" s="26" t="e">
        <f t="shared" ref="O1200" si="1795">O1201</f>
        <v>#DIV/0!</v>
      </c>
      <c r="P1200" s="23">
        <f>Parameters!N601</f>
        <v>0</v>
      </c>
      <c r="Q1200" s="23">
        <f>Parameters!O601</f>
        <v>0</v>
      </c>
      <c r="R1200" s="23">
        <f>Parameters!P601</f>
        <v>0</v>
      </c>
      <c r="S1200" s="23">
        <f>Parameters!Q601</f>
        <v>0</v>
      </c>
      <c r="T1200" s="23">
        <f>Parameters!R601</f>
        <v>0</v>
      </c>
      <c r="U1200" s="27">
        <f>Parameters!S601</f>
        <v>0</v>
      </c>
      <c r="V1200" s="28">
        <f>Parameters!T601</f>
        <v>0</v>
      </c>
      <c r="W1200" s="27">
        <f>Parameters!U601</f>
        <v>0</v>
      </c>
      <c r="X1200" s="28">
        <f>Parameters!V601</f>
        <v>0</v>
      </c>
      <c r="Y1200" s="25">
        <f>Parameters!W601</f>
        <v>0</v>
      </c>
      <c r="Z1200" s="23">
        <f>Parameters!X601</f>
        <v>0</v>
      </c>
      <c r="AA1200" s="27">
        <f>Parameters!Y601</f>
        <v>0</v>
      </c>
      <c r="AB1200" s="28">
        <f>Parameters!Z601</f>
        <v>0</v>
      </c>
      <c r="AC1200" s="23">
        <f>Parameters!AA601</f>
        <v>0</v>
      </c>
    </row>
    <row r="1201" spans="1:29">
      <c r="A1201" s="29" t="str">
        <f>UPPER(A1200)</f>
        <v>0</v>
      </c>
      <c r="B1201" s="29">
        <f>B1200</f>
        <v>0</v>
      </c>
      <c r="C1201" s="30">
        <f>C1200</f>
        <v>0</v>
      </c>
      <c r="D1201" s="30">
        <f>D1200</f>
        <v>0</v>
      </c>
      <c r="E1201" s="29">
        <f>E1200</f>
        <v>0</v>
      </c>
      <c r="F1201" s="29">
        <f>F1200</f>
        <v>0</v>
      </c>
      <c r="G1201" s="29" t="e">
        <f>IF(C1200=1,IF(D1200="BUY",E1200+(ROUND(F1200*G1200/B1200,0)*B1200),E1200-(ROUND(F1200*G1200/B1200,0)*B1200)),IF(D1200="BUY",E1200-(ROUND(F1200*G1200/B1200,0)*B1200),E1200+(ROUND(F1200*G1200/B1200,0)*B1200)))</f>
        <v>#DIV/0!</v>
      </c>
      <c r="H1201" s="29" t="e">
        <f>IF(C1200=1,IF(D1200="BUY",G1201-(ROUND(F1200*H1200/B1200,0)*B1200),G1201+(ROUND(F1200*H1200/B1200,0)*B1200)),IF(D1200="BUY",G1201+(ROUND(F1200*H1200/B1200,0)*B1200),G1201-(ROUND(F1200*H1200/B1200,0)*B1200)))</f>
        <v>#DIV/0!</v>
      </c>
      <c r="I1201" s="29" t="e">
        <f>IF(D1200="BUY",G1201+(ROUND(F1200*I1200/(B1200*100),0)*B1200),G1201-(ROUND(F1200*I1200/(B1200*100),0)*B1200))</f>
        <v>#DIV/0!</v>
      </c>
      <c r="J1201" s="29" t="e">
        <f>IF(C1200=1,IF(D1200="BUY",E1200+(ROUND(F1200*J1200/B1200,0)*B1200),E1200-(ROUND(F1200*J1200/B1200,0)*B1200)),IF(D1200="BUY",E1200-(ROUND(F1200*J1200/B1200,0)*B1200),E1200+(ROUND(F1200*J1200/B1200,0)*B1200)))</f>
        <v>#DIV/0!</v>
      </c>
      <c r="K1201" s="29" t="e">
        <f>IF(C1200=1,IF(D1200="BUY",E1200-(ROUND(F1200*K1200/B1200,0)*B1200),E1200+(ROUND(F1200*K1200/B1200,0)*B1200)),IF(D1200="BUY",E1200-(ROUND(F1200*K1200/B1200,0)*B1200),E1200+(ROUND(F1200*K1200/B1200,0)*B1200)))</f>
        <v>#DIV/0!</v>
      </c>
      <c r="L1201" s="29" t="e">
        <f t="shared" ref="L1201" si="1796">IF(D1201="BUY",I1201+(R1201*B1201),I1201-(R1201*B1201))</f>
        <v>#DIV/0!</v>
      </c>
      <c r="M1201" s="29" t="e">
        <f>IF(D1200="BUY",E1200+(ROUND(F1200*M1200/B1200,0)*B1200),E1200-(ROUND(F1200*M1200/B1200,0)*B1200))</f>
        <v>#DIV/0!</v>
      </c>
      <c r="N1201" s="29" t="e">
        <f>IF(D1200="BUY",E1200-(ROUND(F1200*N1200/B1200,0)*B1200),E1200+(ROUND(F1200*N1200/B1200,0)*B1200))</f>
        <v>#DIV/0!</v>
      </c>
      <c r="O1201" s="31" t="e">
        <f>IF(D1201="BUY",N1201-VLOOKUP(A1201,Symbols!A$1:D$1000,4,FALSE),N1201+VLOOKUP(A1201,Symbols!A$1:D$1000,4,FALSE))</f>
        <v>#DIV/0!</v>
      </c>
      <c r="P1201" s="29">
        <f>P1200</f>
        <v>0</v>
      </c>
      <c r="Q1201" s="29">
        <f>Q1200</f>
        <v>0</v>
      </c>
      <c r="R1201" s="29">
        <f>R1200</f>
        <v>0</v>
      </c>
      <c r="S1201" s="29">
        <f>S1200</f>
        <v>0</v>
      </c>
      <c r="T1201" s="29">
        <f>T1200</f>
        <v>0</v>
      </c>
      <c r="U1201" s="29" t="e">
        <f>DATEDIF(DATE(1970,1,1),U1200,"D")*86400</f>
        <v>#NUM!</v>
      </c>
      <c r="V1201" s="29">
        <f>HOUR(V1200)*3600+MINUTE(V1200)*60+SECOND(V1200)</f>
        <v>0</v>
      </c>
      <c r="W1201" s="29" t="e">
        <f>DATEDIF(DATE(1970,1,1),W1200,"D")*86400</f>
        <v>#NUM!</v>
      </c>
      <c r="X1201" s="29">
        <f>HOUR(X1200)*3600+MINUTE(X1200)*60+SECOND(X1200)</f>
        <v>0</v>
      </c>
      <c r="Y1201" s="31">
        <f>(Y1200*B1201)</f>
        <v>0</v>
      </c>
      <c r="Z1201" s="29">
        <f>Z1200</f>
        <v>0</v>
      </c>
      <c r="AA1201" s="29" t="e">
        <f>DATEDIF(DATE(1970,1,1),AA1200,"D")*86400</f>
        <v>#NUM!</v>
      </c>
      <c r="AB1201" s="29">
        <f>HOUR(AB1200)*3600+MINUTE(AB1200)*60+SECOND(AB1200)</f>
        <v>0</v>
      </c>
      <c r="AC1201" s="29">
        <f>AC1200</f>
        <v>0</v>
      </c>
    </row>
    <row r="1202" spans="1:29">
      <c r="A1202" s="23">
        <f>Parameters!A602</f>
        <v>0</v>
      </c>
      <c r="B1202" s="23">
        <f>Parameters!B602</f>
        <v>0</v>
      </c>
      <c r="C1202" s="24">
        <f>Parameters!C602</f>
        <v>0</v>
      </c>
      <c r="D1202" s="24">
        <f>Parameters!D602</f>
        <v>0</v>
      </c>
      <c r="E1202" s="23">
        <f>Parameters!E602</f>
        <v>0</v>
      </c>
      <c r="F1202" s="23">
        <f>Parameters!F602</f>
        <v>0</v>
      </c>
      <c r="G1202" s="25">
        <f>Parameters!G602</f>
        <v>0</v>
      </c>
      <c r="H1202" s="25">
        <f>Parameters!H602</f>
        <v>0</v>
      </c>
      <c r="I1202" s="25">
        <f>Parameters!I602</f>
        <v>0</v>
      </c>
      <c r="J1202" s="25">
        <f>Parameters!J602</f>
        <v>0</v>
      </c>
      <c r="K1202" s="25">
        <f>Parameters!K602</f>
        <v>0</v>
      </c>
      <c r="L1202" s="26" t="e">
        <f t="shared" ref="L1202" si="1797">L1203</f>
        <v>#DIV/0!</v>
      </c>
      <c r="M1202" s="25">
        <f>Parameters!L602</f>
        <v>0</v>
      </c>
      <c r="N1202" s="25">
        <f>Parameters!M602</f>
        <v>0</v>
      </c>
      <c r="O1202" s="26" t="e">
        <f t="shared" ref="O1202" si="1798">O1203</f>
        <v>#DIV/0!</v>
      </c>
      <c r="P1202" s="23">
        <f>Parameters!N602</f>
        <v>0</v>
      </c>
      <c r="Q1202" s="23">
        <f>Parameters!O602</f>
        <v>0</v>
      </c>
      <c r="R1202" s="23">
        <f>Parameters!P602</f>
        <v>0</v>
      </c>
      <c r="S1202" s="23">
        <f>Parameters!Q602</f>
        <v>0</v>
      </c>
      <c r="T1202" s="23">
        <f>Parameters!R602</f>
        <v>0</v>
      </c>
      <c r="U1202" s="27">
        <f>Parameters!S602</f>
        <v>0</v>
      </c>
      <c r="V1202" s="28">
        <f>Parameters!T602</f>
        <v>0</v>
      </c>
      <c r="W1202" s="27">
        <f>Parameters!U602</f>
        <v>0</v>
      </c>
      <c r="X1202" s="28">
        <f>Parameters!V602</f>
        <v>0</v>
      </c>
      <c r="Y1202" s="25">
        <f>Parameters!W602</f>
        <v>0</v>
      </c>
      <c r="Z1202" s="23">
        <f>Parameters!X602</f>
        <v>0</v>
      </c>
      <c r="AA1202" s="27">
        <f>Parameters!Y602</f>
        <v>0</v>
      </c>
      <c r="AB1202" s="28">
        <f>Parameters!Z602</f>
        <v>0</v>
      </c>
      <c r="AC1202" s="23">
        <f>Parameters!AA602</f>
        <v>0</v>
      </c>
    </row>
    <row r="1203" spans="1:29">
      <c r="A1203" s="29" t="str">
        <f>UPPER(A1202)</f>
        <v>0</v>
      </c>
      <c r="B1203" s="29">
        <f>B1202</f>
        <v>0</v>
      </c>
      <c r="C1203" s="30">
        <f>C1202</f>
        <v>0</v>
      </c>
      <c r="D1203" s="30">
        <f>D1202</f>
        <v>0</v>
      </c>
      <c r="E1203" s="29">
        <f>E1202</f>
        <v>0</v>
      </c>
      <c r="F1203" s="29">
        <f>F1202</f>
        <v>0</v>
      </c>
      <c r="G1203" s="29" t="e">
        <f>IF(C1202=1,IF(D1202="BUY",E1202+(ROUND(F1202*G1202/B1202,0)*B1202),E1202-(ROUND(F1202*G1202/B1202,0)*B1202)),IF(D1202="BUY",E1202-(ROUND(F1202*G1202/B1202,0)*B1202),E1202+(ROUND(F1202*G1202/B1202,0)*B1202)))</f>
        <v>#DIV/0!</v>
      </c>
      <c r="H1203" s="29" t="e">
        <f>IF(C1202=1,IF(D1202="BUY",G1203-(ROUND(F1202*H1202/B1202,0)*B1202),G1203+(ROUND(F1202*H1202/B1202,0)*B1202)),IF(D1202="BUY",G1203+(ROUND(F1202*H1202/B1202,0)*B1202),G1203-(ROUND(F1202*H1202/B1202,0)*B1202)))</f>
        <v>#DIV/0!</v>
      </c>
      <c r="I1203" s="29" t="e">
        <f>IF(D1202="BUY",G1203+(ROUND(F1202*I1202/(B1202*100),0)*B1202),G1203-(ROUND(F1202*I1202/(B1202*100),0)*B1202))</f>
        <v>#DIV/0!</v>
      </c>
      <c r="J1203" s="29" t="e">
        <f>IF(C1202=1,IF(D1202="BUY",E1202+(ROUND(F1202*J1202/B1202,0)*B1202),E1202-(ROUND(F1202*J1202/B1202,0)*B1202)),IF(D1202="BUY",E1202-(ROUND(F1202*J1202/B1202,0)*B1202),E1202+(ROUND(F1202*J1202/B1202,0)*B1202)))</f>
        <v>#DIV/0!</v>
      </c>
      <c r="K1203" s="29" t="e">
        <f>IF(C1202=1,IF(D1202="BUY",E1202-(ROUND(F1202*K1202/B1202,0)*B1202),E1202+(ROUND(F1202*K1202/B1202,0)*B1202)),IF(D1202="BUY",E1202-(ROUND(F1202*K1202/B1202,0)*B1202),E1202+(ROUND(F1202*K1202/B1202,0)*B1202)))</f>
        <v>#DIV/0!</v>
      </c>
      <c r="L1203" s="29" t="e">
        <f t="shared" ref="L1203" si="1799">IF(D1203="BUY",I1203+(R1203*B1203),I1203-(R1203*B1203))</f>
        <v>#DIV/0!</v>
      </c>
      <c r="M1203" s="29" t="e">
        <f>IF(D1202="BUY",E1202+(ROUND(F1202*M1202/B1202,0)*B1202),E1202-(ROUND(F1202*M1202/B1202,0)*B1202))</f>
        <v>#DIV/0!</v>
      </c>
      <c r="N1203" s="29" t="e">
        <f>IF(D1202="BUY",E1202-(ROUND(F1202*N1202/B1202,0)*B1202),E1202+(ROUND(F1202*N1202/B1202,0)*B1202))</f>
        <v>#DIV/0!</v>
      </c>
      <c r="O1203" s="31" t="e">
        <f>IF(D1203="BUY",N1203-VLOOKUP(A1203,Symbols!A$1:D$1000,4,FALSE),N1203+VLOOKUP(A1203,Symbols!A$1:D$1000,4,FALSE))</f>
        <v>#DIV/0!</v>
      </c>
      <c r="P1203" s="29">
        <f>P1202</f>
        <v>0</v>
      </c>
      <c r="Q1203" s="29">
        <f>Q1202</f>
        <v>0</v>
      </c>
      <c r="R1203" s="29">
        <f>R1202</f>
        <v>0</v>
      </c>
      <c r="S1203" s="29">
        <f>S1202</f>
        <v>0</v>
      </c>
      <c r="T1203" s="29">
        <f>T1202</f>
        <v>0</v>
      </c>
      <c r="U1203" s="29" t="e">
        <f>DATEDIF(DATE(1970,1,1),U1202,"D")*86400</f>
        <v>#NUM!</v>
      </c>
      <c r="V1203" s="29">
        <f>HOUR(V1202)*3600+MINUTE(V1202)*60+SECOND(V1202)</f>
        <v>0</v>
      </c>
      <c r="W1203" s="29" t="e">
        <f>DATEDIF(DATE(1970,1,1),W1202,"D")*86400</f>
        <v>#NUM!</v>
      </c>
      <c r="X1203" s="29">
        <f>HOUR(X1202)*3600+MINUTE(X1202)*60+SECOND(X1202)</f>
        <v>0</v>
      </c>
      <c r="Y1203" s="31">
        <f>(Y1202*B1203)</f>
        <v>0</v>
      </c>
      <c r="Z1203" s="29">
        <f>Z1202</f>
        <v>0</v>
      </c>
      <c r="AA1203" s="29" t="e">
        <f>DATEDIF(DATE(1970,1,1),AA1202,"D")*86400</f>
        <v>#NUM!</v>
      </c>
      <c r="AB1203" s="29">
        <f>HOUR(AB1202)*3600+MINUTE(AB1202)*60+SECOND(AB1202)</f>
        <v>0</v>
      </c>
      <c r="AC1203" s="29">
        <f>AC1202</f>
        <v>0</v>
      </c>
    </row>
    <row r="1204" spans="1:29">
      <c r="A1204" s="23">
        <f>Parameters!A603</f>
        <v>0</v>
      </c>
      <c r="B1204" s="23">
        <f>Parameters!B603</f>
        <v>0</v>
      </c>
      <c r="C1204" s="24">
        <f>Parameters!C603</f>
        <v>0</v>
      </c>
      <c r="D1204" s="24">
        <f>Parameters!D603</f>
        <v>0</v>
      </c>
      <c r="E1204" s="23">
        <f>Parameters!E603</f>
        <v>0</v>
      </c>
      <c r="F1204" s="23">
        <f>Parameters!F603</f>
        <v>0</v>
      </c>
      <c r="G1204" s="25">
        <f>Parameters!G603</f>
        <v>0</v>
      </c>
      <c r="H1204" s="25">
        <f>Parameters!H603</f>
        <v>0</v>
      </c>
      <c r="I1204" s="25">
        <f>Parameters!I603</f>
        <v>0</v>
      </c>
      <c r="J1204" s="25">
        <f>Parameters!J603</f>
        <v>0</v>
      </c>
      <c r="K1204" s="25">
        <f>Parameters!K603</f>
        <v>0</v>
      </c>
      <c r="L1204" s="26" t="e">
        <f t="shared" ref="L1204" si="1800">L1205</f>
        <v>#DIV/0!</v>
      </c>
      <c r="M1204" s="25">
        <f>Parameters!L603</f>
        <v>0</v>
      </c>
      <c r="N1204" s="25">
        <f>Parameters!M603</f>
        <v>0</v>
      </c>
      <c r="O1204" s="26" t="e">
        <f t="shared" ref="O1204" si="1801">O1205</f>
        <v>#DIV/0!</v>
      </c>
      <c r="P1204" s="23">
        <f>Parameters!N603</f>
        <v>0</v>
      </c>
      <c r="Q1204" s="23">
        <f>Parameters!O603</f>
        <v>0</v>
      </c>
      <c r="R1204" s="23">
        <f>Parameters!P603</f>
        <v>0</v>
      </c>
      <c r="S1204" s="23">
        <f>Parameters!Q603</f>
        <v>0</v>
      </c>
      <c r="T1204" s="23">
        <f>Parameters!R603</f>
        <v>0</v>
      </c>
      <c r="U1204" s="27">
        <f>Parameters!S603</f>
        <v>0</v>
      </c>
      <c r="V1204" s="28">
        <f>Parameters!T603</f>
        <v>0</v>
      </c>
      <c r="W1204" s="27">
        <f>Parameters!U603</f>
        <v>0</v>
      </c>
      <c r="X1204" s="28">
        <f>Parameters!V603</f>
        <v>0</v>
      </c>
      <c r="Y1204" s="25">
        <f>Parameters!W603</f>
        <v>0</v>
      </c>
      <c r="Z1204" s="23">
        <f>Parameters!X603</f>
        <v>0</v>
      </c>
      <c r="AA1204" s="27">
        <f>Parameters!Y603</f>
        <v>0</v>
      </c>
      <c r="AB1204" s="28">
        <f>Parameters!Z603</f>
        <v>0</v>
      </c>
      <c r="AC1204" s="23">
        <f>Parameters!AA603</f>
        <v>0</v>
      </c>
    </row>
    <row r="1205" spans="1:29">
      <c r="A1205" s="29" t="str">
        <f>UPPER(A1204)</f>
        <v>0</v>
      </c>
      <c r="B1205" s="29">
        <f>B1204</f>
        <v>0</v>
      </c>
      <c r="C1205" s="30">
        <f>C1204</f>
        <v>0</v>
      </c>
      <c r="D1205" s="30">
        <f>D1204</f>
        <v>0</v>
      </c>
      <c r="E1205" s="29">
        <f>E1204</f>
        <v>0</v>
      </c>
      <c r="F1205" s="29">
        <f>F1204</f>
        <v>0</v>
      </c>
      <c r="G1205" s="29" t="e">
        <f>IF(C1204=1,IF(D1204="BUY",E1204+(ROUND(F1204*G1204/B1204,0)*B1204),E1204-(ROUND(F1204*G1204/B1204,0)*B1204)),IF(D1204="BUY",E1204-(ROUND(F1204*G1204/B1204,0)*B1204),E1204+(ROUND(F1204*G1204/B1204,0)*B1204)))</f>
        <v>#DIV/0!</v>
      </c>
      <c r="H1205" s="29" t="e">
        <f>IF(C1204=1,IF(D1204="BUY",G1205-(ROUND(F1204*H1204/B1204,0)*B1204),G1205+(ROUND(F1204*H1204/B1204,0)*B1204)),IF(D1204="BUY",G1205+(ROUND(F1204*H1204/B1204,0)*B1204),G1205-(ROUND(F1204*H1204/B1204,0)*B1204)))</f>
        <v>#DIV/0!</v>
      </c>
      <c r="I1205" s="29" t="e">
        <f>IF(D1204="BUY",G1205+(ROUND(F1204*I1204/(B1204*100),0)*B1204),G1205-(ROUND(F1204*I1204/(B1204*100),0)*B1204))</f>
        <v>#DIV/0!</v>
      </c>
      <c r="J1205" s="29" t="e">
        <f>IF(C1204=1,IF(D1204="BUY",E1204+(ROUND(F1204*J1204/B1204,0)*B1204),E1204-(ROUND(F1204*J1204/B1204,0)*B1204)),IF(D1204="BUY",E1204-(ROUND(F1204*J1204/B1204,0)*B1204),E1204+(ROUND(F1204*J1204/B1204,0)*B1204)))</f>
        <v>#DIV/0!</v>
      </c>
      <c r="K1205" s="29" t="e">
        <f>IF(C1204=1,IF(D1204="BUY",E1204-(ROUND(F1204*K1204/B1204,0)*B1204),E1204+(ROUND(F1204*K1204/B1204,0)*B1204)),IF(D1204="BUY",E1204-(ROUND(F1204*K1204/B1204,0)*B1204),E1204+(ROUND(F1204*K1204/B1204,0)*B1204)))</f>
        <v>#DIV/0!</v>
      </c>
      <c r="L1205" s="29" t="e">
        <f t="shared" ref="L1205" si="1802">IF(D1205="BUY",I1205+(R1205*B1205),I1205-(R1205*B1205))</f>
        <v>#DIV/0!</v>
      </c>
      <c r="M1205" s="29" t="e">
        <f>IF(D1204="BUY",E1204+(ROUND(F1204*M1204/B1204,0)*B1204),E1204-(ROUND(F1204*M1204/B1204,0)*B1204))</f>
        <v>#DIV/0!</v>
      </c>
      <c r="N1205" s="29" t="e">
        <f>IF(D1204="BUY",E1204-(ROUND(F1204*N1204/B1204,0)*B1204),E1204+(ROUND(F1204*N1204/B1204,0)*B1204))</f>
        <v>#DIV/0!</v>
      </c>
      <c r="O1205" s="31" t="e">
        <f>IF(D1205="BUY",N1205-VLOOKUP(A1205,Symbols!A$1:D$1000,4,FALSE),N1205+VLOOKUP(A1205,Symbols!A$1:D$1000,4,FALSE))</f>
        <v>#DIV/0!</v>
      </c>
      <c r="P1205" s="29">
        <f>P1204</f>
        <v>0</v>
      </c>
      <c r="Q1205" s="29">
        <f>Q1204</f>
        <v>0</v>
      </c>
      <c r="R1205" s="29">
        <f>R1204</f>
        <v>0</v>
      </c>
      <c r="S1205" s="29">
        <f>S1204</f>
        <v>0</v>
      </c>
      <c r="T1205" s="29">
        <f>T1204</f>
        <v>0</v>
      </c>
      <c r="U1205" s="29" t="e">
        <f>DATEDIF(DATE(1970,1,1),U1204,"D")*86400</f>
        <v>#NUM!</v>
      </c>
      <c r="V1205" s="29">
        <f>HOUR(V1204)*3600+MINUTE(V1204)*60+SECOND(V1204)</f>
        <v>0</v>
      </c>
      <c r="W1205" s="29" t="e">
        <f>DATEDIF(DATE(1970,1,1),W1204,"D")*86400</f>
        <v>#NUM!</v>
      </c>
      <c r="X1205" s="29">
        <f>HOUR(X1204)*3600+MINUTE(X1204)*60+SECOND(X1204)</f>
        <v>0</v>
      </c>
      <c r="Y1205" s="31">
        <f>(Y1204*B1205)</f>
        <v>0</v>
      </c>
      <c r="Z1205" s="29">
        <f>Z1204</f>
        <v>0</v>
      </c>
      <c r="AA1205" s="29" t="e">
        <f>DATEDIF(DATE(1970,1,1),AA1204,"D")*86400</f>
        <v>#NUM!</v>
      </c>
      <c r="AB1205" s="29">
        <f>HOUR(AB1204)*3600+MINUTE(AB1204)*60+SECOND(AB1204)</f>
        <v>0</v>
      </c>
      <c r="AC1205" s="29">
        <f>AC1204</f>
        <v>0</v>
      </c>
    </row>
    <row r="1206" spans="1:29">
      <c r="A1206" s="23">
        <f>Parameters!A604</f>
        <v>0</v>
      </c>
      <c r="B1206" s="23">
        <f>Parameters!B604</f>
        <v>0</v>
      </c>
      <c r="C1206" s="24">
        <f>Parameters!C604</f>
        <v>0</v>
      </c>
      <c r="D1206" s="24">
        <f>Parameters!D604</f>
        <v>0</v>
      </c>
      <c r="E1206" s="23">
        <f>Parameters!E604</f>
        <v>0</v>
      </c>
      <c r="F1206" s="23">
        <f>Parameters!F604</f>
        <v>0</v>
      </c>
      <c r="G1206" s="25">
        <f>Parameters!G604</f>
        <v>0</v>
      </c>
      <c r="H1206" s="25">
        <f>Parameters!H604</f>
        <v>0</v>
      </c>
      <c r="I1206" s="25">
        <f>Parameters!I604</f>
        <v>0</v>
      </c>
      <c r="J1206" s="25">
        <f>Parameters!J604</f>
        <v>0</v>
      </c>
      <c r="K1206" s="25">
        <f>Parameters!K604</f>
        <v>0</v>
      </c>
      <c r="L1206" s="26" t="e">
        <f t="shared" ref="L1206" si="1803">L1207</f>
        <v>#DIV/0!</v>
      </c>
      <c r="M1206" s="25">
        <f>Parameters!L604</f>
        <v>0</v>
      </c>
      <c r="N1206" s="25">
        <f>Parameters!M604</f>
        <v>0</v>
      </c>
      <c r="O1206" s="26" t="e">
        <f t="shared" ref="O1206" si="1804">O1207</f>
        <v>#DIV/0!</v>
      </c>
      <c r="P1206" s="23">
        <f>Parameters!N604</f>
        <v>0</v>
      </c>
      <c r="Q1206" s="23">
        <f>Parameters!O604</f>
        <v>0</v>
      </c>
      <c r="R1206" s="23">
        <f>Parameters!P604</f>
        <v>0</v>
      </c>
      <c r="S1206" s="23">
        <f>Parameters!Q604</f>
        <v>0</v>
      </c>
      <c r="T1206" s="23">
        <f>Parameters!R604</f>
        <v>0</v>
      </c>
      <c r="U1206" s="27">
        <f>Parameters!S604</f>
        <v>0</v>
      </c>
      <c r="V1206" s="28">
        <f>Parameters!T604</f>
        <v>0</v>
      </c>
      <c r="W1206" s="27">
        <f>Parameters!U604</f>
        <v>0</v>
      </c>
      <c r="X1206" s="28">
        <f>Parameters!V604</f>
        <v>0</v>
      </c>
      <c r="Y1206" s="25">
        <f>Parameters!W604</f>
        <v>0</v>
      </c>
      <c r="Z1206" s="23">
        <f>Parameters!X604</f>
        <v>0</v>
      </c>
      <c r="AA1206" s="27">
        <f>Parameters!Y604</f>
        <v>0</v>
      </c>
      <c r="AB1206" s="28">
        <f>Parameters!Z604</f>
        <v>0</v>
      </c>
      <c r="AC1206" s="23">
        <f>Parameters!AA604</f>
        <v>0</v>
      </c>
    </row>
    <row r="1207" spans="1:29">
      <c r="A1207" s="29" t="str">
        <f>UPPER(A1206)</f>
        <v>0</v>
      </c>
      <c r="B1207" s="29">
        <f>B1206</f>
        <v>0</v>
      </c>
      <c r="C1207" s="30">
        <f>C1206</f>
        <v>0</v>
      </c>
      <c r="D1207" s="30">
        <f>D1206</f>
        <v>0</v>
      </c>
      <c r="E1207" s="29">
        <f>E1206</f>
        <v>0</v>
      </c>
      <c r="F1207" s="29">
        <f>F1206</f>
        <v>0</v>
      </c>
      <c r="G1207" s="29" t="e">
        <f>IF(C1206=1,IF(D1206="BUY",E1206+(ROUND(F1206*G1206/B1206,0)*B1206),E1206-(ROUND(F1206*G1206/B1206,0)*B1206)),IF(D1206="BUY",E1206-(ROUND(F1206*G1206/B1206,0)*B1206),E1206+(ROUND(F1206*G1206/B1206,0)*B1206)))</f>
        <v>#DIV/0!</v>
      </c>
      <c r="H1207" s="29" t="e">
        <f>IF(C1206=1,IF(D1206="BUY",G1207-(ROUND(F1206*H1206/B1206,0)*B1206),G1207+(ROUND(F1206*H1206/B1206,0)*B1206)),IF(D1206="BUY",G1207+(ROUND(F1206*H1206/B1206,0)*B1206),G1207-(ROUND(F1206*H1206/B1206,0)*B1206)))</f>
        <v>#DIV/0!</v>
      </c>
      <c r="I1207" s="29" t="e">
        <f>IF(D1206="BUY",G1207+(ROUND(F1206*I1206/(B1206*100),0)*B1206),G1207-(ROUND(F1206*I1206/(B1206*100),0)*B1206))</f>
        <v>#DIV/0!</v>
      </c>
      <c r="J1207" s="29" t="e">
        <f>IF(C1206=1,IF(D1206="BUY",E1206+(ROUND(F1206*J1206/B1206,0)*B1206),E1206-(ROUND(F1206*J1206/B1206,0)*B1206)),IF(D1206="BUY",E1206-(ROUND(F1206*J1206/B1206,0)*B1206),E1206+(ROUND(F1206*J1206/B1206,0)*B1206)))</f>
        <v>#DIV/0!</v>
      </c>
      <c r="K1207" s="29" t="e">
        <f>IF(C1206=1,IF(D1206="BUY",E1206-(ROUND(F1206*K1206/B1206,0)*B1206),E1206+(ROUND(F1206*K1206/B1206,0)*B1206)),IF(D1206="BUY",E1206-(ROUND(F1206*K1206/B1206,0)*B1206),E1206+(ROUND(F1206*K1206/B1206,0)*B1206)))</f>
        <v>#DIV/0!</v>
      </c>
      <c r="L1207" s="29" t="e">
        <f t="shared" ref="L1207" si="1805">IF(D1207="BUY",I1207+(R1207*B1207),I1207-(R1207*B1207))</f>
        <v>#DIV/0!</v>
      </c>
      <c r="M1207" s="29" t="e">
        <f>IF(D1206="BUY",E1206+(ROUND(F1206*M1206/B1206,0)*B1206),E1206-(ROUND(F1206*M1206/B1206,0)*B1206))</f>
        <v>#DIV/0!</v>
      </c>
      <c r="N1207" s="29" t="e">
        <f>IF(D1206="BUY",E1206-(ROUND(F1206*N1206/B1206,0)*B1206),E1206+(ROUND(F1206*N1206/B1206,0)*B1206))</f>
        <v>#DIV/0!</v>
      </c>
      <c r="O1207" s="31" t="e">
        <f>IF(D1207="BUY",N1207-VLOOKUP(A1207,Symbols!A$1:D$1000,4,FALSE),N1207+VLOOKUP(A1207,Symbols!A$1:D$1000,4,FALSE))</f>
        <v>#DIV/0!</v>
      </c>
      <c r="P1207" s="29">
        <f>P1206</f>
        <v>0</v>
      </c>
      <c r="Q1207" s="29">
        <f>Q1206</f>
        <v>0</v>
      </c>
      <c r="R1207" s="29">
        <f>R1206</f>
        <v>0</v>
      </c>
      <c r="S1207" s="29">
        <f>S1206</f>
        <v>0</v>
      </c>
      <c r="T1207" s="29">
        <f>T1206</f>
        <v>0</v>
      </c>
      <c r="U1207" s="29" t="e">
        <f>DATEDIF(DATE(1970,1,1),U1206,"D")*86400</f>
        <v>#NUM!</v>
      </c>
      <c r="V1207" s="29">
        <f>HOUR(V1206)*3600+MINUTE(V1206)*60+SECOND(V1206)</f>
        <v>0</v>
      </c>
      <c r="W1207" s="29" t="e">
        <f>DATEDIF(DATE(1970,1,1),W1206,"D")*86400</f>
        <v>#NUM!</v>
      </c>
      <c r="X1207" s="29">
        <f>HOUR(X1206)*3600+MINUTE(X1206)*60+SECOND(X1206)</f>
        <v>0</v>
      </c>
      <c r="Y1207" s="31">
        <f>(Y1206*B1207)</f>
        <v>0</v>
      </c>
      <c r="Z1207" s="29">
        <f>Z1206</f>
        <v>0</v>
      </c>
      <c r="AA1207" s="29" t="e">
        <f>DATEDIF(DATE(1970,1,1),AA1206,"D")*86400</f>
        <v>#NUM!</v>
      </c>
      <c r="AB1207" s="29">
        <f>HOUR(AB1206)*3600+MINUTE(AB1206)*60+SECOND(AB1206)</f>
        <v>0</v>
      </c>
      <c r="AC1207" s="29">
        <f>AC1206</f>
        <v>0</v>
      </c>
    </row>
    <row r="1208" spans="1:29">
      <c r="A1208" s="23">
        <f>Parameters!A605</f>
        <v>0</v>
      </c>
      <c r="B1208" s="23">
        <f>Parameters!B605</f>
        <v>0</v>
      </c>
      <c r="C1208" s="24">
        <f>Parameters!C605</f>
        <v>0</v>
      </c>
      <c r="D1208" s="24">
        <f>Parameters!D605</f>
        <v>0</v>
      </c>
      <c r="E1208" s="23">
        <f>Parameters!E605</f>
        <v>0</v>
      </c>
      <c r="F1208" s="23">
        <f>Parameters!F605</f>
        <v>0</v>
      </c>
      <c r="G1208" s="25">
        <f>Parameters!G605</f>
        <v>0</v>
      </c>
      <c r="H1208" s="25">
        <f>Parameters!H605</f>
        <v>0</v>
      </c>
      <c r="I1208" s="25">
        <f>Parameters!I605</f>
        <v>0</v>
      </c>
      <c r="J1208" s="25">
        <f>Parameters!J605</f>
        <v>0</v>
      </c>
      <c r="K1208" s="25">
        <f>Parameters!K605</f>
        <v>0</v>
      </c>
      <c r="L1208" s="26" t="e">
        <f t="shared" ref="L1208" si="1806">L1209</f>
        <v>#DIV/0!</v>
      </c>
      <c r="M1208" s="25">
        <f>Parameters!L605</f>
        <v>0</v>
      </c>
      <c r="N1208" s="25">
        <f>Parameters!M605</f>
        <v>0</v>
      </c>
      <c r="O1208" s="26" t="e">
        <f t="shared" ref="O1208" si="1807">O1209</f>
        <v>#DIV/0!</v>
      </c>
      <c r="P1208" s="23">
        <f>Parameters!N605</f>
        <v>0</v>
      </c>
      <c r="Q1208" s="23">
        <f>Parameters!O605</f>
        <v>0</v>
      </c>
      <c r="R1208" s="23">
        <f>Parameters!P605</f>
        <v>0</v>
      </c>
      <c r="S1208" s="23">
        <f>Parameters!Q605</f>
        <v>0</v>
      </c>
      <c r="T1208" s="23">
        <f>Parameters!R605</f>
        <v>0</v>
      </c>
      <c r="U1208" s="27">
        <f>Parameters!S605</f>
        <v>0</v>
      </c>
      <c r="V1208" s="28">
        <f>Parameters!T605</f>
        <v>0</v>
      </c>
      <c r="W1208" s="27">
        <f>Parameters!U605</f>
        <v>0</v>
      </c>
      <c r="X1208" s="28">
        <f>Parameters!V605</f>
        <v>0</v>
      </c>
      <c r="Y1208" s="25">
        <f>Parameters!W605</f>
        <v>0</v>
      </c>
      <c r="Z1208" s="23">
        <f>Parameters!X605</f>
        <v>0</v>
      </c>
      <c r="AA1208" s="27">
        <f>Parameters!Y605</f>
        <v>0</v>
      </c>
      <c r="AB1208" s="28">
        <f>Parameters!Z605</f>
        <v>0</v>
      </c>
      <c r="AC1208" s="23">
        <f>Parameters!AA605</f>
        <v>0</v>
      </c>
    </row>
    <row r="1209" spans="1:29">
      <c r="A1209" s="29" t="str">
        <f>UPPER(A1208)</f>
        <v>0</v>
      </c>
      <c r="B1209" s="29">
        <f>B1208</f>
        <v>0</v>
      </c>
      <c r="C1209" s="30">
        <f>C1208</f>
        <v>0</v>
      </c>
      <c r="D1209" s="30">
        <f>D1208</f>
        <v>0</v>
      </c>
      <c r="E1209" s="29">
        <f>E1208</f>
        <v>0</v>
      </c>
      <c r="F1209" s="29">
        <f>F1208</f>
        <v>0</v>
      </c>
      <c r="G1209" s="29" t="e">
        <f>IF(C1208=1,IF(D1208="BUY",E1208+(ROUND(F1208*G1208/B1208,0)*B1208),E1208-(ROUND(F1208*G1208/B1208,0)*B1208)),IF(D1208="BUY",E1208-(ROUND(F1208*G1208/B1208,0)*B1208),E1208+(ROUND(F1208*G1208/B1208,0)*B1208)))</f>
        <v>#DIV/0!</v>
      </c>
      <c r="H1209" s="29" t="e">
        <f>IF(C1208=1,IF(D1208="BUY",G1209-(ROUND(F1208*H1208/B1208,0)*B1208),G1209+(ROUND(F1208*H1208/B1208,0)*B1208)),IF(D1208="BUY",G1209+(ROUND(F1208*H1208/B1208,0)*B1208),G1209-(ROUND(F1208*H1208/B1208,0)*B1208)))</f>
        <v>#DIV/0!</v>
      </c>
      <c r="I1209" s="29" t="e">
        <f>IF(D1208="BUY",G1209+(ROUND(F1208*I1208/(B1208*100),0)*B1208),G1209-(ROUND(F1208*I1208/(B1208*100),0)*B1208))</f>
        <v>#DIV/0!</v>
      </c>
      <c r="J1209" s="29" t="e">
        <f>IF(C1208=1,IF(D1208="BUY",E1208+(ROUND(F1208*J1208/B1208,0)*B1208),E1208-(ROUND(F1208*J1208/B1208,0)*B1208)),IF(D1208="BUY",E1208-(ROUND(F1208*J1208/B1208,0)*B1208),E1208+(ROUND(F1208*J1208/B1208,0)*B1208)))</f>
        <v>#DIV/0!</v>
      </c>
      <c r="K1209" s="29" t="e">
        <f>IF(C1208=1,IF(D1208="BUY",E1208-(ROUND(F1208*K1208/B1208,0)*B1208),E1208+(ROUND(F1208*K1208/B1208,0)*B1208)),IF(D1208="BUY",E1208-(ROUND(F1208*K1208/B1208,0)*B1208),E1208+(ROUND(F1208*K1208/B1208,0)*B1208)))</f>
        <v>#DIV/0!</v>
      </c>
      <c r="L1209" s="29" t="e">
        <f t="shared" ref="L1209" si="1808">IF(D1209="BUY",I1209+(R1209*B1209),I1209-(R1209*B1209))</f>
        <v>#DIV/0!</v>
      </c>
      <c r="M1209" s="29" t="e">
        <f>IF(D1208="BUY",E1208+(ROUND(F1208*M1208/B1208,0)*B1208),E1208-(ROUND(F1208*M1208/B1208,0)*B1208))</f>
        <v>#DIV/0!</v>
      </c>
      <c r="N1209" s="29" t="e">
        <f>IF(D1208="BUY",E1208-(ROUND(F1208*N1208/B1208,0)*B1208),E1208+(ROUND(F1208*N1208/B1208,0)*B1208))</f>
        <v>#DIV/0!</v>
      </c>
      <c r="O1209" s="31" t="e">
        <f>IF(D1209="BUY",N1209-VLOOKUP(A1209,Symbols!A$1:D$1000,4,FALSE),N1209+VLOOKUP(A1209,Symbols!A$1:D$1000,4,FALSE))</f>
        <v>#DIV/0!</v>
      </c>
      <c r="P1209" s="29">
        <f>P1208</f>
        <v>0</v>
      </c>
      <c r="Q1209" s="29">
        <f>Q1208</f>
        <v>0</v>
      </c>
      <c r="R1209" s="29">
        <f>R1208</f>
        <v>0</v>
      </c>
      <c r="S1209" s="29">
        <f>S1208</f>
        <v>0</v>
      </c>
      <c r="T1209" s="29">
        <f>T1208</f>
        <v>0</v>
      </c>
      <c r="U1209" s="29" t="e">
        <f>DATEDIF(DATE(1970,1,1),U1208,"D")*86400</f>
        <v>#NUM!</v>
      </c>
      <c r="V1209" s="29">
        <f>HOUR(V1208)*3600+MINUTE(V1208)*60+SECOND(V1208)</f>
        <v>0</v>
      </c>
      <c r="W1209" s="29" t="e">
        <f>DATEDIF(DATE(1970,1,1),W1208,"D")*86400</f>
        <v>#NUM!</v>
      </c>
      <c r="X1209" s="29">
        <f>HOUR(X1208)*3600+MINUTE(X1208)*60+SECOND(X1208)</f>
        <v>0</v>
      </c>
      <c r="Y1209" s="31">
        <f>(Y1208*B1209)</f>
        <v>0</v>
      </c>
      <c r="Z1209" s="29">
        <f>Z1208</f>
        <v>0</v>
      </c>
      <c r="AA1209" s="29" t="e">
        <f>DATEDIF(DATE(1970,1,1),AA1208,"D")*86400</f>
        <v>#NUM!</v>
      </c>
      <c r="AB1209" s="29">
        <f>HOUR(AB1208)*3600+MINUTE(AB1208)*60+SECOND(AB1208)</f>
        <v>0</v>
      </c>
      <c r="AC1209" s="29">
        <f>AC1208</f>
        <v>0</v>
      </c>
    </row>
    <row r="1210" spans="1:29">
      <c r="A1210" s="23">
        <f>Parameters!A606</f>
        <v>0</v>
      </c>
      <c r="B1210" s="23">
        <f>Parameters!B606</f>
        <v>0</v>
      </c>
      <c r="C1210" s="24">
        <f>Parameters!C606</f>
        <v>0</v>
      </c>
      <c r="D1210" s="24">
        <f>Parameters!D606</f>
        <v>0</v>
      </c>
      <c r="E1210" s="23">
        <f>Parameters!E606</f>
        <v>0</v>
      </c>
      <c r="F1210" s="23">
        <f>Parameters!F606</f>
        <v>0</v>
      </c>
      <c r="G1210" s="25">
        <f>Parameters!G606</f>
        <v>0</v>
      </c>
      <c r="H1210" s="25">
        <f>Parameters!H606</f>
        <v>0</v>
      </c>
      <c r="I1210" s="25">
        <f>Parameters!I606</f>
        <v>0</v>
      </c>
      <c r="J1210" s="25">
        <f>Parameters!J606</f>
        <v>0</v>
      </c>
      <c r="K1210" s="25">
        <f>Parameters!K606</f>
        <v>0</v>
      </c>
      <c r="L1210" s="26" t="e">
        <f t="shared" ref="L1210" si="1809">L1211</f>
        <v>#DIV/0!</v>
      </c>
      <c r="M1210" s="25">
        <f>Parameters!L606</f>
        <v>0</v>
      </c>
      <c r="N1210" s="25">
        <f>Parameters!M606</f>
        <v>0</v>
      </c>
      <c r="O1210" s="26" t="e">
        <f t="shared" ref="O1210" si="1810">O1211</f>
        <v>#DIV/0!</v>
      </c>
      <c r="P1210" s="23">
        <f>Parameters!N606</f>
        <v>0</v>
      </c>
      <c r="Q1210" s="23">
        <f>Parameters!O606</f>
        <v>0</v>
      </c>
      <c r="R1210" s="23">
        <f>Parameters!P606</f>
        <v>0</v>
      </c>
      <c r="S1210" s="23">
        <f>Parameters!Q606</f>
        <v>0</v>
      </c>
      <c r="T1210" s="23">
        <f>Parameters!R606</f>
        <v>0</v>
      </c>
      <c r="U1210" s="27">
        <f>Parameters!S606</f>
        <v>0</v>
      </c>
      <c r="V1210" s="28">
        <f>Parameters!T606</f>
        <v>0</v>
      </c>
      <c r="W1210" s="27">
        <f>Parameters!U606</f>
        <v>0</v>
      </c>
      <c r="X1210" s="28">
        <f>Parameters!V606</f>
        <v>0</v>
      </c>
      <c r="Y1210" s="25">
        <f>Parameters!W606</f>
        <v>0</v>
      </c>
      <c r="Z1210" s="23">
        <f>Parameters!X606</f>
        <v>0</v>
      </c>
      <c r="AA1210" s="27">
        <f>Parameters!Y606</f>
        <v>0</v>
      </c>
      <c r="AB1210" s="28">
        <f>Parameters!Z606</f>
        <v>0</v>
      </c>
      <c r="AC1210" s="23">
        <f>Parameters!AA606</f>
        <v>0</v>
      </c>
    </row>
    <row r="1211" spans="1:29">
      <c r="A1211" s="29" t="str">
        <f>UPPER(A1210)</f>
        <v>0</v>
      </c>
      <c r="B1211" s="29">
        <f>B1210</f>
        <v>0</v>
      </c>
      <c r="C1211" s="30">
        <f>C1210</f>
        <v>0</v>
      </c>
      <c r="D1211" s="30">
        <f>D1210</f>
        <v>0</v>
      </c>
      <c r="E1211" s="29">
        <f>E1210</f>
        <v>0</v>
      </c>
      <c r="F1211" s="29">
        <f>F1210</f>
        <v>0</v>
      </c>
      <c r="G1211" s="29" t="e">
        <f>IF(C1210=1,IF(D1210="BUY",E1210+(ROUND(F1210*G1210/B1210,0)*B1210),E1210-(ROUND(F1210*G1210/B1210,0)*B1210)),IF(D1210="BUY",E1210-(ROUND(F1210*G1210/B1210,0)*B1210),E1210+(ROUND(F1210*G1210/B1210,0)*B1210)))</f>
        <v>#DIV/0!</v>
      </c>
      <c r="H1211" s="29" t="e">
        <f>IF(C1210=1,IF(D1210="BUY",G1211-(ROUND(F1210*H1210/B1210,0)*B1210),G1211+(ROUND(F1210*H1210/B1210,0)*B1210)),IF(D1210="BUY",G1211+(ROUND(F1210*H1210/B1210,0)*B1210),G1211-(ROUND(F1210*H1210/B1210,0)*B1210)))</f>
        <v>#DIV/0!</v>
      </c>
      <c r="I1211" s="29" t="e">
        <f>IF(D1210="BUY",G1211+(ROUND(F1210*I1210/(B1210*100),0)*B1210),G1211-(ROUND(F1210*I1210/(B1210*100),0)*B1210))</f>
        <v>#DIV/0!</v>
      </c>
      <c r="J1211" s="29" t="e">
        <f>IF(C1210=1,IF(D1210="BUY",E1210+(ROUND(F1210*J1210/B1210,0)*B1210),E1210-(ROUND(F1210*J1210/B1210,0)*B1210)),IF(D1210="BUY",E1210-(ROUND(F1210*J1210/B1210,0)*B1210),E1210+(ROUND(F1210*J1210/B1210,0)*B1210)))</f>
        <v>#DIV/0!</v>
      </c>
      <c r="K1211" s="29" t="e">
        <f>IF(C1210=1,IF(D1210="BUY",E1210-(ROUND(F1210*K1210/B1210,0)*B1210),E1210+(ROUND(F1210*K1210/B1210,0)*B1210)),IF(D1210="BUY",E1210-(ROUND(F1210*K1210/B1210,0)*B1210),E1210+(ROUND(F1210*K1210/B1210,0)*B1210)))</f>
        <v>#DIV/0!</v>
      </c>
      <c r="L1211" s="29" t="e">
        <f t="shared" ref="L1211" si="1811">IF(D1211="BUY",I1211+(R1211*B1211),I1211-(R1211*B1211))</f>
        <v>#DIV/0!</v>
      </c>
      <c r="M1211" s="29" t="e">
        <f>IF(D1210="BUY",E1210+(ROUND(F1210*M1210/B1210,0)*B1210),E1210-(ROUND(F1210*M1210/B1210,0)*B1210))</f>
        <v>#DIV/0!</v>
      </c>
      <c r="N1211" s="29" t="e">
        <f>IF(D1210="BUY",E1210-(ROUND(F1210*N1210/B1210,0)*B1210),E1210+(ROUND(F1210*N1210/B1210,0)*B1210))</f>
        <v>#DIV/0!</v>
      </c>
      <c r="O1211" s="31" t="e">
        <f>IF(D1211="BUY",N1211-VLOOKUP(A1211,Symbols!A$1:D$1000,4,FALSE),N1211+VLOOKUP(A1211,Symbols!A$1:D$1000,4,FALSE))</f>
        <v>#DIV/0!</v>
      </c>
      <c r="P1211" s="29">
        <f>P1210</f>
        <v>0</v>
      </c>
      <c r="Q1211" s="29">
        <f>Q1210</f>
        <v>0</v>
      </c>
      <c r="R1211" s="29">
        <f>R1210</f>
        <v>0</v>
      </c>
      <c r="S1211" s="29">
        <f>S1210</f>
        <v>0</v>
      </c>
      <c r="T1211" s="29">
        <f>T1210</f>
        <v>0</v>
      </c>
      <c r="U1211" s="29" t="e">
        <f>DATEDIF(DATE(1970,1,1),U1210,"D")*86400</f>
        <v>#NUM!</v>
      </c>
      <c r="V1211" s="29">
        <f>HOUR(V1210)*3600+MINUTE(V1210)*60+SECOND(V1210)</f>
        <v>0</v>
      </c>
      <c r="W1211" s="29" t="e">
        <f>DATEDIF(DATE(1970,1,1),W1210,"D")*86400</f>
        <v>#NUM!</v>
      </c>
      <c r="X1211" s="29">
        <f>HOUR(X1210)*3600+MINUTE(X1210)*60+SECOND(X1210)</f>
        <v>0</v>
      </c>
      <c r="Y1211" s="31">
        <f>(Y1210*B1211)</f>
        <v>0</v>
      </c>
      <c r="Z1211" s="29">
        <f>Z1210</f>
        <v>0</v>
      </c>
      <c r="AA1211" s="29" t="e">
        <f>DATEDIF(DATE(1970,1,1),AA1210,"D")*86400</f>
        <v>#NUM!</v>
      </c>
      <c r="AB1211" s="29">
        <f>HOUR(AB1210)*3600+MINUTE(AB1210)*60+SECOND(AB1210)</f>
        <v>0</v>
      </c>
      <c r="AC1211" s="29">
        <f>AC1210</f>
        <v>0</v>
      </c>
    </row>
    <row r="1212" spans="1:29">
      <c r="A1212" s="23">
        <f>Parameters!A607</f>
        <v>0</v>
      </c>
      <c r="B1212" s="23">
        <f>Parameters!B607</f>
        <v>0</v>
      </c>
      <c r="C1212" s="24">
        <f>Parameters!C607</f>
        <v>0</v>
      </c>
      <c r="D1212" s="24">
        <f>Parameters!D607</f>
        <v>0</v>
      </c>
      <c r="E1212" s="23">
        <f>Parameters!E607</f>
        <v>0</v>
      </c>
      <c r="F1212" s="23">
        <f>Parameters!F607</f>
        <v>0</v>
      </c>
      <c r="G1212" s="25">
        <f>Parameters!G607</f>
        <v>0</v>
      </c>
      <c r="H1212" s="25">
        <f>Parameters!H607</f>
        <v>0</v>
      </c>
      <c r="I1212" s="25">
        <f>Parameters!I607</f>
        <v>0</v>
      </c>
      <c r="J1212" s="25">
        <f>Parameters!J607</f>
        <v>0</v>
      </c>
      <c r="K1212" s="25">
        <f>Parameters!K607</f>
        <v>0</v>
      </c>
      <c r="L1212" s="26" t="e">
        <f t="shared" ref="L1212" si="1812">L1213</f>
        <v>#DIV/0!</v>
      </c>
      <c r="M1212" s="25">
        <f>Parameters!L607</f>
        <v>0</v>
      </c>
      <c r="N1212" s="25">
        <f>Parameters!M607</f>
        <v>0</v>
      </c>
      <c r="O1212" s="26" t="e">
        <f t="shared" ref="O1212" si="1813">O1213</f>
        <v>#DIV/0!</v>
      </c>
      <c r="P1212" s="23">
        <f>Parameters!N607</f>
        <v>0</v>
      </c>
      <c r="Q1212" s="23">
        <f>Parameters!O607</f>
        <v>0</v>
      </c>
      <c r="R1212" s="23">
        <f>Parameters!P607</f>
        <v>0</v>
      </c>
      <c r="S1212" s="23">
        <f>Parameters!Q607</f>
        <v>0</v>
      </c>
      <c r="T1212" s="23">
        <f>Parameters!R607</f>
        <v>0</v>
      </c>
      <c r="U1212" s="27">
        <f>Parameters!S607</f>
        <v>0</v>
      </c>
      <c r="V1212" s="28">
        <f>Parameters!T607</f>
        <v>0</v>
      </c>
      <c r="W1212" s="27">
        <f>Parameters!U607</f>
        <v>0</v>
      </c>
      <c r="X1212" s="28">
        <f>Parameters!V607</f>
        <v>0</v>
      </c>
      <c r="Y1212" s="25">
        <f>Parameters!W607</f>
        <v>0</v>
      </c>
      <c r="Z1212" s="23">
        <f>Parameters!X607</f>
        <v>0</v>
      </c>
      <c r="AA1212" s="27">
        <f>Parameters!Y607</f>
        <v>0</v>
      </c>
      <c r="AB1212" s="28">
        <f>Parameters!Z607</f>
        <v>0</v>
      </c>
      <c r="AC1212" s="23">
        <f>Parameters!AA607</f>
        <v>0</v>
      </c>
    </row>
    <row r="1213" spans="1:29">
      <c r="A1213" s="29" t="str">
        <f>UPPER(A1212)</f>
        <v>0</v>
      </c>
      <c r="B1213" s="29">
        <f>B1212</f>
        <v>0</v>
      </c>
      <c r="C1213" s="30">
        <f>C1212</f>
        <v>0</v>
      </c>
      <c r="D1213" s="30">
        <f>D1212</f>
        <v>0</v>
      </c>
      <c r="E1213" s="29">
        <f>E1212</f>
        <v>0</v>
      </c>
      <c r="F1213" s="29">
        <f>F1212</f>
        <v>0</v>
      </c>
      <c r="G1213" s="29" t="e">
        <f>IF(C1212=1,IF(D1212="BUY",E1212+(ROUND(F1212*G1212/B1212,0)*B1212),E1212-(ROUND(F1212*G1212/B1212,0)*B1212)),IF(D1212="BUY",E1212-(ROUND(F1212*G1212/B1212,0)*B1212),E1212+(ROUND(F1212*G1212/B1212,0)*B1212)))</f>
        <v>#DIV/0!</v>
      </c>
      <c r="H1213" s="29" t="e">
        <f>IF(C1212=1,IF(D1212="BUY",G1213-(ROUND(F1212*H1212/B1212,0)*B1212),G1213+(ROUND(F1212*H1212/B1212,0)*B1212)),IF(D1212="BUY",G1213+(ROUND(F1212*H1212/B1212,0)*B1212),G1213-(ROUND(F1212*H1212/B1212,0)*B1212)))</f>
        <v>#DIV/0!</v>
      </c>
      <c r="I1213" s="29" t="e">
        <f>IF(D1212="BUY",G1213+(ROUND(F1212*I1212/(B1212*100),0)*B1212),G1213-(ROUND(F1212*I1212/(B1212*100),0)*B1212))</f>
        <v>#DIV/0!</v>
      </c>
      <c r="J1213" s="29" t="e">
        <f>IF(C1212=1,IF(D1212="BUY",E1212+(ROUND(F1212*J1212/B1212,0)*B1212),E1212-(ROUND(F1212*J1212/B1212,0)*B1212)),IF(D1212="BUY",E1212-(ROUND(F1212*J1212/B1212,0)*B1212),E1212+(ROUND(F1212*J1212/B1212,0)*B1212)))</f>
        <v>#DIV/0!</v>
      </c>
      <c r="K1213" s="29" t="e">
        <f>IF(C1212=1,IF(D1212="BUY",E1212-(ROUND(F1212*K1212/B1212,0)*B1212),E1212+(ROUND(F1212*K1212/B1212,0)*B1212)),IF(D1212="BUY",E1212-(ROUND(F1212*K1212/B1212,0)*B1212),E1212+(ROUND(F1212*K1212/B1212,0)*B1212)))</f>
        <v>#DIV/0!</v>
      </c>
      <c r="L1213" s="29" t="e">
        <f t="shared" ref="L1213" si="1814">IF(D1213="BUY",I1213+(R1213*B1213),I1213-(R1213*B1213))</f>
        <v>#DIV/0!</v>
      </c>
      <c r="M1213" s="29" t="e">
        <f>IF(D1212="BUY",E1212+(ROUND(F1212*M1212/B1212,0)*B1212),E1212-(ROUND(F1212*M1212/B1212,0)*B1212))</f>
        <v>#DIV/0!</v>
      </c>
      <c r="N1213" s="29" t="e">
        <f>IF(D1212="BUY",E1212-(ROUND(F1212*N1212/B1212,0)*B1212),E1212+(ROUND(F1212*N1212/B1212,0)*B1212))</f>
        <v>#DIV/0!</v>
      </c>
      <c r="O1213" s="31" t="e">
        <f>IF(D1213="BUY",N1213-VLOOKUP(A1213,Symbols!A$1:D$1000,4,FALSE),N1213+VLOOKUP(A1213,Symbols!A$1:D$1000,4,FALSE))</f>
        <v>#DIV/0!</v>
      </c>
      <c r="P1213" s="29">
        <f>P1212</f>
        <v>0</v>
      </c>
      <c r="Q1213" s="29">
        <f>Q1212</f>
        <v>0</v>
      </c>
      <c r="R1213" s="29">
        <f>R1212</f>
        <v>0</v>
      </c>
      <c r="S1213" s="29">
        <f>S1212</f>
        <v>0</v>
      </c>
      <c r="T1213" s="29">
        <f>T1212</f>
        <v>0</v>
      </c>
      <c r="U1213" s="29" t="e">
        <f>DATEDIF(DATE(1970,1,1),U1212,"D")*86400</f>
        <v>#NUM!</v>
      </c>
      <c r="V1213" s="29">
        <f>HOUR(V1212)*3600+MINUTE(V1212)*60+SECOND(V1212)</f>
        <v>0</v>
      </c>
      <c r="W1213" s="29" t="e">
        <f>DATEDIF(DATE(1970,1,1),W1212,"D")*86400</f>
        <v>#NUM!</v>
      </c>
      <c r="X1213" s="29">
        <f>HOUR(X1212)*3600+MINUTE(X1212)*60+SECOND(X1212)</f>
        <v>0</v>
      </c>
      <c r="Y1213" s="31">
        <f>(Y1212*B1213)</f>
        <v>0</v>
      </c>
      <c r="Z1213" s="29">
        <f>Z1212</f>
        <v>0</v>
      </c>
      <c r="AA1213" s="29" t="e">
        <f>DATEDIF(DATE(1970,1,1),AA1212,"D")*86400</f>
        <v>#NUM!</v>
      </c>
      <c r="AB1213" s="29">
        <f>HOUR(AB1212)*3600+MINUTE(AB1212)*60+SECOND(AB1212)</f>
        <v>0</v>
      </c>
      <c r="AC1213" s="29">
        <f>AC1212</f>
        <v>0</v>
      </c>
    </row>
    <row r="1214" spans="1:29">
      <c r="A1214" s="23">
        <f>Parameters!A608</f>
        <v>0</v>
      </c>
      <c r="B1214" s="23">
        <f>Parameters!B608</f>
        <v>0</v>
      </c>
      <c r="C1214" s="24">
        <f>Parameters!C608</f>
        <v>0</v>
      </c>
      <c r="D1214" s="24">
        <f>Parameters!D608</f>
        <v>0</v>
      </c>
      <c r="E1214" s="23">
        <f>Parameters!E608</f>
        <v>0</v>
      </c>
      <c r="F1214" s="23">
        <f>Parameters!F608</f>
        <v>0</v>
      </c>
      <c r="G1214" s="25">
        <f>Parameters!G608</f>
        <v>0</v>
      </c>
      <c r="H1214" s="25">
        <f>Parameters!H608</f>
        <v>0</v>
      </c>
      <c r="I1214" s="25">
        <f>Parameters!I608</f>
        <v>0</v>
      </c>
      <c r="J1214" s="25">
        <f>Parameters!J608</f>
        <v>0</v>
      </c>
      <c r="K1214" s="25">
        <f>Parameters!K608</f>
        <v>0</v>
      </c>
      <c r="L1214" s="26" t="e">
        <f t="shared" ref="L1214" si="1815">L1215</f>
        <v>#DIV/0!</v>
      </c>
      <c r="M1214" s="25">
        <f>Parameters!L608</f>
        <v>0</v>
      </c>
      <c r="N1214" s="25">
        <f>Parameters!M608</f>
        <v>0</v>
      </c>
      <c r="O1214" s="26" t="e">
        <f t="shared" ref="O1214" si="1816">O1215</f>
        <v>#DIV/0!</v>
      </c>
      <c r="P1214" s="23">
        <f>Parameters!N608</f>
        <v>0</v>
      </c>
      <c r="Q1214" s="23">
        <f>Parameters!O608</f>
        <v>0</v>
      </c>
      <c r="R1214" s="23">
        <f>Parameters!P608</f>
        <v>0</v>
      </c>
      <c r="S1214" s="23">
        <f>Parameters!Q608</f>
        <v>0</v>
      </c>
      <c r="T1214" s="23">
        <f>Parameters!R608</f>
        <v>0</v>
      </c>
      <c r="U1214" s="27">
        <f>Parameters!S608</f>
        <v>0</v>
      </c>
      <c r="V1214" s="28">
        <f>Parameters!T608</f>
        <v>0</v>
      </c>
      <c r="W1214" s="27">
        <f>Parameters!U608</f>
        <v>0</v>
      </c>
      <c r="X1214" s="28">
        <f>Parameters!V608</f>
        <v>0</v>
      </c>
      <c r="Y1214" s="25">
        <f>Parameters!W608</f>
        <v>0</v>
      </c>
      <c r="Z1214" s="23">
        <f>Parameters!X608</f>
        <v>0</v>
      </c>
      <c r="AA1214" s="27">
        <f>Parameters!Y608</f>
        <v>0</v>
      </c>
      <c r="AB1214" s="28">
        <f>Parameters!Z608</f>
        <v>0</v>
      </c>
      <c r="AC1214" s="23">
        <f>Parameters!AA608</f>
        <v>0</v>
      </c>
    </row>
    <row r="1215" spans="1:29">
      <c r="A1215" s="29" t="str">
        <f>UPPER(A1214)</f>
        <v>0</v>
      </c>
      <c r="B1215" s="29">
        <f>B1214</f>
        <v>0</v>
      </c>
      <c r="C1215" s="30">
        <f>C1214</f>
        <v>0</v>
      </c>
      <c r="D1215" s="30">
        <f>D1214</f>
        <v>0</v>
      </c>
      <c r="E1215" s="29">
        <f>E1214</f>
        <v>0</v>
      </c>
      <c r="F1215" s="29">
        <f>F1214</f>
        <v>0</v>
      </c>
      <c r="G1215" s="29" t="e">
        <f>IF(C1214=1,IF(D1214="BUY",E1214+(ROUND(F1214*G1214/B1214,0)*B1214),E1214-(ROUND(F1214*G1214/B1214,0)*B1214)),IF(D1214="BUY",E1214-(ROUND(F1214*G1214/B1214,0)*B1214),E1214+(ROUND(F1214*G1214/B1214,0)*B1214)))</f>
        <v>#DIV/0!</v>
      </c>
      <c r="H1215" s="29" t="e">
        <f>IF(C1214=1,IF(D1214="BUY",G1215-(ROUND(F1214*H1214/B1214,0)*B1214),G1215+(ROUND(F1214*H1214/B1214,0)*B1214)),IF(D1214="BUY",G1215+(ROUND(F1214*H1214/B1214,0)*B1214),G1215-(ROUND(F1214*H1214/B1214,0)*B1214)))</f>
        <v>#DIV/0!</v>
      </c>
      <c r="I1215" s="29" t="e">
        <f>IF(D1214="BUY",G1215+(ROUND(F1214*I1214/(B1214*100),0)*B1214),G1215-(ROUND(F1214*I1214/(B1214*100),0)*B1214))</f>
        <v>#DIV/0!</v>
      </c>
      <c r="J1215" s="29" t="e">
        <f>IF(C1214=1,IF(D1214="BUY",E1214+(ROUND(F1214*J1214/B1214,0)*B1214),E1214-(ROUND(F1214*J1214/B1214,0)*B1214)),IF(D1214="BUY",E1214-(ROUND(F1214*J1214/B1214,0)*B1214),E1214+(ROUND(F1214*J1214/B1214,0)*B1214)))</f>
        <v>#DIV/0!</v>
      </c>
      <c r="K1215" s="29" t="e">
        <f>IF(C1214=1,IF(D1214="BUY",E1214-(ROUND(F1214*K1214/B1214,0)*B1214),E1214+(ROUND(F1214*K1214/B1214,0)*B1214)),IF(D1214="BUY",E1214-(ROUND(F1214*K1214/B1214,0)*B1214),E1214+(ROUND(F1214*K1214/B1214,0)*B1214)))</f>
        <v>#DIV/0!</v>
      </c>
      <c r="L1215" s="29" t="e">
        <f t="shared" ref="L1215" si="1817">IF(D1215="BUY",I1215+(R1215*B1215),I1215-(R1215*B1215))</f>
        <v>#DIV/0!</v>
      </c>
      <c r="M1215" s="29" t="e">
        <f>IF(D1214="BUY",E1214+(ROUND(F1214*M1214/B1214,0)*B1214),E1214-(ROUND(F1214*M1214/B1214,0)*B1214))</f>
        <v>#DIV/0!</v>
      </c>
      <c r="N1215" s="29" t="e">
        <f>IF(D1214="BUY",E1214-(ROUND(F1214*N1214/B1214,0)*B1214),E1214+(ROUND(F1214*N1214/B1214,0)*B1214))</f>
        <v>#DIV/0!</v>
      </c>
      <c r="O1215" s="31" t="e">
        <f>IF(D1215="BUY",N1215-VLOOKUP(A1215,Symbols!A$1:D$1000,4,FALSE),N1215+VLOOKUP(A1215,Symbols!A$1:D$1000,4,FALSE))</f>
        <v>#DIV/0!</v>
      </c>
      <c r="P1215" s="29">
        <f>P1214</f>
        <v>0</v>
      </c>
      <c r="Q1215" s="29">
        <f>Q1214</f>
        <v>0</v>
      </c>
      <c r="R1215" s="29">
        <f>R1214</f>
        <v>0</v>
      </c>
      <c r="S1215" s="29">
        <f>S1214</f>
        <v>0</v>
      </c>
      <c r="T1215" s="29">
        <f>T1214</f>
        <v>0</v>
      </c>
      <c r="U1215" s="29" t="e">
        <f>DATEDIF(DATE(1970,1,1),U1214,"D")*86400</f>
        <v>#NUM!</v>
      </c>
      <c r="V1215" s="29">
        <f>HOUR(V1214)*3600+MINUTE(V1214)*60+SECOND(V1214)</f>
        <v>0</v>
      </c>
      <c r="W1215" s="29" t="e">
        <f>DATEDIF(DATE(1970,1,1),W1214,"D")*86400</f>
        <v>#NUM!</v>
      </c>
      <c r="X1215" s="29">
        <f>HOUR(X1214)*3600+MINUTE(X1214)*60+SECOND(X1214)</f>
        <v>0</v>
      </c>
      <c r="Y1215" s="31">
        <f>(Y1214*B1215)</f>
        <v>0</v>
      </c>
      <c r="Z1215" s="29">
        <f>Z1214</f>
        <v>0</v>
      </c>
      <c r="AA1215" s="29" t="e">
        <f>DATEDIF(DATE(1970,1,1),AA1214,"D")*86400</f>
        <v>#NUM!</v>
      </c>
      <c r="AB1215" s="29">
        <f>HOUR(AB1214)*3600+MINUTE(AB1214)*60+SECOND(AB1214)</f>
        <v>0</v>
      </c>
      <c r="AC1215" s="29">
        <f>AC1214</f>
        <v>0</v>
      </c>
    </row>
    <row r="1216" spans="1:29">
      <c r="A1216" s="23">
        <f>Parameters!A609</f>
        <v>0</v>
      </c>
      <c r="B1216" s="23">
        <f>Parameters!B609</f>
        <v>0</v>
      </c>
      <c r="C1216" s="24">
        <f>Parameters!C609</f>
        <v>0</v>
      </c>
      <c r="D1216" s="24">
        <f>Parameters!D609</f>
        <v>0</v>
      </c>
      <c r="E1216" s="23">
        <f>Parameters!E609</f>
        <v>0</v>
      </c>
      <c r="F1216" s="23">
        <f>Parameters!F609</f>
        <v>0</v>
      </c>
      <c r="G1216" s="25">
        <f>Parameters!G609</f>
        <v>0</v>
      </c>
      <c r="H1216" s="25">
        <f>Parameters!H609</f>
        <v>0</v>
      </c>
      <c r="I1216" s="25">
        <f>Parameters!I609</f>
        <v>0</v>
      </c>
      <c r="J1216" s="25">
        <f>Parameters!J609</f>
        <v>0</v>
      </c>
      <c r="K1216" s="25">
        <f>Parameters!K609</f>
        <v>0</v>
      </c>
      <c r="L1216" s="26" t="e">
        <f t="shared" ref="L1216" si="1818">L1217</f>
        <v>#DIV/0!</v>
      </c>
      <c r="M1216" s="25">
        <f>Parameters!L609</f>
        <v>0</v>
      </c>
      <c r="N1216" s="25">
        <f>Parameters!M609</f>
        <v>0</v>
      </c>
      <c r="O1216" s="26" t="e">
        <f t="shared" ref="O1216" si="1819">O1217</f>
        <v>#DIV/0!</v>
      </c>
      <c r="P1216" s="23">
        <f>Parameters!N609</f>
        <v>0</v>
      </c>
      <c r="Q1216" s="23">
        <f>Parameters!O609</f>
        <v>0</v>
      </c>
      <c r="R1216" s="23">
        <f>Parameters!P609</f>
        <v>0</v>
      </c>
      <c r="S1216" s="23">
        <f>Parameters!Q609</f>
        <v>0</v>
      </c>
      <c r="T1216" s="23">
        <f>Parameters!R609</f>
        <v>0</v>
      </c>
      <c r="U1216" s="27">
        <f>Parameters!S609</f>
        <v>0</v>
      </c>
      <c r="V1216" s="28">
        <f>Parameters!T609</f>
        <v>0</v>
      </c>
      <c r="W1216" s="27">
        <f>Parameters!U609</f>
        <v>0</v>
      </c>
      <c r="X1216" s="28">
        <f>Parameters!V609</f>
        <v>0</v>
      </c>
      <c r="Y1216" s="25">
        <f>Parameters!W609</f>
        <v>0</v>
      </c>
      <c r="Z1216" s="23">
        <f>Parameters!X609</f>
        <v>0</v>
      </c>
      <c r="AA1216" s="27">
        <f>Parameters!Y609</f>
        <v>0</v>
      </c>
      <c r="AB1216" s="28">
        <f>Parameters!Z609</f>
        <v>0</v>
      </c>
      <c r="AC1216" s="23">
        <f>Parameters!AA609</f>
        <v>0</v>
      </c>
    </row>
    <row r="1217" spans="1:29">
      <c r="A1217" s="29" t="str">
        <f>UPPER(A1216)</f>
        <v>0</v>
      </c>
      <c r="B1217" s="29">
        <f>B1216</f>
        <v>0</v>
      </c>
      <c r="C1217" s="30">
        <f>C1216</f>
        <v>0</v>
      </c>
      <c r="D1217" s="30">
        <f>D1216</f>
        <v>0</v>
      </c>
      <c r="E1217" s="29">
        <f>E1216</f>
        <v>0</v>
      </c>
      <c r="F1217" s="29">
        <f>F1216</f>
        <v>0</v>
      </c>
      <c r="G1217" s="29" t="e">
        <f>IF(C1216=1,IF(D1216="BUY",E1216+(ROUND(F1216*G1216/B1216,0)*B1216),E1216-(ROUND(F1216*G1216/B1216,0)*B1216)),IF(D1216="BUY",E1216-(ROUND(F1216*G1216/B1216,0)*B1216),E1216+(ROUND(F1216*G1216/B1216,0)*B1216)))</f>
        <v>#DIV/0!</v>
      </c>
      <c r="H1217" s="29" t="e">
        <f>IF(C1216=1,IF(D1216="BUY",G1217-(ROUND(F1216*H1216/B1216,0)*B1216),G1217+(ROUND(F1216*H1216/B1216,0)*B1216)),IF(D1216="BUY",G1217+(ROUND(F1216*H1216/B1216,0)*B1216),G1217-(ROUND(F1216*H1216/B1216,0)*B1216)))</f>
        <v>#DIV/0!</v>
      </c>
      <c r="I1217" s="29" t="e">
        <f>IF(D1216="BUY",G1217+(ROUND(F1216*I1216/(B1216*100),0)*B1216),G1217-(ROUND(F1216*I1216/(B1216*100),0)*B1216))</f>
        <v>#DIV/0!</v>
      </c>
      <c r="J1217" s="29" t="e">
        <f>IF(C1216=1,IF(D1216="BUY",E1216+(ROUND(F1216*J1216/B1216,0)*B1216),E1216-(ROUND(F1216*J1216/B1216,0)*B1216)),IF(D1216="BUY",E1216-(ROUND(F1216*J1216/B1216,0)*B1216),E1216+(ROUND(F1216*J1216/B1216,0)*B1216)))</f>
        <v>#DIV/0!</v>
      </c>
      <c r="K1217" s="29" t="e">
        <f>IF(C1216=1,IF(D1216="BUY",E1216-(ROUND(F1216*K1216/B1216,0)*B1216),E1216+(ROUND(F1216*K1216/B1216,0)*B1216)),IF(D1216="BUY",E1216-(ROUND(F1216*K1216/B1216,0)*B1216),E1216+(ROUND(F1216*K1216/B1216,0)*B1216)))</f>
        <v>#DIV/0!</v>
      </c>
      <c r="L1217" s="29" t="e">
        <f t="shared" ref="L1217" si="1820">IF(D1217="BUY",I1217+(R1217*B1217),I1217-(R1217*B1217))</f>
        <v>#DIV/0!</v>
      </c>
      <c r="M1217" s="29" t="e">
        <f>IF(D1216="BUY",E1216+(ROUND(F1216*M1216/B1216,0)*B1216),E1216-(ROUND(F1216*M1216/B1216,0)*B1216))</f>
        <v>#DIV/0!</v>
      </c>
      <c r="N1217" s="29" t="e">
        <f>IF(D1216="BUY",E1216-(ROUND(F1216*N1216/B1216,0)*B1216),E1216+(ROUND(F1216*N1216/B1216,0)*B1216))</f>
        <v>#DIV/0!</v>
      </c>
      <c r="O1217" s="31" t="e">
        <f>IF(D1217="BUY",N1217-VLOOKUP(A1217,Symbols!A$1:D$1000,4,FALSE),N1217+VLOOKUP(A1217,Symbols!A$1:D$1000,4,FALSE))</f>
        <v>#DIV/0!</v>
      </c>
      <c r="P1217" s="29">
        <f>P1216</f>
        <v>0</v>
      </c>
      <c r="Q1217" s="29">
        <f>Q1216</f>
        <v>0</v>
      </c>
      <c r="R1217" s="29">
        <f>R1216</f>
        <v>0</v>
      </c>
      <c r="S1217" s="29">
        <f>S1216</f>
        <v>0</v>
      </c>
      <c r="T1217" s="29">
        <f>T1216</f>
        <v>0</v>
      </c>
      <c r="U1217" s="29" t="e">
        <f>DATEDIF(DATE(1970,1,1),U1216,"D")*86400</f>
        <v>#NUM!</v>
      </c>
      <c r="V1217" s="29">
        <f>HOUR(V1216)*3600+MINUTE(V1216)*60+SECOND(V1216)</f>
        <v>0</v>
      </c>
      <c r="W1217" s="29" t="e">
        <f>DATEDIF(DATE(1970,1,1),W1216,"D")*86400</f>
        <v>#NUM!</v>
      </c>
      <c r="X1217" s="29">
        <f>HOUR(X1216)*3600+MINUTE(X1216)*60+SECOND(X1216)</f>
        <v>0</v>
      </c>
      <c r="Y1217" s="31">
        <f>(Y1216*B1217)</f>
        <v>0</v>
      </c>
      <c r="Z1217" s="29">
        <f>Z1216</f>
        <v>0</v>
      </c>
      <c r="AA1217" s="29" t="e">
        <f>DATEDIF(DATE(1970,1,1),AA1216,"D")*86400</f>
        <v>#NUM!</v>
      </c>
      <c r="AB1217" s="29">
        <f>HOUR(AB1216)*3600+MINUTE(AB1216)*60+SECOND(AB1216)</f>
        <v>0</v>
      </c>
      <c r="AC1217" s="29">
        <f>AC1216</f>
        <v>0</v>
      </c>
    </row>
    <row r="1218" spans="1:29">
      <c r="A1218" s="23">
        <f>Parameters!A610</f>
        <v>0</v>
      </c>
      <c r="B1218" s="23">
        <f>Parameters!B610</f>
        <v>0</v>
      </c>
      <c r="C1218" s="24">
        <f>Parameters!C610</f>
        <v>0</v>
      </c>
      <c r="D1218" s="24">
        <f>Parameters!D610</f>
        <v>0</v>
      </c>
      <c r="E1218" s="23">
        <f>Parameters!E610</f>
        <v>0</v>
      </c>
      <c r="F1218" s="23">
        <f>Parameters!F610</f>
        <v>0</v>
      </c>
      <c r="G1218" s="25">
        <f>Parameters!G610</f>
        <v>0</v>
      </c>
      <c r="H1218" s="25">
        <f>Parameters!H610</f>
        <v>0</v>
      </c>
      <c r="I1218" s="25">
        <f>Parameters!I610</f>
        <v>0</v>
      </c>
      <c r="J1218" s="25">
        <f>Parameters!J610</f>
        <v>0</v>
      </c>
      <c r="K1218" s="25">
        <f>Parameters!K610</f>
        <v>0</v>
      </c>
      <c r="L1218" s="26" t="e">
        <f t="shared" ref="L1218" si="1821">L1219</f>
        <v>#DIV/0!</v>
      </c>
      <c r="M1218" s="25">
        <f>Parameters!L610</f>
        <v>0</v>
      </c>
      <c r="N1218" s="25">
        <f>Parameters!M610</f>
        <v>0</v>
      </c>
      <c r="O1218" s="26" t="e">
        <f t="shared" ref="O1218" si="1822">O1219</f>
        <v>#DIV/0!</v>
      </c>
      <c r="P1218" s="23">
        <f>Parameters!N610</f>
        <v>0</v>
      </c>
      <c r="Q1218" s="23">
        <f>Parameters!O610</f>
        <v>0</v>
      </c>
      <c r="R1218" s="23">
        <f>Parameters!P610</f>
        <v>0</v>
      </c>
      <c r="S1218" s="23">
        <f>Parameters!Q610</f>
        <v>0</v>
      </c>
      <c r="T1218" s="23">
        <f>Parameters!R610</f>
        <v>0</v>
      </c>
      <c r="U1218" s="27">
        <f>Parameters!S610</f>
        <v>0</v>
      </c>
      <c r="V1218" s="28">
        <f>Parameters!T610</f>
        <v>0</v>
      </c>
      <c r="W1218" s="27">
        <f>Parameters!U610</f>
        <v>0</v>
      </c>
      <c r="X1218" s="28">
        <f>Parameters!V610</f>
        <v>0</v>
      </c>
      <c r="Y1218" s="25">
        <f>Parameters!W610</f>
        <v>0</v>
      </c>
      <c r="Z1218" s="23">
        <f>Parameters!X610</f>
        <v>0</v>
      </c>
      <c r="AA1218" s="27">
        <f>Parameters!Y610</f>
        <v>0</v>
      </c>
      <c r="AB1218" s="28">
        <f>Parameters!Z610</f>
        <v>0</v>
      </c>
      <c r="AC1218" s="23">
        <f>Parameters!AA610</f>
        <v>0</v>
      </c>
    </row>
    <row r="1219" spans="1:29">
      <c r="A1219" s="29" t="str">
        <f>UPPER(A1218)</f>
        <v>0</v>
      </c>
      <c r="B1219" s="29">
        <f>B1218</f>
        <v>0</v>
      </c>
      <c r="C1219" s="30">
        <f>C1218</f>
        <v>0</v>
      </c>
      <c r="D1219" s="30">
        <f>D1218</f>
        <v>0</v>
      </c>
      <c r="E1219" s="29">
        <f>E1218</f>
        <v>0</v>
      </c>
      <c r="F1219" s="29">
        <f>F1218</f>
        <v>0</v>
      </c>
      <c r="G1219" s="29" t="e">
        <f>IF(C1218=1,IF(D1218="BUY",E1218+(ROUND(F1218*G1218/B1218,0)*B1218),E1218-(ROUND(F1218*G1218/B1218,0)*B1218)),IF(D1218="BUY",E1218-(ROUND(F1218*G1218/B1218,0)*B1218),E1218+(ROUND(F1218*G1218/B1218,0)*B1218)))</f>
        <v>#DIV/0!</v>
      </c>
      <c r="H1219" s="29" t="e">
        <f>IF(C1218=1,IF(D1218="BUY",G1219-(ROUND(F1218*H1218/B1218,0)*B1218),G1219+(ROUND(F1218*H1218/B1218,0)*B1218)),IF(D1218="BUY",G1219+(ROUND(F1218*H1218/B1218,0)*B1218),G1219-(ROUND(F1218*H1218/B1218,0)*B1218)))</f>
        <v>#DIV/0!</v>
      </c>
      <c r="I1219" s="29" t="e">
        <f>IF(D1218="BUY",G1219+(ROUND(F1218*I1218/(B1218*100),0)*B1218),G1219-(ROUND(F1218*I1218/(B1218*100),0)*B1218))</f>
        <v>#DIV/0!</v>
      </c>
      <c r="J1219" s="29" t="e">
        <f>IF(C1218=1,IF(D1218="BUY",E1218+(ROUND(F1218*J1218/B1218,0)*B1218),E1218-(ROUND(F1218*J1218/B1218,0)*B1218)),IF(D1218="BUY",E1218-(ROUND(F1218*J1218/B1218,0)*B1218),E1218+(ROUND(F1218*J1218/B1218,0)*B1218)))</f>
        <v>#DIV/0!</v>
      </c>
      <c r="K1219" s="29" t="e">
        <f>IF(C1218=1,IF(D1218="BUY",E1218-(ROUND(F1218*K1218/B1218,0)*B1218),E1218+(ROUND(F1218*K1218/B1218,0)*B1218)),IF(D1218="BUY",E1218-(ROUND(F1218*K1218/B1218,0)*B1218),E1218+(ROUND(F1218*K1218/B1218,0)*B1218)))</f>
        <v>#DIV/0!</v>
      </c>
      <c r="L1219" s="29" t="e">
        <f t="shared" ref="L1219" si="1823">IF(D1219="BUY",I1219+(R1219*B1219),I1219-(R1219*B1219))</f>
        <v>#DIV/0!</v>
      </c>
      <c r="M1219" s="29" t="e">
        <f>IF(D1218="BUY",E1218+(ROUND(F1218*M1218/B1218,0)*B1218),E1218-(ROUND(F1218*M1218/B1218,0)*B1218))</f>
        <v>#DIV/0!</v>
      </c>
      <c r="N1219" s="29" t="e">
        <f>IF(D1218="BUY",E1218-(ROUND(F1218*N1218/B1218,0)*B1218),E1218+(ROUND(F1218*N1218/B1218,0)*B1218))</f>
        <v>#DIV/0!</v>
      </c>
      <c r="O1219" s="31" t="e">
        <f>IF(D1219="BUY",N1219-VLOOKUP(A1219,Symbols!A$1:D$1000,4,FALSE),N1219+VLOOKUP(A1219,Symbols!A$1:D$1000,4,FALSE))</f>
        <v>#DIV/0!</v>
      </c>
      <c r="P1219" s="29">
        <f>P1218</f>
        <v>0</v>
      </c>
      <c r="Q1219" s="29">
        <f>Q1218</f>
        <v>0</v>
      </c>
      <c r="R1219" s="29">
        <f>R1218</f>
        <v>0</v>
      </c>
      <c r="S1219" s="29">
        <f>S1218</f>
        <v>0</v>
      </c>
      <c r="T1219" s="29">
        <f>T1218</f>
        <v>0</v>
      </c>
      <c r="U1219" s="29" t="e">
        <f>DATEDIF(DATE(1970,1,1),U1218,"D")*86400</f>
        <v>#NUM!</v>
      </c>
      <c r="V1219" s="29">
        <f>HOUR(V1218)*3600+MINUTE(V1218)*60+SECOND(V1218)</f>
        <v>0</v>
      </c>
      <c r="W1219" s="29" t="e">
        <f>DATEDIF(DATE(1970,1,1),W1218,"D")*86400</f>
        <v>#NUM!</v>
      </c>
      <c r="X1219" s="29">
        <f>HOUR(X1218)*3600+MINUTE(X1218)*60+SECOND(X1218)</f>
        <v>0</v>
      </c>
      <c r="Y1219" s="31">
        <f>(Y1218*B1219)</f>
        <v>0</v>
      </c>
      <c r="Z1219" s="29">
        <f>Z1218</f>
        <v>0</v>
      </c>
      <c r="AA1219" s="29" t="e">
        <f>DATEDIF(DATE(1970,1,1),AA1218,"D")*86400</f>
        <v>#NUM!</v>
      </c>
      <c r="AB1219" s="29">
        <f>HOUR(AB1218)*3600+MINUTE(AB1218)*60+SECOND(AB1218)</f>
        <v>0</v>
      </c>
      <c r="AC1219" s="29">
        <f>AC1218</f>
        <v>0</v>
      </c>
    </row>
    <row r="1220" spans="1:29">
      <c r="A1220" s="23">
        <f>Parameters!A611</f>
        <v>0</v>
      </c>
      <c r="B1220" s="23">
        <f>Parameters!B611</f>
        <v>0</v>
      </c>
      <c r="C1220" s="24">
        <f>Parameters!C611</f>
        <v>0</v>
      </c>
      <c r="D1220" s="24">
        <f>Parameters!D611</f>
        <v>0</v>
      </c>
      <c r="E1220" s="23">
        <f>Parameters!E611</f>
        <v>0</v>
      </c>
      <c r="F1220" s="23">
        <f>Parameters!F611</f>
        <v>0</v>
      </c>
      <c r="G1220" s="25">
        <f>Parameters!G611</f>
        <v>0</v>
      </c>
      <c r="H1220" s="25">
        <f>Parameters!H611</f>
        <v>0</v>
      </c>
      <c r="I1220" s="25">
        <f>Parameters!I611</f>
        <v>0</v>
      </c>
      <c r="J1220" s="25">
        <f>Parameters!J611</f>
        <v>0</v>
      </c>
      <c r="K1220" s="25">
        <f>Parameters!K611</f>
        <v>0</v>
      </c>
      <c r="L1220" s="26" t="e">
        <f t="shared" ref="L1220" si="1824">L1221</f>
        <v>#DIV/0!</v>
      </c>
      <c r="M1220" s="25">
        <f>Parameters!L611</f>
        <v>0</v>
      </c>
      <c r="N1220" s="25">
        <f>Parameters!M611</f>
        <v>0</v>
      </c>
      <c r="O1220" s="26" t="e">
        <f t="shared" ref="O1220" si="1825">O1221</f>
        <v>#DIV/0!</v>
      </c>
      <c r="P1220" s="23">
        <f>Parameters!N611</f>
        <v>0</v>
      </c>
      <c r="Q1220" s="23">
        <f>Parameters!O611</f>
        <v>0</v>
      </c>
      <c r="R1220" s="23">
        <f>Parameters!P611</f>
        <v>0</v>
      </c>
      <c r="S1220" s="23">
        <f>Parameters!Q611</f>
        <v>0</v>
      </c>
      <c r="T1220" s="23">
        <f>Parameters!R611</f>
        <v>0</v>
      </c>
      <c r="U1220" s="27">
        <f>Parameters!S611</f>
        <v>0</v>
      </c>
      <c r="V1220" s="28">
        <f>Parameters!T611</f>
        <v>0</v>
      </c>
      <c r="W1220" s="27">
        <f>Parameters!U611</f>
        <v>0</v>
      </c>
      <c r="X1220" s="28">
        <f>Parameters!V611</f>
        <v>0</v>
      </c>
      <c r="Y1220" s="25">
        <f>Parameters!W611</f>
        <v>0</v>
      </c>
      <c r="Z1220" s="23">
        <f>Parameters!X611</f>
        <v>0</v>
      </c>
      <c r="AA1220" s="27">
        <f>Parameters!Y611</f>
        <v>0</v>
      </c>
      <c r="AB1220" s="28">
        <f>Parameters!Z611</f>
        <v>0</v>
      </c>
      <c r="AC1220" s="23">
        <f>Parameters!AA611</f>
        <v>0</v>
      </c>
    </row>
    <row r="1221" spans="1:29">
      <c r="A1221" s="29" t="str">
        <f>UPPER(A1220)</f>
        <v>0</v>
      </c>
      <c r="B1221" s="29">
        <f>B1220</f>
        <v>0</v>
      </c>
      <c r="C1221" s="30">
        <f>C1220</f>
        <v>0</v>
      </c>
      <c r="D1221" s="30">
        <f>D1220</f>
        <v>0</v>
      </c>
      <c r="E1221" s="29">
        <f>E1220</f>
        <v>0</v>
      </c>
      <c r="F1221" s="29">
        <f>F1220</f>
        <v>0</v>
      </c>
      <c r="G1221" s="29" t="e">
        <f>IF(C1220=1,IF(D1220="BUY",E1220+(ROUND(F1220*G1220/B1220,0)*B1220),E1220-(ROUND(F1220*G1220/B1220,0)*B1220)),IF(D1220="BUY",E1220-(ROUND(F1220*G1220/B1220,0)*B1220),E1220+(ROUND(F1220*G1220/B1220,0)*B1220)))</f>
        <v>#DIV/0!</v>
      </c>
      <c r="H1221" s="29" t="e">
        <f>IF(C1220=1,IF(D1220="BUY",G1221-(ROUND(F1220*H1220/B1220,0)*B1220),G1221+(ROUND(F1220*H1220/B1220,0)*B1220)),IF(D1220="BUY",G1221+(ROUND(F1220*H1220/B1220,0)*B1220),G1221-(ROUND(F1220*H1220/B1220,0)*B1220)))</f>
        <v>#DIV/0!</v>
      </c>
      <c r="I1221" s="29" t="e">
        <f>IF(D1220="BUY",G1221+(ROUND(F1220*I1220/(B1220*100),0)*B1220),G1221-(ROUND(F1220*I1220/(B1220*100),0)*B1220))</f>
        <v>#DIV/0!</v>
      </c>
      <c r="J1221" s="29" t="e">
        <f>IF(C1220=1,IF(D1220="BUY",E1220+(ROUND(F1220*J1220/B1220,0)*B1220),E1220-(ROUND(F1220*J1220/B1220,0)*B1220)),IF(D1220="BUY",E1220-(ROUND(F1220*J1220/B1220,0)*B1220),E1220+(ROUND(F1220*J1220/B1220,0)*B1220)))</f>
        <v>#DIV/0!</v>
      </c>
      <c r="K1221" s="29" t="e">
        <f>IF(C1220=1,IF(D1220="BUY",E1220-(ROUND(F1220*K1220/B1220,0)*B1220),E1220+(ROUND(F1220*K1220/B1220,0)*B1220)),IF(D1220="BUY",E1220-(ROUND(F1220*K1220/B1220,0)*B1220),E1220+(ROUND(F1220*K1220/B1220,0)*B1220)))</f>
        <v>#DIV/0!</v>
      </c>
      <c r="L1221" s="29" t="e">
        <f t="shared" ref="L1221" si="1826">IF(D1221="BUY",I1221+(R1221*B1221),I1221-(R1221*B1221))</f>
        <v>#DIV/0!</v>
      </c>
      <c r="M1221" s="29" t="e">
        <f>IF(D1220="BUY",E1220+(ROUND(F1220*M1220/B1220,0)*B1220),E1220-(ROUND(F1220*M1220/B1220,0)*B1220))</f>
        <v>#DIV/0!</v>
      </c>
      <c r="N1221" s="29" t="e">
        <f>IF(D1220="BUY",E1220-(ROUND(F1220*N1220/B1220,0)*B1220),E1220+(ROUND(F1220*N1220/B1220,0)*B1220))</f>
        <v>#DIV/0!</v>
      </c>
      <c r="O1221" s="31" t="e">
        <f>IF(D1221="BUY",N1221-VLOOKUP(A1221,Symbols!A$1:D$1000,4,FALSE),N1221+VLOOKUP(A1221,Symbols!A$1:D$1000,4,FALSE))</f>
        <v>#DIV/0!</v>
      </c>
      <c r="P1221" s="29">
        <f>P1220</f>
        <v>0</v>
      </c>
      <c r="Q1221" s="29">
        <f>Q1220</f>
        <v>0</v>
      </c>
      <c r="R1221" s="29">
        <f>R1220</f>
        <v>0</v>
      </c>
      <c r="S1221" s="29">
        <f>S1220</f>
        <v>0</v>
      </c>
      <c r="T1221" s="29">
        <f>T1220</f>
        <v>0</v>
      </c>
      <c r="U1221" s="29" t="e">
        <f>DATEDIF(DATE(1970,1,1),U1220,"D")*86400</f>
        <v>#NUM!</v>
      </c>
      <c r="V1221" s="29">
        <f>HOUR(V1220)*3600+MINUTE(V1220)*60+SECOND(V1220)</f>
        <v>0</v>
      </c>
      <c r="W1221" s="29" t="e">
        <f>DATEDIF(DATE(1970,1,1),W1220,"D")*86400</f>
        <v>#NUM!</v>
      </c>
      <c r="X1221" s="29">
        <f>HOUR(X1220)*3600+MINUTE(X1220)*60+SECOND(X1220)</f>
        <v>0</v>
      </c>
      <c r="Y1221" s="31">
        <f>(Y1220*B1221)</f>
        <v>0</v>
      </c>
      <c r="Z1221" s="29">
        <f>Z1220</f>
        <v>0</v>
      </c>
      <c r="AA1221" s="29" t="e">
        <f>DATEDIF(DATE(1970,1,1),AA1220,"D")*86400</f>
        <v>#NUM!</v>
      </c>
      <c r="AB1221" s="29">
        <f>HOUR(AB1220)*3600+MINUTE(AB1220)*60+SECOND(AB1220)</f>
        <v>0</v>
      </c>
      <c r="AC1221" s="29">
        <f>AC1220</f>
        <v>0</v>
      </c>
    </row>
    <row r="1222" spans="1:29">
      <c r="A1222" s="23">
        <f>Parameters!A612</f>
        <v>0</v>
      </c>
      <c r="B1222" s="23">
        <f>Parameters!B612</f>
        <v>0</v>
      </c>
      <c r="C1222" s="24">
        <f>Parameters!C612</f>
        <v>0</v>
      </c>
      <c r="D1222" s="24">
        <f>Parameters!D612</f>
        <v>0</v>
      </c>
      <c r="E1222" s="23">
        <f>Parameters!E612</f>
        <v>0</v>
      </c>
      <c r="F1222" s="23">
        <f>Parameters!F612</f>
        <v>0</v>
      </c>
      <c r="G1222" s="25">
        <f>Parameters!G612</f>
        <v>0</v>
      </c>
      <c r="H1222" s="25">
        <f>Parameters!H612</f>
        <v>0</v>
      </c>
      <c r="I1222" s="25">
        <f>Parameters!I612</f>
        <v>0</v>
      </c>
      <c r="J1222" s="25">
        <f>Parameters!J612</f>
        <v>0</v>
      </c>
      <c r="K1222" s="25">
        <f>Parameters!K612</f>
        <v>0</v>
      </c>
      <c r="L1222" s="26" t="e">
        <f t="shared" ref="L1222" si="1827">L1223</f>
        <v>#DIV/0!</v>
      </c>
      <c r="M1222" s="25">
        <f>Parameters!L612</f>
        <v>0</v>
      </c>
      <c r="N1222" s="25">
        <f>Parameters!M612</f>
        <v>0</v>
      </c>
      <c r="O1222" s="26" t="e">
        <f t="shared" ref="O1222" si="1828">O1223</f>
        <v>#DIV/0!</v>
      </c>
      <c r="P1222" s="23">
        <f>Parameters!N612</f>
        <v>0</v>
      </c>
      <c r="Q1222" s="23">
        <f>Parameters!O612</f>
        <v>0</v>
      </c>
      <c r="R1222" s="23">
        <f>Parameters!P612</f>
        <v>0</v>
      </c>
      <c r="S1222" s="23">
        <f>Parameters!Q612</f>
        <v>0</v>
      </c>
      <c r="T1222" s="23">
        <f>Parameters!R612</f>
        <v>0</v>
      </c>
      <c r="U1222" s="27">
        <f>Parameters!S612</f>
        <v>0</v>
      </c>
      <c r="V1222" s="28">
        <f>Parameters!T612</f>
        <v>0</v>
      </c>
      <c r="W1222" s="27">
        <f>Parameters!U612</f>
        <v>0</v>
      </c>
      <c r="X1222" s="28">
        <f>Parameters!V612</f>
        <v>0</v>
      </c>
      <c r="Y1222" s="25">
        <f>Parameters!W612</f>
        <v>0</v>
      </c>
      <c r="Z1222" s="23">
        <f>Parameters!X612</f>
        <v>0</v>
      </c>
      <c r="AA1222" s="27">
        <f>Parameters!Y612</f>
        <v>0</v>
      </c>
      <c r="AB1222" s="28">
        <f>Parameters!Z612</f>
        <v>0</v>
      </c>
      <c r="AC1222" s="23">
        <f>Parameters!AA612</f>
        <v>0</v>
      </c>
    </row>
    <row r="1223" spans="1:29">
      <c r="A1223" s="29" t="str">
        <f>UPPER(A1222)</f>
        <v>0</v>
      </c>
      <c r="B1223" s="29">
        <f>B1222</f>
        <v>0</v>
      </c>
      <c r="C1223" s="30">
        <f>C1222</f>
        <v>0</v>
      </c>
      <c r="D1223" s="30">
        <f>D1222</f>
        <v>0</v>
      </c>
      <c r="E1223" s="29">
        <f>E1222</f>
        <v>0</v>
      </c>
      <c r="F1223" s="29">
        <f>F1222</f>
        <v>0</v>
      </c>
      <c r="G1223" s="29" t="e">
        <f>IF(C1222=1,IF(D1222="BUY",E1222+(ROUND(F1222*G1222/B1222,0)*B1222),E1222-(ROUND(F1222*G1222/B1222,0)*B1222)),IF(D1222="BUY",E1222-(ROUND(F1222*G1222/B1222,0)*B1222),E1222+(ROUND(F1222*G1222/B1222,0)*B1222)))</f>
        <v>#DIV/0!</v>
      </c>
      <c r="H1223" s="29" t="e">
        <f>IF(C1222=1,IF(D1222="BUY",G1223-(ROUND(F1222*H1222/B1222,0)*B1222),G1223+(ROUND(F1222*H1222/B1222,0)*B1222)),IF(D1222="BUY",G1223+(ROUND(F1222*H1222/B1222,0)*B1222),G1223-(ROUND(F1222*H1222/B1222,0)*B1222)))</f>
        <v>#DIV/0!</v>
      </c>
      <c r="I1223" s="29" t="e">
        <f>IF(D1222="BUY",G1223+(ROUND(F1222*I1222/(B1222*100),0)*B1222),G1223-(ROUND(F1222*I1222/(B1222*100),0)*B1222))</f>
        <v>#DIV/0!</v>
      </c>
      <c r="J1223" s="29" t="e">
        <f>IF(C1222=1,IF(D1222="BUY",E1222+(ROUND(F1222*J1222/B1222,0)*B1222),E1222-(ROUND(F1222*J1222/B1222,0)*B1222)),IF(D1222="BUY",E1222-(ROUND(F1222*J1222/B1222,0)*B1222),E1222+(ROUND(F1222*J1222/B1222,0)*B1222)))</f>
        <v>#DIV/0!</v>
      </c>
      <c r="K1223" s="29" t="e">
        <f>IF(C1222=1,IF(D1222="BUY",E1222-(ROUND(F1222*K1222/B1222,0)*B1222),E1222+(ROUND(F1222*K1222/B1222,0)*B1222)),IF(D1222="BUY",E1222-(ROUND(F1222*K1222/B1222,0)*B1222),E1222+(ROUND(F1222*K1222/B1222,0)*B1222)))</f>
        <v>#DIV/0!</v>
      </c>
      <c r="L1223" s="29" t="e">
        <f t="shared" ref="L1223" si="1829">IF(D1223="BUY",I1223+(R1223*B1223),I1223-(R1223*B1223))</f>
        <v>#DIV/0!</v>
      </c>
      <c r="M1223" s="29" t="e">
        <f>IF(D1222="BUY",E1222+(ROUND(F1222*M1222/B1222,0)*B1222),E1222-(ROUND(F1222*M1222/B1222,0)*B1222))</f>
        <v>#DIV/0!</v>
      </c>
      <c r="N1223" s="29" t="e">
        <f>IF(D1222="BUY",E1222-(ROUND(F1222*N1222/B1222,0)*B1222),E1222+(ROUND(F1222*N1222/B1222,0)*B1222))</f>
        <v>#DIV/0!</v>
      </c>
      <c r="O1223" s="31" t="e">
        <f>IF(D1223="BUY",N1223-VLOOKUP(A1223,Symbols!A$1:D$1000,4,FALSE),N1223+VLOOKUP(A1223,Symbols!A$1:D$1000,4,FALSE))</f>
        <v>#DIV/0!</v>
      </c>
      <c r="P1223" s="29">
        <f>P1222</f>
        <v>0</v>
      </c>
      <c r="Q1223" s="29">
        <f>Q1222</f>
        <v>0</v>
      </c>
      <c r="R1223" s="29">
        <f>R1222</f>
        <v>0</v>
      </c>
      <c r="S1223" s="29">
        <f>S1222</f>
        <v>0</v>
      </c>
      <c r="T1223" s="29">
        <f>T1222</f>
        <v>0</v>
      </c>
      <c r="U1223" s="29" t="e">
        <f>DATEDIF(DATE(1970,1,1),U1222,"D")*86400</f>
        <v>#NUM!</v>
      </c>
      <c r="V1223" s="29">
        <f>HOUR(V1222)*3600+MINUTE(V1222)*60+SECOND(V1222)</f>
        <v>0</v>
      </c>
      <c r="W1223" s="29" t="e">
        <f>DATEDIF(DATE(1970,1,1),W1222,"D")*86400</f>
        <v>#NUM!</v>
      </c>
      <c r="X1223" s="29">
        <f>HOUR(X1222)*3600+MINUTE(X1222)*60+SECOND(X1222)</f>
        <v>0</v>
      </c>
      <c r="Y1223" s="31">
        <f>(Y1222*B1223)</f>
        <v>0</v>
      </c>
      <c r="Z1223" s="29">
        <f>Z1222</f>
        <v>0</v>
      </c>
      <c r="AA1223" s="29" t="e">
        <f>DATEDIF(DATE(1970,1,1),AA1222,"D")*86400</f>
        <v>#NUM!</v>
      </c>
      <c r="AB1223" s="29">
        <f>HOUR(AB1222)*3600+MINUTE(AB1222)*60+SECOND(AB1222)</f>
        <v>0</v>
      </c>
      <c r="AC1223" s="29">
        <f>AC1222</f>
        <v>0</v>
      </c>
    </row>
    <row r="1224" spans="1:29">
      <c r="A1224" s="23">
        <f>Parameters!A613</f>
        <v>0</v>
      </c>
      <c r="B1224" s="23">
        <f>Parameters!B613</f>
        <v>0</v>
      </c>
      <c r="C1224" s="24">
        <f>Parameters!C613</f>
        <v>0</v>
      </c>
      <c r="D1224" s="24">
        <f>Parameters!D613</f>
        <v>0</v>
      </c>
      <c r="E1224" s="23">
        <f>Parameters!E613</f>
        <v>0</v>
      </c>
      <c r="F1224" s="23">
        <f>Parameters!F613</f>
        <v>0</v>
      </c>
      <c r="G1224" s="25">
        <f>Parameters!G613</f>
        <v>0</v>
      </c>
      <c r="H1224" s="25">
        <f>Parameters!H613</f>
        <v>0</v>
      </c>
      <c r="I1224" s="25">
        <f>Parameters!I613</f>
        <v>0</v>
      </c>
      <c r="J1224" s="25">
        <f>Parameters!J613</f>
        <v>0</v>
      </c>
      <c r="K1224" s="25">
        <f>Parameters!K613</f>
        <v>0</v>
      </c>
      <c r="L1224" s="26" t="e">
        <f t="shared" ref="L1224" si="1830">L1225</f>
        <v>#DIV/0!</v>
      </c>
      <c r="M1224" s="25">
        <f>Parameters!L613</f>
        <v>0</v>
      </c>
      <c r="N1224" s="25">
        <f>Parameters!M613</f>
        <v>0</v>
      </c>
      <c r="O1224" s="26" t="e">
        <f t="shared" ref="O1224" si="1831">O1225</f>
        <v>#DIV/0!</v>
      </c>
      <c r="P1224" s="23">
        <f>Parameters!N613</f>
        <v>0</v>
      </c>
      <c r="Q1224" s="23">
        <f>Parameters!O613</f>
        <v>0</v>
      </c>
      <c r="R1224" s="23">
        <f>Parameters!P613</f>
        <v>0</v>
      </c>
      <c r="S1224" s="23">
        <f>Parameters!Q613</f>
        <v>0</v>
      </c>
      <c r="T1224" s="23">
        <f>Parameters!R613</f>
        <v>0</v>
      </c>
      <c r="U1224" s="27">
        <f>Parameters!S613</f>
        <v>0</v>
      </c>
      <c r="V1224" s="28">
        <f>Parameters!T613</f>
        <v>0</v>
      </c>
      <c r="W1224" s="27">
        <f>Parameters!U613</f>
        <v>0</v>
      </c>
      <c r="X1224" s="28">
        <f>Parameters!V613</f>
        <v>0</v>
      </c>
      <c r="Y1224" s="25">
        <f>Parameters!W613</f>
        <v>0</v>
      </c>
      <c r="Z1224" s="23">
        <f>Parameters!X613</f>
        <v>0</v>
      </c>
      <c r="AA1224" s="27">
        <f>Parameters!Y613</f>
        <v>0</v>
      </c>
      <c r="AB1224" s="28">
        <f>Parameters!Z613</f>
        <v>0</v>
      </c>
      <c r="AC1224" s="23">
        <f>Parameters!AA613</f>
        <v>0</v>
      </c>
    </row>
    <row r="1225" spans="1:29">
      <c r="A1225" s="29" t="str">
        <f>UPPER(A1224)</f>
        <v>0</v>
      </c>
      <c r="B1225" s="29">
        <f>B1224</f>
        <v>0</v>
      </c>
      <c r="C1225" s="30">
        <f>C1224</f>
        <v>0</v>
      </c>
      <c r="D1225" s="30">
        <f>D1224</f>
        <v>0</v>
      </c>
      <c r="E1225" s="29">
        <f>E1224</f>
        <v>0</v>
      </c>
      <c r="F1225" s="29">
        <f>F1224</f>
        <v>0</v>
      </c>
      <c r="G1225" s="29" t="e">
        <f>IF(C1224=1,IF(D1224="BUY",E1224+(ROUND(F1224*G1224/B1224,0)*B1224),E1224-(ROUND(F1224*G1224/B1224,0)*B1224)),IF(D1224="BUY",E1224-(ROUND(F1224*G1224/B1224,0)*B1224),E1224+(ROUND(F1224*G1224/B1224,0)*B1224)))</f>
        <v>#DIV/0!</v>
      </c>
      <c r="H1225" s="29" t="e">
        <f>IF(C1224=1,IF(D1224="BUY",G1225-(ROUND(F1224*H1224/B1224,0)*B1224),G1225+(ROUND(F1224*H1224/B1224,0)*B1224)),IF(D1224="BUY",G1225+(ROUND(F1224*H1224/B1224,0)*B1224),G1225-(ROUND(F1224*H1224/B1224,0)*B1224)))</f>
        <v>#DIV/0!</v>
      </c>
      <c r="I1225" s="29" t="e">
        <f>IF(D1224="BUY",G1225+(ROUND(F1224*I1224/(B1224*100),0)*B1224),G1225-(ROUND(F1224*I1224/(B1224*100),0)*B1224))</f>
        <v>#DIV/0!</v>
      </c>
      <c r="J1225" s="29" t="e">
        <f>IF(C1224=1,IF(D1224="BUY",E1224+(ROUND(F1224*J1224/B1224,0)*B1224),E1224-(ROUND(F1224*J1224/B1224,0)*B1224)),IF(D1224="BUY",E1224-(ROUND(F1224*J1224/B1224,0)*B1224),E1224+(ROUND(F1224*J1224/B1224,0)*B1224)))</f>
        <v>#DIV/0!</v>
      </c>
      <c r="K1225" s="29" t="e">
        <f>IF(C1224=1,IF(D1224="BUY",E1224-(ROUND(F1224*K1224/B1224,0)*B1224),E1224+(ROUND(F1224*K1224/B1224,0)*B1224)),IF(D1224="BUY",E1224-(ROUND(F1224*K1224/B1224,0)*B1224),E1224+(ROUND(F1224*K1224/B1224,0)*B1224)))</f>
        <v>#DIV/0!</v>
      </c>
      <c r="L1225" s="29" t="e">
        <f t="shared" ref="L1225" si="1832">IF(D1225="BUY",I1225+(R1225*B1225),I1225-(R1225*B1225))</f>
        <v>#DIV/0!</v>
      </c>
      <c r="M1225" s="29" t="e">
        <f>IF(D1224="BUY",E1224+(ROUND(F1224*M1224/B1224,0)*B1224),E1224-(ROUND(F1224*M1224/B1224,0)*B1224))</f>
        <v>#DIV/0!</v>
      </c>
      <c r="N1225" s="29" t="e">
        <f>IF(D1224="BUY",E1224-(ROUND(F1224*N1224/B1224,0)*B1224),E1224+(ROUND(F1224*N1224/B1224,0)*B1224))</f>
        <v>#DIV/0!</v>
      </c>
      <c r="O1225" s="31" t="e">
        <f>IF(D1225="BUY",N1225-VLOOKUP(A1225,Symbols!A$1:D$1000,4,FALSE),N1225+VLOOKUP(A1225,Symbols!A$1:D$1000,4,FALSE))</f>
        <v>#DIV/0!</v>
      </c>
      <c r="P1225" s="29">
        <f>P1224</f>
        <v>0</v>
      </c>
      <c r="Q1225" s="29">
        <f>Q1224</f>
        <v>0</v>
      </c>
      <c r="R1225" s="29">
        <f>R1224</f>
        <v>0</v>
      </c>
      <c r="S1225" s="29">
        <f>S1224</f>
        <v>0</v>
      </c>
      <c r="T1225" s="29">
        <f>T1224</f>
        <v>0</v>
      </c>
      <c r="U1225" s="29" t="e">
        <f>DATEDIF(DATE(1970,1,1),U1224,"D")*86400</f>
        <v>#NUM!</v>
      </c>
      <c r="V1225" s="29">
        <f>HOUR(V1224)*3600+MINUTE(V1224)*60+SECOND(V1224)</f>
        <v>0</v>
      </c>
      <c r="W1225" s="29" t="e">
        <f>DATEDIF(DATE(1970,1,1),W1224,"D")*86400</f>
        <v>#NUM!</v>
      </c>
      <c r="X1225" s="29">
        <f>HOUR(X1224)*3600+MINUTE(X1224)*60+SECOND(X1224)</f>
        <v>0</v>
      </c>
      <c r="Y1225" s="31">
        <f>(Y1224*B1225)</f>
        <v>0</v>
      </c>
      <c r="Z1225" s="29">
        <f>Z1224</f>
        <v>0</v>
      </c>
      <c r="AA1225" s="29" t="e">
        <f>DATEDIF(DATE(1970,1,1),AA1224,"D")*86400</f>
        <v>#NUM!</v>
      </c>
      <c r="AB1225" s="29">
        <f>HOUR(AB1224)*3600+MINUTE(AB1224)*60+SECOND(AB1224)</f>
        <v>0</v>
      </c>
      <c r="AC1225" s="29">
        <f>AC1224</f>
        <v>0</v>
      </c>
    </row>
    <row r="1226" spans="1:29">
      <c r="A1226" s="23">
        <f>Parameters!A614</f>
        <v>0</v>
      </c>
      <c r="B1226" s="23">
        <f>Parameters!B614</f>
        <v>0</v>
      </c>
      <c r="C1226" s="24">
        <f>Parameters!C614</f>
        <v>0</v>
      </c>
      <c r="D1226" s="24">
        <f>Parameters!D614</f>
        <v>0</v>
      </c>
      <c r="E1226" s="23">
        <f>Parameters!E614</f>
        <v>0</v>
      </c>
      <c r="F1226" s="23">
        <f>Parameters!F614</f>
        <v>0</v>
      </c>
      <c r="G1226" s="25">
        <f>Parameters!G614</f>
        <v>0</v>
      </c>
      <c r="H1226" s="25">
        <f>Parameters!H614</f>
        <v>0</v>
      </c>
      <c r="I1226" s="25">
        <f>Parameters!I614</f>
        <v>0</v>
      </c>
      <c r="J1226" s="25">
        <f>Parameters!J614</f>
        <v>0</v>
      </c>
      <c r="K1226" s="25">
        <f>Parameters!K614</f>
        <v>0</v>
      </c>
      <c r="L1226" s="26" t="e">
        <f t="shared" ref="L1226" si="1833">L1227</f>
        <v>#DIV/0!</v>
      </c>
      <c r="M1226" s="25">
        <f>Parameters!L614</f>
        <v>0</v>
      </c>
      <c r="N1226" s="25">
        <f>Parameters!M614</f>
        <v>0</v>
      </c>
      <c r="O1226" s="26" t="e">
        <f t="shared" ref="O1226" si="1834">O1227</f>
        <v>#DIV/0!</v>
      </c>
      <c r="P1226" s="23">
        <f>Parameters!N614</f>
        <v>0</v>
      </c>
      <c r="Q1226" s="23">
        <f>Parameters!O614</f>
        <v>0</v>
      </c>
      <c r="R1226" s="23">
        <f>Parameters!P614</f>
        <v>0</v>
      </c>
      <c r="S1226" s="23">
        <f>Parameters!Q614</f>
        <v>0</v>
      </c>
      <c r="T1226" s="23">
        <f>Parameters!R614</f>
        <v>0</v>
      </c>
      <c r="U1226" s="27">
        <f>Parameters!S614</f>
        <v>0</v>
      </c>
      <c r="V1226" s="28">
        <f>Parameters!T614</f>
        <v>0</v>
      </c>
      <c r="W1226" s="27">
        <f>Parameters!U614</f>
        <v>0</v>
      </c>
      <c r="X1226" s="28">
        <f>Parameters!V614</f>
        <v>0</v>
      </c>
      <c r="Y1226" s="25">
        <f>Parameters!W614</f>
        <v>0</v>
      </c>
      <c r="Z1226" s="23">
        <f>Parameters!X614</f>
        <v>0</v>
      </c>
      <c r="AA1226" s="27">
        <f>Parameters!Y614</f>
        <v>0</v>
      </c>
      <c r="AB1226" s="28">
        <f>Parameters!Z614</f>
        <v>0</v>
      </c>
      <c r="AC1226" s="23">
        <f>Parameters!AA614</f>
        <v>0</v>
      </c>
    </row>
    <row r="1227" spans="1:29">
      <c r="A1227" s="29" t="str">
        <f>UPPER(A1226)</f>
        <v>0</v>
      </c>
      <c r="B1227" s="29">
        <f>B1226</f>
        <v>0</v>
      </c>
      <c r="C1227" s="30">
        <f>C1226</f>
        <v>0</v>
      </c>
      <c r="D1227" s="30">
        <f>D1226</f>
        <v>0</v>
      </c>
      <c r="E1227" s="29">
        <f>E1226</f>
        <v>0</v>
      </c>
      <c r="F1227" s="29">
        <f>F1226</f>
        <v>0</v>
      </c>
      <c r="G1227" s="29" t="e">
        <f>IF(C1226=1,IF(D1226="BUY",E1226+(ROUND(F1226*G1226/B1226,0)*B1226),E1226-(ROUND(F1226*G1226/B1226,0)*B1226)),IF(D1226="BUY",E1226-(ROUND(F1226*G1226/B1226,0)*B1226),E1226+(ROUND(F1226*G1226/B1226,0)*B1226)))</f>
        <v>#DIV/0!</v>
      </c>
      <c r="H1227" s="29" t="e">
        <f>IF(C1226=1,IF(D1226="BUY",G1227-(ROUND(F1226*H1226/B1226,0)*B1226),G1227+(ROUND(F1226*H1226/B1226,0)*B1226)),IF(D1226="BUY",G1227+(ROUND(F1226*H1226/B1226,0)*B1226),G1227-(ROUND(F1226*H1226/B1226,0)*B1226)))</f>
        <v>#DIV/0!</v>
      </c>
      <c r="I1227" s="29" t="e">
        <f>IF(D1226="BUY",G1227+(ROUND(F1226*I1226/(B1226*100),0)*B1226),G1227-(ROUND(F1226*I1226/(B1226*100),0)*B1226))</f>
        <v>#DIV/0!</v>
      </c>
      <c r="J1227" s="29" t="e">
        <f>IF(C1226=1,IF(D1226="BUY",E1226+(ROUND(F1226*J1226/B1226,0)*B1226),E1226-(ROUND(F1226*J1226/B1226,0)*B1226)),IF(D1226="BUY",E1226-(ROUND(F1226*J1226/B1226,0)*B1226),E1226+(ROUND(F1226*J1226/B1226,0)*B1226)))</f>
        <v>#DIV/0!</v>
      </c>
      <c r="K1227" s="29" t="e">
        <f>IF(C1226=1,IF(D1226="BUY",E1226-(ROUND(F1226*K1226/B1226,0)*B1226),E1226+(ROUND(F1226*K1226/B1226,0)*B1226)),IF(D1226="BUY",E1226-(ROUND(F1226*K1226/B1226,0)*B1226),E1226+(ROUND(F1226*K1226/B1226,0)*B1226)))</f>
        <v>#DIV/0!</v>
      </c>
      <c r="L1227" s="29" t="e">
        <f t="shared" ref="L1227" si="1835">IF(D1227="BUY",I1227+(R1227*B1227),I1227-(R1227*B1227))</f>
        <v>#DIV/0!</v>
      </c>
      <c r="M1227" s="29" t="e">
        <f>IF(D1226="BUY",E1226+(ROUND(F1226*M1226/B1226,0)*B1226),E1226-(ROUND(F1226*M1226/B1226,0)*B1226))</f>
        <v>#DIV/0!</v>
      </c>
      <c r="N1227" s="29" t="e">
        <f>IF(D1226="BUY",E1226-(ROUND(F1226*N1226/B1226,0)*B1226),E1226+(ROUND(F1226*N1226/B1226,0)*B1226))</f>
        <v>#DIV/0!</v>
      </c>
      <c r="O1227" s="31" t="e">
        <f>IF(D1227="BUY",N1227-VLOOKUP(A1227,Symbols!A$1:D$1000,4,FALSE),N1227+VLOOKUP(A1227,Symbols!A$1:D$1000,4,FALSE))</f>
        <v>#DIV/0!</v>
      </c>
      <c r="P1227" s="29">
        <f>P1226</f>
        <v>0</v>
      </c>
      <c r="Q1227" s="29">
        <f>Q1226</f>
        <v>0</v>
      </c>
      <c r="R1227" s="29">
        <f>R1226</f>
        <v>0</v>
      </c>
      <c r="S1227" s="29">
        <f>S1226</f>
        <v>0</v>
      </c>
      <c r="T1227" s="29">
        <f>T1226</f>
        <v>0</v>
      </c>
      <c r="U1227" s="29" t="e">
        <f>DATEDIF(DATE(1970,1,1),U1226,"D")*86400</f>
        <v>#NUM!</v>
      </c>
      <c r="V1227" s="29">
        <f>HOUR(V1226)*3600+MINUTE(V1226)*60+SECOND(V1226)</f>
        <v>0</v>
      </c>
      <c r="W1227" s="29" t="e">
        <f>DATEDIF(DATE(1970,1,1),W1226,"D")*86400</f>
        <v>#NUM!</v>
      </c>
      <c r="X1227" s="29">
        <f>HOUR(X1226)*3600+MINUTE(X1226)*60+SECOND(X1226)</f>
        <v>0</v>
      </c>
      <c r="Y1227" s="31">
        <f>(Y1226*B1227)</f>
        <v>0</v>
      </c>
      <c r="Z1227" s="29">
        <f>Z1226</f>
        <v>0</v>
      </c>
      <c r="AA1227" s="29" t="e">
        <f>DATEDIF(DATE(1970,1,1),AA1226,"D")*86400</f>
        <v>#NUM!</v>
      </c>
      <c r="AB1227" s="29">
        <f>HOUR(AB1226)*3600+MINUTE(AB1226)*60+SECOND(AB1226)</f>
        <v>0</v>
      </c>
      <c r="AC1227" s="29">
        <f>AC1226</f>
        <v>0</v>
      </c>
    </row>
    <row r="1228" spans="1:29">
      <c r="A1228" s="23">
        <f>Parameters!A615</f>
        <v>0</v>
      </c>
      <c r="B1228" s="23">
        <f>Parameters!B615</f>
        <v>0</v>
      </c>
      <c r="C1228" s="24">
        <f>Parameters!C615</f>
        <v>0</v>
      </c>
      <c r="D1228" s="24">
        <f>Parameters!D615</f>
        <v>0</v>
      </c>
      <c r="E1228" s="23">
        <f>Parameters!E615</f>
        <v>0</v>
      </c>
      <c r="F1228" s="23">
        <f>Parameters!F615</f>
        <v>0</v>
      </c>
      <c r="G1228" s="25">
        <f>Parameters!G615</f>
        <v>0</v>
      </c>
      <c r="H1228" s="25">
        <f>Parameters!H615</f>
        <v>0</v>
      </c>
      <c r="I1228" s="25">
        <f>Parameters!I615</f>
        <v>0</v>
      </c>
      <c r="J1228" s="25">
        <f>Parameters!J615</f>
        <v>0</v>
      </c>
      <c r="K1228" s="25">
        <f>Parameters!K615</f>
        <v>0</v>
      </c>
      <c r="L1228" s="26" t="e">
        <f t="shared" ref="L1228" si="1836">L1229</f>
        <v>#DIV/0!</v>
      </c>
      <c r="M1228" s="25">
        <f>Parameters!L615</f>
        <v>0</v>
      </c>
      <c r="N1228" s="25">
        <f>Parameters!M615</f>
        <v>0</v>
      </c>
      <c r="O1228" s="26" t="e">
        <f t="shared" ref="O1228" si="1837">O1229</f>
        <v>#DIV/0!</v>
      </c>
      <c r="P1228" s="23">
        <f>Parameters!N615</f>
        <v>0</v>
      </c>
      <c r="Q1228" s="23">
        <f>Parameters!O615</f>
        <v>0</v>
      </c>
      <c r="R1228" s="23">
        <f>Parameters!P615</f>
        <v>0</v>
      </c>
      <c r="S1228" s="23">
        <f>Parameters!Q615</f>
        <v>0</v>
      </c>
      <c r="T1228" s="23">
        <f>Parameters!R615</f>
        <v>0</v>
      </c>
      <c r="U1228" s="27">
        <f>Parameters!S615</f>
        <v>0</v>
      </c>
      <c r="V1228" s="28">
        <f>Parameters!T615</f>
        <v>0</v>
      </c>
      <c r="W1228" s="27">
        <f>Parameters!U615</f>
        <v>0</v>
      </c>
      <c r="X1228" s="28">
        <f>Parameters!V615</f>
        <v>0</v>
      </c>
      <c r="Y1228" s="25">
        <f>Parameters!W615</f>
        <v>0</v>
      </c>
      <c r="Z1228" s="23">
        <f>Parameters!X615</f>
        <v>0</v>
      </c>
      <c r="AA1228" s="27">
        <f>Parameters!Y615</f>
        <v>0</v>
      </c>
      <c r="AB1228" s="28">
        <f>Parameters!Z615</f>
        <v>0</v>
      </c>
      <c r="AC1228" s="23">
        <f>Parameters!AA615</f>
        <v>0</v>
      </c>
    </row>
    <row r="1229" spans="1:29">
      <c r="A1229" s="29" t="str">
        <f>UPPER(A1228)</f>
        <v>0</v>
      </c>
      <c r="B1229" s="29">
        <f>B1228</f>
        <v>0</v>
      </c>
      <c r="C1229" s="30">
        <f>C1228</f>
        <v>0</v>
      </c>
      <c r="D1229" s="30">
        <f>D1228</f>
        <v>0</v>
      </c>
      <c r="E1229" s="29">
        <f>E1228</f>
        <v>0</v>
      </c>
      <c r="F1229" s="29">
        <f>F1228</f>
        <v>0</v>
      </c>
      <c r="G1229" s="29" t="e">
        <f>IF(C1228=1,IF(D1228="BUY",E1228+(ROUND(F1228*G1228/B1228,0)*B1228),E1228-(ROUND(F1228*G1228/B1228,0)*B1228)),IF(D1228="BUY",E1228-(ROUND(F1228*G1228/B1228,0)*B1228),E1228+(ROUND(F1228*G1228/B1228,0)*B1228)))</f>
        <v>#DIV/0!</v>
      </c>
      <c r="H1229" s="29" t="e">
        <f>IF(C1228=1,IF(D1228="BUY",G1229-(ROUND(F1228*H1228/B1228,0)*B1228),G1229+(ROUND(F1228*H1228/B1228,0)*B1228)),IF(D1228="BUY",G1229+(ROUND(F1228*H1228/B1228,0)*B1228),G1229-(ROUND(F1228*H1228/B1228,0)*B1228)))</f>
        <v>#DIV/0!</v>
      </c>
      <c r="I1229" s="29" t="e">
        <f>IF(D1228="BUY",G1229+(ROUND(F1228*I1228/(B1228*100),0)*B1228),G1229-(ROUND(F1228*I1228/(B1228*100),0)*B1228))</f>
        <v>#DIV/0!</v>
      </c>
      <c r="J1229" s="29" t="e">
        <f>IF(C1228=1,IF(D1228="BUY",E1228+(ROUND(F1228*J1228/B1228,0)*B1228),E1228-(ROUND(F1228*J1228/B1228,0)*B1228)),IF(D1228="BUY",E1228-(ROUND(F1228*J1228/B1228,0)*B1228),E1228+(ROUND(F1228*J1228/B1228,0)*B1228)))</f>
        <v>#DIV/0!</v>
      </c>
      <c r="K1229" s="29" t="e">
        <f>IF(C1228=1,IF(D1228="BUY",E1228-(ROUND(F1228*K1228/B1228,0)*B1228),E1228+(ROUND(F1228*K1228/B1228,0)*B1228)),IF(D1228="BUY",E1228-(ROUND(F1228*K1228/B1228,0)*B1228),E1228+(ROUND(F1228*K1228/B1228,0)*B1228)))</f>
        <v>#DIV/0!</v>
      </c>
      <c r="L1229" s="29" t="e">
        <f t="shared" ref="L1229" si="1838">IF(D1229="BUY",I1229+(R1229*B1229),I1229-(R1229*B1229))</f>
        <v>#DIV/0!</v>
      </c>
      <c r="M1229" s="29" t="e">
        <f>IF(D1228="BUY",E1228+(ROUND(F1228*M1228/B1228,0)*B1228),E1228-(ROUND(F1228*M1228/B1228,0)*B1228))</f>
        <v>#DIV/0!</v>
      </c>
      <c r="N1229" s="29" t="e">
        <f>IF(D1228="BUY",E1228-(ROUND(F1228*N1228/B1228,0)*B1228),E1228+(ROUND(F1228*N1228/B1228,0)*B1228))</f>
        <v>#DIV/0!</v>
      </c>
      <c r="O1229" s="31" t="e">
        <f>IF(D1229="BUY",N1229-VLOOKUP(A1229,Symbols!A$1:D$1000,4,FALSE),N1229+VLOOKUP(A1229,Symbols!A$1:D$1000,4,FALSE))</f>
        <v>#DIV/0!</v>
      </c>
      <c r="P1229" s="29">
        <f>P1228</f>
        <v>0</v>
      </c>
      <c r="Q1229" s="29">
        <f>Q1228</f>
        <v>0</v>
      </c>
      <c r="R1229" s="29">
        <f>R1228</f>
        <v>0</v>
      </c>
      <c r="S1229" s="29">
        <f>S1228</f>
        <v>0</v>
      </c>
      <c r="T1229" s="29">
        <f>T1228</f>
        <v>0</v>
      </c>
      <c r="U1229" s="29" t="e">
        <f>DATEDIF(DATE(1970,1,1),U1228,"D")*86400</f>
        <v>#NUM!</v>
      </c>
      <c r="V1229" s="29">
        <f>HOUR(V1228)*3600+MINUTE(V1228)*60+SECOND(V1228)</f>
        <v>0</v>
      </c>
      <c r="W1229" s="29" t="e">
        <f>DATEDIF(DATE(1970,1,1),W1228,"D")*86400</f>
        <v>#NUM!</v>
      </c>
      <c r="X1229" s="29">
        <f>HOUR(X1228)*3600+MINUTE(X1228)*60+SECOND(X1228)</f>
        <v>0</v>
      </c>
      <c r="Y1229" s="31">
        <f>(Y1228*B1229)</f>
        <v>0</v>
      </c>
      <c r="Z1229" s="29">
        <f>Z1228</f>
        <v>0</v>
      </c>
      <c r="AA1229" s="29" t="e">
        <f>DATEDIF(DATE(1970,1,1),AA1228,"D")*86400</f>
        <v>#NUM!</v>
      </c>
      <c r="AB1229" s="29">
        <f>HOUR(AB1228)*3600+MINUTE(AB1228)*60+SECOND(AB1228)</f>
        <v>0</v>
      </c>
      <c r="AC1229" s="29">
        <f>AC1228</f>
        <v>0</v>
      </c>
    </row>
    <row r="1230" spans="1:29">
      <c r="A1230" s="23">
        <f>Parameters!A616</f>
        <v>0</v>
      </c>
      <c r="B1230" s="23">
        <f>Parameters!B616</f>
        <v>0</v>
      </c>
      <c r="C1230" s="24">
        <f>Parameters!C616</f>
        <v>0</v>
      </c>
      <c r="D1230" s="24">
        <f>Parameters!D616</f>
        <v>0</v>
      </c>
      <c r="E1230" s="23">
        <f>Parameters!E616</f>
        <v>0</v>
      </c>
      <c r="F1230" s="23">
        <f>Parameters!F616</f>
        <v>0</v>
      </c>
      <c r="G1230" s="25">
        <f>Parameters!G616</f>
        <v>0</v>
      </c>
      <c r="H1230" s="25">
        <f>Parameters!H616</f>
        <v>0</v>
      </c>
      <c r="I1230" s="25">
        <f>Parameters!I616</f>
        <v>0</v>
      </c>
      <c r="J1230" s="25">
        <f>Parameters!J616</f>
        <v>0</v>
      </c>
      <c r="K1230" s="25">
        <f>Parameters!K616</f>
        <v>0</v>
      </c>
      <c r="L1230" s="26" t="e">
        <f t="shared" ref="L1230" si="1839">L1231</f>
        <v>#DIV/0!</v>
      </c>
      <c r="M1230" s="25">
        <f>Parameters!L616</f>
        <v>0</v>
      </c>
      <c r="N1230" s="25">
        <f>Parameters!M616</f>
        <v>0</v>
      </c>
      <c r="O1230" s="26" t="e">
        <f t="shared" ref="O1230" si="1840">O1231</f>
        <v>#DIV/0!</v>
      </c>
      <c r="P1230" s="23">
        <f>Parameters!N616</f>
        <v>0</v>
      </c>
      <c r="Q1230" s="23">
        <f>Parameters!O616</f>
        <v>0</v>
      </c>
      <c r="R1230" s="23">
        <f>Parameters!P616</f>
        <v>0</v>
      </c>
      <c r="S1230" s="23">
        <f>Parameters!Q616</f>
        <v>0</v>
      </c>
      <c r="T1230" s="23">
        <f>Parameters!R616</f>
        <v>0</v>
      </c>
      <c r="U1230" s="27">
        <f>Parameters!S616</f>
        <v>0</v>
      </c>
      <c r="V1230" s="28">
        <f>Parameters!T616</f>
        <v>0</v>
      </c>
      <c r="W1230" s="27">
        <f>Parameters!U616</f>
        <v>0</v>
      </c>
      <c r="X1230" s="28">
        <f>Parameters!V616</f>
        <v>0</v>
      </c>
      <c r="Y1230" s="25">
        <f>Parameters!W616</f>
        <v>0</v>
      </c>
      <c r="Z1230" s="23">
        <f>Parameters!X616</f>
        <v>0</v>
      </c>
      <c r="AA1230" s="27">
        <f>Parameters!Y616</f>
        <v>0</v>
      </c>
      <c r="AB1230" s="28">
        <f>Parameters!Z616</f>
        <v>0</v>
      </c>
      <c r="AC1230" s="23">
        <f>Parameters!AA616</f>
        <v>0</v>
      </c>
    </row>
    <row r="1231" spans="1:29">
      <c r="A1231" s="29" t="str">
        <f>UPPER(A1230)</f>
        <v>0</v>
      </c>
      <c r="B1231" s="29">
        <f>B1230</f>
        <v>0</v>
      </c>
      <c r="C1231" s="30">
        <f>C1230</f>
        <v>0</v>
      </c>
      <c r="D1231" s="30">
        <f>D1230</f>
        <v>0</v>
      </c>
      <c r="E1231" s="29">
        <f>E1230</f>
        <v>0</v>
      </c>
      <c r="F1231" s="29">
        <f>F1230</f>
        <v>0</v>
      </c>
      <c r="G1231" s="29" t="e">
        <f>IF(C1230=1,IF(D1230="BUY",E1230+(ROUND(F1230*G1230/B1230,0)*B1230),E1230-(ROUND(F1230*G1230/B1230,0)*B1230)),IF(D1230="BUY",E1230-(ROUND(F1230*G1230/B1230,0)*B1230),E1230+(ROUND(F1230*G1230/B1230,0)*B1230)))</f>
        <v>#DIV/0!</v>
      </c>
      <c r="H1231" s="29" t="e">
        <f>IF(C1230=1,IF(D1230="BUY",G1231-(ROUND(F1230*H1230/B1230,0)*B1230),G1231+(ROUND(F1230*H1230/B1230,0)*B1230)),IF(D1230="BUY",G1231+(ROUND(F1230*H1230/B1230,0)*B1230),G1231-(ROUND(F1230*H1230/B1230,0)*B1230)))</f>
        <v>#DIV/0!</v>
      </c>
      <c r="I1231" s="29" t="e">
        <f>IF(D1230="BUY",G1231+(ROUND(F1230*I1230/(B1230*100),0)*B1230),G1231-(ROUND(F1230*I1230/(B1230*100),0)*B1230))</f>
        <v>#DIV/0!</v>
      </c>
      <c r="J1231" s="29" t="e">
        <f>IF(C1230=1,IF(D1230="BUY",E1230+(ROUND(F1230*J1230/B1230,0)*B1230),E1230-(ROUND(F1230*J1230/B1230,0)*B1230)),IF(D1230="BUY",E1230-(ROUND(F1230*J1230/B1230,0)*B1230),E1230+(ROUND(F1230*J1230/B1230,0)*B1230)))</f>
        <v>#DIV/0!</v>
      </c>
      <c r="K1231" s="29" t="e">
        <f>IF(C1230=1,IF(D1230="BUY",E1230-(ROUND(F1230*K1230/B1230,0)*B1230),E1230+(ROUND(F1230*K1230/B1230,0)*B1230)),IF(D1230="BUY",E1230-(ROUND(F1230*K1230/B1230,0)*B1230),E1230+(ROUND(F1230*K1230/B1230,0)*B1230)))</f>
        <v>#DIV/0!</v>
      </c>
      <c r="L1231" s="29" t="e">
        <f t="shared" ref="L1231" si="1841">IF(D1231="BUY",I1231+(R1231*B1231),I1231-(R1231*B1231))</f>
        <v>#DIV/0!</v>
      </c>
      <c r="M1231" s="29" t="e">
        <f>IF(D1230="BUY",E1230+(ROUND(F1230*M1230/B1230,0)*B1230),E1230-(ROUND(F1230*M1230/B1230,0)*B1230))</f>
        <v>#DIV/0!</v>
      </c>
      <c r="N1231" s="29" t="e">
        <f>IF(D1230="BUY",E1230-(ROUND(F1230*N1230/B1230,0)*B1230),E1230+(ROUND(F1230*N1230/B1230,0)*B1230))</f>
        <v>#DIV/0!</v>
      </c>
      <c r="O1231" s="31" t="e">
        <f>IF(D1231="BUY",N1231-VLOOKUP(A1231,Symbols!A$1:D$1000,4,FALSE),N1231+VLOOKUP(A1231,Symbols!A$1:D$1000,4,FALSE))</f>
        <v>#DIV/0!</v>
      </c>
      <c r="P1231" s="29">
        <f>P1230</f>
        <v>0</v>
      </c>
      <c r="Q1231" s="29">
        <f>Q1230</f>
        <v>0</v>
      </c>
      <c r="R1231" s="29">
        <f>R1230</f>
        <v>0</v>
      </c>
      <c r="S1231" s="29">
        <f>S1230</f>
        <v>0</v>
      </c>
      <c r="T1231" s="29">
        <f>T1230</f>
        <v>0</v>
      </c>
      <c r="U1231" s="29" t="e">
        <f>DATEDIF(DATE(1970,1,1),U1230,"D")*86400</f>
        <v>#NUM!</v>
      </c>
      <c r="V1231" s="29">
        <f>HOUR(V1230)*3600+MINUTE(V1230)*60+SECOND(V1230)</f>
        <v>0</v>
      </c>
      <c r="W1231" s="29" t="e">
        <f>DATEDIF(DATE(1970,1,1),W1230,"D")*86400</f>
        <v>#NUM!</v>
      </c>
      <c r="X1231" s="29">
        <f>HOUR(X1230)*3600+MINUTE(X1230)*60+SECOND(X1230)</f>
        <v>0</v>
      </c>
      <c r="Y1231" s="31">
        <f>(Y1230*B1231)</f>
        <v>0</v>
      </c>
      <c r="Z1231" s="29">
        <f>Z1230</f>
        <v>0</v>
      </c>
      <c r="AA1231" s="29" t="e">
        <f>DATEDIF(DATE(1970,1,1),AA1230,"D")*86400</f>
        <v>#NUM!</v>
      </c>
      <c r="AB1231" s="29">
        <f>HOUR(AB1230)*3600+MINUTE(AB1230)*60+SECOND(AB1230)</f>
        <v>0</v>
      </c>
      <c r="AC1231" s="29">
        <f>AC1230</f>
        <v>0</v>
      </c>
    </row>
    <row r="1232" spans="1:29">
      <c r="A1232" s="23">
        <f>Parameters!A617</f>
        <v>0</v>
      </c>
      <c r="B1232" s="23">
        <f>Parameters!B617</f>
        <v>0</v>
      </c>
      <c r="C1232" s="24">
        <f>Parameters!C617</f>
        <v>0</v>
      </c>
      <c r="D1232" s="24">
        <f>Parameters!D617</f>
        <v>0</v>
      </c>
      <c r="E1232" s="23">
        <f>Parameters!E617</f>
        <v>0</v>
      </c>
      <c r="F1232" s="23">
        <f>Parameters!F617</f>
        <v>0</v>
      </c>
      <c r="G1232" s="25">
        <f>Parameters!G617</f>
        <v>0</v>
      </c>
      <c r="H1232" s="25">
        <f>Parameters!H617</f>
        <v>0</v>
      </c>
      <c r="I1232" s="25">
        <f>Parameters!I617</f>
        <v>0</v>
      </c>
      <c r="J1232" s="25">
        <f>Parameters!J617</f>
        <v>0</v>
      </c>
      <c r="K1232" s="25">
        <f>Parameters!K617</f>
        <v>0</v>
      </c>
      <c r="L1232" s="26" t="e">
        <f t="shared" ref="L1232" si="1842">L1233</f>
        <v>#DIV/0!</v>
      </c>
      <c r="M1232" s="25">
        <f>Parameters!L617</f>
        <v>0</v>
      </c>
      <c r="N1232" s="25">
        <f>Parameters!M617</f>
        <v>0</v>
      </c>
      <c r="O1232" s="26" t="e">
        <f t="shared" ref="O1232" si="1843">O1233</f>
        <v>#DIV/0!</v>
      </c>
      <c r="P1232" s="23">
        <f>Parameters!N617</f>
        <v>0</v>
      </c>
      <c r="Q1232" s="23">
        <f>Parameters!O617</f>
        <v>0</v>
      </c>
      <c r="R1232" s="23">
        <f>Parameters!P617</f>
        <v>0</v>
      </c>
      <c r="S1232" s="23">
        <f>Parameters!Q617</f>
        <v>0</v>
      </c>
      <c r="T1232" s="23">
        <f>Parameters!R617</f>
        <v>0</v>
      </c>
      <c r="U1232" s="27">
        <f>Parameters!S617</f>
        <v>0</v>
      </c>
      <c r="V1232" s="28">
        <f>Parameters!T617</f>
        <v>0</v>
      </c>
      <c r="W1232" s="27">
        <f>Parameters!U617</f>
        <v>0</v>
      </c>
      <c r="X1232" s="28">
        <f>Parameters!V617</f>
        <v>0</v>
      </c>
      <c r="Y1232" s="25">
        <f>Parameters!W617</f>
        <v>0</v>
      </c>
      <c r="Z1232" s="23">
        <f>Parameters!X617</f>
        <v>0</v>
      </c>
      <c r="AA1232" s="27">
        <f>Parameters!Y617</f>
        <v>0</v>
      </c>
      <c r="AB1232" s="28">
        <f>Parameters!Z617</f>
        <v>0</v>
      </c>
      <c r="AC1232" s="23">
        <f>Parameters!AA617</f>
        <v>0</v>
      </c>
    </row>
    <row r="1233" spans="1:29">
      <c r="A1233" s="29" t="str">
        <f>UPPER(A1232)</f>
        <v>0</v>
      </c>
      <c r="B1233" s="29">
        <f>B1232</f>
        <v>0</v>
      </c>
      <c r="C1233" s="30">
        <f>C1232</f>
        <v>0</v>
      </c>
      <c r="D1233" s="30">
        <f>D1232</f>
        <v>0</v>
      </c>
      <c r="E1233" s="29">
        <f>E1232</f>
        <v>0</v>
      </c>
      <c r="F1233" s="29">
        <f>F1232</f>
        <v>0</v>
      </c>
      <c r="G1233" s="29" t="e">
        <f>IF(C1232=1,IF(D1232="BUY",E1232+(ROUND(F1232*G1232/B1232,0)*B1232),E1232-(ROUND(F1232*G1232/B1232,0)*B1232)),IF(D1232="BUY",E1232-(ROUND(F1232*G1232/B1232,0)*B1232),E1232+(ROUND(F1232*G1232/B1232,0)*B1232)))</f>
        <v>#DIV/0!</v>
      </c>
      <c r="H1233" s="29" t="e">
        <f>IF(C1232=1,IF(D1232="BUY",G1233-(ROUND(F1232*H1232/B1232,0)*B1232),G1233+(ROUND(F1232*H1232/B1232,0)*B1232)),IF(D1232="BUY",G1233+(ROUND(F1232*H1232/B1232,0)*B1232),G1233-(ROUND(F1232*H1232/B1232,0)*B1232)))</f>
        <v>#DIV/0!</v>
      </c>
      <c r="I1233" s="29" t="e">
        <f>IF(D1232="BUY",G1233+(ROUND(F1232*I1232/(B1232*100),0)*B1232),G1233-(ROUND(F1232*I1232/(B1232*100),0)*B1232))</f>
        <v>#DIV/0!</v>
      </c>
      <c r="J1233" s="29" t="e">
        <f>IF(C1232=1,IF(D1232="BUY",E1232+(ROUND(F1232*J1232/B1232,0)*B1232),E1232-(ROUND(F1232*J1232/B1232,0)*B1232)),IF(D1232="BUY",E1232-(ROUND(F1232*J1232/B1232,0)*B1232),E1232+(ROUND(F1232*J1232/B1232,0)*B1232)))</f>
        <v>#DIV/0!</v>
      </c>
      <c r="K1233" s="29" t="e">
        <f>IF(C1232=1,IF(D1232="BUY",E1232-(ROUND(F1232*K1232/B1232,0)*B1232),E1232+(ROUND(F1232*K1232/B1232,0)*B1232)),IF(D1232="BUY",E1232-(ROUND(F1232*K1232/B1232,0)*B1232),E1232+(ROUND(F1232*K1232/B1232,0)*B1232)))</f>
        <v>#DIV/0!</v>
      </c>
      <c r="L1233" s="29" t="e">
        <f t="shared" ref="L1233" si="1844">IF(D1233="BUY",I1233+(R1233*B1233),I1233-(R1233*B1233))</f>
        <v>#DIV/0!</v>
      </c>
      <c r="M1233" s="29" t="e">
        <f>IF(D1232="BUY",E1232+(ROUND(F1232*M1232/B1232,0)*B1232),E1232-(ROUND(F1232*M1232/B1232,0)*B1232))</f>
        <v>#DIV/0!</v>
      </c>
      <c r="N1233" s="29" t="e">
        <f>IF(D1232="BUY",E1232-(ROUND(F1232*N1232/B1232,0)*B1232),E1232+(ROUND(F1232*N1232/B1232,0)*B1232))</f>
        <v>#DIV/0!</v>
      </c>
      <c r="O1233" s="31" t="e">
        <f>IF(D1233="BUY",N1233-VLOOKUP(A1233,Symbols!A$1:D$1000,4,FALSE),N1233+VLOOKUP(A1233,Symbols!A$1:D$1000,4,FALSE))</f>
        <v>#DIV/0!</v>
      </c>
      <c r="P1233" s="29">
        <f>P1232</f>
        <v>0</v>
      </c>
      <c r="Q1233" s="29">
        <f>Q1232</f>
        <v>0</v>
      </c>
      <c r="R1233" s="29">
        <f>R1232</f>
        <v>0</v>
      </c>
      <c r="S1233" s="29">
        <f>S1232</f>
        <v>0</v>
      </c>
      <c r="T1233" s="29">
        <f>T1232</f>
        <v>0</v>
      </c>
      <c r="U1233" s="29" t="e">
        <f>DATEDIF(DATE(1970,1,1),U1232,"D")*86400</f>
        <v>#NUM!</v>
      </c>
      <c r="V1233" s="29">
        <f>HOUR(V1232)*3600+MINUTE(V1232)*60+SECOND(V1232)</f>
        <v>0</v>
      </c>
      <c r="W1233" s="29" t="e">
        <f>DATEDIF(DATE(1970,1,1),W1232,"D")*86400</f>
        <v>#NUM!</v>
      </c>
      <c r="X1233" s="29">
        <f>HOUR(X1232)*3600+MINUTE(X1232)*60+SECOND(X1232)</f>
        <v>0</v>
      </c>
      <c r="Y1233" s="31">
        <f>(Y1232*B1233)</f>
        <v>0</v>
      </c>
      <c r="Z1233" s="29">
        <f>Z1232</f>
        <v>0</v>
      </c>
      <c r="AA1233" s="29" t="e">
        <f>DATEDIF(DATE(1970,1,1),AA1232,"D")*86400</f>
        <v>#NUM!</v>
      </c>
      <c r="AB1233" s="29">
        <f>HOUR(AB1232)*3600+MINUTE(AB1232)*60+SECOND(AB1232)</f>
        <v>0</v>
      </c>
      <c r="AC1233" s="29">
        <f>AC1232</f>
        <v>0</v>
      </c>
    </row>
    <row r="1234" spans="1:29">
      <c r="A1234" s="23">
        <f>Parameters!A618</f>
        <v>0</v>
      </c>
      <c r="B1234" s="23">
        <f>Parameters!B618</f>
        <v>0</v>
      </c>
      <c r="C1234" s="24">
        <f>Parameters!C618</f>
        <v>0</v>
      </c>
      <c r="D1234" s="24">
        <f>Parameters!D618</f>
        <v>0</v>
      </c>
      <c r="E1234" s="23">
        <f>Parameters!E618</f>
        <v>0</v>
      </c>
      <c r="F1234" s="23">
        <f>Parameters!F618</f>
        <v>0</v>
      </c>
      <c r="G1234" s="25">
        <f>Parameters!G618</f>
        <v>0</v>
      </c>
      <c r="H1234" s="25">
        <f>Parameters!H618</f>
        <v>0</v>
      </c>
      <c r="I1234" s="25">
        <f>Parameters!I618</f>
        <v>0</v>
      </c>
      <c r="J1234" s="25">
        <f>Parameters!J618</f>
        <v>0</v>
      </c>
      <c r="K1234" s="25">
        <f>Parameters!K618</f>
        <v>0</v>
      </c>
      <c r="L1234" s="26" t="e">
        <f t="shared" ref="L1234" si="1845">L1235</f>
        <v>#DIV/0!</v>
      </c>
      <c r="M1234" s="25">
        <f>Parameters!L618</f>
        <v>0</v>
      </c>
      <c r="N1234" s="25">
        <f>Parameters!M618</f>
        <v>0</v>
      </c>
      <c r="O1234" s="26" t="e">
        <f t="shared" ref="O1234" si="1846">O1235</f>
        <v>#DIV/0!</v>
      </c>
      <c r="P1234" s="23">
        <f>Parameters!N618</f>
        <v>0</v>
      </c>
      <c r="Q1234" s="23">
        <f>Parameters!O618</f>
        <v>0</v>
      </c>
      <c r="R1234" s="23">
        <f>Parameters!P618</f>
        <v>0</v>
      </c>
      <c r="S1234" s="23">
        <f>Parameters!Q618</f>
        <v>0</v>
      </c>
      <c r="T1234" s="23">
        <f>Parameters!R618</f>
        <v>0</v>
      </c>
      <c r="U1234" s="27">
        <f>Parameters!S618</f>
        <v>0</v>
      </c>
      <c r="V1234" s="28">
        <f>Parameters!T618</f>
        <v>0</v>
      </c>
      <c r="W1234" s="27">
        <f>Parameters!U618</f>
        <v>0</v>
      </c>
      <c r="X1234" s="28">
        <f>Parameters!V618</f>
        <v>0</v>
      </c>
      <c r="Y1234" s="25">
        <f>Parameters!W618</f>
        <v>0</v>
      </c>
      <c r="Z1234" s="23">
        <f>Parameters!X618</f>
        <v>0</v>
      </c>
      <c r="AA1234" s="27">
        <f>Parameters!Y618</f>
        <v>0</v>
      </c>
      <c r="AB1234" s="28">
        <f>Parameters!Z618</f>
        <v>0</v>
      </c>
      <c r="AC1234" s="23">
        <f>Parameters!AA618</f>
        <v>0</v>
      </c>
    </row>
    <row r="1235" spans="1:29">
      <c r="A1235" s="29" t="str">
        <f>UPPER(A1234)</f>
        <v>0</v>
      </c>
      <c r="B1235" s="29">
        <f>B1234</f>
        <v>0</v>
      </c>
      <c r="C1235" s="30">
        <f>C1234</f>
        <v>0</v>
      </c>
      <c r="D1235" s="30">
        <f>D1234</f>
        <v>0</v>
      </c>
      <c r="E1235" s="29">
        <f>E1234</f>
        <v>0</v>
      </c>
      <c r="F1235" s="29">
        <f>F1234</f>
        <v>0</v>
      </c>
      <c r="G1235" s="29" t="e">
        <f>IF(C1234=1,IF(D1234="BUY",E1234+(ROUND(F1234*G1234/B1234,0)*B1234),E1234-(ROUND(F1234*G1234/B1234,0)*B1234)),IF(D1234="BUY",E1234-(ROUND(F1234*G1234/B1234,0)*B1234),E1234+(ROUND(F1234*G1234/B1234,0)*B1234)))</f>
        <v>#DIV/0!</v>
      </c>
      <c r="H1235" s="29" t="e">
        <f>IF(C1234=1,IF(D1234="BUY",G1235-(ROUND(F1234*H1234/B1234,0)*B1234),G1235+(ROUND(F1234*H1234/B1234,0)*B1234)),IF(D1234="BUY",G1235+(ROUND(F1234*H1234/B1234,0)*B1234),G1235-(ROUND(F1234*H1234/B1234,0)*B1234)))</f>
        <v>#DIV/0!</v>
      </c>
      <c r="I1235" s="29" t="e">
        <f>IF(D1234="BUY",G1235+(ROUND(F1234*I1234/(B1234*100),0)*B1234),G1235-(ROUND(F1234*I1234/(B1234*100),0)*B1234))</f>
        <v>#DIV/0!</v>
      </c>
      <c r="J1235" s="29" t="e">
        <f>IF(C1234=1,IF(D1234="BUY",E1234+(ROUND(F1234*J1234/B1234,0)*B1234),E1234-(ROUND(F1234*J1234/B1234,0)*B1234)),IF(D1234="BUY",E1234-(ROUND(F1234*J1234/B1234,0)*B1234),E1234+(ROUND(F1234*J1234/B1234,0)*B1234)))</f>
        <v>#DIV/0!</v>
      </c>
      <c r="K1235" s="29" t="e">
        <f>IF(C1234=1,IF(D1234="BUY",E1234-(ROUND(F1234*K1234/B1234,0)*B1234),E1234+(ROUND(F1234*K1234/B1234,0)*B1234)),IF(D1234="BUY",E1234-(ROUND(F1234*K1234/B1234,0)*B1234),E1234+(ROUND(F1234*K1234/B1234,0)*B1234)))</f>
        <v>#DIV/0!</v>
      </c>
      <c r="L1235" s="29" t="e">
        <f t="shared" ref="L1235" si="1847">IF(D1235="BUY",I1235+(R1235*B1235),I1235-(R1235*B1235))</f>
        <v>#DIV/0!</v>
      </c>
      <c r="M1235" s="29" t="e">
        <f>IF(D1234="BUY",E1234+(ROUND(F1234*M1234/B1234,0)*B1234),E1234-(ROUND(F1234*M1234/B1234,0)*B1234))</f>
        <v>#DIV/0!</v>
      </c>
      <c r="N1235" s="29" t="e">
        <f>IF(D1234="BUY",E1234-(ROUND(F1234*N1234/B1234,0)*B1234),E1234+(ROUND(F1234*N1234/B1234,0)*B1234))</f>
        <v>#DIV/0!</v>
      </c>
      <c r="O1235" s="31" t="e">
        <f>IF(D1235="BUY",N1235-VLOOKUP(A1235,Symbols!A$1:D$1000,4,FALSE),N1235+VLOOKUP(A1235,Symbols!A$1:D$1000,4,FALSE))</f>
        <v>#DIV/0!</v>
      </c>
      <c r="P1235" s="29">
        <f>P1234</f>
        <v>0</v>
      </c>
      <c r="Q1235" s="29">
        <f>Q1234</f>
        <v>0</v>
      </c>
      <c r="R1235" s="29">
        <f>R1234</f>
        <v>0</v>
      </c>
      <c r="S1235" s="29">
        <f>S1234</f>
        <v>0</v>
      </c>
      <c r="T1235" s="29">
        <f>T1234</f>
        <v>0</v>
      </c>
      <c r="U1235" s="29" t="e">
        <f>DATEDIF(DATE(1970,1,1),U1234,"D")*86400</f>
        <v>#NUM!</v>
      </c>
      <c r="V1235" s="29">
        <f>HOUR(V1234)*3600+MINUTE(V1234)*60+SECOND(V1234)</f>
        <v>0</v>
      </c>
      <c r="W1235" s="29" t="e">
        <f>DATEDIF(DATE(1970,1,1),W1234,"D")*86400</f>
        <v>#NUM!</v>
      </c>
      <c r="X1235" s="29">
        <f>HOUR(X1234)*3600+MINUTE(X1234)*60+SECOND(X1234)</f>
        <v>0</v>
      </c>
      <c r="Y1235" s="31">
        <f>(Y1234*B1235)</f>
        <v>0</v>
      </c>
      <c r="Z1235" s="29">
        <f>Z1234</f>
        <v>0</v>
      </c>
      <c r="AA1235" s="29" t="e">
        <f>DATEDIF(DATE(1970,1,1),AA1234,"D")*86400</f>
        <v>#NUM!</v>
      </c>
      <c r="AB1235" s="29">
        <f>HOUR(AB1234)*3600+MINUTE(AB1234)*60+SECOND(AB1234)</f>
        <v>0</v>
      </c>
      <c r="AC1235" s="29">
        <f>AC1234</f>
        <v>0</v>
      </c>
    </row>
    <row r="1236" spans="1:29">
      <c r="A1236" s="23">
        <f>Parameters!A619</f>
        <v>0</v>
      </c>
      <c r="B1236" s="23">
        <f>Parameters!B619</f>
        <v>0</v>
      </c>
      <c r="C1236" s="24">
        <f>Parameters!C619</f>
        <v>0</v>
      </c>
      <c r="D1236" s="24">
        <f>Parameters!D619</f>
        <v>0</v>
      </c>
      <c r="E1236" s="23">
        <f>Parameters!E619</f>
        <v>0</v>
      </c>
      <c r="F1236" s="23">
        <f>Parameters!F619</f>
        <v>0</v>
      </c>
      <c r="G1236" s="25">
        <f>Parameters!G619</f>
        <v>0</v>
      </c>
      <c r="H1236" s="25">
        <f>Parameters!H619</f>
        <v>0</v>
      </c>
      <c r="I1236" s="25">
        <f>Parameters!I619</f>
        <v>0</v>
      </c>
      <c r="J1236" s="25">
        <f>Parameters!J619</f>
        <v>0</v>
      </c>
      <c r="K1236" s="25">
        <f>Parameters!K619</f>
        <v>0</v>
      </c>
      <c r="L1236" s="26" t="e">
        <f t="shared" ref="L1236" si="1848">L1237</f>
        <v>#DIV/0!</v>
      </c>
      <c r="M1236" s="25">
        <f>Parameters!L619</f>
        <v>0</v>
      </c>
      <c r="N1236" s="25">
        <f>Parameters!M619</f>
        <v>0</v>
      </c>
      <c r="O1236" s="26" t="e">
        <f t="shared" ref="O1236" si="1849">O1237</f>
        <v>#DIV/0!</v>
      </c>
      <c r="P1236" s="23">
        <f>Parameters!N619</f>
        <v>0</v>
      </c>
      <c r="Q1236" s="23">
        <f>Parameters!O619</f>
        <v>0</v>
      </c>
      <c r="R1236" s="23">
        <f>Parameters!P619</f>
        <v>0</v>
      </c>
      <c r="S1236" s="23">
        <f>Parameters!Q619</f>
        <v>0</v>
      </c>
      <c r="T1236" s="23">
        <f>Parameters!R619</f>
        <v>0</v>
      </c>
      <c r="U1236" s="27">
        <f>Parameters!S619</f>
        <v>0</v>
      </c>
      <c r="V1236" s="28">
        <f>Parameters!T619</f>
        <v>0</v>
      </c>
      <c r="W1236" s="27">
        <f>Parameters!U619</f>
        <v>0</v>
      </c>
      <c r="X1236" s="28">
        <f>Parameters!V619</f>
        <v>0</v>
      </c>
      <c r="Y1236" s="25">
        <f>Parameters!W619</f>
        <v>0</v>
      </c>
      <c r="Z1236" s="23">
        <f>Parameters!X619</f>
        <v>0</v>
      </c>
      <c r="AA1236" s="27">
        <f>Parameters!Y619</f>
        <v>0</v>
      </c>
      <c r="AB1236" s="28">
        <f>Parameters!Z619</f>
        <v>0</v>
      </c>
      <c r="AC1236" s="23">
        <f>Parameters!AA619</f>
        <v>0</v>
      </c>
    </row>
    <row r="1237" spans="1:29">
      <c r="A1237" s="29" t="str">
        <f>UPPER(A1236)</f>
        <v>0</v>
      </c>
      <c r="B1237" s="29">
        <f>B1236</f>
        <v>0</v>
      </c>
      <c r="C1237" s="30">
        <f>C1236</f>
        <v>0</v>
      </c>
      <c r="D1237" s="30">
        <f>D1236</f>
        <v>0</v>
      </c>
      <c r="E1237" s="29">
        <f>E1236</f>
        <v>0</v>
      </c>
      <c r="F1237" s="29">
        <f>F1236</f>
        <v>0</v>
      </c>
      <c r="G1237" s="29" t="e">
        <f>IF(C1236=1,IF(D1236="BUY",E1236+(ROUND(F1236*G1236/B1236,0)*B1236),E1236-(ROUND(F1236*G1236/B1236,0)*B1236)),IF(D1236="BUY",E1236-(ROUND(F1236*G1236/B1236,0)*B1236),E1236+(ROUND(F1236*G1236/B1236,0)*B1236)))</f>
        <v>#DIV/0!</v>
      </c>
      <c r="H1237" s="29" t="e">
        <f>IF(C1236=1,IF(D1236="BUY",G1237-(ROUND(F1236*H1236/B1236,0)*B1236),G1237+(ROUND(F1236*H1236/B1236,0)*B1236)),IF(D1236="BUY",G1237+(ROUND(F1236*H1236/B1236,0)*B1236),G1237-(ROUND(F1236*H1236/B1236,0)*B1236)))</f>
        <v>#DIV/0!</v>
      </c>
      <c r="I1237" s="29" t="e">
        <f>IF(D1236="BUY",G1237+(ROUND(F1236*I1236/(B1236*100),0)*B1236),G1237-(ROUND(F1236*I1236/(B1236*100),0)*B1236))</f>
        <v>#DIV/0!</v>
      </c>
      <c r="J1237" s="29" t="e">
        <f>IF(C1236=1,IF(D1236="BUY",E1236+(ROUND(F1236*J1236/B1236,0)*B1236),E1236-(ROUND(F1236*J1236/B1236,0)*B1236)),IF(D1236="BUY",E1236-(ROUND(F1236*J1236/B1236,0)*B1236),E1236+(ROUND(F1236*J1236/B1236,0)*B1236)))</f>
        <v>#DIV/0!</v>
      </c>
      <c r="K1237" s="29" t="e">
        <f>IF(C1236=1,IF(D1236="BUY",E1236-(ROUND(F1236*K1236/B1236,0)*B1236),E1236+(ROUND(F1236*K1236/B1236,0)*B1236)),IF(D1236="BUY",E1236-(ROUND(F1236*K1236/B1236,0)*B1236),E1236+(ROUND(F1236*K1236/B1236,0)*B1236)))</f>
        <v>#DIV/0!</v>
      </c>
      <c r="L1237" s="29" t="e">
        <f t="shared" ref="L1237" si="1850">IF(D1237="BUY",I1237+(R1237*B1237),I1237-(R1237*B1237))</f>
        <v>#DIV/0!</v>
      </c>
      <c r="M1237" s="29" t="e">
        <f>IF(D1236="BUY",E1236+(ROUND(F1236*M1236/B1236,0)*B1236),E1236-(ROUND(F1236*M1236/B1236,0)*B1236))</f>
        <v>#DIV/0!</v>
      </c>
      <c r="N1237" s="29" t="e">
        <f>IF(D1236="BUY",E1236-(ROUND(F1236*N1236/B1236,0)*B1236),E1236+(ROUND(F1236*N1236/B1236,0)*B1236))</f>
        <v>#DIV/0!</v>
      </c>
      <c r="O1237" s="31" t="e">
        <f>IF(D1237="BUY",N1237-VLOOKUP(A1237,Symbols!A$1:D$1000,4,FALSE),N1237+VLOOKUP(A1237,Symbols!A$1:D$1000,4,FALSE))</f>
        <v>#DIV/0!</v>
      </c>
      <c r="P1237" s="29">
        <f>P1236</f>
        <v>0</v>
      </c>
      <c r="Q1237" s="29">
        <f>Q1236</f>
        <v>0</v>
      </c>
      <c r="R1237" s="29">
        <f>R1236</f>
        <v>0</v>
      </c>
      <c r="S1237" s="29">
        <f>S1236</f>
        <v>0</v>
      </c>
      <c r="T1237" s="29">
        <f>T1236</f>
        <v>0</v>
      </c>
      <c r="U1237" s="29" t="e">
        <f>DATEDIF(DATE(1970,1,1),U1236,"D")*86400</f>
        <v>#NUM!</v>
      </c>
      <c r="V1237" s="29">
        <f>HOUR(V1236)*3600+MINUTE(V1236)*60+SECOND(V1236)</f>
        <v>0</v>
      </c>
      <c r="W1237" s="29" t="e">
        <f>DATEDIF(DATE(1970,1,1),W1236,"D")*86400</f>
        <v>#NUM!</v>
      </c>
      <c r="X1237" s="29">
        <f>HOUR(X1236)*3600+MINUTE(X1236)*60+SECOND(X1236)</f>
        <v>0</v>
      </c>
      <c r="Y1237" s="31">
        <f>(Y1236*B1237)</f>
        <v>0</v>
      </c>
      <c r="Z1237" s="29">
        <f>Z1236</f>
        <v>0</v>
      </c>
      <c r="AA1237" s="29" t="e">
        <f>DATEDIF(DATE(1970,1,1),AA1236,"D")*86400</f>
        <v>#NUM!</v>
      </c>
      <c r="AB1237" s="29">
        <f>HOUR(AB1236)*3600+MINUTE(AB1236)*60+SECOND(AB1236)</f>
        <v>0</v>
      </c>
      <c r="AC1237" s="29">
        <f>AC1236</f>
        <v>0</v>
      </c>
    </row>
    <row r="1238" spans="1:29">
      <c r="A1238" s="23">
        <f>Parameters!A620</f>
        <v>0</v>
      </c>
      <c r="B1238" s="23">
        <f>Parameters!B620</f>
        <v>0</v>
      </c>
      <c r="C1238" s="24">
        <f>Parameters!C620</f>
        <v>0</v>
      </c>
      <c r="D1238" s="24">
        <f>Parameters!D620</f>
        <v>0</v>
      </c>
      <c r="E1238" s="23">
        <f>Parameters!E620</f>
        <v>0</v>
      </c>
      <c r="F1238" s="23">
        <f>Parameters!F620</f>
        <v>0</v>
      </c>
      <c r="G1238" s="25">
        <f>Parameters!G620</f>
        <v>0</v>
      </c>
      <c r="H1238" s="25">
        <f>Parameters!H620</f>
        <v>0</v>
      </c>
      <c r="I1238" s="25">
        <f>Parameters!I620</f>
        <v>0</v>
      </c>
      <c r="J1238" s="25">
        <f>Parameters!J620</f>
        <v>0</v>
      </c>
      <c r="K1238" s="25">
        <f>Parameters!K620</f>
        <v>0</v>
      </c>
      <c r="L1238" s="26" t="e">
        <f t="shared" ref="L1238" si="1851">L1239</f>
        <v>#DIV/0!</v>
      </c>
      <c r="M1238" s="25">
        <f>Parameters!L620</f>
        <v>0</v>
      </c>
      <c r="N1238" s="25">
        <f>Parameters!M620</f>
        <v>0</v>
      </c>
      <c r="O1238" s="26" t="e">
        <f t="shared" ref="O1238" si="1852">O1239</f>
        <v>#DIV/0!</v>
      </c>
      <c r="P1238" s="23">
        <f>Parameters!N620</f>
        <v>0</v>
      </c>
      <c r="Q1238" s="23">
        <f>Parameters!O620</f>
        <v>0</v>
      </c>
      <c r="R1238" s="23">
        <f>Parameters!P620</f>
        <v>0</v>
      </c>
      <c r="S1238" s="23">
        <f>Parameters!Q620</f>
        <v>0</v>
      </c>
      <c r="T1238" s="23">
        <f>Parameters!R620</f>
        <v>0</v>
      </c>
      <c r="U1238" s="27">
        <f>Parameters!S620</f>
        <v>0</v>
      </c>
      <c r="V1238" s="28">
        <f>Parameters!T620</f>
        <v>0</v>
      </c>
      <c r="W1238" s="27">
        <f>Parameters!U620</f>
        <v>0</v>
      </c>
      <c r="X1238" s="28">
        <f>Parameters!V620</f>
        <v>0</v>
      </c>
      <c r="Y1238" s="25">
        <f>Parameters!W620</f>
        <v>0</v>
      </c>
      <c r="Z1238" s="23">
        <f>Parameters!X620</f>
        <v>0</v>
      </c>
      <c r="AA1238" s="27">
        <f>Parameters!Y620</f>
        <v>0</v>
      </c>
      <c r="AB1238" s="28">
        <f>Parameters!Z620</f>
        <v>0</v>
      </c>
      <c r="AC1238" s="23">
        <f>Parameters!AA620</f>
        <v>0</v>
      </c>
    </row>
    <row r="1239" spans="1:29">
      <c r="A1239" s="29" t="str">
        <f>UPPER(A1238)</f>
        <v>0</v>
      </c>
      <c r="B1239" s="29">
        <f>B1238</f>
        <v>0</v>
      </c>
      <c r="C1239" s="30">
        <f>C1238</f>
        <v>0</v>
      </c>
      <c r="D1239" s="30">
        <f>D1238</f>
        <v>0</v>
      </c>
      <c r="E1239" s="29">
        <f>E1238</f>
        <v>0</v>
      </c>
      <c r="F1239" s="29">
        <f>F1238</f>
        <v>0</v>
      </c>
      <c r="G1239" s="29" t="e">
        <f>IF(C1238=1,IF(D1238="BUY",E1238+(ROUND(F1238*G1238/B1238,0)*B1238),E1238-(ROUND(F1238*G1238/B1238,0)*B1238)),IF(D1238="BUY",E1238-(ROUND(F1238*G1238/B1238,0)*B1238),E1238+(ROUND(F1238*G1238/B1238,0)*B1238)))</f>
        <v>#DIV/0!</v>
      </c>
      <c r="H1239" s="29" t="e">
        <f>IF(C1238=1,IF(D1238="BUY",G1239-(ROUND(F1238*H1238/B1238,0)*B1238),G1239+(ROUND(F1238*H1238/B1238,0)*B1238)),IF(D1238="BUY",G1239+(ROUND(F1238*H1238/B1238,0)*B1238),G1239-(ROUND(F1238*H1238/B1238,0)*B1238)))</f>
        <v>#DIV/0!</v>
      </c>
      <c r="I1239" s="29" t="e">
        <f>IF(D1238="BUY",G1239+(ROUND(F1238*I1238/(B1238*100),0)*B1238),G1239-(ROUND(F1238*I1238/(B1238*100),0)*B1238))</f>
        <v>#DIV/0!</v>
      </c>
      <c r="J1239" s="29" t="e">
        <f>IF(C1238=1,IF(D1238="BUY",E1238+(ROUND(F1238*J1238/B1238,0)*B1238),E1238-(ROUND(F1238*J1238/B1238,0)*B1238)),IF(D1238="BUY",E1238-(ROUND(F1238*J1238/B1238,0)*B1238),E1238+(ROUND(F1238*J1238/B1238,0)*B1238)))</f>
        <v>#DIV/0!</v>
      </c>
      <c r="K1239" s="29" t="e">
        <f>IF(C1238=1,IF(D1238="BUY",E1238-(ROUND(F1238*K1238/B1238,0)*B1238),E1238+(ROUND(F1238*K1238/B1238,0)*B1238)),IF(D1238="BUY",E1238-(ROUND(F1238*K1238/B1238,0)*B1238),E1238+(ROUND(F1238*K1238/B1238,0)*B1238)))</f>
        <v>#DIV/0!</v>
      </c>
      <c r="L1239" s="29" t="e">
        <f t="shared" ref="L1239" si="1853">IF(D1239="BUY",I1239+(R1239*B1239),I1239-(R1239*B1239))</f>
        <v>#DIV/0!</v>
      </c>
      <c r="M1239" s="29" t="e">
        <f>IF(D1238="BUY",E1238+(ROUND(F1238*M1238/B1238,0)*B1238),E1238-(ROUND(F1238*M1238/B1238,0)*B1238))</f>
        <v>#DIV/0!</v>
      </c>
      <c r="N1239" s="29" t="e">
        <f>IF(D1238="BUY",E1238-(ROUND(F1238*N1238/B1238,0)*B1238),E1238+(ROUND(F1238*N1238/B1238,0)*B1238))</f>
        <v>#DIV/0!</v>
      </c>
      <c r="O1239" s="31" t="e">
        <f>IF(D1239="BUY",N1239-VLOOKUP(A1239,Symbols!A$1:D$1000,4,FALSE),N1239+VLOOKUP(A1239,Symbols!A$1:D$1000,4,FALSE))</f>
        <v>#DIV/0!</v>
      </c>
      <c r="P1239" s="29">
        <f>P1238</f>
        <v>0</v>
      </c>
      <c r="Q1239" s="29">
        <f>Q1238</f>
        <v>0</v>
      </c>
      <c r="R1239" s="29">
        <f>R1238</f>
        <v>0</v>
      </c>
      <c r="S1239" s="29">
        <f>S1238</f>
        <v>0</v>
      </c>
      <c r="T1239" s="29">
        <f>T1238</f>
        <v>0</v>
      </c>
      <c r="U1239" s="29" t="e">
        <f>DATEDIF(DATE(1970,1,1),U1238,"D")*86400</f>
        <v>#NUM!</v>
      </c>
      <c r="V1239" s="29">
        <f>HOUR(V1238)*3600+MINUTE(V1238)*60+SECOND(V1238)</f>
        <v>0</v>
      </c>
      <c r="W1239" s="29" t="e">
        <f>DATEDIF(DATE(1970,1,1),W1238,"D")*86400</f>
        <v>#NUM!</v>
      </c>
      <c r="X1239" s="29">
        <f>HOUR(X1238)*3600+MINUTE(X1238)*60+SECOND(X1238)</f>
        <v>0</v>
      </c>
      <c r="Y1239" s="31">
        <f>(Y1238*B1239)</f>
        <v>0</v>
      </c>
      <c r="Z1239" s="29">
        <f>Z1238</f>
        <v>0</v>
      </c>
      <c r="AA1239" s="29" t="e">
        <f>DATEDIF(DATE(1970,1,1),AA1238,"D")*86400</f>
        <v>#NUM!</v>
      </c>
      <c r="AB1239" s="29">
        <f>HOUR(AB1238)*3600+MINUTE(AB1238)*60+SECOND(AB1238)</f>
        <v>0</v>
      </c>
      <c r="AC1239" s="29">
        <f>AC1238</f>
        <v>0</v>
      </c>
    </row>
    <row r="1240" spans="1:29">
      <c r="A1240" s="23">
        <f>Parameters!A621</f>
        <v>0</v>
      </c>
      <c r="B1240" s="23">
        <f>Parameters!B621</f>
        <v>0</v>
      </c>
      <c r="C1240" s="24">
        <f>Parameters!C621</f>
        <v>0</v>
      </c>
      <c r="D1240" s="24">
        <f>Parameters!D621</f>
        <v>0</v>
      </c>
      <c r="E1240" s="23">
        <f>Parameters!E621</f>
        <v>0</v>
      </c>
      <c r="F1240" s="23">
        <f>Parameters!F621</f>
        <v>0</v>
      </c>
      <c r="G1240" s="25">
        <f>Parameters!G621</f>
        <v>0</v>
      </c>
      <c r="H1240" s="25">
        <f>Parameters!H621</f>
        <v>0</v>
      </c>
      <c r="I1240" s="25">
        <f>Parameters!I621</f>
        <v>0</v>
      </c>
      <c r="J1240" s="25">
        <f>Parameters!J621</f>
        <v>0</v>
      </c>
      <c r="K1240" s="25">
        <f>Parameters!K621</f>
        <v>0</v>
      </c>
      <c r="L1240" s="26" t="e">
        <f t="shared" ref="L1240" si="1854">L1241</f>
        <v>#DIV/0!</v>
      </c>
      <c r="M1240" s="25">
        <f>Parameters!L621</f>
        <v>0</v>
      </c>
      <c r="N1240" s="25">
        <f>Parameters!M621</f>
        <v>0</v>
      </c>
      <c r="O1240" s="26" t="e">
        <f t="shared" ref="O1240" si="1855">O1241</f>
        <v>#DIV/0!</v>
      </c>
      <c r="P1240" s="23">
        <f>Parameters!N621</f>
        <v>0</v>
      </c>
      <c r="Q1240" s="23">
        <f>Parameters!O621</f>
        <v>0</v>
      </c>
      <c r="R1240" s="23">
        <f>Parameters!P621</f>
        <v>0</v>
      </c>
      <c r="S1240" s="23">
        <f>Parameters!Q621</f>
        <v>0</v>
      </c>
      <c r="T1240" s="23">
        <f>Parameters!R621</f>
        <v>0</v>
      </c>
      <c r="U1240" s="27">
        <f>Parameters!S621</f>
        <v>0</v>
      </c>
      <c r="V1240" s="28">
        <f>Parameters!T621</f>
        <v>0</v>
      </c>
      <c r="W1240" s="27">
        <f>Parameters!U621</f>
        <v>0</v>
      </c>
      <c r="X1240" s="28">
        <f>Parameters!V621</f>
        <v>0</v>
      </c>
      <c r="Y1240" s="25">
        <f>Parameters!W621</f>
        <v>0</v>
      </c>
      <c r="Z1240" s="23">
        <f>Parameters!X621</f>
        <v>0</v>
      </c>
      <c r="AA1240" s="27">
        <f>Parameters!Y621</f>
        <v>0</v>
      </c>
      <c r="AB1240" s="28">
        <f>Parameters!Z621</f>
        <v>0</v>
      </c>
      <c r="AC1240" s="23">
        <f>Parameters!AA621</f>
        <v>0</v>
      </c>
    </row>
    <row r="1241" spans="1:29">
      <c r="A1241" s="29" t="str">
        <f>UPPER(A1240)</f>
        <v>0</v>
      </c>
      <c r="B1241" s="29">
        <f>B1240</f>
        <v>0</v>
      </c>
      <c r="C1241" s="30">
        <f>C1240</f>
        <v>0</v>
      </c>
      <c r="D1241" s="30">
        <f>D1240</f>
        <v>0</v>
      </c>
      <c r="E1241" s="29">
        <f>E1240</f>
        <v>0</v>
      </c>
      <c r="F1241" s="29">
        <f>F1240</f>
        <v>0</v>
      </c>
      <c r="G1241" s="29" t="e">
        <f>IF(C1240=1,IF(D1240="BUY",E1240+(ROUND(F1240*G1240/B1240,0)*B1240),E1240-(ROUND(F1240*G1240/B1240,0)*B1240)),IF(D1240="BUY",E1240-(ROUND(F1240*G1240/B1240,0)*B1240),E1240+(ROUND(F1240*G1240/B1240,0)*B1240)))</f>
        <v>#DIV/0!</v>
      </c>
      <c r="H1241" s="29" t="e">
        <f>IF(C1240=1,IF(D1240="BUY",G1241-(ROUND(F1240*H1240/B1240,0)*B1240),G1241+(ROUND(F1240*H1240/B1240,0)*B1240)),IF(D1240="BUY",G1241+(ROUND(F1240*H1240/B1240,0)*B1240),G1241-(ROUND(F1240*H1240/B1240,0)*B1240)))</f>
        <v>#DIV/0!</v>
      </c>
      <c r="I1241" s="29" t="e">
        <f>IF(D1240="BUY",G1241+(ROUND(F1240*I1240/(B1240*100),0)*B1240),G1241-(ROUND(F1240*I1240/(B1240*100),0)*B1240))</f>
        <v>#DIV/0!</v>
      </c>
      <c r="J1241" s="29" t="e">
        <f>IF(C1240=1,IF(D1240="BUY",E1240+(ROUND(F1240*J1240/B1240,0)*B1240),E1240-(ROUND(F1240*J1240/B1240,0)*B1240)),IF(D1240="BUY",E1240-(ROUND(F1240*J1240/B1240,0)*B1240),E1240+(ROUND(F1240*J1240/B1240,0)*B1240)))</f>
        <v>#DIV/0!</v>
      </c>
      <c r="K1241" s="29" t="e">
        <f>IF(C1240=1,IF(D1240="BUY",E1240-(ROUND(F1240*K1240/B1240,0)*B1240),E1240+(ROUND(F1240*K1240/B1240,0)*B1240)),IF(D1240="BUY",E1240-(ROUND(F1240*K1240/B1240,0)*B1240),E1240+(ROUND(F1240*K1240/B1240,0)*B1240)))</f>
        <v>#DIV/0!</v>
      </c>
      <c r="L1241" s="29" t="e">
        <f t="shared" ref="L1241" si="1856">IF(D1241="BUY",I1241+(R1241*B1241),I1241-(R1241*B1241))</f>
        <v>#DIV/0!</v>
      </c>
      <c r="M1241" s="29" t="e">
        <f>IF(D1240="BUY",E1240+(ROUND(F1240*M1240/B1240,0)*B1240),E1240-(ROUND(F1240*M1240/B1240,0)*B1240))</f>
        <v>#DIV/0!</v>
      </c>
      <c r="N1241" s="29" t="e">
        <f>IF(D1240="BUY",E1240-(ROUND(F1240*N1240/B1240,0)*B1240),E1240+(ROUND(F1240*N1240/B1240,0)*B1240))</f>
        <v>#DIV/0!</v>
      </c>
      <c r="O1241" s="31" t="e">
        <f>IF(D1241="BUY",N1241-VLOOKUP(A1241,Symbols!A$1:D$1000,4,FALSE),N1241+VLOOKUP(A1241,Symbols!A$1:D$1000,4,FALSE))</f>
        <v>#DIV/0!</v>
      </c>
      <c r="P1241" s="29">
        <f>P1240</f>
        <v>0</v>
      </c>
      <c r="Q1241" s="29">
        <f>Q1240</f>
        <v>0</v>
      </c>
      <c r="R1241" s="29">
        <f>R1240</f>
        <v>0</v>
      </c>
      <c r="S1241" s="29">
        <f>S1240</f>
        <v>0</v>
      </c>
      <c r="T1241" s="29">
        <f>T1240</f>
        <v>0</v>
      </c>
      <c r="U1241" s="29" t="e">
        <f>DATEDIF(DATE(1970,1,1),U1240,"D")*86400</f>
        <v>#NUM!</v>
      </c>
      <c r="V1241" s="29">
        <f>HOUR(V1240)*3600+MINUTE(V1240)*60+SECOND(V1240)</f>
        <v>0</v>
      </c>
      <c r="W1241" s="29" t="e">
        <f>DATEDIF(DATE(1970,1,1),W1240,"D")*86400</f>
        <v>#NUM!</v>
      </c>
      <c r="X1241" s="29">
        <f>HOUR(X1240)*3600+MINUTE(X1240)*60+SECOND(X1240)</f>
        <v>0</v>
      </c>
      <c r="Y1241" s="31">
        <f>(Y1240*B1241)</f>
        <v>0</v>
      </c>
      <c r="Z1241" s="29">
        <f>Z1240</f>
        <v>0</v>
      </c>
      <c r="AA1241" s="29" t="e">
        <f>DATEDIF(DATE(1970,1,1),AA1240,"D")*86400</f>
        <v>#NUM!</v>
      </c>
      <c r="AB1241" s="29">
        <f>HOUR(AB1240)*3600+MINUTE(AB1240)*60+SECOND(AB1240)</f>
        <v>0</v>
      </c>
      <c r="AC1241" s="29">
        <f>AC1240</f>
        <v>0</v>
      </c>
    </row>
    <row r="1242" spans="1:29">
      <c r="A1242" s="23">
        <f>Parameters!A622</f>
        <v>0</v>
      </c>
      <c r="B1242" s="23">
        <f>Parameters!B622</f>
        <v>0</v>
      </c>
      <c r="C1242" s="24">
        <f>Parameters!C622</f>
        <v>0</v>
      </c>
      <c r="D1242" s="24">
        <f>Parameters!D622</f>
        <v>0</v>
      </c>
      <c r="E1242" s="23">
        <f>Parameters!E622</f>
        <v>0</v>
      </c>
      <c r="F1242" s="23">
        <f>Parameters!F622</f>
        <v>0</v>
      </c>
      <c r="G1242" s="25">
        <f>Parameters!G622</f>
        <v>0</v>
      </c>
      <c r="H1242" s="25">
        <f>Parameters!H622</f>
        <v>0</v>
      </c>
      <c r="I1242" s="25">
        <f>Parameters!I622</f>
        <v>0</v>
      </c>
      <c r="J1242" s="25">
        <f>Parameters!J622</f>
        <v>0</v>
      </c>
      <c r="K1242" s="25">
        <f>Parameters!K622</f>
        <v>0</v>
      </c>
      <c r="L1242" s="26" t="e">
        <f t="shared" ref="L1242" si="1857">L1243</f>
        <v>#DIV/0!</v>
      </c>
      <c r="M1242" s="25">
        <f>Parameters!L622</f>
        <v>0</v>
      </c>
      <c r="N1242" s="25">
        <f>Parameters!M622</f>
        <v>0</v>
      </c>
      <c r="O1242" s="26" t="e">
        <f t="shared" ref="O1242" si="1858">O1243</f>
        <v>#DIV/0!</v>
      </c>
      <c r="P1242" s="23">
        <f>Parameters!N622</f>
        <v>0</v>
      </c>
      <c r="Q1242" s="23">
        <f>Parameters!O622</f>
        <v>0</v>
      </c>
      <c r="R1242" s="23">
        <f>Parameters!P622</f>
        <v>0</v>
      </c>
      <c r="S1242" s="23">
        <f>Parameters!Q622</f>
        <v>0</v>
      </c>
      <c r="T1242" s="23">
        <f>Parameters!R622</f>
        <v>0</v>
      </c>
      <c r="U1242" s="27">
        <f>Parameters!S622</f>
        <v>0</v>
      </c>
      <c r="V1242" s="28">
        <f>Parameters!T622</f>
        <v>0</v>
      </c>
      <c r="W1242" s="27">
        <f>Parameters!U622</f>
        <v>0</v>
      </c>
      <c r="X1242" s="28">
        <f>Parameters!V622</f>
        <v>0</v>
      </c>
      <c r="Y1242" s="25">
        <f>Parameters!W622</f>
        <v>0</v>
      </c>
      <c r="Z1242" s="23">
        <f>Parameters!X622</f>
        <v>0</v>
      </c>
      <c r="AA1242" s="27">
        <f>Parameters!Y622</f>
        <v>0</v>
      </c>
      <c r="AB1242" s="28">
        <f>Parameters!Z622</f>
        <v>0</v>
      </c>
      <c r="AC1242" s="23">
        <f>Parameters!AA622</f>
        <v>0</v>
      </c>
    </row>
    <row r="1243" spans="1:29">
      <c r="A1243" s="29" t="str">
        <f>UPPER(A1242)</f>
        <v>0</v>
      </c>
      <c r="B1243" s="29">
        <f>B1242</f>
        <v>0</v>
      </c>
      <c r="C1243" s="30">
        <f>C1242</f>
        <v>0</v>
      </c>
      <c r="D1243" s="30">
        <f>D1242</f>
        <v>0</v>
      </c>
      <c r="E1243" s="29">
        <f>E1242</f>
        <v>0</v>
      </c>
      <c r="F1243" s="29">
        <f>F1242</f>
        <v>0</v>
      </c>
      <c r="G1243" s="29" t="e">
        <f>IF(C1242=1,IF(D1242="BUY",E1242+(ROUND(F1242*G1242/B1242,0)*B1242),E1242-(ROUND(F1242*G1242/B1242,0)*B1242)),IF(D1242="BUY",E1242-(ROUND(F1242*G1242/B1242,0)*B1242),E1242+(ROUND(F1242*G1242/B1242,0)*B1242)))</f>
        <v>#DIV/0!</v>
      </c>
      <c r="H1243" s="29" t="e">
        <f>IF(C1242=1,IF(D1242="BUY",G1243-(ROUND(F1242*H1242/B1242,0)*B1242),G1243+(ROUND(F1242*H1242/B1242,0)*B1242)),IF(D1242="BUY",G1243+(ROUND(F1242*H1242/B1242,0)*B1242),G1243-(ROUND(F1242*H1242/B1242,0)*B1242)))</f>
        <v>#DIV/0!</v>
      </c>
      <c r="I1243" s="29" t="e">
        <f>IF(D1242="BUY",G1243+(ROUND(F1242*I1242/(B1242*100),0)*B1242),G1243-(ROUND(F1242*I1242/(B1242*100),0)*B1242))</f>
        <v>#DIV/0!</v>
      </c>
      <c r="J1243" s="29" t="e">
        <f>IF(C1242=1,IF(D1242="BUY",E1242+(ROUND(F1242*J1242/B1242,0)*B1242),E1242-(ROUND(F1242*J1242/B1242,0)*B1242)),IF(D1242="BUY",E1242-(ROUND(F1242*J1242/B1242,0)*B1242),E1242+(ROUND(F1242*J1242/B1242,0)*B1242)))</f>
        <v>#DIV/0!</v>
      </c>
      <c r="K1243" s="29" t="e">
        <f>IF(C1242=1,IF(D1242="BUY",E1242-(ROUND(F1242*K1242/B1242,0)*B1242),E1242+(ROUND(F1242*K1242/B1242,0)*B1242)),IF(D1242="BUY",E1242-(ROUND(F1242*K1242/B1242,0)*B1242),E1242+(ROUND(F1242*K1242/B1242,0)*B1242)))</f>
        <v>#DIV/0!</v>
      </c>
      <c r="L1243" s="29" t="e">
        <f t="shared" ref="L1243" si="1859">IF(D1243="BUY",I1243+(R1243*B1243),I1243-(R1243*B1243))</f>
        <v>#DIV/0!</v>
      </c>
      <c r="M1243" s="29" t="e">
        <f>IF(D1242="BUY",E1242+(ROUND(F1242*M1242/B1242,0)*B1242),E1242-(ROUND(F1242*M1242/B1242,0)*B1242))</f>
        <v>#DIV/0!</v>
      </c>
      <c r="N1243" s="29" t="e">
        <f>IF(D1242="BUY",E1242-(ROUND(F1242*N1242/B1242,0)*B1242),E1242+(ROUND(F1242*N1242/B1242,0)*B1242))</f>
        <v>#DIV/0!</v>
      </c>
      <c r="O1243" s="31" t="e">
        <f>IF(D1243="BUY",N1243-VLOOKUP(A1243,Symbols!A$1:D$1000,4,FALSE),N1243+VLOOKUP(A1243,Symbols!A$1:D$1000,4,FALSE))</f>
        <v>#DIV/0!</v>
      </c>
      <c r="P1243" s="29">
        <f>P1242</f>
        <v>0</v>
      </c>
      <c r="Q1243" s="29">
        <f>Q1242</f>
        <v>0</v>
      </c>
      <c r="R1243" s="29">
        <f>R1242</f>
        <v>0</v>
      </c>
      <c r="S1243" s="29">
        <f>S1242</f>
        <v>0</v>
      </c>
      <c r="T1243" s="29">
        <f>T1242</f>
        <v>0</v>
      </c>
      <c r="U1243" s="29" t="e">
        <f>DATEDIF(DATE(1970,1,1),U1242,"D")*86400</f>
        <v>#NUM!</v>
      </c>
      <c r="V1243" s="29">
        <f>HOUR(V1242)*3600+MINUTE(V1242)*60+SECOND(V1242)</f>
        <v>0</v>
      </c>
      <c r="W1243" s="29" t="e">
        <f>DATEDIF(DATE(1970,1,1),W1242,"D")*86400</f>
        <v>#NUM!</v>
      </c>
      <c r="X1243" s="29">
        <f>HOUR(X1242)*3600+MINUTE(X1242)*60+SECOND(X1242)</f>
        <v>0</v>
      </c>
      <c r="Y1243" s="31">
        <f>(Y1242*B1243)</f>
        <v>0</v>
      </c>
      <c r="Z1243" s="29">
        <f>Z1242</f>
        <v>0</v>
      </c>
      <c r="AA1243" s="29" t="e">
        <f>DATEDIF(DATE(1970,1,1),AA1242,"D")*86400</f>
        <v>#NUM!</v>
      </c>
      <c r="AB1243" s="29">
        <f>HOUR(AB1242)*3600+MINUTE(AB1242)*60+SECOND(AB1242)</f>
        <v>0</v>
      </c>
      <c r="AC1243" s="29">
        <f>AC1242</f>
        <v>0</v>
      </c>
    </row>
    <row r="1244" spans="1:29">
      <c r="A1244" s="23">
        <f>Parameters!A623</f>
        <v>0</v>
      </c>
      <c r="B1244" s="23">
        <f>Parameters!B623</f>
        <v>0</v>
      </c>
      <c r="C1244" s="24">
        <f>Parameters!C623</f>
        <v>0</v>
      </c>
      <c r="D1244" s="24">
        <f>Parameters!D623</f>
        <v>0</v>
      </c>
      <c r="E1244" s="23">
        <f>Parameters!E623</f>
        <v>0</v>
      </c>
      <c r="F1244" s="23">
        <f>Parameters!F623</f>
        <v>0</v>
      </c>
      <c r="G1244" s="25">
        <f>Parameters!G623</f>
        <v>0</v>
      </c>
      <c r="H1244" s="25">
        <f>Parameters!H623</f>
        <v>0</v>
      </c>
      <c r="I1244" s="25">
        <f>Parameters!I623</f>
        <v>0</v>
      </c>
      <c r="J1244" s="25">
        <f>Parameters!J623</f>
        <v>0</v>
      </c>
      <c r="K1244" s="25">
        <f>Parameters!K623</f>
        <v>0</v>
      </c>
      <c r="L1244" s="26" t="e">
        <f t="shared" ref="L1244" si="1860">L1245</f>
        <v>#DIV/0!</v>
      </c>
      <c r="M1244" s="25">
        <f>Parameters!L623</f>
        <v>0</v>
      </c>
      <c r="N1244" s="25">
        <f>Parameters!M623</f>
        <v>0</v>
      </c>
      <c r="O1244" s="26" t="e">
        <f t="shared" ref="O1244" si="1861">O1245</f>
        <v>#DIV/0!</v>
      </c>
      <c r="P1244" s="23">
        <f>Parameters!N623</f>
        <v>0</v>
      </c>
      <c r="Q1244" s="23">
        <f>Parameters!O623</f>
        <v>0</v>
      </c>
      <c r="R1244" s="23">
        <f>Parameters!P623</f>
        <v>0</v>
      </c>
      <c r="S1244" s="23">
        <f>Parameters!Q623</f>
        <v>0</v>
      </c>
      <c r="T1244" s="23">
        <f>Parameters!R623</f>
        <v>0</v>
      </c>
      <c r="U1244" s="27">
        <f>Parameters!S623</f>
        <v>0</v>
      </c>
      <c r="V1244" s="28">
        <f>Parameters!T623</f>
        <v>0</v>
      </c>
      <c r="W1244" s="27">
        <f>Parameters!U623</f>
        <v>0</v>
      </c>
      <c r="X1244" s="28">
        <f>Parameters!V623</f>
        <v>0</v>
      </c>
      <c r="Y1244" s="25">
        <f>Parameters!W623</f>
        <v>0</v>
      </c>
      <c r="Z1244" s="23">
        <f>Parameters!X623</f>
        <v>0</v>
      </c>
      <c r="AA1244" s="27">
        <f>Parameters!Y623</f>
        <v>0</v>
      </c>
      <c r="AB1244" s="28">
        <f>Parameters!Z623</f>
        <v>0</v>
      </c>
      <c r="AC1244" s="23">
        <f>Parameters!AA623</f>
        <v>0</v>
      </c>
    </row>
    <row r="1245" spans="1:29">
      <c r="A1245" s="29" t="str">
        <f>UPPER(A1244)</f>
        <v>0</v>
      </c>
      <c r="B1245" s="29">
        <f>B1244</f>
        <v>0</v>
      </c>
      <c r="C1245" s="30">
        <f>C1244</f>
        <v>0</v>
      </c>
      <c r="D1245" s="30">
        <f>D1244</f>
        <v>0</v>
      </c>
      <c r="E1245" s="29">
        <f>E1244</f>
        <v>0</v>
      </c>
      <c r="F1245" s="29">
        <f>F1244</f>
        <v>0</v>
      </c>
      <c r="G1245" s="29" t="e">
        <f>IF(C1244=1,IF(D1244="BUY",E1244+(ROUND(F1244*G1244/B1244,0)*B1244),E1244-(ROUND(F1244*G1244/B1244,0)*B1244)),IF(D1244="BUY",E1244-(ROUND(F1244*G1244/B1244,0)*B1244),E1244+(ROUND(F1244*G1244/B1244,0)*B1244)))</f>
        <v>#DIV/0!</v>
      </c>
      <c r="H1245" s="29" t="e">
        <f>IF(C1244=1,IF(D1244="BUY",G1245-(ROUND(F1244*H1244/B1244,0)*B1244),G1245+(ROUND(F1244*H1244/B1244,0)*B1244)),IF(D1244="BUY",G1245+(ROUND(F1244*H1244/B1244,0)*B1244),G1245-(ROUND(F1244*H1244/B1244,0)*B1244)))</f>
        <v>#DIV/0!</v>
      </c>
      <c r="I1245" s="29" t="e">
        <f>IF(D1244="BUY",G1245+(ROUND(F1244*I1244/(B1244*100),0)*B1244),G1245-(ROUND(F1244*I1244/(B1244*100),0)*B1244))</f>
        <v>#DIV/0!</v>
      </c>
      <c r="J1245" s="29" t="e">
        <f>IF(C1244=1,IF(D1244="BUY",E1244+(ROUND(F1244*J1244/B1244,0)*B1244),E1244-(ROUND(F1244*J1244/B1244,0)*B1244)),IF(D1244="BUY",E1244-(ROUND(F1244*J1244/B1244,0)*B1244),E1244+(ROUND(F1244*J1244/B1244,0)*B1244)))</f>
        <v>#DIV/0!</v>
      </c>
      <c r="K1245" s="29" t="e">
        <f>IF(C1244=1,IF(D1244="BUY",E1244-(ROUND(F1244*K1244/B1244,0)*B1244),E1244+(ROUND(F1244*K1244/B1244,0)*B1244)),IF(D1244="BUY",E1244-(ROUND(F1244*K1244/B1244,0)*B1244),E1244+(ROUND(F1244*K1244/B1244,0)*B1244)))</f>
        <v>#DIV/0!</v>
      </c>
      <c r="L1245" s="29" t="e">
        <f t="shared" ref="L1245" si="1862">IF(D1245="BUY",I1245+(R1245*B1245),I1245-(R1245*B1245))</f>
        <v>#DIV/0!</v>
      </c>
      <c r="M1245" s="29" t="e">
        <f>IF(D1244="BUY",E1244+(ROUND(F1244*M1244/B1244,0)*B1244),E1244-(ROUND(F1244*M1244/B1244,0)*B1244))</f>
        <v>#DIV/0!</v>
      </c>
      <c r="N1245" s="29" t="e">
        <f>IF(D1244="BUY",E1244-(ROUND(F1244*N1244/B1244,0)*B1244),E1244+(ROUND(F1244*N1244/B1244,0)*B1244))</f>
        <v>#DIV/0!</v>
      </c>
      <c r="O1245" s="31" t="e">
        <f>IF(D1245="BUY",N1245-VLOOKUP(A1245,Symbols!A$1:D$1000,4,FALSE),N1245+VLOOKUP(A1245,Symbols!A$1:D$1000,4,FALSE))</f>
        <v>#DIV/0!</v>
      </c>
      <c r="P1245" s="29">
        <f>P1244</f>
        <v>0</v>
      </c>
      <c r="Q1245" s="29">
        <f>Q1244</f>
        <v>0</v>
      </c>
      <c r="R1245" s="29">
        <f>R1244</f>
        <v>0</v>
      </c>
      <c r="S1245" s="29">
        <f>S1244</f>
        <v>0</v>
      </c>
      <c r="T1245" s="29">
        <f>T1244</f>
        <v>0</v>
      </c>
      <c r="U1245" s="29" t="e">
        <f>DATEDIF(DATE(1970,1,1),U1244,"D")*86400</f>
        <v>#NUM!</v>
      </c>
      <c r="V1245" s="29">
        <f>HOUR(V1244)*3600+MINUTE(V1244)*60+SECOND(V1244)</f>
        <v>0</v>
      </c>
      <c r="W1245" s="29" t="e">
        <f>DATEDIF(DATE(1970,1,1),W1244,"D")*86400</f>
        <v>#NUM!</v>
      </c>
      <c r="X1245" s="29">
        <f>HOUR(X1244)*3600+MINUTE(X1244)*60+SECOND(X1244)</f>
        <v>0</v>
      </c>
      <c r="Y1245" s="31">
        <f>(Y1244*B1245)</f>
        <v>0</v>
      </c>
      <c r="Z1245" s="29">
        <f>Z1244</f>
        <v>0</v>
      </c>
      <c r="AA1245" s="29" t="e">
        <f>DATEDIF(DATE(1970,1,1),AA1244,"D")*86400</f>
        <v>#NUM!</v>
      </c>
      <c r="AB1245" s="29">
        <f>HOUR(AB1244)*3600+MINUTE(AB1244)*60+SECOND(AB1244)</f>
        <v>0</v>
      </c>
      <c r="AC1245" s="29">
        <f>AC1244</f>
        <v>0</v>
      </c>
    </row>
    <row r="1246" spans="1:29">
      <c r="A1246" s="23">
        <f>Parameters!A624</f>
        <v>0</v>
      </c>
      <c r="B1246" s="23">
        <f>Parameters!B624</f>
        <v>0</v>
      </c>
      <c r="C1246" s="24">
        <f>Parameters!C624</f>
        <v>0</v>
      </c>
      <c r="D1246" s="24">
        <f>Parameters!D624</f>
        <v>0</v>
      </c>
      <c r="E1246" s="23">
        <f>Parameters!E624</f>
        <v>0</v>
      </c>
      <c r="F1246" s="23">
        <f>Parameters!F624</f>
        <v>0</v>
      </c>
      <c r="G1246" s="25">
        <f>Parameters!G624</f>
        <v>0</v>
      </c>
      <c r="H1246" s="25">
        <f>Parameters!H624</f>
        <v>0</v>
      </c>
      <c r="I1246" s="25">
        <f>Parameters!I624</f>
        <v>0</v>
      </c>
      <c r="J1246" s="25">
        <f>Parameters!J624</f>
        <v>0</v>
      </c>
      <c r="K1246" s="25">
        <f>Parameters!K624</f>
        <v>0</v>
      </c>
      <c r="L1246" s="26" t="e">
        <f t="shared" ref="L1246" si="1863">L1247</f>
        <v>#DIV/0!</v>
      </c>
      <c r="M1246" s="25">
        <f>Parameters!L624</f>
        <v>0</v>
      </c>
      <c r="N1246" s="25">
        <f>Parameters!M624</f>
        <v>0</v>
      </c>
      <c r="O1246" s="26" t="e">
        <f t="shared" ref="O1246" si="1864">O1247</f>
        <v>#DIV/0!</v>
      </c>
      <c r="P1246" s="23">
        <f>Parameters!N624</f>
        <v>0</v>
      </c>
      <c r="Q1246" s="23">
        <f>Parameters!O624</f>
        <v>0</v>
      </c>
      <c r="R1246" s="23">
        <f>Parameters!P624</f>
        <v>0</v>
      </c>
      <c r="S1246" s="23">
        <f>Parameters!Q624</f>
        <v>0</v>
      </c>
      <c r="T1246" s="23">
        <f>Parameters!R624</f>
        <v>0</v>
      </c>
      <c r="U1246" s="27">
        <f>Parameters!S624</f>
        <v>0</v>
      </c>
      <c r="V1246" s="28">
        <f>Parameters!T624</f>
        <v>0</v>
      </c>
      <c r="W1246" s="27">
        <f>Parameters!U624</f>
        <v>0</v>
      </c>
      <c r="X1246" s="28">
        <f>Parameters!V624</f>
        <v>0</v>
      </c>
      <c r="Y1246" s="25">
        <f>Parameters!W624</f>
        <v>0</v>
      </c>
      <c r="Z1246" s="23">
        <f>Parameters!X624</f>
        <v>0</v>
      </c>
      <c r="AA1246" s="27">
        <f>Parameters!Y624</f>
        <v>0</v>
      </c>
      <c r="AB1246" s="28">
        <f>Parameters!Z624</f>
        <v>0</v>
      </c>
      <c r="AC1246" s="23">
        <f>Parameters!AA624</f>
        <v>0</v>
      </c>
    </row>
    <row r="1247" spans="1:29">
      <c r="A1247" s="29" t="str">
        <f>UPPER(A1246)</f>
        <v>0</v>
      </c>
      <c r="B1247" s="29">
        <f>B1246</f>
        <v>0</v>
      </c>
      <c r="C1247" s="30">
        <f>C1246</f>
        <v>0</v>
      </c>
      <c r="D1247" s="30">
        <f>D1246</f>
        <v>0</v>
      </c>
      <c r="E1247" s="29">
        <f>E1246</f>
        <v>0</v>
      </c>
      <c r="F1247" s="29">
        <f>F1246</f>
        <v>0</v>
      </c>
      <c r="G1247" s="29" t="e">
        <f>IF(C1246=1,IF(D1246="BUY",E1246+(ROUND(F1246*G1246/B1246,0)*B1246),E1246-(ROUND(F1246*G1246/B1246,0)*B1246)),IF(D1246="BUY",E1246-(ROUND(F1246*G1246/B1246,0)*B1246),E1246+(ROUND(F1246*G1246/B1246,0)*B1246)))</f>
        <v>#DIV/0!</v>
      </c>
      <c r="H1247" s="29" t="e">
        <f>IF(C1246=1,IF(D1246="BUY",G1247-(ROUND(F1246*H1246/B1246,0)*B1246),G1247+(ROUND(F1246*H1246/B1246,0)*B1246)),IF(D1246="BUY",G1247+(ROUND(F1246*H1246/B1246,0)*B1246),G1247-(ROUND(F1246*H1246/B1246,0)*B1246)))</f>
        <v>#DIV/0!</v>
      </c>
      <c r="I1247" s="29" t="e">
        <f>IF(D1246="BUY",G1247+(ROUND(F1246*I1246/(B1246*100),0)*B1246),G1247-(ROUND(F1246*I1246/(B1246*100),0)*B1246))</f>
        <v>#DIV/0!</v>
      </c>
      <c r="J1247" s="29" t="e">
        <f>IF(C1246=1,IF(D1246="BUY",E1246+(ROUND(F1246*J1246/B1246,0)*B1246),E1246-(ROUND(F1246*J1246/B1246,0)*B1246)),IF(D1246="BUY",E1246-(ROUND(F1246*J1246/B1246,0)*B1246),E1246+(ROUND(F1246*J1246/B1246,0)*B1246)))</f>
        <v>#DIV/0!</v>
      </c>
      <c r="K1247" s="29" t="e">
        <f>IF(C1246=1,IF(D1246="BUY",E1246-(ROUND(F1246*K1246/B1246,0)*B1246),E1246+(ROUND(F1246*K1246/B1246,0)*B1246)),IF(D1246="BUY",E1246-(ROUND(F1246*K1246/B1246,0)*B1246),E1246+(ROUND(F1246*K1246/B1246,0)*B1246)))</f>
        <v>#DIV/0!</v>
      </c>
      <c r="L1247" s="29" t="e">
        <f t="shared" ref="L1247" si="1865">IF(D1247="BUY",I1247+(R1247*B1247),I1247-(R1247*B1247))</f>
        <v>#DIV/0!</v>
      </c>
      <c r="M1247" s="29" t="e">
        <f>IF(D1246="BUY",E1246+(ROUND(F1246*M1246/B1246,0)*B1246),E1246-(ROUND(F1246*M1246/B1246,0)*B1246))</f>
        <v>#DIV/0!</v>
      </c>
      <c r="N1247" s="29" t="e">
        <f>IF(D1246="BUY",E1246-(ROUND(F1246*N1246/B1246,0)*B1246),E1246+(ROUND(F1246*N1246/B1246,0)*B1246))</f>
        <v>#DIV/0!</v>
      </c>
      <c r="O1247" s="31" t="e">
        <f>IF(D1247="BUY",N1247-VLOOKUP(A1247,Symbols!A$1:D$1000,4,FALSE),N1247+VLOOKUP(A1247,Symbols!A$1:D$1000,4,FALSE))</f>
        <v>#DIV/0!</v>
      </c>
      <c r="P1247" s="29">
        <f>P1246</f>
        <v>0</v>
      </c>
      <c r="Q1247" s="29">
        <f>Q1246</f>
        <v>0</v>
      </c>
      <c r="R1247" s="29">
        <f>R1246</f>
        <v>0</v>
      </c>
      <c r="S1247" s="29">
        <f>S1246</f>
        <v>0</v>
      </c>
      <c r="T1247" s="29">
        <f>T1246</f>
        <v>0</v>
      </c>
      <c r="U1247" s="29" t="e">
        <f>DATEDIF(DATE(1970,1,1),U1246,"D")*86400</f>
        <v>#NUM!</v>
      </c>
      <c r="V1247" s="29">
        <f>HOUR(V1246)*3600+MINUTE(V1246)*60+SECOND(V1246)</f>
        <v>0</v>
      </c>
      <c r="W1247" s="29" t="e">
        <f>DATEDIF(DATE(1970,1,1),W1246,"D")*86400</f>
        <v>#NUM!</v>
      </c>
      <c r="X1247" s="29">
        <f>HOUR(X1246)*3600+MINUTE(X1246)*60+SECOND(X1246)</f>
        <v>0</v>
      </c>
      <c r="Y1247" s="31">
        <f>(Y1246*B1247)</f>
        <v>0</v>
      </c>
      <c r="Z1247" s="29">
        <f>Z1246</f>
        <v>0</v>
      </c>
      <c r="AA1247" s="29" t="e">
        <f>DATEDIF(DATE(1970,1,1),AA1246,"D")*86400</f>
        <v>#NUM!</v>
      </c>
      <c r="AB1247" s="29">
        <f>HOUR(AB1246)*3600+MINUTE(AB1246)*60+SECOND(AB1246)</f>
        <v>0</v>
      </c>
      <c r="AC1247" s="29">
        <f>AC1246</f>
        <v>0</v>
      </c>
    </row>
    <row r="1248" spans="1:29">
      <c r="A1248" s="23">
        <f>Parameters!A625</f>
        <v>0</v>
      </c>
      <c r="B1248" s="23">
        <f>Parameters!B625</f>
        <v>0</v>
      </c>
      <c r="C1248" s="24">
        <f>Parameters!C625</f>
        <v>0</v>
      </c>
      <c r="D1248" s="24">
        <f>Parameters!D625</f>
        <v>0</v>
      </c>
      <c r="E1248" s="23">
        <f>Parameters!E625</f>
        <v>0</v>
      </c>
      <c r="F1248" s="23">
        <f>Parameters!F625</f>
        <v>0</v>
      </c>
      <c r="G1248" s="25">
        <f>Parameters!G625</f>
        <v>0</v>
      </c>
      <c r="H1248" s="25">
        <f>Parameters!H625</f>
        <v>0</v>
      </c>
      <c r="I1248" s="25">
        <f>Parameters!I625</f>
        <v>0</v>
      </c>
      <c r="J1248" s="25">
        <f>Parameters!J625</f>
        <v>0</v>
      </c>
      <c r="K1248" s="25">
        <f>Parameters!K625</f>
        <v>0</v>
      </c>
      <c r="L1248" s="26" t="e">
        <f t="shared" ref="L1248" si="1866">L1249</f>
        <v>#DIV/0!</v>
      </c>
      <c r="M1248" s="25">
        <f>Parameters!L625</f>
        <v>0</v>
      </c>
      <c r="N1248" s="25">
        <f>Parameters!M625</f>
        <v>0</v>
      </c>
      <c r="O1248" s="26" t="e">
        <f t="shared" ref="O1248" si="1867">O1249</f>
        <v>#DIV/0!</v>
      </c>
      <c r="P1248" s="23">
        <f>Parameters!N625</f>
        <v>0</v>
      </c>
      <c r="Q1248" s="23">
        <f>Parameters!O625</f>
        <v>0</v>
      </c>
      <c r="R1248" s="23">
        <f>Parameters!P625</f>
        <v>0</v>
      </c>
      <c r="S1248" s="23">
        <f>Parameters!Q625</f>
        <v>0</v>
      </c>
      <c r="T1248" s="23">
        <f>Parameters!R625</f>
        <v>0</v>
      </c>
      <c r="U1248" s="27">
        <f>Parameters!S625</f>
        <v>0</v>
      </c>
      <c r="V1248" s="28">
        <f>Parameters!T625</f>
        <v>0</v>
      </c>
      <c r="W1248" s="27">
        <f>Parameters!U625</f>
        <v>0</v>
      </c>
      <c r="X1248" s="28">
        <f>Parameters!V625</f>
        <v>0</v>
      </c>
      <c r="Y1248" s="25">
        <f>Parameters!W625</f>
        <v>0</v>
      </c>
      <c r="Z1248" s="23">
        <f>Parameters!X625</f>
        <v>0</v>
      </c>
      <c r="AA1248" s="27">
        <f>Parameters!Y625</f>
        <v>0</v>
      </c>
      <c r="AB1248" s="28">
        <f>Parameters!Z625</f>
        <v>0</v>
      </c>
      <c r="AC1248" s="23">
        <f>Parameters!AA625</f>
        <v>0</v>
      </c>
    </row>
    <row r="1249" spans="1:29">
      <c r="A1249" s="29" t="str">
        <f>UPPER(A1248)</f>
        <v>0</v>
      </c>
      <c r="B1249" s="29">
        <f>B1248</f>
        <v>0</v>
      </c>
      <c r="C1249" s="30">
        <f>C1248</f>
        <v>0</v>
      </c>
      <c r="D1249" s="30">
        <f>D1248</f>
        <v>0</v>
      </c>
      <c r="E1249" s="29">
        <f>E1248</f>
        <v>0</v>
      </c>
      <c r="F1249" s="29">
        <f>F1248</f>
        <v>0</v>
      </c>
      <c r="G1249" s="29" t="e">
        <f>IF(C1248=1,IF(D1248="BUY",E1248+(ROUND(F1248*G1248/B1248,0)*B1248),E1248-(ROUND(F1248*G1248/B1248,0)*B1248)),IF(D1248="BUY",E1248-(ROUND(F1248*G1248/B1248,0)*B1248),E1248+(ROUND(F1248*G1248/B1248,0)*B1248)))</f>
        <v>#DIV/0!</v>
      </c>
      <c r="H1249" s="29" t="e">
        <f>IF(C1248=1,IF(D1248="BUY",G1249-(ROUND(F1248*H1248/B1248,0)*B1248),G1249+(ROUND(F1248*H1248/B1248,0)*B1248)),IF(D1248="BUY",G1249+(ROUND(F1248*H1248/B1248,0)*B1248),G1249-(ROUND(F1248*H1248/B1248,0)*B1248)))</f>
        <v>#DIV/0!</v>
      </c>
      <c r="I1249" s="29" t="e">
        <f>IF(D1248="BUY",G1249+(ROUND(F1248*I1248/(B1248*100),0)*B1248),G1249-(ROUND(F1248*I1248/(B1248*100),0)*B1248))</f>
        <v>#DIV/0!</v>
      </c>
      <c r="J1249" s="29" t="e">
        <f>IF(C1248=1,IF(D1248="BUY",E1248+(ROUND(F1248*J1248/B1248,0)*B1248),E1248-(ROUND(F1248*J1248/B1248,0)*B1248)),IF(D1248="BUY",E1248-(ROUND(F1248*J1248/B1248,0)*B1248),E1248+(ROUND(F1248*J1248/B1248,0)*B1248)))</f>
        <v>#DIV/0!</v>
      </c>
      <c r="K1249" s="29" t="e">
        <f>IF(C1248=1,IF(D1248="BUY",E1248-(ROUND(F1248*K1248/B1248,0)*B1248),E1248+(ROUND(F1248*K1248/B1248,0)*B1248)),IF(D1248="BUY",E1248-(ROUND(F1248*K1248/B1248,0)*B1248),E1248+(ROUND(F1248*K1248/B1248,0)*B1248)))</f>
        <v>#DIV/0!</v>
      </c>
      <c r="L1249" s="29" t="e">
        <f t="shared" ref="L1249" si="1868">IF(D1249="BUY",I1249+(R1249*B1249),I1249-(R1249*B1249))</f>
        <v>#DIV/0!</v>
      </c>
      <c r="M1249" s="29" t="e">
        <f>IF(D1248="BUY",E1248+(ROUND(F1248*M1248/B1248,0)*B1248),E1248-(ROUND(F1248*M1248/B1248,0)*B1248))</f>
        <v>#DIV/0!</v>
      </c>
      <c r="N1249" s="29" t="e">
        <f>IF(D1248="BUY",E1248-(ROUND(F1248*N1248/B1248,0)*B1248),E1248+(ROUND(F1248*N1248/B1248,0)*B1248))</f>
        <v>#DIV/0!</v>
      </c>
      <c r="O1249" s="31" t="e">
        <f>IF(D1249="BUY",N1249-VLOOKUP(A1249,Symbols!A$1:D$1000,4,FALSE),N1249+VLOOKUP(A1249,Symbols!A$1:D$1000,4,FALSE))</f>
        <v>#DIV/0!</v>
      </c>
      <c r="P1249" s="29">
        <f>P1248</f>
        <v>0</v>
      </c>
      <c r="Q1249" s="29">
        <f>Q1248</f>
        <v>0</v>
      </c>
      <c r="R1249" s="29">
        <f>R1248</f>
        <v>0</v>
      </c>
      <c r="S1249" s="29">
        <f>S1248</f>
        <v>0</v>
      </c>
      <c r="T1249" s="29">
        <f>T1248</f>
        <v>0</v>
      </c>
      <c r="U1249" s="29" t="e">
        <f>DATEDIF(DATE(1970,1,1),U1248,"D")*86400</f>
        <v>#NUM!</v>
      </c>
      <c r="V1249" s="29">
        <f>HOUR(V1248)*3600+MINUTE(V1248)*60+SECOND(V1248)</f>
        <v>0</v>
      </c>
      <c r="W1249" s="29" t="e">
        <f>DATEDIF(DATE(1970,1,1),W1248,"D")*86400</f>
        <v>#NUM!</v>
      </c>
      <c r="X1249" s="29">
        <f>HOUR(X1248)*3600+MINUTE(X1248)*60+SECOND(X1248)</f>
        <v>0</v>
      </c>
      <c r="Y1249" s="31">
        <f>(Y1248*B1249)</f>
        <v>0</v>
      </c>
      <c r="Z1249" s="29">
        <f>Z1248</f>
        <v>0</v>
      </c>
      <c r="AA1249" s="29" t="e">
        <f>DATEDIF(DATE(1970,1,1),AA1248,"D")*86400</f>
        <v>#NUM!</v>
      </c>
      <c r="AB1249" s="29">
        <f>HOUR(AB1248)*3600+MINUTE(AB1248)*60+SECOND(AB1248)</f>
        <v>0</v>
      </c>
      <c r="AC1249" s="29">
        <f>AC1248</f>
        <v>0</v>
      </c>
    </row>
    <row r="1250" spans="1:29">
      <c r="A1250" s="23">
        <f>Parameters!A626</f>
        <v>0</v>
      </c>
      <c r="B1250" s="23">
        <f>Parameters!B626</f>
        <v>0</v>
      </c>
      <c r="C1250" s="24">
        <f>Parameters!C626</f>
        <v>0</v>
      </c>
      <c r="D1250" s="24">
        <f>Parameters!D626</f>
        <v>0</v>
      </c>
      <c r="E1250" s="23">
        <f>Parameters!E626</f>
        <v>0</v>
      </c>
      <c r="F1250" s="23">
        <f>Parameters!F626</f>
        <v>0</v>
      </c>
      <c r="G1250" s="25">
        <f>Parameters!G626</f>
        <v>0</v>
      </c>
      <c r="H1250" s="25">
        <f>Parameters!H626</f>
        <v>0</v>
      </c>
      <c r="I1250" s="25">
        <f>Parameters!I626</f>
        <v>0</v>
      </c>
      <c r="J1250" s="25">
        <f>Parameters!J626</f>
        <v>0</v>
      </c>
      <c r="K1250" s="25">
        <f>Parameters!K626</f>
        <v>0</v>
      </c>
      <c r="L1250" s="26" t="e">
        <f t="shared" ref="L1250" si="1869">L1251</f>
        <v>#DIV/0!</v>
      </c>
      <c r="M1250" s="25">
        <f>Parameters!L626</f>
        <v>0</v>
      </c>
      <c r="N1250" s="25">
        <f>Parameters!M626</f>
        <v>0</v>
      </c>
      <c r="O1250" s="26" t="e">
        <f t="shared" ref="O1250" si="1870">O1251</f>
        <v>#DIV/0!</v>
      </c>
      <c r="P1250" s="23">
        <f>Parameters!N626</f>
        <v>0</v>
      </c>
      <c r="Q1250" s="23">
        <f>Parameters!O626</f>
        <v>0</v>
      </c>
      <c r="R1250" s="23">
        <f>Parameters!P626</f>
        <v>0</v>
      </c>
      <c r="S1250" s="23">
        <f>Parameters!Q626</f>
        <v>0</v>
      </c>
      <c r="T1250" s="23">
        <f>Parameters!R626</f>
        <v>0</v>
      </c>
      <c r="U1250" s="27">
        <f>Parameters!S626</f>
        <v>0</v>
      </c>
      <c r="V1250" s="28">
        <f>Parameters!T626</f>
        <v>0</v>
      </c>
      <c r="W1250" s="27">
        <f>Parameters!U626</f>
        <v>0</v>
      </c>
      <c r="X1250" s="28">
        <f>Parameters!V626</f>
        <v>0</v>
      </c>
      <c r="Y1250" s="25">
        <f>Parameters!W626</f>
        <v>0</v>
      </c>
      <c r="Z1250" s="23">
        <f>Parameters!X626</f>
        <v>0</v>
      </c>
      <c r="AA1250" s="27">
        <f>Parameters!Y626</f>
        <v>0</v>
      </c>
      <c r="AB1250" s="28">
        <f>Parameters!Z626</f>
        <v>0</v>
      </c>
      <c r="AC1250" s="23">
        <f>Parameters!AA626</f>
        <v>0</v>
      </c>
    </row>
    <row r="1251" spans="1:29">
      <c r="A1251" s="29" t="str">
        <f>UPPER(A1250)</f>
        <v>0</v>
      </c>
      <c r="B1251" s="29">
        <f>B1250</f>
        <v>0</v>
      </c>
      <c r="C1251" s="30">
        <f>C1250</f>
        <v>0</v>
      </c>
      <c r="D1251" s="30">
        <f>D1250</f>
        <v>0</v>
      </c>
      <c r="E1251" s="29">
        <f>E1250</f>
        <v>0</v>
      </c>
      <c r="F1251" s="29">
        <f>F1250</f>
        <v>0</v>
      </c>
      <c r="G1251" s="29" t="e">
        <f>IF(C1250=1,IF(D1250="BUY",E1250+(ROUND(F1250*G1250/B1250,0)*B1250),E1250-(ROUND(F1250*G1250/B1250,0)*B1250)),IF(D1250="BUY",E1250-(ROUND(F1250*G1250/B1250,0)*B1250),E1250+(ROUND(F1250*G1250/B1250,0)*B1250)))</f>
        <v>#DIV/0!</v>
      </c>
      <c r="H1251" s="29" t="e">
        <f>IF(C1250=1,IF(D1250="BUY",G1251-(ROUND(F1250*H1250/B1250,0)*B1250),G1251+(ROUND(F1250*H1250/B1250,0)*B1250)),IF(D1250="BUY",G1251+(ROUND(F1250*H1250/B1250,0)*B1250),G1251-(ROUND(F1250*H1250/B1250,0)*B1250)))</f>
        <v>#DIV/0!</v>
      </c>
      <c r="I1251" s="29" t="e">
        <f>IF(D1250="BUY",G1251+(ROUND(F1250*I1250/(B1250*100),0)*B1250),G1251-(ROUND(F1250*I1250/(B1250*100),0)*B1250))</f>
        <v>#DIV/0!</v>
      </c>
      <c r="J1251" s="29" t="e">
        <f>IF(C1250=1,IF(D1250="BUY",E1250+(ROUND(F1250*J1250/B1250,0)*B1250),E1250-(ROUND(F1250*J1250/B1250,0)*B1250)),IF(D1250="BUY",E1250-(ROUND(F1250*J1250/B1250,0)*B1250),E1250+(ROUND(F1250*J1250/B1250,0)*B1250)))</f>
        <v>#DIV/0!</v>
      </c>
      <c r="K1251" s="29" t="e">
        <f>IF(C1250=1,IF(D1250="BUY",E1250-(ROUND(F1250*K1250/B1250,0)*B1250),E1250+(ROUND(F1250*K1250/B1250,0)*B1250)),IF(D1250="BUY",E1250-(ROUND(F1250*K1250/B1250,0)*B1250),E1250+(ROUND(F1250*K1250/B1250,0)*B1250)))</f>
        <v>#DIV/0!</v>
      </c>
      <c r="L1251" s="29" t="e">
        <f t="shared" ref="L1251" si="1871">IF(D1251="BUY",I1251+(R1251*B1251),I1251-(R1251*B1251))</f>
        <v>#DIV/0!</v>
      </c>
      <c r="M1251" s="29" t="e">
        <f>IF(D1250="BUY",E1250+(ROUND(F1250*M1250/B1250,0)*B1250),E1250-(ROUND(F1250*M1250/B1250,0)*B1250))</f>
        <v>#DIV/0!</v>
      </c>
      <c r="N1251" s="29" t="e">
        <f>IF(D1250="BUY",E1250-(ROUND(F1250*N1250/B1250,0)*B1250),E1250+(ROUND(F1250*N1250/B1250,0)*B1250))</f>
        <v>#DIV/0!</v>
      </c>
      <c r="O1251" s="31" t="e">
        <f>IF(D1251="BUY",N1251-VLOOKUP(A1251,Symbols!A$1:D$1000,4,FALSE),N1251+VLOOKUP(A1251,Symbols!A$1:D$1000,4,FALSE))</f>
        <v>#DIV/0!</v>
      </c>
      <c r="P1251" s="29">
        <f>P1250</f>
        <v>0</v>
      </c>
      <c r="Q1251" s="29">
        <f>Q1250</f>
        <v>0</v>
      </c>
      <c r="R1251" s="29">
        <f>R1250</f>
        <v>0</v>
      </c>
      <c r="S1251" s="29">
        <f>S1250</f>
        <v>0</v>
      </c>
      <c r="T1251" s="29">
        <f>T1250</f>
        <v>0</v>
      </c>
      <c r="U1251" s="29" t="e">
        <f>DATEDIF(DATE(1970,1,1),U1250,"D")*86400</f>
        <v>#NUM!</v>
      </c>
      <c r="V1251" s="29">
        <f>HOUR(V1250)*3600+MINUTE(V1250)*60+SECOND(V1250)</f>
        <v>0</v>
      </c>
      <c r="W1251" s="29" t="e">
        <f>DATEDIF(DATE(1970,1,1),W1250,"D")*86400</f>
        <v>#NUM!</v>
      </c>
      <c r="X1251" s="29">
        <f>HOUR(X1250)*3600+MINUTE(X1250)*60+SECOND(X1250)</f>
        <v>0</v>
      </c>
      <c r="Y1251" s="31">
        <f>(Y1250*B1251)</f>
        <v>0</v>
      </c>
      <c r="Z1251" s="29">
        <f>Z1250</f>
        <v>0</v>
      </c>
      <c r="AA1251" s="29" t="e">
        <f>DATEDIF(DATE(1970,1,1),AA1250,"D")*86400</f>
        <v>#NUM!</v>
      </c>
      <c r="AB1251" s="29">
        <f>HOUR(AB1250)*3600+MINUTE(AB1250)*60+SECOND(AB1250)</f>
        <v>0</v>
      </c>
      <c r="AC1251" s="29">
        <f>AC1250</f>
        <v>0</v>
      </c>
    </row>
    <row r="1252" spans="1:29">
      <c r="A1252" s="23">
        <f>Parameters!A627</f>
        <v>0</v>
      </c>
      <c r="B1252" s="23">
        <f>Parameters!B627</f>
        <v>0</v>
      </c>
      <c r="C1252" s="24">
        <f>Parameters!C627</f>
        <v>0</v>
      </c>
      <c r="D1252" s="24">
        <f>Parameters!D627</f>
        <v>0</v>
      </c>
      <c r="E1252" s="23">
        <f>Parameters!E627</f>
        <v>0</v>
      </c>
      <c r="F1252" s="23">
        <f>Parameters!F627</f>
        <v>0</v>
      </c>
      <c r="G1252" s="25">
        <f>Parameters!G627</f>
        <v>0</v>
      </c>
      <c r="H1252" s="25">
        <f>Parameters!H627</f>
        <v>0</v>
      </c>
      <c r="I1252" s="25">
        <f>Parameters!I627</f>
        <v>0</v>
      </c>
      <c r="J1252" s="25">
        <f>Parameters!J627</f>
        <v>0</v>
      </c>
      <c r="K1252" s="25">
        <f>Parameters!K627</f>
        <v>0</v>
      </c>
      <c r="L1252" s="26" t="e">
        <f t="shared" ref="L1252" si="1872">L1253</f>
        <v>#DIV/0!</v>
      </c>
      <c r="M1252" s="25">
        <f>Parameters!L627</f>
        <v>0</v>
      </c>
      <c r="N1252" s="25">
        <f>Parameters!M627</f>
        <v>0</v>
      </c>
      <c r="O1252" s="26" t="e">
        <f t="shared" ref="O1252" si="1873">O1253</f>
        <v>#DIV/0!</v>
      </c>
      <c r="P1252" s="23">
        <f>Parameters!N627</f>
        <v>0</v>
      </c>
      <c r="Q1252" s="23">
        <f>Parameters!O627</f>
        <v>0</v>
      </c>
      <c r="R1252" s="23">
        <f>Parameters!P627</f>
        <v>0</v>
      </c>
      <c r="S1252" s="23">
        <f>Parameters!Q627</f>
        <v>0</v>
      </c>
      <c r="T1252" s="23">
        <f>Parameters!R627</f>
        <v>0</v>
      </c>
      <c r="U1252" s="27">
        <f>Parameters!S627</f>
        <v>0</v>
      </c>
      <c r="V1252" s="28">
        <f>Parameters!T627</f>
        <v>0</v>
      </c>
      <c r="W1252" s="27">
        <f>Parameters!U627</f>
        <v>0</v>
      </c>
      <c r="X1252" s="28">
        <f>Parameters!V627</f>
        <v>0</v>
      </c>
      <c r="Y1252" s="25">
        <f>Parameters!W627</f>
        <v>0</v>
      </c>
      <c r="Z1252" s="23">
        <f>Parameters!X627</f>
        <v>0</v>
      </c>
      <c r="AA1252" s="27">
        <f>Parameters!Y627</f>
        <v>0</v>
      </c>
      <c r="AB1252" s="28">
        <f>Parameters!Z627</f>
        <v>0</v>
      </c>
      <c r="AC1252" s="23">
        <f>Parameters!AA627</f>
        <v>0</v>
      </c>
    </row>
    <row r="1253" spans="1:29">
      <c r="A1253" s="29" t="str">
        <f>UPPER(A1252)</f>
        <v>0</v>
      </c>
      <c r="B1253" s="29">
        <f>B1252</f>
        <v>0</v>
      </c>
      <c r="C1253" s="30">
        <f>C1252</f>
        <v>0</v>
      </c>
      <c r="D1253" s="30">
        <f>D1252</f>
        <v>0</v>
      </c>
      <c r="E1253" s="29">
        <f>E1252</f>
        <v>0</v>
      </c>
      <c r="F1253" s="29">
        <f>F1252</f>
        <v>0</v>
      </c>
      <c r="G1253" s="29" t="e">
        <f>IF(C1252=1,IF(D1252="BUY",E1252+(ROUND(F1252*G1252/B1252,0)*B1252),E1252-(ROUND(F1252*G1252/B1252,0)*B1252)),IF(D1252="BUY",E1252-(ROUND(F1252*G1252/B1252,0)*B1252),E1252+(ROUND(F1252*G1252/B1252,0)*B1252)))</f>
        <v>#DIV/0!</v>
      </c>
      <c r="H1253" s="29" t="e">
        <f>IF(C1252=1,IF(D1252="BUY",G1253-(ROUND(F1252*H1252/B1252,0)*B1252),G1253+(ROUND(F1252*H1252/B1252,0)*B1252)),IF(D1252="BUY",G1253+(ROUND(F1252*H1252/B1252,0)*B1252),G1253-(ROUND(F1252*H1252/B1252,0)*B1252)))</f>
        <v>#DIV/0!</v>
      </c>
      <c r="I1253" s="29" t="e">
        <f>IF(D1252="BUY",G1253+(ROUND(F1252*I1252/(B1252*100),0)*B1252),G1253-(ROUND(F1252*I1252/(B1252*100),0)*B1252))</f>
        <v>#DIV/0!</v>
      </c>
      <c r="J1253" s="29" t="e">
        <f>IF(C1252=1,IF(D1252="BUY",E1252+(ROUND(F1252*J1252/B1252,0)*B1252),E1252-(ROUND(F1252*J1252/B1252,0)*B1252)),IF(D1252="BUY",E1252-(ROUND(F1252*J1252/B1252,0)*B1252),E1252+(ROUND(F1252*J1252/B1252,0)*B1252)))</f>
        <v>#DIV/0!</v>
      </c>
      <c r="K1253" s="29" t="e">
        <f>IF(C1252=1,IF(D1252="BUY",E1252-(ROUND(F1252*K1252/B1252,0)*B1252),E1252+(ROUND(F1252*K1252/B1252,0)*B1252)),IF(D1252="BUY",E1252-(ROUND(F1252*K1252/B1252,0)*B1252),E1252+(ROUND(F1252*K1252/B1252,0)*B1252)))</f>
        <v>#DIV/0!</v>
      </c>
      <c r="L1253" s="29" t="e">
        <f t="shared" ref="L1253" si="1874">IF(D1253="BUY",I1253+(R1253*B1253),I1253-(R1253*B1253))</f>
        <v>#DIV/0!</v>
      </c>
      <c r="M1253" s="29" t="e">
        <f>IF(D1252="BUY",E1252+(ROUND(F1252*M1252/B1252,0)*B1252),E1252-(ROUND(F1252*M1252/B1252,0)*B1252))</f>
        <v>#DIV/0!</v>
      </c>
      <c r="N1253" s="29" t="e">
        <f>IF(D1252="BUY",E1252-(ROUND(F1252*N1252/B1252,0)*B1252),E1252+(ROUND(F1252*N1252/B1252,0)*B1252))</f>
        <v>#DIV/0!</v>
      </c>
      <c r="O1253" s="31" t="e">
        <f>IF(D1253="BUY",N1253-VLOOKUP(A1253,Symbols!A$1:D$1000,4,FALSE),N1253+VLOOKUP(A1253,Symbols!A$1:D$1000,4,FALSE))</f>
        <v>#DIV/0!</v>
      </c>
      <c r="P1253" s="29">
        <f>P1252</f>
        <v>0</v>
      </c>
      <c r="Q1253" s="29">
        <f>Q1252</f>
        <v>0</v>
      </c>
      <c r="R1253" s="29">
        <f>R1252</f>
        <v>0</v>
      </c>
      <c r="S1253" s="29">
        <f>S1252</f>
        <v>0</v>
      </c>
      <c r="T1253" s="29">
        <f>T1252</f>
        <v>0</v>
      </c>
      <c r="U1253" s="29" t="e">
        <f>DATEDIF(DATE(1970,1,1),U1252,"D")*86400</f>
        <v>#NUM!</v>
      </c>
      <c r="V1253" s="29">
        <f>HOUR(V1252)*3600+MINUTE(V1252)*60+SECOND(V1252)</f>
        <v>0</v>
      </c>
      <c r="W1253" s="29" t="e">
        <f>DATEDIF(DATE(1970,1,1),W1252,"D")*86400</f>
        <v>#NUM!</v>
      </c>
      <c r="X1253" s="29">
        <f>HOUR(X1252)*3600+MINUTE(X1252)*60+SECOND(X1252)</f>
        <v>0</v>
      </c>
      <c r="Y1253" s="31">
        <f>(Y1252*B1253)</f>
        <v>0</v>
      </c>
      <c r="Z1253" s="29">
        <f>Z1252</f>
        <v>0</v>
      </c>
      <c r="AA1253" s="29" t="e">
        <f>DATEDIF(DATE(1970,1,1),AA1252,"D")*86400</f>
        <v>#NUM!</v>
      </c>
      <c r="AB1253" s="29">
        <f>HOUR(AB1252)*3600+MINUTE(AB1252)*60+SECOND(AB1252)</f>
        <v>0</v>
      </c>
      <c r="AC1253" s="29">
        <f>AC1252</f>
        <v>0</v>
      </c>
    </row>
    <row r="1254" spans="1:29">
      <c r="A1254" s="23">
        <f>Parameters!A628</f>
        <v>0</v>
      </c>
      <c r="B1254" s="23">
        <f>Parameters!B628</f>
        <v>0</v>
      </c>
      <c r="C1254" s="24">
        <f>Parameters!C628</f>
        <v>0</v>
      </c>
      <c r="D1254" s="24">
        <f>Parameters!D628</f>
        <v>0</v>
      </c>
      <c r="E1254" s="23">
        <f>Parameters!E628</f>
        <v>0</v>
      </c>
      <c r="F1254" s="23">
        <f>Parameters!F628</f>
        <v>0</v>
      </c>
      <c r="G1254" s="25">
        <f>Parameters!G628</f>
        <v>0</v>
      </c>
      <c r="H1254" s="25">
        <f>Parameters!H628</f>
        <v>0</v>
      </c>
      <c r="I1254" s="25">
        <f>Parameters!I628</f>
        <v>0</v>
      </c>
      <c r="J1254" s="25">
        <f>Parameters!J628</f>
        <v>0</v>
      </c>
      <c r="K1254" s="25">
        <f>Parameters!K628</f>
        <v>0</v>
      </c>
      <c r="L1254" s="26" t="e">
        <f t="shared" ref="L1254" si="1875">L1255</f>
        <v>#DIV/0!</v>
      </c>
      <c r="M1254" s="25">
        <f>Parameters!L628</f>
        <v>0</v>
      </c>
      <c r="N1254" s="25">
        <f>Parameters!M628</f>
        <v>0</v>
      </c>
      <c r="O1254" s="26" t="e">
        <f t="shared" ref="O1254" si="1876">O1255</f>
        <v>#DIV/0!</v>
      </c>
      <c r="P1254" s="23">
        <f>Parameters!N628</f>
        <v>0</v>
      </c>
      <c r="Q1254" s="23">
        <f>Parameters!O628</f>
        <v>0</v>
      </c>
      <c r="R1254" s="23">
        <f>Parameters!P628</f>
        <v>0</v>
      </c>
      <c r="S1254" s="23">
        <f>Parameters!Q628</f>
        <v>0</v>
      </c>
      <c r="T1254" s="23">
        <f>Parameters!R628</f>
        <v>0</v>
      </c>
      <c r="U1254" s="27">
        <f>Parameters!S628</f>
        <v>0</v>
      </c>
      <c r="V1254" s="28">
        <f>Parameters!T628</f>
        <v>0</v>
      </c>
      <c r="W1254" s="27">
        <f>Parameters!U628</f>
        <v>0</v>
      </c>
      <c r="X1254" s="28">
        <f>Parameters!V628</f>
        <v>0</v>
      </c>
      <c r="Y1254" s="25">
        <f>Parameters!W628</f>
        <v>0</v>
      </c>
      <c r="Z1254" s="23">
        <f>Parameters!X628</f>
        <v>0</v>
      </c>
      <c r="AA1254" s="27">
        <f>Parameters!Y628</f>
        <v>0</v>
      </c>
      <c r="AB1254" s="28">
        <f>Parameters!Z628</f>
        <v>0</v>
      </c>
      <c r="AC1254" s="23">
        <f>Parameters!AA628</f>
        <v>0</v>
      </c>
    </row>
    <row r="1255" spans="1:29">
      <c r="A1255" s="29" t="str">
        <f>UPPER(A1254)</f>
        <v>0</v>
      </c>
      <c r="B1255" s="29">
        <f>B1254</f>
        <v>0</v>
      </c>
      <c r="C1255" s="30">
        <f>C1254</f>
        <v>0</v>
      </c>
      <c r="D1255" s="30">
        <f>D1254</f>
        <v>0</v>
      </c>
      <c r="E1255" s="29">
        <f>E1254</f>
        <v>0</v>
      </c>
      <c r="F1255" s="29">
        <f>F1254</f>
        <v>0</v>
      </c>
      <c r="G1255" s="29" t="e">
        <f>IF(C1254=1,IF(D1254="BUY",E1254+(ROUND(F1254*G1254/B1254,0)*B1254),E1254-(ROUND(F1254*G1254/B1254,0)*B1254)),IF(D1254="BUY",E1254-(ROUND(F1254*G1254/B1254,0)*B1254),E1254+(ROUND(F1254*G1254/B1254,0)*B1254)))</f>
        <v>#DIV/0!</v>
      </c>
      <c r="H1255" s="29" t="e">
        <f>IF(C1254=1,IF(D1254="BUY",G1255-(ROUND(F1254*H1254/B1254,0)*B1254),G1255+(ROUND(F1254*H1254/B1254,0)*B1254)),IF(D1254="BUY",G1255+(ROUND(F1254*H1254/B1254,0)*B1254),G1255-(ROUND(F1254*H1254/B1254,0)*B1254)))</f>
        <v>#DIV/0!</v>
      </c>
      <c r="I1255" s="29" t="e">
        <f>IF(D1254="BUY",G1255+(ROUND(F1254*I1254/(B1254*100),0)*B1254),G1255-(ROUND(F1254*I1254/(B1254*100),0)*B1254))</f>
        <v>#DIV/0!</v>
      </c>
      <c r="J1255" s="29" t="e">
        <f>IF(C1254=1,IF(D1254="BUY",E1254+(ROUND(F1254*J1254/B1254,0)*B1254),E1254-(ROUND(F1254*J1254/B1254,0)*B1254)),IF(D1254="BUY",E1254-(ROUND(F1254*J1254/B1254,0)*B1254),E1254+(ROUND(F1254*J1254/B1254,0)*B1254)))</f>
        <v>#DIV/0!</v>
      </c>
      <c r="K1255" s="29" t="e">
        <f>IF(C1254=1,IF(D1254="BUY",E1254-(ROUND(F1254*K1254/B1254,0)*B1254),E1254+(ROUND(F1254*K1254/B1254,0)*B1254)),IF(D1254="BUY",E1254-(ROUND(F1254*K1254/B1254,0)*B1254),E1254+(ROUND(F1254*K1254/B1254,0)*B1254)))</f>
        <v>#DIV/0!</v>
      </c>
      <c r="L1255" s="29" t="e">
        <f t="shared" ref="L1255" si="1877">IF(D1255="BUY",I1255+(R1255*B1255),I1255-(R1255*B1255))</f>
        <v>#DIV/0!</v>
      </c>
      <c r="M1255" s="29" t="e">
        <f>IF(D1254="BUY",E1254+(ROUND(F1254*M1254/B1254,0)*B1254),E1254-(ROUND(F1254*M1254/B1254,0)*B1254))</f>
        <v>#DIV/0!</v>
      </c>
      <c r="N1255" s="29" t="e">
        <f>IF(D1254="BUY",E1254-(ROUND(F1254*N1254/B1254,0)*B1254),E1254+(ROUND(F1254*N1254/B1254,0)*B1254))</f>
        <v>#DIV/0!</v>
      </c>
      <c r="O1255" s="31" t="e">
        <f>IF(D1255="BUY",N1255-VLOOKUP(A1255,Symbols!A$1:D$1000,4,FALSE),N1255+VLOOKUP(A1255,Symbols!A$1:D$1000,4,FALSE))</f>
        <v>#DIV/0!</v>
      </c>
      <c r="P1255" s="29">
        <f>P1254</f>
        <v>0</v>
      </c>
      <c r="Q1255" s="29">
        <f>Q1254</f>
        <v>0</v>
      </c>
      <c r="R1255" s="29">
        <f>R1254</f>
        <v>0</v>
      </c>
      <c r="S1255" s="29">
        <f>S1254</f>
        <v>0</v>
      </c>
      <c r="T1255" s="29">
        <f>T1254</f>
        <v>0</v>
      </c>
      <c r="U1255" s="29" t="e">
        <f>DATEDIF(DATE(1970,1,1),U1254,"D")*86400</f>
        <v>#NUM!</v>
      </c>
      <c r="V1255" s="29">
        <f>HOUR(V1254)*3600+MINUTE(V1254)*60+SECOND(V1254)</f>
        <v>0</v>
      </c>
      <c r="W1255" s="29" t="e">
        <f>DATEDIF(DATE(1970,1,1),W1254,"D")*86400</f>
        <v>#NUM!</v>
      </c>
      <c r="X1255" s="29">
        <f>HOUR(X1254)*3600+MINUTE(X1254)*60+SECOND(X1254)</f>
        <v>0</v>
      </c>
      <c r="Y1255" s="31">
        <f>(Y1254*B1255)</f>
        <v>0</v>
      </c>
      <c r="Z1255" s="29">
        <f>Z1254</f>
        <v>0</v>
      </c>
      <c r="AA1255" s="29" t="e">
        <f>DATEDIF(DATE(1970,1,1),AA1254,"D")*86400</f>
        <v>#NUM!</v>
      </c>
      <c r="AB1255" s="29">
        <f>HOUR(AB1254)*3600+MINUTE(AB1254)*60+SECOND(AB1254)</f>
        <v>0</v>
      </c>
      <c r="AC1255" s="29">
        <f>AC1254</f>
        <v>0</v>
      </c>
    </row>
    <row r="1256" spans="1:29">
      <c r="A1256" s="23">
        <f>Parameters!A629</f>
        <v>0</v>
      </c>
      <c r="B1256" s="23">
        <f>Parameters!B629</f>
        <v>0</v>
      </c>
      <c r="C1256" s="24">
        <f>Parameters!C629</f>
        <v>0</v>
      </c>
      <c r="D1256" s="24">
        <f>Parameters!D629</f>
        <v>0</v>
      </c>
      <c r="E1256" s="23">
        <f>Parameters!E629</f>
        <v>0</v>
      </c>
      <c r="F1256" s="23">
        <f>Parameters!F629</f>
        <v>0</v>
      </c>
      <c r="G1256" s="25">
        <f>Parameters!G629</f>
        <v>0</v>
      </c>
      <c r="H1256" s="25">
        <f>Parameters!H629</f>
        <v>0</v>
      </c>
      <c r="I1256" s="25">
        <f>Parameters!I629</f>
        <v>0</v>
      </c>
      <c r="J1256" s="25">
        <f>Parameters!J629</f>
        <v>0</v>
      </c>
      <c r="K1256" s="25">
        <f>Parameters!K629</f>
        <v>0</v>
      </c>
      <c r="L1256" s="26" t="e">
        <f t="shared" ref="L1256" si="1878">L1257</f>
        <v>#DIV/0!</v>
      </c>
      <c r="M1256" s="25">
        <f>Parameters!L629</f>
        <v>0</v>
      </c>
      <c r="N1256" s="25">
        <f>Parameters!M629</f>
        <v>0</v>
      </c>
      <c r="O1256" s="26" t="e">
        <f t="shared" ref="O1256" si="1879">O1257</f>
        <v>#DIV/0!</v>
      </c>
      <c r="P1256" s="23">
        <f>Parameters!N629</f>
        <v>0</v>
      </c>
      <c r="Q1256" s="23">
        <f>Parameters!O629</f>
        <v>0</v>
      </c>
      <c r="R1256" s="23">
        <f>Parameters!P629</f>
        <v>0</v>
      </c>
      <c r="S1256" s="23">
        <f>Parameters!Q629</f>
        <v>0</v>
      </c>
      <c r="T1256" s="23">
        <f>Parameters!R629</f>
        <v>0</v>
      </c>
      <c r="U1256" s="27">
        <f>Parameters!S629</f>
        <v>0</v>
      </c>
      <c r="V1256" s="28">
        <f>Parameters!T629</f>
        <v>0</v>
      </c>
      <c r="W1256" s="27">
        <f>Parameters!U629</f>
        <v>0</v>
      </c>
      <c r="X1256" s="28">
        <f>Parameters!V629</f>
        <v>0</v>
      </c>
      <c r="Y1256" s="25">
        <f>Parameters!W629</f>
        <v>0</v>
      </c>
      <c r="Z1256" s="23">
        <f>Parameters!X629</f>
        <v>0</v>
      </c>
      <c r="AA1256" s="27">
        <f>Parameters!Y629</f>
        <v>0</v>
      </c>
      <c r="AB1256" s="28">
        <f>Parameters!Z629</f>
        <v>0</v>
      </c>
      <c r="AC1256" s="23">
        <f>Parameters!AA629</f>
        <v>0</v>
      </c>
    </row>
    <row r="1257" spans="1:29">
      <c r="A1257" s="29" t="str">
        <f>UPPER(A1256)</f>
        <v>0</v>
      </c>
      <c r="B1257" s="29">
        <f>B1256</f>
        <v>0</v>
      </c>
      <c r="C1257" s="30">
        <f>C1256</f>
        <v>0</v>
      </c>
      <c r="D1257" s="30">
        <f>D1256</f>
        <v>0</v>
      </c>
      <c r="E1257" s="29">
        <f>E1256</f>
        <v>0</v>
      </c>
      <c r="F1257" s="29">
        <f>F1256</f>
        <v>0</v>
      </c>
      <c r="G1257" s="29" t="e">
        <f>IF(C1256=1,IF(D1256="BUY",E1256+(ROUND(F1256*G1256/B1256,0)*B1256),E1256-(ROUND(F1256*G1256/B1256,0)*B1256)),IF(D1256="BUY",E1256-(ROUND(F1256*G1256/B1256,0)*B1256),E1256+(ROUND(F1256*G1256/B1256,0)*B1256)))</f>
        <v>#DIV/0!</v>
      </c>
      <c r="H1257" s="29" t="e">
        <f>IF(C1256=1,IF(D1256="BUY",G1257-(ROUND(F1256*H1256/B1256,0)*B1256),G1257+(ROUND(F1256*H1256/B1256,0)*B1256)),IF(D1256="BUY",G1257+(ROUND(F1256*H1256/B1256,0)*B1256),G1257-(ROUND(F1256*H1256/B1256,0)*B1256)))</f>
        <v>#DIV/0!</v>
      </c>
      <c r="I1257" s="29" t="e">
        <f>IF(D1256="BUY",G1257+(ROUND(F1256*I1256/(B1256*100),0)*B1256),G1257-(ROUND(F1256*I1256/(B1256*100),0)*B1256))</f>
        <v>#DIV/0!</v>
      </c>
      <c r="J1257" s="29" t="e">
        <f>IF(C1256=1,IF(D1256="BUY",E1256+(ROUND(F1256*J1256/B1256,0)*B1256),E1256-(ROUND(F1256*J1256/B1256,0)*B1256)),IF(D1256="BUY",E1256-(ROUND(F1256*J1256/B1256,0)*B1256),E1256+(ROUND(F1256*J1256/B1256,0)*B1256)))</f>
        <v>#DIV/0!</v>
      </c>
      <c r="K1257" s="29" t="e">
        <f>IF(C1256=1,IF(D1256="BUY",E1256-(ROUND(F1256*K1256/B1256,0)*B1256),E1256+(ROUND(F1256*K1256/B1256,0)*B1256)),IF(D1256="BUY",E1256-(ROUND(F1256*K1256/B1256,0)*B1256),E1256+(ROUND(F1256*K1256/B1256,0)*B1256)))</f>
        <v>#DIV/0!</v>
      </c>
      <c r="L1257" s="29" t="e">
        <f t="shared" ref="L1257" si="1880">IF(D1257="BUY",I1257+(R1257*B1257),I1257-(R1257*B1257))</f>
        <v>#DIV/0!</v>
      </c>
      <c r="M1257" s="29" t="e">
        <f>IF(D1256="BUY",E1256+(ROUND(F1256*M1256/B1256,0)*B1256),E1256-(ROUND(F1256*M1256/B1256,0)*B1256))</f>
        <v>#DIV/0!</v>
      </c>
      <c r="N1257" s="29" t="e">
        <f>IF(D1256="BUY",E1256-(ROUND(F1256*N1256/B1256,0)*B1256),E1256+(ROUND(F1256*N1256/B1256,0)*B1256))</f>
        <v>#DIV/0!</v>
      </c>
      <c r="O1257" s="31" t="e">
        <f>IF(D1257="BUY",N1257-VLOOKUP(A1257,Symbols!A$1:D$1000,4,FALSE),N1257+VLOOKUP(A1257,Symbols!A$1:D$1000,4,FALSE))</f>
        <v>#DIV/0!</v>
      </c>
      <c r="P1257" s="29">
        <f>P1256</f>
        <v>0</v>
      </c>
      <c r="Q1257" s="29">
        <f>Q1256</f>
        <v>0</v>
      </c>
      <c r="R1257" s="29">
        <f>R1256</f>
        <v>0</v>
      </c>
      <c r="S1257" s="29">
        <f>S1256</f>
        <v>0</v>
      </c>
      <c r="T1257" s="29">
        <f>T1256</f>
        <v>0</v>
      </c>
      <c r="U1257" s="29" t="e">
        <f>DATEDIF(DATE(1970,1,1),U1256,"D")*86400</f>
        <v>#NUM!</v>
      </c>
      <c r="V1257" s="29">
        <f>HOUR(V1256)*3600+MINUTE(V1256)*60+SECOND(V1256)</f>
        <v>0</v>
      </c>
      <c r="W1257" s="29" t="e">
        <f>DATEDIF(DATE(1970,1,1),W1256,"D")*86400</f>
        <v>#NUM!</v>
      </c>
      <c r="X1257" s="29">
        <f>HOUR(X1256)*3600+MINUTE(X1256)*60+SECOND(X1256)</f>
        <v>0</v>
      </c>
      <c r="Y1257" s="31">
        <f>(Y1256*B1257)</f>
        <v>0</v>
      </c>
      <c r="Z1257" s="29">
        <f>Z1256</f>
        <v>0</v>
      </c>
      <c r="AA1257" s="29" t="e">
        <f>DATEDIF(DATE(1970,1,1),AA1256,"D")*86400</f>
        <v>#NUM!</v>
      </c>
      <c r="AB1257" s="29">
        <f>HOUR(AB1256)*3600+MINUTE(AB1256)*60+SECOND(AB1256)</f>
        <v>0</v>
      </c>
      <c r="AC1257" s="29">
        <f>AC1256</f>
        <v>0</v>
      </c>
    </row>
    <row r="1258" spans="1:29">
      <c r="A1258" s="23">
        <f>Parameters!A630</f>
        <v>0</v>
      </c>
      <c r="B1258" s="23">
        <f>Parameters!B630</f>
        <v>0</v>
      </c>
      <c r="C1258" s="24">
        <f>Parameters!C630</f>
        <v>0</v>
      </c>
      <c r="D1258" s="24">
        <f>Parameters!D630</f>
        <v>0</v>
      </c>
      <c r="E1258" s="23">
        <f>Parameters!E630</f>
        <v>0</v>
      </c>
      <c r="F1258" s="23">
        <f>Parameters!F630</f>
        <v>0</v>
      </c>
      <c r="G1258" s="25">
        <f>Parameters!G630</f>
        <v>0</v>
      </c>
      <c r="H1258" s="25">
        <f>Parameters!H630</f>
        <v>0</v>
      </c>
      <c r="I1258" s="25">
        <f>Parameters!I630</f>
        <v>0</v>
      </c>
      <c r="J1258" s="25">
        <f>Parameters!J630</f>
        <v>0</v>
      </c>
      <c r="K1258" s="25">
        <f>Parameters!K630</f>
        <v>0</v>
      </c>
      <c r="L1258" s="26" t="e">
        <f t="shared" ref="L1258" si="1881">L1259</f>
        <v>#DIV/0!</v>
      </c>
      <c r="M1258" s="25">
        <f>Parameters!L630</f>
        <v>0</v>
      </c>
      <c r="N1258" s="25">
        <f>Parameters!M630</f>
        <v>0</v>
      </c>
      <c r="O1258" s="26" t="e">
        <f t="shared" ref="O1258" si="1882">O1259</f>
        <v>#DIV/0!</v>
      </c>
      <c r="P1258" s="23">
        <f>Parameters!N630</f>
        <v>0</v>
      </c>
      <c r="Q1258" s="23">
        <f>Parameters!O630</f>
        <v>0</v>
      </c>
      <c r="R1258" s="23">
        <f>Parameters!P630</f>
        <v>0</v>
      </c>
      <c r="S1258" s="23">
        <f>Parameters!Q630</f>
        <v>0</v>
      </c>
      <c r="T1258" s="23">
        <f>Parameters!R630</f>
        <v>0</v>
      </c>
      <c r="U1258" s="27">
        <f>Parameters!S630</f>
        <v>0</v>
      </c>
      <c r="V1258" s="28">
        <f>Parameters!T630</f>
        <v>0</v>
      </c>
      <c r="W1258" s="27">
        <f>Parameters!U630</f>
        <v>0</v>
      </c>
      <c r="X1258" s="28">
        <f>Parameters!V630</f>
        <v>0</v>
      </c>
      <c r="Y1258" s="25">
        <f>Parameters!W630</f>
        <v>0</v>
      </c>
      <c r="Z1258" s="23">
        <f>Parameters!X630</f>
        <v>0</v>
      </c>
      <c r="AA1258" s="27">
        <f>Parameters!Y630</f>
        <v>0</v>
      </c>
      <c r="AB1258" s="28">
        <f>Parameters!Z630</f>
        <v>0</v>
      </c>
      <c r="AC1258" s="23">
        <f>Parameters!AA630</f>
        <v>0</v>
      </c>
    </row>
    <row r="1259" spans="1:29">
      <c r="A1259" s="29" t="str">
        <f>UPPER(A1258)</f>
        <v>0</v>
      </c>
      <c r="B1259" s="29">
        <f>B1258</f>
        <v>0</v>
      </c>
      <c r="C1259" s="30">
        <f>C1258</f>
        <v>0</v>
      </c>
      <c r="D1259" s="30">
        <f>D1258</f>
        <v>0</v>
      </c>
      <c r="E1259" s="29">
        <f>E1258</f>
        <v>0</v>
      </c>
      <c r="F1259" s="29">
        <f>F1258</f>
        <v>0</v>
      </c>
      <c r="G1259" s="29" t="e">
        <f>IF(C1258=1,IF(D1258="BUY",E1258+(ROUND(F1258*G1258/B1258,0)*B1258),E1258-(ROUND(F1258*G1258/B1258,0)*B1258)),IF(D1258="BUY",E1258-(ROUND(F1258*G1258/B1258,0)*B1258),E1258+(ROUND(F1258*G1258/B1258,0)*B1258)))</f>
        <v>#DIV/0!</v>
      </c>
      <c r="H1259" s="29" t="e">
        <f>IF(C1258=1,IF(D1258="BUY",G1259-(ROUND(F1258*H1258/B1258,0)*B1258),G1259+(ROUND(F1258*H1258/B1258,0)*B1258)),IF(D1258="BUY",G1259+(ROUND(F1258*H1258/B1258,0)*B1258),G1259-(ROUND(F1258*H1258/B1258,0)*B1258)))</f>
        <v>#DIV/0!</v>
      </c>
      <c r="I1259" s="29" t="e">
        <f>IF(D1258="BUY",G1259+(ROUND(F1258*I1258/(B1258*100),0)*B1258),G1259-(ROUND(F1258*I1258/(B1258*100),0)*B1258))</f>
        <v>#DIV/0!</v>
      </c>
      <c r="J1259" s="29" t="e">
        <f>IF(C1258=1,IF(D1258="BUY",E1258+(ROUND(F1258*J1258/B1258,0)*B1258),E1258-(ROUND(F1258*J1258/B1258,0)*B1258)),IF(D1258="BUY",E1258-(ROUND(F1258*J1258/B1258,0)*B1258),E1258+(ROUND(F1258*J1258/B1258,0)*B1258)))</f>
        <v>#DIV/0!</v>
      </c>
      <c r="K1259" s="29" t="e">
        <f>IF(C1258=1,IF(D1258="BUY",E1258-(ROUND(F1258*K1258/B1258,0)*B1258),E1258+(ROUND(F1258*K1258/B1258,0)*B1258)),IF(D1258="BUY",E1258-(ROUND(F1258*K1258/B1258,0)*B1258),E1258+(ROUND(F1258*K1258/B1258,0)*B1258)))</f>
        <v>#DIV/0!</v>
      </c>
      <c r="L1259" s="29" t="e">
        <f t="shared" ref="L1259" si="1883">IF(D1259="BUY",I1259+(R1259*B1259),I1259-(R1259*B1259))</f>
        <v>#DIV/0!</v>
      </c>
      <c r="M1259" s="29" t="e">
        <f>IF(D1258="BUY",E1258+(ROUND(F1258*M1258/B1258,0)*B1258),E1258-(ROUND(F1258*M1258/B1258,0)*B1258))</f>
        <v>#DIV/0!</v>
      </c>
      <c r="N1259" s="29" t="e">
        <f>IF(D1258="BUY",E1258-(ROUND(F1258*N1258/B1258,0)*B1258),E1258+(ROUND(F1258*N1258/B1258,0)*B1258))</f>
        <v>#DIV/0!</v>
      </c>
      <c r="O1259" s="31" t="e">
        <f>IF(D1259="BUY",N1259-VLOOKUP(A1259,Symbols!A$1:D$1000,4,FALSE),N1259+VLOOKUP(A1259,Symbols!A$1:D$1000,4,FALSE))</f>
        <v>#DIV/0!</v>
      </c>
      <c r="P1259" s="29">
        <f>P1258</f>
        <v>0</v>
      </c>
      <c r="Q1259" s="29">
        <f>Q1258</f>
        <v>0</v>
      </c>
      <c r="R1259" s="29">
        <f>R1258</f>
        <v>0</v>
      </c>
      <c r="S1259" s="29">
        <f>S1258</f>
        <v>0</v>
      </c>
      <c r="T1259" s="29">
        <f>T1258</f>
        <v>0</v>
      </c>
      <c r="U1259" s="29" t="e">
        <f>DATEDIF(DATE(1970,1,1),U1258,"D")*86400</f>
        <v>#NUM!</v>
      </c>
      <c r="V1259" s="29">
        <f>HOUR(V1258)*3600+MINUTE(V1258)*60+SECOND(V1258)</f>
        <v>0</v>
      </c>
      <c r="W1259" s="29" t="e">
        <f>DATEDIF(DATE(1970,1,1),W1258,"D")*86400</f>
        <v>#NUM!</v>
      </c>
      <c r="X1259" s="29">
        <f>HOUR(X1258)*3600+MINUTE(X1258)*60+SECOND(X1258)</f>
        <v>0</v>
      </c>
      <c r="Y1259" s="31">
        <f>(Y1258*B1259)</f>
        <v>0</v>
      </c>
      <c r="Z1259" s="29">
        <f>Z1258</f>
        <v>0</v>
      </c>
      <c r="AA1259" s="29" t="e">
        <f>DATEDIF(DATE(1970,1,1),AA1258,"D")*86400</f>
        <v>#NUM!</v>
      </c>
      <c r="AB1259" s="29">
        <f>HOUR(AB1258)*3600+MINUTE(AB1258)*60+SECOND(AB1258)</f>
        <v>0</v>
      </c>
      <c r="AC1259" s="29">
        <f>AC1258</f>
        <v>0</v>
      </c>
    </row>
    <row r="1260" spans="1:29">
      <c r="A1260" s="23">
        <f>Parameters!A631</f>
        <v>0</v>
      </c>
      <c r="B1260" s="23">
        <f>Parameters!B631</f>
        <v>0</v>
      </c>
      <c r="C1260" s="24">
        <f>Parameters!C631</f>
        <v>0</v>
      </c>
      <c r="D1260" s="24">
        <f>Parameters!D631</f>
        <v>0</v>
      </c>
      <c r="E1260" s="23">
        <f>Parameters!E631</f>
        <v>0</v>
      </c>
      <c r="F1260" s="23">
        <f>Parameters!F631</f>
        <v>0</v>
      </c>
      <c r="G1260" s="25">
        <f>Parameters!G631</f>
        <v>0</v>
      </c>
      <c r="H1260" s="25">
        <f>Parameters!H631</f>
        <v>0</v>
      </c>
      <c r="I1260" s="25">
        <f>Parameters!I631</f>
        <v>0</v>
      </c>
      <c r="J1260" s="25">
        <f>Parameters!J631</f>
        <v>0</v>
      </c>
      <c r="K1260" s="25">
        <f>Parameters!K631</f>
        <v>0</v>
      </c>
      <c r="L1260" s="26" t="e">
        <f t="shared" ref="L1260" si="1884">L1261</f>
        <v>#DIV/0!</v>
      </c>
      <c r="M1260" s="25">
        <f>Parameters!L631</f>
        <v>0</v>
      </c>
      <c r="N1260" s="25">
        <f>Parameters!M631</f>
        <v>0</v>
      </c>
      <c r="O1260" s="26" t="e">
        <f t="shared" ref="O1260" si="1885">O1261</f>
        <v>#DIV/0!</v>
      </c>
      <c r="P1260" s="23">
        <f>Parameters!N631</f>
        <v>0</v>
      </c>
      <c r="Q1260" s="23">
        <f>Parameters!O631</f>
        <v>0</v>
      </c>
      <c r="R1260" s="23">
        <f>Parameters!P631</f>
        <v>0</v>
      </c>
      <c r="S1260" s="23">
        <f>Parameters!Q631</f>
        <v>0</v>
      </c>
      <c r="T1260" s="23">
        <f>Parameters!R631</f>
        <v>0</v>
      </c>
      <c r="U1260" s="27">
        <f>Parameters!S631</f>
        <v>0</v>
      </c>
      <c r="V1260" s="28">
        <f>Parameters!T631</f>
        <v>0</v>
      </c>
      <c r="W1260" s="27">
        <f>Parameters!U631</f>
        <v>0</v>
      </c>
      <c r="X1260" s="28">
        <f>Parameters!V631</f>
        <v>0</v>
      </c>
      <c r="Y1260" s="25">
        <f>Parameters!W631</f>
        <v>0</v>
      </c>
      <c r="Z1260" s="23">
        <f>Parameters!X631</f>
        <v>0</v>
      </c>
      <c r="AA1260" s="27">
        <f>Parameters!Y631</f>
        <v>0</v>
      </c>
      <c r="AB1260" s="28">
        <f>Parameters!Z631</f>
        <v>0</v>
      </c>
      <c r="AC1260" s="23">
        <f>Parameters!AA631</f>
        <v>0</v>
      </c>
    </row>
    <row r="1261" spans="1:29">
      <c r="A1261" s="29" t="str">
        <f>UPPER(A1260)</f>
        <v>0</v>
      </c>
      <c r="B1261" s="29">
        <f>B1260</f>
        <v>0</v>
      </c>
      <c r="C1261" s="30">
        <f>C1260</f>
        <v>0</v>
      </c>
      <c r="D1261" s="30">
        <f>D1260</f>
        <v>0</v>
      </c>
      <c r="E1261" s="29">
        <f>E1260</f>
        <v>0</v>
      </c>
      <c r="F1261" s="29">
        <f>F1260</f>
        <v>0</v>
      </c>
      <c r="G1261" s="29" t="e">
        <f>IF(C1260=1,IF(D1260="BUY",E1260+(ROUND(F1260*G1260/B1260,0)*B1260),E1260-(ROUND(F1260*G1260/B1260,0)*B1260)),IF(D1260="BUY",E1260-(ROUND(F1260*G1260/B1260,0)*B1260),E1260+(ROUND(F1260*G1260/B1260,0)*B1260)))</f>
        <v>#DIV/0!</v>
      </c>
      <c r="H1261" s="29" t="e">
        <f>IF(C1260=1,IF(D1260="BUY",G1261-(ROUND(F1260*H1260/B1260,0)*B1260),G1261+(ROUND(F1260*H1260/B1260,0)*B1260)),IF(D1260="BUY",G1261+(ROUND(F1260*H1260/B1260,0)*B1260),G1261-(ROUND(F1260*H1260/B1260,0)*B1260)))</f>
        <v>#DIV/0!</v>
      </c>
      <c r="I1261" s="29" t="e">
        <f>IF(D1260="BUY",G1261+(ROUND(F1260*I1260/(B1260*100),0)*B1260),G1261-(ROUND(F1260*I1260/(B1260*100),0)*B1260))</f>
        <v>#DIV/0!</v>
      </c>
      <c r="J1261" s="29" t="e">
        <f>IF(C1260=1,IF(D1260="BUY",E1260+(ROUND(F1260*J1260/B1260,0)*B1260),E1260-(ROUND(F1260*J1260/B1260,0)*B1260)),IF(D1260="BUY",E1260-(ROUND(F1260*J1260/B1260,0)*B1260),E1260+(ROUND(F1260*J1260/B1260,0)*B1260)))</f>
        <v>#DIV/0!</v>
      </c>
      <c r="K1261" s="29" t="e">
        <f>IF(C1260=1,IF(D1260="BUY",E1260-(ROUND(F1260*K1260/B1260,0)*B1260),E1260+(ROUND(F1260*K1260/B1260,0)*B1260)),IF(D1260="BUY",E1260-(ROUND(F1260*K1260/B1260,0)*B1260),E1260+(ROUND(F1260*K1260/B1260,0)*B1260)))</f>
        <v>#DIV/0!</v>
      </c>
      <c r="L1261" s="29" t="e">
        <f t="shared" ref="L1261" si="1886">IF(D1261="BUY",I1261+(R1261*B1261),I1261-(R1261*B1261))</f>
        <v>#DIV/0!</v>
      </c>
      <c r="M1261" s="29" t="e">
        <f>IF(D1260="BUY",E1260+(ROUND(F1260*M1260/B1260,0)*B1260),E1260-(ROUND(F1260*M1260/B1260,0)*B1260))</f>
        <v>#DIV/0!</v>
      </c>
      <c r="N1261" s="29" t="e">
        <f>IF(D1260="BUY",E1260-(ROUND(F1260*N1260/B1260,0)*B1260),E1260+(ROUND(F1260*N1260/B1260,0)*B1260))</f>
        <v>#DIV/0!</v>
      </c>
      <c r="O1261" s="31" t="e">
        <f>IF(D1261="BUY",N1261-VLOOKUP(A1261,Symbols!A$1:D$1000,4,FALSE),N1261+VLOOKUP(A1261,Symbols!A$1:D$1000,4,FALSE))</f>
        <v>#DIV/0!</v>
      </c>
      <c r="P1261" s="29">
        <f>P1260</f>
        <v>0</v>
      </c>
      <c r="Q1261" s="29">
        <f>Q1260</f>
        <v>0</v>
      </c>
      <c r="R1261" s="29">
        <f>R1260</f>
        <v>0</v>
      </c>
      <c r="S1261" s="29">
        <f>S1260</f>
        <v>0</v>
      </c>
      <c r="T1261" s="29">
        <f>T1260</f>
        <v>0</v>
      </c>
      <c r="U1261" s="29" t="e">
        <f>DATEDIF(DATE(1970,1,1),U1260,"D")*86400</f>
        <v>#NUM!</v>
      </c>
      <c r="V1261" s="29">
        <f>HOUR(V1260)*3600+MINUTE(V1260)*60+SECOND(V1260)</f>
        <v>0</v>
      </c>
      <c r="W1261" s="29" t="e">
        <f>DATEDIF(DATE(1970,1,1),W1260,"D")*86400</f>
        <v>#NUM!</v>
      </c>
      <c r="X1261" s="29">
        <f>HOUR(X1260)*3600+MINUTE(X1260)*60+SECOND(X1260)</f>
        <v>0</v>
      </c>
      <c r="Y1261" s="31">
        <f>(Y1260*B1261)</f>
        <v>0</v>
      </c>
      <c r="Z1261" s="29">
        <f>Z1260</f>
        <v>0</v>
      </c>
      <c r="AA1261" s="29" t="e">
        <f>DATEDIF(DATE(1970,1,1),AA1260,"D")*86400</f>
        <v>#NUM!</v>
      </c>
      <c r="AB1261" s="29">
        <f>HOUR(AB1260)*3600+MINUTE(AB1260)*60+SECOND(AB1260)</f>
        <v>0</v>
      </c>
      <c r="AC1261" s="29">
        <f>AC1260</f>
        <v>0</v>
      </c>
    </row>
    <row r="1262" spans="1:29">
      <c r="A1262" s="23">
        <f>Parameters!A632</f>
        <v>0</v>
      </c>
      <c r="B1262" s="23">
        <f>Parameters!B632</f>
        <v>0</v>
      </c>
      <c r="C1262" s="24">
        <f>Parameters!C632</f>
        <v>0</v>
      </c>
      <c r="D1262" s="24">
        <f>Parameters!D632</f>
        <v>0</v>
      </c>
      <c r="E1262" s="23">
        <f>Parameters!E632</f>
        <v>0</v>
      </c>
      <c r="F1262" s="23">
        <f>Parameters!F632</f>
        <v>0</v>
      </c>
      <c r="G1262" s="25">
        <f>Parameters!G632</f>
        <v>0</v>
      </c>
      <c r="H1262" s="25">
        <f>Parameters!H632</f>
        <v>0</v>
      </c>
      <c r="I1262" s="25">
        <f>Parameters!I632</f>
        <v>0</v>
      </c>
      <c r="J1262" s="25">
        <f>Parameters!J632</f>
        <v>0</v>
      </c>
      <c r="K1262" s="25">
        <f>Parameters!K632</f>
        <v>0</v>
      </c>
      <c r="L1262" s="26" t="e">
        <f t="shared" ref="L1262" si="1887">L1263</f>
        <v>#DIV/0!</v>
      </c>
      <c r="M1262" s="25">
        <f>Parameters!L632</f>
        <v>0</v>
      </c>
      <c r="N1262" s="25">
        <f>Parameters!M632</f>
        <v>0</v>
      </c>
      <c r="O1262" s="26" t="e">
        <f t="shared" ref="O1262" si="1888">O1263</f>
        <v>#DIV/0!</v>
      </c>
      <c r="P1262" s="23">
        <f>Parameters!N632</f>
        <v>0</v>
      </c>
      <c r="Q1262" s="23">
        <f>Parameters!O632</f>
        <v>0</v>
      </c>
      <c r="R1262" s="23">
        <f>Parameters!P632</f>
        <v>0</v>
      </c>
      <c r="S1262" s="23">
        <f>Parameters!Q632</f>
        <v>0</v>
      </c>
      <c r="T1262" s="23">
        <f>Parameters!R632</f>
        <v>0</v>
      </c>
      <c r="U1262" s="27">
        <f>Parameters!S632</f>
        <v>0</v>
      </c>
      <c r="V1262" s="28">
        <f>Parameters!T632</f>
        <v>0</v>
      </c>
      <c r="W1262" s="27">
        <f>Parameters!U632</f>
        <v>0</v>
      </c>
      <c r="X1262" s="28">
        <f>Parameters!V632</f>
        <v>0</v>
      </c>
      <c r="Y1262" s="25">
        <f>Parameters!W632</f>
        <v>0</v>
      </c>
      <c r="Z1262" s="23">
        <f>Parameters!X632</f>
        <v>0</v>
      </c>
      <c r="AA1262" s="27">
        <f>Parameters!Y632</f>
        <v>0</v>
      </c>
      <c r="AB1262" s="28">
        <f>Parameters!Z632</f>
        <v>0</v>
      </c>
      <c r="AC1262" s="23">
        <f>Parameters!AA632</f>
        <v>0</v>
      </c>
    </row>
    <row r="1263" spans="1:29">
      <c r="A1263" s="29" t="str">
        <f>UPPER(A1262)</f>
        <v>0</v>
      </c>
      <c r="B1263" s="29">
        <f>B1262</f>
        <v>0</v>
      </c>
      <c r="C1263" s="30">
        <f>C1262</f>
        <v>0</v>
      </c>
      <c r="D1263" s="30">
        <f>D1262</f>
        <v>0</v>
      </c>
      <c r="E1263" s="29">
        <f>E1262</f>
        <v>0</v>
      </c>
      <c r="F1263" s="29">
        <f>F1262</f>
        <v>0</v>
      </c>
      <c r="G1263" s="29" t="e">
        <f>IF(C1262=1,IF(D1262="BUY",E1262+(ROUND(F1262*G1262/B1262,0)*B1262),E1262-(ROUND(F1262*G1262/B1262,0)*B1262)),IF(D1262="BUY",E1262-(ROUND(F1262*G1262/B1262,0)*B1262),E1262+(ROUND(F1262*G1262/B1262,0)*B1262)))</f>
        <v>#DIV/0!</v>
      </c>
      <c r="H1263" s="29" t="e">
        <f>IF(C1262=1,IF(D1262="BUY",G1263-(ROUND(F1262*H1262/B1262,0)*B1262),G1263+(ROUND(F1262*H1262/B1262,0)*B1262)),IF(D1262="BUY",G1263+(ROUND(F1262*H1262/B1262,0)*B1262),G1263-(ROUND(F1262*H1262/B1262,0)*B1262)))</f>
        <v>#DIV/0!</v>
      </c>
      <c r="I1263" s="29" t="e">
        <f>IF(D1262="BUY",G1263+(ROUND(F1262*I1262/(B1262*100),0)*B1262),G1263-(ROUND(F1262*I1262/(B1262*100),0)*B1262))</f>
        <v>#DIV/0!</v>
      </c>
      <c r="J1263" s="29" t="e">
        <f>IF(C1262=1,IF(D1262="BUY",E1262+(ROUND(F1262*J1262/B1262,0)*B1262),E1262-(ROUND(F1262*J1262/B1262,0)*B1262)),IF(D1262="BUY",E1262-(ROUND(F1262*J1262/B1262,0)*B1262),E1262+(ROUND(F1262*J1262/B1262,0)*B1262)))</f>
        <v>#DIV/0!</v>
      </c>
      <c r="K1263" s="29" t="e">
        <f>IF(C1262=1,IF(D1262="BUY",E1262-(ROUND(F1262*K1262/B1262,0)*B1262),E1262+(ROUND(F1262*K1262/B1262,0)*B1262)),IF(D1262="BUY",E1262-(ROUND(F1262*K1262/B1262,0)*B1262),E1262+(ROUND(F1262*K1262/B1262,0)*B1262)))</f>
        <v>#DIV/0!</v>
      </c>
      <c r="L1263" s="29" t="e">
        <f t="shared" ref="L1263" si="1889">IF(D1263="BUY",I1263+(R1263*B1263),I1263-(R1263*B1263))</f>
        <v>#DIV/0!</v>
      </c>
      <c r="M1263" s="29" t="e">
        <f>IF(D1262="BUY",E1262+(ROUND(F1262*M1262/B1262,0)*B1262),E1262-(ROUND(F1262*M1262/B1262,0)*B1262))</f>
        <v>#DIV/0!</v>
      </c>
      <c r="N1263" s="29" t="e">
        <f>IF(D1262="BUY",E1262-(ROUND(F1262*N1262/B1262,0)*B1262),E1262+(ROUND(F1262*N1262/B1262,0)*B1262))</f>
        <v>#DIV/0!</v>
      </c>
      <c r="O1263" s="31" t="e">
        <f>IF(D1263="BUY",N1263-VLOOKUP(A1263,Symbols!A$1:D$1000,4,FALSE),N1263+VLOOKUP(A1263,Symbols!A$1:D$1000,4,FALSE))</f>
        <v>#DIV/0!</v>
      </c>
      <c r="P1263" s="29">
        <f>P1262</f>
        <v>0</v>
      </c>
      <c r="Q1263" s="29">
        <f>Q1262</f>
        <v>0</v>
      </c>
      <c r="R1263" s="29">
        <f>R1262</f>
        <v>0</v>
      </c>
      <c r="S1263" s="29">
        <f>S1262</f>
        <v>0</v>
      </c>
      <c r="T1263" s="29">
        <f>T1262</f>
        <v>0</v>
      </c>
      <c r="U1263" s="29" t="e">
        <f>DATEDIF(DATE(1970,1,1),U1262,"D")*86400</f>
        <v>#NUM!</v>
      </c>
      <c r="V1263" s="29">
        <f>HOUR(V1262)*3600+MINUTE(V1262)*60+SECOND(V1262)</f>
        <v>0</v>
      </c>
      <c r="W1263" s="29" t="e">
        <f>DATEDIF(DATE(1970,1,1),W1262,"D")*86400</f>
        <v>#NUM!</v>
      </c>
      <c r="X1263" s="29">
        <f>HOUR(X1262)*3600+MINUTE(X1262)*60+SECOND(X1262)</f>
        <v>0</v>
      </c>
      <c r="Y1263" s="31">
        <f>(Y1262*B1263)</f>
        <v>0</v>
      </c>
      <c r="Z1263" s="29">
        <f>Z1262</f>
        <v>0</v>
      </c>
      <c r="AA1263" s="29" t="e">
        <f>DATEDIF(DATE(1970,1,1),AA1262,"D")*86400</f>
        <v>#NUM!</v>
      </c>
      <c r="AB1263" s="29">
        <f>HOUR(AB1262)*3600+MINUTE(AB1262)*60+SECOND(AB1262)</f>
        <v>0</v>
      </c>
      <c r="AC1263" s="29">
        <f>AC1262</f>
        <v>0</v>
      </c>
    </row>
    <row r="1264" spans="1:29">
      <c r="A1264" s="23">
        <f>Parameters!A633</f>
        <v>0</v>
      </c>
      <c r="B1264" s="23">
        <f>Parameters!B633</f>
        <v>0</v>
      </c>
      <c r="C1264" s="24">
        <f>Parameters!C633</f>
        <v>0</v>
      </c>
      <c r="D1264" s="24">
        <f>Parameters!D633</f>
        <v>0</v>
      </c>
      <c r="E1264" s="23">
        <f>Parameters!E633</f>
        <v>0</v>
      </c>
      <c r="F1264" s="23">
        <f>Parameters!F633</f>
        <v>0</v>
      </c>
      <c r="G1264" s="25">
        <f>Parameters!G633</f>
        <v>0</v>
      </c>
      <c r="H1264" s="25">
        <f>Parameters!H633</f>
        <v>0</v>
      </c>
      <c r="I1264" s="25">
        <f>Parameters!I633</f>
        <v>0</v>
      </c>
      <c r="J1264" s="25">
        <f>Parameters!J633</f>
        <v>0</v>
      </c>
      <c r="K1264" s="25">
        <f>Parameters!K633</f>
        <v>0</v>
      </c>
      <c r="L1264" s="26" t="e">
        <f t="shared" ref="L1264" si="1890">L1265</f>
        <v>#DIV/0!</v>
      </c>
      <c r="M1264" s="25">
        <f>Parameters!L633</f>
        <v>0</v>
      </c>
      <c r="N1264" s="25">
        <f>Parameters!M633</f>
        <v>0</v>
      </c>
      <c r="O1264" s="26" t="e">
        <f t="shared" ref="O1264" si="1891">O1265</f>
        <v>#DIV/0!</v>
      </c>
      <c r="P1264" s="23">
        <f>Parameters!N633</f>
        <v>0</v>
      </c>
      <c r="Q1264" s="23">
        <f>Parameters!O633</f>
        <v>0</v>
      </c>
      <c r="R1264" s="23">
        <f>Parameters!P633</f>
        <v>0</v>
      </c>
      <c r="S1264" s="23">
        <f>Parameters!Q633</f>
        <v>0</v>
      </c>
      <c r="T1264" s="23">
        <f>Parameters!R633</f>
        <v>0</v>
      </c>
      <c r="U1264" s="27">
        <f>Parameters!S633</f>
        <v>0</v>
      </c>
      <c r="V1264" s="28">
        <f>Parameters!T633</f>
        <v>0</v>
      </c>
      <c r="W1264" s="27">
        <f>Parameters!U633</f>
        <v>0</v>
      </c>
      <c r="X1264" s="28">
        <f>Parameters!V633</f>
        <v>0</v>
      </c>
      <c r="Y1264" s="25">
        <f>Parameters!W633</f>
        <v>0</v>
      </c>
      <c r="Z1264" s="23">
        <f>Parameters!X633</f>
        <v>0</v>
      </c>
      <c r="AA1264" s="27">
        <f>Parameters!Y633</f>
        <v>0</v>
      </c>
      <c r="AB1264" s="28">
        <f>Parameters!Z633</f>
        <v>0</v>
      </c>
      <c r="AC1264" s="23">
        <f>Parameters!AA633</f>
        <v>0</v>
      </c>
    </row>
    <row r="1265" spans="1:29">
      <c r="A1265" s="29" t="str">
        <f>UPPER(A1264)</f>
        <v>0</v>
      </c>
      <c r="B1265" s="29">
        <f>B1264</f>
        <v>0</v>
      </c>
      <c r="C1265" s="30">
        <f>C1264</f>
        <v>0</v>
      </c>
      <c r="D1265" s="30">
        <f>D1264</f>
        <v>0</v>
      </c>
      <c r="E1265" s="29">
        <f>E1264</f>
        <v>0</v>
      </c>
      <c r="F1265" s="29">
        <f>F1264</f>
        <v>0</v>
      </c>
      <c r="G1265" s="29" t="e">
        <f>IF(C1264=1,IF(D1264="BUY",E1264+(ROUND(F1264*G1264/B1264,0)*B1264),E1264-(ROUND(F1264*G1264/B1264,0)*B1264)),IF(D1264="BUY",E1264-(ROUND(F1264*G1264/B1264,0)*B1264),E1264+(ROUND(F1264*G1264/B1264,0)*B1264)))</f>
        <v>#DIV/0!</v>
      </c>
      <c r="H1265" s="29" t="e">
        <f>IF(C1264=1,IF(D1264="BUY",G1265-(ROUND(F1264*H1264/B1264,0)*B1264),G1265+(ROUND(F1264*H1264/B1264,0)*B1264)),IF(D1264="BUY",G1265+(ROUND(F1264*H1264/B1264,0)*B1264),G1265-(ROUND(F1264*H1264/B1264,0)*B1264)))</f>
        <v>#DIV/0!</v>
      </c>
      <c r="I1265" s="29" t="e">
        <f>IF(D1264="BUY",G1265+(ROUND(F1264*I1264/(B1264*100),0)*B1264),G1265-(ROUND(F1264*I1264/(B1264*100),0)*B1264))</f>
        <v>#DIV/0!</v>
      </c>
      <c r="J1265" s="29" t="e">
        <f>IF(C1264=1,IF(D1264="BUY",E1264+(ROUND(F1264*J1264/B1264,0)*B1264),E1264-(ROUND(F1264*J1264/B1264,0)*B1264)),IF(D1264="BUY",E1264-(ROUND(F1264*J1264/B1264,0)*B1264),E1264+(ROUND(F1264*J1264/B1264,0)*B1264)))</f>
        <v>#DIV/0!</v>
      </c>
      <c r="K1265" s="29" t="e">
        <f>IF(C1264=1,IF(D1264="BUY",E1264-(ROUND(F1264*K1264/B1264,0)*B1264),E1264+(ROUND(F1264*K1264/B1264,0)*B1264)),IF(D1264="BUY",E1264-(ROUND(F1264*K1264/B1264,0)*B1264),E1264+(ROUND(F1264*K1264/B1264,0)*B1264)))</f>
        <v>#DIV/0!</v>
      </c>
      <c r="L1265" s="29" t="e">
        <f t="shared" ref="L1265" si="1892">IF(D1265="BUY",I1265+(R1265*B1265),I1265-(R1265*B1265))</f>
        <v>#DIV/0!</v>
      </c>
      <c r="M1265" s="29" t="e">
        <f>IF(D1264="BUY",E1264+(ROUND(F1264*M1264/B1264,0)*B1264),E1264-(ROUND(F1264*M1264/B1264,0)*B1264))</f>
        <v>#DIV/0!</v>
      </c>
      <c r="N1265" s="29" t="e">
        <f>IF(D1264="BUY",E1264-(ROUND(F1264*N1264/B1264,0)*B1264),E1264+(ROUND(F1264*N1264/B1264,0)*B1264))</f>
        <v>#DIV/0!</v>
      </c>
      <c r="O1265" s="31" t="e">
        <f>IF(D1265="BUY",N1265-VLOOKUP(A1265,Symbols!A$1:D$1000,4,FALSE),N1265+VLOOKUP(A1265,Symbols!A$1:D$1000,4,FALSE))</f>
        <v>#DIV/0!</v>
      </c>
      <c r="P1265" s="29">
        <f>P1264</f>
        <v>0</v>
      </c>
      <c r="Q1265" s="29">
        <f>Q1264</f>
        <v>0</v>
      </c>
      <c r="R1265" s="29">
        <f>R1264</f>
        <v>0</v>
      </c>
      <c r="S1265" s="29">
        <f>S1264</f>
        <v>0</v>
      </c>
      <c r="T1265" s="29">
        <f>T1264</f>
        <v>0</v>
      </c>
      <c r="U1265" s="29" t="e">
        <f>DATEDIF(DATE(1970,1,1),U1264,"D")*86400</f>
        <v>#NUM!</v>
      </c>
      <c r="V1265" s="29">
        <f>HOUR(V1264)*3600+MINUTE(V1264)*60+SECOND(V1264)</f>
        <v>0</v>
      </c>
      <c r="W1265" s="29" t="e">
        <f>DATEDIF(DATE(1970,1,1),W1264,"D")*86400</f>
        <v>#NUM!</v>
      </c>
      <c r="X1265" s="29">
        <f>HOUR(X1264)*3600+MINUTE(X1264)*60+SECOND(X1264)</f>
        <v>0</v>
      </c>
      <c r="Y1265" s="31">
        <f>(Y1264*B1265)</f>
        <v>0</v>
      </c>
      <c r="Z1265" s="29">
        <f>Z1264</f>
        <v>0</v>
      </c>
      <c r="AA1265" s="29" t="e">
        <f>DATEDIF(DATE(1970,1,1),AA1264,"D")*86400</f>
        <v>#NUM!</v>
      </c>
      <c r="AB1265" s="29">
        <f>HOUR(AB1264)*3600+MINUTE(AB1264)*60+SECOND(AB1264)</f>
        <v>0</v>
      </c>
      <c r="AC1265" s="29">
        <f>AC1264</f>
        <v>0</v>
      </c>
    </row>
    <row r="1266" spans="1:29">
      <c r="A1266" s="23">
        <f>Parameters!A634</f>
        <v>0</v>
      </c>
      <c r="B1266" s="23">
        <f>Parameters!B634</f>
        <v>0</v>
      </c>
      <c r="C1266" s="24">
        <f>Parameters!C634</f>
        <v>0</v>
      </c>
      <c r="D1266" s="24">
        <f>Parameters!D634</f>
        <v>0</v>
      </c>
      <c r="E1266" s="23">
        <f>Parameters!E634</f>
        <v>0</v>
      </c>
      <c r="F1266" s="23">
        <f>Parameters!F634</f>
        <v>0</v>
      </c>
      <c r="G1266" s="25">
        <f>Parameters!G634</f>
        <v>0</v>
      </c>
      <c r="H1266" s="25">
        <f>Parameters!H634</f>
        <v>0</v>
      </c>
      <c r="I1266" s="25">
        <f>Parameters!I634</f>
        <v>0</v>
      </c>
      <c r="J1266" s="25">
        <f>Parameters!J634</f>
        <v>0</v>
      </c>
      <c r="K1266" s="25">
        <f>Parameters!K634</f>
        <v>0</v>
      </c>
      <c r="L1266" s="26" t="e">
        <f t="shared" ref="L1266" si="1893">L1267</f>
        <v>#DIV/0!</v>
      </c>
      <c r="M1266" s="25">
        <f>Parameters!L634</f>
        <v>0</v>
      </c>
      <c r="N1266" s="25">
        <f>Parameters!M634</f>
        <v>0</v>
      </c>
      <c r="O1266" s="26" t="e">
        <f t="shared" ref="O1266" si="1894">O1267</f>
        <v>#DIV/0!</v>
      </c>
      <c r="P1266" s="23">
        <f>Parameters!N634</f>
        <v>0</v>
      </c>
      <c r="Q1266" s="23">
        <f>Parameters!O634</f>
        <v>0</v>
      </c>
      <c r="R1266" s="23">
        <f>Parameters!P634</f>
        <v>0</v>
      </c>
      <c r="S1266" s="23">
        <f>Parameters!Q634</f>
        <v>0</v>
      </c>
      <c r="T1266" s="23">
        <f>Parameters!R634</f>
        <v>0</v>
      </c>
      <c r="U1266" s="27">
        <f>Parameters!S634</f>
        <v>0</v>
      </c>
      <c r="V1266" s="28">
        <f>Parameters!T634</f>
        <v>0</v>
      </c>
      <c r="W1266" s="27">
        <f>Parameters!U634</f>
        <v>0</v>
      </c>
      <c r="X1266" s="28">
        <f>Parameters!V634</f>
        <v>0</v>
      </c>
      <c r="Y1266" s="25">
        <f>Parameters!W634</f>
        <v>0</v>
      </c>
      <c r="Z1266" s="23">
        <f>Parameters!X634</f>
        <v>0</v>
      </c>
      <c r="AA1266" s="27">
        <f>Parameters!Y634</f>
        <v>0</v>
      </c>
      <c r="AB1266" s="28">
        <f>Parameters!Z634</f>
        <v>0</v>
      </c>
      <c r="AC1266" s="23">
        <f>Parameters!AA634</f>
        <v>0</v>
      </c>
    </row>
    <row r="1267" spans="1:29">
      <c r="A1267" s="29" t="str">
        <f>UPPER(A1266)</f>
        <v>0</v>
      </c>
      <c r="B1267" s="29">
        <f>B1266</f>
        <v>0</v>
      </c>
      <c r="C1267" s="30">
        <f>C1266</f>
        <v>0</v>
      </c>
      <c r="D1267" s="30">
        <f>D1266</f>
        <v>0</v>
      </c>
      <c r="E1267" s="29">
        <f>E1266</f>
        <v>0</v>
      </c>
      <c r="F1267" s="29">
        <f>F1266</f>
        <v>0</v>
      </c>
      <c r="G1267" s="29" t="e">
        <f>IF(C1266=1,IF(D1266="BUY",E1266+(ROUND(F1266*G1266/B1266,0)*B1266),E1266-(ROUND(F1266*G1266/B1266,0)*B1266)),IF(D1266="BUY",E1266-(ROUND(F1266*G1266/B1266,0)*B1266),E1266+(ROUND(F1266*G1266/B1266,0)*B1266)))</f>
        <v>#DIV/0!</v>
      </c>
      <c r="H1267" s="29" t="e">
        <f>IF(C1266=1,IF(D1266="BUY",G1267-(ROUND(F1266*H1266/B1266,0)*B1266),G1267+(ROUND(F1266*H1266/B1266,0)*B1266)),IF(D1266="BUY",G1267+(ROUND(F1266*H1266/B1266,0)*B1266),G1267-(ROUND(F1266*H1266/B1266,0)*B1266)))</f>
        <v>#DIV/0!</v>
      </c>
      <c r="I1267" s="29" t="e">
        <f>IF(D1266="BUY",G1267+(ROUND(F1266*I1266/(B1266*100),0)*B1266),G1267-(ROUND(F1266*I1266/(B1266*100),0)*B1266))</f>
        <v>#DIV/0!</v>
      </c>
      <c r="J1267" s="29" t="e">
        <f>IF(C1266=1,IF(D1266="BUY",E1266+(ROUND(F1266*J1266/B1266,0)*B1266),E1266-(ROUND(F1266*J1266/B1266,0)*B1266)),IF(D1266="BUY",E1266-(ROUND(F1266*J1266/B1266,0)*B1266),E1266+(ROUND(F1266*J1266/B1266,0)*B1266)))</f>
        <v>#DIV/0!</v>
      </c>
      <c r="K1267" s="29" t="e">
        <f>IF(C1266=1,IF(D1266="BUY",E1266-(ROUND(F1266*K1266/B1266,0)*B1266),E1266+(ROUND(F1266*K1266/B1266,0)*B1266)),IF(D1266="BUY",E1266-(ROUND(F1266*K1266/B1266,0)*B1266),E1266+(ROUND(F1266*K1266/B1266,0)*B1266)))</f>
        <v>#DIV/0!</v>
      </c>
      <c r="L1267" s="29" t="e">
        <f t="shared" ref="L1267" si="1895">IF(D1267="BUY",I1267+(R1267*B1267),I1267-(R1267*B1267))</f>
        <v>#DIV/0!</v>
      </c>
      <c r="M1267" s="29" t="e">
        <f>IF(D1266="BUY",E1266+(ROUND(F1266*M1266/B1266,0)*B1266),E1266-(ROUND(F1266*M1266/B1266,0)*B1266))</f>
        <v>#DIV/0!</v>
      </c>
      <c r="N1267" s="29" t="e">
        <f>IF(D1266="BUY",E1266-(ROUND(F1266*N1266/B1266,0)*B1266),E1266+(ROUND(F1266*N1266/B1266,0)*B1266))</f>
        <v>#DIV/0!</v>
      </c>
      <c r="O1267" s="31" t="e">
        <f>IF(D1267="BUY",N1267-VLOOKUP(A1267,Symbols!A$1:D$1000,4,FALSE),N1267+VLOOKUP(A1267,Symbols!A$1:D$1000,4,FALSE))</f>
        <v>#DIV/0!</v>
      </c>
      <c r="P1267" s="29">
        <f>P1266</f>
        <v>0</v>
      </c>
      <c r="Q1267" s="29">
        <f>Q1266</f>
        <v>0</v>
      </c>
      <c r="R1267" s="29">
        <f>R1266</f>
        <v>0</v>
      </c>
      <c r="S1267" s="29">
        <f>S1266</f>
        <v>0</v>
      </c>
      <c r="T1267" s="29">
        <f>T1266</f>
        <v>0</v>
      </c>
      <c r="U1267" s="29" t="e">
        <f>DATEDIF(DATE(1970,1,1),U1266,"D")*86400</f>
        <v>#NUM!</v>
      </c>
      <c r="V1267" s="29">
        <f>HOUR(V1266)*3600+MINUTE(V1266)*60+SECOND(V1266)</f>
        <v>0</v>
      </c>
      <c r="W1267" s="29" t="e">
        <f>DATEDIF(DATE(1970,1,1),W1266,"D")*86400</f>
        <v>#NUM!</v>
      </c>
      <c r="X1267" s="29">
        <f>HOUR(X1266)*3600+MINUTE(X1266)*60+SECOND(X1266)</f>
        <v>0</v>
      </c>
      <c r="Y1267" s="31">
        <f>(Y1266*B1267)</f>
        <v>0</v>
      </c>
      <c r="Z1267" s="29">
        <f>Z1266</f>
        <v>0</v>
      </c>
      <c r="AA1267" s="29" t="e">
        <f>DATEDIF(DATE(1970,1,1),AA1266,"D")*86400</f>
        <v>#NUM!</v>
      </c>
      <c r="AB1267" s="29">
        <f>HOUR(AB1266)*3600+MINUTE(AB1266)*60+SECOND(AB1266)</f>
        <v>0</v>
      </c>
      <c r="AC1267" s="29">
        <f>AC1266</f>
        <v>0</v>
      </c>
    </row>
    <row r="1268" spans="1:29">
      <c r="A1268" s="23">
        <f>Parameters!A635</f>
        <v>0</v>
      </c>
      <c r="B1268" s="23">
        <f>Parameters!B635</f>
        <v>0</v>
      </c>
      <c r="C1268" s="24">
        <f>Parameters!C635</f>
        <v>0</v>
      </c>
      <c r="D1268" s="24">
        <f>Parameters!D635</f>
        <v>0</v>
      </c>
      <c r="E1268" s="23">
        <f>Parameters!E635</f>
        <v>0</v>
      </c>
      <c r="F1268" s="23">
        <f>Parameters!F635</f>
        <v>0</v>
      </c>
      <c r="G1268" s="25">
        <f>Parameters!G635</f>
        <v>0</v>
      </c>
      <c r="H1268" s="25">
        <f>Parameters!H635</f>
        <v>0</v>
      </c>
      <c r="I1268" s="25">
        <f>Parameters!I635</f>
        <v>0</v>
      </c>
      <c r="J1268" s="25">
        <f>Parameters!J635</f>
        <v>0</v>
      </c>
      <c r="K1268" s="25">
        <f>Parameters!K635</f>
        <v>0</v>
      </c>
      <c r="L1268" s="26" t="e">
        <f t="shared" ref="L1268" si="1896">L1269</f>
        <v>#DIV/0!</v>
      </c>
      <c r="M1268" s="25">
        <f>Parameters!L635</f>
        <v>0</v>
      </c>
      <c r="N1268" s="25">
        <f>Parameters!M635</f>
        <v>0</v>
      </c>
      <c r="O1268" s="26" t="e">
        <f t="shared" ref="O1268" si="1897">O1269</f>
        <v>#DIV/0!</v>
      </c>
      <c r="P1268" s="23">
        <f>Parameters!N635</f>
        <v>0</v>
      </c>
      <c r="Q1268" s="23">
        <f>Parameters!O635</f>
        <v>0</v>
      </c>
      <c r="R1268" s="23">
        <f>Parameters!P635</f>
        <v>0</v>
      </c>
      <c r="S1268" s="23">
        <f>Parameters!Q635</f>
        <v>0</v>
      </c>
      <c r="T1268" s="23">
        <f>Parameters!R635</f>
        <v>0</v>
      </c>
      <c r="U1268" s="27">
        <f>Parameters!S635</f>
        <v>0</v>
      </c>
      <c r="V1268" s="28">
        <f>Parameters!T635</f>
        <v>0</v>
      </c>
      <c r="W1268" s="27">
        <f>Parameters!U635</f>
        <v>0</v>
      </c>
      <c r="X1268" s="28">
        <f>Parameters!V635</f>
        <v>0</v>
      </c>
      <c r="Y1268" s="25">
        <f>Parameters!W635</f>
        <v>0</v>
      </c>
      <c r="Z1268" s="23">
        <f>Parameters!X635</f>
        <v>0</v>
      </c>
      <c r="AA1268" s="27">
        <f>Parameters!Y635</f>
        <v>0</v>
      </c>
      <c r="AB1268" s="28">
        <f>Parameters!Z635</f>
        <v>0</v>
      </c>
      <c r="AC1268" s="23">
        <f>Parameters!AA635</f>
        <v>0</v>
      </c>
    </row>
    <row r="1269" spans="1:29">
      <c r="A1269" s="29" t="str">
        <f>UPPER(A1268)</f>
        <v>0</v>
      </c>
      <c r="B1269" s="29">
        <f>B1268</f>
        <v>0</v>
      </c>
      <c r="C1269" s="30">
        <f>C1268</f>
        <v>0</v>
      </c>
      <c r="D1269" s="30">
        <f>D1268</f>
        <v>0</v>
      </c>
      <c r="E1269" s="29">
        <f>E1268</f>
        <v>0</v>
      </c>
      <c r="F1269" s="29">
        <f>F1268</f>
        <v>0</v>
      </c>
      <c r="G1269" s="29" t="e">
        <f>IF(C1268=1,IF(D1268="BUY",E1268+(ROUND(F1268*G1268/B1268,0)*B1268),E1268-(ROUND(F1268*G1268/B1268,0)*B1268)),IF(D1268="BUY",E1268-(ROUND(F1268*G1268/B1268,0)*B1268),E1268+(ROUND(F1268*G1268/B1268,0)*B1268)))</f>
        <v>#DIV/0!</v>
      </c>
      <c r="H1269" s="29" t="e">
        <f>IF(C1268=1,IF(D1268="BUY",G1269-(ROUND(F1268*H1268/B1268,0)*B1268),G1269+(ROUND(F1268*H1268/B1268,0)*B1268)),IF(D1268="BUY",G1269+(ROUND(F1268*H1268/B1268,0)*B1268),G1269-(ROUND(F1268*H1268/B1268,0)*B1268)))</f>
        <v>#DIV/0!</v>
      </c>
      <c r="I1269" s="29" t="e">
        <f>IF(D1268="BUY",G1269+(ROUND(F1268*I1268/(B1268*100),0)*B1268),G1269-(ROUND(F1268*I1268/(B1268*100),0)*B1268))</f>
        <v>#DIV/0!</v>
      </c>
      <c r="J1269" s="29" t="e">
        <f>IF(C1268=1,IF(D1268="BUY",E1268+(ROUND(F1268*J1268/B1268,0)*B1268),E1268-(ROUND(F1268*J1268/B1268,0)*B1268)),IF(D1268="BUY",E1268-(ROUND(F1268*J1268/B1268,0)*B1268),E1268+(ROUND(F1268*J1268/B1268,0)*B1268)))</f>
        <v>#DIV/0!</v>
      </c>
      <c r="K1269" s="29" t="e">
        <f>IF(C1268=1,IF(D1268="BUY",E1268-(ROUND(F1268*K1268/B1268,0)*B1268),E1268+(ROUND(F1268*K1268/B1268,0)*B1268)),IF(D1268="BUY",E1268-(ROUND(F1268*K1268/B1268,0)*B1268),E1268+(ROUND(F1268*K1268/B1268,0)*B1268)))</f>
        <v>#DIV/0!</v>
      </c>
      <c r="L1269" s="29" t="e">
        <f t="shared" ref="L1269" si="1898">IF(D1269="BUY",I1269+(R1269*B1269),I1269-(R1269*B1269))</f>
        <v>#DIV/0!</v>
      </c>
      <c r="M1269" s="29" t="e">
        <f>IF(D1268="BUY",E1268+(ROUND(F1268*M1268/B1268,0)*B1268),E1268-(ROUND(F1268*M1268/B1268,0)*B1268))</f>
        <v>#DIV/0!</v>
      </c>
      <c r="N1269" s="29" t="e">
        <f>IF(D1268="BUY",E1268-(ROUND(F1268*N1268/B1268,0)*B1268),E1268+(ROUND(F1268*N1268/B1268,0)*B1268))</f>
        <v>#DIV/0!</v>
      </c>
      <c r="O1269" s="31" t="e">
        <f>IF(D1269="BUY",N1269-VLOOKUP(A1269,Symbols!A$1:D$1000,4,FALSE),N1269+VLOOKUP(A1269,Symbols!A$1:D$1000,4,FALSE))</f>
        <v>#DIV/0!</v>
      </c>
      <c r="P1269" s="29">
        <f>P1268</f>
        <v>0</v>
      </c>
      <c r="Q1269" s="29">
        <f>Q1268</f>
        <v>0</v>
      </c>
      <c r="R1269" s="29">
        <f>R1268</f>
        <v>0</v>
      </c>
      <c r="S1269" s="29">
        <f>S1268</f>
        <v>0</v>
      </c>
      <c r="T1269" s="29">
        <f>T1268</f>
        <v>0</v>
      </c>
      <c r="U1269" s="29" t="e">
        <f>DATEDIF(DATE(1970,1,1),U1268,"D")*86400</f>
        <v>#NUM!</v>
      </c>
      <c r="V1269" s="29">
        <f>HOUR(V1268)*3600+MINUTE(V1268)*60+SECOND(V1268)</f>
        <v>0</v>
      </c>
      <c r="W1269" s="29" t="e">
        <f>DATEDIF(DATE(1970,1,1),W1268,"D")*86400</f>
        <v>#NUM!</v>
      </c>
      <c r="X1269" s="29">
        <f>HOUR(X1268)*3600+MINUTE(X1268)*60+SECOND(X1268)</f>
        <v>0</v>
      </c>
      <c r="Y1269" s="31">
        <f>(Y1268*B1269)</f>
        <v>0</v>
      </c>
      <c r="Z1269" s="29">
        <f>Z1268</f>
        <v>0</v>
      </c>
      <c r="AA1269" s="29" t="e">
        <f>DATEDIF(DATE(1970,1,1),AA1268,"D")*86400</f>
        <v>#NUM!</v>
      </c>
      <c r="AB1269" s="29">
        <f>HOUR(AB1268)*3600+MINUTE(AB1268)*60+SECOND(AB1268)</f>
        <v>0</v>
      </c>
      <c r="AC1269" s="29">
        <f>AC1268</f>
        <v>0</v>
      </c>
    </row>
    <row r="1270" spans="1:29">
      <c r="A1270" s="23">
        <f>Parameters!A636</f>
        <v>0</v>
      </c>
      <c r="B1270" s="23">
        <f>Parameters!B636</f>
        <v>0</v>
      </c>
      <c r="C1270" s="24">
        <f>Parameters!C636</f>
        <v>0</v>
      </c>
      <c r="D1270" s="24">
        <f>Parameters!D636</f>
        <v>0</v>
      </c>
      <c r="E1270" s="23">
        <f>Parameters!E636</f>
        <v>0</v>
      </c>
      <c r="F1270" s="23">
        <f>Parameters!F636</f>
        <v>0</v>
      </c>
      <c r="G1270" s="25">
        <f>Parameters!G636</f>
        <v>0</v>
      </c>
      <c r="H1270" s="25">
        <f>Parameters!H636</f>
        <v>0</v>
      </c>
      <c r="I1270" s="25">
        <f>Parameters!I636</f>
        <v>0</v>
      </c>
      <c r="J1270" s="25">
        <f>Parameters!J636</f>
        <v>0</v>
      </c>
      <c r="K1270" s="25">
        <f>Parameters!K636</f>
        <v>0</v>
      </c>
      <c r="L1270" s="26" t="e">
        <f t="shared" ref="L1270" si="1899">L1271</f>
        <v>#DIV/0!</v>
      </c>
      <c r="M1270" s="25">
        <f>Parameters!L636</f>
        <v>0</v>
      </c>
      <c r="N1270" s="25">
        <f>Parameters!M636</f>
        <v>0</v>
      </c>
      <c r="O1270" s="26" t="e">
        <f t="shared" ref="O1270" si="1900">O1271</f>
        <v>#DIV/0!</v>
      </c>
      <c r="P1270" s="23">
        <f>Parameters!N636</f>
        <v>0</v>
      </c>
      <c r="Q1270" s="23">
        <f>Parameters!O636</f>
        <v>0</v>
      </c>
      <c r="R1270" s="23">
        <f>Parameters!P636</f>
        <v>0</v>
      </c>
      <c r="S1270" s="23">
        <f>Parameters!Q636</f>
        <v>0</v>
      </c>
      <c r="T1270" s="23">
        <f>Parameters!R636</f>
        <v>0</v>
      </c>
      <c r="U1270" s="27">
        <f>Parameters!S636</f>
        <v>0</v>
      </c>
      <c r="V1270" s="28">
        <f>Parameters!T636</f>
        <v>0</v>
      </c>
      <c r="W1270" s="27">
        <f>Parameters!U636</f>
        <v>0</v>
      </c>
      <c r="X1270" s="28">
        <f>Parameters!V636</f>
        <v>0</v>
      </c>
      <c r="Y1270" s="25">
        <f>Parameters!W636</f>
        <v>0</v>
      </c>
      <c r="Z1270" s="23">
        <f>Parameters!X636</f>
        <v>0</v>
      </c>
      <c r="AA1270" s="27">
        <f>Parameters!Y636</f>
        <v>0</v>
      </c>
      <c r="AB1270" s="28">
        <f>Parameters!Z636</f>
        <v>0</v>
      </c>
      <c r="AC1270" s="23">
        <f>Parameters!AA636</f>
        <v>0</v>
      </c>
    </row>
    <row r="1271" spans="1:29">
      <c r="A1271" s="29" t="str">
        <f>UPPER(A1270)</f>
        <v>0</v>
      </c>
      <c r="B1271" s="29">
        <f>B1270</f>
        <v>0</v>
      </c>
      <c r="C1271" s="30">
        <f>C1270</f>
        <v>0</v>
      </c>
      <c r="D1271" s="30">
        <f>D1270</f>
        <v>0</v>
      </c>
      <c r="E1271" s="29">
        <f>E1270</f>
        <v>0</v>
      </c>
      <c r="F1271" s="29">
        <f>F1270</f>
        <v>0</v>
      </c>
      <c r="G1271" s="29" t="e">
        <f>IF(C1270=1,IF(D1270="BUY",E1270+(ROUND(F1270*G1270/B1270,0)*B1270),E1270-(ROUND(F1270*G1270/B1270,0)*B1270)),IF(D1270="BUY",E1270-(ROUND(F1270*G1270/B1270,0)*B1270),E1270+(ROUND(F1270*G1270/B1270,0)*B1270)))</f>
        <v>#DIV/0!</v>
      </c>
      <c r="H1271" s="29" t="e">
        <f>IF(C1270=1,IF(D1270="BUY",G1271-(ROUND(F1270*H1270/B1270,0)*B1270),G1271+(ROUND(F1270*H1270/B1270,0)*B1270)),IF(D1270="BUY",G1271+(ROUND(F1270*H1270/B1270,0)*B1270),G1271-(ROUND(F1270*H1270/B1270,0)*B1270)))</f>
        <v>#DIV/0!</v>
      </c>
      <c r="I1271" s="29" t="e">
        <f>IF(D1270="BUY",G1271+(ROUND(F1270*I1270/(B1270*100),0)*B1270),G1271-(ROUND(F1270*I1270/(B1270*100),0)*B1270))</f>
        <v>#DIV/0!</v>
      </c>
      <c r="J1271" s="29" t="e">
        <f>IF(C1270=1,IF(D1270="BUY",E1270+(ROUND(F1270*J1270/B1270,0)*B1270),E1270-(ROUND(F1270*J1270/B1270,0)*B1270)),IF(D1270="BUY",E1270-(ROUND(F1270*J1270/B1270,0)*B1270),E1270+(ROUND(F1270*J1270/B1270,0)*B1270)))</f>
        <v>#DIV/0!</v>
      </c>
      <c r="K1271" s="29" t="e">
        <f>IF(C1270=1,IF(D1270="BUY",E1270-(ROUND(F1270*K1270/B1270,0)*B1270),E1270+(ROUND(F1270*K1270/B1270,0)*B1270)),IF(D1270="BUY",E1270-(ROUND(F1270*K1270/B1270,0)*B1270),E1270+(ROUND(F1270*K1270/B1270,0)*B1270)))</f>
        <v>#DIV/0!</v>
      </c>
      <c r="L1271" s="29" t="e">
        <f t="shared" ref="L1271" si="1901">IF(D1271="BUY",I1271+(R1271*B1271),I1271-(R1271*B1271))</f>
        <v>#DIV/0!</v>
      </c>
      <c r="M1271" s="29" t="e">
        <f>IF(D1270="BUY",E1270+(ROUND(F1270*M1270/B1270,0)*B1270),E1270-(ROUND(F1270*M1270/B1270,0)*B1270))</f>
        <v>#DIV/0!</v>
      </c>
      <c r="N1271" s="29" t="e">
        <f>IF(D1270="BUY",E1270-(ROUND(F1270*N1270/B1270,0)*B1270),E1270+(ROUND(F1270*N1270/B1270,0)*B1270))</f>
        <v>#DIV/0!</v>
      </c>
      <c r="O1271" s="31" t="e">
        <f>IF(D1271="BUY",N1271-VLOOKUP(A1271,Symbols!A$1:D$1000,4,FALSE),N1271+VLOOKUP(A1271,Symbols!A$1:D$1000,4,FALSE))</f>
        <v>#DIV/0!</v>
      </c>
      <c r="P1271" s="29">
        <f>P1270</f>
        <v>0</v>
      </c>
      <c r="Q1271" s="29">
        <f>Q1270</f>
        <v>0</v>
      </c>
      <c r="R1271" s="29">
        <f>R1270</f>
        <v>0</v>
      </c>
      <c r="S1271" s="29">
        <f>S1270</f>
        <v>0</v>
      </c>
      <c r="T1271" s="29">
        <f>T1270</f>
        <v>0</v>
      </c>
      <c r="U1271" s="29" t="e">
        <f>DATEDIF(DATE(1970,1,1),U1270,"D")*86400</f>
        <v>#NUM!</v>
      </c>
      <c r="V1271" s="29">
        <f>HOUR(V1270)*3600+MINUTE(V1270)*60+SECOND(V1270)</f>
        <v>0</v>
      </c>
      <c r="W1271" s="29" t="e">
        <f>DATEDIF(DATE(1970,1,1),W1270,"D")*86400</f>
        <v>#NUM!</v>
      </c>
      <c r="X1271" s="29">
        <f>HOUR(X1270)*3600+MINUTE(X1270)*60+SECOND(X1270)</f>
        <v>0</v>
      </c>
      <c r="Y1271" s="31">
        <f>(Y1270*B1271)</f>
        <v>0</v>
      </c>
      <c r="Z1271" s="29">
        <f>Z1270</f>
        <v>0</v>
      </c>
      <c r="AA1271" s="29" t="e">
        <f>DATEDIF(DATE(1970,1,1),AA1270,"D")*86400</f>
        <v>#NUM!</v>
      </c>
      <c r="AB1271" s="29">
        <f>HOUR(AB1270)*3600+MINUTE(AB1270)*60+SECOND(AB1270)</f>
        <v>0</v>
      </c>
      <c r="AC1271" s="29">
        <f>AC1270</f>
        <v>0</v>
      </c>
    </row>
    <row r="1272" spans="1:29">
      <c r="A1272" s="23">
        <f>Parameters!A637</f>
        <v>0</v>
      </c>
      <c r="B1272" s="23">
        <f>Parameters!B637</f>
        <v>0</v>
      </c>
      <c r="C1272" s="24">
        <f>Parameters!C637</f>
        <v>0</v>
      </c>
      <c r="D1272" s="24">
        <f>Parameters!D637</f>
        <v>0</v>
      </c>
      <c r="E1272" s="23">
        <f>Parameters!E637</f>
        <v>0</v>
      </c>
      <c r="F1272" s="23">
        <f>Parameters!F637</f>
        <v>0</v>
      </c>
      <c r="G1272" s="25">
        <f>Parameters!G637</f>
        <v>0</v>
      </c>
      <c r="H1272" s="25">
        <f>Parameters!H637</f>
        <v>0</v>
      </c>
      <c r="I1272" s="25">
        <f>Parameters!I637</f>
        <v>0</v>
      </c>
      <c r="J1272" s="25">
        <f>Parameters!J637</f>
        <v>0</v>
      </c>
      <c r="K1272" s="25">
        <f>Parameters!K637</f>
        <v>0</v>
      </c>
      <c r="L1272" s="26" t="e">
        <f t="shared" ref="L1272" si="1902">L1273</f>
        <v>#DIV/0!</v>
      </c>
      <c r="M1272" s="25">
        <f>Parameters!L637</f>
        <v>0</v>
      </c>
      <c r="N1272" s="25">
        <f>Parameters!M637</f>
        <v>0</v>
      </c>
      <c r="O1272" s="26" t="e">
        <f t="shared" ref="O1272" si="1903">O1273</f>
        <v>#DIV/0!</v>
      </c>
      <c r="P1272" s="23">
        <f>Parameters!N637</f>
        <v>0</v>
      </c>
      <c r="Q1272" s="23">
        <f>Parameters!O637</f>
        <v>0</v>
      </c>
      <c r="R1272" s="23">
        <f>Parameters!P637</f>
        <v>0</v>
      </c>
      <c r="S1272" s="23">
        <f>Parameters!Q637</f>
        <v>0</v>
      </c>
      <c r="T1272" s="23">
        <f>Parameters!R637</f>
        <v>0</v>
      </c>
      <c r="U1272" s="27">
        <f>Parameters!S637</f>
        <v>0</v>
      </c>
      <c r="V1272" s="28">
        <f>Parameters!T637</f>
        <v>0</v>
      </c>
      <c r="W1272" s="27">
        <f>Parameters!U637</f>
        <v>0</v>
      </c>
      <c r="X1272" s="28">
        <f>Parameters!V637</f>
        <v>0</v>
      </c>
      <c r="Y1272" s="25">
        <f>Parameters!W637</f>
        <v>0</v>
      </c>
      <c r="Z1272" s="23">
        <f>Parameters!X637</f>
        <v>0</v>
      </c>
      <c r="AA1272" s="27">
        <f>Parameters!Y637</f>
        <v>0</v>
      </c>
      <c r="AB1272" s="28">
        <f>Parameters!Z637</f>
        <v>0</v>
      </c>
      <c r="AC1272" s="23">
        <f>Parameters!AA637</f>
        <v>0</v>
      </c>
    </row>
    <row r="1273" spans="1:29">
      <c r="A1273" s="29" t="str">
        <f>UPPER(A1272)</f>
        <v>0</v>
      </c>
      <c r="B1273" s="29">
        <f>B1272</f>
        <v>0</v>
      </c>
      <c r="C1273" s="30">
        <f>C1272</f>
        <v>0</v>
      </c>
      <c r="D1273" s="30">
        <f>D1272</f>
        <v>0</v>
      </c>
      <c r="E1273" s="29">
        <f>E1272</f>
        <v>0</v>
      </c>
      <c r="F1273" s="29">
        <f>F1272</f>
        <v>0</v>
      </c>
      <c r="G1273" s="29" t="e">
        <f>IF(C1272=1,IF(D1272="BUY",E1272+(ROUND(F1272*G1272/B1272,0)*B1272),E1272-(ROUND(F1272*G1272/B1272,0)*B1272)),IF(D1272="BUY",E1272-(ROUND(F1272*G1272/B1272,0)*B1272),E1272+(ROUND(F1272*G1272/B1272,0)*B1272)))</f>
        <v>#DIV/0!</v>
      </c>
      <c r="H1273" s="29" t="e">
        <f>IF(C1272=1,IF(D1272="BUY",G1273-(ROUND(F1272*H1272/B1272,0)*B1272),G1273+(ROUND(F1272*H1272/B1272,0)*B1272)),IF(D1272="BUY",G1273+(ROUND(F1272*H1272/B1272,0)*B1272),G1273-(ROUND(F1272*H1272/B1272,0)*B1272)))</f>
        <v>#DIV/0!</v>
      </c>
      <c r="I1273" s="29" t="e">
        <f>IF(D1272="BUY",G1273+(ROUND(F1272*I1272/(B1272*100),0)*B1272),G1273-(ROUND(F1272*I1272/(B1272*100),0)*B1272))</f>
        <v>#DIV/0!</v>
      </c>
      <c r="J1273" s="29" t="e">
        <f>IF(C1272=1,IF(D1272="BUY",E1272+(ROUND(F1272*J1272/B1272,0)*B1272),E1272-(ROUND(F1272*J1272/B1272,0)*B1272)),IF(D1272="BUY",E1272-(ROUND(F1272*J1272/B1272,0)*B1272),E1272+(ROUND(F1272*J1272/B1272,0)*B1272)))</f>
        <v>#DIV/0!</v>
      </c>
      <c r="K1273" s="29" t="e">
        <f>IF(C1272=1,IF(D1272="BUY",E1272-(ROUND(F1272*K1272/B1272,0)*B1272),E1272+(ROUND(F1272*K1272/B1272,0)*B1272)),IF(D1272="BUY",E1272-(ROUND(F1272*K1272/B1272,0)*B1272),E1272+(ROUND(F1272*K1272/B1272,0)*B1272)))</f>
        <v>#DIV/0!</v>
      </c>
      <c r="L1273" s="29" t="e">
        <f t="shared" ref="L1273" si="1904">IF(D1273="BUY",I1273+(R1273*B1273),I1273-(R1273*B1273))</f>
        <v>#DIV/0!</v>
      </c>
      <c r="M1273" s="29" t="e">
        <f>IF(D1272="BUY",E1272+(ROUND(F1272*M1272/B1272,0)*B1272),E1272-(ROUND(F1272*M1272/B1272,0)*B1272))</f>
        <v>#DIV/0!</v>
      </c>
      <c r="N1273" s="29" t="e">
        <f>IF(D1272="BUY",E1272-(ROUND(F1272*N1272/B1272,0)*B1272),E1272+(ROUND(F1272*N1272/B1272,0)*B1272))</f>
        <v>#DIV/0!</v>
      </c>
      <c r="O1273" s="31" t="e">
        <f>IF(D1273="BUY",N1273-VLOOKUP(A1273,Symbols!A$1:D$1000,4,FALSE),N1273+VLOOKUP(A1273,Symbols!A$1:D$1000,4,FALSE))</f>
        <v>#DIV/0!</v>
      </c>
      <c r="P1273" s="29">
        <f>P1272</f>
        <v>0</v>
      </c>
      <c r="Q1273" s="29">
        <f>Q1272</f>
        <v>0</v>
      </c>
      <c r="R1273" s="29">
        <f>R1272</f>
        <v>0</v>
      </c>
      <c r="S1273" s="29">
        <f>S1272</f>
        <v>0</v>
      </c>
      <c r="T1273" s="29">
        <f>T1272</f>
        <v>0</v>
      </c>
      <c r="U1273" s="29" t="e">
        <f>DATEDIF(DATE(1970,1,1),U1272,"D")*86400</f>
        <v>#NUM!</v>
      </c>
      <c r="V1273" s="29">
        <f>HOUR(V1272)*3600+MINUTE(V1272)*60+SECOND(V1272)</f>
        <v>0</v>
      </c>
      <c r="W1273" s="29" t="e">
        <f>DATEDIF(DATE(1970,1,1),W1272,"D")*86400</f>
        <v>#NUM!</v>
      </c>
      <c r="X1273" s="29">
        <f>HOUR(X1272)*3600+MINUTE(X1272)*60+SECOND(X1272)</f>
        <v>0</v>
      </c>
      <c r="Y1273" s="31">
        <f>(Y1272*B1273)</f>
        <v>0</v>
      </c>
      <c r="Z1273" s="29">
        <f>Z1272</f>
        <v>0</v>
      </c>
      <c r="AA1273" s="29" t="e">
        <f>DATEDIF(DATE(1970,1,1),AA1272,"D")*86400</f>
        <v>#NUM!</v>
      </c>
      <c r="AB1273" s="29">
        <f>HOUR(AB1272)*3600+MINUTE(AB1272)*60+SECOND(AB1272)</f>
        <v>0</v>
      </c>
      <c r="AC1273" s="29">
        <f>AC1272</f>
        <v>0</v>
      </c>
    </row>
    <row r="1274" spans="1:29">
      <c r="A1274" s="23">
        <f>Parameters!A638</f>
        <v>0</v>
      </c>
      <c r="B1274" s="23">
        <f>Parameters!B638</f>
        <v>0</v>
      </c>
      <c r="C1274" s="24">
        <f>Parameters!C638</f>
        <v>0</v>
      </c>
      <c r="D1274" s="24">
        <f>Parameters!D638</f>
        <v>0</v>
      </c>
      <c r="E1274" s="23">
        <f>Parameters!E638</f>
        <v>0</v>
      </c>
      <c r="F1274" s="23">
        <f>Parameters!F638</f>
        <v>0</v>
      </c>
      <c r="G1274" s="25">
        <f>Parameters!G638</f>
        <v>0</v>
      </c>
      <c r="H1274" s="25">
        <f>Parameters!H638</f>
        <v>0</v>
      </c>
      <c r="I1274" s="25">
        <f>Parameters!I638</f>
        <v>0</v>
      </c>
      <c r="J1274" s="25">
        <f>Parameters!J638</f>
        <v>0</v>
      </c>
      <c r="K1274" s="25">
        <f>Parameters!K638</f>
        <v>0</v>
      </c>
      <c r="L1274" s="26" t="e">
        <f t="shared" ref="L1274" si="1905">L1275</f>
        <v>#DIV/0!</v>
      </c>
      <c r="M1274" s="25">
        <f>Parameters!L638</f>
        <v>0</v>
      </c>
      <c r="N1274" s="25">
        <f>Parameters!M638</f>
        <v>0</v>
      </c>
      <c r="O1274" s="26" t="e">
        <f t="shared" ref="O1274" si="1906">O1275</f>
        <v>#DIV/0!</v>
      </c>
      <c r="P1274" s="23">
        <f>Parameters!N638</f>
        <v>0</v>
      </c>
      <c r="Q1274" s="23">
        <f>Parameters!O638</f>
        <v>0</v>
      </c>
      <c r="R1274" s="23">
        <f>Parameters!P638</f>
        <v>0</v>
      </c>
      <c r="S1274" s="23">
        <f>Parameters!Q638</f>
        <v>0</v>
      </c>
      <c r="T1274" s="23">
        <f>Parameters!R638</f>
        <v>0</v>
      </c>
      <c r="U1274" s="27">
        <f>Parameters!S638</f>
        <v>0</v>
      </c>
      <c r="V1274" s="28">
        <f>Parameters!T638</f>
        <v>0</v>
      </c>
      <c r="W1274" s="27">
        <f>Parameters!U638</f>
        <v>0</v>
      </c>
      <c r="X1274" s="28">
        <f>Parameters!V638</f>
        <v>0</v>
      </c>
      <c r="Y1274" s="25">
        <f>Parameters!W638</f>
        <v>0</v>
      </c>
      <c r="Z1274" s="23">
        <f>Parameters!X638</f>
        <v>0</v>
      </c>
      <c r="AA1274" s="27">
        <f>Parameters!Y638</f>
        <v>0</v>
      </c>
      <c r="AB1274" s="28">
        <f>Parameters!Z638</f>
        <v>0</v>
      </c>
      <c r="AC1274" s="23">
        <f>Parameters!AA638</f>
        <v>0</v>
      </c>
    </row>
    <row r="1275" spans="1:29">
      <c r="A1275" s="29" t="str">
        <f>UPPER(A1274)</f>
        <v>0</v>
      </c>
      <c r="B1275" s="29">
        <f>B1274</f>
        <v>0</v>
      </c>
      <c r="C1275" s="30">
        <f>C1274</f>
        <v>0</v>
      </c>
      <c r="D1275" s="30">
        <f>D1274</f>
        <v>0</v>
      </c>
      <c r="E1275" s="29">
        <f>E1274</f>
        <v>0</v>
      </c>
      <c r="F1275" s="29">
        <f>F1274</f>
        <v>0</v>
      </c>
      <c r="G1275" s="29" t="e">
        <f>IF(C1274=1,IF(D1274="BUY",E1274+(ROUND(F1274*G1274/B1274,0)*B1274),E1274-(ROUND(F1274*G1274/B1274,0)*B1274)),IF(D1274="BUY",E1274-(ROUND(F1274*G1274/B1274,0)*B1274),E1274+(ROUND(F1274*G1274/B1274,0)*B1274)))</f>
        <v>#DIV/0!</v>
      </c>
      <c r="H1275" s="29" t="e">
        <f>IF(C1274=1,IF(D1274="BUY",G1275-(ROUND(F1274*H1274/B1274,0)*B1274),G1275+(ROUND(F1274*H1274/B1274,0)*B1274)),IF(D1274="BUY",G1275+(ROUND(F1274*H1274/B1274,0)*B1274),G1275-(ROUND(F1274*H1274/B1274,0)*B1274)))</f>
        <v>#DIV/0!</v>
      </c>
      <c r="I1275" s="29" t="e">
        <f>IF(D1274="BUY",G1275+(ROUND(F1274*I1274/(B1274*100),0)*B1274),G1275-(ROUND(F1274*I1274/(B1274*100),0)*B1274))</f>
        <v>#DIV/0!</v>
      </c>
      <c r="J1275" s="29" t="e">
        <f>IF(C1274=1,IF(D1274="BUY",E1274+(ROUND(F1274*J1274/B1274,0)*B1274),E1274-(ROUND(F1274*J1274/B1274,0)*B1274)),IF(D1274="BUY",E1274-(ROUND(F1274*J1274/B1274,0)*B1274),E1274+(ROUND(F1274*J1274/B1274,0)*B1274)))</f>
        <v>#DIV/0!</v>
      </c>
      <c r="K1275" s="29" t="e">
        <f>IF(C1274=1,IF(D1274="BUY",E1274-(ROUND(F1274*K1274/B1274,0)*B1274),E1274+(ROUND(F1274*K1274/B1274,0)*B1274)),IF(D1274="BUY",E1274-(ROUND(F1274*K1274/B1274,0)*B1274),E1274+(ROUND(F1274*K1274/B1274,0)*B1274)))</f>
        <v>#DIV/0!</v>
      </c>
      <c r="L1275" s="29" t="e">
        <f t="shared" ref="L1275" si="1907">IF(D1275="BUY",I1275+(R1275*B1275),I1275-(R1275*B1275))</f>
        <v>#DIV/0!</v>
      </c>
      <c r="M1275" s="29" t="e">
        <f>IF(D1274="BUY",E1274+(ROUND(F1274*M1274/B1274,0)*B1274),E1274-(ROUND(F1274*M1274/B1274,0)*B1274))</f>
        <v>#DIV/0!</v>
      </c>
      <c r="N1275" s="29" t="e">
        <f>IF(D1274="BUY",E1274-(ROUND(F1274*N1274/B1274,0)*B1274),E1274+(ROUND(F1274*N1274/B1274,0)*B1274))</f>
        <v>#DIV/0!</v>
      </c>
      <c r="O1275" s="31" t="e">
        <f>IF(D1275="BUY",N1275-VLOOKUP(A1275,Symbols!A$1:D$1000,4,FALSE),N1275+VLOOKUP(A1275,Symbols!A$1:D$1000,4,FALSE))</f>
        <v>#DIV/0!</v>
      </c>
      <c r="P1275" s="29">
        <f>P1274</f>
        <v>0</v>
      </c>
      <c r="Q1275" s="29">
        <f>Q1274</f>
        <v>0</v>
      </c>
      <c r="R1275" s="29">
        <f>R1274</f>
        <v>0</v>
      </c>
      <c r="S1275" s="29">
        <f>S1274</f>
        <v>0</v>
      </c>
      <c r="T1275" s="29">
        <f>T1274</f>
        <v>0</v>
      </c>
      <c r="U1275" s="29" t="e">
        <f>DATEDIF(DATE(1970,1,1),U1274,"D")*86400</f>
        <v>#NUM!</v>
      </c>
      <c r="V1275" s="29">
        <f>HOUR(V1274)*3600+MINUTE(V1274)*60+SECOND(V1274)</f>
        <v>0</v>
      </c>
      <c r="W1275" s="29" t="e">
        <f>DATEDIF(DATE(1970,1,1),W1274,"D")*86400</f>
        <v>#NUM!</v>
      </c>
      <c r="X1275" s="29">
        <f>HOUR(X1274)*3600+MINUTE(X1274)*60+SECOND(X1274)</f>
        <v>0</v>
      </c>
      <c r="Y1275" s="31">
        <f>(Y1274*B1275)</f>
        <v>0</v>
      </c>
      <c r="Z1275" s="29">
        <f>Z1274</f>
        <v>0</v>
      </c>
      <c r="AA1275" s="29" t="e">
        <f>DATEDIF(DATE(1970,1,1),AA1274,"D")*86400</f>
        <v>#NUM!</v>
      </c>
      <c r="AB1275" s="29">
        <f>HOUR(AB1274)*3600+MINUTE(AB1274)*60+SECOND(AB1274)</f>
        <v>0</v>
      </c>
      <c r="AC1275" s="29">
        <f>AC1274</f>
        <v>0</v>
      </c>
    </row>
    <row r="1276" spans="1:29">
      <c r="A1276" s="23">
        <f>Parameters!A639</f>
        <v>0</v>
      </c>
      <c r="B1276" s="23">
        <f>Parameters!B639</f>
        <v>0</v>
      </c>
      <c r="C1276" s="24">
        <f>Parameters!C639</f>
        <v>0</v>
      </c>
      <c r="D1276" s="24">
        <f>Parameters!D639</f>
        <v>0</v>
      </c>
      <c r="E1276" s="23">
        <f>Parameters!E639</f>
        <v>0</v>
      </c>
      <c r="F1276" s="23">
        <f>Parameters!F639</f>
        <v>0</v>
      </c>
      <c r="G1276" s="25">
        <f>Parameters!G639</f>
        <v>0</v>
      </c>
      <c r="H1276" s="25">
        <f>Parameters!H639</f>
        <v>0</v>
      </c>
      <c r="I1276" s="25">
        <f>Parameters!I639</f>
        <v>0</v>
      </c>
      <c r="J1276" s="25">
        <f>Parameters!J639</f>
        <v>0</v>
      </c>
      <c r="K1276" s="25">
        <f>Parameters!K639</f>
        <v>0</v>
      </c>
      <c r="L1276" s="26" t="e">
        <f t="shared" ref="L1276" si="1908">L1277</f>
        <v>#DIV/0!</v>
      </c>
      <c r="M1276" s="25">
        <f>Parameters!L639</f>
        <v>0</v>
      </c>
      <c r="N1276" s="25">
        <f>Parameters!M639</f>
        <v>0</v>
      </c>
      <c r="O1276" s="26" t="e">
        <f t="shared" ref="O1276" si="1909">O1277</f>
        <v>#DIV/0!</v>
      </c>
      <c r="P1276" s="23">
        <f>Parameters!N639</f>
        <v>0</v>
      </c>
      <c r="Q1276" s="23">
        <f>Parameters!O639</f>
        <v>0</v>
      </c>
      <c r="R1276" s="23">
        <f>Parameters!P639</f>
        <v>0</v>
      </c>
      <c r="S1276" s="23">
        <f>Parameters!Q639</f>
        <v>0</v>
      </c>
      <c r="T1276" s="23">
        <f>Parameters!R639</f>
        <v>0</v>
      </c>
      <c r="U1276" s="27">
        <f>Parameters!S639</f>
        <v>0</v>
      </c>
      <c r="V1276" s="28">
        <f>Parameters!T639</f>
        <v>0</v>
      </c>
      <c r="W1276" s="27">
        <f>Parameters!U639</f>
        <v>0</v>
      </c>
      <c r="X1276" s="28">
        <f>Parameters!V639</f>
        <v>0</v>
      </c>
      <c r="Y1276" s="25">
        <f>Parameters!W639</f>
        <v>0</v>
      </c>
      <c r="Z1276" s="23">
        <f>Parameters!X639</f>
        <v>0</v>
      </c>
      <c r="AA1276" s="27">
        <f>Parameters!Y639</f>
        <v>0</v>
      </c>
      <c r="AB1276" s="28">
        <f>Parameters!Z639</f>
        <v>0</v>
      </c>
      <c r="AC1276" s="23">
        <f>Parameters!AA639</f>
        <v>0</v>
      </c>
    </row>
    <row r="1277" spans="1:29">
      <c r="A1277" s="29" t="str">
        <f>UPPER(A1276)</f>
        <v>0</v>
      </c>
      <c r="B1277" s="29">
        <f>B1276</f>
        <v>0</v>
      </c>
      <c r="C1277" s="30">
        <f>C1276</f>
        <v>0</v>
      </c>
      <c r="D1277" s="30">
        <f>D1276</f>
        <v>0</v>
      </c>
      <c r="E1277" s="29">
        <f>E1276</f>
        <v>0</v>
      </c>
      <c r="F1277" s="29">
        <f>F1276</f>
        <v>0</v>
      </c>
      <c r="G1277" s="29" t="e">
        <f>IF(C1276=1,IF(D1276="BUY",E1276+(ROUND(F1276*G1276/B1276,0)*B1276),E1276-(ROUND(F1276*G1276/B1276,0)*B1276)),IF(D1276="BUY",E1276-(ROUND(F1276*G1276/B1276,0)*B1276),E1276+(ROUND(F1276*G1276/B1276,0)*B1276)))</f>
        <v>#DIV/0!</v>
      </c>
      <c r="H1277" s="29" t="e">
        <f>IF(C1276=1,IF(D1276="BUY",G1277-(ROUND(F1276*H1276/B1276,0)*B1276),G1277+(ROUND(F1276*H1276/B1276,0)*B1276)),IF(D1276="BUY",G1277+(ROUND(F1276*H1276/B1276,0)*B1276),G1277-(ROUND(F1276*H1276/B1276,0)*B1276)))</f>
        <v>#DIV/0!</v>
      </c>
      <c r="I1277" s="29" t="e">
        <f>IF(D1276="BUY",G1277+(ROUND(F1276*I1276/(B1276*100),0)*B1276),G1277-(ROUND(F1276*I1276/(B1276*100),0)*B1276))</f>
        <v>#DIV/0!</v>
      </c>
      <c r="J1277" s="29" t="e">
        <f>IF(C1276=1,IF(D1276="BUY",E1276+(ROUND(F1276*J1276/B1276,0)*B1276),E1276-(ROUND(F1276*J1276/B1276,0)*B1276)),IF(D1276="BUY",E1276-(ROUND(F1276*J1276/B1276,0)*B1276),E1276+(ROUND(F1276*J1276/B1276,0)*B1276)))</f>
        <v>#DIV/0!</v>
      </c>
      <c r="K1277" s="29" t="e">
        <f>IF(C1276=1,IF(D1276="BUY",E1276-(ROUND(F1276*K1276/B1276,0)*B1276),E1276+(ROUND(F1276*K1276/B1276,0)*B1276)),IF(D1276="BUY",E1276-(ROUND(F1276*K1276/B1276,0)*B1276),E1276+(ROUND(F1276*K1276/B1276,0)*B1276)))</f>
        <v>#DIV/0!</v>
      </c>
      <c r="L1277" s="29" t="e">
        <f t="shared" ref="L1277" si="1910">IF(D1277="BUY",I1277+(R1277*B1277),I1277-(R1277*B1277))</f>
        <v>#DIV/0!</v>
      </c>
      <c r="M1277" s="29" t="e">
        <f>IF(D1276="BUY",E1276+(ROUND(F1276*M1276/B1276,0)*B1276),E1276-(ROUND(F1276*M1276/B1276,0)*B1276))</f>
        <v>#DIV/0!</v>
      </c>
      <c r="N1277" s="29" t="e">
        <f>IF(D1276="BUY",E1276-(ROUND(F1276*N1276/B1276,0)*B1276),E1276+(ROUND(F1276*N1276/B1276,0)*B1276))</f>
        <v>#DIV/0!</v>
      </c>
      <c r="O1277" s="31" t="e">
        <f>IF(D1277="BUY",N1277-VLOOKUP(A1277,Symbols!A$1:D$1000,4,FALSE),N1277+VLOOKUP(A1277,Symbols!A$1:D$1000,4,FALSE))</f>
        <v>#DIV/0!</v>
      </c>
      <c r="P1277" s="29">
        <f>P1276</f>
        <v>0</v>
      </c>
      <c r="Q1277" s="29">
        <f>Q1276</f>
        <v>0</v>
      </c>
      <c r="R1277" s="29">
        <f>R1276</f>
        <v>0</v>
      </c>
      <c r="S1277" s="29">
        <f>S1276</f>
        <v>0</v>
      </c>
      <c r="T1277" s="29">
        <f>T1276</f>
        <v>0</v>
      </c>
      <c r="U1277" s="29" t="e">
        <f>DATEDIF(DATE(1970,1,1),U1276,"D")*86400</f>
        <v>#NUM!</v>
      </c>
      <c r="V1277" s="29">
        <f>HOUR(V1276)*3600+MINUTE(V1276)*60+SECOND(V1276)</f>
        <v>0</v>
      </c>
      <c r="W1277" s="29" t="e">
        <f>DATEDIF(DATE(1970,1,1),W1276,"D")*86400</f>
        <v>#NUM!</v>
      </c>
      <c r="X1277" s="29">
        <f>HOUR(X1276)*3600+MINUTE(X1276)*60+SECOND(X1276)</f>
        <v>0</v>
      </c>
      <c r="Y1277" s="31">
        <f>(Y1276*B1277)</f>
        <v>0</v>
      </c>
      <c r="Z1277" s="29">
        <f>Z1276</f>
        <v>0</v>
      </c>
      <c r="AA1277" s="29" t="e">
        <f>DATEDIF(DATE(1970,1,1),AA1276,"D")*86400</f>
        <v>#NUM!</v>
      </c>
      <c r="AB1277" s="29">
        <f>HOUR(AB1276)*3600+MINUTE(AB1276)*60+SECOND(AB1276)</f>
        <v>0</v>
      </c>
      <c r="AC1277" s="29">
        <f>AC1276</f>
        <v>0</v>
      </c>
    </row>
    <row r="1278" spans="1:29">
      <c r="A1278" s="23">
        <f>Parameters!A640</f>
        <v>0</v>
      </c>
      <c r="B1278" s="23">
        <f>Parameters!B640</f>
        <v>0</v>
      </c>
      <c r="C1278" s="24">
        <f>Parameters!C640</f>
        <v>0</v>
      </c>
      <c r="D1278" s="24">
        <f>Parameters!D640</f>
        <v>0</v>
      </c>
      <c r="E1278" s="23">
        <f>Parameters!E640</f>
        <v>0</v>
      </c>
      <c r="F1278" s="23">
        <f>Parameters!F640</f>
        <v>0</v>
      </c>
      <c r="G1278" s="25">
        <f>Parameters!G640</f>
        <v>0</v>
      </c>
      <c r="H1278" s="25">
        <f>Parameters!H640</f>
        <v>0</v>
      </c>
      <c r="I1278" s="25">
        <f>Parameters!I640</f>
        <v>0</v>
      </c>
      <c r="J1278" s="25">
        <f>Parameters!J640</f>
        <v>0</v>
      </c>
      <c r="K1278" s="25">
        <f>Parameters!K640</f>
        <v>0</v>
      </c>
      <c r="L1278" s="26" t="e">
        <f t="shared" ref="L1278" si="1911">L1279</f>
        <v>#DIV/0!</v>
      </c>
      <c r="M1278" s="25">
        <f>Parameters!L640</f>
        <v>0</v>
      </c>
      <c r="N1278" s="25">
        <f>Parameters!M640</f>
        <v>0</v>
      </c>
      <c r="O1278" s="26" t="e">
        <f t="shared" ref="O1278" si="1912">O1279</f>
        <v>#DIV/0!</v>
      </c>
      <c r="P1278" s="23">
        <f>Parameters!N640</f>
        <v>0</v>
      </c>
      <c r="Q1278" s="23">
        <f>Parameters!O640</f>
        <v>0</v>
      </c>
      <c r="R1278" s="23">
        <f>Parameters!P640</f>
        <v>0</v>
      </c>
      <c r="S1278" s="23">
        <f>Parameters!Q640</f>
        <v>0</v>
      </c>
      <c r="T1278" s="23">
        <f>Parameters!R640</f>
        <v>0</v>
      </c>
      <c r="U1278" s="27">
        <f>Parameters!S640</f>
        <v>0</v>
      </c>
      <c r="V1278" s="28">
        <f>Parameters!T640</f>
        <v>0</v>
      </c>
      <c r="W1278" s="27">
        <f>Parameters!U640</f>
        <v>0</v>
      </c>
      <c r="X1278" s="28">
        <f>Parameters!V640</f>
        <v>0</v>
      </c>
      <c r="Y1278" s="25">
        <f>Parameters!W640</f>
        <v>0</v>
      </c>
      <c r="Z1278" s="23">
        <f>Parameters!X640</f>
        <v>0</v>
      </c>
      <c r="AA1278" s="27">
        <f>Parameters!Y640</f>
        <v>0</v>
      </c>
      <c r="AB1278" s="28">
        <f>Parameters!Z640</f>
        <v>0</v>
      </c>
      <c r="AC1278" s="23">
        <f>Parameters!AA640</f>
        <v>0</v>
      </c>
    </row>
    <row r="1279" spans="1:29">
      <c r="A1279" s="29" t="str">
        <f>UPPER(A1278)</f>
        <v>0</v>
      </c>
      <c r="B1279" s="29">
        <f>B1278</f>
        <v>0</v>
      </c>
      <c r="C1279" s="30">
        <f>C1278</f>
        <v>0</v>
      </c>
      <c r="D1279" s="30">
        <f>D1278</f>
        <v>0</v>
      </c>
      <c r="E1279" s="29">
        <f>E1278</f>
        <v>0</v>
      </c>
      <c r="F1279" s="29">
        <f>F1278</f>
        <v>0</v>
      </c>
      <c r="G1279" s="29" t="e">
        <f>IF(C1278=1,IF(D1278="BUY",E1278+(ROUND(F1278*G1278/B1278,0)*B1278),E1278-(ROUND(F1278*G1278/B1278,0)*B1278)),IF(D1278="BUY",E1278-(ROUND(F1278*G1278/B1278,0)*B1278),E1278+(ROUND(F1278*G1278/B1278,0)*B1278)))</f>
        <v>#DIV/0!</v>
      </c>
      <c r="H1279" s="29" t="e">
        <f>IF(C1278=1,IF(D1278="BUY",G1279-(ROUND(F1278*H1278/B1278,0)*B1278),G1279+(ROUND(F1278*H1278/B1278,0)*B1278)),IF(D1278="BUY",G1279+(ROUND(F1278*H1278/B1278,0)*B1278),G1279-(ROUND(F1278*H1278/B1278,0)*B1278)))</f>
        <v>#DIV/0!</v>
      </c>
      <c r="I1279" s="29" t="e">
        <f>IF(D1278="BUY",G1279+(ROUND(F1278*I1278/(B1278*100),0)*B1278),G1279-(ROUND(F1278*I1278/(B1278*100),0)*B1278))</f>
        <v>#DIV/0!</v>
      </c>
      <c r="J1279" s="29" t="e">
        <f>IF(C1278=1,IF(D1278="BUY",E1278+(ROUND(F1278*J1278/B1278,0)*B1278),E1278-(ROUND(F1278*J1278/B1278,0)*B1278)),IF(D1278="BUY",E1278-(ROUND(F1278*J1278/B1278,0)*B1278),E1278+(ROUND(F1278*J1278/B1278,0)*B1278)))</f>
        <v>#DIV/0!</v>
      </c>
      <c r="K1279" s="29" t="e">
        <f>IF(C1278=1,IF(D1278="BUY",E1278-(ROUND(F1278*K1278/B1278,0)*B1278),E1278+(ROUND(F1278*K1278/B1278,0)*B1278)),IF(D1278="BUY",E1278-(ROUND(F1278*K1278/B1278,0)*B1278),E1278+(ROUND(F1278*K1278/B1278,0)*B1278)))</f>
        <v>#DIV/0!</v>
      </c>
      <c r="L1279" s="29" t="e">
        <f t="shared" ref="L1279" si="1913">IF(D1279="BUY",I1279+(R1279*B1279),I1279-(R1279*B1279))</f>
        <v>#DIV/0!</v>
      </c>
      <c r="M1279" s="29" t="e">
        <f>IF(D1278="BUY",E1278+(ROUND(F1278*M1278/B1278,0)*B1278),E1278-(ROUND(F1278*M1278/B1278,0)*B1278))</f>
        <v>#DIV/0!</v>
      </c>
      <c r="N1279" s="29" t="e">
        <f>IF(D1278="BUY",E1278-(ROUND(F1278*N1278/B1278,0)*B1278),E1278+(ROUND(F1278*N1278/B1278,0)*B1278))</f>
        <v>#DIV/0!</v>
      </c>
      <c r="O1279" s="31" t="e">
        <f>IF(D1279="BUY",N1279-VLOOKUP(A1279,Symbols!A$1:D$1000,4,FALSE),N1279+VLOOKUP(A1279,Symbols!A$1:D$1000,4,FALSE))</f>
        <v>#DIV/0!</v>
      </c>
      <c r="P1279" s="29">
        <f>P1278</f>
        <v>0</v>
      </c>
      <c r="Q1279" s="29">
        <f>Q1278</f>
        <v>0</v>
      </c>
      <c r="R1279" s="29">
        <f>R1278</f>
        <v>0</v>
      </c>
      <c r="S1279" s="29">
        <f>S1278</f>
        <v>0</v>
      </c>
      <c r="T1279" s="29">
        <f>T1278</f>
        <v>0</v>
      </c>
      <c r="U1279" s="29" t="e">
        <f>DATEDIF(DATE(1970,1,1),U1278,"D")*86400</f>
        <v>#NUM!</v>
      </c>
      <c r="V1279" s="29">
        <f>HOUR(V1278)*3600+MINUTE(V1278)*60+SECOND(V1278)</f>
        <v>0</v>
      </c>
      <c r="W1279" s="29" t="e">
        <f>DATEDIF(DATE(1970,1,1),W1278,"D")*86400</f>
        <v>#NUM!</v>
      </c>
      <c r="X1279" s="29">
        <f>HOUR(X1278)*3600+MINUTE(X1278)*60+SECOND(X1278)</f>
        <v>0</v>
      </c>
      <c r="Y1279" s="31">
        <f>(Y1278*B1279)</f>
        <v>0</v>
      </c>
      <c r="Z1279" s="29">
        <f>Z1278</f>
        <v>0</v>
      </c>
      <c r="AA1279" s="29" t="e">
        <f>DATEDIF(DATE(1970,1,1),AA1278,"D")*86400</f>
        <v>#NUM!</v>
      </c>
      <c r="AB1279" s="29">
        <f>HOUR(AB1278)*3600+MINUTE(AB1278)*60+SECOND(AB1278)</f>
        <v>0</v>
      </c>
      <c r="AC1279" s="29">
        <f>AC1278</f>
        <v>0</v>
      </c>
    </row>
    <row r="1280" spans="1:29">
      <c r="A1280" s="23">
        <f>Parameters!A641</f>
        <v>0</v>
      </c>
      <c r="B1280" s="23">
        <f>Parameters!B641</f>
        <v>0</v>
      </c>
      <c r="C1280" s="24">
        <f>Parameters!C641</f>
        <v>0</v>
      </c>
      <c r="D1280" s="24">
        <f>Parameters!D641</f>
        <v>0</v>
      </c>
      <c r="E1280" s="23">
        <f>Parameters!E641</f>
        <v>0</v>
      </c>
      <c r="F1280" s="23">
        <f>Parameters!F641</f>
        <v>0</v>
      </c>
      <c r="G1280" s="25">
        <f>Parameters!G641</f>
        <v>0</v>
      </c>
      <c r="H1280" s="25">
        <f>Parameters!H641</f>
        <v>0</v>
      </c>
      <c r="I1280" s="25">
        <f>Parameters!I641</f>
        <v>0</v>
      </c>
      <c r="J1280" s="25">
        <f>Parameters!J641</f>
        <v>0</v>
      </c>
      <c r="K1280" s="25">
        <f>Parameters!K641</f>
        <v>0</v>
      </c>
      <c r="L1280" s="26" t="e">
        <f t="shared" ref="L1280" si="1914">L1281</f>
        <v>#DIV/0!</v>
      </c>
      <c r="M1280" s="25">
        <f>Parameters!L641</f>
        <v>0</v>
      </c>
      <c r="N1280" s="25">
        <f>Parameters!M641</f>
        <v>0</v>
      </c>
      <c r="O1280" s="26" t="e">
        <f t="shared" ref="O1280" si="1915">O1281</f>
        <v>#DIV/0!</v>
      </c>
      <c r="P1280" s="23">
        <f>Parameters!N641</f>
        <v>0</v>
      </c>
      <c r="Q1280" s="23">
        <f>Parameters!O641</f>
        <v>0</v>
      </c>
      <c r="R1280" s="23">
        <f>Parameters!P641</f>
        <v>0</v>
      </c>
      <c r="S1280" s="23">
        <f>Parameters!Q641</f>
        <v>0</v>
      </c>
      <c r="T1280" s="23">
        <f>Parameters!R641</f>
        <v>0</v>
      </c>
      <c r="U1280" s="27">
        <f>Parameters!S641</f>
        <v>0</v>
      </c>
      <c r="V1280" s="28">
        <f>Parameters!T641</f>
        <v>0</v>
      </c>
      <c r="W1280" s="27">
        <f>Parameters!U641</f>
        <v>0</v>
      </c>
      <c r="X1280" s="28">
        <f>Parameters!V641</f>
        <v>0</v>
      </c>
      <c r="Y1280" s="25">
        <f>Parameters!W641</f>
        <v>0</v>
      </c>
      <c r="Z1280" s="23">
        <f>Parameters!X641</f>
        <v>0</v>
      </c>
      <c r="AA1280" s="27">
        <f>Parameters!Y641</f>
        <v>0</v>
      </c>
      <c r="AB1280" s="28">
        <f>Parameters!Z641</f>
        <v>0</v>
      </c>
      <c r="AC1280" s="23">
        <f>Parameters!AA641</f>
        <v>0</v>
      </c>
    </row>
    <row r="1281" spans="1:29">
      <c r="A1281" s="29" t="str">
        <f>UPPER(A1280)</f>
        <v>0</v>
      </c>
      <c r="B1281" s="29">
        <f>B1280</f>
        <v>0</v>
      </c>
      <c r="C1281" s="30">
        <f>C1280</f>
        <v>0</v>
      </c>
      <c r="D1281" s="30">
        <f>D1280</f>
        <v>0</v>
      </c>
      <c r="E1281" s="29">
        <f>E1280</f>
        <v>0</v>
      </c>
      <c r="F1281" s="29">
        <f>F1280</f>
        <v>0</v>
      </c>
      <c r="G1281" s="29" t="e">
        <f>IF(C1280=1,IF(D1280="BUY",E1280+(ROUND(F1280*G1280/B1280,0)*B1280),E1280-(ROUND(F1280*G1280/B1280,0)*B1280)),IF(D1280="BUY",E1280-(ROUND(F1280*G1280/B1280,0)*B1280),E1280+(ROUND(F1280*G1280/B1280,0)*B1280)))</f>
        <v>#DIV/0!</v>
      </c>
      <c r="H1281" s="29" t="e">
        <f>IF(C1280=1,IF(D1280="BUY",G1281-(ROUND(F1280*H1280/B1280,0)*B1280),G1281+(ROUND(F1280*H1280/B1280,0)*B1280)),IF(D1280="BUY",G1281+(ROUND(F1280*H1280/B1280,0)*B1280),G1281-(ROUND(F1280*H1280/B1280,0)*B1280)))</f>
        <v>#DIV/0!</v>
      </c>
      <c r="I1281" s="29" t="e">
        <f>IF(D1280="BUY",G1281+(ROUND(F1280*I1280/(B1280*100),0)*B1280),G1281-(ROUND(F1280*I1280/(B1280*100),0)*B1280))</f>
        <v>#DIV/0!</v>
      </c>
      <c r="J1281" s="29" t="e">
        <f>IF(C1280=1,IF(D1280="BUY",E1280+(ROUND(F1280*J1280/B1280,0)*B1280),E1280-(ROUND(F1280*J1280/B1280,0)*B1280)),IF(D1280="BUY",E1280-(ROUND(F1280*J1280/B1280,0)*B1280),E1280+(ROUND(F1280*J1280/B1280,0)*B1280)))</f>
        <v>#DIV/0!</v>
      </c>
      <c r="K1281" s="29" t="e">
        <f>IF(C1280=1,IF(D1280="BUY",E1280-(ROUND(F1280*K1280/B1280,0)*B1280),E1280+(ROUND(F1280*K1280/B1280,0)*B1280)),IF(D1280="BUY",E1280-(ROUND(F1280*K1280/B1280,0)*B1280),E1280+(ROUND(F1280*K1280/B1280,0)*B1280)))</f>
        <v>#DIV/0!</v>
      </c>
      <c r="L1281" s="29" t="e">
        <f t="shared" ref="L1281" si="1916">IF(D1281="BUY",I1281+(R1281*B1281),I1281-(R1281*B1281))</f>
        <v>#DIV/0!</v>
      </c>
      <c r="M1281" s="29" t="e">
        <f>IF(D1280="BUY",E1280+(ROUND(F1280*M1280/B1280,0)*B1280),E1280-(ROUND(F1280*M1280/B1280,0)*B1280))</f>
        <v>#DIV/0!</v>
      </c>
      <c r="N1281" s="29" t="e">
        <f>IF(D1280="BUY",E1280-(ROUND(F1280*N1280/B1280,0)*B1280),E1280+(ROUND(F1280*N1280/B1280,0)*B1280))</f>
        <v>#DIV/0!</v>
      </c>
      <c r="O1281" s="31" t="e">
        <f>IF(D1281="BUY",N1281-VLOOKUP(A1281,Symbols!A$1:D$1000,4,FALSE),N1281+VLOOKUP(A1281,Symbols!A$1:D$1000,4,FALSE))</f>
        <v>#DIV/0!</v>
      </c>
      <c r="P1281" s="29">
        <f>P1280</f>
        <v>0</v>
      </c>
      <c r="Q1281" s="29">
        <f>Q1280</f>
        <v>0</v>
      </c>
      <c r="R1281" s="29">
        <f>R1280</f>
        <v>0</v>
      </c>
      <c r="S1281" s="29">
        <f>S1280</f>
        <v>0</v>
      </c>
      <c r="T1281" s="29">
        <f>T1280</f>
        <v>0</v>
      </c>
      <c r="U1281" s="29" t="e">
        <f>DATEDIF(DATE(1970,1,1),U1280,"D")*86400</f>
        <v>#NUM!</v>
      </c>
      <c r="V1281" s="29">
        <f>HOUR(V1280)*3600+MINUTE(V1280)*60+SECOND(V1280)</f>
        <v>0</v>
      </c>
      <c r="W1281" s="29" t="e">
        <f>DATEDIF(DATE(1970,1,1),W1280,"D")*86400</f>
        <v>#NUM!</v>
      </c>
      <c r="X1281" s="29">
        <f>HOUR(X1280)*3600+MINUTE(X1280)*60+SECOND(X1280)</f>
        <v>0</v>
      </c>
      <c r="Y1281" s="31">
        <f>(Y1280*B1281)</f>
        <v>0</v>
      </c>
      <c r="Z1281" s="29">
        <f>Z1280</f>
        <v>0</v>
      </c>
      <c r="AA1281" s="29" t="e">
        <f>DATEDIF(DATE(1970,1,1),AA1280,"D")*86400</f>
        <v>#NUM!</v>
      </c>
      <c r="AB1281" s="29">
        <f>HOUR(AB1280)*3600+MINUTE(AB1280)*60+SECOND(AB1280)</f>
        <v>0</v>
      </c>
      <c r="AC1281" s="29">
        <f>AC1280</f>
        <v>0</v>
      </c>
    </row>
    <row r="1282" spans="1:29">
      <c r="A1282" s="23">
        <f>Parameters!A642</f>
        <v>0</v>
      </c>
      <c r="B1282" s="23">
        <f>Parameters!B642</f>
        <v>0</v>
      </c>
      <c r="C1282" s="24">
        <f>Parameters!C642</f>
        <v>0</v>
      </c>
      <c r="D1282" s="24">
        <f>Parameters!D642</f>
        <v>0</v>
      </c>
      <c r="E1282" s="23">
        <f>Parameters!E642</f>
        <v>0</v>
      </c>
      <c r="F1282" s="23">
        <f>Parameters!F642</f>
        <v>0</v>
      </c>
      <c r="G1282" s="25">
        <f>Parameters!G642</f>
        <v>0</v>
      </c>
      <c r="H1282" s="25">
        <f>Parameters!H642</f>
        <v>0</v>
      </c>
      <c r="I1282" s="25">
        <f>Parameters!I642</f>
        <v>0</v>
      </c>
      <c r="J1282" s="25">
        <f>Parameters!J642</f>
        <v>0</v>
      </c>
      <c r="K1282" s="25">
        <f>Parameters!K642</f>
        <v>0</v>
      </c>
      <c r="L1282" s="26" t="e">
        <f t="shared" ref="L1282" si="1917">L1283</f>
        <v>#DIV/0!</v>
      </c>
      <c r="M1282" s="25">
        <f>Parameters!L642</f>
        <v>0</v>
      </c>
      <c r="N1282" s="25">
        <f>Parameters!M642</f>
        <v>0</v>
      </c>
      <c r="O1282" s="26" t="e">
        <f t="shared" ref="O1282" si="1918">O1283</f>
        <v>#DIV/0!</v>
      </c>
      <c r="P1282" s="23">
        <f>Parameters!N642</f>
        <v>0</v>
      </c>
      <c r="Q1282" s="23">
        <f>Parameters!O642</f>
        <v>0</v>
      </c>
      <c r="R1282" s="23">
        <f>Parameters!P642</f>
        <v>0</v>
      </c>
      <c r="S1282" s="23">
        <f>Parameters!Q642</f>
        <v>0</v>
      </c>
      <c r="T1282" s="23">
        <f>Parameters!R642</f>
        <v>0</v>
      </c>
      <c r="U1282" s="27">
        <f>Parameters!S642</f>
        <v>0</v>
      </c>
      <c r="V1282" s="28">
        <f>Parameters!T642</f>
        <v>0</v>
      </c>
      <c r="W1282" s="27">
        <f>Parameters!U642</f>
        <v>0</v>
      </c>
      <c r="X1282" s="28">
        <f>Parameters!V642</f>
        <v>0</v>
      </c>
      <c r="Y1282" s="25">
        <f>Parameters!W642</f>
        <v>0</v>
      </c>
      <c r="Z1282" s="23">
        <f>Parameters!X642</f>
        <v>0</v>
      </c>
      <c r="AA1282" s="27">
        <f>Parameters!Y642</f>
        <v>0</v>
      </c>
      <c r="AB1282" s="28">
        <f>Parameters!Z642</f>
        <v>0</v>
      </c>
      <c r="AC1282" s="23">
        <f>Parameters!AA642</f>
        <v>0</v>
      </c>
    </row>
    <row r="1283" spans="1:29">
      <c r="A1283" s="29" t="str">
        <f>UPPER(A1282)</f>
        <v>0</v>
      </c>
      <c r="B1283" s="29">
        <f>B1282</f>
        <v>0</v>
      </c>
      <c r="C1283" s="30">
        <f>C1282</f>
        <v>0</v>
      </c>
      <c r="D1283" s="30">
        <f>D1282</f>
        <v>0</v>
      </c>
      <c r="E1283" s="29">
        <f>E1282</f>
        <v>0</v>
      </c>
      <c r="F1283" s="29">
        <f>F1282</f>
        <v>0</v>
      </c>
      <c r="G1283" s="29" t="e">
        <f>IF(C1282=1,IF(D1282="BUY",E1282+(ROUND(F1282*G1282/B1282,0)*B1282),E1282-(ROUND(F1282*G1282/B1282,0)*B1282)),IF(D1282="BUY",E1282-(ROUND(F1282*G1282/B1282,0)*B1282),E1282+(ROUND(F1282*G1282/B1282,0)*B1282)))</f>
        <v>#DIV/0!</v>
      </c>
      <c r="H1283" s="29" t="e">
        <f>IF(C1282=1,IF(D1282="BUY",G1283-(ROUND(F1282*H1282/B1282,0)*B1282),G1283+(ROUND(F1282*H1282/B1282,0)*B1282)),IF(D1282="BUY",G1283+(ROUND(F1282*H1282/B1282,0)*B1282),G1283-(ROUND(F1282*H1282/B1282,0)*B1282)))</f>
        <v>#DIV/0!</v>
      </c>
      <c r="I1283" s="29" t="e">
        <f>IF(D1282="BUY",G1283+(ROUND(F1282*I1282/(B1282*100),0)*B1282),G1283-(ROUND(F1282*I1282/(B1282*100),0)*B1282))</f>
        <v>#DIV/0!</v>
      </c>
      <c r="J1283" s="29" t="e">
        <f>IF(C1282=1,IF(D1282="BUY",E1282+(ROUND(F1282*J1282/B1282,0)*B1282),E1282-(ROUND(F1282*J1282/B1282,0)*B1282)),IF(D1282="BUY",E1282-(ROUND(F1282*J1282/B1282,0)*B1282),E1282+(ROUND(F1282*J1282/B1282,0)*B1282)))</f>
        <v>#DIV/0!</v>
      </c>
      <c r="K1283" s="29" t="e">
        <f>IF(C1282=1,IF(D1282="BUY",E1282-(ROUND(F1282*K1282/B1282,0)*B1282),E1282+(ROUND(F1282*K1282/B1282,0)*B1282)),IF(D1282="BUY",E1282-(ROUND(F1282*K1282/B1282,0)*B1282),E1282+(ROUND(F1282*K1282/B1282,0)*B1282)))</f>
        <v>#DIV/0!</v>
      </c>
      <c r="L1283" s="29" t="e">
        <f t="shared" ref="L1283" si="1919">IF(D1283="BUY",I1283+(R1283*B1283),I1283-(R1283*B1283))</f>
        <v>#DIV/0!</v>
      </c>
      <c r="M1283" s="29" t="e">
        <f>IF(D1282="BUY",E1282+(ROUND(F1282*M1282/B1282,0)*B1282),E1282-(ROUND(F1282*M1282/B1282,0)*B1282))</f>
        <v>#DIV/0!</v>
      </c>
      <c r="N1283" s="29" t="e">
        <f>IF(D1282="BUY",E1282-(ROUND(F1282*N1282/B1282,0)*B1282),E1282+(ROUND(F1282*N1282/B1282,0)*B1282))</f>
        <v>#DIV/0!</v>
      </c>
      <c r="O1283" s="31" t="e">
        <f>IF(D1283="BUY",N1283-VLOOKUP(A1283,Symbols!A$1:D$1000,4,FALSE),N1283+VLOOKUP(A1283,Symbols!A$1:D$1000,4,FALSE))</f>
        <v>#DIV/0!</v>
      </c>
      <c r="P1283" s="29">
        <f>P1282</f>
        <v>0</v>
      </c>
      <c r="Q1283" s="29">
        <f>Q1282</f>
        <v>0</v>
      </c>
      <c r="R1283" s="29">
        <f>R1282</f>
        <v>0</v>
      </c>
      <c r="S1283" s="29">
        <f>S1282</f>
        <v>0</v>
      </c>
      <c r="T1283" s="29">
        <f>T1282</f>
        <v>0</v>
      </c>
      <c r="U1283" s="29" t="e">
        <f>DATEDIF(DATE(1970,1,1),U1282,"D")*86400</f>
        <v>#NUM!</v>
      </c>
      <c r="V1283" s="29">
        <f>HOUR(V1282)*3600+MINUTE(V1282)*60+SECOND(V1282)</f>
        <v>0</v>
      </c>
      <c r="W1283" s="29" t="e">
        <f>DATEDIF(DATE(1970,1,1),W1282,"D")*86400</f>
        <v>#NUM!</v>
      </c>
      <c r="X1283" s="29">
        <f>HOUR(X1282)*3600+MINUTE(X1282)*60+SECOND(X1282)</f>
        <v>0</v>
      </c>
      <c r="Y1283" s="31">
        <f>(Y1282*B1283)</f>
        <v>0</v>
      </c>
      <c r="Z1283" s="29">
        <f>Z1282</f>
        <v>0</v>
      </c>
      <c r="AA1283" s="29" t="e">
        <f>DATEDIF(DATE(1970,1,1),AA1282,"D")*86400</f>
        <v>#NUM!</v>
      </c>
      <c r="AB1283" s="29">
        <f>HOUR(AB1282)*3600+MINUTE(AB1282)*60+SECOND(AB1282)</f>
        <v>0</v>
      </c>
      <c r="AC1283" s="29">
        <f>AC1282</f>
        <v>0</v>
      </c>
    </row>
    <row r="1284" spans="1:29">
      <c r="A1284" s="23">
        <f>Parameters!A643</f>
        <v>0</v>
      </c>
      <c r="B1284" s="23">
        <f>Parameters!B643</f>
        <v>0</v>
      </c>
      <c r="C1284" s="24">
        <f>Parameters!C643</f>
        <v>0</v>
      </c>
      <c r="D1284" s="24">
        <f>Parameters!D643</f>
        <v>0</v>
      </c>
      <c r="E1284" s="23">
        <f>Parameters!E643</f>
        <v>0</v>
      </c>
      <c r="F1284" s="23">
        <f>Parameters!F643</f>
        <v>0</v>
      </c>
      <c r="G1284" s="25">
        <f>Parameters!G643</f>
        <v>0</v>
      </c>
      <c r="H1284" s="25">
        <f>Parameters!H643</f>
        <v>0</v>
      </c>
      <c r="I1284" s="25">
        <f>Parameters!I643</f>
        <v>0</v>
      </c>
      <c r="J1284" s="25">
        <f>Parameters!J643</f>
        <v>0</v>
      </c>
      <c r="K1284" s="25">
        <f>Parameters!K643</f>
        <v>0</v>
      </c>
      <c r="L1284" s="26" t="e">
        <f t="shared" ref="L1284" si="1920">L1285</f>
        <v>#DIV/0!</v>
      </c>
      <c r="M1284" s="25">
        <f>Parameters!L643</f>
        <v>0</v>
      </c>
      <c r="N1284" s="25">
        <f>Parameters!M643</f>
        <v>0</v>
      </c>
      <c r="O1284" s="26" t="e">
        <f t="shared" ref="O1284" si="1921">O1285</f>
        <v>#DIV/0!</v>
      </c>
      <c r="P1284" s="23">
        <f>Parameters!N643</f>
        <v>0</v>
      </c>
      <c r="Q1284" s="23">
        <f>Parameters!O643</f>
        <v>0</v>
      </c>
      <c r="R1284" s="23">
        <f>Parameters!P643</f>
        <v>0</v>
      </c>
      <c r="S1284" s="23">
        <f>Parameters!Q643</f>
        <v>0</v>
      </c>
      <c r="T1284" s="23">
        <f>Parameters!R643</f>
        <v>0</v>
      </c>
      <c r="U1284" s="27">
        <f>Parameters!S643</f>
        <v>0</v>
      </c>
      <c r="V1284" s="28">
        <f>Parameters!T643</f>
        <v>0</v>
      </c>
      <c r="W1284" s="27">
        <f>Parameters!U643</f>
        <v>0</v>
      </c>
      <c r="X1284" s="28">
        <f>Parameters!V643</f>
        <v>0</v>
      </c>
      <c r="Y1284" s="25">
        <f>Parameters!W643</f>
        <v>0</v>
      </c>
      <c r="Z1284" s="23">
        <f>Parameters!X643</f>
        <v>0</v>
      </c>
      <c r="AA1284" s="27">
        <f>Parameters!Y643</f>
        <v>0</v>
      </c>
      <c r="AB1284" s="28">
        <f>Parameters!Z643</f>
        <v>0</v>
      </c>
      <c r="AC1284" s="23">
        <f>Parameters!AA643</f>
        <v>0</v>
      </c>
    </row>
    <row r="1285" spans="1:29">
      <c r="A1285" s="29" t="str">
        <f>UPPER(A1284)</f>
        <v>0</v>
      </c>
      <c r="B1285" s="29">
        <f>B1284</f>
        <v>0</v>
      </c>
      <c r="C1285" s="30">
        <f>C1284</f>
        <v>0</v>
      </c>
      <c r="D1285" s="30">
        <f>D1284</f>
        <v>0</v>
      </c>
      <c r="E1285" s="29">
        <f>E1284</f>
        <v>0</v>
      </c>
      <c r="F1285" s="29">
        <f>F1284</f>
        <v>0</v>
      </c>
      <c r="G1285" s="29" t="e">
        <f>IF(C1284=1,IF(D1284="BUY",E1284+(ROUND(F1284*G1284/B1284,0)*B1284),E1284-(ROUND(F1284*G1284/B1284,0)*B1284)),IF(D1284="BUY",E1284-(ROUND(F1284*G1284/B1284,0)*B1284),E1284+(ROUND(F1284*G1284/B1284,0)*B1284)))</f>
        <v>#DIV/0!</v>
      </c>
      <c r="H1285" s="29" t="e">
        <f>IF(C1284=1,IF(D1284="BUY",G1285-(ROUND(F1284*H1284/B1284,0)*B1284),G1285+(ROUND(F1284*H1284/B1284,0)*B1284)),IF(D1284="BUY",G1285+(ROUND(F1284*H1284/B1284,0)*B1284),G1285-(ROUND(F1284*H1284/B1284,0)*B1284)))</f>
        <v>#DIV/0!</v>
      </c>
      <c r="I1285" s="29" t="e">
        <f>IF(D1284="BUY",G1285+(ROUND(F1284*I1284/(B1284*100),0)*B1284),G1285-(ROUND(F1284*I1284/(B1284*100),0)*B1284))</f>
        <v>#DIV/0!</v>
      </c>
      <c r="J1285" s="29" t="e">
        <f>IF(C1284=1,IF(D1284="BUY",E1284+(ROUND(F1284*J1284/B1284,0)*B1284),E1284-(ROUND(F1284*J1284/B1284,0)*B1284)),IF(D1284="BUY",E1284-(ROUND(F1284*J1284/B1284,0)*B1284),E1284+(ROUND(F1284*J1284/B1284,0)*B1284)))</f>
        <v>#DIV/0!</v>
      </c>
      <c r="K1285" s="29" t="e">
        <f>IF(C1284=1,IF(D1284="BUY",E1284-(ROUND(F1284*K1284/B1284,0)*B1284),E1284+(ROUND(F1284*K1284/B1284,0)*B1284)),IF(D1284="BUY",E1284-(ROUND(F1284*K1284/B1284,0)*B1284),E1284+(ROUND(F1284*K1284/B1284,0)*B1284)))</f>
        <v>#DIV/0!</v>
      </c>
      <c r="L1285" s="29" t="e">
        <f t="shared" ref="L1285" si="1922">IF(D1285="BUY",I1285+(R1285*B1285),I1285-(R1285*B1285))</f>
        <v>#DIV/0!</v>
      </c>
      <c r="M1285" s="29" t="e">
        <f>IF(D1284="BUY",E1284+(ROUND(F1284*M1284/B1284,0)*B1284),E1284-(ROUND(F1284*M1284/B1284,0)*B1284))</f>
        <v>#DIV/0!</v>
      </c>
      <c r="N1285" s="29" t="e">
        <f>IF(D1284="BUY",E1284-(ROUND(F1284*N1284/B1284,0)*B1284),E1284+(ROUND(F1284*N1284/B1284,0)*B1284))</f>
        <v>#DIV/0!</v>
      </c>
      <c r="O1285" s="31" t="e">
        <f>IF(D1285="BUY",N1285-VLOOKUP(A1285,Symbols!A$1:D$1000,4,FALSE),N1285+VLOOKUP(A1285,Symbols!A$1:D$1000,4,FALSE))</f>
        <v>#DIV/0!</v>
      </c>
      <c r="P1285" s="29">
        <f>P1284</f>
        <v>0</v>
      </c>
      <c r="Q1285" s="29">
        <f>Q1284</f>
        <v>0</v>
      </c>
      <c r="R1285" s="29">
        <f>R1284</f>
        <v>0</v>
      </c>
      <c r="S1285" s="29">
        <f>S1284</f>
        <v>0</v>
      </c>
      <c r="T1285" s="29">
        <f>T1284</f>
        <v>0</v>
      </c>
      <c r="U1285" s="29" t="e">
        <f>DATEDIF(DATE(1970,1,1),U1284,"D")*86400</f>
        <v>#NUM!</v>
      </c>
      <c r="V1285" s="29">
        <f>HOUR(V1284)*3600+MINUTE(V1284)*60+SECOND(V1284)</f>
        <v>0</v>
      </c>
      <c r="W1285" s="29" t="e">
        <f>DATEDIF(DATE(1970,1,1),W1284,"D")*86400</f>
        <v>#NUM!</v>
      </c>
      <c r="X1285" s="29">
        <f>HOUR(X1284)*3600+MINUTE(X1284)*60+SECOND(X1284)</f>
        <v>0</v>
      </c>
      <c r="Y1285" s="31">
        <f>(Y1284*B1285)</f>
        <v>0</v>
      </c>
      <c r="Z1285" s="29">
        <f>Z1284</f>
        <v>0</v>
      </c>
      <c r="AA1285" s="29" t="e">
        <f>DATEDIF(DATE(1970,1,1),AA1284,"D")*86400</f>
        <v>#NUM!</v>
      </c>
      <c r="AB1285" s="29">
        <f>HOUR(AB1284)*3600+MINUTE(AB1284)*60+SECOND(AB1284)</f>
        <v>0</v>
      </c>
      <c r="AC1285" s="29">
        <f>AC1284</f>
        <v>0</v>
      </c>
    </row>
    <row r="1286" spans="1:29">
      <c r="A1286" s="23">
        <f>Parameters!A644</f>
        <v>0</v>
      </c>
      <c r="B1286" s="23">
        <f>Parameters!B644</f>
        <v>0</v>
      </c>
      <c r="C1286" s="24">
        <f>Parameters!C644</f>
        <v>0</v>
      </c>
      <c r="D1286" s="24">
        <f>Parameters!D644</f>
        <v>0</v>
      </c>
      <c r="E1286" s="23">
        <f>Parameters!E644</f>
        <v>0</v>
      </c>
      <c r="F1286" s="23">
        <f>Parameters!F644</f>
        <v>0</v>
      </c>
      <c r="G1286" s="25">
        <f>Parameters!G644</f>
        <v>0</v>
      </c>
      <c r="H1286" s="25">
        <f>Parameters!H644</f>
        <v>0</v>
      </c>
      <c r="I1286" s="25">
        <f>Parameters!I644</f>
        <v>0</v>
      </c>
      <c r="J1286" s="25">
        <f>Parameters!J644</f>
        <v>0</v>
      </c>
      <c r="K1286" s="25">
        <f>Parameters!K644</f>
        <v>0</v>
      </c>
      <c r="L1286" s="26" t="e">
        <f t="shared" ref="L1286" si="1923">L1287</f>
        <v>#DIV/0!</v>
      </c>
      <c r="M1286" s="25">
        <f>Parameters!L644</f>
        <v>0</v>
      </c>
      <c r="N1286" s="25">
        <f>Parameters!M644</f>
        <v>0</v>
      </c>
      <c r="O1286" s="26" t="e">
        <f t="shared" ref="O1286" si="1924">O1287</f>
        <v>#DIV/0!</v>
      </c>
      <c r="P1286" s="23">
        <f>Parameters!N644</f>
        <v>0</v>
      </c>
      <c r="Q1286" s="23">
        <f>Parameters!O644</f>
        <v>0</v>
      </c>
      <c r="R1286" s="23">
        <f>Parameters!P644</f>
        <v>0</v>
      </c>
      <c r="S1286" s="23">
        <f>Parameters!Q644</f>
        <v>0</v>
      </c>
      <c r="T1286" s="23">
        <f>Parameters!R644</f>
        <v>0</v>
      </c>
      <c r="U1286" s="27">
        <f>Parameters!S644</f>
        <v>0</v>
      </c>
      <c r="V1286" s="28">
        <f>Parameters!T644</f>
        <v>0</v>
      </c>
      <c r="W1286" s="27">
        <f>Parameters!U644</f>
        <v>0</v>
      </c>
      <c r="X1286" s="28">
        <f>Parameters!V644</f>
        <v>0</v>
      </c>
      <c r="Y1286" s="25">
        <f>Parameters!W644</f>
        <v>0</v>
      </c>
      <c r="Z1286" s="23">
        <f>Parameters!X644</f>
        <v>0</v>
      </c>
      <c r="AA1286" s="27">
        <f>Parameters!Y644</f>
        <v>0</v>
      </c>
      <c r="AB1286" s="28">
        <f>Parameters!Z644</f>
        <v>0</v>
      </c>
      <c r="AC1286" s="23">
        <f>Parameters!AA644</f>
        <v>0</v>
      </c>
    </row>
    <row r="1287" spans="1:29">
      <c r="A1287" s="29" t="str">
        <f>UPPER(A1286)</f>
        <v>0</v>
      </c>
      <c r="B1287" s="29">
        <f>B1286</f>
        <v>0</v>
      </c>
      <c r="C1287" s="30">
        <f>C1286</f>
        <v>0</v>
      </c>
      <c r="D1287" s="30">
        <f>D1286</f>
        <v>0</v>
      </c>
      <c r="E1287" s="29">
        <f>E1286</f>
        <v>0</v>
      </c>
      <c r="F1287" s="29">
        <f>F1286</f>
        <v>0</v>
      </c>
      <c r="G1287" s="29" t="e">
        <f>IF(C1286=1,IF(D1286="BUY",E1286+(ROUND(F1286*G1286/B1286,0)*B1286),E1286-(ROUND(F1286*G1286/B1286,0)*B1286)),IF(D1286="BUY",E1286-(ROUND(F1286*G1286/B1286,0)*B1286),E1286+(ROUND(F1286*G1286/B1286,0)*B1286)))</f>
        <v>#DIV/0!</v>
      </c>
      <c r="H1287" s="29" t="e">
        <f>IF(C1286=1,IF(D1286="BUY",G1287-(ROUND(F1286*H1286/B1286,0)*B1286),G1287+(ROUND(F1286*H1286/B1286,0)*B1286)),IF(D1286="BUY",G1287+(ROUND(F1286*H1286/B1286,0)*B1286),G1287-(ROUND(F1286*H1286/B1286,0)*B1286)))</f>
        <v>#DIV/0!</v>
      </c>
      <c r="I1287" s="29" t="e">
        <f>IF(D1286="BUY",G1287+(ROUND(F1286*I1286/(B1286*100),0)*B1286),G1287-(ROUND(F1286*I1286/(B1286*100),0)*B1286))</f>
        <v>#DIV/0!</v>
      </c>
      <c r="J1287" s="29" t="e">
        <f>IF(C1286=1,IF(D1286="BUY",E1286+(ROUND(F1286*J1286/B1286,0)*B1286),E1286-(ROUND(F1286*J1286/B1286,0)*B1286)),IF(D1286="BUY",E1286-(ROUND(F1286*J1286/B1286,0)*B1286),E1286+(ROUND(F1286*J1286/B1286,0)*B1286)))</f>
        <v>#DIV/0!</v>
      </c>
      <c r="K1287" s="29" t="e">
        <f>IF(C1286=1,IF(D1286="BUY",E1286-(ROUND(F1286*K1286/B1286,0)*B1286),E1286+(ROUND(F1286*K1286/B1286,0)*B1286)),IF(D1286="BUY",E1286-(ROUND(F1286*K1286/B1286,0)*B1286),E1286+(ROUND(F1286*K1286/B1286,0)*B1286)))</f>
        <v>#DIV/0!</v>
      </c>
      <c r="L1287" s="29" t="e">
        <f t="shared" ref="L1287" si="1925">IF(D1287="BUY",I1287+(R1287*B1287),I1287-(R1287*B1287))</f>
        <v>#DIV/0!</v>
      </c>
      <c r="M1287" s="29" t="e">
        <f>IF(D1286="BUY",E1286+(ROUND(F1286*M1286/B1286,0)*B1286),E1286-(ROUND(F1286*M1286/B1286,0)*B1286))</f>
        <v>#DIV/0!</v>
      </c>
      <c r="N1287" s="29" t="e">
        <f>IF(D1286="BUY",E1286-(ROUND(F1286*N1286/B1286,0)*B1286),E1286+(ROUND(F1286*N1286/B1286,0)*B1286))</f>
        <v>#DIV/0!</v>
      </c>
      <c r="O1287" s="31" t="e">
        <f>IF(D1287="BUY",N1287-VLOOKUP(A1287,Symbols!A$1:D$1000,4,FALSE),N1287+VLOOKUP(A1287,Symbols!A$1:D$1000,4,FALSE))</f>
        <v>#DIV/0!</v>
      </c>
      <c r="P1287" s="29">
        <f>P1286</f>
        <v>0</v>
      </c>
      <c r="Q1287" s="29">
        <f>Q1286</f>
        <v>0</v>
      </c>
      <c r="R1287" s="29">
        <f>R1286</f>
        <v>0</v>
      </c>
      <c r="S1287" s="29">
        <f>S1286</f>
        <v>0</v>
      </c>
      <c r="T1287" s="29">
        <f>T1286</f>
        <v>0</v>
      </c>
      <c r="U1287" s="29" t="e">
        <f>DATEDIF(DATE(1970,1,1),U1286,"D")*86400</f>
        <v>#NUM!</v>
      </c>
      <c r="V1287" s="29">
        <f>HOUR(V1286)*3600+MINUTE(V1286)*60+SECOND(V1286)</f>
        <v>0</v>
      </c>
      <c r="W1287" s="29" t="e">
        <f>DATEDIF(DATE(1970,1,1),W1286,"D")*86400</f>
        <v>#NUM!</v>
      </c>
      <c r="X1287" s="29">
        <f>HOUR(X1286)*3600+MINUTE(X1286)*60+SECOND(X1286)</f>
        <v>0</v>
      </c>
      <c r="Y1287" s="31">
        <f>(Y1286*B1287)</f>
        <v>0</v>
      </c>
      <c r="Z1287" s="29">
        <f>Z1286</f>
        <v>0</v>
      </c>
      <c r="AA1287" s="29" t="e">
        <f>DATEDIF(DATE(1970,1,1),AA1286,"D")*86400</f>
        <v>#NUM!</v>
      </c>
      <c r="AB1287" s="29">
        <f>HOUR(AB1286)*3600+MINUTE(AB1286)*60+SECOND(AB1286)</f>
        <v>0</v>
      </c>
      <c r="AC1287" s="29">
        <f>AC1286</f>
        <v>0</v>
      </c>
    </row>
    <row r="1288" spans="1:29">
      <c r="A1288" s="23">
        <f>Parameters!A645</f>
        <v>0</v>
      </c>
      <c r="B1288" s="23">
        <f>Parameters!B645</f>
        <v>0</v>
      </c>
      <c r="C1288" s="24">
        <f>Parameters!C645</f>
        <v>0</v>
      </c>
      <c r="D1288" s="24">
        <f>Parameters!D645</f>
        <v>0</v>
      </c>
      <c r="E1288" s="23">
        <f>Parameters!E645</f>
        <v>0</v>
      </c>
      <c r="F1288" s="23">
        <f>Parameters!F645</f>
        <v>0</v>
      </c>
      <c r="G1288" s="25">
        <f>Parameters!G645</f>
        <v>0</v>
      </c>
      <c r="H1288" s="25">
        <f>Parameters!H645</f>
        <v>0</v>
      </c>
      <c r="I1288" s="25">
        <f>Parameters!I645</f>
        <v>0</v>
      </c>
      <c r="J1288" s="25">
        <f>Parameters!J645</f>
        <v>0</v>
      </c>
      <c r="K1288" s="25">
        <f>Parameters!K645</f>
        <v>0</v>
      </c>
      <c r="L1288" s="26" t="e">
        <f t="shared" ref="L1288" si="1926">L1289</f>
        <v>#DIV/0!</v>
      </c>
      <c r="M1288" s="25">
        <f>Parameters!L645</f>
        <v>0</v>
      </c>
      <c r="N1288" s="25">
        <f>Parameters!M645</f>
        <v>0</v>
      </c>
      <c r="O1288" s="26" t="e">
        <f t="shared" ref="O1288" si="1927">O1289</f>
        <v>#DIV/0!</v>
      </c>
      <c r="P1288" s="23">
        <f>Parameters!N645</f>
        <v>0</v>
      </c>
      <c r="Q1288" s="23">
        <f>Parameters!O645</f>
        <v>0</v>
      </c>
      <c r="R1288" s="23">
        <f>Parameters!P645</f>
        <v>0</v>
      </c>
      <c r="S1288" s="23">
        <f>Parameters!Q645</f>
        <v>0</v>
      </c>
      <c r="T1288" s="23">
        <f>Parameters!R645</f>
        <v>0</v>
      </c>
      <c r="U1288" s="27">
        <f>Parameters!S645</f>
        <v>0</v>
      </c>
      <c r="V1288" s="28">
        <f>Parameters!T645</f>
        <v>0</v>
      </c>
      <c r="W1288" s="27">
        <f>Parameters!U645</f>
        <v>0</v>
      </c>
      <c r="X1288" s="28">
        <f>Parameters!V645</f>
        <v>0</v>
      </c>
      <c r="Y1288" s="25">
        <f>Parameters!W645</f>
        <v>0</v>
      </c>
      <c r="Z1288" s="23">
        <f>Parameters!X645</f>
        <v>0</v>
      </c>
      <c r="AA1288" s="27">
        <f>Parameters!Y645</f>
        <v>0</v>
      </c>
      <c r="AB1288" s="28">
        <f>Parameters!Z645</f>
        <v>0</v>
      </c>
      <c r="AC1288" s="23">
        <f>Parameters!AA645</f>
        <v>0</v>
      </c>
    </row>
    <row r="1289" spans="1:29">
      <c r="A1289" s="29" t="str">
        <f>UPPER(A1288)</f>
        <v>0</v>
      </c>
      <c r="B1289" s="29">
        <f>B1288</f>
        <v>0</v>
      </c>
      <c r="C1289" s="30">
        <f>C1288</f>
        <v>0</v>
      </c>
      <c r="D1289" s="30">
        <f>D1288</f>
        <v>0</v>
      </c>
      <c r="E1289" s="29">
        <f>E1288</f>
        <v>0</v>
      </c>
      <c r="F1289" s="29">
        <f>F1288</f>
        <v>0</v>
      </c>
      <c r="G1289" s="29" t="e">
        <f>IF(C1288=1,IF(D1288="BUY",E1288+(ROUND(F1288*G1288/B1288,0)*B1288),E1288-(ROUND(F1288*G1288/B1288,0)*B1288)),IF(D1288="BUY",E1288-(ROUND(F1288*G1288/B1288,0)*B1288),E1288+(ROUND(F1288*G1288/B1288,0)*B1288)))</f>
        <v>#DIV/0!</v>
      </c>
      <c r="H1289" s="29" t="e">
        <f>IF(C1288=1,IF(D1288="BUY",G1289-(ROUND(F1288*H1288/B1288,0)*B1288),G1289+(ROUND(F1288*H1288/B1288,0)*B1288)),IF(D1288="BUY",G1289+(ROUND(F1288*H1288/B1288,0)*B1288),G1289-(ROUND(F1288*H1288/B1288,0)*B1288)))</f>
        <v>#DIV/0!</v>
      </c>
      <c r="I1289" s="29" t="e">
        <f>IF(D1288="BUY",G1289+(ROUND(F1288*I1288/(B1288*100),0)*B1288),G1289-(ROUND(F1288*I1288/(B1288*100),0)*B1288))</f>
        <v>#DIV/0!</v>
      </c>
      <c r="J1289" s="29" t="e">
        <f>IF(C1288=1,IF(D1288="BUY",E1288+(ROUND(F1288*J1288/B1288,0)*B1288),E1288-(ROUND(F1288*J1288/B1288,0)*B1288)),IF(D1288="BUY",E1288-(ROUND(F1288*J1288/B1288,0)*B1288),E1288+(ROUND(F1288*J1288/B1288,0)*B1288)))</f>
        <v>#DIV/0!</v>
      </c>
      <c r="K1289" s="29" t="e">
        <f>IF(C1288=1,IF(D1288="BUY",E1288-(ROUND(F1288*K1288/B1288,0)*B1288),E1288+(ROUND(F1288*K1288/B1288,0)*B1288)),IF(D1288="BUY",E1288-(ROUND(F1288*K1288/B1288,0)*B1288),E1288+(ROUND(F1288*K1288/B1288,0)*B1288)))</f>
        <v>#DIV/0!</v>
      </c>
      <c r="L1289" s="29" t="e">
        <f t="shared" ref="L1289" si="1928">IF(D1289="BUY",I1289+(R1289*B1289),I1289-(R1289*B1289))</f>
        <v>#DIV/0!</v>
      </c>
      <c r="M1289" s="29" t="e">
        <f>IF(D1288="BUY",E1288+(ROUND(F1288*M1288/B1288,0)*B1288),E1288-(ROUND(F1288*M1288/B1288,0)*B1288))</f>
        <v>#DIV/0!</v>
      </c>
      <c r="N1289" s="29" t="e">
        <f>IF(D1288="BUY",E1288-(ROUND(F1288*N1288/B1288,0)*B1288),E1288+(ROUND(F1288*N1288/B1288,0)*B1288))</f>
        <v>#DIV/0!</v>
      </c>
      <c r="O1289" s="31" t="e">
        <f>IF(D1289="BUY",N1289-VLOOKUP(A1289,Symbols!A$1:D$1000,4,FALSE),N1289+VLOOKUP(A1289,Symbols!A$1:D$1000,4,FALSE))</f>
        <v>#DIV/0!</v>
      </c>
      <c r="P1289" s="29">
        <f>P1288</f>
        <v>0</v>
      </c>
      <c r="Q1289" s="29">
        <f>Q1288</f>
        <v>0</v>
      </c>
      <c r="R1289" s="29">
        <f>R1288</f>
        <v>0</v>
      </c>
      <c r="S1289" s="29">
        <f>S1288</f>
        <v>0</v>
      </c>
      <c r="T1289" s="29">
        <f>T1288</f>
        <v>0</v>
      </c>
      <c r="U1289" s="29" t="e">
        <f>DATEDIF(DATE(1970,1,1),U1288,"D")*86400</f>
        <v>#NUM!</v>
      </c>
      <c r="V1289" s="29">
        <f>HOUR(V1288)*3600+MINUTE(V1288)*60+SECOND(V1288)</f>
        <v>0</v>
      </c>
      <c r="W1289" s="29" t="e">
        <f>DATEDIF(DATE(1970,1,1),W1288,"D")*86400</f>
        <v>#NUM!</v>
      </c>
      <c r="X1289" s="29">
        <f>HOUR(X1288)*3600+MINUTE(X1288)*60+SECOND(X1288)</f>
        <v>0</v>
      </c>
      <c r="Y1289" s="31">
        <f>(Y1288*B1289)</f>
        <v>0</v>
      </c>
      <c r="Z1289" s="29">
        <f>Z1288</f>
        <v>0</v>
      </c>
      <c r="AA1289" s="29" t="e">
        <f>DATEDIF(DATE(1970,1,1),AA1288,"D")*86400</f>
        <v>#NUM!</v>
      </c>
      <c r="AB1289" s="29">
        <f>HOUR(AB1288)*3600+MINUTE(AB1288)*60+SECOND(AB1288)</f>
        <v>0</v>
      </c>
      <c r="AC1289" s="29">
        <f>AC1288</f>
        <v>0</v>
      </c>
    </row>
    <row r="1290" spans="1:29">
      <c r="A1290" s="23">
        <f>Parameters!A646</f>
        <v>0</v>
      </c>
      <c r="B1290" s="23">
        <f>Parameters!B646</f>
        <v>0</v>
      </c>
      <c r="C1290" s="24">
        <f>Parameters!C646</f>
        <v>0</v>
      </c>
      <c r="D1290" s="24">
        <f>Parameters!D646</f>
        <v>0</v>
      </c>
      <c r="E1290" s="23">
        <f>Parameters!E646</f>
        <v>0</v>
      </c>
      <c r="F1290" s="23">
        <f>Parameters!F646</f>
        <v>0</v>
      </c>
      <c r="G1290" s="25">
        <f>Parameters!G646</f>
        <v>0</v>
      </c>
      <c r="H1290" s="25">
        <f>Parameters!H646</f>
        <v>0</v>
      </c>
      <c r="I1290" s="25">
        <f>Parameters!I646</f>
        <v>0</v>
      </c>
      <c r="J1290" s="25">
        <f>Parameters!J646</f>
        <v>0</v>
      </c>
      <c r="K1290" s="25">
        <f>Parameters!K646</f>
        <v>0</v>
      </c>
      <c r="L1290" s="26" t="e">
        <f t="shared" ref="L1290" si="1929">L1291</f>
        <v>#DIV/0!</v>
      </c>
      <c r="M1290" s="25">
        <f>Parameters!L646</f>
        <v>0</v>
      </c>
      <c r="N1290" s="25">
        <f>Parameters!M646</f>
        <v>0</v>
      </c>
      <c r="O1290" s="26" t="e">
        <f t="shared" ref="O1290" si="1930">O1291</f>
        <v>#DIV/0!</v>
      </c>
      <c r="P1290" s="23">
        <f>Parameters!N646</f>
        <v>0</v>
      </c>
      <c r="Q1290" s="23">
        <f>Parameters!O646</f>
        <v>0</v>
      </c>
      <c r="R1290" s="23">
        <f>Parameters!P646</f>
        <v>0</v>
      </c>
      <c r="S1290" s="23">
        <f>Parameters!Q646</f>
        <v>0</v>
      </c>
      <c r="T1290" s="23">
        <f>Parameters!R646</f>
        <v>0</v>
      </c>
      <c r="U1290" s="27">
        <f>Parameters!S646</f>
        <v>0</v>
      </c>
      <c r="V1290" s="28">
        <f>Parameters!T646</f>
        <v>0</v>
      </c>
      <c r="W1290" s="27">
        <f>Parameters!U646</f>
        <v>0</v>
      </c>
      <c r="X1290" s="28">
        <f>Parameters!V646</f>
        <v>0</v>
      </c>
      <c r="Y1290" s="25">
        <f>Parameters!W646</f>
        <v>0</v>
      </c>
      <c r="Z1290" s="23">
        <f>Parameters!X646</f>
        <v>0</v>
      </c>
      <c r="AA1290" s="27">
        <f>Parameters!Y646</f>
        <v>0</v>
      </c>
      <c r="AB1290" s="28">
        <f>Parameters!Z646</f>
        <v>0</v>
      </c>
      <c r="AC1290" s="23">
        <f>Parameters!AA646</f>
        <v>0</v>
      </c>
    </row>
    <row r="1291" spans="1:29">
      <c r="A1291" s="29" t="str">
        <f>UPPER(A1290)</f>
        <v>0</v>
      </c>
      <c r="B1291" s="29">
        <f>B1290</f>
        <v>0</v>
      </c>
      <c r="C1291" s="30">
        <f>C1290</f>
        <v>0</v>
      </c>
      <c r="D1291" s="30">
        <f>D1290</f>
        <v>0</v>
      </c>
      <c r="E1291" s="29">
        <f>E1290</f>
        <v>0</v>
      </c>
      <c r="F1291" s="29">
        <f>F1290</f>
        <v>0</v>
      </c>
      <c r="G1291" s="29" t="e">
        <f>IF(C1290=1,IF(D1290="BUY",E1290+(ROUND(F1290*G1290/B1290,0)*B1290),E1290-(ROUND(F1290*G1290/B1290,0)*B1290)),IF(D1290="BUY",E1290-(ROUND(F1290*G1290/B1290,0)*B1290),E1290+(ROUND(F1290*G1290/B1290,0)*B1290)))</f>
        <v>#DIV/0!</v>
      </c>
      <c r="H1291" s="29" t="e">
        <f>IF(C1290=1,IF(D1290="BUY",G1291-(ROUND(F1290*H1290/B1290,0)*B1290),G1291+(ROUND(F1290*H1290/B1290,0)*B1290)),IF(D1290="BUY",G1291+(ROUND(F1290*H1290/B1290,0)*B1290),G1291-(ROUND(F1290*H1290/B1290,0)*B1290)))</f>
        <v>#DIV/0!</v>
      </c>
      <c r="I1291" s="29" t="e">
        <f>IF(D1290="BUY",G1291+(ROUND(F1290*I1290/(B1290*100),0)*B1290),G1291-(ROUND(F1290*I1290/(B1290*100),0)*B1290))</f>
        <v>#DIV/0!</v>
      </c>
      <c r="J1291" s="29" t="e">
        <f>IF(C1290=1,IF(D1290="BUY",E1290+(ROUND(F1290*J1290/B1290,0)*B1290),E1290-(ROUND(F1290*J1290/B1290,0)*B1290)),IF(D1290="BUY",E1290-(ROUND(F1290*J1290/B1290,0)*B1290),E1290+(ROUND(F1290*J1290/B1290,0)*B1290)))</f>
        <v>#DIV/0!</v>
      </c>
      <c r="K1291" s="29" t="e">
        <f>IF(C1290=1,IF(D1290="BUY",E1290-(ROUND(F1290*K1290/B1290,0)*B1290),E1290+(ROUND(F1290*K1290/B1290,0)*B1290)),IF(D1290="BUY",E1290-(ROUND(F1290*K1290/B1290,0)*B1290),E1290+(ROUND(F1290*K1290/B1290,0)*B1290)))</f>
        <v>#DIV/0!</v>
      </c>
      <c r="L1291" s="29" t="e">
        <f t="shared" ref="L1291" si="1931">IF(D1291="BUY",I1291+(R1291*B1291),I1291-(R1291*B1291))</f>
        <v>#DIV/0!</v>
      </c>
      <c r="M1291" s="29" t="e">
        <f>IF(D1290="BUY",E1290+(ROUND(F1290*M1290/B1290,0)*B1290),E1290-(ROUND(F1290*M1290/B1290,0)*B1290))</f>
        <v>#DIV/0!</v>
      </c>
      <c r="N1291" s="29" t="e">
        <f>IF(D1290="BUY",E1290-(ROUND(F1290*N1290/B1290,0)*B1290),E1290+(ROUND(F1290*N1290/B1290,0)*B1290))</f>
        <v>#DIV/0!</v>
      </c>
      <c r="O1291" s="31" t="e">
        <f>IF(D1291="BUY",N1291-VLOOKUP(A1291,Symbols!A$1:D$1000,4,FALSE),N1291+VLOOKUP(A1291,Symbols!A$1:D$1000,4,FALSE))</f>
        <v>#DIV/0!</v>
      </c>
      <c r="P1291" s="29">
        <f>P1290</f>
        <v>0</v>
      </c>
      <c r="Q1291" s="29">
        <f>Q1290</f>
        <v>0</v>
      </c>
      <c r="R1291" s="29">
        <f>R1290</f>
        <v>0</v>
      </c>
      <c r="S1291" s="29">
        <f>S1290</f>
        <v>0</v>
      </c>
      <c r="T1291" s="29">
        <f>T1290</f>
        <v>0</v>
      </c>
      <c r="U1291" s="29" t="e">
        <f>DATEDIF(DATE(1970,1,1),U1290,"D")*86400</f>
        <v>#NUM!</v>
      </c>
      <c r="V1291" s="29">
        <f>HOUR(V1290)*3600+MINUTE(V1290)*60+SECOND(V1290)</f>
        <v>0</v>
      </c>
      <c r="W1291" s="29" t="e">
        <f>DATEDIF(DATE(1970,1,1),W1290,"D")*86400</f>
        <v>#NUM!</v>
      </c>
      <c r="X1291" s="29">
        <f>HOUR(X1290)*3600+MINUTE(X1290)*60+SECOND(X1290)</f>
        <v>0</v>
      </c>
      <c r="Y1291" s="31">
        <f>(Y1290*B1291)</f>
        <v>0</v>
      </c>
      <c r="Z1291" s="29">
        <f>Z1290</f>
        <v>0</v>
      </c>
      <c r="AA1291" s="29" t="e">
        <f>DATEDIF(DATE(1970,1,1),AA1290,"D")*86400</f>
        <v>#NUM!</v>
      </c>
      <c r="AB1291" s="29">
        <f>HOUR(AB1290)*3600+MINUTE(AB1290)*60+SECOND(AB1290)</f>
        <v>0</v>
      </c>
      <c r="AC1291" s="29">
        <f>AC1290</f>
        <v>0</v>
      </c>
    </row>
    <row r="1292" spans="1:29">
      <c r="A1292" s="23">
        <f>Parameters!A647</f>
        <v>0</v>
      </c>
      <c r="B1292" s="23">
        <f>Parameters!B647</f>
        <v>0</v>
      </c>
      <c r="C1292" s="24">
        <f>Parameters!C647</f>
        <v>0</v>
      </c>
      <c r="D1292" s="24">
        <f>Parameters!D647</f>
        <v>0</v>
      </c>
      <c r="E1292" s="23">
        <f>Parameters!E647</f>
        <v>0</v>
      </c>
      <c r="F1292" s="23">
        <f>Parameters!F647</f>
        <v>0</v>
      </c>
      <c r="G1292" s="25">
        <f>Parameters!G647</f>
        <v>0</v>
      </c>
      <c r="H1292" s="25">
        <f>Parameters!H647</f>
        <v>0</v>
      </c>
      <c r="I1292" s="25">
        <f>Parameters!I647</f>
        <v>0</v>
      </c>
      <c r="J1292" s="25">
        <f>Parameters!J647</f>
        <v>0</v>
      </c>
      <c r="K1292" s="25">
        <f>Parameters!K647</f>
        <v>0</v>
      </c>
      <c r="L1292" s="26" t="e">
        <f t="shared" ref="L1292" si="1932">L1293</f>
        <v>#DIV/0!</v>
      </c>
      <c r="M1292" s="25">
        <f>Parameters!L647</f>
        <v>0</v>
      </c>
      <c r="N1292" s="25">
        <f>Parameters!M647</f>
        <v>0</v>
      </c>
      <c r="O1292" s="26" t="e">
        <f t="shared" ref="O1292" si="1933">O1293</f>
        <v>#DIV/0!</v>
      </c>
      <c r="P1292" s="23">
        <f>Parameters!N647</f>
        <v>0</v>
      </c>
      <c r="Q1292" s="23">
        <f>Parameters!O647</f>
        <v>0</v>
      </c>
      <c r="R1292" s="23">
        <f>Parameters!P647</f>
        <v>0</v>
      </c>
      <c r="S1292" s="23">
        <f>Parameters!Q647</f>
        <v>0</v>
      </c>
      <c r="T1292" s="23">
        <f>Parameters!R647</f>
        <v>0</v>
      </c>
      <c r="U1292" s="27">
        <f>Parameters!S647</f>
        <v>0</v>
      </c>
      <c r="V1292" s="28">
        <f>Parameters!T647</f>
        <v>0</v>
      </c>
      <c r="W1292" s="27">
        <f>Parameters!U647</f>
        <v>0</v>
      </c>
      <c r="X1292" s="28">
        <f>Parameters!V647</f>
        <v>0</v>
      </c>
      <c r="Y1292" s="25">
        <f>Parameters!W647</f>
        <v>0</v>
      </c>
      <c r="Z1292" s="23">
        <f>Parameters!X647</f>
        <v>0</v>
      </c>
      <c r="AA1292" s="27">
        <f>Parameters!Y647</f>
        <v>0</v>
      </c>
      <c r="AB1292" s="28">
        <f>Parameters!Z647</f>
        <v>0</v>
      </c>
      <c r="AC1292" s="23">
        <f>Parameters!AA647</f>
        <v>0</v>
      </c>
    </row>
    <row r="1293" spans="1:29">
      <c r="A1293" s="29" t="str">
        <f>UPPER(A1292)</f>
        <v>0</v>
      </c>
      <c r="B1293" s="29">
        <f>B1292</f>
        <v>0</v>
      </c>
      <c r="C1293" s="30">
        <f>C1292</f>
        <v>0</v>
      </c>
      <c r="D1293" s="30">
        <f>D1292</f>
        <v>0</v>
      </c>
      <c r="E1293" s="29">
        <f>E1292</f>
        <v>0</v>
      </c>
      <c r="F1293" s="29">
        <f>F1292</f>
        <v>0</v>
      </c>
      <c r="G1293" s="29" t="e">
        <f>IF(C1292=1,IF(D1292="BUY",E1292+(ROUND(F1292*G1292/B1292,0)*B1292),E1292-(ROUND(F1292*G1292/B1292,0)*B1292)),IF(D1292="BUY",E1292-(ROUND(F1292*G1292/B1292,0)*B1292),E1292+(ROUND(F1292*G1292/B1292,0)*B1292)))</f>
        <v>#DIV/0!</v>
      </c>
      <c r="H1293" s="29" t="e">
        <f>IF(C1292=1,IF(D1292="BUY",G1293-(ROUND(F1292*H1292/B1292,0)*B1292),G1293+(ROUND(F1292*H1292/B1292,0)*B1292)),IF(D1292="BUY",G1293+(ROUND(F1292*H1292/B1292,0)*B1292),G1293-(ROUND(F1292*H1292/B1292,0)*B1292)))</f>
        <v>#DIV/0!</v>
      </c>
      <c r="I1293" s="29" t="e">
        <f>IF(D1292="BUY",G1293+(ROUND(F1292*I1292/(B1292*100),0)*B1292),G1293-(ROUND(F1292*I1292/(B1292*100),0)*B1292))</f>
        <v>#DIV/0!</v>
      </c>
      <c r="J1293" s="29" t="e">
        <f>IF(C1292=1,IF(D1292="BUY",E1292+(ROUND(F1292*J1292/B1292,0)*B1292),E1292-(ROUND(F1292*J1292/B1292,0)*B1292)),IF(D1292="BUY",E1292-(ROUND(F1292*J1292/B1292,0)*B1292),E1292+(ROUND(F1292*J1292/B1292,0)*B1292)))</f>
        <v>#DIV/0!</v>
      </c>
      <c r="K1293" s="29" t="e">
        <f>IF(C1292=1,IF(D1292="BUY",E1292-(ROUND(F1292*K1292/B1292,0)*B1292),E1292+(ROUND(F1292*K1292/B1292,0)*B1292)),IF(D1292="BUY",E1292-(ROUND(F1292*K1292/B1292,0)*B1292),E1292+(ROUND(F1292*K1292/B1292,0)*B1292)))</f>
        <v>#DIV/0!</v>
      </c>
      <c r="L1293" s="29" t="e">
        <f t="shared" ref="L1293" si="1934">IF(D1293="BUY",I1293+(R1293*B1293),I1293-(R1293*B1293))</f>
        <v>#DIV/0!</v>
      </c>
      <c r="M1293" s="29" t="e">
        <f>IF(D1292="BUY",E1292+(ROUND(F1292*M1292/B1292,0)*B1292),E1292-(ROUND(F1292*M1292/B1292,0)*B1292))</f>
        <v>#DIV/0!</v>
      </c>
      <c r="N1293" s="29" t="e">
        <f>IF(D1292="BUY",E1292-(ROUND(F1292*N1292/B1292,0)*B1292),E1292+(ROUND(F1292*N1292/B1292,0)*B1292))</f>
        <v>#DIV/0!</v>
      </c>
      <c r="O1293" s="31" t="e">
        <f>IF(D1293="BUY",N1293-VLOOKUP(A1293,Symbols!A$1:D$1000,4,FALSE),N1293+VLOOKUP(A1293,Symbols!A$1:D$1000,4,FALSE))</f>
        <v>#DIV/0!</v>
      </c>
      <c r="P1293" s="29">
        <f>P1292</f>
        <v>0</v>
      </c>
      <c r="Q1293" s="29">
        <f>Q1292</f>
        <v>0</v>
      </c>
      <c r="R1293" s="29">
        <f>R1292</f>
        <v>0</v>
      </c>
      <c r="S1293" s="29">
        <f>S1292</f>
        <v>0</v>
      </c>
      <c r="T1293" s="29">
        <f>T1292</f>
        <v>0</v>
      </c>
      <c r="U1293" s="29" t="e">
        <f>DATEDIF(DATE(1970,1,1),U1292,"D")*86400</f>
        <v>#NUM!</v>
      </c>
      <c r="V1293" s="29">
        <f>HOUR(V1292)*3600+MINUTE(V1292)*60+SECOND(V1292)</f>
        <v>0</v>
      </c>
      <c r="W1293" s="29" t="e">
        <f>DATEDIF(DATE(1970,1,1),W1292,"D")*86400</f>
        <v>#NUM!</v>
      </c>
      <c r="X1293" s="29">
        <f>HOUR(X1292)*3600+MINUTE(X1292)*60+SECOND(X1292)</f>
        <v>0</v>
      </c>
      <c r="Y1293" s="31">
        <f>(Y1292*B1293)</f>
        <v>0</v>
      </c>
      <c r="Z1293" s="29">
        <f>Z1292</f>
        <v>0</v>
      </c>
      <c r="AA1293" s="29" t="e">
        <f>DATEDIF(DATE(1970,1,1),AA1292,"D")*86400</f>
        <v>#NUM!</v>
      </c>
      <c r="AB1293" s="29">
        <f>HOUR(AB1292)*3600+MINUTE(AB1292)*60+SECOND(AB1292)</f>
        <v>0</v>
      </c>
      <c r="AC1293" s="29">
        <f>AC1292</f>
        <v>0</v>
      </c>
    </row>
    <row r="1294" spans="1:29">
      <c r="A1294" s="23">
        <f>Parameters!A648</f>
        <v>0</v>
      </c>
      <c r="B1294" s="23">
        <f>Parameters!B648</f>
        <v>0</v>
      </c>
      <c r="C1294" s="24">
        <f>Parameters!C648</f>
        <v>0</v>
      </c>
      <c r="D1294" s="24">
        <f>Parameters!D648</f>
        <v>0</v>
      </c>
      <c r="E1294" s="23">
        <f>Parameters!E648</f>
        <v>0</v>
      </c>
      <c r="F1294" s="23">
        <f>Parameters!F648</f>
        <v>0</v>
      </c>
      <c r="G1294" s="25">
        <f>Parameters!G648</f>
        <v>0</v>
      </c>
      <c r="H1294" s="25">
        <f>Parameters!H648</f>
        <v>0</v>
      </c>
      <c r="I1294" s="25">
        <f>Parameters!I648</f>
        <v>0</v>
      </c>
      <c r="J1294" s="25">
        <f>Parameters!J648</f>
        <v>0</v>
      </c>
      <c r="K1294" s="25">
        <f>Parameters!K648</f>
        <v>0</v>
      </c>
      <c r="L1294" s="26" t="e">
        <f t="shared" ref="L1294" si="1935">L1295</f>
        <v>#DIV/0!</v>
      </c>
      <c r="M1294" s="25">
        <f>Parameters!L648</f>
        <v>0</v>
      </c>
      <c r="N1294" s="25">
        <f>Parameters!M648</f>
        <v>0</v>
      </c>
      <c r="O1294" s="26" t="e">
        <f t="shared" ref="O1294" si="1936">O1295</f>
        <v>#DIV/0!</v>
      </c>
      <c r="P1294" s="23">
        <f>Parameters!N648</f>
        <v>0</v>
      </c>
      <c r="Q1294" s="23">
        <f>Parameters!O648</f>
        <v>0</v>
      </c>
      <c r="R1294" s="23">
        <f>Parameters!P648</f>
        <v>0</v>
      </c>
      <c r="S1294" s="23">
        <f>Parameters!Q648</f>
        <v>0</v>
      </c>
      <c r="T1294" s="23">
        <f>Parameters!R648</f>
        <v>0</v>
      </c>
      <c r="U1294" s="27">
        <f>Parameters!S648</f>
        <v>0</v>
      </c>
      <c r="V1294" s="28">
        <f>Parameters!T648</f>
        <v>0</v>
      </c>
      <c r="W1294" s="27">
        <f>Parameters!U648</f>
        <v>0</v>
      </c>
      <c r="X1294" s="28">
        <f>Parameters!V648</f>
        <v>0</v>
      </c>
      <c r="Y1294" s="25">
        <f>Parameters!W648</f>
        <v>0</v>
      </c>
      <c r="Z1294" s="23">
        <f>Parameters!X648</f>
        <v>0</v>
      </c>
      <c r="AA1294" s="27">
        <f>Parameters!Y648</f>
        <v>0</v>
      </c>
      <c r="AB1294" s="28">
        <f>Parameters!Z648</f>
        <v>0</v>
      </c>
      <c r="AC1294" s="23">
        <f>Parameters!AA648</f>
        <v>0</v>
      </c>
    </row>
    <row r="1295" spans="1:29">
      <c r="A1295" s="29" t="str">
        <f>UPPER(A1294)</f>
        <v>0</v>
      </c>
      <c r="B1295" s="29">
        <f>B1294</f>
        <v>0</v>
      </c>
      <c r="C1295" s="30">
        <f>C1294</f>
        <v>0</v>
      </c>
      <c r="D1295" s="30">
        <f>D1294</f>
        <v>0</v>
      </c>
      <c r="E1295" s="29">
        <f>E1294</f>
        <v>0</v>
      </c>
      <c r="F1295" s="29">
        <f>F1294</f>
        <v>0</v>
      </c>
      <c r="G1295" s="29" t="e">
        <f>IF(C1294=1,IF(D1294="BUY",E1294+(ROUND(F1294*G1294/B1294,0)*B1294),E1294-(ROUND(F1294*G1294/B1294,0)*B1294)),IF(D1294="BUY",E1294-(ROUND(F1294*G1294/B1294,0)*B1294),E1294+(ROUND(F1294*G1294/B1294,0)*B1294)))</f>
        <v>#DIV/0!</v>
      </c>
      <c r="H1295" s="29" t="e">
        <f>IF(C1294=1,IF(D1294="BUY",G1295-(ROUND(F1294*H1294/B1294,0)*B1294),G1295+(ROUND(F1294*H1294/B1294,0)*B1294)),IF(D1294="BUY",G1295+(ROUND(F1294*H1294/B1294,0)*B1294),G1295-(ROUND(F1294*H1294/B1294,0)*B1294)))</f>
        <v>#DIV/0!</v>
      </c>
      <c r="I1295" s="29" t="e">
        <f>IF(D1294="BUY",G1295+(ROUND(F1294*I1294/(B1294*100),0)*B1294),G1295-(ROUND(F1294*I1294/(B1294*100),0)*B1294))</f>
        <v>#DIV/0!</v>
      </c>
      <c r="J1295" s="29" t="e">
        <f>IF(C1294=1,IF(D1294="BUY",E1294+(ROUND(F1294*J1294/B1294,0)*B1294),E1294-(ROUND(F1294*J1294/B1294,0)*B1294)),IF(D1294="BUY",E1294-(ROUND(F1294*J1294/B1294,0)*B1294),E1294+(ROUND(F1294*J1294/B1294,0)*B1294)))</f>
        <v>#DIV/0!</v>
      </c>
      <c r="K1295" s="29" t="e">
        <f>IF(C1294=1,IF(D1294="BUY",E1294-(ROUND(F1294*K1294/B1294,0)*B1294),E1294+(ROUND(F1294*K1294/B1294,0)*B1294)),IF(D1294="BUY",E1294-(ROUND(F1294*K1294/B1294,0)*B1294),E1294+(ROUND(F1294*K1294/B1294,0)*B1294)))</f>
        <v>#DIV/0!</v>
      </c>
      <c r="L1295" s="29" t="e">
        <f t="shared" ref="L1295" si="1937">IF(D1295="BUY",I1295+(R1295*B1295),I1295-(R1295*B1295))</f>
        <v>#DIV/0!</v>
      </c>
      <c r="M1295" s="29" t="e">
        <f>IF(D1294="BUY",E1294+(ROUND(F1294*M1294/B1294,0)*B1294),E1294-(ROUND(F1294*M1294/B1294,0)*B1294))</f>
        <v>#DIV/0!</v>
      </c>
      <c r="N1295" s="29" t="e">
        <f>IF(D1294="BUY",E1294-(ROUND(F1294*N1294/B1294,0)*B1294),E1294+(ROUND(F1294*N1294/B1294,0)*B1294))</f>
        <v>#DIV/0!</v>
      </c>
      <c r="O1295" s="31" t="e">
        <f>IF(D1295="BUY",N1295-VLOOKUP(A1295,Symbols!A$1:D$1000,4,FALSE),N1295+VLOOKUP(A1295,Symbols!A$1:D$1000,4,FALSE))</f>
        <v>#DIV/0!</v>
      </c>
      <c r="P1295" s="29">
        <f>P1294</f>
        <v>0</v>
      </c>
      <c r="Q1295" s="29">
        <f>Q1294</f>
        <v>0</v>
      </c>
      <c r="R1295" s="29">
        <f>R1294</f>
        <v>0</v>
      </c>
      <c r="S1295" s="29">
        <f>S1294</f>
        <v>0</v>
      </c>
      <c r="T1295" s="29">
        <f>T1294</f>
        <v>0</v>
      </c>
      <c r="U1295" s="29" t="e">
        <f>DATEDIF(DATE(1970,1,1),U1294,"D")*86400</f>
        <v>#NUM!</v>
      </c>
      <c r="V1295" s="29">
        <f>HOUR(V1294)*3600+MINUTE(V1294)*60+SECOND(V1294)</f>
        <v>0</v>
      </c>
      <c r="W1295" s="29" t="e">
        <f>DATEDIF(DATE(1970,1,1),W1294,"D")*86400</f>
        <v>#NUM!</v>
      </c>
      <c r="X1295" s="29">
        <f>HOUR(X1294)*3600+MINUTE(X1294)*60+SECOND(X1294)</f>
        <v>0</v>
      </c>
      <c r="Y1295" s="31">
        <f>(Y1294*B1295)</f>
        <v>0</v>
      </c>
      <c r="Z1295" s="29">
        <f>Z1294</f>
        <v>0</v>
      </c>
      <c r="AA1295" s="29" t="e">
        <f>DATEDIF(DATE(1970,1,1),AA1294,"D")*86400</f>
        <v>#NUM!</v>
      </c>
      <c r="AB1295" s="29">
        <f>HOUR(AB1294)*3600+MINUTE(AB1294)*60+SECOND(AB1294)</f>
        <v>0</v>
      </c>
      <c r="AC1295" s="29">
        <f>AC1294</f>
        <v>0</v>
      </c>
    </row>
    <row r="1296" spans="1:29">
      <c r="A1296" s="23">
        <f>Parameters!A649</f>
        <v>0</v>
      </c>
      <c r="B1296" s="23">
        <f>Parameters!B649</f>
        <v>0</v>
      </c>
      <c r="C1296" s="24">
        <f>Parameters!C649</f>
        <v>0</v>
      </c>
      <c r="D1296" s="24">
        <f>Parameters!D649</f>
        <v>0</v>
      </c>
      <c r="E1296" s="23">
        <f>Parameters!E649</f>
        <v>0</v>
      </c>
      <c r="F1296" s="23">
        <f>Parameters!F649</f>
        <v>0</v>
      </c>
      <c r="G1296" s="25">
        <f>Parameters!G649</f>
        <v>0</v>
      </c>
      <c r="H1296" s="25">
        <f>Parameters!H649</f>
        <v>0</v>
      </c>
      <c r="I1296" s="25">
        <f>Parameters!I649</f>
        <v>0</v>
      </c>
      <c r="J1296" s="25">
        <f>Parameters!J649</f>
        <v>0</v>
      </c>
      <c r="K1296" s="25">
        <f>Parameters!K649</f>
        <v>0</v>
      </c>
      <c r="L1296" s="26" t="e">
        <f t="shared" ref="L1296" si="1938">L1297</f>
        <v>#DIV/0!</v>
      </c>
      <c r="M1296" s="25">
        <f>Parameters!L649</f>
        <v>0</v>
      </c>
      <c r="N1296" s="25">
        <f>Parameters!M649</f>
        <v>0</v>
      </c>
      <c r="O1296" s="26" t="e">
        <f t="shared" ref="O1296" si="1939">O1297</f>
        <v>#DIV/0!</v>
      </c>
      <c r="P1296" s="23">
        <f>Parameters!N649</f>
        <v>0</v>
      </c>
      <c r="Q1296" s="23">
        <f>Parameters!O649</f>
        <v>0</v>
      </c>
      <c r="R1296" s="23">
        <f>Parameters!P649</f>
        <v>0</v>
      </c>
      <c r="S1296" s="23">
        <f>Parameters!Q649</f>
        <v>0</v>
      </c>
      <c r="T1296" s="23">
        <f>Parameters!R649</f>
        <v>0</v>
      </c>
      <c r="U1296" s="27">
        <f>Parameters!S649</f>
        <v>0</v>
      </c>
      <c r="V1296" s="28">
        <f>Parameters!T649</f>
        <v>0</v>
      </c>
      <c r="W1296" s="27">
        <f>Parameters!U649</f>
        <v>0</v>
      </c>
      <c r="X1296" s="28">
        <f>Parameters!V649</f>
        <v>0</v>
      </c>
      <c r="Y1296" s="25">
        <f>Parameters!W649</f>
        <v>0</v>
      </c>
      <c r="Z1296" s="23">
        <f>Parameters!X649</f>
        <v>0</v>
      </c>
      <c r="AA1296" s="27">
        <f>Parameters!Y649</f>
        <v>0</v>
      </c>
      <c r="AB1296" s="28">
        <f>Parameters!Z649</f>
        <v>0</v>
      </c>
      <c r="AC1296" s="23">
        <f>Parameters!AA649</f>
        <v>0</v>
      </c>
    </row>
    <row r="1297" spans="1:29">
      <c r="A1297" s="29" t="str">
        <f>UPPER(A1296)</f>
        <v>0</v>
      </c>
      <c r="B1297" s="29">
        <f>B1296</f>
        <v>0</v>
      </c>
      <c r="C1297" s="30">
        <f>C1296</f>
        <v>0</v>
      </c>
      <c r="D1297" s="30">
        <f>D1296</f>
        <v>0</v>
      </c>
      <c r="E1297" s="29">
        <f>E1296</f>
        <v>0</v>
      </c>
      <c r="F1297" s="29">
        <f>F1296</f>
        <v>0</v>
      </c>
      <c r="G1297" s="29" t="e">
        <f>IF(C1296=1,IF(D1296="BUY",E1296+(ROUND(F1296*G1296/B1296,0)*B1296),E1296-(ROUND(F1296*G1296/B1296,0)*B1296)),IF(D1296="BUY",E1296-(ROUND(F1296*G1296/B1296,0)*B1296),E1296+(ROUND(F1296*G1296/B1296,0)*B1296)))</f>
        <v>#DIV/0!</v>
      </c>
      <c r="H1297" s="29" t="e">
        <f>IF(C1296=1,IF(D1296="BUY",G1297-(ROUND(F1296*H1296/B1296,0)*B1296),G1297+(ROUND(F1296*H1296/B1296,0)*B1296)),IF(D1296="BUY",G1297+(ROUND(F1296*H1296/B1296,0)*B1296),G1297-(ROUND(F1296*H1296/B1296,0)*B1296)))</f>
        <v>#DIV/0!</v>
      </c>
      <c r="I1297" s="29" t="e">
        <f>IF(D1296="BUY",G1297+(ROUND(F1296*I1296/(B1296*100),0)*B1296),G1297-(ROUND(F1296*I1296/(B1296*100),0)*B1296))</f>
        <v>#DIV/0!</v>
      </c>
      <c r="J1297" s="29" t="e">
        <f>IF(C1296=1,IF(D1296="BUY",E1296+(ROUND(F1296*J1296/B1296,0)*B1296),E1296-(ROUND(F1296*J1296/B1296,0)*B1296)),IF(D1296="BUY",E1296-(ROUND(F1296*J1296/B1296,0)*B1296),E1296+(ROUND(F1296*J1296/B1296,0)*B1296)))</f>
        <v>#DIV/0!</v>
      </c>
      <c r="K1297" s="29" t="e">
        <f>IF(C1296=1,IF(D1296="BUY",E1296-(ROUND(F1296*K1296/B1296,0)*B1296),E1296+(ROUND(F1296*K1296/B1296,0)*B1296)),IF(D1296="BUY",E1296-(ROUND(F1296*K1296/B1296,0)*B1296),E1296+(ROUND(F1296*K1296/B1296,0)*B1296)))</f>
        <v>#DIV/0!</v>
      </c>
      <c r="L1297" s="29" t="e">
        <f t="shared" ref="L1297" si="1940">IF(D1297="BUY",I1297+(R1297*B1297),I1297-(R1297*B1297))</f>
        <v>#DIV/0!</v>
      </c>
      <c r="M1297" s="29" t="e">
        <f>IF(D1296="BUY",E1296+(ROUND(F1296*M1296/B1296,0)*B1296),E1296-(ROUND(F1296*M1296/B1296,0)*B1296))</f>
        <v>#DIV/0!</v>
      </c>
      <c r="N1297" s="29" t="e">
        <f>IF(D1296="BUY",E1296-(ROUND(F1296*N1296/B1296,0)*B1296),E1296+(ROUND(F1296*N1296/B1296,0)*B1296))</f>
        <v>#DIV/0!</v>
      </c>
      <c r="O1297" s="31" t="e">
        <f>IF(D1297="BUY",N1297-VLOOKUP(A1297,Symbols!A$1:D$1000,4,FALSE),N1297+VLOOKUP(A1297,Symbols!A$1:D$1000,4,FALSE))</f>
        <v>#DIV/0!</v>
      </c>
      <c r="P1297" s="29">
        <f>P1296</f>
        <v>0</v>
      </c>
      <c r="Q1297" s="29">
        <f>Q1296</f>
        <v>0</v>
      </c>
      <c r="R1297" s="29">
        <f>R1296</f>
        <v>0</v>
      </c>
      <c r="S1297" s="29">
        <f>S1296</f>
        <v>0</v>
      </c>
      <c r="T1297" s="29">
        <f>T1296</f>
        <v>0</v>
      </c>
      <c r="U1297" s="29" t="e">
        <f>DATEDIF(DATE(1970,1,1),U1296,"D")*86400</f>
        <v>#NUM!</v>
      </c>
      <c r="V1297" s="29">
        <f>HOUR(V1296)*3600+MINUTE(V1296)*60+SECOND(V1296)</f>
        <v>0</v>
      </c>
      <c r="W1297" s="29" t="e">
        <f>DATEDIF(DATE(1970,1,1),W1296,"D")*86400</f>
        <v>#NUM!</v>
      </c>
      <c r="X1297" s="29">
        <f>HOUR(X1296)*3600+MINUTE(X1296)*60+SECOND(X1296)</f>
        <v>0</v>
      </c>
      <c r="Y1297" s="31">
        <f>(Y1296*B1297)</f>
        <v>0</v>
      </c>
      <c r="Z1297" s="29">
        <f>Z1296</f>
        <v>0</v>
      </c>
      <c r="AA1297" s="29" t="e">
        <f>DATEDIF(DATE(1970,1,1),AA1296,"D")*86400</f>
        <v>#NUM!</v>
      </c>
      <c r="AB1297" s="29">
        <f>HOUR(AB1296)*3600+MINUTE(AB1296)*60+SECOND(AB1296)</f>
        <v>0</v>
      </c>
      <c r="AC1297" s="29">
        <f>AC1296</f>
        <v>0</v>
      </c>
    </row>
    <row r="1298" spans="1:29">
      <c r="A1298" s="23">
        <f>Parameters!A650</f>
        <v>0</v>
      </c>
      <c r="B1298" s="23">
        <f>Parameters!B650</f>
        <v>0</v>
      </c>
      <c r="C1298" s="24">
        <f>Parameters!C650</f>
        <v>0</v>
      </c>
      <c r="D1298" s="24">
        <f>Parameters!D650</f>
        <v>0</v>
      </c>
      <c r="E1298" s="23">
        <f>Parameters!E650</f>
        <v>0</v>
      </c>
      <c r="F1298" s="23">
        <f>Parameters!F650</f>
        <v>0</v>
      </c>
      <c r="G1298" s="25">
        <f>Parameters!G650</f>
        <v>0</v>
      </c>
      <c r="H1298" s="25">
        <f>Parameters!H650</f>
        <v>0</v>
      </c>
      <c r="I1298" s="25">
        <f>Parameters!I650</f>
        <v>0</v>
      </c>
      <c r="J1298" s="25">
        <f>Parameters!J650</f>
        <v>0</v>
      </c>
      <c r="K1298" s="25">
        <f>Parameters!K650</f>
        <v>0</v>
      </c>
      <c r="L1298" s="26" t="e">
        <f t="shared" ref="L1298" si="1941">L1299</f>
        <v>#DIV/0!</v>
      </c>
      <c r="M1298" s="25">
        <f>Parameters!L650</f>
        <v>0</v>
      </c>
      <c r="N1298" s="25">
        <f>Parameters!M650</f>
        <v>0</v>
      </c>
      <c r="O1298" s="26" t="e">
        <f t="shared" ref="O1298" si="1942">O1299</f>
        <v>#DIV/0!</v>
      </c>
      <c r="P1298" s="23">
        <f>Parameters!N650</f>
        <v>0</v>
      </c>
      <c r="Q1298" s="23">
        <f>Parameters!O650</f>
        <v>0</v>
      </c>
      <c r="R1298" s="23">
        <f>Parameters!P650</f>
        <v>0</v>
      </c>
      <c r="S1298" s="23">
        <f>Parameters!Q650</f>
        <v>0</v>
      </c>
      <c r="T1298" s="23">
        <f>Parameters!R650</f>
        <v>0</v>
      </c>
      <c r="U1298" s="27">
        <f>Parameters!S650</f>
        <v>0</v>
      </c>
      <c r="V1298" s="28">
        <f>Parameters!T650</f>
        <v>0</v>
      </c>
      <c r="W1298" s="27">
        <f>Parameters!U650</f>
        <v>0</v>
      </c>
      <c r="X1298" s="28">
        <f>Parameters!V650</f>
        <v>0</v>
      </c>
      <c r="Y1298" s="25">
        <f>Parameters!W650</f>
        <v>0</v>
      </c>
      <c r="Z1298" s="23">
        <f>Parameters!X650</f>
        <v>0</v>
      </c>
      <c r="AA1298" s="27">
        <f>Parameters!Y650</f>
        <v>0</v>
      </c>
      <c r="AB1298" s="28">
        <f>Parameters!Z650</f>
        <v>0</v>
      </c>
      <c r="AC1298" s="23">
        <f>Parameters!AA650</f>
        <v>0</v>
      </c>
    </row>
    <row r="1299" spans="1:29">
      <c r="A1299" s="29" t="str">
        <f>UPPER(A1298)</f>
        <v>0</v>
      </c>
      <c r="B1299" s="29">
        <f>B1298</f>
        <v>0</v>
      </c>
      <c r="C1299" s="30">
        <f>C1298</f>
        <v>0</v>
      </c>
      <c r="D1299" s="30">
        <f>D1298</f>
        <v>0</v>
      </c>
      <c r="E1299" s="29">
        <f>E1298</f>
        <v>0</v>
      </c>
      <c r="F1299" s="29">
        <f>F1298</f>
        <v>0</v>
      </c>
      <c r="G1299" s="29" t="e">
        <f>IF(C1298=1,IF(D1298="BUY",E1298+(ROUND(F1298*G1298/B1298,0)*B1298),E1298-(ROUND(F1298*G1298/B1298,0)*B1298)),IF(D1298="BUY",E1298-(ROUND(F1298*G1298/B1298,0)*B1298),E1298+(ROUND(F1298*G1298/B1298,0)*B1298)))</f>
        <v>#DIV/0!</v>
      </c>
      <c r="H1299" s="29" t="e">
        <f>IF(C1298=1,IF(D1298="BUY",G1299-(ROUND(F1298*H1298/B1298,0)*B1298),G1299+(ROUND(F1298*H1298/B1298,0)*B1298)),IF(D1298="BUY",G1299+(ROUND(F1298*H1298/B1298,0)*B1298),G1299-(ROUND(F1298*H1298/B1298,0)*B1298)))</f>
        <v>#DIV/0!</v>
      </c>
      <c r="I1299" s="29" t="e">
        <f>IF(D1298="BUY",G1299+(ROUND(F1298*I1298/(B1298*100),0)*B1298),G1299-(ROUND(F1298*I1298/(B1298*100),0)*B1298))</f>
        <v>#DIV/0!</v>
      </c>
      <c r="J1299" s="29" t="e">
        <f>IF(C1298=1,IF(D1298="BUY",E1298+(ROUND(F1298*J1298/B1298,0)*B1298),E1298-(ROUND(F1298*J1298/B1298,0)*B1298)),IF(D1298="BUY",E1298-(ROUND(F1298*J1298/B1298,0)*B1298),E1298+(ROUND(F1298*J1298/B1298,0)*B1298)))</f>
        <v>#DIV/0!</v>
      </c>
      <c r="K1299" s="29" t="e">
        <f>IF(C1298=1,IF(D1298="BUY",E1298-(ROUND(F1298*K1298/B1298,0)*B1298),E1298+(ROUND(F1298*K1298/B1298,0)*B1298)),IF(D1298="BUY",E1298-(ROUND(F1298*K1298/B1298,0)*B1298),E1298+(ROUND(F1298*K1298/B1298,0)*B1298)))</f>
        <v>#DIV/0!</v>
      </c>
      <c r="L1299" s="29" t="e">
        <f t="shared" ref="L1299" si="1943">IF(D1299="BUY",I1299+(R1299*B1299),I1299-(R1299*B1299))</f>
        <v>#DIV/0!</v>
      </c>
      <c r="M1299" s="29" t="e">
        <f>IF(D1298="BUY",E1298+(ROUND(F1298*M1298/B1298,0)*B1298),E1298-(ROUND(F1298*M1298/B1298,0)*B1298))</f>
        <v>#DIV/0!</v>
      </c>
      <c r="N1299" s="29" t="e">
        <f>IF(D1298="BUY",E1298-(ROUND(F1298*N1298/B1298,0)*B1298),E1298+(ROUND(F1298*N1298/B1298,0)*B1298))</f>
        <v>#DIV/0!</v>
      </c>
      <c r="O1299" s="31" t="e">
        <f>IF(D1299="BUY",N1299-VLOOKUP(A1299,Symbols!A$1:D$1000,4,FALSE),N1299+VLOOKUP(A1299,Symbols!A$1:D$1000,4,FALSE))</f>
        <v>#DIV/0!</v>
      </c>
      <c r="P1299" s="29">
        <f>P1298</f>
        <v>0</v>
      </c>
      <c r="Q1299" s="29">
        <f>Q1298</f>
        <v>0</v>
      </c>
      <c r="R1299" s="29">
        <f>R1298</f>
        <v>0</v>
      </c>
      <c r="S1299" s="29">
        <f>S1298</f>
        <v>0</v>
      </c>
      <c r="T1299" s="29">
        <f>T1298</f>
        <v>0</v>
      </c>
      <c r="U1299" s="29" t="e">
        <f>DATEDIF(DATE(1970,1,1),U1298,"D")*86400</f>
        <v>#NUM!</v>
      </c>
      <c r="V1299" s="29">
        <f>HOUR(V1298)*3600+MINUTE(V1298)*60+SECOND(V1298)</f>
        <v>0</v>
      </c>
      <c r="W1299" s="29" t="e">
        <f>DATEDIF(DATE(1970,1,1),W1298,"D")*86400</f>
        <v>#NUM!</v>
      </c>
      <c r="X1299" s="29">
        <f>HOUR(X1298)*3600+MINUTE(X1298)*60+SECOND(X1298)</f>
        <v>0</v>
      </c>
      <c r="Y1299" s="31">
        <f>(Y1298*B1299)</f>
        <v>0</v>
      </c>
      <c r="Z1299" s="29">
        <f>Z1298</f>
        <v>0</v>
      </c>
      <c r="AA1299" s="29" t="e">
        <f>DATEDIF(DATE(1970,1,1),AA1298,"D")*86400</f>
        <v>#NUM!</v>
      </c>
      <c r="AB1299" s="29">
        <f>HOUR(AB1298)*3600+MINUTE(AB1298)*60+SECOND(AB1298)</f>
        <v>0</v>
      </c>
      <c r="AC1299" s="29">
        <f>AC1298</f>
        <v>0</v>
      </c>
    </row>
    <row r="1300" spans="1:29">
      <c r="A1300" s="23">
        <f>Parameters!A651</f>
        <v>0</v>
      </c>
      <c r="B1300" s="23">
        <f>Parameters!B651</f>
        <v>0</v>
      </c>
      <c r="C1300" s="24">
        <f>Parameters!C651</f>
        <v>0</v>
      </c>
      <c r="D1300" s="24">
        <f>Parameters!D651</f>
        <v>0</v>
      </c>
      <c r="E1300" s="23">
        <f>Parameters!E651</f>
        <v>0</v>
      </c>
      <c r="F1300" s="23">
        <f>Parameters!F651</f>
        <v>0</v>
      </c>
      <c r="G1300" s="25">
        <f>Parameters!G651</f>
        <v>0</v>
      </c>
      <c r="H1300" s="25">
        <f>Parameters!H651</f>
        <v>0</v>
      </c>
      <c r="I1300" s="25">
        <f>Parameters!I651</f>
        <v>0</v>
      </c>
      <c r="J1300" s="25">
        <f>Parameters!J651</f>
        <v>0</v>
      </c>
      <c r="K1300" s="25">
        <f>Parameters!K651</f>
        <v>0</v>
      </c>
      <c r="L1300" s="26" t="e">
        <f t="shared" ref="L1300" si="1944">L1301</f>
        <v>#DIV/0!</v>
      </c>
      <c r="M1300" s="25">
        <f>Parameters!L651</f>
        <v>0</v>
      </c>
      <c r="N1300" s="25">
        <f>Parameters!M651</f>
        <v>0</v>
      </c>
      <c r="O1300" s="26" t="e">
        <f t="shared" ref="O1300" si="1945">O1301</f>
        <v>#DIV/0!</v>
      </c>
      <c r="P1300" s="23">
        <f>Parameters!N651</f>
        <v>0</v>
      </c>
      <c r="Q1300" s="23">
        <f>Parameters!O651</f>
        <v>0</v>
      </c>
      <c r="R1300" s="23">
        <f>Parameters!P651</f>
        <v>0</v>
      </c>
      <c r="S1300" s="23">
        <f>Parameters!Q651</f>
        <v>0</v>
      </c>
      <c r="T1300" s="23">
        <f>Parameters!R651</f>
        <v>0</v>
      </c>
      <c r="U1300" s="27">
        <f>Parameters!S651</f>
        <v>0</v>
      </c>
      <c r="V1300" s="28">
        <f>Parameters!T651</f>
        <v>0</v>
      </c>
      <c r="W1300" s="27">
        <f>Parameters!U651</f>
        <v>0</v>
      </c>
      <c r="X1300" s="28">
        <f>Parameters!V651</f>
        <v>0</v>
      </c>
      <c r="Y1300" s="25">
        <f>Parameters!W651</f>
        <v>0</v>
      </c>
      <c r="Z1300" s="23">
        <f>Parameters!X651</f>
        <v>0</v>
      </c>
      <c r="AA1300" s="27">
        <f>Parameters!Y651</f>
        <v>0</v>
      </c>
      <c r="AB1300" s="28">
        <f>Parameters!Z651</f>
        <v>0</v>
      </c>
      <c r="AC1300" s="23">
        <f>Parameters!AA651</f>
        <v>0</v>
      </c>
    </row>
    <row r="1301" spans="1:29">
      <c r="A1301" s="29" t="str">
        <f>UPPER(A1300)</f>
        <v>0</v>
      </c>
      <c r="B1301" s="29">
        <f>B1300</f>
        <v>0</v>
      </c>
      <c r="C1301" s="30">
        <f>C1300</f>
        <v>0</v>
      </c>
      <c r="D1301" s="30">
        <f>D1300</f>
        <v>0</v>
      </c>
      <c r="E1301" s="29">
        <f>E1300</f>
        <v>0</v>
      </c>
      <c r="F1301" s="29">
        <f>F1300</f>
        <v>0</v>
      </c>
      <c r="G1301" s="29" t="e">
        <f>IF(C1300=1,IF(D1300="BUY",E1300+(ROUND(F1300*G1300/B1300,0)*B1300),E1300-(ROUND(F1300*G1300/B1300,0)*B1300)),IF(D1300="BUY",E1300-(ROUND(F1300*G1300/B1300,0)*B1300),E1300+(ROUND(F1300*G1300/B1300,0)*B1300)))</f>
        <v>#DIV/0!</v>
      </c>
      <c r="H1301" s="29" t="e">
        <f>IF(C1300=1,IF(D1300="BUY",G1301-(ROUND(F1300*H1300/B1300,0)*B1300),G1301+(ROUND(F1300*H1300/B1300,0)*B1300)),IF(D1300="BUY",G1301+(ROUND(F1300*H1300/B1300,0)*B1300),G1301-(ROUND(F1300*H1300/B1300,0)*B1300)))</f>
        <v>#DIV/0!</v>
      </c>
      <c r="I1301" s="29" t="e">
        <f>IF(D1300="BUY",G1301+(ROUND(F1300*I1300/(B1300*100),0)*B1300),G1301-(ROUND(F1300*I1300/(B1300*100),0)*B1300))</f>
        <v>#DIV/0!</v>
      </c>
      <c r="J1301" s="29" t="e">
        <f>IF(C1300=1,IF(D1300="BUY",E1300+(ROUND(F1300*J1300/B1300,0)*B1300),E1300-(ROUND(F1300*J1300/B1300,0)*B1300)),IF(D1300="BUY",E1300-(ROUND(F1300*J1300/B1300,0)*B1300),E1300+(ROUND(F1300*J1300/B1300,0)*B1300)))</f>
        <v>#DIV/0!</v>
      </c>
      <c r="K1301" s="29" t="e">
        <f>IF(C1300=1,IF(D1300="BUY",E1300-(ROUND(F1300*K1300/B1300,0)*B1300),E1300+(ROUND(F1300*K1300/B1300,0)*B1300)),IF(D1300="BUY",E1300-(ROUND(F1300*K1300/B1300,0)*B1300),E1300+(ROUND(F1300*K1300/B1300,0)*B1300)))</f>
        <v>#DIV/0!</v>
      </c>
      <c r="L1301" s="29" t="e">
        <f t="shared" ref="L1301" si="1946">IF(D1301="BUY",I1301+(R1301*B1301),I1301-(R1301*B1301))</f>
        <v>#DIV/0!</v>
      </c>
      <c r="M1301" s="29" t="e">
        <f>IF(D1300="BUY",E1300+(ROUND(F1300*M1300/B1300,0)*B1300),E1300-(ROUND(F1300*M1300/B1300,0)*B1300))</f>
        <v>#DIV/0!</v>
      </c>
      <c r="N1301" s="29" t="e">
        <f>IF(D1300="BUY",E1300-(ROUND(F1300*N1300/B1300,0)*B1300),E1300+(ROUND(F1300*N1300/B1300,0)*B1300))</f>
        <v>#DIV/0!</v>
      </c>
      <c r="O1301" s="31" t="e">
        <f>IF(D1301="BUY",N1301-VLOOKUP(A1301,Symbols!A$1:D$1000,4,FALSE),N1301+VLOOKUP(A1301,Symbols!A$1:D$1000,4,FALSE))</f>
        <v>#DIV/0!</v>
      </c>
      <c r="P1301" s="29">
        <f>P1300</f>
        <v>0</v>
      </c>
      <c r="Q1301" s="29">
        <f>Q1300</f>
        <v>0</v>
      </c>
      <c r="R1301" s="29">
        <f>R1300</f>
        <v>0</v>
      </c>
      <c r="S1301" s="29">
        <f>S1300</f>
        <v>0</v>
      </c>
      <c r="T1301" s="29">
        <f>T1300</f>
        <v>0</v>
      </c>
      <c r="U1301" s="29" t="e">
        <f>DATEDIF(DATE(1970,1,1),U1300,"D")*86400</f>
        <v>#NUM!</v>
      </c>
      <c r="V1301" s="29">
        <f>HOUR(V1300)*3600+MINUTE(V1300)*60+SECOND(V1300)</f>
        <v>0</v>
      </c>
      <c r="W1301" s="29" t="e">
        <f>DATEDIF(DATE(1970,1,1),W1300,"D")*86400</f>
        <v>#NUM!</v>
      </c>
      <c r="X1301" s="29">
        <f>HOUR(X1300)*3600+MINUTE(X1300)*60+SECOND(X1300)</f>
        <v>0</v>
      </c>
      <c r="Y1301" s="31">
        <f>(Y1300*B1301)</f>
        <v>0</v>
      </c>
      <c r="Z1301" s="29">
        <f>Z1300</f>
        <v>0</v>
      </c>
      <c r="AA1301" s="29" t="e">
        <f>DATEDIF(DATE(1970,1,1),AA1300,"D")*86400</f>
        <v>#NUM!</v>
      </c>
      <c r="AB1301" s="29">
        <f>HOUR(AB1300)*3600+MINUTE(AB1300)*60+SECOND(AB1300)</f>
        <v>0</v>
      </c>
      <c r="AC1301" s="29">
        <f>AC1300</f>
        <v>0</v>
      </c>
    </row>
    <row r="1302" spans="1:29">
      <c r="A1302" s="23">
        <f>Parameters!A652</f>
        <v>0</v>
      </c>
      <c r="B1302" s="23">
        <f>Parameters!B652</f>
        <v>0</v>
      </c>
      <c r="C1302" s="24">
        <f>Parameters!C652</f>
        <v>0</v>
      </c>
      <c r="D1302" s="24">
        <f>Parameters!D652</f>
        <v>0</v>
      </c>
      <c r="E1302" s="23">
        <f>Parameters!E652</f>
        <v>0</v>
      </c>
      <c r="F1302" s="23">
        <f>Parameters!F652</f>
        <v>0</v>
      </c>
      <c r="G1302" s="25">
        <f>Parameters!G652</f>
        <v>0</v>
      </c>
      <c r="H1302" s="25">
        <f>Parameters!H652</f>
        <v>0</v>
      </c>
      <c r="I1302" s="25">
        <f>Parameters!I652</f>
        <v>0</v>
      </c>
      <c r="J1302" s="25">
        <f>Parameters!J652</f>
        <v>0</v>
      </c>
      <c r="K1302" s="25">
        <f>Parameters!K652</f>
        <v>0</v>
      </c>
      <c r="L1302" s="26" t="e">
        <f t="shared" ref="L1302" si="1947">L1303</f>
        <v>#DIV/0!</v>
      </c>
      <c r="M1302" s="25">
        <f>Parameters!L652</f>
        <v>0</v>
      </c>
      <c r="N1302" s="25">
        <f>Parameters!M652</f>
        <v>0</v>
      </c>
      <c r="O1302" s="26" t="e">
        <f t="shared" ref="O1302" si="1948">O1303</f>
        <v>#DIV/0!</v>
      </c>
      <c r="P1302" s="23">
        <f>Parameters!N652</f>
        <v>0</v>
      </c>
      <c r="Q1302" s="23">
        <f>Parameters!O652</f>
        <v>0</v>
      </c>
      <c r="R1302" s="23">
        <f>Parameters!P652</f>
        <v>0</v>
      </c>
      <c r="S1302" s="23">
        <f>Parameters!Q652</f>
        <v>0</v>
      </c>
      <c r="T1302" s="23">
        <f>Parameters!R652</f>
        <v>0</v>
      </c>
      <c r="U1302" s="27">
        <f>Parameters!S652</f>
        <v>0</v>
      </c>
      <c r="V1302" s="28">
        <f>Parameters!T652</f>
        <v>0</v>
      </c>
      <c r="W1302" s="27">
        <f>Parameters!U652</f>
        <v>0</v>
      </c>
      <c r="X1302" s="28">
        <f>Parameters!V652</f>
        <v>0</v>
      </c>
      <c r="Y1302" s="25">
        <f>Parameters!W652</f>
        <v>0</v>
      </c>
      <c r="Z1302" s="23">
        <f>Parameters!X652</f>
        <v>0</v>
      </c>
      <c r="AA1302" s="27">
        <f>Parameters!Y652</f>
        <v>0</v>
      </c>
      <c r="AB1302" s="28">
        <f>Parameters!Z652</f>
        <v>0</v>
      </c>
      <c r="AC1302" s="23">
        <f>Parameters!AA652</f>
        <v>0</v>
      </c>
    </row>
    <row r="1303" spans="1:29">
      <c r="A1303" s="29" t="str">
        <f>UPPER(A1302)</f>
        <v>0</v>
      </c>
      <c r="B1303" s="29">
        <f>B1302</f>
        <v>0</v>
      </c>
      <c r="C1303" s="30">
        <f>C1302</f>
        <v>0</v>
      </c>
      <c r="D1303" s="30">
        <f>D1302</f>
        <v>0</v>
      </c>
      <c r="E1303" s="29">
        <f>E1302</f>
        <v>0</v>
      </c>
      <c r="F1303" s="29">
        <f>F1302</f>
        <v>0</v>
      </c>
      <c r="G1303" s="29" t="e">
        <f>IF(C1302=1,IF(D1302="BUY",E1302+(ROUND(F1302*G1302/B1302,0)*B1302),E1302-(ROUND(F1302*G1302/B1302,0)*B1302)),IF(D1302="BUY",E1302-(ROUND(F1302*G1302/B1302,0)*B1302),E1302+(ROUND(F1302*G1302/B1302,0)*B1302)))</f>
        <v>#DIV/0!</v>
      </c>
      <c r="H1303" s="29" t="e">
        <f>IF(C1302=1,IF(D1302="BUY",G1303-(ROUND(F1302*H1302/B1302,0)*B1302),G1303+(ROUND(F1302*H1302/B1302,0)*B1302)),IF(D1302="BUY",G1303+(ROUND(F1302*H1302/B1302,0)*B1302),G1303-(ROUND(F1302*H1302/B1302,0)*B1302)))</f>
        <v>#DIV/0!</v>
      </c>
      <c r="I1303" s="29" t="e">
        <f>IF(D1302="BUY",G1303+(ROUND(F1302*I1302/(B1302*100),0)*B1302),G1303-(ROUND(F1302*I1302/(B1302*100),0)*B1302))</f>
        <v>#DIV/0!</v>
      </c>
      <c r="J1303" s="29" t="e">
        <f>IF(C1302=1,IF(D1302="BUY",E1302+(ROUND(F1302*J1302/B1302,0)*B1302),E1302-(ROUND(F1302*J1302/B1302,0)*B1302)),IF(D1302="BUY",E1302-(ROUND(F1302*J1302/B1302,0)*B1302),E1302+(ROUND(F1302*J1302/B1302,0)*B1302)))</f>
        <v>#DIV/0!</v>
      </c>
      <c r="K1303" s="29" t="e">
        <f>IF(C1302=1,IF(D1302="BUY",E1302-(ROUND(F1302*K1302/B1302,0)*B1302),E1302+(ROUND(F1302*K1302/B1302,0)*B1302)),IF(D1302="BUY",E1302-(ROUND(F1302*K1302/B1302,0)*B1302),E1302+(ROUND(F1302*K1302/B1302,0)*B1302)))</f>
        <v>#DIV/0!</v>
      </c>
      <c r="L1303" s="29" t="e">
        <f t="shared" ref="L1303" si="1949">IF(D1303="BUY",I1303+(R1303*B1303),I1303-(R1303*B1303))</f>
        <v>#DIV/0!</v>
      </c>
      <c r="M1303" s="29" t="e">
        <f>IF(D1302="BUY",E1302+(ROUND(F1302*M1302/B1302,0)*B1302),E1302-(ROUND(F1302*M1302/B1302,0)*B1302))</f>
        <v>#DIV/0!</v>
      </c>
      <c r="N1303" s="29" t="e">
        <f>IF(D1302="BUY",E1302-(ROUND(F1302*N1302/B1302,0)*B1302),E1302+(ROUND(F1302*N1302/B1302,0)*B1302))</f>
        <v>#DIV/0!</v>
      </c>
      <c r="O1303" s="31" t="e">
        <f>IF(D1303="BUY",N1303-VLOOKUP(A1303,Symbols!A$1:D$1000,4,FALSE),N1303+VLOOKUP(A1303,Symbols!A$1:D$1000,4,FALSE))</f>
        <v>#DIV/0!</v>
      </c>
      <c r="P1303" s="29">
        <f>P1302</f>
        <v>0</v>
      </c>
      <c r="Q1303" s="29">
        <f>Q1302</f>
        <v>0</v>
      </c>
      <c r="R1303" s="29">
        <f>R1302</f>
        <v>0</v>
      </c>
      <c r="S1303" s="29">
        <f>S1302</f>
        <v>0</v>
      </c>
      <c r="T1303" s="29">
        <f>T1302</f>
        <v>0</v>
      </c>
      <c r="U1303" s="29" t="e">
        <f>DATEDIF(DATE(1970,1,1),U1302,"D")*86400</f>
        <v>#NUM!</v>
      </c>
      <c r="V1303" s="29">
        <f>HOUR(V1302)*3600+MINUTE(V1302)*60+SECOND(V1302)</f>
        <v>0</v>
      </c>
      <c r="W1303" s="29" t="e">
        <f>DATEDIF(DATE(1970,1,1),W1302,"D")*86400</f>
        <v>#NUM!</v>
      </c>
      <c r="X1303" s="29">
        <f>HOUR(X1302)*3600+MINUTE(X1302)*60+SECOND(X1302)</f>
        <v>0</v>
      </c>
      <c r="Y1303" s="31">
        <f>(Y1302*B1303)</f>
        <v>0</v>
      </c>
      <c r="Z1303" s="29">
        <f>Z1302</f>
        <v>0</v>
      </c>
      <c r="AA1303" s="29" t="e">
        <f>DATEDIF(DATE(1970,1,1),AA1302,"D")*86400</f>
        <v>#NUM!</v>
      </c>
      <c r="AB1303" s="29">
        <f>HOUR(AB1302)*3600+MINUTE(AB1302)*60+SECOND(AB1302)</f>
        <v>0</v>
      </c>
      <c r="AC1303" s="29">
        <f>AC1302</f>
        <v>0</v>
      </c>
    </row>
    <row r="1304" spans="1:29">
      <c r="A1304" s="23">
        <f>Parameters!A653</f>
        <v>0</v>
      </c>
      <c r="B1304" s="23">
        <f>Parameters!B653</f>
        <v>0</v>
      </c>
      <c r="C1304" s="24">
        <f>Parameters!C653</f>
        <v>0</v>
      </c>
      <c r="D1304" s="24">
        <f>Parameters!D653</f>
        <v>0</v>
      </c>
      <c r="E1304" s="23">
        <f>Parameters!E653</f>
        <v>0</v>
      </c>
      <c r="F1304" s="23">
        <f>Parameters!F653</f>
        <v>0</v>
      </c>
      <c r="G1304" s="25">
        <f>Parameters!G653</f>
        <v>0</v>
      </c>
      <c r="H1304" s="25">
        <f>Parameters!H653</f>
        <v>0</v>
      </c>
      <c r="I1304" s="25">
        <f>Parameters!I653</f>
        <v>0</v>
      </c>
      <c r="J1304" s="25">
        <f>Parameters!J653</f>
        <v>0</v>
      </c>
      <c r="K1304" s="25">
        <f>Parameters!K653</f>
        <v>0</v>
      </c>
      <c r="L1304" s="26" t="e">
        <f t="shared" ref="L1304" si="1950">L1305</f>
        <v>#DIV/0!</v>
      </c>
      <c r="M1304" s="25">
        <f>Parameters!L653</f>
        <v>0</v>
      </c>
      <c r="N1304" s="25">
        <f>Parameters!M653</f>
        <v>0</v>
      </c>
      <c r="O1304" s="26" t="e">
        <f t="shared" ref="O1304" si="1951">O1305</f>
        <v>#DIV/0!</v>
      </c>
      <c r="P1304" s="23">
        <f>Parameters!N653</f>
        <v>0</v>
      </c>
      <c r="Q1304" s="23">
        <f>Parameters!O653</f>
        <v>0</v>
      </c>
      <c r="R1304" s="23">
        <f>Parameters!P653</f>
        <v>0</v>
      </c>
      <c r="S1304" s="23">
        <f>Parameters!Q653</f>
        <v>0</v>
      </c>
      <c r="T1304" s="23">
        <f>Parameters!R653</f>
        <v>0</v>
      </c>
      <c r="U1304" s="27">
        <f>Parameters!S653</f>
        <v>0</v>
      </c>
      <c r="V1304" s="28">
        <f>Parameters!T653</f>
        <v>0</v>
      </c>
      <c r="W1304" s="27">
        <f>Parameters!U653</f>
        <v>0</v>
      </c>
      <c r="X1304" s="28">
        <f>Parameters!V653</f>
        <v>0</v>
      </c>
      <c r="Y1304" s="25">
        <f>Parameters!W653</f>
        <v>0</v>
      </c>
      <c r="Z1304" s="23">
        <f>Parameters!X653</f>
        <v>0</v>
      </c>
      <c r="AA1304" s="27">
        <f>Parameters!Y653</f>
        <v>0</v>
      </c>
      <c r="AB1304" s="28">
        <f>Parameters!Z653</f>
        <v>0</v>
      </c>
      <c r="AC1304" s="23">
        <f>Parameters!AA653</f>
        <v>0</v>
      </c>
    </row>
    <row r="1305" spans="1:29">
      <c r="A1305" s="29" t="str">
        <f>UPPER(A1304)</f>
        <v>0</v>
      </c>
      <c r="B1305" s="29">
        <f>B1304</f>
        <v>0</v>
      </c>
      <c r="C1305" s="30">
        <f>C1304</f>
        <v>0</v>
      </c>
      <c r="D1305" s="30">
        <f>D1304</f>
        <v>0</v>
      </c>
      <c r="E1305" s="29">
        <f>E1304</f>
        <v>0</v>
      </c>
      <c r="F1305" s="29">
        <f>F1304</f>
        <v>0</v>
      </c>
      <c r="G1305" s="29" t="e">
        <f>IF(C1304=1,IF(D1304="BUY",E1304+(ROUND(F1304*G1304/B1304,0)*B1304),E1304-(ROUND(F1304*G1304/B1304,0)*B1304)),IF(D1304="BUY",E1304-(ROUND(F1304*G1304/B1304,0)*B1304),E1304+(ROUND(F1304*G1304/B1304,0)*B1304)))</f>
        <v>#DIV/0!</v>
      </c>
      <c r="H1305" s="29" t="e">
        <f>IF(C1304=1,IF(D1304="BUY",G1305-(ROUND(F1304*H1304/B1304,0)*B1304),G1305+(ROUND(F1304*H1304/B1304,0)*B1304)),IF(D1304="BUY",G1305+(ROUND(F1304*H1304/B1304,0)*B1304),G1305-(ROUND(F1304*H1304/B1304,0)*B1304)))</f>
        <v>#DIV/0!</v>
      </c>
      <c r="I1305" s="29" t="e">
        <f>IF(D1304="BUY",G1305+(ROUND(F1304*I1304/(B1304*100),0)*B1304),G1305-(ROUND(F1304*I1304/(B1304*100),0)*B1304))</f>
        <v>#DIV/0!</v>
      </c>
      <c r="J1305" s="29" t="e">
        <f>IF(C1304=1,IF(D1304="BUY",E1304+(ROUND(F1304*J1304/B1304,0)*B1304),E1304-(ROUND(F1304*J1304/B1304,0)*B1304)),IF(D1304="BUY",E1304-(ROUND(F1304*J1304/B1304,0)*B1304),E1304+(ROUND(F1304*J1304/B1304,0)*B1304)))</f>
        <v>#DIV/0!</v>
      </c>
      <c r="K1305" s="29" t="e">
        <f>IF(C1304=1,IF(D1304="BUY",E1304-(ROUND(F1304*K1304/B1304,0)*B1304),E1304+(ROUND(F1304*K1304/B1304,0)*B1304)),IF(D1304="BUY",E1304-(ROUND(F1304*K1304/B1304,0)*B1304),E1304+(ROUND(F1304*K1304/B1304,0)*B1304)))</f>
        <v>#DIV/0!</v>
      </c>
      <c r="L1305" s="29" t="e">
        <f t="shared" ref="L1305" si="1952">IF(D1305="BUY",I1305+(R1305*B1305),I1305-(R1305*B1305))</f>
        <v>#DIV/0!</v>
      </c>
      <c r="M1305" s="29" t="e">
        <f>IF(D1304="BUY",E1304+(ROUND(F1304*M1304/B1304,0)*B1304),E1304-(ROUND(F1304*M1304/B1304,0)*B1304))</f>
        <v>#DIV/0!</v>
      </c>
      <c r="N1305" s="29" t="e">
        <f>IF(D1304="BUY",E1304-(ROUND(F1304*N1304/B1304,0)*B1304),E1304+(ROUND(F1304*N1304/B1304,0)*B1304))</f>
        <v>#DIV/0!</v>
      </c>
      <c r="O1305" s="31" t="e">
        <f>IF(D1305="BUY",N1305-VLOOKUP(A1305,Symbols!A$1:D$1000,4,FALSE),N1305+VLOOKUP(A1305,Symbols!A$1:D$1000,4,FALSE))</f>
        <v>#DIV/0!</v>
      </c>
      <c r="P1305" s="29">
        <f>P1304</f>
        <v>0</v>
      </c>
      <c r="Q1305" s="29">
        <f>Q1304</f>
        <v>0</v>
      </c>
      <c r="R1305" s="29">
        <f>R1304</f>
        <v>0</v>
      </c>
      <c r="S1305" s="29">
        <f>S1304</f>
        <v>0</v>
      </c>
      <c r="T1305" s="29">
        <f>T1304</f>
        <v>0</v>
      </c>
      <c r="U1305" s="29" t="e">
        <f>DATEDIF(DATE(1970,1,1),U1304,"D")*86400</f>
        <v>#NUM!</v>
      </c>
      <c r="V1305" s="29">
        <f>HOUR(V1304)*3600+MINUTE(V1304)*60+SECOND(V1304)</f>
        <v>0</v>
      </c>
      <c r="W1305" s="29" t="e">
        <f>DATEDIF(DATE(1970,1,1),W1304,"D")*86400</f>
        <v>#NUM!</v>
      </c>
      <c r="X1305" s="29">
        <f>HOUR(X1304)*3600+MINUTE(X1304)*60+SECOND(X1304)</f>
        <v>0</v>
      </c>
      <c r="Y1305" s="31">
        <f>(Y1304*B1305)</f>
        <v>0</v>
      </c>
      <c r="Z1305" s="29">
        <f>Z1304</f>
        <v>0</v>
      </c>
      <c r="AA1305" s="29" t="e">
        <f>DATEDIF(DATE(1970,1,1),AA1304,"D")*86400</f>
        <v>#NUM!</v>
      </c>
      <c r="AB1305" s="29">
        <f>HOUR(AB1304)*3600+MINUTE(AB1304)*60+SECOND(AB1304)</f>
        <v>0</v>
      </c>
      <c r="AC1305" s="29">
        <f>AC1304</f>
        <v>0</v>
      </c>
    </row>
    <row r="1306" spans="1:29">
      <c r="A1306" s="23">
        <f>Parameters!A654</f>
        <v>0</v>
      </c>
      <c r="B1306" s="23">
        <f>Parameters!B654</f>
        <v>0</v>
      </c>
      <c r="C1306" s="24">
        <f>Parameters!C654</f>
        <v>0</v>
      </c>
      <c r="D1306" s="24">
        <f>Parameters!D654</f>
        <v>0</v>
      </c>
      <c r="E1306" s="23">
        <f>Parameters!E654</f>
        <v>0</v>
      </c>
      <c r="F1306" s="23">
        <f>Parameters!F654</f>
        <v>0</v>
      </c>
      <c r="G1306" s="25">
        <f>Parameters!G654</f>
        <v>0</v>
      </c>
      <c r="H1306" s="25">
        <f>Parameters!H654</f>
        <v>0</v>
      </c>
      <c r="I1306" s="25">
        <f>Parameters!I654</f>
        <v>0</v>
      </c>
      <c r="J1306" s="25">
        <f>Parameters!J654</f>
        <v>0</v>
      </c>
      <c r="K1306" s="25">
        <f>Parameters!K654</f>
        <v>0</v>
      </c>
      <c r="L1306" s="26" t="e">
        <f t="shared" ref="L1306" si="1953">L1307</f>
        <v>#DIV/0!</v>
      </c>
      <c r="M1306" s="25">
        <f>Parameters!L654</f>
        <v>0</v>
      </c>
      <c r="N1306" s="25">
        <f>Parameters!M654</f>
        <v>0</v>
      </c>
      <c r="O1306" s="26" t="e">
        <f t="shared" ref="O1306" si="1954">O1307</f>
        <v>#DIV/0!</v>
      </c>
      <c r="P1306" s="23">
        <f>Parameters!N654</f>
        <v>0</v>
      </c>
      <c r="Q1306" s="23">
        <f>Parameters!O654</f>
        <v>0</v>
      </c>
      <c r="R1306" s="23">
        <f>Parameters!P654</f>
        <v>0</v>
      </c>
      <c r="S1306" s="23">
        <f>Parameters!Q654</f>
        <v>0</v>
      </c>
      <c r="T1306" s="23">
        <f>Parameters!R654</f>
        <v>0</v>
      </c>
      <c r="U1306" s="27">
        <f>Parameters!S654</f>
        <v>0</v>
      </c>
      <c r="V1306" s="28">
        <f>Parameters!T654</f>
        <v>0</v>
      </c>
      <c r="W1306" s="27">
        <f>Parameters!U654</f>
        <v>0</v>
      </c>
      <c r="X1306" s="28">
        <f>Parameters!V654</f>
        <v>0</v>
      </c>
      <c r="Y1306" s="25">
        <f>Parameters!W654</f>
        <v>0</v>
      </c>
      <c r="Z1306" s="23">
        <f>Parameters!X654</f>
        <v>0</v>
      </c>
      <c r="AA1306" s="27">
        <f>Parameters!Y654</f>
        <v>0</v>
      </c>
      <c r="AB1306" s="28">
        <f>Parameters!Z654</f>
        <v>0</v>
      </c>
      <c r="AC1306" s="23">
        <f>Parameters!AA654</f>
        <v>0</v>
      </c>
    </row>
    <row r="1307" spans="1:29">
      <c r="A1307" s="29" t="str">
        <f>UPPER(A1306)</f>
        <v>0</v>
      </c>
      <c r="B1307" s="29">
        <f>B1306</f>
        <v>0</v>
      </c>
      <c r="C1307" s="30">
        <f>C1306</f>
        <v>0</v>
      </c>
      <c r="D1307" s="30">
        <f>D1306</f>
        <v>0</v>
      </c>
      <c r="E1307" s="29">
        <f>E1306</f>
        <v>0</v>
      </c>
      <c r="F1307" s="29">
        <f>F1306</f>
        <v>0</v>
      </c>
      <c r="G1307" s="29" t="e">
        <f>IF(C1306=1,IF(D1306="BUY",E1306+(ROUND(F1306*G1306/B1306,0)*B1306),E1306-(ROUND(F1306*G1306/B1306,0)*B1306)),IF(D1306="BUY",E1306-(ROUND(F1306*G1306/B1306,0)*B1306),E1306+(ROUND(F1306*G1306/B1306,0)*B1306)))</f>
        <v>#DIV/0!</v>
      </c>
      <c r="H1307" s="29" t="e">
        <f>IF(C1306=1,IF(D1306="BUY",G1307-(ROUND(F1306*H1306/B1306,0)*B1306),G1307+(ROUND(F1306*H1306/B1306,0)*B1306)),IF(D1306="BUY",G1307+(ROUND(F1306*H1306/B1306,0)*B1306),G1307-(ROUND(F1306*H1306/B1306,0)*B1306)))</f>
        <v>#DIV/0!</v>
      </c>
      <c r="I1307" s="29" t="e">
        <f>IF(D1306="BUY",G1307+(ROUND(F1306*I1306/(B1306*100),0)*B1306),G1307-(ROUND(F1306*I1306/(B1306*100),0)*B1306))</f>
        <v>#DIV/0!</v>
      </c>
      <c r="J1307" s="29" t="e">
        <f>IF(C1306=1,IF(D1306="BUY",E1306+(ROUND(F1306*J1306/B1306,0)*B1306),E1306-(ROUND(F1306*J1306/B1306,0)*B1306)),IF(D1306="BUY",E1306-(ROUND(F1306*J1306/B1306,0)*B1306),E1306+(ROUND(F1306*J1306/B1306,0)*B1306)))</f>
        <v>#DIV/0!</v>
      </c>
      <c r="K1307" s="29" t="e">
        <f>IF(C1306=1,IF(D1306="BUY",E1306-(ROUND(F1306*K1306/B1306,0)*B1306),E1306+(ROUND(F1306*K1306/B1306,0)*B1306)),IF(D1306="BUY",E1306-(ROUND(F1306*K1306/B1306,0)*B1306),E1306+(ROUND(F1306*K1306/B1306,0)*B1306)))</f>
        <v>#DIV/0!</v>
      </c>
      <c r="L1307" s="29" t="e">
        <f t="shared" ref="L1307" si="1955">IF(D1307="BUY",I1307+(R1307*B1307),I1307-(R1307*B1307))</f>
        <v>#DIV/0!</v>
      </c>
      <c r="M1307" s="29" t="e">
        <f>IF(D1306="BUY",E1306+(ROUND(F1306*M1306/B1306,0)*B1306),E1306-(ROUND(F1306*M1306/B1306,0)*B1306))</f>
        <v>#DIV/0!</v>
      </c>
      <c r="N1307" s="29" t="e">
        <f>IF(D1306="BUY",E1306-(ROUND(F1306*N1306/B1306,0)*B1306),E1306+(ROUND(F1306*N1306/B1306,0)*B1306))</f>
        <v>#DIV/0!</v>
      </c>
      <c r="O1307" s="31" t="e">
        <f>IF(D1307="BUY",N1307-VLOOKUP(A1307,Symbols!A$1:D$1000,4,FALSE),N1307+VLOOKUP(A1307,Symbols!A$1:D$1000,4,FALSE))</f>
        <v>#DIV/0!</v>
      </c>
      <c r="P1307" s="29">
        <f>P1306</f>
        <v>0</v>
      </c>
      <c r="Q1307" s="29">
        <f>Q1306</f>
        <v>0</v>
      </c>
      <c r="R1307" s="29">
        <f>R1306</f>
        <v>0</v>
      </c>
      <c r="S1307" s="29">
        <f>S1306</f>
        <v>0</v>
      </c>
      <c r="T1307" s="29">
        <f>T1306</f>
        <v>0</v>
      </c>
      <c r="U1307" s="29" t="e">
        <f>DATEDIF(DATE(1970,1,1),U1306,"D")*86400</f>
        <v>#NUM!</v>
      </c>
      <c r="V1307" s="29">
        <f>HOUR(V1306)*3600+MINUTE(V1306)*60+SECOND(V1306)</f>
        <v>0</v>
      </c>
      <c r="W1307" s="29" t="e">
        <f>DATEDIF(DATE(1970,1,1),W1306,"D")*86400</f>
        <v>#NUM!</v>
      </c>
      <c r="X1307" s="29">
        <f>HOUR(X1306)*3600+MINUTE(X1306)*60+SECOND(X1306)</f>
        <v>0</v>
      </c>
      <c r="Y1307" s="31">
        <f>(Y1306*B1307)</f>
        <v>0</v>
      </c>
      <c r="Z1307" s="29">
        <f>Z1306</f>
        <v>0</v>
      </c>
      <c r="AA1307" s="29" t="e">
        <f>DATEDIF(DATE(1970,1,1),AA1306,"D")*86400</f>
        <v>#NUM!</v>
      </c>
      <c r="AB1307" s="29">
        <f>HOUR(AB1306)*3600+MINUTE(AB1306)*60+SECOND(AB1306)</f>
        <v>0</v>
      </c>
      <c r="AC1307" s="29">
        <f>AC1306</f>
        <v>0</v>
      </c>
    </row>
    <row r="1308" spans="1:29">
      <c r="A1308" s="23">
        <f>Parameters!A655</f>
        <v>0</v>
      </c>
      <c r="B1308" s="23">
        <f>Parameters!B655</f>
        <v>0</v>
      </c>
      <c r="C1308" s="24">
        <f>Parameters!C655</f>
        <v>0</v>
      </c>
      <c r="D1308" s="24">
        <f>Parameters!D655</f>
        <v>0</v>
      </c>
      <c r="E1308" s="23">
        <f>Parameters!E655</f>
        <v>0</v>
      </c>
      <c r="F1308" s="23">
        <f>Parameters!F655</f>
        <v>0</v>
      </c>
      <c r="G1308" s="25">
        <f>Parameters!G655</f>
        <v>0</v>
      </c>
      <c r="H1308" s="25">
        <f>Parameters!H655</f>
        <v>0</v>
      </c>
      <c r="I1308" s="25">
        <f>Parameters!I655</f>
        <v>0</v>
      </c>
      <c r="J1308" s="25">
        <f>Parameters!J655</f>
        <v>0</v>
      </c>
      <c r="K1308" s="25">
        <f>Parameters!K655</f>
        <v>0</v>
      </c>
      <c r="L1308" s="26" t="e">
        <f t="shared" ref="L1308" si="1956">L1309</f>
        <v>#DIV/0!</v>
      </c>
      <c r="M1308" s="25">
        <f>Parameters!L655</f>
        <v>0</v>
      </c>
      <c r="N1308" s="25">
        <f>Parameters!M655</f>
        <v>0</v>
      </c>
      <c r="O1308" s="26" t="e">
        <f t="shared" ref="O1308" si="1957">O1309</f>
        <v>#DIV/0!</v>
      </c>
      <c r="P1308" s="23">
        <f>Parameters!N655</f>
        <v>0</v>
      </c>
      <c r="Q1308" s="23">
        <f>Parameters!O655</f>
        <v>0</v>
      </c>
      <c r="R1308" s="23">
        <f>Parameters!P655</f>
        <v>0</v>
      </c>
      <c r="S1308" s="23">
        <f>Parameters!Q655</f>
        <v>0</v>
      </c>
      <c r="T1308" s="23">
        <f>Parameters!R655</f>
        <v>0</v>
      </c>
      <c r="U1308" s="27">
        <f>Parameters!S655</f>
        <v>0</v>
      </c>
      <c r="V1308" s="28">
        <f>Parameters!T655</f>
        <v>0</v>
      </c>
      <c r="W1308" s="27">
        <f>Parameters!U655</f>
        <v>0</v>
      </c>
      <c r="X1308" s="28">
        <f>Parameters!V655</f>
        <v>0</v>
      </c>
      <c r="Y1308" s="25">
        <f>Parameters!W655</f>
        <v>0</v>
      </c>
      <c r="Z1308" s="23">
        <f>Parameters!X655</f>
        <v>0</v>
      </c>
      <c r="AA1308" s="27">
        <f>Parameters!Y655</f>
        <v>0</v>
      </c>
      <c r="AB1308" s="28">
        <f>Parameters!Z655</f>
        <v>0</v>
      </c>
      <c r="AC1308" s="23">
        <f>Parameters!AA655</f>
        <v>0</v>
      </c>
    </row>
    <row r="1309" spans="1:29">
      <c r="A1309" s="29" t="str">
        <f>UPPER(A1308)</f>
        <v>0</v>
      </c>
      <c r="B1309" s="29">
        <f>B1308</f>
        <v>0</v>
      </c>
      <c r="C1309" s="30">
        <f>C1308</f>
        <v>0</v>
      </c>
      <c r="D1309" s="30">
        <f>D1308</f>
        <v>0</v>
      </c>
      <c r="E1309" s="29">
        <f>E1308</f>
        <v>0</v>
      </c>
      <c r="F1309" s="29">
        <f>F1308</f>
        <v>0</v>
      </c>
      <c r="G1309" s="29" t="e">
        <f>IF(C1308=1,IF(D1308="BUY",E1308+(ROUND(F1308*G1308/B1308,0)*B1308),E1308-(ROUND(F1308*G1308/B1308,0)*B1308)),IF(D1308="BUY",E1308-(ROUND(F1308*G1308/B1308,0)*B1308),E1308+(ROUND(F1308*G1308/B1308,0)*B1308)))</f>
        <v>#DIV/0!</v>
      </c>
      <c r="H1309" s="29" t="e">
        <f>IF(C1308=1,IF(D1308="BUY",G1309-(ROUND(F1308*H1308/B1308,0)*B1308),G1309+(ROUND(F1308*H1308/B1308,0)*B1308)),IF(D1308="BUY",G1309+(ROUND(F1308*H1308/B1308,0)*B1308),G1309-(ROUND(F1308*H1308/B1308,0)*B1308)))</f>
        <v>#DIV/0!</v>
      </c>
      <c r="I1309" s="29" t="e">
        <f>IF(D1308="BUY",G1309+(ROUND(F1308*I1308/(B1308*100),0)*B1308),G1309-(ROUND(F1308*I1308/(B1308*100),0)*B1308))</f>
        <v>#DIV/0!</v>
      </c>
      <c r="J1309" s="29" t="e">
        <f>IF(C1308=1,IF(D1308="BUY",E1308+(ROUND(F1308*J1308/B1308,0)*B1308),E1308-(ROUND(F1308*J1308/B1308,0)*B1308)),IF(D1308="BUY",E1308-(ROUND(F1308*J1308/B1308,0)*B1308),E1308+(ROUND(F1308*J1308/B1308,0)*B1308)))</f>
        <v>#DIV/0!</v>
      </c>
      <c r="K1309" s="29" t="e">
        <f>IF(C1308=1,IF(D1308="BUY",E1308-(ROUND(F1308*K1308/B1308,0)*B1308),E1308+(ROUND(F1308*K1308/B1308,0)*B1308)),IF(D1308="BUY",E1308-(ROUND(F1308*K1308/B1308,0)*B1308),E1308+(ROUND(F1308*K1308/B1308,0)*B1308)))</f>
        <v>#DIV/0!</v>
      </c>
      <c r="L1309" s="29" t="e">
        <f t="shared" ref="L1309" si="1958">IF(D1309="BUY",I1309+(R1309*B1309),I1309-(R1309*B1309))</f>
        <v>#DIV/0!</v>
      </c>
      <c r="M1309" s="29" t="e">
        <f>IF(D1308="BUY",E1308+(ROUND(F1308*M1308/B1308,0)*B1308),E1308-(ROUND(F1308*M1308/B1308,0)*B1308))</f>
        <v>#DIV/0!</v>
      </c>
      <c r="N1309" s="29" t="e">
        <f>IF(D1308="BUY",E1308-(ROUND(F1308*N1308/B1308,0)*B1308),E1308+(ROUND(F1308*N1308/B1308,0)*B1308))</f>
        <v>#DIV/0!</v>
      </c>
      <c r="O1309" s="31" t="e">
        <f>IF(D1309="BUY",N1309-VLOOKUP(A1309,Symbols!A$1:D$1000,4,FALSE),N1309+VLOOKUP(A1309,Symbols!A$1:D$1000,4,FALSE))</f>
        <v>#DIV/0!</v>
      </c>
      <c r="P1309" s="29">
        <f>P1308</f>
        <v>0</v>
      </c>
      <c r="Q1309" s="29">
        <f>Q1308</f>
        <v>0</v>
      </c>
      <c r="R1309" s="29">
        <f>R1308</f>
        <v>0</v>
      </c>
      <c r="S1309" s="29">
        <f>S1308</f>
        <v>0</v>
      </c>
      <c r="T1309" s="29">
        <f>T1308</f>
        <v>0</v>
      </c>
      <c r="U1309" s="29" t="e">
        <f>DATEDIF(DATE(1970,1,1),U1308,"D")*86400</f>
        <v>#NUM!</v>
      </c>
      <c r="V1309" s="29">
        <f>HOUR(V1308)*3600+MINUTE(V1308)*60+SECOND(V1308)</f>
        <v>0</v>
      </c>
      <c r="W1309" s="29" t="e">
        <f>DATEDIF(DATE(1970,1,1),W1308,"D")*86400</f>
        <v>#NUM!</v>
      </c>
      <c r="X1309" s="29">
        <f>HOUR(X1308)*3600+MINUTE(X1308)*60+SECOND(X1308)</f>
        <v>0</v>
      </c>
      <c r="Y1309" s="31">
        <f>(Y1308*B1309)</f>
        <v>0</v>
      </c>
      <c r="Z1309" s="29">
        <f>Z1308</f>
        <v>0</v>
      </c>
      <c r="AA1309" s="29" t="e">
        <f>DATEDIF(DATE(1970,1,1),AA1308,"D")*86400</f>
        <v>#NUM!</v>
      </c>
      <c r="AB1309" s="29">
        <f>HOUR(AB1308)*3600+MINUTE(AB1308)*60+SECOND(AB1308)</f>
        <v>0</v>
      </c>
      <c r="AC1309" s="29">
        <f>AC1308</f>
        <v>0</v>
      </c>
    </row>
    <row r="1310" spans="1:29">
      <c r="A1310" s="23">
        <f>Parameters!A656</f>
        <v>0</v>
      </c>
      <c r="B1310" s="23">
        <f>Parameters!B656</f>
        <v>0</v>
      </c>
      <c r="C1310" s="24">
        <f>Parameters!C656</f>
        <v>0</v>
      </c>
      <c r="D1310" s="24">
        <f>Parameters!D656</f>
        <v>0</v>
      </c>
      <c r="E1310" s="23">
        <f>Parameters!E656</f>
        <v>0</v>
      </c>
      <c r="F1310" s="23">
        <f>Parameters!F656</f>
        <v>0</v>
      </c>
      <c r="G1310" s="25">
        <f>Parameters!G656</f>
        <v>0</v>
      </c>
      <c r="H1310" s="25">
        <f>Parameters!H656</f>
        <v>0</v>
      </c>
      <c r="I1310" s="25">
        <f>Parameters!I656</f>
        <v>0</v>
      </c>
      <c r="J1310" s="25">
        <f>Parameters!J656</f>
        <v>0</v>
      </c>
      <c r="K1310" s="25">
        <f>Parameters!K656</f>
        <v>0</v>
      </c>
      <c r="L1310" s="26" t="e">
        <f t="shared" ref="L1310" si="1959">L1311</f>
        <v>#DIV/0!</v>
      </c>
      <c r="M1310" s="25">
        <f>Parameters!L656</f>
        <v>0</v>
      </c>
      <c r="N1310" s="25">
        <f>Parameters!M656</f>
        <v>0</v>
      </c>
      <c r="O1310" s="26" t="e">
        <f t="shared" ref="O1310" si="1960">O1311</f>
        <v>#DIV/0!</v>
      </c>
      <c r="P1310" s="23">
        <f>Parameters!N656</f>
        <v>0</v>
      </c>
      <c r="Q1310" s="23">
        <f>Parameters!O656</f>
        <v>0</v>
      </c>
      <c r="R1310" s="23">
        <f>Parameters!P656</f>
        <v>0</v>
      </c>
      <c r="S1310" s="23">
        <f>Parameters!Q656</f>
        <v>0</v>
      </c>
      <c r="T1310" s="23">
        <f>Parameters!R656</f>
        <v>0</v>
      </c>
      <c r="U1310" s="27">
        <f>Parameters!S656</f>
        <v>0</v>
      </c>
      <c r="V1310" s="28">
        <f>Parameters!T656</f>
        <v>0</v>
      </c>
      <c r="W1310" s="27">
        <f>Parameters!U656</f>
        <v>0</v>
      </c>
      <c r="X1310" s="28">
        <f>Parameters!V656</f>
        <v>0</v>
      </c>
      <c r="Y1310" s="25">
        <f>Parameters!W656</f>
        <v>0</v>
      </c>
      <c r="Z1310" s="23">
        <f>Parameters!X656</f>
        <v>0</v>
      </c>
      <c r="AA1310" s="27">
        <f>Parameters!Y656</f>
        <v>0</v>
      </c>
      <c r="AB1310" s="28">
        <f>Parameters!Z656</f>
        <v>0</v>
      </c>
      <c r="AC1310" s="23">
        <f>Parameters!AA656</f>
        <v>0</v>
      </c>
    </row>
    <row r="1311" spans="1:29">
      <c r="A1311" s="29" t="str">
        <f>UPPER(A1310)</f>
        <v>0</v>
      </c>
      <c r="B1311" s="29">
        <f>B1310</f>
        <v>0</v>
      </c>
      <c r="C1311" s="30">
        <f>C1310</f>
        <v>0</v>
      </c>
      <c r="D1311" s="30">
        <f>D1310</f>
        <v>0</v>
      </c>
      <c r="E1311" s="29">
        <f>E1310</f>
        <v>0</v>
      </c>
      <c r="F1311" s="29">
        <f>F1310</f>
        <v>0</v>
      </c>
      <c r="G1311" s="29" t="e">
        <f>IF(C1310=1,IF(D1310="BUY",E1310+(ROUND(F1310*G1310/B1310,0)*B1310),E1310-(ROUND(F1310*G1310/B1310,0)*B1310)),IF(D1310="BUY",E1310-(ROUND(F1310*G1310/B1310,0)*B1310),E1310+(ROUND(F1310*G1310/B1310,0)*B1310)))</f>
        <v>#DIV/0!</v>
      </c>
      <c r="H1311" s="29" t="e">
        <f>IF(C1310=1,IF(D1310="BUY",G1311-(ROUND(F1310*H1310/B1310,0)*B1310),G1311+(ROUND(F1310*H1310/B1310,0)*B1310)),IF(D1310="BUY",G1311+(ROUND(F1310*H1310/B1310,0)*B1310),G1311-(ROUND(F1310*H1310/B1310,0)*B1310)))</f>
        <v>#DIV/0!</v>
      </c>
      <c r="I1311" s="29" t="e">
        <f>IF(D1310="BUY",G1311+(ROUND(F1310*I1310/(B1310*100),0)*B1310),G1311-(ROUND(F1310*I1310/(B1310*100),0)*B1310))</f>
        <v>#DIV/0!</v>
      </c>
      <c r="J1311" s="29" t="e">
        <f>IF(C1310=1,IF(D1310="BUY",E1310+(ROUND(F1310*J1310/B1310,0)*B1310),E1310-(ROUND(F1310*J1310/B1310,0)*B1310)),IF(D1310="BUY",E1310-(ROUND(F1310*J1310/B1310,0)*B1310),E1310+(ROUND(F1310*J1310/B1310,0)*B1310)))</f>
        <v>#DIV/0!</v>
      </c>
      <c r="K1311" s="29" t="e">
        <f>IF(C1310=1,IF(D1310="BUY",E1310-(ROUND(F1310*K1310/B1310,0)*B1310),E1310+(ROUND(F1310*K1310/B1310,0)*B1310)),IF(D1310="BUY",E1310-(ROUND(F1310*K1310/B1310,0)*B1310),E1310+(ROUND(F1310*K1310/B1310,0)*B1310)))</f>
        <v>#DIV/0!</v>
      </c>
      <c r="L1311" s="29" t="e">
        <f t="shared" ref="L1311" si="1961">IF(D1311="BUY",I1311+(R1311*B1311),I1311-(R1311*B1311))</f>
        <v>#DIV/0!</v>
      </c>
      <c r="M1311" s="29" t="e">
        <f>IF(D1310="BUY",E1310+(ROUND(F1310*M1310/B1310,0)*B1310),E1310-(ROUND(F1310*M1310/B1310,0)*B1310))</f>
        <v>#DIV/0!</v>
      </c>
      <c r="N1311" s="29" t="e">
        <f>IF(D1310="BUY",E1310-(ROUND(F1310*N1310/B1310,0)*B1310),E1310+(ROUND(F1310*N1310/B1310,0)*B1310))</f>
        <v>#DIV/0!</v>
      </c>
      <c r="O1311" s="31" t="e">
        <f>IF(D1311="BUY",N1311-VLOOKUP(A1311,Symbols!A$1:D$1000,4,FALSE),N1311+VLOOKUP(A1311,Symbols!A$1:D$1000,4,FALSE))</f>
        <v>#DIV/0!</v>
      </c>
      <c r="P1311" s="29">
        <f>P1310</f>
        <v>0</v>
      </c>
      <c r="Q1311" s="29">
        <f>Q1310</f>
        <v>0</v>
      </c>
      <c r="R1311" s="29">
        <f>R1310</f>
        <v>0</v>
      </c>
      <c r="S1311" s="29">
        <f>S1310</f>
        <v>0</v>
      </c>
      <c r="T1311" s="29">
        <f>T1310</f>
        <v>0</v>
      </c>
      <c r="U1311" s="29" t="e">
        <f>DATEDIF(DATE(1970,1,1),U1310,"D")*86400</f>
        <v>#NUM!</v>
      </c>
      <c r="V1311" s="29">
        <f>HOUR(V1310)*3600+MINUTE(V1310)*60+SECOND(V1310)</f>
        <v>0</v>
      </c>
      <c r="W1311" s="29" t="e">
        <f>DATEDIF(DATE(1970,1,1),W1310,"D")*86400</f>
        <v>#NUM!</v>
      </c>
      <c r="X1311" s="29">
        <f>HOUR(X1310)*3600+MINUTE(X1310)*60+SECOND(X1310)</f>
        <v>0</v>
      </c>
      <c r="Y1311" s="31">
        <f>(Y1310*B1311)</f>
        <v>0</v>
      </c>
      <c r="Z1311" s="29">
        <f>Z1310</f>
        <v>0</v>
      </c>
      <c r="AA1311" s="29" t="e">
        <f>DATEDIF(DATE(1970,1,1),AA1310,"D")*86400</f>
        <v>#NUM!</v>
      </c>
      <c r="AB1311" s="29">
        <f>HOUR(AB1310)*3600+MINUTE(AB1310)*60+SECOND(AB1310)</f>
        <v>0</v>
      </c>
      <c r="AC1311" s="29">
        <f>AC1310</f>
        <v>0</v>
      </c>
    </row>
    <row r="1312" spans="1:29">
      <c r="A1312" s="23">
        <f>Parameters!A657</f>
        <v>0</v>
      </c>
      <c r="B1312" s="23">
        <f>Parameters!B657</f>
        <v>0</v>
      </c>
      <c r="C1312" s="24">
        <f>Parameters!C657</f>
        <v>0</v>
      </c>
      <c r="D1312" s="24">
        <f>Parameters!D657</f>
        <v>0</v>
      </c>
      <c r="E1312" s="23">
        <f>Parameters!E657</f>
        <v>0</v>
      </c>
      <c r="F1312" s="23">
        <f>Parameters!F657</f>
        <v>0</v>
      </c>
      <c r="G1312" s="25">
        <f>Parameters!G657</f>
        <v>0</v>
      </c>
      <c r="H1312" s="25">
        <f>Parameters!H657</f>
        <v>0</v>
      </c>
      <c r="I1312" s="25">
        <f>Parameters!I657</f>
        <v>0</v>
      </c>
      <c r="J1312" s="25">
        <f>Parameters!J657</f>
        <v>0</v>
      </c>
      <c r="K1312" s="25">
        <f>Parameters!K657</f>
        <v>0</v>
      </c>
      <c r="L1312" s="26" t="e">
        <f t="shared" ref="L1312" si="1962">L1313</f>
        <v>#DIV/0!</v>
      </c>
      <c r="M1312" s="25">
        <f>Parameters!L657</f>
        <v>0</v>
      </c>
      <c r="N1312" s="25">
        <f>Parameters!M657</f>
        <v>0</v>
      </c>
      <c r="O1312" s="26" t="e">
        <f t="shared" ref="O1312" si="1963">O1313</f>
        <v>#DIV/0!</v>
      </c>
      <c r="P1312" s="23">
        <f>Parameters!N657</f>
        <v>0</v>
      </c>
      <c r="Q1312" s="23">
        <f>Parameters!O657</f>
        <v>0</v>
      </c>
      <c r="R1312" s="23">
        <f>Parameters!P657</f>
        <v>0</v>
      </c>
      <c r="S1312" s="23">
        <f>Parameters!Q657</f>
        <v>0</v>
      </c>
      <c r="T1312" s="23">
        <f>Parameters!R657</f>
        <v>0</v>
      </c>
      <c r="U1312" s="27">
        <f>Parameters!S657</f>
        <v>0</v>
      </c>
      <c r="V1312" s="28">
        <f>Parameters!T657</f>
        <v>0</v>
      </c>
      <c r="W1312" s="27">
        <f>Parameters!U657</f>
        <v>0</v>
      </c>
      <c r="X1312" s="28">
        <f>Parameters!V657</f>
        <v>0</v>
      </c>
      <c r="Y1312" s="25">
        <f>Parameters!W657</f>
        <v>0</v>
      </c>
      <c r="Z1312" s="23">
        <f>Parameters!X657</f>
        <v>0</v>
      </c>
      <c r="AA1312" s="27">
        <f>Parameters!Y657</f>
        <v>0</v>
      </c>
      <c r="AB1312" s="28">
        <f>Parameters!Z657</f>
        <v>0</v>
      </c>
      <c r="AC1312" s="23">
        <f>Parameters!AA657</f>
        <v>0</v>
      </c>
    </row>
    <row r="1313" spans="1:29">
      <c r="A1313" s="29" t="str">
        <f>UPPER(A1312)</f>
        <v>0</v>
      </c>
      <c r="B1313" s="29">
        <f>B1312</f>
        <v>0</v>
      </c>
      <c r="C1313" s="30">
        <f>C1312</f>
        <v>0</v>
      </c>
      <c r="D1313" s="30">
        <f>D1312</f>
        <v>0</v>
      </c>
      <c r="E1313" s="29">
        <f>E1312</f>
        <v>0</v>
      </c>
      <c r="F1313" s="29">
        <f>F1312</f>
        <v>0</v>
      </c>
      <c r="G1313" s="29" t="e">
        <f>IF(C1312=1,IF(D1312="BUY",E1312+(ROUND(F1312*G1312/B1312,0)*B1312),E1312-(ROUND(F1312*G1312/B1312,0)*B1312)),IF(D1312="BUY",E1312-(ROUND(F1312*G1312/B1312,0)*B1312),E1312+(ROUND(F1312*G1312/B1312,0)*B1312)))</f>
        <v>#DIV/0!</v>
      </c>
      <c r="H1313" s="29" t="e">
        <f>IF(C1312=1,IF(D1312="BUY",G1313-(ROUND(F1312*H1312/B1312,0)*B1312),G1313+(ROUND(F1312*H1312/B1312,0)*B1312)),IF(D1312="BUY",G1313+(ROUND(F1312*H1312/B1312,0)*B1312),G1313-(ROUND(F1312*H1312/B1312,0)*B1312)))</f>
        <v>#DIV/0!</v>
      </c>
      <c r="I1313" s="29" t="e">
        <f>IF(D1312="BUY",G1313+(ROUND(F1312*I1312/(B1312*100),0)*B1312),G1313-(ROUND(F1312*I1312/(B1312*100),0)*B1312))</f>
        <v>#DIV/0!</v>
      </c>
      <c r="J1313" s="29" t="e">
        <f>IF(C1312=1,IF(D1312="BUY",E1312+(ROUND(F1312*J1312/B1312,0)*B1312),E1312-(ROUND(F1312*J1312/B1312,0)*B1312)),IF(D1312="BUY",E1312-(ROUND(F1312*J1312/B1312,0)*B1312),E1312+(ROUND(F1312*J1312/B1312,0)*B1312)))</f>
        <v>#DIV/0!</v>
      </c>
      <c r="K1313" s="29" t="e">
        <f>IF(C1312=1,IF(D1312="BUY",E1312-(ROUND(F1312*K1312/B1312,0)*B1312),E1312+(ROUND(F1312*K1312/B1312,0)*B1312)),IF(D1312="BUY",E1312-(ROUND(F1312*K1312/B1312,0)*B1312),E1312+(ROUND(F1312*K1312/B1312,0)*B1312)))</f>
        <v>#DIV/0!</v>
      </c>
      <c r="L1313" s="29" t="e">
        <f t="shared" ref="L1313" si="1964">IF(D1313="BUY",I1313+(R1313*B1313),I1313-(R1313*B1313))</f>
        <v>#DIV/0!</v>
      </c>
      <c r="M1313" s="29" t="e">
        <f>IF(D1312="BUY",E1312+(ROUND(F1312*M1312/B1312,0)*B1312),E1312-(ROUND(F1312*M1312/B1312,0)*B1312))</f>
        <v>#DIV/0!</v>
      </c>
      <c r="N1313" s="29" t="e">
        <f>IF(D1312="BUY",E1312-(ROUND(F1312*N1312/B1312,0)*B1312),E1312+(ROUND(F1312*N1312/B1312,0)*B1312))</f>
        <v>#DIV/0!</v>
      </c>
      <c r="O1313" s="31" t="e">
        <f>IF(D1313="BUY",N1313-VLOOKUP(A1313,Symbols!A$1:D$1000,4,FALSE),N1313+VLOOKUP(A1313,Symbols!A$1:D$1000,4,FALSE))</f>
        <v>#DIV/0!</v>
      </c>
      <c r="P1313" s="29">
        <f>P1312</f>
        <v>0</v>
      </c>
      <c r="Q1313" s="29">
        <f>Q1312</f>
        <v>0</v>
      </c>
      <c r="R1313" s="29">
        <f>R1312</f>
        <v>0</v>
      </c>
      <c r="S1313" s="29">
        <f>S1312</f>
        <v>0</v>
      </c>
      <c r="T1313" s="29">
        <f>T1312</f>
        <v>0</v>
      </c>
      <c r="U1313" s="29" t="e">
        <f>DATEDIF(DATE(1970,1,1),U1312,"D")*86400</f>
        <v>#NUM!</v>
      </c>
      <c r="V1313" s="29">
        <f>HOUR(V1312)*3600+MINUTE(V1312)*60+SECOND(V1312)</f>
        <v>0</v>
      </c>
      <c r="W1313" s="29" t="e">
        <f>DATEDIF(DATE(1970,1,1),W1312,"D")*86400</f>
        <v>#NUM!</v>
      </c>
      <c r="X1313" s="29">
        <f>HOUR(X1312)*3600+MINUTE(X1312)*60+SECOND(X1312)</f>
        <v>0</v>
      </c>
      <c r="Y1313" s="31">
        <f>(Y1312*B1313)</f>
        <v>0</v>
      </c>
      <c r="Z1313" s="29">
        <f>Z1312</f>
        <v>0</v>
      </c>
      <c r="AA1313" s="29" t="e">
        <f>DATEDIF(DATE(1970,1,1),AA1312,"D")*86400</f>
        <v>#NUM!</v>
      </c>
      <c r="AB1313" s="29">
        <f>HOUR(AB1312)*3600+MINUTE(AB1312)*60+SECOND(AB1312)</f>
        <v>0</v>
      </c>
      <c r="AC1313" s="29">
        <f>AC1312</f>
        <v>0</v>
      </c>
    </row>
    <row r="1314" spans="1:29">
      <c r="A1314" s="23">
        <f>Parameters!A658</f>
        <v>0</v>
      </c>
      <c r="B1314" s="23">
        <f>Parameters!B658</f>
        <v>0</v>
      </c>
      <c r="C1314" s="24">
        <f>Parameters!C658</f>
        <v>0</v>
      </c>
      <c r="D1314" s="24">
        <f>Parameters!D658</f>
        <v>0</v>
      </c>
      <c r="E1314" s="23">
        <f>Parameters!E658</f>
        <v>0</v>
      </c>
      <c r="F1314" s="23">
        <f>Parameters!F658</f>
        <v>0</v>
      </c>
      <c r="G1314" s="25">
        <f>Parameters!G658</f>
        <v>0</v>
      </c>
      <c r="H1314" s="25">
        <f>Parameters!H658</f>
        <v>0</v>
      </c>
      <c r="I1314" s="25">
        <f>Parameters!I658</f>
        <v>0</v>
      </c>
      <c r="J1314" s="25">
        <f>Parameters!J658</f>
        <v>0</v>
      </c>
      <c r="K1314" s="25">
        <f>Parameters!K658</f>
        <v>0</v>
      </c>
      <c r="L1314" s="26" t="e">
        <f t="shared" ref="L1314" si="1965">L1315</f>
        <v>#DIV/0!</v>
      </c>
      <c r="M1314" s="25">
        <f>Parameters!L658</f>
        <v>0</v>
      </c>
      <c r="N1314" s="25">
        <f>Parameters!M658</f>
        <v>0</v>
      </c>
      <c r="O1314" s="26" t="e">
        <f t="shared" ref="O1314" si="1966">O1315</f>
        <v>#DIV/0!</v>
      </c>
      <c r="P1314" s="23">
        <f>Parameters!N658</f>
        <v>0</v>
      </c>
      <c r="Q1314" s="23">
        <f>Parameters!O658</f>
        <v>0</v>
      </c>
      <c r="R1314" s="23">
        <f>Parameters!P658</f>
        <v>0</v>
      </c>
      <c r="S1314" s="23">
        <f>Parameters!Q658</f>
        <v>0</v>
      </c>
      <c r="T1314" s="23">
        <f>Parameters!R658</f>
        <v>0</v>
      </c>
      <c r="U1314" s="27">
        <f>Parameters!S658</f>
        <v>0</v>
      </c>
      <c r="V1314" s="28">
        <f>Parameters!T658</f>
        <v>0</v>
      </c>
      <c r="W1314" s="27">
        <f>Parameters!U658</f>
        <v>0</v>
      </c>
      <c r="X1314" s="28">
        <f>Parameters!V658</f>
        <v>0</v>
      </c>
      <c r="Y1314" s="25">
        <f>Parameters!W658</f>
        <v>0</v>
      </c>
      <c r="Z1314" s="23">
        <f>Parameters!X658</f>
        <v>0</v>
      </c>
      <c r="AA1314" s="27">
        <f>Parameters!Y658</f>
        <v>0</v>
      </c>
      <c r="AB1314" s="28">
        <f>Parameters!Z658</f>
        <v>0</v>
      </c>
      <c r="AC1314" s="23">
        <f>Parameters!AA658</f>
        <v>0</v>
      </c>
    </row>
    <row r="1315" spans="1:29">
      <c r="A1315" s="29" t="str">
        <f>UPPER(A1314)</f>
        <v>0</v>
      </c>
      <c r="B1315" s="29">
        <f>B1314</f>
        <v>0</v>
      </c>
      <c r="C1315" s="30">
        <f>C1314</f>
        <v>0</v>
      </c>
      <c r="D1315" s="30">
        <f>D1314</f>
        <v>0</v>
      </c>
      <c r="E1315" s="29">
        <f>E1314</f>
        <v>0</v>
      </c>
      <c r="F1315" s="29">
        <f>F1314</f>
        <v>0</v>
      </c>
      <c r="G1315" s="29" t="e">
        <f>IF(C1314=1,IF(D1314="BUY",E1314+(ROUND(F1314*G1314/B1314,0)*B1314),E1314-(ROUND(F1314*G1314/B1314,0)*B1314)),IF(D1314="BUY",E1314-(ROUND(F1314*G1314/B1314,0)*B1314),E1314+(ROUND(F1314*G1314/B1314,0)*B1314)))</f>
        <v>#DIV/0!</v>
      </c>
      <c r="H1315" s="29" t="e">
        <f>IF(C1314=1,IF(D1314="BUY",G1315-(ROUND(F1314*H1314/B1314,0)*B1314),G1315+(ROUND(F1314*H1314/B1314,0)*B1314)),IF(D1314="BUY",G1315+(ROUND(F1314*H1314/B1314,0)*B1314),G1315-(ROUND(F1314*H1314/B1314,0)*B1314)))</f>
        <v>#DIV/0!</v>
      </c>
      <c r="I1315" s="29" t="e">
        <f>IF(D1314="BUY",G1315+(ROUND(F1314*I1314/(B1314*100),0)*B1314),G1315-(ROUND(F1314*I1314/(B1314*100),0)*B1314))</f>
        <v>#DIV/0!</v>
      </c>
      <c r="J1315" s="29" t="e">
        <f>IF(C1314=1,IF(D1314="BUY",E1314+(ROUND(F1314*J1314/B1314,0)*B1314),E1314-(ROUND(F1314*J1314/B1314,0)*B1314)),IF(D1314="BUY",E1314-(ROUND(F1314*J1314/B1314,0)*B1314),E1314+(ROUND(F1314*J1314/B1314,0)*B1314)))</f>
        <v>#DIV/0!</v>
      </c>
      <c r="K1315" s="29" t="e">
        <f>IF(C1314=1,IF(D1314="BUY",E1314-(ROUND(F1314*K1314/B1314,0)*B1314),E1314+(ROUND(F1314*K1314/B1314,0)*B1314)),IF(D1314="BUY",E1314-(ROUND(F1314*K1314/B1314,0)*B1314),E1314+(ROUND(F1314*K1314/B1314,0)*B1314)))</f>
        <v>#DIV/0!</v>
      </c>
      <c r="L1315" s="29" t="e">
        <f t="shared" ref="L1315" si="1967">IF(D1315="BUY",I1315+(R1315*B1315),I1315-(R1315*B1315))</f>
        <v>#DIV/0!</v>
      </c>
      <c r="M1315" s="29" t="e">
        <f>IF(D1314="BUY",E1314+(ROUND(F1314*M1314/B1314,0)*B1314),E1314-(ROUND(F1314*M1314/B1314,0)*B1314))</f>
        <v>#DIV/0!</v>
      </c>
      <c r="N1315" s="29" t="e">
        <f>IF(D1314="BUY",E1314-(ROUND(F1314*N1314/B1314,0)*B1314),E1314+(ROUND(F1314*N1314/B1314,0)*B1314))</f>
        <v>#DIV/0!</v>
      </c>
      <c r="O1315" s="31" t="e">
        <f>IF(D1315="BUY",N1315-VLOOKUP(A1315,Symbols!A$1:D$1000,4,FALSE),N1315+VLOOKUP(A1315,Symbols!A$1:D$1000,4,FALSE))</f>
        <v>#DIV/0!</v>
      </c>
      <c r="P1315" s="29">
        <f>P1314</f>
        <v>0</v>
      </c>
      <c r="Q1315" s="29">
        <f>Q1314</f>
        <v>0</v>
      </c>
      <c r="R1315" s="29">
        <f>R1314</f>
        <v>0</v>
      </c>
      <c r="S1315" s="29">
        <f>S1314</f>
        <v>0</v>
      </c>
      <c r="T1315" s="29">
        <f>T1314</f>
        <v>0</v>
      </c>
      <c r="U1315" s="29" t="e">
        <f>DATEDIF(DATE(1970,1,1),U1314,"D")*86400</f>
        <v>#NUM!</v>
      </c>
      <c r="V1315" s="29">
        <f>HOUR(V1314)*3600+MINUTE(V1314)*60+SECOND(V1314)</f>
        <v>0</v>
      </c>
      <c r="W1315" s="29" t="e">
        <f>DATEDIF(DATE(1970,1,1),W1314,"D")*86400</f>
        <v>#NUM!</v>
      </c>
      <c r="X1315" s="29">
        <f>HOUR(X1314)*3600+MINUTE(X1314)*60+SECOND(X1314)</f>
        <v>0</v>
      </c>
      <c r="Y1315" s="31">
        <f>(Y1314*B1315)</f>
        <v>0</v>
      </c>
      <c r="Z1315" s="29">
        <f>Z1314</f>
        <v>0</v>
      </c>
      <c r="AA1315" s="29" t="e">
        <f>DATEDIF(DATE(1970,1,1),AA1314,"D")*86400</f>
        <v>#NUM!</v>
      </c>
      <c r="AB1315" s="29">
        <f>HOUR(AB1314)*3600+MINUTE(AB1314)*60+SECOND(AB1314)</f>
        <v>0</v>
      </c>
      <c r="AC1315" s="29">
        <f>AC1314</f>
        <v>0</v>
      </c>
    </row>
    <row r="1316" spans="1:29">
      <c r="A1316" s="23">
        <f>Parameters!A659</f>
        <v>0</v>
      </c>
      <c r="B1316" s="23">
        <f>Parameters!B659</f>
        <v>0</v>
      </c>
      <c r="C1316" s="24">
        <f>Parameters!C659</f>
        <v>0</v>
      </c>
      <c r="D1316" s="24">
        <f>Parameters!D659</f>
        <v>0</v>
      </c>
      <c r="E1316" s="23">
        <f>Parameters!E659</f>
        <v>0</v>
      </c>
      <c r="F1316" s="23">
        <f>Parameters!F659</f>
        <v>0</v>
      </c>
      <c r="G1316" s="25">
        <f>Parameters!G659</f>
        <v>0</v>
      </c>
      <c r="H1316" s="25">
        <f>Parameters!H659</f>
        <v>0</v>
      </c>
      <c r="I1316" s="25">
        <f>Parameters!I659</f>
        <v>0</v>
      </c>
      <c r="J1316" s="25">
        <f>Parameters!J659</f>
        <v>0</v>
      </c>
      <c r="K1316" s="25">
        <f>Parameters!K659</f>
        <v>0</v>
      </c>
      <c r="L1316" s="26" t="e">
        <f t="shared" ref="L1316" si="1968">L1317</f>
        <v>#DIV/0!</v>
      </c>
      <c r="M1316" s="25">
        <f>Parameters!L659</f>
        <v>0</v>
      </c>
      <c r="N1316" s="25">
        <f>Parameters!M659</f>
        <v>0</v>
      </c>
      <c r="O1316" s="26" t="e">
        <f t="shared" ref="O1316" si="1969">O1317</f>
        <v>#DIV/0!</v>
      </c>
      <c r="P1316" s="23">
        <f>Parameters!N659</f>
        <v>0</v>
      </c>
      <c r="Q1316" s="23">
        <f>Parameters!O659</f>
        <v>0</v>
      </c>
      <c r="R1316" s="23">
        <f>Parameters!P659</f>
        <v>0</v>
      </c>
      <c r="S1316" s="23">
        <f>Parameters!Q659</f>
        <v>0</v>
      </c>
      <c r="T1316" s="23">
        <f>Parameters!R659</f>
        <v>0</v>
      </c>
      <c r="U1316" s="27">
        <f>Parameters!S659</f>
        <v>0</v>
      </c>
      <c r="V1316" s="28">
        <f>Parameters!T659</f>
        <v>0</v>
      </c>
      <c r="W1316" s="27">
        <f>Parameters!U659</f>
        <v>0</v>
      </c>
      <c r="X1316" s="28">
        <f>Parameters!V659</f>
        <v>0</v>
      </c>
      <c r="Y1316" s="25">
        <f>Parameters!W659</f>
        <v>0</v>
      </c>
      <c r="Z1316" s="23">
        <f>Parameters!X659</f>
        <v>0</v>
      </c>
      <c r="AA1316" s="27">
        <f>Parameters!Y659</f>
        <v>0</v>
      </c>
      <c r="AB1316" s="28">
        <f>Parameters!Z659</f>
        <v>0</v>
      </c>
      <c r="AC1316" s="23">
        <f>Parameters!AA659</f>
        <v>0</v>
      </c>
    </row>
    <row r="1317" spans="1:29">
      <c r="A1317" s="29" t="str">
        <f>UPPER(A1316)</f>
        <v>0</v>
      </c>
      <c r="B1317" s="29">
        <f>B1316</f>
        <v>0</v>
      </c>
      <c r="C1317" s="30">
        <f>C1316</f>
        <v>0</v>
      </c>
      <c r="D1317" s="30">
        <f>D1316</f>
        <v>0</v>
      </c>
      <c r="E1317" s="29">
        <f>E1316</f>
        <v>0</v>
      </c>
      <c r="F1317" s="29">
        <f>F1316</f>
        <v>0</v>
      </c>
      <c r="G1317" s="29" t="e">
        <f>IF(C1316=1,IF(D1316="BUY",E1316+(ROUND(F1316*G1316/B1316,0)*B1316),E1316-(ROUND(F1316*G1316/B1316,0)*B1316)),IF(D1316="BUY",E1316-(ROUND(F1316*G1316/B1316,0)*B1316),E1316+(ROUND(F1316*G1316/B1316,0)*B1316)))</f>
        <v>#DIV/0!</v>
      </c>
      <c r="H1317" s="29" t="e">
        <f>IF(C1316=1,IF(D1316="BUY",G1317-(ROUND(F1316*H1316/B1316,0)*B1316),G1317+(ROUND(F1316*H1316/B1316,0)*B1316)),IF(D1316="BUY",G1317+(ROUND(F1316*H1316/B1316,0)*B1316),G1317-(ROUND(F1316*H1316/B1316,0)*B1316)))</f>
        <v>#DIV/0!</v>
      </c>
      <c r="I1317" s="29" t="e">
        <f>IF(D1316="BUY",G1317+(ROUND(F1316*I1316/(B1316*100),0)*B1316),G1317-(ROUND(F1316*I1316/(B1316*100),0)*B1316))</f>
        <v>#DIV/0!</v>
      </c>
      <c r="J1317" s="29" t="e">
        <f>IF(C1316=1,IF(D1316="BUY",E1316+(ROUND(F1316*J1316/B1316,0)*B1316),E1316-(ROUND(F1316*J1316/B1316,0)*B1316)),IF(D1316="BUY",E1316-(ROUND(F1316*J1316/B1316,0)*B1316),E1316+(ROUND(F1316*J1316/B1316,0)*B1316)))</f>
        <v>#DIV/0!</v>
      </c>
      <c r="K1317" s="29" t="e">
        <f>IF(C1316=1,IF(D1316="BUY",E1316-(ROUND(F1316*K1316/B1316,0)*B1316),E1316+(ROUND(F1316*K1316/B1316,0)*B1316)),IF(D1316="BUY",E1316-(ROUND(F1316*K1316/B1316,0)*B1316),E1316+(ROUND(F1316*K1316/B1316,0)*B1316)))</f>
        <v>#DIV/0!</v>
      </c>
      <c r="L1317" s="29" t="e">
        <f t="shared" ref="L1317" si="1970">IF(D1317="BUY",I1317+(R1317*B1317),I1317-(R1317*B1317))</f>
        <v>#DIV/0!</v>
      </c>
      <c r="M1317" s="29" t="e">
        <f>IF(D1316="BUY",E1316+(ROUND(F1316*M1316/B1316,0)*B1316),E1316-(ROUND(F1316*M1316/B1316,0)*B1316))</f>
        <v>#DIV/0!</v>
      </c>
      <c r="N1317" s="29" t="e">
        <f>IF(D1316="BUY",E1316-(ROUND(F1316*N1316/B1316,0)*B1316),E1316+(ROUND(F1316*N1316/B1316,0)*B1316))</f>
        <v>#DIV/0!</v>
      </c>
      <c r="O1317" s="31" t="e">
        <f>IF(D1317="BUY",N1317-VLOOKUP(A1317,Symbols!A$1:D$1000,4,FALSE),N1317+VLOOKUP(A1317,Symbols!A$1:D$1000,4,FALSE))</f>
        <v>#DIV/0!</v>
      </c>
      <c r="P1317" s="29">
        <f>P1316</f>
        <v>0</v>
      </c>
      <c r="Q1317" s="29">
        <f>Q1316</f>
        <v>0</v>
      </c>
      <c r="R1317" s="29">
        <f>R1316</f>
        <v>0</v>
      </c>
      <c r="S1317" s="29">
        <f>S1316</f>
        <v>0</v>
      </c>
      <c r="T1317" s="29">
        <f>T1316</f>
        <v>0</v>
      </c>
      <c r="U1317" s="29" t="e">
        <f>DATEDIF(DATE(1970,1,1),U1316,"D")*86400</f>
        <v>#NUM!</v>
      </c>
      <c r="V1317" s="29">
        <f>HOUR(V1316)*3600+MINUTE(V1316)*60+SECOND(V1316)</f>
        <v>0</v>
      </c>
      <c r="W1317" s="29" t="e">
        <f>DATEDIF(DATE(1970,1,1),W1316,"D")*86400</f>
        <v>#NUM!</v>
      </c>
      <c r="X1317" s="29">
        <f>HOUR(X1316)*3600+MINUTE(X1316)*60+SECOND(X1316)</f>
        <v>0</v>
      </c>
      <c r="Y1317" s="31">
        <f>(Y1316*B1317)</f>
        <v>0</v>
      </c>
      <c r="Z1317" s="29">
        <f>Z1316</f>
        <v>0</v>
      </c>
      <c r="AA1317" s="29" t="e">
        <f>DATEDIF(DATE(1970,1,1),AA1316,"D")*86400</f>
        <v>#NUM!</v>
      </c>
      <c r="AB1317" s="29">
        <f>HOUR(AB1316)*3600+MINUTE(AB1316)*60+SECOND(AB1316)</f>
        <v>0</v>
      </c>
      <c r="AC1317" s="29">
        <f>AC1316</f>
        <v>0</v>
      </c>
    </row>
    <row r="1318" spans="1:29">
      <c r="A1318" s="23">
        <f>Parameters!A660</f>
        <v>0</v>
      </c>
      <c r="B1318" s="23">
        <f>Parameters!B660</f>
        <v>0</v>
      </c>
      <c r="C1318" s="24">
        <f>Parameters!C660</f>
        <v>0</v>
      </c>
      <c r="D1318" s="24">
        <f>Parameters!D660</f>
        <v>0</v>
      </c>
      <c r="E1318" s="23">
        <f>Parameters!E660</f>
        <v>0</v>
      </c>
      <c r="F1318" s="23">
        <f>Parameters!F660</f>
        <v>0</v>
      </c>
      <c r="G1318" s="25">
        <f>Parameters!G660</f>
        <v>0</v>
      </c>
      <c r="H1318" s="25">
        <f>Parameters!H660</f>
        <v>0</v>
      </c>
      <c r="I1318" s="25">
        <f>Parameters!I660</f>
        <v>0</v>
      </c>
      <c r="J1318" s="25">
        <f>Parameters!J660</f>
        <v>0</v>
      </c>
      <c r="K1318" s="25">
        <f>Parameters!K660</f>
        <v>0</v>
      </c>
      <c r="L1318" s="26" t="e">
        <f t="shared" ref="L1318" si="1971">L1319</f>
        <v>#DIV/0!</v>
      </c>
      <c r="M1318" s="25">
        <f>Parameters!L660</f>
        <v>0</v>
      </c>
      <c r="N1318" s="25">
        <f>Parameters!M660</f>
        <v>0</v>
      </c>
      <c r="O1318" s="26" t="e">
        <f t="shared" ref="O1318" si="1972">O1319</f>
        <v>#DIV/0!</v>
      </c>
      <c r="P1318" s="23">
        <f>Parameters!N660</f>
        <v>0</v>
      </c>
      <c r="Q1318" s="23">
        <f>Parameters!O660</f>
        <v>0</v>
      </c>
      <c r="R1318" s="23">
        <f>Parameters!P660</f>
        <v>0</v>
      </c>
      <c r="S1318" s="23">
        <f>Parameters!Q660</f>
        <v>0</v>
      </c>
      <c r="T1318" s="23">
        <f>Parameters!R660</f>
        <v>0</v>
      </c>
      <c r="U1318" s="27">
        <f>Parameters!S660</f>
        <v>0</v>
      </c>
      <c r="V1318" s="28">
        <f>Parameters!T660</f>
        <v>0</v>
      </c>
      <c r="W1318" s="27">
        <f>Parameters!U660</f>
        <v>0</v>
      </c>
      <c r="X1318" s="28">
        <f>Parameters!V660</f>
        <v>0</v>
      </c>
      <c r="Y1318" s="25">
        <f>Parameters!W660</f>
        <v>0</v>
      </c>
      <c r="Z1318" s="23">
        <f>Parameters!X660</f>
        <v>0</v>
      </c>
      <c r="AA1318" s="27">
        <f>Parameters!Y660</f>
        <v>0</v>
      </c>
      <c r="AB1318" s="28">
        <f>Parameters!Z660</f>
        <v>0</v>
      </c>
      <c r="AC1318" s="23">
        <f>Parameters!AA660</f>
        <v>0</v>
      </c>
    </row>
    <row r="1319" spans="1:29">
      <c r="A1319" s="29" t="str">
        <f>UPPER(A1318)</f>
        <v>0</v>
      </c>
      <c r="B1319" s="29">
        <f>B1318</f>
        <v>0</v>
      </c>
      <c r="C1319" s="30">
        <f>C1318</f>
        <v>0</v>
      </c>
      <c r="D1319" s="30">
        <f>D1318</f>
        <v>0</v>
      </c>
      <c r="E1319" s="29">
        <f>E1318</f>
        <v>0</v>
      </c>
      <c r="F1319" s="29">
        <f>F1318</f>
        <v>0</v>
      </c>
      <c r="G1319" s="29" t="e">
        <f>IF(C1318=1,IF(D1318="BUY",E1318+(ROUND(F1318*G1318/B1318,0)*B1318),E1318-(ROUND(F1318*G1318/B1318,0)*B1318)),IF(D1318="BUY",E1318-(ROUND(F1318*G1318/B1318,0)*B1318),E1318+(ROUND(F1318*G1318/B1318,0)*B1318)))</f>
        <v>#DIV/0!</v>
      </c>
      <c r="H1319" s="29" t="e">
        <f>IF(C1318=1,IF(D1318="BUY",G1319-(ROUND(F1318*H1318/B1318,0)*B1318),G1319+(ROUND(F1318*H1318/B1318,0)*B1318)),IF(D1318="BUY",G1319+(ROUND(F1318*H1318/B1318,0)*B1318),G1319-(ROUND(F1318*H1318/B1318,0)*B1318)))</f>
        <v>#DIV/0!</v>
      </c>
      <c r="I1319" s="29" t="e">
        <f>IF(D1318="BUY",G1319+(ROUND(F1318*I1318/(B1318*100),0)*B1318),G1319-(ROUND(F1318*I1318/(B1318*100),0)*B1318))</f>
        <v>#DIV/0!</v>
      </c>
      <c r="J1319" s="29" t="e">
        <f>IF(C1318=1,IF(D1318="BUY",E1318+(ROUND(F1318*J1318/B1318,0)*B1318),E1318-(ROUND(F1318*J1318/B1318,0)*B1318)),IF(D1318="BUY",E1318-(ROUND(F1318*J1318/B1318,0)*B1318),E1318+(ROUND(F1318*J1318/B1318,0)*B1318)))</f>
        <v>#DIV/0!</v>
      </c>
      <c r="K1319" s="29" t="e">
        <f>IF(C1318=1,IF(D1318="BUY",E1318-(ROUND(F1318*K1318/B1318,0)*B1318),E1318+(ROUND(F1318*K1318/B1318,0)*B1318)),IF(D1318="BUY",E1318-(ROUND(F1318*K1318/B1318,0)*B1318),E1318+(ROUND(F1318*K1318/B1318,0)*B1318)))</f>
        <v>#DIV/0!</v>
      </c>
      <c r="L1319" s="29" t="e">
        <f t="shared" ref="L1319" si="1973">IF(D1319="BUY",I1319+(R1319*B1319),I1319-(R1319*B1319))</f>
        <v>#DIV/0!</v>
      </c>
      <c r="M1319" s="29" t="e">
        <f>IF(D1318="BUY",E1318+(ROUND(F1318*M1318/B1318,0)*B1318),E1318-(ROUND(F1318*M1318/B1318,0)*B1318))</f>
        <v>#DIV/0!</v>
      </c>
      <c r="N1319" s="29" t="e">
        <f>IF(D1318="BUY",E1318-(ROUND(F1318*N1318/B1318,0)*B1318),E1318+(ROUND(F1318*N1318/B1318,0)*B1318))</f>
        <v>#DIV/0!</v>
      </c>
      <c r="O1319" s="31" t="e">
        <f>IF(D1319="BUY",N1319-VLOOKUP(A1319,Symbols!A$1:D$1000,4,FALSE),N1319+VLOOKUP(A1319,Symbols!A$1:D$1000,4,FALSE))</f>
        <v>#DIV/0!</v>
      </c>
      <c r="P1319" s="29">
        <f>P1318</f>
        <v>0</v>
      </c>
      <c r="Q1319" s="29">
        <f>Q1318</f>
        <v>0</v>
      </c>
      <c r="R1319" s="29">
        <f>R1318</f>
        <v>0</v>
      </c>
      <c r="S1319" s="29">
        <f>S1318</f>
        <v>0</v>
      </c>
      <c r="T1319" s="29">
        <f>T1318</f>
        <v>0</v>
      </c>
      <c r="U1319" s="29" t="e">
        <f>DATEDIF(DATE(1970,1,1),U1318,"D")*86400</f>
        <v>#NUM!</v>
      </c>
      <c r="V1319" s="29">
        <f>HOUR(V1318)*3600+MINUTE(V1318)*60+SECOND(V1318)</f>
        <v>0</v>
      </c>
      <c r="W1319" s="29" t="e">
        <f>DATEDIF(DATE(1970,1,1),W1318,"D")*86400</f>
        <v>#NUM!</v>
      </c>
      <c r="X1319" s="29">
        <f>HOUR(X1318)*3600+MINUTE(X1318)*60+SECOND(X1318)</f>
        <v>0</v>
      </c>
      <c r="Y1319" s="31">
        <f>(Y1318*B1319)</f>
        <v>0</v>
      </c>
      <c r="Z1319" s="29">
        <f>Z1318</f>
        <v>0</v>
      </c>
      <c r="AA1319" s="29" t="e">
        <f>DATEDIF(DATE(1970,1,1),AA1318,"D")*86400</f>
        <v>#NUM!</v>
      </c>
      <c r="AB1319" s="29">
        <f>HOUR(AB1318)*3600+MINUTE(AB1318)*60+SECOND(AB1318)</f>
        <v>0</v>
      </c>
      <c r="AC1319" s="29">
        <f>AC1318</f>
        <v>0</v>
      </c>
    </row>
    <row r="1320" spans="1:29">
      <c r="A1320" s="23">
        <f>Parameters!A661</f>
        <v>0</v>
      </c>
      <c r="B1320" s="23">
        <f>Parameters!B661</f>
        <v>0</v>
      </c>
      <c r="C1320" s="24">
        <f>Parameters!C661</f>
        <v>0</v>
      </c>
      <c r="D1320" s="24">
        <f>Parameters!D661</f>
        <v>0</v>
      </c>
      <c r="E1320" s="23">
        <f>Parameters!E661</f>
        <v>0</v>
      </c>
      <c r="F1320" s="23">
        <f>Parameters!F661</f>
        <v>0</v>
      </c>
      <c r="G1320" s="25">
        <f>Parameters!G661</f>
        <v>0</v>
      </c>
      <c r="H1320" s="25">
        <f>Parameters!H661</f>
        <v>0</v>
      </c>
      <c r="I1320" s="25">
        <f>Parameters!I661</f>
        <v>0</v>
      </c>
      <c r="J1320" s="25">
        <f>Parameters!J661</f>
        <v>0</v>
      </c>
      <c r="K1320" s="25">
        <f>Parameters!K661</f>
        <v>0</v>
      </c>
      <c r="L1320" s="26" t="e">
        <f t="shared" ref="L1320" si="1974">L1321</f>
        <v>#DIV/0!</v>
      </c>
      <c r="M1320" s="25">
        <f>Parameters!L661</f>
        <v>0</v>
      </c>
      <c r="N1320" s="25">
        <f>Parameters!M661</f>
        <v>0</v>
      </c>
      <c r="O1320" s="26" t="e">
        <f t="shared" ref="O1320" si="1975">O1321</f>
        <v>#DIV/0!</v>
      </c>
      <c r="P1320" s="23">
        <f>Parameters!N661</f>
        <v>0</v>
      </c>
      <c r="Q1320" s="23">
        <f>Parameters!O661</f>
        <v>0</v>
      </c>
      <c r="R1320" s="23">
        <f>Parameters!P661</f>
        <v>0</v>
      </c>
      <c r="S1320" s="23">
        <f>Parameters!Q661</f>
        <v>0</v>
      </c>
      <c r="T1320" s="23">
        <f>Parameters!R661</f>
        <v>0</v>
      </c>
      <c r="U1320" s="27">
        <f>Parameters!S661</f>
        <v>0</v>
      </c>
      <c r="V1320" s="28">
        <f>Parameters!T661</f>
        <v>0</v>
      </c>
      <c r="W1320" s="27">
        <f>Parameters!U661</f>
        <v>0</v>
      </c>
      <c r="X1320" s="28">
        <f>Parameters!V661</f>
        <v>0</v>
      </c>
      <c r="Y1320" s="25">
        <f>Parameters!W661</f>
        <v>0</v>
      </c>
      <c r="Z1320" s="23">
        <f>Parameters!X661</f>
        <v>0</v>
      </c>
      <c r="AA1320" s="27">
        <f>Parameters!Y661</f>
        <v>0</v>
      </c>
      <c r="AB1320" s="28">
        <f>Parameters!Z661</f>
        <v>0</v>
      </c>
      <c r="AC1320" s="23">
        <f>Parameters!AA661</f>
        <v>0</v>
      </c>
    </row>
    <row r="1321" spans="1:29">
      <c r="A1321" s="29" t="str">
        <f>UPPER(A1320)</f>
        <v>0</v>
      </c>
      <c r="B1321" s="29">
        <f>B1320</f>
        <v>0</v>
      </c>
      <c r="C1321" s="30">
        <f>C1320</f>
        <v>0</v>
      </c>
      <c r="D1321" s="30">
        <f>D1320</f>
        <v>0</v>
      </c>
      <c r="E1321" s="29">
        <f>E1320</f>
        <v>0</v>
      </c>
      <c r="F1321" s="29">
        <f>F1320</f>
        <v>0</v>
      </c>
      <c r="G1321" s="29" t="e">
        <f>IF(C1320=1,IF(D1320="BUY",E1320+(ROUND(F1320*G1320/B1320,0)*B1320),E1320-(ROUND(F1320*G1320/B1320,0)*B1320)),IF(D1320="BUY",E1320-(ROUND(F1320*G1320/B1320,0)*B1320),E1320+(ROUND(F1320*G1320/B1320,0)*B1320)))</f>
        <v>#DIV/0!</v>
      </c>
      <c r="H1321" s="29" t="e">
        <f>IF(C1320=1,IF(D1320="BUY",G1321-(ROUND(F1320*H1320/B1320,0)*B1320),G1321+(ROUND(F1320*H1320/B1320,0)*B1320)),IF(D1320="BUY",G1321+(ROUND(F1320*H1320/B1320,0)*B1320),G1321-(ROUND(F1320*H1320/B1320,0)*B1320)))</f>
        <v>#DIV/0!</v>
      </c>
      <c r="I1321" s="29" t="e">
        <f>IF(D1320="BUY",G1321+(ROUND(F1320*I1320/(B1320*100),0)*B1320),G1321-(ROUND(F1320*I1320/(B1320*100),0)*B1320))</f>
        <v>#DIV/0!</v>
      </c>
      <c r="J1321" s="29" t="e">
        <f>IF(C1320=1,IF(D1320="BUY",E1320+(ROUND(F1320*J1320/B1320,0)*B1320),E1320-(ROUND(F1320*J1320/B1320,0)*B1320)),IF(D1320="BUY",E1320-(ROUND(F1320*J1320/B1320,0)*B1320),E1320+(ROUND(F1320*J1320/B1320,0)*B1320)))</f>
        <v>#DIV/0!</v>
      </c>
      <c r="K1321" s="29" t="e">
        <f>IF(C1320=1,IF(D1320="BUY",E1320-(ROUND(F1320*K1320/B1320,0)*B1320),E1320+(ROUND(F1320*K1320/B1320,0)*B1320)),IF(D1320="BUY",E1320-(ROUND(F1320*K1320/B1320,0)*B1320),E1320+(ROUND(F1320*K1320/B1320,0)*B1320)))</f>
        <v>#DIV/0!</v>
      </c>
      <c r="L1321" s="29" t="e">
        <f t="shared" ref="L1321" si="1976">IF(D1321="BUY",I1321+(R1321*B1321),I1321-(R1321*B1321))</f>
        <v>#DIV/0!</v>
      </c>
      <c r="M1321" s="29" t="e">
        <f>IF(D1320="BUY",E1320+(ROUND(F1320*M1320/B1320,0)*B1320),E1320-(ROUND(F1320*M1320/B1320,0)*B1320))</f>
        <v>#DIV/0!</v>
      </c>
      <c r="N1321" s="29" t="e">
        <f>IF(D1320="BUY",E1320-(ROUND(F1320*N1320/B1320,0)*B1320),E1320+(ROUND(F1320*N1320/B1320,0)*B1320))</f>
        <v>#DIV/0!</v>
      </c>
      <c r="O1321" s="31" t="e">
        <f>IF(D1321="BUY",N1321-VLOOKUP(A1321,Symbols!A$1:D$1000,4,FALSE),N1321+VLOOKUP(A1321,Symbols!A$1:D$1000,4,FALSE))</f>
        <v>#DIV/0!</v>
      </c>
      <c r="P1321" s="29">
        <f>P1320</f>
        <v>0</v>
      </c>
      <c r="Q1321" s="29">
        <f>Q1320</f>
        <v>0</v>
      </c>
      <c r="R1321" s="29">
        <f>R1320</f>
        <v>0</v>
      </c>
      <c r="S1321" s="29">
        <f>S1320</f>
        <v>0</v>
      </c>
      <c r="T1321" s="29">
        <f>T1320</f>
        <v>0</v>
      </c>
      <c r="U1321" s="29" t="e">
        <f>DATEDIF(DATE(1970,1,1),U1320,"D")*86400</f>
        <v>#NUM!</v>
      </c>
      <c r="V1321" s="29">
        <f>HOUR(V1320)*3600+MINUTE(V1320)*60+SECOND(V1320)</f>
        <v>0</v>
      </c>
      <c r="W1321" s="29" t="e">
        <f>DATEDIF(DATE(1970,1,1),W1320,"D")*86400</f>
        <v>#NUM!</v>
      </c>
      <c r="X1321" s="29">
        <f>HOUR(X1320)*3600+MINUTE(X1320)*60+SECOND(X1320)</f>
        <v>0</v>
      </c>
      <c r="Y1321" s="31">
        <f>(Y1320*B1321)</f>
        <v>0</v>
      </c>
      <c r="Z1321" s="29">
        <f>Z1320</f>
        <v>0</v>
      </c>
      <c r="AA1321" s="29" t="e">
        <f>DATEDIF(DATE(1970,1,1),AA1320,"D")*86400</f>
        <v>#NUM!</v>
      </c>
      <c r="AB1321" s="29">
        <f>HOUR(AB1320)*3600+MINUTE(AB1320)*60+SECOND(AB1320)</f>
        <v>0</v>
      </c>
      <c r="AC1321" s="29">
        <f>AC1320</f>
        <v>0</v>
      </c>
    </row>
    <row r="1322" spans="1:29">
      <c r="A1322" s="23">
        <f>Parameters!A662</f>
        <v>0</v>
      </c>
      <c r="B1322" s="23">
        <f>Parameters!B662</f>
        <v>0</v>
      </c>
      <c r="C1322" s="24">
        <f>Parameters!C662</f>
        <v>0</v>
      </c>
      <c r="D1322" s="24">
        <f>Parameters!D662</f>
        <v>0</v>
      </c>
      <c r="E1322" s="23">
        <f>Parameters!E662</f>
        <v>0</v>
      </c>
      <c r="F1322" s="23">
        <f>Parameters!F662</f>
        <v>0</v>
      </c>
      <c r="G1322" s="25">
        <f>Parameters!G662</f>
        <v>0</v>
      </c>
      <c r="H1322" s="25">
        <f>Parameters!H662</f>
        <v>0</v>
      </c>
      <c r="I1322" s="25">
        <f>Parameters!I662</f>
        <v>0</v>
      </c>
      <c r="J1322" s="25">
        <f>Parameters!J662</f>
        <v>0</v>
      </c>
      <c r="K1322" s="25">
        <f>Parameters!K662</f>
        <v>0</v>
      </c>
      <c r="L1322" s="26" t="e">
        <f t="shared" ref="L1322" si="1977">L1323</f>
        <v>#DIV/0!</v>
      </c>
      <c r="M1322" s="25">
        <f>Parameters!L662</f>
        <v>0</v>
      </c>
      <c r="N1322" s="25">
        <f>Parameters!M662</f>
        <v>0</v>
      </c>
      <c r="O1322" s="26" t="e">
        <f t="shared" ref="O1322" si="1978">O1323</f>
        <v>#DIV/0!</v>
      </c>
      <c r="P1322" s="23">
        <f>Parameters!N662</f>
        <v>0</v>
      </c>
      <c r="Q1322" s="23">
        <f>Parameters!O662</f>
        <v>0</v>
      </c>
      <c r="R1322" s="23">
        <f>Parameters!P662</f>
        <v>0</v>
      </c>
      <c r="S1322" s="23">
        <f>Parameters!Q662</f>
        <v>0</v>
      </c>
      <c r="T1322" s="23">
        <f>Parameters!R662</f>
        <v>0</v>
      </c>
      <c r="U1322" s="27">
        <f>Parameters!S662</f>
        <v>0</v>
      </c>
      <c r="V1322" s="28">
        <f>Parameters!T662</f>
        <v>0</v>
      </c>
      <c r="W1322" s="27">
        <f>Parameters!U662</f>
        <v>0</v>
      </c>
      <c r="X1322" s="28">
        <f>Parameters!V662</f>
        <v>0</v>
      </c>
      <c r="Y1322" s="25">
        <f>Parameters!W662</f>
        <v>0</v>
      </c>
      <c r="Z1322" s="23">
        <f>Parameters!X662</f>
        <v>0</v>
      </c>
      <c r="AA1322" s="27">
        <f>Parameters!Y662</f>
        <v>0</v>
      </c>
      <c r="AB1322" s="28">
        <f>Parameters!Z662</f>
        <v>0</v>
      </c>
      <c r="AC1322" s="23">
        <f>Parameters!AA662</f>
        <v>0</v>
      </c>
    </row>
    <row r="1323" spans="1:29">
      <c r="A1323" s="29" t="str">
        <f>UPPER(A1322)</f>
        <v>0</v>
      </c>
      <c r="B1323" s="29">
        <f>B1322</f>
        <v>0</v>
      </c>
      <c r="C1323" s="30">
        <f>C1322</f>
        <v>0</v>
      </c>
      <c r="D1323" s="30">
        <f>D1322</f>
        <v>0</v>
      </c>
      <c r="E1323" s="29">
        <f>E1322</f>
        <v>0</v>
      </c>
      <c r="F1323" s="29">
        <f>F1322</f>
        <v>0</v>
      </c>
      <c r="G1323" s="29" t="e">
        <f>IF(C1322=1,IF(D1322="BUY",E1322+(ROUND(F1322*G1322/B1322,0)*B1322),E1322-(ROUND(F1322*G1322/B1322,0)*B1322)),IF(D1322="BUY",E1322-(ROUND(F1322*G1322/B1322,0)*B1322),E1322+(ROUND(F1322*G1322/B1322,0)*B1322)))</f>
        <v>#DIV/0!</v>
      </c>
      <c r="H1323" s="29" t="e">
        <f>IF(C1322=1,IF(D1322="BUY",G1323-(ROUND(F1322*H1322/B1322,0)*B1322),G1323+(ROUND(F1322*H1322/B1322,0)*B1322)),IF(D1322="BUY",G1323+(ROUND(F1322*H1322/B1322,0)*B1322),G1323-(ROUND(F1322*H1322/B1322,0)*B1322)))</f>
        <v>#DIV/0!</v>
      </c>
      <c r="I1323" s="29" t="e">
        <f>IF(D1322="BUY",G1323+(ROUND(F1322*I1322/(B1322*100),0)*B1322),G1323-(ROUND(F1322*I1322/(B1322*100),0)*B1322))</f>
        <v>#DIV/0!</v>
      </c>
      <c r="J1323" s="29" t="e">
        <f>IF(C1322=1,IF(D1322="BUY",E1322+(ROUND(F1322*J1322/B1322,0)*B1322),E1322-(ROUND(F1322*J1322/B1322,0)*B1322)),IF(D1322="BUY",E1322-(ROUND(F1322*J1322/B1322,0)*B1322),E1322+(ROUND(F1322*J1322/B1322,0)*B1322)))</f>
        <v>#DIV/0!</v>
      </c>
      <c r="K1323" s="29" t="e">
        <f>IF(C1322=1,IF(D1322="BUY",E1322-(ROUND(F1322*K1322/B1322,0)*B1322),E1322+(ROUND(F1322*K1322/B1322,0)*B1322)),IF(D1322="BUY",E1322-(ROUND(F1322*K1322/B1322,0)*B1322),E1322+(ROUND(F1322*K1322/B1322,0)*B1322)))</f>
        <v>#DIV/0!</v>
      </c>
      <c r="L1323" s="29" t="e">
        <f t="shared" ref="L1323" si="1979">IF(D1323="BUY",I1323+(R1323*B1323),I1323-(R1323*B1323))</f>
        <v>#DIV/0!</v>
      </c>
      <c r="M1323" s="29" t="e">
        <f>IF(D1322="BUY",E1322+(ROUND(F1322*M1322/B1322,0)*B1322),E1322-(ROUND(F1322*M1322/B1322,0)*B1322))</f>
        <v>#DIV/0!</v>
      </c>
      <c r="N1323" s="29" t="e">
        <f>IF(D1322="BUY",E1322-(ROUND(F1322*N1322/B1322,0)*B1322),E1322+(ROUND(F1322*N1322/B1322,0)*B1322))</f>
        <v>#DIV/0!</v>
      </c>
      <c r="O1323" s="31" t="e">
        <f>IF(D1323="BUY",N1323-VLOOKUP(A1323,Symbols!A$1:D$1000,4,FALSE),N1323+VLOOKUP(A1323,Symbols!A$1:D$1000,4,FALSE))</f>
        <v>#DIV/0!</v>
      </c>
      <c r="P1323" s="29">
        <f>P1322</f>
        <v>0</v>
      </c>
      <c r="Q1323" s="29">
        <f>Q1322</f>
        <v>0</v>
      </c>
      <c r="R1323" s="29">
        <f>R1322</f>
        <v>0</v>
      </c>
      <c r="S1323" s="29">
        <f>S1322</f>
        <v>0</v>
      </c>
      <c r="T1323" s="29">
        <f>T1322</f>
        <v>0</v>
      </c>
      <c r="U1323" s="29" t="e">
        <f>DATEDIF(DATE(1970,1,1),U1322,"D")*86400</f>
        <v>#NUM!</v>
      </c>
      <c r="V1323" s="29">
        <f>HOUR(V1322)*3600+MINUTE(V1322)*60+SECOND(V1322)</f>
        <v>0</v>
      </c>
      <c r="W1323" s="29" t="e">
        <f>DATEDIF(DATE(1970,1,1),W1322,"D")*86400</f>
        <v>#NUM!</v>
      </c>
      <c r="X1323" s="29">
        <f>HOUR(X1322)*3600+MINUTE(X1322)*60+SECOND(X1322)</f>
        <v>0</v>
      </c>
      <c r="Y1323" s="31">
        <f>(Y1322*B1323)</f>
        <v>0</v>
      </c>
      <c r="Z1323" s="29">
        <f>Z1322</f>
        <v>0</v>
      </c>
      <c r="AA1323" s="29" t="e">
        <f>DATEDIF(DATE(1970,1,1),AA1322,"D")*86400</f>
        <v>#NUM!</v>
      </c>
      <c r="AB1323" s="29">
        <f>HOUR(AB1322)*3600+MINUTE(AB1322)*60+SECOND(AB1322)</f>
        <v>0</v>
      </c>
      <c r="AC1323" s="29">
        <f>AC1322</f>
        <v>0</v>
      </c>
    </row>
    <row r="1324" spans="1:29">
      <c r="A1324" s="23">
        <f>Parameters!A663</f>
        <v>0</v>
      </c>
      <c r="B1324" s="23">
        <f>Parameters!B663</f>
        <v>0</v>
      </c>
      <c r="C1324" s="24">
        <f>Parameters!C663</f>
        <v>0</v>
      </c>
      <c r="D1324" s="24">
        <f>Parameters!D663</f>
        <v>0</v>
      </c>
      <c r="E1324" s="23">
        <f>Parameters!E663</f>
        <v>0</v>
      </c>
      <c r="F1324" s="23">
        <f>Parameters!F663</f>
        <v>0</v>
      </c>
      <c r="G1324" s="25">
        <f>Parameters!G663</f>
        <v>0</v>
      </c>
      <c r="H1324" s="25">
        <f>Parameters!H663</f>
        <v>0</v>
      </c>
      <c r="I1324" s="25">
        <f>Parameters!I663</f>
        <v>0</v>
      </c>
      <c r="J1324" s="25">
        <f>Parameters!J663</f>
        <v>0</v>
      </c>
      <c r="K1324" s="25">
        <f>Parameters!K663</f>
        <v>0</v>
      </c>
      <c r="L1324" s="26" t="e">
        <f t="shared" ref="L1324" si="1980">L1325</f>
        <v>#DIV/0!</v>
      </c>
      <c r="M1324" s="25">
        <f>Parameters!L663</f>
        <v>0</v>
      </c>
      <c r="N1324" s="25">
        <f>Parameters!M663</f>
        <v>0</v>
      </c>
      <c r="O1324" s="26" t="e">
        <f t="shared" ref="O1324" si="1981">O1325</f>
        <v>#DIV/0!</v>
      </c>
      <c r="P1324" s="23">
        <f>Parameters!N663</f>
        <v>0</v>
      </c>
      <c r="Q1324" s="23">
        <f>Parameters!O663</f>
        <v>0</v>
      </c>
      <c r="R1324" s="23">
        <f>Parameters!P663</f>
        <v>0</v>
      </c>
      <c r="S1324" s="23">
        <f>Parameters!Q663</f>
        <v>0</v>
      </c>
      <c r="T1324" s="23">
        <f>Parameters!R663</f>
        <v>0</v>
      </c>
      <c r="U1324" s="27">
        <f>Parameters!S663</f>
        <v>0</v>
      </c>
      <c r="V1324" s="28">
        <f>Parameters!T663</f>
        <v>0</v>
      </c>
      <c r="W1324" s="27">
        <f>Parameters!U663</f>
        <v>0</v>
      </c>
      <c r="X1324" s="28">
        <f>Parameters!V663</f>
        <v>0</v>
      </c>
      <c r="Y1324" s="25">
        <f>Parameters!W663</f>
        <v>0</v>
      </c>
      <c r="Z1324" s="23">
        <f>Parameters!X663</f>
        <v>0</v>
      </c>
      <c r="AA1324" s="27">
        <f>Parameters!Y663</f>
        <v>0</v>
      </c>
      <c r="AB1324" s="28">
        <f>Parameters!Z663</f>
        <v>0</v>
      </c>
      <c r="AC1324" s="23">
        <f>Parameters!AA663</f>
        <v>0</v>
      </c>
    </row>
    <row r="1325" spans="1:29">
      <c r="A1325" s="29" t="str">
        <f>UPPER(A1324)</f>
        <v>0</v>
      </c>
      <c r="B1325" s="29">
        <f>B1324</f>
        <v>0</v>
      </c>
      <c r="C1325" s="30">
        <f>C1324</f>
        <v>0</v>
      </c>
      <c r="D1325" s="30">
        <f>D1324</f>
        <v>0</v>
      </c>
      <c r="E1325" s="29">
        <f>E1324</f>
        <v>0</v>
      </c>
      <c r="F1325" s="29">
        <f>F1324</f>
        <v>0</v>
      </c>
      <c r="G1325" s="29" t="e">
        <f>IF(C1324=1,IF(D1324="BUY",E1324+(ROUND(F1324*G1324/B1324,0)*B1324),E1324-(ROUND(F1324*G1324/B1324,0)*B1324)),IF(D1324="BUY",E1324-(ROUND(F1324*G1324/B1324,0)*B1324),E1324+(ROUND(F1324*G1324/B1324,0)*B1324)))</f>
        <v>#DIV/0!</v>
      </c>
      <c r="H1325" s="29" t="e">
        <f>IF(C1324=1,IF(D1324="BUY",G1325-(ROUND(F1324*H1324/B1324,0)*B1324),G1325+(ROUND(F1324*H1324/B1324,0)*B1324)),IF(D1324="BUY",G1325+(ROUND(F1324*H1324/B1324,0)*B1324),G1325-(ROUND(F1324*H1324/B1324,0)*B1324)))</f>
        <v>#DIV/0!</v>
      </c>
      <c r="I1325" s="29" t="e">
        <f>IF(D1324="BUY",G1325+(ROUND(F1324*I1324/(B1324*100),0)*B1324),G1325-(ROUND(F1324*I1324/(B1324*100),0)*B1324))</f>
        <v>#DIV/0!</v>
      </c>
      <c r="J1325" s="29" t="e">
        <f>IF(C1324=1,IF(D1324="BUY",E1324+(ROUND(F1324*J1324/B1324,0)*B1324),E1324-(ROUND(F1324*J1324/B1324,0)*B1324)),IF(D1324="BUY",E1324-(ROUND(F1324*J1324/B1324,0)*B1324),E1324+(ROUND(F1324*J1324/B1324,0)*B1324)))</f>
        <v>#DIV/0!</v>
      </c>
      <c r="K1325" s="29" t="e">
        <f>IF(C1324=1,IF(D1324="BUY",E1324-(ROUND(F1324*K1324/B1324,0)*B1324),E1324+(ROUND(F1324*K1324/B1324,0)*B1324)),IF(D1324="BUY",E1324-(ROUND(F1324*K1324/B1324,0)*B1324),E1324+(ROUND(F1324*K1324/B1324,0)*B1324)))</f>
        <v>#DIV/0!</v>
      </c>
      <c r="L1325" s="29" t="e">
        <f t="shared" ref="L1325" si="1982">IF(D1325="BUY",I1325+(R1325*B1325),I1325-(R1325*B1325))</f>
        <v>#DIV/0!</v>
      </c>
      <c r="M1325" s="29" t="e">
        <f>IF(D1324="BUY",E1324+(ROUND(F1324*M1324/B1324,0)*B1324),E1324-(ROUND(F1324*M1324/B1324,0)*B1324))</f>
        <v>#DIV/0!</v>
      </c>
      <c r="N1325" s="29" t="e">
        <f>IF(D1324="BUY",E1324-(ROUND(F1324*N1324/B1324,0)*B1324),E1324+(ROUND(F1324*N1324/B1324,0)*B1324))</f>
        <v>#DIV/0!</v>
      </c>
      <c r="O1325" s="31" t="e">
        <f>IF(D1325="BUY",N1325-VLOOKUP(A1325,Symbols!A$1:D$1000,4,FALSE),N1325+VLOOKUP(A1325,Symbols!A$1:D$1000,4,FALSE))</f>
        <v>#DIV/0!</v>
      </c>
      <c r="P1325" s="29">
        <f>P1324</f>
        <v>0</v>
      </c>
      <c r="Q1325" s="29">
        <f>Q1324</f>
        <v>0</v>
      </c>
      <c r="R1325" s="29">
        <f>R1324</f>
        <v>0</v>
      </c>
      <c r="S1325" s="29">
        <f>S1324</f>
        <v>0</v>
      </c>
      <c r="T1325" s="29">
        <f>T1324</f>
        <v>0</v>
      </c>
      <c r="U1325" s="29" t="e">
        <f>DATEDIF(DATE(1970,1,1),U1324,"D")*86400</f>
        <v>#NUM!</v>
      </c>
      <c r="V1325" s="29">
        <f>HOUR(V1324)*3600+MINUTE(V1324)*60+SECOND(V1324)</f>
        <v>0</v>
      </c>
      <c r="W1325" s="29" t="e">
        <f>DATEDIF(DATE(1970,1,1),W1324,"D")*86400</f>
        <v>#NUM!</v>
      </c>
      <c r="X1325" s="29">
        <f>HOUR(X1324)*3600+MINUTE(X1324)*60+SECOND(X1324)</f>
        <v>0</v>
      </c>
      <c r="Y1325" s="31">
        <f>(Y1324*B1325)</f>
        <v>0</v>
      </c>
      <c r="Z1325" s="29">
        <f>Z1324</f>
        <v>0</v>
      </c>
      <c r="AA1325" s="29" t="e">
        <f>DATEDIF(DATE(1970,1,1),AA1324,"D")*86400</f>
        <v>#NUM!</v>
      </c>
      <c r="AB1325" s="29">
        <f>HOUR(AB1324)*3600+MINUTE(AB1324)*60+SECOND(AB1324)</f>
        <v>0</v>
      </c>
      <c r="AC1325" s="29">
        <f>AC1324</f>
        <v>0</v>
      </c>
    </row>
    <row r="1326" spans="1:29">
      <c r="A1326" s="23">
        <f>Parameters!A664</f>
        <v>0</v>
      </c>
      <c r="B1326" s="23">
        <f>Parameters!B664</f>
        <v>0</v>
      </c>
      <c r="C1326" s="24">
        <f>Parameters!C664</f>
        <v>0</v>
      </c>
      <c r="D1326" s="24">
        <f>Parameters!D664</f>
        <v>0</v>
      </c>
      <c r="E1326" s="23">
        <f>Parameters!E664</f>
        <v>0</v>
      </c>
      <c r="F1326" s="23">
        <f>Parameters!F664</f>
        <v>0</v>
      </c>
      <c r="G1326" s="25">
        <f>Parameters!G664</f>
        <v>0</v>
      </c>
      <c r="H1326" s="25">
        <f>Parameters!H664</f>
        <v>0</v>
      </c>
      <c r="I1326" s="25">
        <f>Parameters!I664</f>
        <v>0</v>
      </c>
      <c r="J1326" s="25">
        <f>Parameters!J664</f>
        <v>0</v>
      </c>
      <c r="K1326" s="25">
        <f>Parameters!K664</f>
        <v>0</v>
      </c>
      <c r="L1326" s="26" t="e">
        <f t="shared" ref="L1326" si="1983">L1327</f>
        <v>#DIV/0!</v>
      </c>
      <c r="M1326" s="25">
        <f>Parameters!L664</f>
        <v>0</v>
      </c>
      <c r="N1326" s="25">
        <f>Parameters!M664</f>
        <v>0</v>
      </c>
      <c r="O1326" s="26" t="e">
        <f t="shared" ref="O1326" si="1984">O1327</f>
        <v>#DIV/0!</v>
      </c>
      <c r="P1326" s="23">
        <f>Parameters!N664</f>
        <v>0</v>
      </c>
      <c r="Q1326" s="23">
        <f>Parameters!O664</f>
        <v>0</v>
      </c>
      <c r="R1326" s="23">
        <f>Parameters!P664</f>
        <v>0</v>
      </c>
      <c r="S1326" s="23">
        <f>Parameters!Q664</f>
        <v>0</v>
      </c>
      <c r="T1326" s="23">
        <f>Parameters!R664</f>
        <v>0</v>
      </c>
      <c r="U1326" s="27">
        <f>Parameters!S664</f>
        <v>0</v>
      </c>
      <c r="V1326" s="28">
        <f>Parameters!T664</f>
        <v>0</v>
      </c>
      <c r="W1326" s="27">
        <f>Parameters!U664</f>
        <v>0</v>
      </c>
      <c r="X1326" s="28">
        <f>Parameters!V664</f>
        <v>0</v>
      </c>
      <c r="Y1326" s="25">
        <f>Parameters!W664</f>
        <v>0</v>
      </c>
      <c r="Z1326" s="23">
        <f>Parameters!X664</f>
        <v>0</v>
      </c>
      <c r="AA1326" s="27">
        <f>Parameters!Y664</f>
        <v>0</v>
      </c>
      <c r="AB1326" s="28">
        <f>Parameters!Z664</f>
        <v>0</v>
      </c>
      <c r="AC1326" s="23">
        <f>Parameters!AA664</f>
        <v>0</v>
      </c>
    </row>
    <row r="1327" spans="1:29">
      <c r="A1327" s="29" t="str">
        <f>UPPER(A1326)</f>
        <v>0</v>
      </c>
      <c r="B1327" s="29">
        <f>B1326</f>
        <v>0</v>
      </c>
      <c r="C1327" s="30">
        <f>C1326</f>
        <v>0</v>
      </c>
      <c r="D1327" s="30">
        <f>D1326</f>
        <v>0</v>
      </c>
      <c r="E1327" s="29">
        <f>E1326</f>
        <v>0</v>
      </c>
      <c r="F1327" s="29">
        <f>F1326</f>
        <v>0</v>
      </c>
      <c r="G1327" s="29" t="e">
        <f>IF(C1326=1,IF(D1326="BUY",E1326+(ROUND(F1326*G1326/B1326,0)*B1326),E1326-(ROUND(F1326*G1326/B1326,0)*B1326)),IF(D1326="BUY",E1326-(ROUND(F1326*G1326/B1326,0)*B1326),E1326+(ROUND(F1326*G1326/B1326,0)*B1326)))</f>
        <v>#DIV/0!</v>
      </c>
      <c r="H1327" s="29" t="e">
        <f>IF(C1326=1,IF(D1326="BUY",G1327-(ROUND(F1326*H1326/B1326,0)*B1326),G1327+(ROUND(F1326*H1326/B1326,0)*B1326)),IF(D1326="BUY",G1327+(ROUND(F1326*H1326/B1326,0)*B1326),G1327-(ROUND(F1326*H1326/B1326,0)*B1326)))</f>
        <v>#DIV/0!</v>
      </c>
      <c r="I1327" s="29" t="e">
        <f>IF(D1326="BUY",G1327+(ROUND(F1326*I1326/(B1326*100),0)*B1326),G1327-(ROUND(F1326*I1326/(B1326*100),0)*B1326))</f>
        <v>#DIV/0!</v>
      </c>
      <c r="J1327" s="29" t="e">
        <f>IF(C1326=1,IF(D1326="BUY",E1326+(ROUND(F1326*J1326/B1326,0)*B1326),E1326-(ROUND(F1326*J1326/B1326,0)*B1326)),IF(D1326="BUY",E1326-(ROUND(F1326*J1326/B1326,0)*B1326),E1326+(ROUND(F1326*J1326/B1326,0)*B1326)))</f>
        <v>#DIV/0!</v>
      </c>
      <c r="K1327" s="29" t="e">
        <f>IF(C1326=1,IF(D1326="BUY",E1326-(ROUND(F1326*K1326/B1326,0)*B1326),E1326+(ROUND(F1326*K1326/B1326,0)*B1326)),IF(D1326="BUY",E1326-(ROUND(F1326*K1326/B1326,0)*B1326),E1326+(ROUND(F1326*K1326/B1326,0)*B1326)))</f>
        <v>#DIV/0!</v>
      </c>
      <c r="L1327" s="29" t="e">
        <f t="shared" ref="L1327" si="1985">IF(D1327="BUY",I1327+(R1327*B1327),I1327-(R1327*B1327))</f>
        <v>#DIV/0!</v>
      </c>
      <c r="M1327" s="29" t="e">
        <f>IF(D1326="BUY",E1326+(ROUND(F1326*M1326/B1326,0)*B1326),E1326-(ROUND(F1326*M1326/B1326,0)*B1326))</f>
        <v>#DIV/0!</v>
      </c>
      <c r="N1327" s="29" t="e">
        <f>IF(D1326="BUY",E1326-(ROUND(F1326*N1326/B1326,0)*B1326),E1326+(ROUND(F1326*N1326/B1326,0)*B1326))</f>
        <v>#DIV/0!</v>
      </c>
      <c r="O1327" s="31" t="e">
        <f>IF(D1327="BUY",N1327-VLOOKUP(A1327,Symbols!A$1:D$1000,4,FALSE),N1327+VLOOKUP(A1327,Symbols!A$1:D$1000,4,FALSE))</f>
        <v>#DIV/0!</v>
      </c>
      <c r="P1327" s="29">
        <f>P1326</f>
        <v>0</v>
      </c>
      <c r="Q1327" s="29">
        <f>Q1326</f>
        <v>0</v>
      </c>
      <c r="R1327" s="29">
        <f>R1326</f>
        <v>0</v>
      </c>
      <c r="S1327" s="29">
        <f>S1326</f>
        <v>0</v>
      </c>
      <c r="T1327" s="29">
        <f>T1326</f>
        <v>0</v>
      </c>
      <c r="U1327" s="29" t="e">
        <f>DATEDIF(DATE(1970,1,1),U1326,"D")*86400</f>
        <v>#NUM!</v>
      </c>
      <c r="V1327" s="29">
        <f>HOUR(V1326)*3600+MINUTE(V1326)*60+SECOND(V1326)</f>
        <v>0</v>
      </c>
      <c r="W1327" s="29" t="e">
        <f>DATEDIF(DATE(1970,1,1),W1326,"D")*86400</f>
        <v>#NUM!</v>
      </c>
      <c r="X1327" s="29">
        <f>HOUR(X1326)*3600+MINUTE(X1326)*60+SECOND(X1326)</f>
        <v>0</v>
      </c>
      <c r="Y1327" s="31">
        <f>(Y1326*B1327)</f>
        <v>0</v>
      </c>
      <c r="Z1327" s="29">
        <f>Z1326</f>
        <v>0</v>
      </c>
      <c r="AA1327" s="29" t="e">
        <f>DATEDIF(DATE(1970,1,1),AA1326,"D")*86400</f>
        <v>#NUM!</v>
      </c>
      <c r="AB1327" s="29">
        <f>HOUR(AB1326)*3600+MINUTE(AB1326)*60+SECOND(AB1326)</f>
        <v>0</v>
      </c>
      <c r="AC1327" s="29">
        <f>AC1326</f>
        <v>0</v>
      </c>
    </row>
    <row r="1328" spans="1:29">
      <c r="A1328" s="23">
        <f>Parameters!A665</f>
        <v>0</v>
      </c>
      <c r="B1328" s="23">
        <f>Parameters!B665</f>
        <v>0</v>
      </c>
      <c r="C1328" s="24">
        <f>Parameters!C665</f>
        <v>0</v>
      </c>
      <c r="D1328" s="24">
        <f>Parameters!D665</f>
        <v>0</v>
      </c>
      <c r="E1328" s="23">
        <f>Parameters!E665</f>
        <v>0</v>
      </c>
      <c r="F1328" s="23">
        <f>Parameters!F665</f>
        <v>0</v>
      </c>
      <c r="G1328" s="25">
        <f>Parameters!G665</f>
        <v>0</v>
      </c>
      <c r="H1328" s="25">
        <f>Parameters!H665</f>
        <v>0</v>
      </c>
      <c r="I1328" s="25">
        <f>Parameters!I665</f>
        <v>0</v>
      </c>
      <c r="J1328" s="25">
        <f>Parameters!J665</f>
        <v>0</v>
      </c>
      <c r="K1328" s="25">
        <f>Parameters!K665</f>
        <v>0</v>
      </c>
      <c r="L1328" s="26" t="e">
        <f t="shared" ref="L1328" si="1986">L1329</f>
        <v>#DIV/0!</v>
      </c>
      <c r="M1328" s="25">
        <f>Parameters!L665</f>
        <v>0</v>
      </c>
      <c r="N1328" s="25">
        <f>Parameters!M665</f>
        <v>0</v>
      </c>
      <c r="O1328" s="26" t="e">
        <f t="shared" ref="O1328" si="1987">O1329</f>
        <v>#DIV/0!</v>
      </c>
      <c r="P1328" s="23">
        <f>Parameters!N665</f>
        <v>0</v>
      </c>
      <c r="Q1328" s="23">
        <f>Parameters!O665</f>
        <v>0</v>
      </c>
      <c r="R1328" s="23">
        <f>Parameters!P665</f>
        <v>0</v>
      </c>
      <c r="S1328" s="23">
        <f>Parameters!Q665</f>
        <v>0</v>
      </c>
      <c r="T1328" s="23">
        <f>Parameters!R665</f>
        <v>0</v>
      </c>
      <c r="U1328" s="27">
        <f>Parameters!S665</f>
        <v>0</v>
      </c>
      <c r="V1328" s="28">
        <f>Parameters!T665</f>
        <v>0</v>
      </c>
      <c r="W1328" s="27">
        <f>Parameters!U665</f>
        <v>0</v>
      </c>
      <c r="X1328" s="28">
        <f>Parameters!V665</f>
        <v>0</v>
      </c>
      <c r="Y1328" s="25">
        <f>Parameters!W665</f>
        <v>0</v>
      </c>
      <c r="Z1328" s="23">
        <f>Parameters!X665</f>
        <v>0</v>
      </c>
      <c r="AA1328" s="27">
        <f>Parameters!Y665</f>
        <v>0</v>
      </c>
      <c r="AB1328" s="28">
        <f>Parameters!Z665</f>
        <v>0</v>
      </c>
      <c r="AC1328" s="23">
        <f>Parameters!AA665</f>
        <v>0</v>
      </c>
    </row>
    <row r="1329" spans="1:29">
      <c r="A1329" s="29" t="str">
        <f>UPPER(A1328)</f>
        <v>0</v>
      </c>
      <c r="B1329" s="29">
        <f>B1328</f>
        <v>0</v>
      </c>
      <c r="C1329" s="30">
        <f>C1328</f>
        <v>0</v>
      </c>
      <c r="D1329" s="30">
        <f>D1328</f>
        <v>0</v>
      </c>
      <c r="E1329" s="29">
        <f>E1328</f>
        <v>0</v>
      </c>
      <c r="F1329" s="29">
        <f>F1328</f>
        <v>0</v>
      </c>
      <c r="G1329" s="29" t="e">
        <f>IF(C1328=1,IF(D1328="BUY",E1328+(ROUND(F1328*G1328/B1328,0)*B1328),E1328-(ROUND(F1328*G1328/B1328,0)*B1328)),IF(D1328="BUY",E1328-(ROUND(F1328*G1328/B1328,0)*B1328),E1328+(ROUND(F1328*G1328/B1328,0)*B1328)))</f>
        <v>#DIV/0!</v>
      </c>
      <c r="H1329" s="29" t="e">
        <f>IF(C1328=1,IF(D1328="BUY",G1329-(ROUND(F1328*H1328/B1328,0)*B1328),G1329+(ROUND(F1328*H1328/B1328,0)*B1328)),IF(D1328="BUY",G1329+(ROUND(F1328*H1328/B1328,0)*B1328),G1329-(ROUND(F1328*H1328/B1328,0)*B1328)))</f>
        <v>#DIV/0!</v>
      </c>
      <c r="I1329" s="29" t="e">
        <f>IF(D1328="BUY",G1329+(ROUND(F1328*I1328/(B1328*100),0)*B1328),G1329-(ROUND(F1328*I1328/(B1328*100),0)*B1328))</f>
        <v>#DIV/0!</v>
      </c>
      <c r="J1329" s="29" t="e">
        <f>IF(C1328=1,IF(D1328="BUY",E1328+(ROUND(F1328*J1328/B1328,0)*B1328),E1328-(ROUND(F1328*J1328/B1328,0)*B1328)),IF(D1328="BUY",E1328-(ROUND(F1328*J1328/B1328,0)*B1328),E1328+(ROUND(F1328*J1328/B1328,0)*B1328)))</f>
        <v>#DIV/0!</v>
      </c>
      <c r="K1329" s="29" t="e">
        <f>IF(C1328=1,IF(D1328="BUY",E1328-(ROUND(F1328*K1328/B1328,0)*B1328),E1328+(ROUND(F1328*K1328/B1328,0)*B1328)),IF(D1328="BUY",E1328-(ROUND(F1328*K1328/B1328,0)*B1328),E1328+(ROUND(F1328*K1328/B1328,0)*B1328)))</f>
        <v>#DIV/0!</v>
      </c>
      <c r="L1329" s="29" t="e">
        <f t="shared" ref="L1329" si="1988">IF(D1329="BUY",I1329+(R1329*B1329),I1329-(R1329*B1329))</f>
        <v>#DIV/0!</v>
      </c>
      <c r="M1329" s="29" t="e">
        <f>IF(D1328="BUY",E1328+(ROUND(F1328*M1328/B1328,0)*B1328),E1328-(ROUND(F1328*M1328/B1328,0)*B1328))</f>
        <v>#DIV/0!</v>
      </c>
      <c r="N1329" s="29" t="e">
        <f>IF(D1328="BUY",E1328-(ROUND(F1328*N1328/B1328,0)*B1328),E1328+(ROUND(F1328*N1328/B1328,0)*B1328))</f>
        <v>#DIV/0!</v>
      </c>
      <c r="O1329" s="31" t="e">
        <f>IF(D1329="BUY",N1329-VLOOKUP(A1329,Symbols!A$1:D$1000,4,FALSE),N1329+VLOOKUP(A1329,Symbols!A$1:D$1000,4,FALSE))</f>
        <v>#DIV/0!</v>
      </c>
      <c r="P1329" s="29">
        <f>P1328</f>
        <v>0</v>
      </c>
      <c r="Q1329" s="29">
        <f>Q1328</f>
        <v>0</v>
      </c>
      <c r="R1329" s="29">
        <f>R1328</f>
        <v>0</v>
      </c>
      <c r="S1329" s="29">
        <f>S1328</f>
        <v>0</v>
      </c>
      <c r="T1329" s="29">
        <f>T1328</f>
        <v>0</v>
      </c>
      <c r="U1329" s="29" t="e">
        <f>DATEDIF(DATE(1970,1,1),U1328,"D")*86400</f>
        <v>#NUM!</v>
      </c>
      <c r="V1329" s="29">
        <f>HOUR(V1328)*3600+MINUTE(V1328)*60+SECOND(V1328)</f>
        <v>0</v>
      </c>
      <c r="W1329" s="29" t="e">
        <f>DATEDIF(DATE(1970,1,1),W1328,"D")*86400</f>
        <v>#NUM!</v>
      </c>
      <c r="X1329" s="29">
        <f>HOUR(X1328)*3600+MINUTE(X1328)*60+SECOND(X1328)</f>
        <v>0</v>
      </c>
      <c r="Y1329" s="31">
        <f>(Y1328*B1329)</f>
        <v>0</v>
      </c>
      <c r="Z1329" s="29">
        <f>Z1328</f>
        <v>0</v>
      </c>
      <c r="AA1329" s="29" t="e">
        <f>DATEDIF(DATE(1970,1,1),AA1328,"D")*86400</f>
        <v>#NUM!</v>
      </c>
      <c r="AB1329" s="29">
        <f>HOUR(AB1328)*3600+MINUTE(AB1328)*60+SECOND(AB1328)</f>
        <v>0</v>
      </c>
      <c r="AC1329" s="29">
        <f>AC1328</f>
        <v>0</v>
      </c>
    </row>
    <row r="1330" spans="1:29">
      <c r="A1330" s="23">
        <f>Parameters!A666</f>
        <v>0</v>
      </c>
      <c r="B1330" s="23">
        <f>Parameters!B666</f>
        <v>0</v>
      </c>
      <c r="C1330" s="24">
        <f>Parameters!C666</f>
        <v>0</v>
      </c>
      <c r="D1330" s="24">
        <f>Parameters!D666</f>
        <v>0</v>
      </c>
      <c r="E1330" s="23">
        <f>Parameters!E666</f>
        <v>0</v>
      </c>
      <c r="F1330" s="23">
        <f>Parameters!F666</f>
        <v>0</v>
      </c>
      <c r="G1330" s="25">
        <f>Parameters!G666</f>
        <v>0</v>
      </c>
      <c r="H1330" s="25">
        <f>Parameters!H666</f>
        <v>0</v>
      </c>
      <c r="I1330" s="25">
        <f>Parameters!I666</f>
        <v>0</v>
      </c>
      <c r="J1330" s="25">
        <f>Parameters!J666</f>
        <v>0</v>
      </c>
      <c r="K1330" s="25">
        <f>Parameters!K666</f>
        <v>0</v>
      </c>
      <c r="L1330" s="26" t="e">
        <f t="shared" ref="L1330" si="1989">L1331</f>
        <v>#DIV/0!</v>
      </c>
      <c r="M1330" s="25">
        <f>Parameters!L666</f>
        <v>0</v>
      </c>
      <c r="N1330" s="25">
        <f>Parameters!M666</f>
        <v>0</v>
      </c>
      <c r="O1330" s="26" t="e">
        <f t="shared" ref="O1330" si="1990">O1331</f>
        <v>#DIV/0!</v>
      </c>
      <c r="P1330" s="23">
        <f>Parameters!N666</f>
        <v>0</v>
      </c>
      <c r="Q1330" s="23">
        <f>Parameters!O666</f>
        <v>0</v>
      </c>
      <c r="R1330" s="23">
        <f>Parameters!P666</f>
        <v>0</v>
      </c>
      <c r="S1330" s="23">
        <f>Parameters!Q666</f>
        <v>0</v>
      </c>
      <c r="T1330" s="23">
        <f>Parameters!R666</f>
        <v>0</v>
      </c>
      <c r="U1330" s="27">
        <f>Parameters!S666</f>
        <v>0</v>
      </c>
      <c r="V1330" s="28">
        <f>Parameters!T666</f>
        <v>0</v>
      </c>
      <c r="W1330" s="27">
        <f>Parameters!U666</f>
        <v>0</v>
      </c>
      <c r="X1330" s="28">
        <f>Parameters!V666</f>
        <v>0</v>
      </c>
      <c r="Y1330" s="25">
        <f>Parameters!W666</f>
        <v>0</v>
      </c>
      <c r="Z1330" s="23">
        <f>Parameters!X666</f>
        <v>0</v>
      </c>
      <c r="AA1330" s="27">
        <f>Parameters!Y666</f>
        <v>0</v>
      </c>
      <c r="AB1330" s="28">
        <f>Parameters!Z666</f>
        <v>0</v>
      </c>
      <c r="AC1330" s="23">
        <f>Parameters!AA666</f>
        <v>0</v>
      </c>
    </row>
    <row r="1331" spans="1:29">
      <c r="A1331" s="29" t="str">
        <f>UPPER(A1330)</f>
        <v>0</v>
      </c>
      <c r="B1331" s="29">
        <f>B1330</f>
        <v>0</v>
      </c>
      <c r="C1331" s="30">
        <f>C1330</f>
        <v>0</v>
      </c>
      <c r="D1331" s="30">
        <f>D1330</f>
        <v>0</v>
      </c>
      <c r="E1331" s="29">
        <f>E1330</f>
        <v>0</v>
      </c>
      <c r="F1331" s="29">
        <f>F1330</f>
        <v>0</v>
      </c>
      <c r="G1331" s="29" t="e">
        <f>IF(C1330=1,IF(D1330="BUY",E1330+(ROUND(F1330*G1330/B1330,0)*B1330),E1330-(ROUND(F1330*G1330/B1330,0)*B1330)),IF(D1330="BUY",E1330-(ROUND(F1330*G1330/B1330,0)*B1330),E1330+(ROUND(F1330*G1330/B1330,0)*B1330)))</f>
        <v>#DIV/0!</v>
      </c>
      <c r="H1331" s="29" t="e">
        <f>IF(C1330=1,IF(D1330="BUY",G1331-(ROUND(F1330*H1330/B1330,0)*B1330),G1331+(ROUND(F1330*H1330/B1330,0)*B1330)),IF(D1330="BUY",G1331+(ROUND(F1330*H1330/B1330,0)*B1330),G1331-(ROUND(F1330*H1330/B1330,0)*B1330)))</f>
        <v>#DIV/0!</v>
      </c>
      <c r="I1331" s="29" t="e">
        <f>IF(D1330="BUY",G1331+(ROUND(F1330*I1330/(B1330*100),0)*B1330),G1331-(ROUND(F1330*I1330/(B1330*100),0)*B1330))</f>
        <v>#DIV/0!</v>
      </c>
      <c r="J1331" s="29" t="e">
        <f>IF(C1330=1,IF(D1330="BUY",E1330+(ROUND(F1330*J1330/B1330,0)*B1330),E1330-(ROUND(F1330*J1330/B1330,0)*B1330)),IF(D1330="BUY",E1330-(ROUND(F1330*J1330/B1330,0)*B1330),E1330+(ROUND(F1330*J1330/B1330,0)*B1330)))</f>
        <v>#DIV/0!</v>
      </c>
      <c r="K1331" s="29" t="e">
        <f>IF(C1330=1,IF(D1330="BUY",E1330-(ROUND(F1330*K1330/B1330,0)*B1330),E1330+(ROUND(F1330*K1330/B1330,0)*B1330)),IF(D1330="BUY",E1330-(ROUND(F1330*K1330/B1330,0)*B1330),E1330+(ROUND(F1330*K1330/B1330,0)*B1330)))</f>
        <v>#DIV/0!</v>
      </c>
      <c r="L1331" s="29" t="e">
        <f t="shared" ref="L1331" si="1991">IF(D1331="BUY",I1331+(R1331*B1331),I1331-(R1331*B1331))</f>
        <v>#DIV/0!</v>
      </c>
      <c r="M1331" s="29" t="e">
        <f>IF(D1330="BUY",E1330+(ROUND(F1330*M1330/B1330,0)*B1330),E1330-(ROUND(F1330*M1330/B1330,0)*B1330))</f>
        <v>#DIV/0!</v>
      </c>
      <c r="N1331" s="29" t="e">
        <f>IF(D1330="BUY",E1330-(ROUND(F1330*N1330/B1330,0)*B1330),E1330+(ROUND(F1330*N1330/B1330,0)*B1330))</f>
        <v>#DIV/0!</v>
      </c>
      <c r="O1331" s="31" t="e">
        <f>IF(D1331="BUY",N1331-VLOOKUP(A1331,Symbols!A$1:D$1000,4,FALSE),N1331+VLOOKUP(A1331,Symbols!A$1:D$1000,4,FALSE))</f>
        <v>#DIV/0!</v>
      </c>
      <c r="P1331" s="29">
        <f>P1330</f>
        <v>0</v>
      </c>
      <c r="Q1331" s="29">
        <f>Q1330</f>
        <v>0</v>
      </c>
      <c r="R1331" s="29">
        <f>R1330</f>
        <v>0</v>
      </c>
      <c r="S1331" s="29">
        <f>S1330</f>
        <v>0</v>
      </c>
      <c r="T1331" s="29">
        <f>T1330</f>
        <v>0</v>
      </c>
      <c r="U1331" s="29" t="e">
        <f>DATEDIF(DATE(1970,1,1),U1330,"D")*86400</f>
        <v>#NUM!</v>
      </c>
      <c r="V1331" s="29">
        <f>HOUR(V1330)*3600+MINUTE(V1330)*60+SECOND(V1330)</f>
        <v>0</v>
      </c>
      <c r="W1331" s="29" t="e">
        <f>DATEDIF(DATE(1970,1,1),W1330,"D")*86400</f>
        <v>#NUM!</v>
      </c>
      <c r="X1331" s="29">
        <f>HOUR(X1330)*3600+MINUTE(X1330)*60+SECOND(X1330)</f>
        <v>0</v>
      </c>
      <c r="Y1331" s="31">
        <f>(Y1330*B1331)</f>
        <v>0</v>
      </c>
      <c r="Z1331" s="29">
        <f>Z1330</f>
        <v>0</v>
      </c>
      <c r="AA1331" s="29" t="e">
        <f>DATEDIF(DATE(1970,1,1),AA1330,"D")*86400</f>
        <v>#NUM!</v>
      </c>
      <c r="AB1331" s="29">
        <f>HOUR(AB1330)*3600+MINUTE(AB1330)*60+SECOND(AB1330)</f>
        <v>0</v>
      </c>
      <c r="AC1331" s="29">
        <f>AC1330</f>
        <v>0</v>
      </c>
    </row>
    <row r="1332" spans="1:29">
      <c r="A1332" s="23">
        <f>Parameters!A667</f>
        <v>0</v>
      </c>
      <c r="B1332" s="23">
        <f>Parameters!B667</f>
        <v>0</v>
      </c>
      <c r="C1332" s="24">
        <f>Parameters!C667</f>
        <v>0</v>
      </c>
      <c r="D1332" s="24">
        <f>Parameters!D667</f>
        <v>0</v>
      </c>
      <c r="E1332" s="23">
        <f>Parameters!E667</f>
        <v>0</v>
      </c>
      <c r="F1332" s="23">
        <f>Parameters!F667</f>
        <v>0</v>
      </c>
      <c r="G1332" s="25">
        <f>Parameters!G667</f>
        <v>0</v>
      </c>
      <c r="H1332" s="25">
        <f>Parameters!H667</f>
        <v>0</v>
      </c>
      <c r="I1332" s="25">
        <f>Parameters!I667</f>
        <v>0</v>
      </c>
      <c r="J1332" s="25">
        <f>Parameters!J667</f>
        <v>0</v>
      </c>
      <c r="K1332" s="25">
        <f>Parameters!K667</f>
        <v>0</v>
      </c>
      <c r="L1332" s="26" t="e">
        <f t="shared" ref="L1332" si="1992">L1333</f>
        <v>#DIV/0!</v>
      </c>
      <c r="M1332" s="25">
        <f>Parameters!L667</f>
        <v>0</v>
      </c>
      <c r="N1332" s="25">
        <f>Parameters!M667</f>
        <v>0</v>
      </c>
      <c r="O1332" s="26" t="e">
        <f t="shared" ref="O1332" si="1993">O1333</f>
        <v>#DIV/0!</v>
      </c>
      <c r="P1332" s="23">
        <f>Parameters!N667</f>
        <v>0</v>
      </c>
      <c r="Q1332" s="23">
        <f>Parameters!O667</f>
        <v>0</v>
      </c>
      <c r="R1332" s="23">
        <f>Parameters!P667</f>
        <v>0</v>
      </c>
      <c r="S1332" s="23">
        <f>Parameters!Q667</f>
        <v>0</v>
      </c>
      <c r="T1332" s="23">
        <f>Parameters!R667</f>
        <v>0</v>
      </c>
      <c r="U1332" s="27">
        <f>Parameters!S667</f>
        <v>0</v>
      </c>
      <c r="V1332" s="28">
        <f>Parameters!T667</f>
        <v>0</v>
      </c>
      <c r="W1332" s="27">
        <f>Parameters!U667</f>
        <v>0</v>
      </c>
      <c r="X1332" s="28">
        <f>Parameters!V667</f>
        <v>0</v>
      </c>
      <c r="Y1332" s="25">
        <f>Parameters!W667</f>
        <v>0</v>
      </c>
      <c r="Z1332" s="23">
        <f>Parameters!X667</f>
        <v>0</v>
      </c>
      <c r="AA1332" s="27">
        <f>Parameters!Y667</f>
        <v>0</v>
      </c>
      <c r="AB1332" s="28">
        <f>Parameters!Z667</f>
        <v>0</v>
      </c>
      <c r="AC1332" s="23">
        <f>Parameters!AA667</f>
        <v>0</v>
      </c>
    </row>
    <row r="1333" spans="1:29">
      <c r="A1333" s="29" t="str">
        <f>UPPER(A1332)</f>
        <v>0</v>
      </c>
      <c r="B1333" s="29">
        <f>B1332</f>
        <v>0</v>
      </c>
      <c r="C1333" s="30">
        <f>C1332</f>
        <v>0</v>
      </c>
      <c r="D1333" s="30">
        <f>D1332</f>
        <v>0</v>
      </c>
      <c r="E1333" s="29">
        <f>E1332</f>
        <v>0</v>
      </c>
      <c r="F1333" s="29">
        <f>F1332</f>
        <v>0</v>
      </c>
      <c r="G1333" s="29" t="e">
        <f>IF(C1332=1,IF(D1332="BUY",E1332+(ROUND(F1332*G1332/B1332,0)*B1332),E1332-(ROUND(F1332*G1332/B1332,0)*B1332)),IF(D1332="BUY",E1332-(ROUND(F1332*G1332/B1332,0)*B1332),E1332+(ROUND(F1332*G1332/B1332,0)*B1332)))</f>
        <v>#DIV/0!</v>
      </c>
      <c r="H1333" s="29" t="e">
        <f>IF(C1332=1,IF(D1332="BUY",G1333-(ROUND(F1332*H1332/B1332,0)*B1332),G1333+(ROUND(F1332*H1332/B1332,0)*B1332)),IF(D1332="BUY",G1333+(ROUND(F1332*H1332/B1332,0)*B1332),G1333-(ROUND(F1332*H1332/B1332,0)*B1332)))</f>
        <v>#DIV/0!</v>
      </c>
      <c r="I1333" s="29" t="e">
        <f>IF(D1332="BUY",G1333+(ROUND(F1332*I1332/(B1332*100),0)*B1332),G1333-(ROUND(F1332*I1332/(B1332*100),0)*B1332))</f>
        <v>#DIV/0!</v>
      </c>
      <c r="J1333" s="29" t="e">
        <f>IF(C1332=1,IF(D1332="BUY",E1332+(ROUND(F1332*J1332/B1332,0)*B1332),E1332-(ROUND(F1332*J1332/B1332,0)*B1332)),IF(D1332="BUY",E1332-(ROUND(F1332*J1332/B1332,0)*B1332),E1332+(ROUND(F1332*J1332/B1332,0)*B1332)))</f>
        <v>#DIV/0!</v>
      </c>
      <c r="K1333" s="29" t="e">
        <f>IF(C1332=1,IF(D1332="BUY",E1332-(ROUND(F1332*K1332/B1332,0)*B1332),E1332+(ROUND(F1332*K1332/B1332,0)*B1332)),IF(D1332="BUY",E1332-(ROUND(F1332*K1332/B1332,0)*B1332),E1332+(ROUND(F1332*K1332/B1332,0)*B1332)))</f>
        <v>#DIV/0!</v>
      </c>
      <c r="L1333" s="29" t="e">
        <f t="shared" ref="L1333" si="1994">IF(D1333="BUY",I1333+(R1333*B1333),I1333-(R1333*B1333))</f>
        <v>#DIV/0!</v>
      </c>
      <c r="M1333" s="29" t="e">
        <f>IF(D1332="BUY",E1332+(ROUND(F1332*M1332/B1332,0)*B1332),E1332-(ROUND(F1332*M1332/B1332,0)*B1332))</f>
        <v>#DIV/0!</v>
      </c>
      <c r="N1333" s="29" t="e">
        <f>IF(D1332="BUY",E1332-(ROUND(F1332*N1332/B1332,0)*B1332),E1332+(ROUND(F1332*N1332/B1332,0)*B1332))</f>
        <v>#DIV/0!</v>
      </c>
      <c r="O1333" s="31" t="e">
        <f>IF(D1333="BUY",N1333-VLOOKUP(A1333,Symbols!A$1:D$1000,4,FALSE),N1333+VLOOKUP(A1333,Symbols!A$1:D$1000,4,FALSE))</f>
        <v>#DIV/0!</v>
      </c>
      <c r="P1333" s="29">
        <f>P1332</f>
        <v>0</v>
      </c>
      <c r="Q1333" s="29">
        <f>Q1332</f>
        <v>0</v>
      </c>
      <c r="R1333" s="29">
        <f>R1332</f>
        <v>0</v>
      </c>
      <c r="S1333" s="29">
        <f>S1332</f>
        <v>0</v>
      </c>
      <c r="T1333" s="29">
        <f>T1332</f>
        <v>0</v>
      </c>
      <c r="U1333" s="29" t="e">
        <f>DATEDIF(DATE(1970,1,1),U1332,"D")*86400</f>
        <v>#NUM!</v>
      </c>
      <c r="V1333" s="29">
        <f>HOUR(V1332)*3600+MINUTE(V1332)*60+SECOND(V1332)</f>
        <v>0</v>
      </c>
      <c r="W1333" s="29" t="e">
        <f>DATEDIF(DATE(1970,1,1),W1332,"D")*86400</f>
        <v>#NUM!</v>
      </c>
      <c r="X1333" s="29">
        <f>HOUR(X1332)*3600+MINUTE(X1332)*60+SECOND(X1332)</f>
        <v>0</v>
      </c>
      <c r="Y1333" s="31">
        <f>(Y1332*B1333)</f>
        <v>0</v>
      </c>
      <c r="Z1333" s="29">
        <f>Z1332</f>
        <v>0</v>
      </c>
      <c r="AA1333" s="29" t="e">
        <f>DATEDIF(DATE(1970,1,1),AA1332,"D")*86400</f>
        <v>#NUM!</v>
      </c>
      <c r="AB1333" s="29">
        <f>HOUR(AB1332)*3600+MINUTE(AB1332)*60+SECOND(AB1332)</f>
        <v>0</v>
      </c>
      <c r="AC1333" s="29">
        <f>AC1332</f>
        <v>0</v>
      </c>
    </row>
    <row r="1334" spans="1:29">
      <c r="A1334" s="23">
        <f>Parameters!A668</f>
        <v>0</v>
      </c>
      <c r="B1334" s="23">
        <f>Parameters!B668</f>
        <v>0</v>
      </c>
      <c r="C1334" s="24">
        <f>Parameters!C668</f>
        <v>0</v>
      </c>
      <c r="D1334" s="24">
        <f>Parameters!D668</f>
        <v>0</v>
      </c>
      <c r="E1334" s="23">
        <f>Parameters!E668</f>
        <v>0</v>
      </c>
      <c r="F1334" s="23">
        <f>Parameters!F668</f>
        <v>0</v>
      </c>
      <c r="G1334" s="25">
        <f>Parameters!G668</f>
        <v>0</v>
      </c>
      <c r="H1334" s="25">
        <f>Parameters!H668</f>
        <v>0</v>
      </c>
      <c r="I1334" s="25">
        <f>Parameters!I668</f>
        <v>0</v>
      </c>
      <c r="J1334" s="25">
        <f>Parameters!J668</f>
        <v>0</v>
      </c>
      <c r="K1334" s="25">
        <f>Parameters!K668</f>
        <v>0</v>
      </c>
      <c r="L1334" s="26" t="e">
        <f t="shared" ref="L1334" si="1995">L1335</f>
        <v>#DIV/0!</v>
      </c>
      <c r="M1334" s="25">
        <f>Parameters!L668</f>
        <v>0</v>
      </c>
      <c r="N1334" s="25">
        <f>Parameters!M668</f>
        <v>0</v>
      </c>
      <c r="O1334" s="26" t="e">
        <f t="shared" ref="O1334" si="1996">O1335</f>
        <v>#DIV/0!</v>
      </c>
      <c r="P1334" s="23">
        <f>Parameters!N668</f>
        <v>0</v>
      </c>
      <c r="Q1334" s="23">
        <f>Parameters!O668</f>
        <v>0</v>
      </c>
      <c r="R1334" s="23">
        <f>Parameters!P668</f>
        <v>0</v>
      </c>
      <c r="S1334" s="23">
        <f>Parameters!Q668</f>
        <v>0</v>
      </c>
      <c r="T1334" s="23">
        <f>Parameters!R668</f>
        <v>0</v>
      </c>
      <c r="U1334" s="27">
        <f>Parameters!S668</f>
        <v>0</v>
      </c>
      <c r="V1334" s="28">
        <f>Parameters!T668</f>
        <v>0</v>
      </c>
      <c r="W1334" s="27">
        <f>Parameters!U668</f>
        <v>0</v>
      </c>
      <c r="X1334" s="28">
        <f>Parameters!V668</f>
        <v>0</v>
      </c>
      <c r="Y1334" s="25">
        <f>Parameters!W668</f>
        <v>0</v>
      </c>
      <c r="Z1334" s="23">
        <f>Parameters!X668</f>
        <v>0</v>
      </c>
      <c r="AA1334" s="27">
        <f>Parameters!Y668</f>
        <v>0</v>
      </c>
      <c r="AB1334" s="28">
        <f>Parameters!Z668</f>
        <v>0</v>
      </c>
      <c r="AC1334" s="23">
        <f>Parameters!AA668</f>
        <v>0</v>
      </c>
    </row>
    <row r="1335" spans="1:29">
      <c r="A1335" s="29" t="str">
        <f>UPPER(A1334)</f>
        <v>0</v>
      </c>
      <c r="B1335" s="29">
        <f>B1334</f>
        <v>0</v>
      </c>
      <c r="C1335" s="30">
        <f>C1334</f>
        <v>0</v>
      </c>
      <c r="D1335" s="30">
        <f>D1334</f>
        <v>0</v>
      </c>
      <c r="E1335" s="29">
        <f>E1334</f>
        <v>0</v>
      </c>
      <c r="F1335" s="29">
        <f>F1334</f>
        <v>0</v>
      </c>
      <c r="G1335" s="29" t="e">
        <f>IF(C1334=1,IF(D1334="BUY",E1334+(ROUND(F1334*G1334/B1334,0)*B1334),E1334-(ROUND(F1334*G1334/B1334,0)*B1334)),IF(D1334="BUY",E1334-(ROUND(F1334*G1334/B1334,0)*B1334),E1334+(ROUND(F1334*G1334/B1334,0)*B1334)))</f>
        <v>#DIV/0!</v>
      </c>
      <c r="H1335" s="29" t="e">
        <f>IF(C1334=1,IF(D1334="BUY",G1335-(ROUND(F1334*H1334/B1334,0)*B1334),G1335+(ROUND(F1334*H1334/B1334,0)*B1334)),IF(D1334="BUY",G1335+(ROUND(F1334*H1334/B1334,0)*B1334),G1335-(ROUND(F1334*H1334/B1334,0)*B1334)))</f>
        <v>#DIV/0!</v>
      </c>
      <c r="I1335" s="29" t="e">
        <f>IF(D1334="BUY",G1335+(ROUND(F1334*I1334/(B1334*100),0)*B1334),G1335-(ROUND(F1334*I1334/(B1334*100),0)*B1334))</f>
        <v>#DIV/0!</v>
      </c>
      <c r="J1335" s="29" t="e">
        <f>IF(C1334=1,IF(D1334="BUY",E1334+(ROUND(F1334*J1334/B1334,0)*B1334),E1334-(ROUND(F1334*J1334/B1334,0)*B1334)),IF(D1334="BUY",E1334-(ROUND(F1334*J1334/B1334,0)*B1334),E1334+(ROUND(F1334*J1334/B1334,0)*B1334)))</f>
        <v>#DIV/0!</v>
      </c>
      <c r="K1335" s="29" t="e">
        <f>IF(C1334=1,IF(D1334="BUY",E1334-(ROUND(F1334*K1334/B1334,0)*B1334),E1334+(ROUND(F1334*K1334/B1334,0)*B1334)),IF(D1334="BUY",E1334-(ROUND(F1334*K1334/B1334,0)*B1334),E1334+(ROUND(F1334*K1334/B1334,0)*B1334)))</f>
        <v>#DIV/0!</v>
      </c>
      <c r="L1335" s="29" t="e">
        <f t="shared" ref="L1335" si="1997">IF(D1335="BUY",I1335+(R1335*B1335),I1335-(R1335*B1335))</f>
        <v>#DIV/0!</v>
      </c>
      <c r="M1335" s="29" t="e">
        <f>IF(D1334="BUY",E1334+(ROUND(F1334*M1334/B1334,0)*B1334),E1334-(ROUND(F1334*M1334/B1334,0)*B1334))</f>
        <v>#DIV/0!</v>
      </c>
      <c r="N1335" s="29" t="e">
        <f>IF(D1334="BUY",E1334-(ROUND(F1334*N1334/B1334,0)*B1334),E1334+(ROUND(F1334*N1334/B1334,0)*B1334))</f>
        <v>#DIV/0!</v>
      </c>
      <c r="O1335" s="31" t="e">
        <f>IF(D1335="BUY",N1335-VLOOKUP(A1335,Symbols!A$1:D$1000,4,FALSE),N1335+VLOOKUP(A1335,Symbols!A$1:D$1000,4,FALSE))</f>
        <v>#DIV/0!</v>
      </c>
      <c r="P1335" s="29">
        <f>P1334</f>
        <v>0</v>
      </c>
      <c r="Q1335" s="29">
        <f>Q1334</f>
        <v>0</v>
      </c>
      <c r="R1335" s="29">
        <f>R1334</f>
        <v>0</v>
      </c>
      <c r="S1335" s="29">
        <f>S1334</f>
        <v>0</v>
      </c>
      <c r="T1335" s="29">
        <f>T1334</f>
        <v>0</v>
      </c>
      <c r="U1335" s="29" t="e">
        <f>DATEDIF(DATE(1970,1,1),U1334,"D")*86400</f>
        <v>#NUM!</v>
      </c>
      <c r="V1335" s="29">
        <f>HOUR(V1334)*3600+MINUTE(V1334)*60+SECOND(V1334)</f>
        <v>0</v>
      </c>
      <c r="W1335" s="29" t="e">
        <f>DATEDIF(DATE(1970,1,1),W1334,"D")*86400</f>
        <v>#NUM!</v>
      </c>
      <c r="X1335" s="29">
        <f>HOUR(X1334)*3600+MINUTE(X1334)*60+SECOND(X1334)</f>
        <v>0</v>
      </c>
      <c r="Y1335" s="31">
        <f>(Y1334*B1335)</f>
        <v>0</v>
      </c>
      <c r="Z1335" s="29">
        <f>Z1334</f>
        <v>0</v>
      </c>
      <c r="AA1335" s="29" t="e">
        <f>DATEDIF(DATE(1970,1,1),AA1334,"D")*86400</f>
        <v>#NUM!</v>
      </c>
      <c r="AB1335" s="29">
        <f>HOUR(AB1334)*3600+MINUTE(AB1334)*60+SECOND(AB1334)</f>
        <v>0</v>
      </c>
      <c r="AC1335" s="29">
        <f>AC1334</f>
        <v>0</v>
      </c>
    </row>
    <row r="1336" spans="1:29">
      <c r="A1336" s="23">
        <f>Parameters!A669</f>
        <v>0</v>
      </c>
      <c r="B1336" s="23">
        <f>Parameters!B669</f>
        <v>0</v>
      </c>
      <c r="C1336" s="24">
        <f>Parameters!C669</f>
        <v>0</v>
      </c>
      <c r="D1336" s="24">
        <f>Parameters!D669</f>
        <v>0</v>
      </c>
      <c r="E1336" s="23">
        <f>Parameters!E669</f>
        <v>0</v>
      </c>
      <c r="F1336" s="23">
        <f>Parameters!F669</f>
        <v>0</v>
      </c>
      <c r="G1336" s="25">
        <f>Parameters!G669</f>
        <v>0</v>
      </c>
      <c r="H1336" s="25">
        <f>Parameters!H669</f>
        <v>0</v>
      </c>
      <c r="I1336" s="25">
        <f>Parameters!I669</f>
        <v>0</v>
      </c>
      <c r="J1336" s="25">
        <f>Parameters!J669</f>
        <v>0</v>
      </c>
      <c r="K1336" s="25">
        <f>Parameters!K669</f>
        <v>0</v>
      </c>
      <c r="L1336" s="26" t="e">
        <f t="shared" ref="L1336" si="1998">L1337</f>
        <v>#DIV/0!</v>
      </c>
      <c r="M1336" s="25">
        <f>Parameters!L669</f>
        <v>0</v>
      </c>
      <c r="N1336" s="25">
        <f>Parameters!M669</f>
        <v>0</v>
      </c>
      <c r="O1336" s="26" t="e">
        <f t="shared" ref="O1336" si="1999">O1337</f>
        <v>#DIV/0!</v>
      </c>
      <c r="P1336" s="23">
        <f>Parameters!N669</f>
        <v>0</v>
      </c>
      <c r="Q1336" s="23">
        <f>Parameters!O669</f>
        <v>0</v>
      </c>
      <c r="R1336" s="23">
        <f>Parameters!P669</f>
        <v>0</v>
      </c>
      <c r="S1336" s="23">
        <f>Parameters!Q669</f>
        <v>0</v>
      </c>
      <c r="T1336" s="23">
        <f>Parameters!R669</f>
        <v>0</v>
      </c>
      <c r="U1336" s="27">
        <f>Parameters!S669</f>
        <v>0</v>
      </c>
      <c r="V1336" s="28">
        <f>Parameters!T669</f>
        <v>0</v>
      </c>
      <c r="W1336" s="27">
        <f>Parameters!U669</f>
        <v>0</v>
      </c>
      <c r="X1336" s="28">
        <f>Parameters!V669</f>
        <v>0</v>
      </c>
      <c r="Y1336" s="25">
        <f>Parameters!W669</f>
        <v>0</v>
      </c>
      <c r="Z1336" s="23">
        <f>Parameters!X669</f>
        <v>0</v>
      </c>
      <c r="AA1336" s="27">
        <f>Parameters!Y669</f>
        <v>0</v>
      </c>
      <c r="AB1336" s="28">
        <f>Parameters!Z669</f>
        <v>0</v>
      </c>
      <c r="AC1336" s="23">
        <f>Parameters!AA669</f>
        <v>0</v>
      </c>
    </row>
    <row r="1337" spans="1:29">
      <c r="A1337" s="29" t="str">
        <f>UPPER(A1336)</f>
        <v>0</v>
      </c>
      <c r="B1337" s="29">
        <f>B1336</f>
        <v>0</v>
      </c>
      <c r="C1337" s="30">
        <f>C1336</f>
        <v>0</v>
      </c>
      <c r="D1337" s="30">
        <f>D1336</f>
        <v>0</v>
      </c>
      <c r="E1337" s="29">
        <f>E1336</f>
        <v>0</v>
      </c>
      <c r="F1337" s="29">
        <f>F1336</f>
        <v>0</v>
      </c>
      <c r="G1337" s="29" t="e">
        <f>IF(C1336=1,IF(D1336="BUY",E1336+(ROUND(F1336*G1336/B1336,0)*B1336),E1336-(ROUND(F1336*G1336/B1336,0)*B1336)),IF(D1336="BUY",E1336-(ROUND(F1336*G1336/B1336,0)*B1336),E1336+(ROUND(F1336*G1336/B1336,0)*B1336)))</f>
        <v>#DIV/0!</v>
      </c>
      <c r="H1337" s="29" t="e">
        <f>IF(C1336=1,IF(D1336="BUY",G1337-(ROUND(F1336*H1336/B1336,0)*B1336),G1337+(ROUND(F1336*H1336/B1336,0)*B1336)),IF(D1336="BUY",G1337+(ROUND(F1336*H1336/B1336,0)*B1336),G1337-(ROUND(F1336*H1336/B1336,0)*B1336)))</f>
        <v>#DIV/0!</v>
      </c>
      <c r="I1337" s="29" t="e">
        <f>IF(D1336="BUY",G1337+(ROUND(F1336*I1336/(B1336*100),0)*B1336),G1337-(ROUND(F1336*I1336/(B1336*100),0)*B1336))</f>
        <v>#DIV/0!</v>
      </c>
      <c r="J1337" s="29" t="e">
        <f>IF(C1336=1,IF(D1336="BUY",E1336+(ROUND(F1336*J1336/B1336,0)*B1336),E1336-(ROUND(F1336*J1336/B1336,0)*B1336)),IF(D1336="BUY",E1336-(ROUND(F1336*J1336/B1336,0)*B1336),E1336+(ROUND(F1336*J1336/B1336,0)*B1336)))</f>
        <v>#DIV/0!</v>
      </c>
      <c r="K1337" s="29" t="e">
        <f>IF(C1336=1,IF(D1336="BUY",E1336-(ROUND(F1336*K1336/B1336,0)*B1336),E1336+(ROUND(F1336*K1336/B1336,0)*B1336)),IF(D1336="BUY",E1336-(ROUND(F1336*K1336/B1336,0)*B1336),E1336+(ROUND(F1336*K1336/B1336,0)*B1336)))</f>
        <v>#DIV/0!</v>
      </c>
      <c r="L1337" s="29" t="e">
        <f t="shared" ref="L1337" si="2000">IF(D1337="BUY",I1337+(R1337*B1337),I1337-(R1337*B1337))</f>
        <v>#DIV/0!</v>
      </c>
      <c r="M1337" s="29" t="e">
        <f>IF(D1336="BUY",E1336+(ROUND(F1336*M1336/B1336,0)*B1336),E1336-(ROUND(F1336*M1336/B1336,0)*B1336))</f>
        <v>#DIV/0!</v>
      </c>
      <c r="N1337" s="29" t="e">
        <f>IF(D1336="BUY",E1336-(ROUND(F1336*N1336/B1336,0)*B1336),E1336+(ROUND(F1336*N1336/B1336,0)*B1336))</f>
        <v>#DIV/0!</v>
      </c>
      <c r="O1337" s="31" t="e">
        <f>IF(D1337="BUY",N1337-VLOOKUP(A1337,Symbols!A$1:D$1000,4,FALSE),N1337+VLOOKUP(A1337,Symbols!A$1:D$1000,4,FALSE))</f>
        <v>#DIV/0!</v>
      </c>
      <c r="P1337" s="29">
        <f>P1336</f>
        <v>0</v>
      </c>
      <c r="Q1337" s="29">
        <f>Q1336</f>
        <v>0</v>
      </c>
      <c r="R1337" s="29">
        <f>R1336</f>
        <v>0</v>
      </c>
      <c r="S1337" s="29">
        <f>S1336</f>
        <v>0</v>
      </c>
      <c r="T1337" s="29">
        <f>T1336</f>
        <v>0</v>
      </c>
      <c r="U1337" s="29" t="e">
        <f>DATEDIF(DATE(1970,1,1),U1336,"D")*86400</f>
        <v>#NUM!</v>
      </c>
      <c r="V1337" s="29">
        <f>HOUR(V1336)*3600+MINUTE(V1336)*60+SECOND(V1336)</f>
        <v>0</v>
      </c>
      <c r="W1337" s="29" t="e">
        <f>DATEDIF(DATE(1970,1,1),W1336,"D")*86400</f>
        <v>#NUM!</v>
      </c>
      <c r="X1337" s="29">
        <f>HOUR(X1336)*3600+MINUTE(X1336)*60+SECOND(X1336)</f>
        <v>0</v>
      </c>
      <c r="Y1337" s="31">
        <f>(Y1336*B1337)</f>
        <v>0</v>
      </c>
      <c r="Z1337" s="29">
        <f>Z1336</f>
        <v>0</v>
      </c>
      <c r="AA1337" s="29" t="e">
        <f>DATEDIF(DATE(1970,1,1),AA1336,"D")*86400</f>
        <v>#NUM!</v>
      </c>
      <c r="AB1337" s="29">
        <f>HOUR(AB1336)*3600+MINUTE(AB1336)*60+SECOND(AB1336)</f>
        <v>0</v>
      </c>
      <c r="AC1337" s="29">
        <f>AC1336</f>
        <v>0</v>
      </c>
    </row>
    <row r="1338" spans="1:29">
      <c r="A1338" s="23">
        <f>Parameters!A670</f>
        <v>0</v>
      </c>
      <c r="B1338" s="23">
        <f>Parameters!B670</f>
        <v>0</v>
      </c>
      <c r="C1338" s="24">
        <f>Parameters!C670</f>
        <v>0</v>
      </c>
      <c r="D1338" s="24">
        <f>Parameters!D670</f>
        <v>0</v>
      </c>
      <c r="E1338" s="23">
        <f>Parameters!E670</f>
        <v>0</v>
      </c>
      <c r="F1338" s="23">
        <f>Parameters!F670</f>
        <v>0</v>
      </c>
      <c r="G1338" s="25">
        <f>Parameters!G670</f>
        <v>0</v>
      </c>
      <c r="H1338" s="25">
        <f>Parameters!H670</f>
        <v>0</v>
      </c>
      <c r="I1338" s="25">
        <f>Parameters!I670</f>
        <v>0</v>
      </c>
      <c r="J1338" s="25">
        <f>Parameters!J670</f>
        <v>0</v>
      </c>
      <c r="K1338" s="25">
        <f>Parameters!K670</f>
        <v>0</v>
      </c>
      <c r="L1338" s="26" t="e">
        <f t="shared" ref="L1338" si="2001">L1339</f>
        <v>#DIV/0!</v>
      </c>
      <c r="M1338" s="25">
        <f>Parameters!L670</f>
        <v>0</v>
      </c>
      <c r="N1338" s="25">
        <f>Parameters!M670</f>
        <v>0</v>
      </c>
      <c r="O1338" s="26" t="e">
        <f t="shared" ref="O1338" si="2002">O1339</f>
        <v>#DIV/0!</v>
      </c>
      <c r="P1338" s="23">
        <f>Parameters!N670</f>
        <v>0</v>
      </c>
      <c r="Q1338" s="23">
        <f>Parameters!O670</f>
        <v>0</v>
      </c>
      <c r="R1338" s="23">
        <f>Parameters!P670</f>
        <v>0</v>
      </c>
      <c r="S1338" s="23">
        <f>Parameters!Q670</f>
        <v>0</v>
      </c>
      <c r="T1338" s="23">
        <f>Parameters!R670</f>
        <v>0</v>
      </c>
      <c r="U1338" s="27">
        <f>Parameters!S670</f>
        <v>0</v>
      </c>
      <c r="V1338" s="28">
        <f>Parameters!T670</f>
        <v>0</v>
      </c>
      <c r="W1338" s="27">
        <f>Parameters!U670</f>
        <v>0</v>
      </c>
      <c r="X1338" s="28">
        <f>Parameters!V670</f>
        <v>0</v>
      </c>
      <c r="Y1338" s="25">
        <f>Parameters!W670</f>
        <v>0</v>
      </c>
      <c r="Z1338" s="23">
        <f>Parameters!X670</f>
        <v>0</v>
      </c>
      <c r="AA1338" s="27">
        <f>Parameters!Y670</f>
        <v>0</v>
      </c>
      <c r="AB1338" s="28">
        <f>Parameters!Z670</f>
        <v>0</v>
      </c>
      <c r="AC1338" s="23">
        <f>Parameters!AA670</f>
        <v>0</v>
      </c>
    </row>
    <row r="1339" spans="1:29">
      <c r="A1339" s="29" t="str">
        <f>UPPER(A1338)</f>
        <v>0</v>
      </c>
      <c r="B1339" s="29">
        <f>B1338</f>
        <v>0</v>
      </c>
      <c r="C1339" s="30">
        <f>C1338</f>
        <v>0</v>
      </c>
      <c r="D1339" s="30">
        <f>D1338</f>
        <v>0</v>
      </c>
      <c r="E1339" s="29">
        <f>E1338</f>
        <v>0</v>
      </c>
      <c r="F1339" s="29">
        <f>F1338</f>
        <v>0</v>
      </c>
      <c r="G1339" s="29" t="e">
        <f>IF(C1338=1,IF(D1338="BUY",E1338+(ROUND(F1338*G1338/B1338,0)*B1338),E1338-(ROUND(F1338*G1338/B1338,0)*B1338)),IF(D1338="BUY",E1338-(ROUND(F1338*G1338/B1338,0)*B1338),E1338+(ROUND(F1338*G1338/B1338,0)*B1338)))</f>
        <v>#DIV/0!</v>
      </c>
      <c r="H1339" s="29" t="e">
        <f>IF(C1338=1,IF(D1338="BUY",G1339-(ROUND(F1338*H1338/B1338,0)*B1338),G1339+(ROUND(F1338*H1338/B1338,0)*B1338)),IF(D1338="BUY",G1339+(ROUND(F1338*H1338/B1338,0)*B1338),G1339-(ROUND(F1338*H1338/B1338,0)*B1338)))</f>
        <v>#DIV/0!</v>
      </c>
      <c r="I1339" s="29" t="e">
        <f>IF(D1338="BUY",G1339+(ROUND(F1338*I1338/(B1338*100),0)*B1338),G1339-(ROUND(F1338*I1338/(B1338*100),0)*B1338))</f>
        <v>#DIV/0!</v>
      </c>
      <c r="J1339" s="29" t="e">
        <f>IF(C1338=1,IF(D1338="BUY",E1338+(ROUND(F1338*J1338/B1338,0)*B1338),E1338-(ROUND(F1338*J1338/B1338,0)*B1338)),IF(D1338="BUY",E1338-(ROUND(F1338*J1338/B1338,0)*B1338),E1338+(ROUND(F1338*J1338/B1338,0)*B1338)))</f>
        <v>#DIV/0!</v>
      </c>
      <c r="K1339" s="29" t="e">
        <f>IF(C1338=1,IF(D1338="BUY",E1338-(ROUND(F1338*K1338/B1338,0)*B1338),E1338+(ROUND(F1338*K1338/B1338,0)*B1338)),IF(D1338="BUY",E1338-(ROUND(F1338*K1338/B1338,0)*B1338),E1338+(ROUND(F1338*K1338/B1338,0)*B1338)))</f>
        <v>#DIV/0!</v>
      </c>
      <c r="L1339" s="29" t="e">
        <f t="shared" ref="L1339" si="2003">IF(D1339="BUY",I1339+(R1339*B1339),I1339-(R1339*B1339))</f>
        <v>#DIV/0!</v>
      </c>
      <c r="M1339" s="29" t="e">
        <f>IF(D1338="BUY",E1338+(ROUND(F1338*M1338/B1338,0)*B1338),E1338-(ROUND(F1338*M1338/B1338,0)*B1338))</f>
        <v>#DIV/0!</v>
      </c>
      <c r="N1339" s="29" t="e">
        <f>IF(D1338="BUY",E1338-(ROUND(F1338*N1338/B1338,0)*B1338),E1338+(ROUND(F1338*N1338/B1338,0)*B1338))</f>
        <v>#DIV/0!</v>
      </c>
      <c r="O1339" s="31" t="e">
        <f>IF(D1339="BUY",N1339-VLOOKUP(A1339,Symbols!A$1:D$1000,4,FALSE),N1339+VLOOKUP(A1339,Symbols!A$1:D$1000,4,FALSE))</f>
        <v>#DIV/0!</v>
      </c>
      <c r="P1339" s="29">
        <f>P1338</f>
        <v>0</v>
      </c>
      <c r="Q1339" s="29">
        <f>Q1338</f>
        <v>0</v>
      </c>
      <c r="R1339" s="29">
        <f>R1338</f>
        <v>0</v>
      </c>
      <c r="S1339" s="29">
        <f>S1338</f>
        <v>0</v>
      </c>
      <c r="T1339" s="29">
        <f>T1338</f>
        <v>0</v>
      </c>
      <c r="U1339" s="29" t="e">
        <f>DATEDIF(DATE(1970,1,1),U1338,"D")*86400</f>
        <v>#NUM!</v>
      </c>
      <c r="V1339" s="29">
        <f>HOUR(V1338)*3600+MINUTE(V1338)*60+SECOND(V1338)</f>
        <v>0</v>
      </c>
      <c r="W1339" s="29" t="e">
        <f>DATEDIF(DATE(1970,1,1),W1338,"D")*86400</f>
        <v>#NUM!</v>
      </c>
      <c r="X1339" s="29">
        <f>HOUR(X1338)*3600+MINUTE(X1338)*60+SECOND(X1338)</f>
        <v>0</v>
      </c>
      <c r="Y1339" s="31">
        <f>(Y1338*B1339)</f>
        <v>0</v>
      </c>
      <c r="Z1339" s="29">
        <f>Z1338</f>
        <v>0</v>
      </c>
      <c r="AA1339" s="29" t="e">
        <f>DATEDIF(DATE(1970,1,1),AA1338,"D")*86400</f>
        <v>#NUM!</v>
      </c>
      <c r="AB1339" s="29">
        <f>HOUR(AB1338)*3600+MINUTE(AB1338)*60+SECOND(AB1338)</f>
        <v>0</v>
      </c>
      <c r="AC1339" s="29">
        <f>AC1338</f>
        <v>0</v>
      </c>
    </row>
    <row r="1340" spans="1:29">
      <c r="A1340" s="23">
        <f>Parameters!A671</f>
        <v>0</v>
      </c>
      <c r="B1340" s="23">
        <f>Parameters!B671</f>
        <v>0</v>
      </c>
      <c r="C1340" s="24">
        <f>Parameters!C671</f>
        <v>0</v>
      </c>
      <c r="D1340" s="24">
        <f>Parameters!D671</f>
        <v>0</v>
      </c>
      <c r="E1340" s="23">
        <f>Parameters!E671</f>
        <v>0</v>
      </c>
      <c r="F1340" s="23">
        <f>Parameters!F671</f>
        <v>0</v>
      </c>
      <c r="G1340" s="25">
        <f>Parameters!G671</f>
        <v>0</v>
      </c>
      <c r="H1340" s="25">
        <f>Parameters!H671</f>
        <v>0</v>
      </c>
      <c r="I1340" s="25">
        <f>Parameters!I671</f>
        <v>0</v>
      </c>
      <c r="J1340" s="25">
        <f>Parameters!J671</f>
        <v>0</v>
      </c>
      <c r="K1340" s="25">
        <f>Parameters!K671</f>
        <v>0</v>
      </c>
      <c r="L1340" s="26" t="e">
        <f t="shared" ref="L1340" si="2004">L1341</f>
        <v>#DIV/0!</v>
      </c>
      <c r="M1340" s="25">
        <f>Parameters!L671</f>
        <v>0</v>
      </c>
      <c r="N1340" s="25">
        <f>Parameters!M671</f>
        <v>0</v>
      </c>
      <c r="O1340" s="26" t="e">
        <f t="shared" ref="O1340" si="2005">O1341</f>
        <v>#DIV/0!</v>
      </c>
      <c r="P1340" s="23">
        <f>Parameters!N671</f>
        <v>0</v>
      </c>
      <c r="Q1340" s="23">
        <f>Parameters!O671</f>
        <v>0</v>
      </c>
      <c r="R1340" s="23">
        <f>Parameters!P671</f>
        <v>0</v>
      </c>
      <c r="S1340" s="23">
        <f>Parameters!Q671</f>
        <v>0</v>
      </c>
      <c r="T1340" s="23">
        <f>Parameters!R671</f>
        <v>0</v>
      </c>
      <c r="U1340" s="27">
        <f>Parameters!S671</f>
        <v>0</v>
      </c>
      <c r="V1340" s="28">
        <f>Parameters!T671</f>
        <v>0</v>
      </c>
      <c r="W1340" s="27">
        <f>Parameters!U671</f>
        <v>0</v>
      </c>
      <c r="X1340" s="28">
        <f>Parameters!V671</f>
        <v>0</v>
      </c>
      <c r="Y1340" s="25">
        <f>Parameters!W671</f>
        <v>0</v>
      </c>
      <c r="Z1340" s="23">
        <f>Parameters!X671</f>
        <v>0</v>
      </c>
      <c r="AA1340" s="27">
        <f>Parameters!Y671</f>
        <v>0</v>
      </c>
      <c r="AB1340" s="28">
        <f>Parameters!Z671</f>
        <v>0</v>
      </c>
      <c r="AC1340" s="23">
        <f>Parameters!AA671</f>
        <v>0</v>
      </c>
    </row>
    <row r="1341" spans="1:29">
      <c r="A1341" s="29" t="str">
        <f>UPPER(A1340)</f>
        <v>0</v>
      </c>
      <c r="B1341" s="29">
        <f>B1340</f>
        <v>0</v>
      </c>
      <c r="C1341" s="30">
        <f>C1340</f>
        <v>0</v>
      </c>
      <c r="D1341" s="30">
        <f>D1340</f>
        <v>0</v>
      </c>
      <c r="E1341" s="29">
        <f>E1340</f>
        <v>0</v>
      </c>
      <c r="F1341" s="29">
        <f>F1340</f>
        <v>0</v>
      </c>
      <c r="G1341" s="29" t="e">
        <f>IF(C1340=1,IF(D1340="BUY",E1340+(ROUND(F1340*G1340/B1340,0)*B1340),E1340-(ROUND(F1340*G1340/B1340,0)*B1340)),IF(D1340="BUY",E1340-(ROUND(F1340*G1340/B1340,0)*B1340),E1340+(ROUND(F1340*G1340/B1340,0)*B1340)))</f>
        <v>#DIV/0!</v>
      </c>
      <c r="H1341" s="29" t="e">
        <f>IF(C1340=1,IF(D1340="BUY",G1341-(ROUND(F1340*H1340/B1340,0)*B1340),G1341+(ROUND(F1340*H1340/B1340,0)*B1340)),IF(D1340="BUY",G1341+(ROUND(F1340*H1340/B1340,0)*B1340),G1341-(ROUND(F1340*H1340/B1340,0)*B1340)))</f>
        <v>#DIV/0!</v>
      </c>
      <c r="I1341" s="29" t="e">
        <f>IF(D1340="BUY",G1341+(ROUND(F1340*I1340/(B1340*100),0)*B1340),G1341-(ROUND(F1340*I1340/(B1340*100),0)*B1340))</f>
        <v>#DIV/0!</v>
      </c>
      <c r="J1341" s="29" t="e">
        <f>IF(C1340=1,IF(D1340="BUY",E1340+(ROUND(F1340*J1340/B1340,0)*B1340),E1340-(ROUND(F1340*J1340/B1340,0)*B1340)),IF(D1340="BUY",E1340-(ROUND(F1340*J1340/B1340,0)*B1340),E1340+(ROUND(F1340*J1340/B1340,0)*B1340)))</f>
        <v>#DIV/0!</v>
      </c>
      <c r="K1341" s="29" t="e">
        <f>IF(C1340=1,IF(D1340="BUY",E1340-(ROUND(F1340*K1340/B1340,0)*B1340),E1340+(ROUND(F1340*K1340/B1340,0)*B1340)),IF(D1340="BUY",E1340-(ROUND(F1340*K1340/B1340,0)*B1340),E1340+(ROUND(F1340*K1340/B1340,0)*B1340)))</f>
        <v>#DIV/0!</v>
      </c>
      <c r="L1341" s="29" t="e">
        <f t="shared" ref="L1341" si="2006">IF(D1341="BUY",I1341+(R1341*B1341),I1341-(R1341*B1341))</f>
        <v>#DIV/0!</v>
      </c>
      <c r="M1341" s="29" t="e">
        <f>IF(D1340="BUY",E1340+(ROUND(F1340*M1340/B1340,0)*B1340),E1340-(ROUND(F1340*M1340/B1340,0)*B1340))</f>
        <v>#DIV/0!</v>
      </c>
      <c r="N1341" s="29" t="e">
        <f>IF(D1340="BUY",E1340-(ROUND(F1340*N1340/B1340,0)*B1340),E1340+(ROUND(F1340*N1340/B1340,0)*B1340))</f>
        <v>#DIV/0!</v>
      </c>
      <c r="O1341" s="31" t="e">
        <f>IF(D1341="BUY",N1341-VLOOKUP(A1341,Symbols!A$1:D$1000,4,FALSE),N1341+VLOOKUP(A1341,Symbols!A$1:D$1000,4,FALSE))</f>
        <v>#DIV/0!</v>
      </c>
      <c r="P1341" s="29">
        <f>P1340</f>
        <v>0</v>
      </c>
      <c r="Q1341" s="29">
        <f>Q1340</f>
        <v>0</v>
      </c>
      <c r="R1341" s="29">
        <f>R1340</f>
        <v>0</v>
      </c>
      <c r="S1341" s="29">
        <f>S1340</f>
        <v>0</v>
      </c>
      <c r="T1341" s="29">
        <f>T1340</f>
        <v>0</v>
      </c>
      <c r="U1341" s="29" t="e">
        <f>DATEDIF(DATE(1970,1,1),U1340,"D")*86400</f>
        <v>#NUM!</v>
      </c>
      <c r="V1341" s="29">
        <f>HOUR(V1340)*3600+MINUTE(V1340)*60+SECOND(V1340)</f>
        <v>0</v>
      </c>
      <c r="W1341" s="29" t="e">
        <f>DATEDIF(DATE(1970,1,1),W1340,"D")*86400</f>
        <v>#NUM!</v>
      </c>
      <c r="X1341" s="29">
        <f>HOUR(X1340)*3600+MINUTE(X1340)*60+SECOND(X1340)</f>
        <v>0</v>
      </c>
      <c r="Y1341" s="31">
        <f>(Y1340*B1341)</f>
        <v>0</v>
      </c>
      <c r="Z1341" s="29">
        <f>Z1340</f>
        <v>0</v>
      </c>
      <c r="AA1341" s="29" t="e">
        <f>DATEDIF(DATE(1970,1,1),AA1340,"D")*86400</f>
        <v>#NUM!</v>
      </c>
      <c r="AB1341" s="29">
        <f>HOUR(AB1340)*3600+MINUTE(AB1340)*60+SECOND(AB1340)</f>
        <v>0</v>
      </c>
      <c r="AC1341" s="29">
        <f>AC1340</f>
        <v>0</v>
      </c>
    </row>
    <row r="1342" spans="1:29">
      <c r="A1342" s="23">
        <f>Parameters!A672</f>
        <v>0</v>
      </c>
      <c r="B1342" s="23">
        <f>Parameters!B672</f>
        <v>0</v>
      </c>
      <c r="C1342" s="24">
        <f>Parameters!C672</f>
        <v>0</v>
      </c>
      <c r="D1342" s="24">
        <f>Parameters!D672</f>
        <v>0</v>
      </c>
      <c r="E1342" s="23">
        <f>Parameters!E672</f>
        <v>0</v>
      </c>
      <c r="F1342" s="23">
        <f>Parameters!F672</f>
        <v>0</v>
      </c>
      <c r="G1342" s="25">
        <f>Parameters!G672</f>
        <v>0</v>
      </c>
      <c r="H1342" s="25">
        <f>Parameters!H672</f>
        <v>0</v>
      </c>
      <c r="I1342" s="25">
        <f>Parameters!I672</f>
        <v>0</v>
      </c>
      <c r="J1342" s="25">
        <f>Parameters!J672</f>
        <v>0</v>
      </c>
      <c r="K1342" s="25">
        <f>Parameters!K672</f>
        <v>0</v>
      </c>
      <c r="L1342" s="26" t="e">
        <f t="shared" ref="L1342" si="2007">L1343</f>
        <v>#DIV/0!</v>
      </c>
      <c r="M1342" s="25">
        <f>Parameters!L672</f>
        <v>0</v>
      </c>
      <c r="N1342" s="25">
        <f>Parameters!M672</f>
        <v>0</v>
      </c>
      <c r="O1342" s="26" t="e">
        <f t="shared" ref="O1342" si="2008">O1343</f>
        <v>#DIV/0!</v>
      </c>
      <c r="P1342" s="23">
        <f>Parameters!N672</f>
        <v>0</v>
      </c>
      <c r="Q1342" s="23">
        <f>Parameters!O672</f>
        <v>0</v>
      </c>
      <c r="R1342" s="23">
        <f>Parameters!P672</f>
        <v>0</v>
      </c>
      <c r="S1342" s="23">
        <f>Parameters!Q672</f>
        <v>0</v>
      </c>
      <c r="T1342" s="23">
        <f>Parameters!R672</f>
        <v>0</v>
      </c>
      <c r="U1342" s="27">
        <f>Parameters!S672</f>
        <v>0</v>
      </c>
      <c r="V1342" s="28">
        <f>Parameters!T672</f>
        <v>0</v>
      </c>
      <c r="W1342" s="27">
        <f>Parameters!U672</f>
        <v>0</v>
      </c>
      <c r="X1342" s="28">
        <f>Parameters!V672</f>
        <v>0</v>
      </c>
      <c r="Y1342" s="25">
        <f>Parameters!W672</f>
        <v>0</v>
      </c>
      <c r="Z1342" s="23">
        <f>Parameters!X672</f>
        <v>0</v>
      </c>
      <c r="AA1342" s="27">
        <f>Parameters!Y672</f>
        <v>0</v>
      </c>
      <c r="AB1342" s="28">
        <f>Parameters!Z672</f>
        <v>0</v>
      </c>
      <c r="AC1342" s="23">
        <f>Parameters!AA672</f>
        <v>0</v>
      </c>
    </row>
    <row r="1343" spans="1:29">
      <c r="A1343" s="29" t="str">
        <f>UPPER(A1342)</f>
        <v>0</v>
      </c>
      <c r="B1343" s="29">
        <f>B1342</f>
        <v>0</v>
      </c>
      <c r="C1343" s="30">
        <f>C1342</f>
        <v>0</v>
      </c>
      <c r="D1343" s="30">
        <f>D1342</f>
        <v>0</v>
      </c>
      <c r="E1343" s="29">
        <f>E1342</f>
        <v>0</v>
      </c>
      <c r="F1343" s="29">
        <f>F1342</f>
        <v>0</v>
      </c>
      <c r="G1343" s="29" t="e">
        <f>IF(C1342=1,IF(D1342="BUY",E1342+(ROUND(F1342*G1342/B1342,0)*B1342),E1342-(ROUND(F1342*G1342/B1342,0)*B1342)),IF(D1342="BUY",E1342-(ROUND(F1342*G1342/B1342,0)*B1342),E1342+(ROUND(F1342*G1342/B1342,0)*B1342)))</f>
        <v>#DIV/0!</v>
      </c>
      <c r="H1343" s="29" t="e">
        <f>IF(C1342=1,IF(D1342="BUY",G1343-(ROUND(F1342*H1342/B1342,0)*B1342),G1343+(ROUND(F1342*H1342/B1342,0)*B1342)),IF(D1342="BUY",G1343+(ROUND(F1342*H1342/B1342,0)*B1342),G1343-(ROUND(F1342*H1342/B1342,0)*B1342)))</f>
        <v>#DIV/0!</v>
      </c>
      <c r="I1343" s="29" t="e">
        <f>IF(D1342="BUY",G1343+(ROUND(F1342*I1342/(B1342*100),0)*B1342),G1343-(ROUND(F1342*I1342/(B1342*100),0)*B1342))</f>
        <v>#DIV/0!</v>
      </c>
      <c r="J1343" s="29" t="e">
        <f>IF(C1342=1,IF(D1342="BUY",E1342+(ROUND(F1342*J1342/B1342,0)*B1342),E1342-(ROUND(F1342*J1342/B1342,0)*B1342)),IF(D1342="BUY",E1342-(ROUND(F1342*J1342/B1342,0)*B1342),E1342+(ROUND(F1342*J1342/B1342,0)*B1342)))</f>
        <v>#DIV/0!</v>
      </c>
      <c r="K1343" s="29" t="e">
        <f>IF(C1342=1,IF(D1342="BUY",E1342-(ROUND(F1342*K1342/B1342,0)*B1342),E1342+(ROUND(F1342*K1342/B1342,0)*B1342)),IF(D1342="BUY",E1342-(ROUND(F1342*K1342/B1342,0)*B1342),E1342+(ROUND(F1342*K1342/B1342,0)*B1342)))</f>
        <v>#DIV/0!</v>
      </c>
      <c r="L1343" s="29" t="e">
        <f t="shared" ref="L1343" si="2009">IF(D1343="BUY",I1343+(R1343*B1343),I1343-(R1343*B1343))</f>
        <v>#DIV/0!</v>
      </c>
      <c r="M1343" s="29" t="e">
        <f>IF(D1342="BUY",E1342+(ROUND(F1342*M1342/B1342,0)*B1342),E1342-(ROUND(F1342*M1342/B1342,0)*B1342))</f>
        <v>#DIV/0!</v>
      </c>
      <c r="N1343" s="29" t="e">
        <f>IF(D1342="BUY",E1342-(ROUND(F1342*N1342/B1342,0)*B1342),E1342+(ROUND(F1342*N1342/B1342,0)*B1342))</f>
        <v>#DIV/0!</v>
      </c>
      <c r="O1343" s="31" t="e">
        <f>IF(D1343="BUY",N1343-VLOOKUP(A1343,Symbols!A$1:D$1000,4,FALSE),N1343+VLOOKUP(A1343,Symbols!A$1:D$1000,4,FALSE))</f>
        <v>#DIV/0!</v>
      </c>
      <c r="P1343" s="29">
        <f>P1342</f>
        <v>0</v>
      </c>
      <c r="Q1343" s="29">
        <f>Q1342</f>
        <v>0</v>
      </c>
      <c r="R1343" s="29">
        <f>R1342</f>
        <v>0</v>
      </c>
      <c r="S1343" s="29">
        <f>S1342</f>
        <v>0</v>
      </c>
      <c r="T1343" s="29">
        <f>T1342</f>
        <v>0</v>
      </c>
      <c r="U1343" s="29" t="e">
        <f>DATEDIF(DATE(1970,1,1),U1342,"D")*86400</f>
        <v>#NUM!</v>
      </c>
      <c r="V1343" s="29">
        <f>HOUR(V1342)*3600+MINUTE(V1342)*60+SECOND(V1342)</f>
        <v>0</v>
      </c>
      <c r="W1343" s="29" t="e">
        <f>DATEDIF(DATE(1970,1,1),W1342,"D")*86400</f>
        <v>#NUM!</v>
      </c>
      <c r="X1343" s="29">
        <f>HOUR(X1342)*3600+MINUTE(X1342)*60+SECOND(X1342)</f>
        <v>0</v>
      </c>
      <c r="Y1343" s="31">
        <f>(Y1342*B1343)</f>
        <v>0</v>
      </c>
      <c r="Z1343" s="29">
        <f>Z1342</f>
        <v>0</v>
      </c>
      <c r="AA1343" s="29" t="e">
        <f>DATEDIF(DATE(1970,1,1),AA1342,"D")*86400</f>
        <v>#NUM!</v>
      </c>
      <c r="AB1343" s="29">
        <f>HOUR(AB1342)*3600+MINUTE(AB1342)*60+SECOND(AB1342)</f>
        <v>0</v>
      </c>
      <c r="AC1343" s="29">
        <f>AC1342</f>
        <v>0</v>
      </c>
    </row>
    <row r="1344" spans="1:29">
      <c r="A1344" s="23">
        <f>Parameters!A673</f>
        <v>0</v>
      </c>
      <c r="B1344" s="23">
        <f>Parameters!B673</f>
        <v>0</v>
      </c>
      <c r="C1344" s="24">
        <f>Parameters!C673</f>
        <v>0</v>
      </c>
      <c r="D1344" s="24">
        <f>Parameters!D673</f>
        <v>0</v>
      </c>
      <c r="E1344" s="23">
        <f>Parameters!E673</f>
        <v>0</v>
      </c>
      <c r="F1344" s="23">
        <f>Parameters!F673</f>
        <v>0</v>
      </c>
      <c r="G1344" s="25">
        <f>Parameters!G673</f>
        <v>0</v>
      </c>
      <c r="H1344" s="25">
        <f>Parameters!H673</f>
        <v>0</v>
      </c>
      <c r="I1344" s="25">
        <f>Parameters!I673</f>
        <v>0</v>
      </c>
      <c r="J1344" s="25">
        <f>Parameters!J673</f>
        <v>0</v>
      </c>
      <c r="K1344" s="25">
        <f>Parameters!K673</f>
        <v>0</v>
      </c>
      <c r="L1344" s="26" t="e">
        <f t="shared" ref="L1344" si="2010">L1345</f>
        <v>#DIV/0!</v>
      </c>
      <c r="M1344" s="25">
        <f>Parameters!L673</f>
        <v>0</v>
      </c>
      <c r="N1344" s="25">
        <f>Parameters!M673</f>
        <v>0</v>
      </c>
      <c r="O1344" s="26" t="e">
        <f t="shared" ref="O1344" si="2011">O1345</f>
        <v>#DIV/0!</v>
      </c>
      <c r="P1344" s="23">
        <f>Parameters!N673</f>
        <v>0</v>
      </c>
      <c r="Q1344" s="23">
        <f>Parameters!O673</f>
        <v>0</v>
      </c>
      <c r="R1344" s="23">
        <f>Parameters!P673</f>
        <v>0</v>
      </c>
      <c r="S1344" s="23">
        <f>Parameters!Q673</f>
        <v>0</v>
      </c>
      <c r="T1344" s="23">
        <f>Parameters!R673</f>
        <v>0</v>
      </c>
      <c r="U1344" s="27">
        <f>Parameters!S673</f>
        <v>0</v>
      </c>
      <c r="V1344" s="28">
        <f>Parameters!T673</f>
        <v>0</v>
      </c>
      <c r="W1344" s="27">
        <f>Parameters!U673</f>
        <v>0</v>
      </c>
      <c r="X1344" s="28">
        <f>Parameters!V673</f>
        <v>0</v>
      </c>
      <c r="Y1344" s="25">
        <f>Parameters!W673</f>
        <v>0</v>
      </c>
      <c r="Z1344" s="23">
        <f>Parameters!X673</f>
        <v>0</v>
      </c>
      <c r="AA1344" s="27">
        <f>Parameters!Y673</f>
        <v>0</v>
      </c>
      <c r="AB1344" s="28">
        <f>Parameters!Z673</f>
        <v>0</v>
      </c>
      <c r="AC1344" s="23">
        <f>Parameters!AA673</f>
        <v>0</v>
      </c>
    </row>
    <row r="1345" spans="1:29">
      <c r="A1345" s="29" t="str">
        <f>UPPER(A1344)</f>
        <v>0</v>
      </c>
      <c r="B1345" s="29">
        <f>B1344</f>
        <v>0</v>
      </c>
      <c r="C1345" s="30">
        <f>C1344</f>
        <v>0</v>
      </c>
      <c r="D1345" s="30">
        <f>D1344</f>
        <v>0</v>
      </c>
      <c r="E1345" s="29">
        <f>E1344</f>
        <v>0</v>
      </c>
      <c r="F1345" s="29">
        <f>F1344</f>
        <v>0</v>
      </c>
      <c r="G1345" s="29" t="e">
        <f>IF(C1344=1,IF(D1344="BUY",E1344+(ROUND(F1344*G1344/B1344,0)*B1344),E1344-(ROUND(F1344*G1344/B1344,0)*B1344)),IF(D1344="BUY",E1344-(ROUND(F1344*G1344/B1344,0)*B1344),E1344+(ROUND(F1344*G1344/B1344,0)*B1344)))</f>
        <v>#DIV/0!</v>
      </c>
      <c r="H1345" s="29" t="e">
        <f>IF(C1344=1,IF(D1344="BUY",G1345-(ROUND(F1344*H1344/B1344,0)*B1344),G1345+(ROUND(F1344*H1344/B1344,0)*B1344)),IF(D1344="BUY",G1345+(ROUND(F1344*H1344/B1344,0)*B1344),G1345-(ROUND(F1344*H1344/B1344,0)*B1344)))</f>
        <v>#DIV/0!</v>
      </c>
      <c r="I1345" s="29" t="e">
        <f>IF(D1344="BUY",G1345+(ROUND(F1344*I1344/(B1344*100),0)*B1344),G1345-(ROUND(F1344*I1344/(B1344*100),0)*B1344))</f>
        <v>#DIV/0!</v>
      </c>
      <c r="J1345" s="29" t="e">
        <f>IF(C1344=1,IF(D1344="BUY",E1344+(ROUND(F1344*J1344/B1344,0)*B1344),E1344-(ROUND(F1344*J1344/B1344,0)*B1344)),IF(D1344="BUY",E1344-(ROUND(F1344*J1344/B1344,0)*B1344),E1344+(ROUND(F1344*J1344/B1344,0)*B1344)))</f>
        <v>#DIV/0!</v>
      </c>
      <c r="K1345" s="29" t="e">
        <f>IF(C1344=1,IF(D1344="BUY",E1344-(ROUND(F1344*K1344/B1344,0)*B1344),E1344+(ROUND(F1344*K1344/B1344,0)*B1344)),IF(D1344="BUY",E1344-(ROUND(F1344*K1344/B1344,0)*B1344),E1344+(ROUND(F1344*K1344/B1344,0)*B1344)))</f>
        <v>#DIV/0!</v>
      </c>
      <c r="L1345" s="29" t="e">
        <f t="shared" ref="L1345" si="2012">IF(D1345="BUY",I1345+(R1345*B1345),I1345-(R1345*B1345))</f>
        <v>#DIV/0!</v>
      </c>
      <c r="M1345" s="29" t="e">
        <f>IF(D1344="BUY",E1344+(ROUND(F1344*M1344/B1344,0)*B1344),E1344-(ROUND(F1344*M1344/B1344,0)*B1344))</f>
        <v>#DIV/0!</v>
      </c>
      <c r="N1345" s="29" t="e">
        <f>IF(D1344="BUY",E1344-(ROUND(F1344*N1344/B1344,0)*B1344),E1344+(ROUND(F1344*N1344/B1344,0)*B1344))</f>
        <v>#DIV/0!</v>
      </c>
      <c r="O1345" s="31" t="e">
        <f>IF(D1345="BUY",N1345-VLOOKUP(A1345,Symbols!A$1:D$1000,4,FALSE),N1345+VLOOKUP(A1345,Symbols!A$1:D$1000,4,FALSE))</f>
        <v>#DIV/0!</v>
      </c>
      <c r="P1345" s="29">
        <f>P1344</f>
        <v>0</v>
      </c>
      <c r="Q1345" s="29">
        <f>Q1344</f>
        <v>0</v>
      </c>
      <c r="R1345" s="29">
        <f>R1344</f>
        <v>0</v>
      </c>
      <c r="S1345" s="29">
        <f>S1344</f>
        <v>0</v>
      </c>
      <c r="T1345" s="29">
        <f>T1344</f>
        <v>0</v>
      </c>
      <c r="U1345" s="29" t="e">
        <f>DATEDIF(DATE(1970,1,1),U1344,"D")*86400</f>
        <v>#NUM!</v>
      </c>
      <c r="V1345" s="29">
        <f>HOUR(V1344)*3600+MINUTE(V1344)*60+SECOND(V1344)</f>
        <v>0</v>
      </c>
      <c r="W1345" s="29" t="e">
        <f>DATEDIF(DATE(1970,1,1),W1344,"D")*86400</f>
        <v>#NUM!</v>
      </c>
      <c r="X1345" s="29">
        <f>HOUR(X1344)*3600+MINUTE(X1344)*60+SECOND(X1344)</f>
        <v>0</v>
      </c>
      <c r="Y1345" s="31">
        <f>(Y1344*B1345)</f>
        <v>0</v>
      </c>
      <c r="Z1345" s="29">
        <f>Z1344</f>
        <v>0</v>
      </c>
      <c r="AA1345" s="29" t="e">
        <f>DATEDIF(DATE(1970,1,1),AA1344,"D")*86400</f>
        <v>#NUM!</v>
      </c>
      <c r="AB1345" s="29">
        <f>HOUR(AB1344)*3600+MINUTE(AB1344)*60+SECOND(AB1344)</f>
        <v>0</v>
      </c>
      <c r="AC1345" s="29">
        <f>AC1344</f>
        <v>0</v>
      </c>
    </row>
    <row r="1346" spans="1:29">
      <c r="A1346" s="23">
        <f>Parameters!A674</f>
        <v>0</v>
      </c>
      <c r="B1346" s="23">
        <f>Parameters!B674</f>
        <v>0</v>
      </c>
      <c r="C1346" s="24">
        <f>Parameters!C674</f>
        <v>0</v>
      </c>
      <c r="D1346" s="24">
        <f>Parameters!D674</f>
        <v>0</v>
      </c>
      <c r="E1346" s="23">
        <f>Parameters!E674</f>
        <v>0</v>
      </c>
      <c r="F1346" s="23">
        <f>Parameters!F674</f>
        <v>0</v>
      </c>
      <c r="G1346" s="25">
        <f>Parameters!G674</f>
        <v>0</v>
      </c>
      <c r="H1346" s="25">
        <f>Parameters!H674</f>
        <v>0</v>
      </c>
      <c r="I1346" s="25">
        <f>Parameters!I674</f>
        <v>0</v>
      </c>
      <c r="J1346" s="25">
        <f>Parameters!J674</f>
        <v>0</v>
      </c>
      <c r="K1346" s="25">
        <f>Parameters!K674</f>
        <v>0</v>
      </c>
      <c r="L1346" s="26" t="e">
        <f t="shared" ref="L1346" si="2013">L1347</f>
        <v>#DIV/0!</v>
      </c>
      <c r="M1346" s="25">
        <f>Parameters!L674</f>
        <v>0</v>
      </c>
      <c r="N1346" s="25">
        <f>Parameters!M674</f>
        <v>0</v>
      </c>
      <c r="O1346" s="26" t="e">
        <f t="shared" ref="O1346" si="2014">O1347</f>
        <v>#DIV/0!</v>
      </c>
      <c r="P1346" s="23">
        <f>Parameters!N674</f>
        <v>0</v>
      </c>
      <c r="Q1346" s="23">
        <f>Parameters!O674</f>
        <v>0</v>
      </c>
      <c r="R1346" s="23">
        <f>Parameters!P674</f>
        <v>0</v>
      </c>
      <c r="S1346" s="23">
        <f>Parameters!Q674</f>
        <v>0</v>
      </c>
      <c r="T1346" s="23">
        <f>Parameters!R674</f>
        <v>0</v>
      </c>
      <c r="U1346" s="27">
        <f>Parameters!S674</f>
        <v>0</v>
      </c>
      <c r="V1346" s="28">
        <f>Parameters!T674</f>
        <v>0</v>
      </c>
      <c r="W1346" s="27">
        <f>Parameters!U674</f>
        <v>0</v>
      </c>
      <c r="X1346" s="28">
        <f>Parameters!V674</f>
        <v>0</v>
      </c>
      <c r="Y1346" s="25">
        <f>Parameters!W674</f>
        <v>0</v>
      </c>
      <c r="Z1346" s="23">
        <f>Parameters!X674</f>
        <v>0</v>
      </c>
      <c r="AA1346" s="27">
        <f>Parameters!Y674</f>
        <v>0</v>
      </c>
      <c r="AB1346" s="28">
        <f>Parameters!Z674</f>
        <v>0</v>
      </c>
      <c r="AC1346" s="23">
        <f>Parameters!AA674</f>
        <v>0</v>
      </c>
    </row>
    <row r="1347" spans="1:29">
      <c r="A1347" s="29" t="str">
        <f>UPPER(A1346)</f>
        <v>0</v>
      </c>
      <c r="B1347" s="29">
        <f>B1346</f>
        <v>0</v>
      </c>
      <c r="C1347" s="30">
        <f>C1346</f>
        <v>0</v>
      </c>
      <c r="D1347" s="30">
        <f>D1346</f>
        <v>0</v>
      </c>
      <c r="E1347" s="29">
        <f>E1346</f>
        <v>0</v>
      </c>
      <c r="F1347" s="29">
        <f>F1346</f>
        <v>0</v>
      </c>
      <c r="G1347" s="29" t="e">
        <f>IF(C1346=1,IF(D1346="BUY",E1346+(ROUND(F1346*G1346/B1346,0)*B1346),E1346-(ROUND(F1346*G1346/B1346,0)*B1346)),IF(D1346="BUY",E1346-(ROUND(F1346*G1346/B1346,0)*B1346),E1346+(ROUND(F1346*G1346/B1346,0)*B1346)))</f>
        <v>#DIV/0!</v>
      </c>
      <c r="H1347" s="29" t="e">
        <f>IF(C1346=1,IF(D1346="BUY",G1347-(ROUND(F1346*H1346/B1346,0)*B1346),G1347+(ROUND(F1346*H1346/B1346,0)*B1346)),IF(D1346="BUY",G1347+(ROUND(F1346*H1346/B1346,0)*B1346),G1347-(ROUND(F1346*H1346/B1346,0)*B1346)))</f>
        <v>#DIV/0!</v>
      </c>
      <c r="I1347" s="29" t="e">
        <f>IF(D1346="BUY",G1347+(ROUND(F1346*I1346/(B1346*100),0)*B1346),G1347-(ROUND(F1346*I1346/(B1346*100),0)*B1346))</f>
        <v>#DIV/0!</v>
      </c>
      <c r="J1347" s="29" t="e">
        <f>IF(C1346=1,IF(D1346="BUY",E1346+(ROUND(F1346*J1346/B1346,0)*B1346),E1346-(ROUND(F1346*J1346/B1346,0)*B1346)),IF(D1346="BUY",E1346-(ROUND(F1346*J1346/B1346,0)*B1346),E1346+(ROUND(F1346*J1346/B1346,0)*B1346)))</f>
        <v>#DIV/0!</v>
      </c>
      <c r="K1347" s="29" t="e">
        <f>IF(C1346=1,IF(D1346="BUY",E1346-(ROUND(F1346*K1346/B1346,0)*B1346),E1346+(ROUND(F1346*K1346/B1346,0)*B1346)),IF(D1346="BUY",E1346-(ROUND(F1346*K1346/B1346,0)*B1346),E1346+(ROUND(F1346*K1346/B1346,0)*B1346)))</f>
        <v>#DIV/0!</v>
      </c>
      <c r="L1347" s="29" t="e">
        <f t="shared" ref="L1347" si="2015">IF(D1347="BUY",I1347+(R1347*B1347),I1347-(R1347*B1347))</f>
        <v>#DIV/0!</v>
      </c>
      <c r="M1347" s="29" t="e">
        <f>IF(D1346="BUY",E1346+(ROUND(F1346*M1346/B1346,0)*B1346),E1346-(ROUND(F1346*M1346/B1346,0)*B1346))</f>
        <v>#DIV/0!</v>
      </c>
      <c r="N1347" s="29" t="e">
        <f>IF(D1346="BUY",E1346-(ROUND(F1346*N1346/B1346,0)*B1346),E1346+(ROUND(F1346*N1346/B1346,0)*B1346))</f>
        <v>#DIV/0!</v>
      </c>
      <c r="O1347" s="31" t="e">
        <f>IF(D1347="BUY",N1347-VLOOKUP(A1347,Symbols!A$1:D$1000,4,FALSE),N1347+VLOOKUP(A1347,Symbols!A$1:D$1000,4,FALSE))</f>
        <v>#DIV/0!</v>
      </c>
      <c r="P1347" s="29">
        <f>P1346</f>
        <v>0</v>
      </c>
      <c r="Q1347" s="29">
        <f>Q1346</f>
        <v>0</v>
      </c>
      <c r="R1347" s="29">
        <f>R1346</f>
        <v>0</v>
      </c>
      <c r="S1347" s="29">
        <f>S1346</f>
        <v>0</v>
      </c>
      <c r="T1347" s="29">
        <f>T1346</f>
        <v>0</v>
      </c>
      <c r="U1347" s="29" t="e">
        <f>DATEDIF(DATE(1970,1,1),U1346,"D")*86400</f>
        <v>#NUM!</v>
      </c>
      <c r="V1347" s="29">
        <f>HOUR(V1346)*3600+MINUTE(V1346)*60+SECOND(V1346)</f>
        <v>0</v>
      </c>
      <c r="W1347" s="29" t="e">
        <f>DATEDIF(DATE(1970,1,1),W1346,"D")*86400</f>
        <v>#NUM!</v>
      </c>
      <c r="X1347" s="29">
        <f>HOUR(X1346)*3600+MINUTE(X1346)*60+SECOND(X1346)</f>
        <v>0</v>
      </c>
      <c r="Y1347" s="31">
        <f>(Y1346*B1347)</f>
        <v>0</v>
      </c>
      <c r="Z1347" s="29">
        <f>Z1346</f>
        <v>0</v>
      </c>
      <c r="AA1347" s="29" t="e">
        <f>DATEDIF(DATE(1970,1,1),AA1346,"D")*86400</f>
        <v>#NUM!</v>
      </c>
      <c r="AB1347" s="29">
        <f>HOUR(AB1346)*3600+MINUTE(AB1346)*60+SECOND(AB1346)</f>
        <v>0</v>
      </c>
      <c r="AC1347" s="29">
        <f>AC1346</f>
        <v>0</v>
      </c>
    </row>
    <row r="1348" spans="1:29">
      <c r="A1348" s="23">
        <f>Parameters!A675</f>
        <v>0</v>
      </c>
      <c r="B1348" s="23">
        <f>Parameters!B675</f>
        <v>0</v>
      </c>
      <c r="C1348" s="24">
        <f>Parameters!C675</f>
        <v>0</v>
      </c>
      <c r="D1348" s="24">
        <f>Parameters!D675</f>
        <v>0</v>
      </c>
      <c r="E1348" s="23">
        <f>Parameters!E675</f>
        <v>0</v>
      </c>
      <c r="F1348" s="23">
        <f>Parameters!F675</f>
        <v>0</v>
      </c>
      <c r="G1348" s="25">
        <f>Parameters!G675</f>
        <v>0</v>
      </c>
      <c r="H1348" s="25">
        <f>Parameters!H675</f>
        <v>0</v>
      </c>
      <c r="I1348" s="25">
        <f>Parameters!I675</f>
        <v>0</v>
      </c>
      <c r="J1348" s="25">
        <f>Parameters!J675</f>
        <v>0</v>
      </c>
      <c r="K1348" s="25">
        <f>Parameters!K675</f>
        <v>0</v>
      </c>
      <c r="L1348" s="26" t="e">
        <f t="shared" ref="L1348" si="2016">L1349</f>
        <v>#DIV/0!</v>
      </c>
      <c r="M1348" s="25">
        <f>Parameters!L675</f>
        <v>0</v>
      </c>
      <c r="N1348" s="25">
        <f>Parameters!M675</f>
        <v>0</v>
      </c>
      <c r="O1348" s="26" t="e">
        <f t="shared" ref="O1348" si="2017">O1349</f>
        <v>#DIV/0!</v>
      </c>
      <c r="P1348" s="23">
        <f>Parameters!N675</f>
        <v>0</v>
      </c>
      <c r="Q1348" s="23">
        <f>Parameters!O675</f>
        <v>0</v>
      </c>
      <c r="R1348" s="23">
        <f>Parameters!P675</f>
        <v>0</v>
      </c>
      <c r="S1348" s="23">
        <f>Parameters!Q675</f>
        <v>0</v>
      </c>
      <c r="T1348" s="23">
        <f>Parameters!R675</f>
        <v>0</v>
      </c>
      <c r="U1348" s="27">
        <f>Parameters!S675</f>
        <v>0</v>
      </c>
      <c r="V1348" s="28">
        <f>Parameters!T675</f>
        <v>0</v>
      </c>
      <c r="W1348" s="27">
        <f>Parameters!U675</f>
        <v>0</v>
      </c>
      <c r="X1348" s="28">
        <f>Parameters!V675</f>
        <v>0</v>
      </c>
      <c r="Y1348" s="25">
        <f>Parameters!W675</f>
        <v>0</v>
      </c>
      <c r="Z1348" s="23">
        <f>Parameters!X675</f>
        <v>0</v>
      </c>
      <c r="AA1348" s="27">
        <f>Parameters!Y675</f>
        <v>0</v>
      </c>
      <c r="AB1348" s="28">
        <f>Parameters!Z675</f>
        <v>0</v>
      </c>
      <c r="AC1348" s="23">
        <f>Parameters!AA675</f>
        <v>0</v>
      </c>
    </row>
    <row r="1349" spans="1:29">
      <c r="A1349" s="29" t="str">
        <f>UPPER(A1348)</f>
        <v>0</v>
      </c>
      <c r="B1349" s="29">
        <f>B1348</f>
        <v>0</v>
      </c>
      <c r="C1349" s="30">
        <f>C1348</f>
        <v>0</v>
      </c>
      <c r="D1349" s="30">
        <f>D1348</f>
        <v>0</v>
      </c>
      <c r="E1349" s="29">
        <f>E1348</f>
        <v>0</v>
      </c>
      <c r="F1349" s="29">
        <f>F1348</f>
        <v>0</v>
      </c>
      <c r="G1349" s="29" t="e">
        <f>IF(C1348=1,IF(D1348="BUY",E1348+(ROUND(F1348*G1348/B1348,0)*B1348),E1348-(ROUND(F1348*G1348/B1348,0)*B1348)),IF(D1348="BUY",E1348-(ROUND(F1348*G1348/B1348,0)*B1348),E1348+(ROUND(F1348*G1348/B1348,0)*B1348)))</f>
        <v>#DIV/0!</v>
      </c>
      <c r="H1349" s="29" t="e">
        <f>IF(C1348=1,IF(D1348="BUY",G1349-(ROUND(F1348*H1348/B1348,0)*B1348),G1349+(ROUND(F1348*H1348/B1348,0)*B1348)),IF(D1348="BUY",G1349+(ROUND(F1348*H1348/B1348,0)*B1348),G1349-(ROUND(F1348*H1348/B1348,0)*B1348)))</f>
        <v>#DIV/0!</v>
      </c>
      <c r="I1349" s="29" t="e">
        <f>IF(D1348="BUY",G1349+(ROUND(F1348*I1348/(B1348*100),0)*B1348),G1349-(ROUND(F1348*I1348/(B1348*100),0)*B1348))</f>
        <v>#DIV/0!</v>
      </c>
      <c r="J1349" s="29" t="e">
        <f>IF(C1348=1,IF(D1348="BUY",E1348+(ROUND(F1348*J1348/B1348,0)*B1348),E1348-(ROUND(F1348*J1348/B1348,0)*B1348)),IF(D1348="BUY",E1348-(ROUND(F1348*J1348/B1348,0)*B1348),E1348+(ROUND(F1348*J1348/B1348,0)*B1348)))</f>
        <v>#DIV/0!</v>
      </c>
      <c r="K1349" s="29" t="e">
        <f>IF(C1348=1,IF(D1348="BUY",E1348-(ROUND(F1348*K1348/B1348,0)*B1348),E1348+(ROUND(F1348*K1348/B1348,0)*B1348)),IF(D1348="BUY",E1348-(ROUND(F1348*K1348/B1348,0)*B1348),E1348+(ROUND(F1348*K1348/B1348,0)*B1348)))</f>
        <v>#DIV/0!</v>
      </c>
      <c r="L1349" s="29" t="e">
        <f t="shared" ref="L1349" si="2018">IF(D1349="BUY",I1349+(R1349*B1349),I1349-(R1349*B1349))</f>
        <v>#DIV/0!</v>
      </c>
      <c r="M1349" s="29" t="e">
        <f>IF(D1348="BUY",E1348+(ROUND(F1348*M1348/B1348,0)*B1348),E1348-(ROUND(F1348*M1348/B1348,0)*B1348))</f>
        <v>#DIV/0!</v>
      </c>
      <c r="N1349" s="29" t="e">
        <f>IF(D1348="BUY",E1348-(ROUND(F1348*N1348/B1348,0)*B1348),E1348+(ROUND(F1348*N1348/B1348,0)*B1348))</f>
        <v>#DIV/0!</v>
      </c>
      <c r="O1349" s="31" t="e">
        <f>IF(D1349="BUY",N1349-VLOOKUP(A1349,Symbols!A$1:D$1000,4,FALSE),N1349+VLOOKUP(A1349,Symbols!A$1:D$1000,4,FALSE))</f>
        <v>#DIV/0!</v>
      </c>
      <c r="P1349" s="29">
        <f>P1348</f>
        <v>0</v>
      </c>
      <c r="Q1349" s="29">
        <f>Q1348</f>
        <v>0</v>
      </c>
      <c r="R1349" s="29">
        <f>R1348</f>
        <v>0</v>
      </c>
      <c r="S1349" s="29">
        <f>S1348</f>
        <v>0</v>
      </c>
      <c r="T1349" s="29">
        <f>T1348</f>
        <v>0</v>
      </c>
      <c r="U1349" s="29" t="e">
        <f>DATEDIF(DATE(1970,1,1),U1348,"D")*86400</f>
        <v>#NUM!</v>
      </c>
      <c r="V1349" s="29">
        <f>HOUR(V1348)*3600+MINUTE(V1348)*60+SECOND(V1348)</f>
        <v>0</v>
      </c>
      <c r="W1349" s="29" t="e">
        <f>DATEDIF(DATE(1970,1,1),W1348,"D")*86400</f>
        <v>#NUM!</v>
      </c>
      <c r="X1349" s="29">
        <f>HOUR(X1348)*3600+MINUTE(X1348)*60+SECOND(X1348)</f>
        <v>0</v>
      </c>
      <c r="Y1349" s="31">
        <f>(Y1348*B1349)</f>
        <v>0</v>
      </c>
      <c r="Z1349" s="29">
        <f>Z1348</f>
        <v>0</v>
      </c>
      <c r="AA1349" s="29" t="e">
        <f>DATEDIF(DATE(1970,1,1),AA1348,"D")*86400</f>
        <v>#NUM!</v>
      </c>
      <c r="AB1349" s="29">
        <f>HOUR(AB1348)*3600+MINUTE(AB1348)*60+SECOND(AB1348)</f>
        <v>0</v>
      </c>
      <c r="AC1349" s="29">
        <f>AC1348</f>
        <v>0</v>
      </c>
    </row>
    <row r="1350" spans="1:29">
      <c r="A1350" s="23">
        <f>Parameters!A676</f>
        <v>0</v>
      </c>
      <c r="B1350" s="23">
        <f>Parameters!B676</f>
        <v>0</v>
      </c>
      <c r="C1350" s="24">
        <f>Parameters!C676</f>
        <v>0</v>
      </c>
      <c r="D1350" s="24">
        <f>Parameters!D676</f>
        <v>0</v>
      </c>
      <c r="E1350" s="23">
        <f>Parameters!E676</f>
        <v>0</v>
      </c>
      <c r="F1350" s="23">
        <f>Parameters!F676</f>
        <v>0</v>
      </c>
      <c r="G1350" s="25">
        <f>Parameters!G676</f>
        <v>0</v>
      </c>
      <c r="H1350" s="25">
        <f>Parameters!H676</f>
        <v>0</v>
      </c>
      <c r="I1350" s="25">
        <f>Parameters!I676</f>
        <v>0</v>
      </c>
      <c r="J1350" s="25">
        <f>Parameters!J676</f>
        <v>0</v>
      </c>
      <c r="K1350" s="25">
        <f>Parameters!K676</f>
        <v>0</v>
      </c>
      <c r="L1350" s="26" t="e">
        <f t="shared" ref="L1350" si="2019">L1351</f>
        <v>#DIV/0!</v>
      </c>
      <c r="M1350" s="25">
        <f>Parameters!L676</f>
        <v>0</v>
      </c>
      <c r="N1350" s="25">
        <f>Parameters!M676</f>
        <v>0</v>
      </c>
      <c r="O1350" s="26" t="e">
        <f t="shared" ref="O1350" si="2020">O1351</f>
        <v>#DIV/0!</v>
      </c>
      <c r="P1350" s="23">
        <f>Parameters!N676</f>
        <v>0</v>
      </c>
      <c r="Q1350" s="23">
        <f>Parameters!O676</f>
        <v>0</v>
      </c>
      <c r="R1350" s="23">
        <f>Parameters!P676</f>
        <v>0</v>
      </c>
      <c r="S1350" s="23">
        <f>Parameters!Q676</f>
        <v>0</v>
      </c>
      <c r="T1350" s="23">
        <f>Parameters!R676</f>
        <v>0</v>
      </c>
      <c r="U1350" s="27">
        <f>Parameters!S676</f>
        <v>0</v>
      </c>
      <c r="V1350" s="28">
        <f>Parameters!T676</f>
        <v>0</v>
      </c>
      <c r="W1350" s="27">
        <f>Parameters!U676</f>
        <v>0</v>
      </c>
      <c r="X1350" s="28">
        <f>Parameters!V676</f>
        <v>0</v>
      </c>
      <c r="Y1350" s="25">
        <f>Parameters!W676</f>
        <v>0</v>
      </c>
      <c r="Z1350" s="23">
        <f>Parameters!X676</f>
        <v>0</v>
      </c>
      <c r="AA1350" s="27">
        <f>Parameters!Y676</f>
        <v>0</v>
      </c>
      <c r="AB1350" s="28">
        <f>Parameters!Z676</f>
        <v>0</v>
      </c>
      <c r="AC1350" s="23">
        <f>Parameters!AA676</f>
        <v>0</v>
      </c>
    </row>
    <row r="1351" spans="1:29">
      <c r="A1351" s="29" t="str">
        <f>UPPER(A1350)</f>
        <v>0</v>
      </c>
      <c r="B1351" s="29">
        <f>B1350</f>
        <v>0</v>
      </c>
      <c r="C1351" s="30">
        <f>C1350</f>
        <v>0</v>
      </c>
      <c r="D1351" s="30">
        <f>D1350</f>
        <v>0</v>
      </c>
      <c r="E1351" s="29">
        <f>E1350</f>
        <v>0</v>
      </c>
      <c r="F1351" s="29">
        <f>F1350</f>
        <v>0</v>
      </c>
      <c r="G1351" s="29" t="e">
        <f>IF(C1350=1,IF(D1350="BUY",E1350+(ROUND(F1350*G1350/B1350,0)*B1350),E1350-(ROUND(F1350*G1350/B1350,0)*B1350)),IF(D1350="BUY",E1350-(ROUND(F1350*G1350/B1350,0)*B1350),E1350+(ROUND(F1350*G1350/B1350,0)*B1350)))</f>
        <v>#DIV/0!</v>
      </c>
      <c r="H1351" s="29" t="e">
        <f>IF(C1350=1,IF(D1350="BUY",G1351-(ROUND(F1350*H1350/B1350,0)*B1350),G1351+(ROUND(F1350*H1350/B1350,0)*B1350)),IF(D1350="BUY",G1351+(ROUND(F1350*H1350/B1350,0)*B1350),G1351-(ROUND(F1350*H1350/B1350,0)*B1350)))</f>
        <v>#DIV/0!</v>
      </c>
      <c r="I1351" s="29" t="e">
        <f>IF(D1350="BUY",G1351+(ROUND(F1350*I1350/(B1350*100),0)*B1350),G1351-(ROUND(F1350*I1350/(B1350*100),0)*B1350))</f>
        <v>#DIV/0!</v>
      </c>
      <c r="J1351" s="29" t="e">
        <f>IF(C1350=1,IF(D1350="BUY",E1350+(ROUND(F1350*J1350/B1350,0)*B1350),E1350-(ROUND(F1350*J1350/B1350,0)*B1350)),IF(D1350="BUY",E1350-(ROUND(F1350*J1350/B1350,0)*B1350),E1350+(ROUND(F1350*J1350/B1350,0)*B1350)))</f>
        <v>#DIV/0!</v>
      </c>
      <c r="K1351" s="29" t="e">
        <f>IF(C1350=1,IF(D1350="BUY",E1350-(ROUND(F1350*K1350/B1350,0)*B1350),E1350+(ROUND(F1350*K1350/B1350,0)*B1350)),IF(D1350="BUY",E1350-(ROUND(F1350*K1350/B1350,0)*B1350),E1350+(ROUND(F1350*K1350/B1350,0)*B1350)))</f>
        <v>#DIV/0!</v>
      </c>
      <c r="L1351" s="29" t="e">
        <f t="shared" ref="L1351" si="2021">IF(D1351="BUY",I1351+(R1351*B1351),I1351-(R1351*B1351))</f>
        <v>#DIV/0!</v>
      </c>
      <c r="M1351" s="29" t="e">
        <f>IF(D1350="BUY",E1350+(ROUND(F1350*M1350/B1350,0)*B1350),E1350-(ROUND(F1350*M1350/B1350,0)*B1350))</f>
        <v>#DIV/0!</v>
      </c>
      <c r="N1351" s="29" t="e">
        <f>IF(D1350="BUY",E1350-(ROUND(F1350*N1350/B1350,0)*B1350),E1350+(ROUND(F1350*N1350/B1350,0)*B1350))</f>
        <v>#DIV/0!</v>
      </c>
      <c r="O1351" s="31" t="e">
        <f>IF(D1351="BUY",N1351-VLOOKUP(A1351,Symbols!A$1:D$1000,4,FALSE),N1351+VLOOKUP(A1351,Symbols!A$1:D$1000,4,FALSE))</f>
        <v>#DIV/0!</v>
      </c>
      <c r="P1351" s="29">
        <f>P1350</f>
        <v>0</v>
      </c>
      <c r="Q1351" s="29">
        <f>Q1350</f>
        <v>0</v>
      </c>
      <c r="R1351" s="29">
        <f>R1350</f>
        <v>0</v>
      </c>
      <c r="S1351" s="29">
        <f>S1350</f>
        <v>0</v>
      </c>
      <c r="T1351" s="29">
        <f>T1350</f>
        <v>0</v>
      </c>
      <c r="U1351" s="29" t="e">
        <f>DATEDIF(DATE(1970,1,1),U1350,"D")*86400</f>
        <v>#NUM!</v>
      </c>
      <c r="V1351" s="29">
        <f>HOUR(V1350)*3600+MINUTE(V1350)*60+SECOND(V1350)</f>
        <v>0</v>
      </c>
      <c r="W1351" s="29" t="e">
        <f>DATEDIF(DATE(1970,1,1),W1350,"D")*86400</f>
        <v>#NUM!</v>
      </c>
      <c r="X1351" s="29">
        <f>HOUR(X1350)*3600+MINUTE(X1350)*60+SECOND(X1350)</f>
        <v>0</v>
      </c>
      <c r="Y1351" s="31">
        <f>(Y1350*B1351)</f>
        <v>0</v>
      </c>
      <c r="Z1351" s="29">
        <f>Z1350</f>
        <v>0</v>
      </c>
      <c r="AA1351" s="29" t="e">
        <f>DATEDIF(DATE(1970,1,1),AA1350,"D")*86400</f>
        <v>#NUM!</v>
      </c>
      <c r="AB1351" s="29">
        <f>HOUR(AB1350)*3600+MINUTE(AB1350)*60+SECOND(AB1350)</f>
        <v>0</v>
      </c>
      <c r="AC1351" s="29">
        <f>AC1350</f>
        <v>0</v>
      </c>
    </row>
    <row r="1352" spans="1:29">
      <c r="A1352" s="23">
        <f>Parameters!A677</f>
        <v>0</v>
      </c>
      <c r="B1352" s="23">
        <f>Parameters!B677</f>
        <v>0</v>
      </c>
      <c r="C1352" s="24">
        <f>Parameters!C677</f>
        <v>0</v>
      </c>
      <c r="D1352" s="24">
        <f>Parameters!D677</f>
        <v>0</v>
      </c>
      <c r="E1352" s="23">
        <f>Parameters!E677</f>
        <v>0</v>
      </c>
      <c r="F1352" s="23">
        <f>Parameters!F677</f>
        <v>0</v>
      </c>
      <c r="G1352" s="25">
        <f>Parameters!G677</f>
        <v>0</v>
      </c>
      <c r="H1352" s="25">
        <f>Parameters!H677</f>
        <v>0</v>
      </c>
      <c r="I1352" s="25">
        <f>Parameters!I677</f>
        <v>0</v>
      </c>
      <c r="J1352" s="25">
        <f>Parameters!J677</f>
        <v>0</v>
      </c>
      <c r="K1352" s="25">
        <f>Parameters!K677</f>
        <v>0</v>
      </c>
      <c r="L1352" s="26" t="e">
        <f t="shared" ref="L1352" si="2022">L1353</f>
        <v>#DIV/0!</v>
      </c>
      <c r="M1352" s="25">
        <f>Parameters!L677</f>
        <v>0</v>
      </c>
      <c r="N1352" s="25">
        <f>Parameters!M677</f>
        <v>0</v>
      </c>
      <c r="O1352" s="26" t="e">
        <f t="shared" ref="O1352" si="2023">O1353</f>
        <v>#DIV/0!</v>
      </c>
      <c r="P1352" s="23">
        <f>Parameters!N677</f>
        <v>0</v>
      </c>
      <c r="Q1352" s="23">
        <f>Parameters!O677</f>
        <v>0</v>
      </c>
      <c r="R1352" s="23">
        <f>Parameters!P677</f>
        <v>0</v>
      </c>
      <c r="S1352" s="23">
        <f>Parameters!Q677</f>
        <v>0</v>
      </c>
      <c r="T1352" s="23">
        <f>Parameters!R677</f>
        <v>0</v>
      </c>
      <c r="U1352" s="27">
        <f>Parameters!S677</f>
        <v>0</v>
      </c>
      <c r="V1352" s="28">
        <f>Parameters!T677</f>
        <v>0</v>
      </c>
      <c r="W1352" s="27">
        <f>Parameters!U677</f>
        <v>0</v>
      </c>
      <c r="X1352" s="28">
        <f>Parameters!V677</f>
        <v>0</v>
      </c>
      <c r="Y1352" s="25">
        <f>Parameters!W677</f>
        <v>0</v>
      </c>
      <c r="Z1352" s="23">
        <f>Parameters!X677</f>
        <v>0</v>
      </c>
      <c r="AA1352" s="27">
        <f>Parameters!Y677</f>
        <v>0</v>
      </c>
      <c r="AB1352" s="28">
        <f>Parameters!Z677</f>
        <v>0</v>
      </c>
      <c r="AC1352" s="23">
        <f>Parameters!AA677</f>
        <v>0</v>
      </c>
    </row>
    <row r="1353" spans="1:29">
      <c r="A1353" s="29" t="str">
        <f>UPPER(A1352)</f>
        <v>0</v>
      </c>
      <c r="B1353" s="29">
        <f>B1352</f>
        <v>0</v>
      </c>
      <c r="C1353" s="30">
        <f>C1352</f>
        <v>0</v>
      </c>
      <c r="D1353" s="30">
        <f>D1352</f>
        <v>0</v>
      </c>
      <c r="E1353" s="29">
        <f>E1352</f>
        <v>0</v>
      </c>
      <c r="F1353" s="29">
        <f>F1352</f>
        <v>0</v>
      </c>
      <c r="G1353" s="29" t="e">
        <f>IF(C1352=1,IF(D1352="BUY",E1352+(ROUND(F1352*G1352/B1352,0)*B1352),E1352-(ROUND(F1352*G1352/B1352,0)*B1352)),IF(D1352="BUY",E1352-(ROUND(F1352*G1352/B1352,0)*B1352),E1352+(ROUND(F1352*G1352/B1352,0)*B1352)))</f>
        <v>#DIV/0!</v>
      </c>
      <c r="H1353" s="29" t="e">
        <f>IF(C1352=1,IF(D1352="BUY",G1353-(ROUND(F1352*H1352/B1352,0)*B1352),G1353+(ROUND(F1352*H1352/B1352,0)*B1352)),IF(D1352="BUY",G1353+(ROUND(F1352*H1352/B1352,0)*B1352),G1353-(ROUND(F1352*H1352/B1352,0)*B1352)))</f>
        <v>#DIV/0!</v>
      </c>
      <c r="I1353" s="29" t="e">
        <f>IF(D1352="BUY",G1353+(ROUND(F1352*I1352/(B1352*100),0)*B1352),G1353-(ROUND(F1352*I1352/(B1352*100),0)*B1352))</f>
        <v>#DIV/0!</v>
      </c>
      <c r="J1353" s="29" t="e">
        <f>IF(C1352=1,IF(D1352="BUY",E1352+(ROUND(F1352*J1352/B1352,0)*B1352),E1352-(ROUND(F1352*J1352/B1352,0)*B1352)),IF(D1352="BUY",E1352-(ROUND(F1352*J1352/B1352,0)*B1352),E1352+(ROUND(F1352*J1352/B1352,0)*B1352)))</f>
        <v>#DIV/0!</v>
      </c>
      <c r="K1353" s="29" t="e">
        <f>IF(C1352=1,IF(D1352="BUY",E1352-(ROUND(F1352*K1352/B1352,0)*B1352),E1352+(ROUND(F1352*K1352/B1352,0)*B1352)),IF(D1352="BUY",E1352-(ROUND(F1352*K1352/B1352,0)*B1352),E1352+(ROUND(F1352*K1352/B1352,0)*B1352)))</f>
        <v>#DIV/0!</v>
      </c>
      <c r="L1353" s="29" t="e">
        <f t="shared" ref="L1353" si="2024">IF(D1353="BUY",I1353+(R1353*B1353),I1353-(R1353*B1353))</f>
        <v>#DIV/0!</v>
      </c>
      <c r="M1353" s="29" t="e">
        <f>IF(D1352="BUY",E1352+(ROUND(F1352*M1352/B1352,0)*B1352),E1352-(ROUND(F1352*M1352/B1352,0)*B1352))</f>
        <v>#DIV/0!</v>
      </c>
      <c r="N1353" s="29" t="e">
        <f>IF(D1352="BUY",E1352-(ROUND(F1352*N1352/B1352,0)*B1352),E1352+(ROUND(F1352*N1352/B1352,0)*B1352))</f>
        <v>#DIV/0!</v>
      </c>
      <c r="O1353" s="31" t="e">
        <f>IF(D1353="BUY",N1353-VLOOKUP(A1353,Symbols!A$1:D$1000,4,FALSE),N1353+VLOOKUP(A1353,Symbols!A$1:D$1000,4,FALSE))</f>
        <v>#DIV/0!</v>
      </c>
      <c r="P1353" s="29">
        <f>P1352</f>
        <v>0</v>
      </c>
      <c r="Q1353" s="29">
        <f>Q1352</f>
        <v>0</v>
      </c>
      <c r="R1353" s="29">
        <f>R1352</f>
        <v>0</v>
      </c>
      <c r="S1353" s="29">
        <f>S1352</f>
        <v>0</v>
      </c>
      <c r="T1353" s="29">
        <f>T1352</f>
        <v>0</v>
      </c>
      <c r="U1353" s="29" t="e">
        <f>DATEDIF(DATE(1970,1,1),U1352,"D")*86400</f>
        <v>#NUM!</v>
      </c>
      <c r="V1353" s="29">
        <f>HOUR(V1352)*3600+MINUTE(V1352)*60+SECOND(V1352)</f>
        <v>0</v>
      </c>
      <c r="W1353" s="29" t="e">
        <f>DATEDIF(DATE(1970,1,1),W1352,"D")*86400</f>
        <v>#NUM!</v>
      </c>
      <c r="X1353" s="29">
        <f>HOUR(X1352)*3600+MINUTE(X1352)*60+SECOND(X1352)</f>
        <v>0</v>
      </c>
      <c r="Y1353" s="31">
        <f>(Y1352*B1353)</f>
        <v>0</v>
      </c>
      <c r="Z1353" s="29">
        <f>Z1352</f>
        <v>0</v>
      </c>
      <c r="AA1353" s="29" t="e">
        <f>DATEDIF(DATE(1970,1,1),AA1352,"D")*86400</f>
        <v>#NUM!</v>
      </c>
      <c r="AB1353" s="29">
        <f>HOUR(AB1352)*3600+MINUTE(AB1352)*60+SECOND(AB1352)</f>
        <v>0</v>
      </c>
      <c r="AC1353" s="29">
        <f>AC1352</f>
        <v>0</v>
      </c>
    </row>
    <row r="1354" spans="1:29">
      <c r="A1354" s="23">
        <f>Parameters!A678</f>
        <v>0</v>
      </c>
      <c r="B1354" s="23">
        <f>Parameters!B678</f>
        <v>0</v>
      </c>
      <c r="C1354" s="24">
        <f>Parameters!C678</f>
        <v>0</v>
      </c>
      <c r="D1354" s="24">
        <f>Parameters!D678</f>
        <v>0</v>
      </c>
      <c r="E1354" s="23">
        <f>Parameters!E678</f>
        <v>0</v>
      </c>
      <c r="F1354" s="23">
        <f>Parameters!F678</f>
        <v>0</v>
      </c>
      <c r="G1354" s="25">
        <f>Parameters!G678</f>
        <v>0</v>
      </c>
      <c r="H1354" s="25">
        <f>Parameters!H678</f>
        <v>0</v>
      </c>
      <c r="I1354" s="25">
        <f>Parameters!I678</f>
        <v>0</v>
      </c>
      <c r="J1354" s="25">
        <f>Parameters!J678</f>
        <v>0</v>
      </c>
      <c r="K1354" s="25">
        <f>Parameters!K678</f>
        <v>0</v>
      </c>
      <c r="L1354" s="26" t="e">
        <f t="shared" ref="L1354" si="2025">L1355</f>
        <v>#DIV/0!</v>
      </c>
      <c r="M1354" s="25">
        <f>Parameters!L678</f>
        <v>0</v>
      </c>
      <c r="N1354" s="25">
        <f>Parameters!M678</f>
        <v>0</v>
      </c>
      <c r="O1354" s="26" t="e">
        <f t="shared" ref="O1354" si="2026">O1355</f>
        <v>#DIV/0!</v>
      </c>
      <c r="P1354" s="23">
        <f>Parameters!N678</f>
        <v>0</v>
      </c>
      <c r="Q1354" s="23">
        <f>Parameters!O678</f>
        <v>0</v>
      </c>
      <c r="R1354" s="23">
        <f>Parameters!P678</f>
        <v>0</v>
      </c>
      <c r="S1354" s="23">
        <f>Parameters!Q678</f>
        <v>0</v>
      </c>
      <c r="T1354" s="23">
        <f>Parameters!R678</f>
        <v>0</v>
      </c>
      <c r="U1354" s="27">
        <f>Parameters!S678</f>
        <v>0</v>
      </c>
      <c r="V1354" s="28">
        <f>Parameters!T678</f>
        <v>0</v>
      </c>
      <c r="W1354" s="27">
        <f>Parameters!U678</f>
        <v>0</v>
      </c>
      <c r="X1354" s="28">
        <f>Parameters!V678</f>
        <v>0</v>
      </c>
      <c r="Y1354" s="25">
        <f>Parameters!W678</f>
        <v>0</v>
      </c>
      <c r="Z1354" s="23">
        <f>Parameters!X678</f>
        <v>0</v>
      </c>
      <c r="AA1354" s="27">
        <f>Parameters!Y678</f>
        <v>0</v>
      </c>
      <c r="AB1354" s="28">
        <f>Parameters!Z678</f>
        <v>0</v>
      </c>
      <c r="AC1354" s="23">
        <f>Parameters!AA678</f>
        <v>0</v>
      </c>
    </row>
    <row r="1355" spans="1:29">
      <c r="A1355" s="29" t="str">
        <f>UPPER(A1354)</f>
        <v>0</v>
      </c>
      <c r="B1355" s="29">
        <f>B1354</f>
        <v>0</v>
      </c>
      <c r="C1355" s="30">
        <f>C1354</f>
        <v>0</v>
      </c>
      <c r="D1355" s="30">
        <f>D1354</f>
        <v>0</v>
      </c>
      <c r="E1355" s="29">
        <f>E1354</f>
        <v>0</v>
      </c>
      <c r="F1355" s="29">
        <f>F1354</f>
        <v>0</v>
      </c>
      <c r="G1355" s="29" t="e">
        <f>IF(C1354=1,IF(D1354="BUY",E1354+(ROUND(F1354*G1354/B1354,0)*B1354),E1354-(ROUND(F1354*G1354/B1354,0)*B1354)),IF(D1354="BUY",E1354-(ROUND(F1354*G1354/B1354,0)*B1354),E1354+(ROUND(F1354*G1354/B1354,0)*B1354)))</f>
        <v>#DIV/0!</v>
      </c>
      <c r="H1355" s="29" t="e">
        <f>IF(C1354=1,IF(D1354="BUY",G1355-(ROUND(F1354*H1354/B1354,0)*B1354),G1355+(ROUND(F1354*H1354/B1354,0)*B1354)),IF(D1354="BUY",G1355+(ROUND(F1354*H1354/B1354,0)*B1354),G1355-(ROUND(F1354*H1354/B1354,0)*B1354)))</f>
        <v>#DIV/0!</v>
      </c>
      <c r="I1355" s="29" t="e">
        <f>IF(D1354="BUY",G1355+(ROUND(F1354*I1354/(B1354*100),0)*B1354),G1355-(ROUND(F1354*I1354/(B1354*100),0)*B1354))</f>
        <v>#DIV/0!</v>
      </c>
      <c r="J1355" s="29" t="e">
        <f>IF(C1354=1,IF(D1354="BUY",E1354+(ROUND(F1354*J1354/B1354,0)*B1354),E1354-(ROUND(F1354*J1354/B1354,0)*B1354)),IF(D1354="BUY",E1354-(ROUND(F1354*J1354/B1354,0)*B1354),E1354+(ROUND(F1354*J1354/B1354,0)*B1354)))</f>
        <v>#DIV/0!</v>
      </c>
      <c r="K1355" s="29" t="e">
        <f>IF(C1354=1,IF(D1354="BUY",E1354-(ROUND(F1354*K1354/B1354,0)*B1354),E1354+(ROUND(F1354*K1354/B1354,0)*B1354)),IF(D1354="BUY",E1354-(ROUND(F1354*K1354/B1354,0)*B1354),E1354+(ROUND(F1354*K1354/B1354,0)*B1354)))</f>
        <v>#DIV/0!</v>
      </c>
      <c r="L1355" s="29" t="e">
        <f t="shared" ref="L1355" si="2027">IF(D1355="BUY",I1355+(R1355*B1355),I1355-(R1355*B1355))</f>
        <v>#DIV/0!</v>
      </c>
      <c r="M1355" s="29" t="e">
        <f>IF(D1354="BUY",E1354+(ROUND(F1354*M1354/B1354,0)*B1354),E1354-(ROUND(F1354*M1354/B1354,0)*B1354))</f>
        <v>#DIV/0!</v>
      </c>
      <c r="N1355" s="29" t="e">
        <f>IF(D1354="BUY",E1354-(ROUND(F1354*N1354/B1354,0)*B1354),E1354+(ROUND(F1354*N1354/B1354,0)*B1354))</f>
        <v>#DIV/0!</v>
      </c>
      <c r="O1355" s="31" t="e">
        <f>IF(D1355="BUY",N1355-VLOOKUP(A1355,Symbols!A$1:D$1000,4,FALSE),N1355+VLOOKUP(A1355,Symbols!A$1:D$1000,4,FALSE))</f>
        <v>#DIV/0!</v>
      </c>
      <c r="P1355" s="29">
        <f>P1354</f>
        <v>0</v>
      </c>
      <c r="Q1355" s="29">
        <f>Q1354</f>
        <v>0</v>
      </c>
      <c r="R1355" s="29">
        <f>R1354</f>
        <v>0</v>
      </c>
      <c r="S1355" s="29">
        <f>S1354</f>
        <v>0</v>
      </c>
      <c r="T1355" s="29">
        <f>T1354</f>
        <v>0</v>
      </c>
      <c r="U1355" s="29" t="e">
        <f>DATEDIF(DATE(1970,1,1),U1354,"D")*86400</f>
        <v>#NUM!</v>
      </c>
      <c r="V1355" s="29">
        <f>HOUR(V1354)*3600+MINUTE(V1354)*60+SECOND(V1354)</f>
        <v>0</v>
      </c>
      <c r="W1355" s="29" t="e">
        <f>DATEDIF(DATE(1970,1,1),W1354,"D")*86400</f>
        <v>#NUM!</v>
      </c>
      <c r="X1355" s="29">
        <f>HOUR(X1354)*3600+MINUTE(X1354)*60+SECOND(X1354)</f>
        <v>0</v>
      </c>
      <c r="Y1355" s="31">
        <f>(Y1354*B1355)</f>
        <v>0</v>
      </c>
      <c r="Z1355" s="29">
        <f>Z1354</f>
        <v>0</v>
      </c>
      <c r="AA1355" s="29" t="e">
        <f>DATEDIF(DATE(1970,1,1),AA1354,"D")*86400</f>
        <v>#NUM!</v>
      </c>
      <c r="AB1355" s="29">
        <f>HOUR(AB1354)*3600+MINUTE(AB1354)*60+SECOND(AB1354)</f>
        <v>0</v>
      </c>
      <c r="AC1355" s="29">
        <f>AC1354</f>
        <v>0</v>
      </c>
    </row>
    <row r="1356" spans="1:29">
      <c r="A1356" s="23">
        <f>Parameters!A679</f>
        <v>0</v>
      </c>
      <c r="B1356" s="23">
        <f>Parameters!B679</f>
        <v>0</v>
      </c>
      <c r="C1356" s="24">
        <f>Parameters!C679</f>
        <v>0</v>
      </c>
      <c r="D1356" s="24">
        <f>Parameters!D679</f>
        <v>0</v>
      </c>
      <c r="E1356" s="23">
        <f>Parameters!E679</f>
        <v>0</v>
      </c>
      <c r="F1356" s="23">
        <f>Parameters!F679</f>
        <v>0</v>
      </c>
      <c r="G1356" s="25">
        <f>Parameters!G679</f>
        <v>0</v>
      </c>
      <c r="H1356" s="25">
        <f>Parameters!H679</f>
        <v>0</v>
      </c>
      <c r="I1356" s="25">
        <f>Parameters!I679</f>
        <v>0</v>
      </c>
      <c r="J1356" s="25">
        <f>Parameters!J679</f>
        <v>0</v>
      </c>
      <c r="K1356" s="25">
        <f>Parameters!K679</f>
        <v>0</v>
      </c>
      <c r="L1356" s="26" t="e">
        <f t="shared" ref="L1356" si="2028">L1357</f>
        <v>#DIV/0!</v>
      </c>
      <c r="M1356" s="25">
        <f>Parameters!L679</f>
        <v>0</v>
      </c>
      <c r="N1356" s="25">
        <f>Parameters!M679</f>
        <v>0</v>
      </c>
      <c r="O1356" s="26" t="e">
        <f t="shared" ref="O1356" si="2029">O1357</f>
        <v>#DIV/0!</v>
      </c>
      <c r="P1356" s="23">
        <f>Parameters!N679</f>
        <v>0</v>
      </c>
      <c r="Q1356" s="23">
        <f>Parameters!O679</f>
        <v>0</v>
      </c>
      <c r="R1356" s="23">
        <f>Parameters!P679</f>
        <v>0</v>
      </c>
      <c r="S1356" s="23">
        <f>Parameters!Q679</f>
        <v>0</v>
      </c>
      <c r="T1356" s="23">
        <f>Parameters!R679</f>
        <v>0</v>
      </c>
      <c r="U1356" s="27">
        <f>Parameters!S679</f>
        <v>0</v>
      </c>
      <c r="V1356" s="28">
        <f>Parameters!T679</f>
        <v>0</v>
      </c>
      <c r="W1356" s="27">
        <f>Parameters!U679</f>
        <v>0</v>
      </c>
      <c r="X1356" s="28">
        <f>Parameters!V679</f>
        <v>0</v>
      </c>
      <c r="Y1356" s="25">
        <f>Parameters!W679</f>
        <v>0</v>
      </c>
      <c r="Z1356" s="23">
        <f>Parameters!X679</f>
        <v>0</v>
      </c>
      <c r="AA1356" s="27">
        <f>Parameters!Y679</f>
        <v>0</v>
      </c>
      <c r="AB1356" s="28">
        <f>Parameters!Z679</f>
        <v>0</v>
      </c>
      <c r="AC1356" s="23">
        <f>Parameters!AA679</f>
        <v>0</v>
      </c>
    </row>
    <row r="1357" spans="1:29">
      <c r="A1357" s="29" t="str">
        <f>UPPER(A1356)</f>
        <v>0</v>
      </c>
      <c r="B1357" s="29">
        <f>B1356</f>
        <v>0</v>
      </c>
      <c r="C1357" s="30">
        <f>C1356</f>
        <v>0</v>
      </c>
      <c r="D1357" s="30">
        <f>D1356</f>
        <v>0</v>
      </c>
      <c r="E1357" s="29">
        <f>E1356</f>
        <v>0</v>
      </c>
      <c r="F1357" s="29">
        <f>F1356</f>
        <v>0</v>
      </c>
      <c r="G1357" s="29" t="e">
        <f>IF(C1356=1,IF(D1356="BUY",E1356+(ROUND(F1356*G1356/B1356,0)*B1356),E1356-(ROUND(F1356*G1356/B1356,0)*B1356)),IF(D1356="BUY",E1356-(ROUND(F1356*G1356/B1356,0)*B1356),E1356+(ROUND(F1356*G1356/B1356,0)*B1356)))</f>
        <v>#DIV/0!</v>
      </c>
      <c r="H1357" s="29" t="e">
        <f>IF(C1356=1,IF(D1356="BUY",G1357-(ROUND(F1356*H1356/B1356,0)*B1356),G1357+(ROUND(F1356*H1356/B1356,0)*B1356)),IF(D1356="BUY",G1357+(ROUND(F1356*H1356/B1356,0)*B1356),G1357-(ROUND(F1356*H1356/B1356,0)*B1356)))</f>
        <v>#DIV/0!</v>
      </c>
      <c r="I1357" s="29" t="e">
        <f>IF(D1356="BUY",G1357+(ROUND(F1356*I1356/(B1356*100),0)*B1356),G1357-(ROUND(F1356*I1356/(B1356*100),0)*B1356))</f>
        <v>#DIV/0!</v>
      </c>
      <c r="J1357" s="29" t="e">
        <f>IF(C1356=1,IF(D1356="BUY",E1356+(ROUND(F1356*J1356/B1356,0)*B1356),E1356-(ROUND(F1356*J1356/B1356,0)*B1356)),IF(D1356="BUY",E1356-(ROUND(F1356*J1356/B1356,0)*B1356),E1356+(ROUND(F1356*J1356/B1356,0)*B1356)))</f>
        <v>#DIV/0!</v>
      </c>
      <c r="K1357" s="29" t="e">
        <f>IF(C1356=1,IF(D1356="BUY",E1356-(ROUND(F1356*K1356/B1356,0)*B1356),E1356+(ROUND(F1356*K1356/B1356,0)*B1356)),IF(D1356="BUY",E1356-(ROUND(F1356*K1356/B1356,0)*B1356),E1356+(ROUND(F1356*K1356/B1356,0)*B1356)))</f>
        <v>#DIV/0!</v>
      </c>
      <c r="L1357" s="29" t="e">
        <f t="shared" ref="L1357" si="2030">IF(D1357="BUY",I1357+(R1357*B1357),I1357-(R1357*B1357))</f>
        <v>#DIV/0!</v>
      </c>
      <c r="M1357" s="29" t="e">
        <f>IF(D1356="BUY",E1356+(ROUND(F1356*M1356/B1356,0)*B1356),E1356-(ROUND(F1356*M1356/B1356,0)*B1356))</f>
        <v>#DIV/0!</v>
      </c>
      <c r="N1357" s="29" t="e">
        <f>IF(D1356="BUY",E1356-(ROUND(F1356*N1356/B1356,0)*B1356),E1356+(ROUND(F1356*N1356/B1356,0)*B1356))</f>
        <v>#DIV/0!</v>
      </c>
      <c r="O1357" s="31" t="e">
        <f>IF(D1357="BUY",N1357-VLOOKUP(A1357,Symbols!A$1:D$1000,4,FALSE),N1357+VLOOKUP(A1357,Symbols!A$1:D$1000,4,FALSE))</f>
        <v>#DIV/0!</v>
      </c>
      <c r="P1357" s="29">
        <f>P1356</f>
        <v>0</v>
      </c>
      <c r="Q1357" s="29">
        <f>Q1356</f>
        <v>0</v>
      </c>
      <c r="R1357" s="29">
        <f>R1356</f>
        <v>0</v>
      </c>
      <c r="S1357" s="29">
        <f>S1356</f>
        <v>0</v>
      </c>
      <c r="T1357" s="29">
        <f>T1356</f>
        <v>0</v>
      </c>
      <c r="U1357" s="29" t="e">
        <f>DATEDIF(DATE(1970,1,1),U1356,"D")*86400</f>
        <v>#NUM!</v>
      </c>
      <c r="V1357" s="29">
        <f>HOUR(V1356)*3600+MINUTE(V1356)*60+SECOND(V1356)</f>
        <v>0</v>
      </c>
      <c r="W1357" s="29" t="e">
        <f>DATEDIF(DATE(1970,1,1),W1356,"D")*86400</f>
        <v>#NUM!</v>
      </c>
      <c r="X1357" s="29">
        <f>HOUR(X1356)*3600+MINUTE(X1356)*60+SECOND(X1356)</f>
        <v>0</v>
      </c>
      <c r="Y1357" s="31">
        <f>(Y1356*B1357)</f>
        <v>0</v>
      </c>
      <c r="Z1357" s="29">
        <f>Z1356</f>
        <v>0</v>
      </c>
      <c r="AA1357" s="29" t="e">
        <f>DATEDIF(DATE(1970,1,1),AA1356,"D")*86400</f>
        <v>#NUM!</v>
      </c>
      <c r="AB1357" s="29">
        <f>HOUR(AB1356)*3600+MINUTE(AB1356)*60+SECOND(AB1356)</f>
        <v>0</v>
      </c>
      <c r="AC1357" s="29">
        <f>AC1356</f>
        <v>0</v>
      </c>
    </row>
    <row r="1358" spans="1:29">
      <c r="A1358" s="23">
        <f>Parameters!A680</f>
        <v>0</v>
      </c>
      <c r="B1358" s="23">
        <f>Parameters!B680</f>
        <v>0</v>
      </c>
      <c r="C1358" s="24">
        <f>Parameters!C680</f>
        <v>0</v>
      </c>
      <c r="D1358" s="24">
        <f>Parameters!D680</f>
        <v>0</v>
      </c>
      <c r="E1358" s="23">
        <f>Parameters!E680</f>
        <v>0</v>
      </c>
      <c r="F1358" s="23">
        <f>Parameters!F680</f>
        <v>0</v>
      </c>
      <c r="G1358" s="25">
        <f>Parameters!G680</f>
        <v>0</v>
      </c>
      <c r="H1358" s="25">
        <f>Parameters!H680</f>
        <v>0</v>
      </c>
      <c r="I1358" s="25">
        <f>Parameters!I680</f>
        <v>0</v>
      </c>
      <c r="J1358" s="25">
        <f>Parameters!J680</f>
        <v>0</v>
      </c>
      <c r="K1358" s="25">
        <f>Parameters!K680</f>
        <v>0</v>
      </c>
      <c r="L1358" s="26" t="e">
        <f t="shared" ref="L1358" si="2031">L1359</f>
        <v>#DIV/0!</v>
      </c>
      <c r="M1358" s="25">
        <f>Parameters!L680</f>
        <v>0</v>
      </c>
      <c r="N1358" s="25">
        <f>Parameters!M680</f>
        <v>0</v>
      </c>
      <c r="O1358" s="26" t="e">
        <f t="shared" ref="O1358" si="2032">O1359</f>
        <v>#DIV/0!</v>
      </c>
      <c r="P1358" s="23">
        <f>Parameters!N680</f>
        <v>0</v>
      </c>
      <c r="Q1358" s="23">
        <f>Parameters!O680</f>
        <v>0</v>
      </c>
      <c r="R1358" s="23">
        <f>Parameters!P680</f>
        <v>0</v>
      </c>
      <c r="S1358" s="23">
        <f>Parameters!Q680</f>
        <v>0</v>
      </c>
      <c r="T1358" s="23">
        <f>Parameters!R680</f>
        <v>0</v>
      </c>
      <c r="U1358" s="27">
        <f>Parameters!S680</f>
        <v>0</v>
      </c>
      <c r="V1358" s="28">
        <f>Parameters!T680</f>
        <v>0</v>
      </c>
      <c r="W1358" s="27">
        <f>Parameters!U680</f>
        <v>0</v>
      </c>
      <c r="X1358" s="28">
        <f>Parameters!V680</f>
        <v>0</v>
      </c>
      <c r="Y1358" s="25">
        <f>Parameters!W680</f>
        <v>0</v>
      </c>
      <c r="Z1358" s="23">
        <f>Parameters!X680</f>
        <v>0</v>
      </c>
      <c r="AA1358" s="27">
        <f>Parameters!Y680</f>
        <v>0</v>
      </c>
      <c r="AB1358" s="28">
        <f>Parameters!Z680</f>
        <v>0</v>
      </c>
      <c r="AC1358" s="23">
        <f>Parameters!AA680</f>
        <v>0</v>
      </c>
    </row>
    <row r="1359" spans="1:29">
      <c r="A1359" s="29" t="str">
        <f>UPPER(A1358)</f>
        <v>0</v>
      </c>
      <c r="B1359" s="29">
        <f>B1358</f>
        <v>0</v>
      </c>
      <c r="C1359" s="30">
        <f>C1358</f>
        <v>0</v>
      </c>
      <c r="D1359" s="30">
        <f>D1358</f>
        <v>0</v>
      </c>
      <c r="E1359" s="29">
        <f>E1358</f>
        <v>0</v>
      </c>
      <c r="F1359" s="29">
        <f>F1358</f>
        <v>0</v>
      </c>
      <c r="G1359" s="29" t="e">
        <f>IF(C1358=1,IF(D1358="BUY",E1358+(ROUND(F1358*G1358/B1358,0)*B1358),E1358-(ROUND(F1358*G1358/B1358,0)*B1358)),IF(D1358="BUY",E1358-(ROUND(F1358*G1358/B1358,0)*B1358),E1358+(ROUND(F1358*G1358/B1358,0)*B1358)))</f>
        <v>#DIV/0!</v>
      </c>
      <c r="H1359" s="29" t="e">
        <f>IF(C1358=1,IF(D1358="BUY",G1359-(ROUND(F1358*H1358/B1358,0)*B1358),G1359+(ROUND(F1358*H1358/B1358,0)*B1358)),IF(D1358="BUY",G1359+(ROUND(F1358*H1358/B1358,0)*B1358),G1359-(ROUND(F1358*H1358/B1358,0)*B1358)))</f>
        <v>#DIV/0!</v>
      </c>
      <c r="I1359" s="29" t="e">
        <f>IF(D1358="BUY",G1359+(ROUND(F1358*I1358/(B1358*100),0)*B1358),G1359-(ROUND(F1358*I1358/(B1358*100),0)*B1358))</f>
        <v>#DIV/0!</v>
      </c>
      <c r="J1359" s="29" t="e">
        <f>IF(C1358=1,IF(D1358="BUY",E1358+(ROUND(F1358*J1358/B1358,0)*B1358),E1358-(ROUND(F1358*J1358/B1358,0)*B1358)),IF(D1358="BUY",E1358-(ROUND(F1358*J1358/B1358,0)*B1358),E1358+(ROUND(F1358*J1358/B1358,0)*B1358)))</f>
        <v>#DIV/0!</v>
      </c>
      <c r="K1359" s="29" t="e">
        <f>IF(C1358=1,IF(D1358="BUY",E1358-(ROUND(F1358*K1358/B1358,0)*B1358),E1358+(ROUND(F1358*K1358/B1358,0)*B1358)),IF(D1358="BUY",E1358-(ROUND(F1358*K1358/B1358,0)*B1358),E1358+(ROUND(F1358*K1358/B1358,0)*B1358)))</f>
        <v>#DIV/0!</v>
      </c>
      <c r="L1359" s="29" t="e">
        <f t="shared" ref="L1359" si="2033">IF(D1359="BUY",I1359+(R1359*B1359),I1359-(R1359*B1359))</f>
        <v>#DIV/0!</v>
      </c>
      <c r="M1359" s="29" t="e">
        <f>IF(D1358="BUY",E1358+(ROUND(F1358*M1358/B1358,0)*B1358),E1358-(ROUND(F1358*M1358/B1358,0)*B1358))</f>
        <v>#DIV/0!</v>
      </c>
      <c r="N1359" s="29" t="e">
        <f>IF(D1358="BUY",E1358-(ROUND(F1358*N1358/B1358,0)*B1358),E1358+(ROUND(F1358*N1358/B1358,0)*B1358))</f>
        <v>#DIV/0!</v>
      </c>
      <c r="O1359" s="31" t="e">
        <f>IF(D1359="BUY",N1359-VLOOKUP(A1359,Symbols!A$1:D$1000,4,FALSE),N1359+VLOOKUP(A1359,Symbols!A$1:D$1000,4,FALSE))</f>
        <v>#DIV/0!</v>
      </c>
      <c r="P1359" s="29">
        <f>P1358</f>
        <v>0</v>
      </c>
      <c r="Q1359" s="29">
        <f>Q1358</f>
        <v>0</v>
      </c>
      <c r="R1359" s="29">
        <f>R1358</f>
        <v>0</v>
      </c>
      <c r="S1359" s="29">
        <f>S1358</f>
        <v>0</v>
      </c>
      <c r="T1359" s="29">
        <f>T1358</f>
        <v>0</v>
      </c>
      <c r="U1359" s="29" t="e">
        <f>DATEDIF(DATE(1970,1,1),U1358,"D")*86400</f>
        <v>#NUM!</v>
      </c>
      <c r="V1359" s="29">
        <f>HOUR(V1358)*3600+MINUTE(V1358)*60+SECOND(V1358)</f>
        <v>0</v>
      </c>
      <c r="W1359" s="29" t="e">
        <f>DATEDIF(DATE(1970,1,1),W1358,"D")*86400</f>
        <v>#NUM!</v>
      </c>
      <c r="X1359" s="29">
        <f>HOUR(X1358)*3600+MINUTE(X1358)*60+SECOND(X1358)</f>
        <v>0</v>
      </c>
      <c r="Y1359" s="31">
        <f>(Y1358*B1359)</f>
        <v>0</v>
      </c>
      <c r="Z1359" s="29">
        <f>Z1358</f>
        <v>0</v>
      </c>
      <c r="AA1359" s="29" t="e">
        <f>DATEDIF(DATE(1970,1,1),AA1358,"D")*86400</f>
        <v>#NUM!</v>
      </c>
      <c r="AB1359" s="29">
        <f>HOUR(AB1358)*3600+MINUTE(AB1358)*60+SECOND(AB1358)</f>
        <v>0</v>
      </c>
      <c r="AC1359" s="29">
        <f>AC1358</f>
        <v>0</v>
      </c>
    </row>
    <row r="1360" spans="1:29">
      <c r="A1360" s="23">
        <f>Parameters!A681</f>
        <v>0</v>
      </c>
      <c r="B1360" s="23">
        <f>Parameters!B681</f>
        <v>0</v>
      </c>
      <c r="C1360" s="24">
        <f>Parameters!C681</f>
        <v>0</v>
      </c>
      <c r="D1360" s="24">
        <f>Parameters!D681</f>
        <v>0</v>
      </c>
      <c r="E1360" s="23">
        <f>Parameters!E681</f>
        <v>0</v>
      </c>
      <c r="F1360" s="23">
        <f>Parameters!F681</f>
        <v>0</v>
      </c>
      <c r="G1360" s="25">
        <f>Parameters!G681</f>
        <v>0</v>
      </c>
      <c r="H1360" s="25">
        <f>Parameters!H681</f>
        <v>0</v>
      </c>
      <c r="I1360" s="25">
        <f>Parameters!I681</f>
        <v>0</v>
      </c>
      <c r="J1360" s="25">
        <f>Parameters!J681</f>
        <v>0</v>
      </c>
      <c r="K1360" s="25">
        <f>Parameters!K681</f>
        <v>0</v>
      </c>
      <c r="L1360" s="26" t="e">
        <f t="shared" ref="L1360" si="2034">L1361</f>
        <v>#DIV/0!</v>
      </c>
      <c r="M1360" s="25">
        <f>Parameters!L681</f>
        <v>0</v>
      </c>
      <c r="N1360" s="25">
        <f>Parameters!M681</f>
        <v>0</v>
      </c>
      <c r="O1360" s="26" t="e">
        <f t="shared" ref="O1360" si="2035">O1361</f>
        <v>#DIV/0!</v>
      </c>
      <c r="P1360" s="23">
        <f>Parameters!N681</f>
        <v>0</v>
      </c>
      <c r="Q1360" s="23">
        <f>Parameters!O681</f>
        <v>0</v>
      </c>
      <c r="R1360" s="23">
        <f>Parameters!P681</f>
        <v>0</v>
      </c>
      <c r="S1360" s="23">
        <f>Parameters!Q681</f>
        <v>0</v>
      </c>
      <c r="T1360" s="23">
        <f>Parameters!R681</f>
        <v>0</v>
      </c>
      <c r="U1360" s="27">
        <f>Parameters!S681</f>
        <v>0</v>
      </c>
      <c r="V1360" s="28">
        <f>Parameters!T681</f>
        <v>0</v>
      </c>
      <c r="W1360" s="27">
        <f>Parameters!U681</f>
        <v>0</v>
      </c>
      <c r="X1360" s="28">
        <f>Parameters!V681</f>
        <v>0</v>
      </c>
      <c r="Y1360" s="25">
        <f>Parameters!W681</f>
        <v>0</v>
      </c>
      <c r="Z1360" s="23">
        <f>Parameters!X681</f>
        <v>0</v>
      </c>
      <c r="AA1360" s="27">
        <f>Parameters!Y681</f>
        <v>0</v>
      </c>
      <c r="AB1360" s="28">
        <f>Parameters!Z681</f>
        <v>0</v>
      </c>
      <c r="AC1360" s="23">
        <f>Parameters!AA681</f>
        <v>0</v>
      </c>
    </row>
    <row r="1361" spans="1:29">
      <c r="A1361" s="29" t="str">
        <f>UPPER(A1360)</f>
        <v>0</v>
      </c>
      <c r="B1361" s="29">
        <f>B1360</f>
        <v>0</v>
      </c>
      <c r="C1361" s="30">
        <f>C1360</f>
        <v>0</v>
      </c>
      <c r="D1361" s="30">
        <f>D1360</f>
        <v>0</v>
      </c>
      <c r="E1361" s="29">
        <f>E1360</f>
        <v>0</v>
      </c>
      <c r="F1361" s="29">
        <f>F1360</f>
        <v>0</v>
      </c>
      <c r="G1361" s="29" t="e">
        <f>IF(C1360=1,IF(D1360="BUY",E1360+(ROUND(F1360*G1360/B1360,0)*B1360),E1360-(ROUND(F1360*G1360/B1360,0)*B1360)),IF(D1360="BUY",E1360-(ROUND(F1360*G1360/B1360,0)*B1360),E1360+(ROUND(F1360*G1360/B1360,0)*B1360)))</f>
        <v>#DIV/0!</v>
      </c>
      <c r="H1361" s="29" t="e">
        <f>IF(C1360=1,IF(D1360="BUY",G1361-(ROUND(F1360*H1360/B1360,0)*B1360),G1361+(ROUND(F1360*H1360/B1360,0)*B1360)),IF(D1360="BUY",G1361+(ROUND(F1360*H1360/B1360,0)*B1360),G1361-(ROUND(F1360*H1360/B1360,0)*B1360)))</f>
        <v>#DIV/0!</v>
      </c>
      <c r="I1361" s="29" t="e">
        <f>IF(D1360="BUY",G1361+(ROUND(F1360*I1360/(B1360*100),0)*B1360),G1361-(ROUND(F1360*I1360/(B1360*100),0)*B1360))</f>
        <v>#DIV/0!</v>
      </c>
      <c r="J1361" s="29" t="e">
        <f>IF(C1360=1,IF(D1360="BUY",E1360+(ROUND(F1360*J1360/B1360,0)*B1360),E1360-(ROUND(F1360*J1360/B1360,0)*B1360)),IF(D1360="BUY",E1360-(ROUND(F1360*J1360/B1360,0)*B1360),E1360+(ROUND(F1360*J1360/B1360,0)*B1360)))</f>
        <v>#DIV/0!</v>
      </c>
      <c r="K1361" s="29" t="e">
        <f>IF(C1360=1,IF(D1360="BUY",E1360-(ROUND(F1360*K1360/B1360,0)*B1360),E1360+(ROUND(F1360*K1360/B1360,0)*B1360)),IF(D1360="BUY",E1360-(ROUND(F1360*K1360/B1360,0)*B1360),E1360+(ROUND(F1360*K1360/B1360,0)*B1360)))</f>
        <v>#DIV/0!</v>
      </c>
      <c r="L1361" s="29" t="e">
        <f t="shared" ref="L1361" si="2036">IF(D1361="BUY",I1361+(R1361*B1361),I1361-(R1361*B1361))</f>
        <v>#DIV/0!</v>
      </c>
      <c r="M1361" s="29" t="e">
        <f>IF(D1360="BUY",E1360+(ROUND(F1360*M1360/B1360,0)*B1360),E1360-(ROUND(F1360*M1360/B1360,0)*B1360))</f>
        <v>#DIV/0!</v>
      </c>
      <c r="N1361" s="29" t="e">
        <f>IF(D1360="BUY",E1360-(ROUND(F1360*N1360/B1360,0)*B1360),E1360+(ROUND(F1360*N1360/B1360,0)*B1360))</f>
        <v>#DIV/0!</v>
      </c>
      <c r="O1361" s="31" t="e">
        <f>IF(D1361="BUY",N1361-VLOOKUP(A1361,Symbols!A$1:D$1000,4,FALSE),N1361+VLOOKUP(A1361,Symbols!A$1:D$1000,4,FALSE))</f>
        <v>#DIV/0!</v>
      </c>
      <c r="P1361" s="29">
        <f>P1360</f>
        <v>0</v>
      </c>
      <c r="Q1361" s="29">
        <f>Q1360</f>
        <v>0</v>
      </c>
      <c r="R1361" s="29">
        <f>R1360</f>
        <v>0</v>
      </c>
      <c r="S1361" s="29">
        <f>S1360</f>
        <v>0</v>
      </c>
      <c r="T1361" s="29">
        <f>T1360</f>
        <v>0</v>
      </c>
      <c r="U1361" s="29" t="e">
        <f>DATEDIF(DATE(1970,1,1),U1360,"D")*86400</f>
        <v>#NUM!</v>
      </c>
      <c r="V1361" s="29">
        <f>HOUR(V1360)*3600+MINUTE(V1360)*60+SECOND(V1360)</f>
        <v>0</v>
      </c>
      <c r="W1361" s="29" t="e">
        <f>DATEDIF(DATE(1970,1,1),W1360,"D")*86400</f>
        <v>#NUM!</v>
      </c>
      <c r="X1361" s="29">
        <f>HOUR(X1360)*3600+MINUTE(X1360)*60+SECOND(X1360)</f>
        <v>0</v>
      </c>
      <c r="Y1361" s="31">
        <f>(Y1360*B1361)</f>
        <v>0</v>
      </c>
      <c r="Z1361" s="29">
        <f>Z1360</f>
        <v>0</v>
      </c>
      <c r="AA1361" s="29" t="e">
        <f>DATEDIF(DATE(1970,1,1),AA1360,"D")*86400</f>
        <v>#NUM!</v>
      </c>
      <c r="AB1361" s="29">
        <f>HOUR(AB1360)*3600+MINUTE(AB1360)*60+SECOND(AB1360)</f>
        <v>0</v>
      </c>
      <c r="AC1361" s="29">
        <f>AC1360</f>
        <v>0</v>
      </c>
    </row>
    <row r="1362" spans="1:29">
      <c r="A1362" s="23">
        <f>Parameters!A682</f>
        <v>0</v>
      </c>
      <c r="B1362" s="23">
        <f>Parameters!B682</f>
        <v>0</v>
      </c>
      <c r="C1362" s="24">
        <f>Parameters!C682</f>
        <v>0</v>
      </c>
      <c r="D1362" s="24">
        <f>Parameters!D682</f>
        <v>0</v>
      </c>
      <c r="E1362" s="23">
        <f>Parameters!E682</f>
        <v>0</v>
      </c>
      <c r="F1362" s="23">
        <f>Parameters!F682</f>
        <v>0</v>
      </c>
      <c r="G1362" s="25">
        <f>Parameters!G682</f>
        <v>0</v>
      </c>
      <c r="H1362" s="25">
        <f>Parameters!H682</f>
        <v>0</v>
      </c>
      <c r="I1362" s="25">
        <f>Parameters!I682</f>
        <v>0</v>
      </c>
      <c r="J1362" s="25">
        <f>Parameters!J682</f>
        <v>0</v>
      </c>
      <c r="K1362" s="25">
        <f>Parameters!K682</f>
        <v>0</v>
      </c>
      <c r="L1362" s="26" t="e">
        <f t="shared" ref="L1362" si="2037">L1363</f>
        <v>#DIV/0!</v>
      </c>
      <c r="M1362" s="25">
        <f>Parameters!L682</f>
        <v>0</v>
      </c>
      <c r="N1362" s="25">
        <f>Parameters!M682</f>
        <v>0</v>
      </c>
      <c r="O1362" s="26" t="e">
        <f t="shared" ref="O1362" si="2038">O1363</f>
        <v>#DIV/0!</v>
      </c>
      <c r="P1362" s="23">
        <f>Parameters!N682</f>
        <v>0</v>
      </c>
      <c r="Q1362" s="23">
        <f>Parameters!O682</f>
        <v>0</v>
      </c>
      <c r="R1362" s="23">
        <f>Parameters!P682</f>
        <v>0</v>
      </c>
      <c r="S1362" s="23">
        <f>Parameters!Q682</f>
        <v>0</v>
      </c>
      <c r="T1362" s="23">
        <f>Parameters!R682</f>
        <v>0</v>
      </c>
      <c r="U1362" s="27">
        <f>Parameters!S682</f>
        <v>0</v>
      </c>
      <c r="V1362" s="28">
        <f>Parameters!T682</f>
        <v>0</v>
      </c>
      <c r="W1362" s="27">
        <f>Parameters!U682</f>
        <v>0</v>
      </c>
      <c r="X1362" s="28">
        <f>Parameters!V682</f>
        <v>0</v>
      </c>
      <c r="Y1362" s="25">
        <f>Parameters!W682</f>
        <v>0</v>
      </c>
      <c r="Z1362" s="23">
        <f>Parameters!X682</f>
        <v>0</v>
      </c>
      <c r="AA1362" s="27">
        <f>Parameters!Y682</f>
        <v>0</v>
      </c>
      <c r="AB1362" s="28">
        <f>Parameters!Z682</f>
        <v>0</v>
      </c>
      <c r="AC1362" s="23">
        <f>Parameters!AA682</f>
        <v>0</v>
      </c>
    </row>
    <row r="1363" spans="1:29">
      <c r="A1363" s="29" t="str">
        <f>UPPER(A1362)</f>
        <v>0</v>
      </c>
      <c r="B1363" s="29">
        <f>B1362</f>
        <v>0</v>
      </c>
      <c r="C1363" s="30">
        <f>C1362</f>
        <v>0</v>
      </c>
      <c r="D1363" s="30">
        <f>D1362</f>
        <v>0</v>
      </c>
      <c r="E1363" s="29">
        <f>E1362</f>
        <v>0</v>
      </c>
      <c r="F1363" s="29">
        <f>F1362</f>
        <v>0</v>
      </c>
      <c r="G1363" s="29" t="e">
        <f>IF(C1362=1,IF(D1362="BUY",E1362+(ROUND(F1362*G1362/B1362,0)*B1362),E1362-(ROUND(F1362*G1362/B1362,0)*B1362)),IF(D1362="BUY",E1362-(ROUND(F1362*G1362/B1362,0)*B1362),E1362+(ROUND(F1362*G1362/B1362,0)*B1362)))</f>
        <v>#DIV/0!</v>
      </c>
      <c r="H1363" s="29" t="e">
        <f>IF(C1362=1,IF(D1362="BUY",G1363-(ROUND(F1362*H1362/B1362,0)*B1362),G1363+(ROUND(F1362*H1362/B1362,0)*B1362)),IF(D1362="BUY",G1363+(ROUND(F1362*H1362/B1362,0)*B1362),G1363-(ROUND(F1362*H1362/B1362,0)*B1362)))</f>
        <v>#DIV/0!</v>
      </c>
      <c r="I1363" s="29" t="e">
        <f>IF(D1362="BUY",G1363+(ROUND(F1362*I1362/(B1362*100),0)*B1362),G1363-(ROUND(F1362*I1362/(B1362*100),0)*B1362))</f>
        <v>#DIV/0!</v>
      </c>
      <c r="J1363" s="29" t="e">
        <f>IF(C1362=1,IF(D1362="BUY",E1362+(ROUND(F1362*J1362/B1362,0)*B1362),E1362-(ROUND(F1362*J1362/B1362,0)*B1362)),IF(D1362="BUY",E1362-(ROUND(F1362*J1362/B1362,0)*B1362),E1362+(ROUND(F1362*J1362/B1362,0)*B1362)))</f>
        <v>#DIV/0!</v>
      </c>
      <c r="K1363" s="29" t="e">
        <f>IF(C1362=1,IF(D1362="BUY",E1362-(ROUND(F1362*K1362/B1362,0)*B1362),E1362+(ROUND(F1362*K1362/B1362,0)*B1362)),IF(D1362="BUY",E1362-(ROUND(F1362*K1362/B1362,0)*B1362),E1362+(ROUND(F1362*K1362/B1362,0)*B1362)))</f>
        <v>#DIV/0!</v>
      </c>
      <c r="L1363" s="29" t="e">
        <f t="shared" ref="L1363" si="2039">IF(D1363="BUY",I1363+(R1363*B1363),I1363-(R1363*B1363))</f>
        <v>#DIV/0!</v>
      </c>
      <c r="M1363" s="29" t="e">
        <f>IF(D1362="BUY",E1362+(ROUND(F1362*M1362/B1362,0)*B1362),E1362-(ROUND(F1362*M1362/B1362,0)*B1362))</f>
        <v>#DIV/0!</v>
      </c>
      <c r="N1363" s="29" t="e">
        <f>IF(D1362="BUY",E1362-(ROUND(F1362*N1362/B1362,0)*B1362),E1362+(ROUND(F1362*N1362/B1362,0)*B1362))</f>
        <v>#DIV/0!</v>
      </c>
      <c r="O1363" s="31" t="e">
        <f>IF(D1363="BUY",N1363-VLOOKUP(A1363,Symbols!A$1:D$1000,4,FALSE),N1363+VLOOKUP(A1363,Symbols!A$1:D$1000,4,FALSE))</f>
        <v>#DIV/0!</v>
      </c>
      <c r="P1363" s="29">
        <f>P1362</f>
        <v>0</v>
      </c>
      <c r="Q1363" s="29">
        <f>Q1362</f>
        <v>0</v>
      </c>
      <c r="R1363" s="29">
        <f>R1362</f>
        <v>0</v>
      </c>
      <c r="S1363" s="29">
        <f>S1362</f>
        <v>0</v>
      </c>
      <c r="T1363" s="29">
        <f>T1362</f>
        <v>0</v>
      </c>
      <c r="U1363" s="29" t="e">
        <f>DATEDIF(DATE(1970,1,1),U1362,"D")*86400</f>
        <v>#NUM!</v>
      </c>
      <c r="V1363" s="29">
        <f>HOUR(V1362)*3600+MINUTE(V1362)*60+SECOND(V1362)</f>
        <v>0</v>
      </c>
      <c r="W1363" s="29" t="e">
        <f>DATEDIF(DATE(1970,1,1),W1362,"D")*86400</f>
        <v>#NUM!</v>
      </c>
      <c r="X1363" s="29">
        <f>HOUR(X1362)*3600+MINUTE(X1362)*60+SECOND(X1362)</f>
        <v>0</v>
      </c>
      <c r="Y1363" s="31">
        <f>(Y1362*B1363)</f>
        <v>0</v>
      </c>
      <c r="Z1363" s="29">
        <f>Z1362</f>
        <v>0</v>
      </c>
      <c r="AA1363" s="29" t="e">
        <f>DATEDIF(DATE(1970,1,1),AA1362,"D")*86400</f>
        <v>#NUM!</v>
      </c>
      <c r="AB1363" s="29">
        <f>HOUR(AB1362)*3600+MINUTE(AB1362)*60+SECOND(AB1362)</f>
        <v>0</v>
      </c>
      <c r="AC1363" s="29">
        <f>AC1362</f>
        <v>0</v>
      </c>
    </row>
    <row r="1364" spans="1:29">
      <c r="A1364" s="23">
        <f>Parameters!A683</f>
        <v>0</v>
      </c>
      <c r="B1364" s="23">
        <f>Parameters!B683</f>
        <v>0</v>
      </c>
      <c r="C1364" s="24">
        <f>Parameters!C683</f>
        <v>0</v>
      </c>
      <c r="D1364" s="24">
        <f>Parameters!D683</f>
        <v>0</v>
      </c>
      <c r="E1364" s="23">
        <f>Parameters!E683</f>
        <v>0</v>
      </c>
      <c r="F1364" s="23">
        <f>Parameters!F683</f>
        <v>0</v>
      </c>
      <c r="G1364" s="25">
        <f>Parameters!G683</f>
        <v>0</v>
      </c>
      <c r="H1364" s="25">
        <f>Parameters!H683</f>
        <v>0</v>
      </c>
      <c r="I1364" s="25">
        <f>Parameters!I683</f>
        <v>0</v>
      </c>
      <c r="J1364" s="25">
        <f>Parameters!J683</f>
        <v>0</v>
      </c>
      <c r="K1364" s="25">
        <f>Parameters!K683</f>
        <v>0</v>
      </c>
      <c r="L1364" s="26" t="e">
        <f t="shared" ref="L1364" si="2040">L1365</f>
        <v>#DIV/0!</v>
      </c>
      <c r="M1364" s="25">
        <f>Parameters!L683</f>
        <v>0</v>
      </c>
      <c r="N1364" s="25">
        <f>Parameters!M683</f>
        <v>0</v>
      </c>
      <c r="O1364" s="26" t="e">
        <f t="shared" ref="O1364" si="2041">O1365</f>
        <v>#DIV/0!</v>
      </c>
      <c r="P1364" s="23">
        <f>Parameters!N683</f>
        <v>0</v>
      </c>
      <c r="Q1364" s="23">
        <f>Parameters!O683</f>
        <v>0</v>
      </c>
      <c r="R1364" s="23">
        <f>Parameters!P683</f>
        <v>0</v>
      </c>
      <c r="S1364" s="23">
        <f>Parameters!Q683</f>
        <v>0</v>
      </c>
      <c r="T1364" s="23">
        <f>Parameters!R683</f>
        <v>0</v>
      </c>
      <c r="U1364" s="27">
        <f>Parameters!S683</f>
        <v>0</v>
      </c>
      <c r="V1364" s="28">
        <f>Parameters!T683</f>
        <v>0</v>
      </c>
      <c r="W1364" s="27">
        <f>Parameters!U683</f>
        <v>0</v>
      </c>
      <c r="X1364" s="28">
        <f>Parameters!V683</f>
        <v>0</v>
      </c>
      <c r="Y1364" s="25">
        <f>Parameters!W683</f>
        <v>0</v>
      </c>
      <c r="Z1364" s="23">
        <f>Parameters!X683</f>
        <v>0</v>
      </c>
      <c r="AA1364" s="27">
        <f>Parameters!Y683</f>
        <v>0</v>
      </c>
      <c r="AB1364" s="28">
        <f>Parameters!Z683</f>
        <v>0</v>
      </c>
      <c r="AC1364" s="23">
        <f>Parameters!AA683</f>
        <v>0</v>
      </c>
    </row>
    <row r="1365" spans="1:29">
      <c r="A1365" s="29" t="str">
        <f>UPPER(A1364)</f>
        <v>0</v>
      </c>
      <c r="B1365" s="29">
        <f>B1364</f>
        <v>0</v>
      </c>
      <c r="C1365" s="30">
        <f>C1364</f>
        <v>0</v>
      </c>
      <c r="D1365" s="30">
        <f>D1364</f>
        <v>0</v>
      </c>
      <c r="E1365" s="29">
        <f>E1364</f>
        <v>0</v>
      </c>
      <c r="F1365" s="29">
        <f>F1364</f>
        <v>0</v>
      </c>
      <c r="G1365" s="29" t="e">
        <f>IF(C1364=1,IF(D1364="BUY",E1364+(ROUND(F1364*G1364/B1364,0)*B1364),E1364-(ROUND(F1364*G1364/B1364,0)*B1364)),IF(D1364="BUY",E1364-(ROUND(F1364*G1364/B1364,0)*B1364),E1364+(ROUND(F1364*G1364/B1364,0)*B1364)))</f>
        <v>#DIV/0!</v>
      </c>
      <c r="H1365" s="29" t="e">
        <f>IF(C1364=1,IF(D1364="BUY",G1365-(ROUND(F1364*H1364/B1364,0)*B1364),G1365+(ROUND(F1364*H1364/B1364,0)*B1364)),IF(D1364="BUY",G1365+(ROUND(F1364*H1364/B1364,0)*B1364),G1365-(ROUND(F1364*H1364/B1364,0)*B1364)))</f>
        <v>#DIV/0!</v>
      </c>
      <c r="I1365" s="29" t="e">
        <f>IF(D1364="BUY",G1365+(ROUND(F1364*I1364/(B1364*100),0)*B1364),G1365-(ROUND(F1364*I1364/(B1364*100),0)*B1364))</f>
        <v>#DIV/0!</v>
      </c>
      <c r="J1365" s="29" t="e">
        <f>IF(C1364=1,IF(D1364="BUY",E1364+(ROUND(F1364*J1364/B1364,0)*B1364),E1364-(ROUND(F1364*J1364/B1364,0)*B1364)),IF(D1364="BUY",E1364-(ROUND(F1364*J1364/B1364,0)*B1364),E1364+(ROUND(F1364*J1364/B1364,0)*B1364)))</f>
        <v>#DIV/0!</v>
      </c>
      <c r="K1365" s="29" t="e">
        <f>IF(C1364=1,IF(D1364="BUY",E1364-(ROUND(F1364*K1364/B1364,0)*B1364),E1364+(ROUND(F1364*K1364/B1364,0)*B1364)),IF(D1364="BUY",E1364-(ROUND(F1364*K1364/B1364,0)*B1364),E1364+(ROUND(F1364*K1364/B1364,0)*B1364)))</f>
        <v>#DIV/0!</v>
      </c>
      <c r="L1365" s="29" t="e">
        <f t="shared" ref="L1365" si="2042">IF(D1365="BUY",I1365+(R1365*B1365),I1365-(R1365*B1365))</f>
        <v>#DIV/0!</v>
      </c>
      <c r="M1365" s="29" t="e">
        <f>IF(D1364="BUY",E1364+(ROUND(F1364*M1364/B1364,0)*B1364),E1364-(ROUND(F1364*M1364/B1364,0)*B1364))</f>
        <v>#DIV/0!</v>
      </c>
      <c r="N1365" s="29" t="e">
        <f>IF(D1364="BUY",E1364-(ROUND(F1364*N1364/B1364,0)*B1364),E1364+(ROUND(F1364*N1364/B1364,0)*B1364))</f>
        <v>#DIV/0!</v>
      </c>
      <c r="O1365" s="31" t="e">
        <f>IF(D1365="BUY",N1365-VLOOKUP(A1365,Symbols!A$1:D$1000,4,FALSE),N1365+VLOOKUP(A1365,Symbols!A$1:D$1000,4,FALSE))</f>
        <v>#DIV/0!</v>
      </c>
      <c r="P1365" s="29">
        <f>P1364</f>
        <v>0</v>
      </c>
      <c r="Q1365" s="29">
        <f>Q1364</f>
        <v>0</v>
      </c>
      <c r="R1365" s="29">
        <f>R1364</f>
        <v>0</v>
      </c>
      <c r="S1365" s="29">
        <f>S1364</f>
        <v>0</v>
      </c>
      <c r="T1365" s="29">
        <f>T1364</f>
        <v>0</v>
      </c>
      <c r="U1365" s="29" t="e">
        <f>DATEDIF(DATE(1970,1,1),U1364,"D")*86400</f>
        <v>#NUM!</v>
      </c>
      <c r="V1365" s="29">
        <f>HOUR(V1364)*3600+MINUTE(V1364)*60+SECOND(V1364)</f>
        <v>0</v>
      </c>
      <c r="W1365" s="29" t="e">
        <f>DATEDIF(DATE(1970,1,1),W1364,"D")*86400</f>
        <v>#NUM!</v>
      </c>
      <c r="X1365" s="29">
        <f>HOUR(X1364)*3600+MINUTE(X1364)*60+SECOND(X1364)</f>
        <v>0</v>
      </c>
      <c r="Y1365" s="31">
        <f>(Y1364*B1365)</f>
        <v>0</v>
      </c>
      <c r="Z1365" s="29">
        <f>Z1364</f>
        <v>0</v>
      </c>
      <c r="AA1365" s="29" t="e">
        <f>DATEDIF(DATE(1970,1,1),AA1364,"D")*86400</f>
        <v>#NUM!</v>
      </c>
      <c r="AB1365" s="29">
        <f>HOUR(AB1364)*3600+MINUTE(AB1364)*60+SECOND(AB1364)</f>
        <v>0</v>
      </c>
      <c r="AC1365" s="29">
        <f>AC1364</f>
        <v>0</v>
      </c>
    </row>
    <row r="1366" spans="1:29">
      <c r="A1366" s="23">
        <f>Parameters!A684</f>
        <v>0</v>
      </c>
      <c r="B1366" s="23">
        <f>Parameters!B684</f>
        <v>0</v>
      </c>
      <c r="C1366" s="24">
        <f>Parameters!C684</f>
        <v>0</v>
      </c>
      <c r="D1366" s="24">
        <f>Parameters!D684</f>
        <v>0</v>
      </c>
      <c r="E1366" s="23">
        <f>Parameters!E684</f>
        <v>0</v>
      </c>
      <c r="F1366" s="23">
        <f>Parameters!F684</f>
        <v>0</v>
      </c>
      <c r="G1366" s="25">
        <f>Parameters!G684</f>
        <v>0</v>
      </c>
      <c r="H1366" s="25">
        <f>Parameters!H684</f>
        <v>0</v>
      </c>
      <c r="I1366" s="25">
        <f>Parameters!I684</f>
        <v>0</v>
      </c>
      <c r="J1366" s="25">
        <f>Parameters!J684</f>
        <v>0</v>
      </c>
      <c r="K1366" s="25">
        <f>Parameters!K684</f>
        <v>0</v>
      </c>
      <c r="L1366" s="26" t="e">
        <f t="shared" ref="L1366" si="2043">L1367</f>
        <v>#DIV/0!</v>
      </c>
      <c r="M1366" s="25">
        <f>Parameters!L684</f>
        <v>0</v>
      </c>
      <c r="N1366" s="25">
        <f>Parameters!M684</f>
        <v>0</v>
      </c>
      <c r="O1366" s="26" t="e">
        <f t="shared" ref="O1366" si="2044">O1367</f>
        <v>#DIV/0!</v>
      </c>
      <c r="P1366" s="23">
        <f>Parameters!N684</f>
        <v>0</v>
      </c>
      <c r="Q1366" s="23">
        <f>Parameters!O684</f>
        <v>0</v>
      </c>
      <c r="R1366" s="23">
        <f>Parameters!P684</f>
        <v>0</v>
      </c>
      <c r="S1366" s="23">
        <f>Parameters!Q684</f>
        <v>0</v>
      </c>
      <c r="T1366" s="23">
        <f>Parameters!R684</f>
        <v>0</v>
      </c>
      <c r="U1366" s="27">
        <f>Parameters!S684</f>
        <v>0</v>
      </c>
      <c r="V1366" s="28">
        <f>Parameters!T684</f>
        <v>0</v>
      </c>
      <c r="W1366" s="27">
        <f>Parameters!U684</f>
        <v>0</v>
      </c>
      <c r="X1366" s="28">
        <f>Parameters!V684</f>
        <v>0</v>
      </c>
      <c r="Y1366" s="25">
        <f>Parameters!W684</f>
        <v>0</v>
      </c>
      <c r="Z1366" s="23">
        <f>Parameters!X684</f>
        <v>0</v>
      </c>
      <c r="AA1366" s="27">
        <f>Parameters!Y684</f>
        <v>0</v>
      </c>
      <c r="AB1366" s="28">
        <f>Parameters!Z684</f>
        <v>0</v>
      </c>
      <c r="AC1366" s="23">
        <f>Parameters!AA684</f>
        <v>0</v>
      </c>
    </row>
    <row r="1367" spans="1:29">
      <c r="A1367" s="29" t="str">
        <f>UPPER(A1366)</f>
        <v>0</v>
      </c>
      <c r="B1367" s="29">
        <f>B1366</f>
        <v>0</v>
      </c>
      <c r="C1367" s="30">
        <f>C1366</f>
        <v>0</v>
      </c>
      <c r="D1367" s="30">
        <f>D1366</f>
        <v>0</v>
      </c>
      <c r="E1367" s="29">
        <f>E1366</f>
        <v>0</v>
      </c>
      <c r="F1367" s="29">
        <f>F1366</f>
        <v>0</v>
      </c>
      <c r="G1367" s="29" t="e">
        <f>IF(C1366=1,IF(D1366="BUY",E1366+(ROUND(F1366*G1366/B1366,0)*B1366),E1366-(ROUND(F1366*G1366/B1366,0)*B1366)),IF(D1366="BUY",E1366-(ROUND(F1366*G1366/B1366,0)*B1366),E1366+(ROUND(F1366*G1366/B1366,0)*B1366)))</f>
        <v>#DIV/0!</v>
      </c>
      <c r="H1367" s="29" t="e">
        <f>IF(C1366=1,IF(D1366="BUY",G1367-(ROUND(F1366*H1366/B1366,0)*B1366),G1367+(ROUND(F1366*H1366/B1366,0)*B1366)),IF(D1366="BUY",G1367+(ROUND(F1366*H1366/B1366,0)*B1366),G1367-(ROUND(F1366*H1366/B1366,0)*B1366)))</f>
        <v>#DIV/0!</v>
      </c>
      <c r="I1367" s="29" t="e">
        <f>IF(D1366="BUY",G1367+(ROUND(F1366*I1366/(B1366*100),0)*B1366),G1367-(ROUND(F1366*I1366/(B1366*100),0)*B1366))</f>
        <v>#DIV/0!</v>
      </c>
      <c r="J1367" s="29" t="e">
        <f>IF(C1366=1,IF(D1366="BUY",E1366+(ROUND(F1366*J1366/B1366,0)*B1366),E1366-(ROUND(F1366*J1366/B1366,0)*B1366)),IF(D1366="BUY",E1366-(ROUND(F1366*J1366/B1366,0)*B1366),E1366+(ROUND(F1366*J1366/B1366,0)*B1366)))</f>
        <v>#DIV/0!</v>
      </c>
      <c r="K1367" s="29" t="e">
        <f>IF(C1366=1,IF(D1366="BUY",E1366-(ROUND(F1366*K1366/B1366,0)*B1366),E1366+(ROUND(F1366*K1366/B1366,0)*B1366)),IF(D1366="BUY",E1366-(ROUND(F1366*K1366/B1366,0)*B1366),E1366+(ROUND(F1366*K1366/B1366,0)*B1366)))</f>
        <v>#DIV/0!</v>
      </c>
      <c r="L1367" s="29" t="e">
        <f t="shared" ref="L1367" si="2045">IF(D1367="BUY",I1367+(R1367*B1367),I1367-(R1367*B1367))</f>
        <v>#DIV/0!</v>
      </c>
      <c r="M1367" s="29" t="e">
        <f>IF(D1366="BUY",E1366+(ROUND(F1366*M1366/B1366,0)*B1366),E1366-(ROUND(F1366*M1366/B1366,0)*B1366))</f>
        <v>#DIV/0!</v>
      </c>
      <c r="N1367" s="29" t="e">
        <f>IF(D1366="BUY",E1366-(ROUND(F1366*N1366/B1366,0)*B1366),E1366+(ROUND(F1366*N1366/B1366,0)*B1366))</f>
        <v>#DIV/0!</v>
      </c>
      <c r="O1367" s="31" t="e">
        <f>IF(D1367="BUY",N1367-VLOOKUP(A1367,Symbols!A$1:D$1000,4,FALSE),N1367+VLOOKUP(A1367,Symbols!A$1:D$1000,4,FALSE))</f>
        <v>#DIV/0!</v>
      </c>
      <c r="P1367" s="29">
        <f>P1366</f>
        <v>0</v>
      </c>
      <c r="Q1367" s="29">
        <f>Q1366</f>
        <v>0</v>
      </c>
      <c r="R1367" s="29">
        <f>R1366</f>
        <v>0</v>
      </c>
      <c r="S1367" s="29">
        <f>S1366</f>
        <v>0</v>
      </c>
      <c r="T1367" s="29">
        <f>T1366</f>
        <v>0</v>
      </c>
      <c r="U1367" s="29" t="e">
        <f>DATEDIF(DATE(1970,1,1),U1366,"D")*86400</f>
        <v>#NUM!</v>
      </c>
      <c r="V1367" s="29">
        <f>HOUR(V1366)*3600+MINUTE(V1366)*60+SECOND(V1366)</f>
        <v>0</v>
      </c>
      <c r="W1367" s="29" t="e">
        <f>DATEDIF(DATE(1970,1,1),W1366,"D")*86400</f>
        <v>#NUM!</v>
      </c>
      <c r="X1367" s="29">
        <f>HOUR(X1366)*3600+MINUTE(X1366)*60+SECOND(X1366)</f>
        <v>0</v>
      </c>
      <c r="Y1367" s="31">
        <f>(Y1366*B1367)</f>
        <v>0</v>
      </c>
      <c r="Z1367" s="29">
        <f>Z1366</f>
        <v>0</v>
      </c>
      <c r="AA1367" s="29" t="e">
        <f>DATEDIF(DATE(1970,1,1),AA1366,"D")*86400</f>
        <v>#NUM!</v>
      </c>
      <c r="AB1367" s="29">
        <f>HOUR(AB1366)*3600+MINUTE(AB1366)*60+SECOND(AB1366)</f>
        <v>0</v>
      </c>
      <c r="AC1367" s="29">
        <f>AC1366</f>
        <v>0</v>
      </c>
    </row>
    <row r="1368" spans="1:29">
      <c r="A1368" s="23">
        <f>Parameters!A685</f>
        <v>0</v>
      </c>
      <c r="B1368" s="23">
        <f>Parameters!B685</f>
        <v>0</v>
      </c>
      <c r="C1368" s="24">
        <f>Parameters!C685</f>
        <v>0</v>
      </c>
      <c r="D1368" s="24">
        <f>Parameters!D685</f>
        <v>0</v>
      </c>
      <c r="E1368" s="23">
        <f>Parameters!E685</f>
        <v>0</v>
      </c>
      <c r="F1368" s="23">
        <f>Parameters!F685</f>
        <v>0</v>
      </c>
      <c r="G1368" s="25">
        <f>Parameters!G685</f>
        <v>0</v>
      </c>
      <c r="H1368" s="25">
        <f>Parameters!H685</f>
        <v>0</v>
      </c>
      <c r="I1368" s="25">
        <f>Parameters!I685</f>
        <v>0</v>
      </c>
      <c r="J1368" s="25">
        <f>Parameters!J685</f>
        <v>0</v>
      </c>
      <c r="K1368" s="25">
        <f>Parameters!K685</f>
        <v>0</v>
      </c>
      <c r="L1368" s="26" t="e">
        <f t="shared" ref="L1368" si="2046">L1369</f>
        <v>#DIV/0!</v>
      </c>
      <c r="M1368" s="25">
        <f>Parameters!L685</f>
        <v>0</v>
      </c>
      <c r="N1368" s="25">
        <f>Parameters!M685</f>
        <v>0</v>
      </c>
      <c r="O1368" s="26" t="e">
        <f t="shared" ref="O1368" si="2047">O1369</f>
        <v>#DIV/0!</v>
      </c>
      <c r="P1368" s="23">
        <f>Parameters!N685</f>
        <v>0</v>
      </c>
      <c r="Q1368" s="23">
        <f>Parameters!O685</f>
        <v>0</v>
      </c>
      <c r="R1368" s="23">
        <f>Parameters!P685</f>
        <v>0</v>
      </c>
      <c r="S1368" s="23">
        <f>Parameters!Q685</f>
        <v>0</v>
      </c>
      <c r="T1368" s="23">
        <f>Parameters!R685</f>
        <v>0</v>
      </c>
      <c r="U1368" s="27">
        <f>Parameters!S685</f>
        <v>0</v>
      </c>
      <c r="V1368" s="28">
        <f>Parameters!T685</f>
        <v>0</v>
      </c>
      <c r="W1368" s="27">
        <f>Parameters!U685</f>
        <v>0</v>
      </c>
      <c r="X1368" s="28">
        <f>Parameters!V685</f>
        <v>0</v>
      </c>
      <c r="Y1368" s="25">
        <f>Parameters!W685</f>
        <v>0</v>
      </c>
      <c r="Z1368" s="23">
        <f>Parameters!X685</f>
        <v>0</v>
      </c>
      <c r="AA1368" s="27">
        <f>Parameters!Y685</f>
        <v>0</v>
      </c>
      <c r="AB1368" s="28">
        <f>Parameters!Z685</f>
        <v>0</v>
      </c>
      <c r="AC1368" s="23">
        <f>Parameters!AA685</f>
        <v>0</v>
      </c>
    </row>
    <row r="1369" spans="1:29">
      <c r="A1369" s="29" t="str">
        <f>UPPER(A1368)</f>
        <v>0</v>
      </c>
      <c r="B1369" s="29">
        <f>B1368</f>
        <v>0</v>
      </c>
      <c r="C1369" s="30">
        <f>C1368</f>
        <v>0</v>
      </c>
      <c r="D1369" s="30">
        <f>D1368</f>
        <v>0</v>
      </c>
      <c r="E1369" s="29">
        <f>E1368</f>
        <v>0</v>
      </c>
      <c r="F1369" s="29">
        <f>F1368</f>
        <v>0</v>
      </c>
      <c r="G1369" s="29" t="e">
        <f>IF(C1368=1,IF(D1368="BUY",E1368+(ROUND(F1368*G1368/B1368,0)*B1368),E1368-(ROUND(F1368*G1368/B1368,0)*B1368)),IF(D1368="BUY",E1368-(ROUND(F1368*G1368/B1368,0)*B1368),E1368+(ROUND(F1368*G1368/B1368,0)*B1368)))</f>
        <v>#DIV/0!</v>
      </c>
      <c r="H1369" s="29" t="e">
        <f>IF(C1368=1,IF(D1368="BUY",G1369-(ROUND(F1368*H1368/B1368,0)*B1368),G1369+(ROUND(F1368*H1368/B1368,0)*B1368)),IF(D1368="BUY",G1369+(ROUND(F1368*H1368/B1368,0)*B1368),G1369-(ROUND(F1368*H1368/B1368,0)*B1368)))</f>
        <v>#DIV/0!</v>
      </c>
      <c r="I1369" s="29" t="e">
        <f>IF(D1368="BUY",G1369+(ROUND(F1368*I1368/(B1368*100),0)*B1368),G1369-(ROUND(F1368*I1368/(B1368*100),0)*B1368))</f>
        <v>#DIV/0!</v>
      </c>
      <c r="J1369" s="29" t="e">
        <f>IF(C1368=1,IF(D1368="BUY",E1368+(ROUND(F1368*J1368/B1368,0)*B1368),E1368-(ROUND(F1368*J1368/B1368,0)*B1368)),IF(D1368="BUY",E1368-(ROUND(F1368*J1368/B1368,0)*B1368),E1368+(ROUND(F1368*J1368/B1368,0)*B1368)))</f>
        <v>#DIV/0!</v>
      </c>
      <c r="K1369" s="29" t="e">
        <f>IF(C1368=1,IF(D1368="BUY",E1368-(ROUND(F1368*K1368/B1368,0)*B1368),E1368+(ROUND(F1368*K1368/B1368,0)*B1368)),IF(D1368="BUY",E1368-(ROUND(F1368*K1368/B1368,0)*B1368),E1368+(ROUND(F1368*K1368/B1368,0)*B1368)))</f>
        <v>#DIV/0!</v>
      </c>
      <c r="L1369" s="29" t="e">
        <f t="shared" ref="L1369" si="2048">IF(D1369="BUY",I1369+(R1369*B1369),I1369-(R1369*B1369))</f>
        <v>#DIV/0!</v>
      </c>
      <c r="M1369" s="29" t="e">
        <f>IF(D1368="BUY",E1368+(ROUND(F1368*M1368/B1368,0)*B1368),E1368-(ROUND(F1368*M1368/B1368,0)*B1368))</f>
        <v>#DIV/0!</v>
      </c>
      <c r="N1369" s="29" t="e">
        <f>IF(D1368="BUY",E1368-(ROUND(F1368*N1368/B1368,0)*B1368),E1368+(ROUND(F1368*N1368/B1368,0)*B1368))</f>
        <v>#DIV/0!</v>
      </c>
      <c r="O1369" s="31" t="e">
        <f>IF(D1369="BUY",N1369-VLOOKUP(A1369,Symbols!A$1:D$1000,4,FALSE),N1369+VLOOKUP(A1369,Symbols!A$1:D$1000,4,FALSE))</f>
        <v>#DIV/0!</v>
      </c>
      <c r="P1369" s="29">
        <f>P1368</f>
        <v>0</v>
      </c>
      <c r="Q1369" s="29">
        <f>Q1368</f>
        <v>0</v>
      </c>
      <c r="R1369" s="29">
        <f>R1368</f>
        <v>0</v>
      </c>
      <c r="S1369" s="29">
        <f>S1368</f>
        <v>0</v>
      </c>
      <c r="T1369" s="29">
        <f>T1368</f>
        <v>0</v>
      </c>
      <c r="U1369" s="29" t="e">
        <f>DATEDIF(DATE(1970,1,1),U1368,"D")*86400</f>
        <v>#NUM!</v>
      </c>
      <c r="V1369" s="29">
        <f>HOUR(V1368)*3600+MINUTE(V1368)*60+SECOND(V1368)</f>
        <v>0</v>
      </c>
      <c r="W1369" s="29" t="e">
        <f>DATEDIF(DATE(1970,1,1),W1368,"D")*86400</f>
        <v>#NUM!</v>
      </c>
      <c r="X1369" s="29">
        <f>HOUR(X1368)*3600+MINUTE(X1368)*60+SECOND(X1368)</f>
        <v>0</v>
      </c>
      <c r="Y1369" s="31">
        <f>(Y1368*B1369)</f>
        <v>0</v>
      </c>
      <c r="Z1369" s="29">
        <f>Z1368</f>
        <v>0</v>
      </c>
      <c r="AA1369" s="29" t="e">
        <f>DATEDIF(DATE(1970,1,1),AA1368,"D")*86400</f>
        <v>#NUM!</v>
      </c>
      <c r="AB1369" s="29">
        <f>HOUR(AB1368)*3600+MINUTE(AB1368)*60+SECOND(AB1368)</f>
        <v>0</v>
      </c>
      <c r="AC1369" s="29">
        <f>AC1368</f>
        <v>0</v>
      </c>
    </row>
    <row r="1370" spans="1:29">
      <c r="A1370" s="23">
        <f>Parameters!A686</f>
        <v>0</v>
      </c>
      <c r="B1370" s="23">
        <f>Parameters!B686</f>
        <v>0</v>
      </c>
      <c r="C1370" s="24">
        <f>Parameters!C686</f>
        <v>0</v>
      </c>
      <c r="D1370" s="24">
        <f>Parameters!D686</f>
        <v>0</v>
      </c>
      <c r="E1370" s="23">
        <f>Parameters!E686</f>
        <v>0</v>
      </c>
      <c r="F1370" s="23">
        <f>Parameters!F686</f>
        <v>0</v>
      </c>
      <c r="G1370" s="25">
        <f>Parameters!G686</f>
        <v>0</v>
      </c>
      <c r="H1370" s="25">
        <f>Parameters!H686</f>
        <v>0</v>
      </c>
      <c r="I1370" s="25">
        <f>Parameters!I686</f>
        <v>0</v>
      </c>
      <c r="J1370" s="25">
        <f>Parameters!J686</f>
        <v>0</v>
      </c>
      <c r="K1370" s="25">
        <f>Parameters!K686</f>
        <v>0</v>
      </c>
      <c r="L1370" s="26" t="e">
        <f t="shared" ref="L1370" si="2049">L1371</f>
        <v>#DIV/0!</v>
      </c>
      <c r="M1370" s="25">
        <f>Parameters!L686</f>
        <v>0</v>
      </c>
      <c r="N1370" s="25">
        <f>Parameters!M686</f>
        <v>0</v>
      </c>
      <c r="O1370" s="26" t="e">
        <f t="shared" ref="O1370" si="2050">O1371</f>
        <v>#DIV/0!</v>
      </c>
      <c r="P1370" s="23">
        <f>Parameters!N686</f>
        <v>0</v>
      </c>
      <c r="Q1370" s="23">
        <f>Parameters!O686</f>
        <v>0</v>
      </c>
      <c r="R1370" s="23">
        <f>Parameters!P686</f>
        <v>0</v>
      </c>
      <c r="S1370" s="23">
        <f>Parameters!Q686</f>
        <v>0</v>
      </c>
      <c r="T1370" s="23">
        <f>Parameters!R686</f>
        <v>0</v>
      </c>
      <c r="U1370" s="27">
        <f>Parameters!S686</f>
        <v>0</v>
      </c>
      <c r="V1370" s="28">
        <f>Parameters!T686</f>
        <v>0</v>
      </c>
      <c r="W1370" s="27">
        <f>Parameters!U686</f>
        <v>0</v>
      </c>
      <c r="X1370" s="28">
        <f>Parameters!V686</f>
        <v>0</v>
      </c>
      <c r="Y1370" s="25">
        <f>Parameters!W686</f>
        <v>0</v>
      </c>
      <c r="Z1370" s="23">
        <f>Parameters!X686</f>
        <v>0</v>
      </c>
      <c r="AA1370" s="27">
        <f>Parameters!Y686</f>
        <v>0</v>
      </c>
      <c r="AB1370" s="28">
        <f>Parameters!Z686</f>
        <v>0</v>
      </c>
      <c r="AC1370" s="23">
        <f>Parameters!AA686</f>
        <v>0</v>
      </c>
    </row>
    <row r="1371" spans="1:29">
      <c r="A1371" s="29" t="str">
        <f>UPPER(A1370)</f>
        <v>0</v>
      </c>
      <c r="B1371" s="29">
        <f>B1370</f>
        <v>0</v>
      </c>
      <c r="C1371" s="30">
        <f>C1370</f>
        <v>0</v>
      </c>
      <c r="D1371" s="30">
        <f>D1370</f>
        <v>0</v>
      </c>
      <c r="E1371" s="29">
        <f>E1370</f>
        <v>0</v>
      </c>
      <c r="F1371" s="29">
        <f>F1370</f>
        <v>0</v>
      </c>
      <c r="G1371" s="29" t="e">
        <f>IF(C1370=1,IF(D1370="BUY",E1370+(ROUND(F1370*G1370/B1370,0)*B1370),E1370-(ROUND(F1370*G1370/B1370,0)*B1370)),IF(D1370="BUY",E1370-(ROUND(F1370*G1370/B1370,0)*B1370),E1370+(ROUND(F1370*G1370/B1370,0)*B1370)))</f>
        <v>#DIV/0!</v>
      </c>
      <c r="H1371" s="29" t="e">
        <f>IF(C1370=1,IF(D1370="BUY",G1371-(ROUND(F1370*H1370/B1370,0)*B1370),G1371+(ROUND(F1370*H1370/B1370,0)*B1370)),IF(D1370="BUY",G1371+(ROUND(F1370*H1370/B1370,0)*B1370),G1371-(ROUND(F1370*H1370/B1370,0)*B1370)))</f>
        <v>#DIV/0!</v>
      </c>
      <c r="I1371" s="29" t="e">
        <f>IF(D1370="BUY",G1371+(ROUND(F1370*I1370/(B1370*100),0)*B1370),G1371-(ROUND(F1370*I1370/(B1370*100),0)*B1370))</f>
        <v>#DIV/0!</v>
      </c>
      <c r="J1371" s="29" t="e">
        <f>IF(C1370=1,IF(D1370="BUY",E1370+(ROUND(F1370*J1370/B1370,0)*B1370),E1370-(ROUND(F1370*J1370/B1370,0)*B1370)),IF(D1370="BUY",E1370-(ROUND(F1370*J1370/B1370,0)*B1370),E1370+(ROUND(F1370*J1370/B1370,0)*B1370)))</f>
        <v>#DIV/0!</v>
      </c>
      <c r="K1371" s="29" t="e">
        <f>IF(C1370=1,IF(D1370="BUY",E1370-(ROUND(F1370*K1370/B1370,0)*B1370),E1370+(ROUND(F1370*K1370/B1370,0)*B1370)),IF(D1370="BUY",E1370-(ROUND(F1370*K1370/B1370,0)*B1370),E1370+(ROUND(F1370*K1370/B1370,0)*B1370)))</f>
        <v>#DIV/0!</v>
      </c>
      <c r="L1371" s="29" t="e">
        <f t="shared" ref="L1371" si="2051">IF(D1371="BUY",I1371+(R1371*B1371),I1371-(R1371*B1371))</f>
        <v>#DIV/0!</v>
      </c>
      <c r="M1371" s="29" t="e">
        <f>IF(D1370="BUY",E1370+(ROUND(F1370*M1370/B1370,0)*B1370),E1370-(ROUND(F1370*M1370/B1370,0)*B1370))</f>
        <v>#DIV/0!</v>
      </c>
      <c r="N1371" s="29" t="e">
        <f>IF(D1370="BUY",E1370-(ROUND(F1370*N1370/B1370,0)*B1370),E1370+(ROUND(F1370*N1370/B1370,0)*B1370))</f>
        <v>#DIV/0!</v>
      </c>
      <c r="O1371" s="31" t="e">
        <f>IF(D1371="BUY",N1371-VLOOKUP(A1371,Symbols!A$1:D$1000,4,FALSE),N1371+VLOOKUP(A1371,Symbols!A$1:D$1000,4,FALSE))</f>
        <v>#DIV/0!</v>
      </c>
      <c r="P1371" s="29">
        <f>P1370</f>
        <v>0</v>
      </c>
      <c r="Q1371" s="29">
        <f>Q1370</f>
        <v>0</v>
      </c>
      <c r="R1371" s="29">
        <f>R1370</f>
        <v>0</v>
      </c>
      <c r="S1371" s="29">
        <f>S1370</f>
        <v>0</v>
      </c>
      <c r="T1371" s="29">
        <f>T1370</f>
        <v>0</v>
      </c>
      <c r="U1371" s="29" t="e">
        <f>DATEDIF(DATE(1970,1,1),U1370,"D")*86400</f>
        <v>#NUM!</v>
      </c>
      <c r="V1371" s="29">
        <f>HOUR(V1370)*3600+MINUTE(V1370)*60+SECOND(V1370)</f>
        <v>0</v>
      </c>
      <c r="W1371" s="29" t="e">
        <f>DATEDIF(DATE(1970,1,1),W1370,"D")*86400</f>
        <v>#NUM!</v>
      </c>
      <c r="X1371" s="29">
        <f>HOUR(X1370)*3600+MINUTE(X1370)*60+SECOND(X1370)</f>
        <v>0</v>
      </c>
      <c r="Y1371" s="31">
        <f>(Y1370*B1371)</f>
        <v>0</v>
      </c>
      <c r="Z1371" s="29">
        <f>Z1370</f>
        <v>0</v>
      </c>
      <c r="AA1371" s="29" t="e">
        <f>DATEDIF(DATE(1970,1,1),AA1370,"D")*86400</f>
        <v>#NUM!</v>
      </c>
      <c r="AB1371" s="29">
        <f>HOUR(AB1370)*3600+MINUTE(AB1370)*60+SECOND(AB1370)</f>
        <v>0</v>
      </c>
      <c r="AC1371" s="29">
        <f>AC1370</f>
        <v>0</v>
      </c>
    </row>
    <row r="1372" spans="1:29">
      <c r="A1372" s="23">
        <f>Parameters!A687</f>
        <v>0</v>
      </c>
      <c r="B1372" s="23">
        <f>Parameters!B687</f>
        <v>0</v>
      </c>
      <c r="C1372" s="24">
        <f>Parameters!C687</f>
        <v>0</v>
      </c>
      <c r="D1372" s="24">
        <f>Parameters!D687</f>
        <v>0</v>
      </c>
      <c r="E1372" s="23">
        <f>Parameters!E687</f>
        <v>0</v>
      </c>
      <c r="F1372" s="23">
        <f>Parameters!F687</f>
        <v>0</v>
      </c>
      <c r="G1372" s="25">
        <f>Parameters!G687</f>
        <v>0</v>
      </c>
      <c r="H1372" s="25">
        <f>Parameters!H687</f>
        <v>0</v>
      </c>
      <c r="I1372" s="25">
        <f>Parameters!I687</f>
        <v>0</v>
      </c>
      <c r="J1372" s="25">
        <f>Parameters!J687</f>
        <v>0</v>
      </c>
      <c r="K1372" s="25">
        <f>Parameters!K687</f>
        <v>0</v>
      </c>
      <c r="L1372" s="26" t="e">
        <f t="shared" ref="L1372" si="2052">L1373</f>
        <v>#DIV/0!</v>
      </c>
      <c r="M1372" s="25">
        <f>Parameters!L687</f>
        <v>0</v>
      </c>
      <c r="N1372" s="25">
        <f>Parameters!M687</f>
        <v>0</v>
      </c>
      <c r="O1372" s="26" t="e">
        <f t="shared" ref="O1372" si="2053">O1373</f>
        <v>#DIV/0!</v>
      </c>
      <c r="P1372" s="23">
        <f>Parameters!N687</f>
        <v>0</v>
      </c>
      <c r="Q1372" s="23">
        <f>Parameters!O687</f>
        <v>0</v>
      </c>
      <c r="R1372" s="23">
        <f>Parameters!P687</f>
        <v>0</v>
      </c>
      <c r="S1372" s="23">
        <f>Parameters!Q687</f>
        <v>0</v>
      </c>
      <c r="T1372" s="23">
        <f>Parameters!R687</f>
        <v>0</v>
      </c>
      <c r="U1372" s="27">
        <f>Parameters!S687</f>
        <v>0</v>
      </c>
      <c r="V1372" s="28">
        <f>Parameters!T687</f>
        <v>0</v>
      </c>
      <c r="W1372" s="27">
        <f>Parameters!U687</f>
        <v>0</v>
      </c>
      <c r="X1372" s="28">
        <f>Parameters!V687</f>
        <v>0</v>
      </c>
      <c r="Y1372" s="25">
        <f>Parameters!W687</f>
        <v>0</v>
      </c>
      <c r="Z1372" s="23">
        <f>Parameters!X687</f>
        <v>0</v>
      </c>
      <c r="AA1372" s="27">
        <f>Parameters!Y687</f>
        <v>0</v>
      </c>
      <c r="AB1372" s="28">
        <f>Parameters!Z687</f>
        <v>0</v>
      </c>
      <c r="AC1372" s="23">
        <f>Parameters!AA687</f>
        <v>0</v>
      </c>
    </row>
    <row r="1373" spans="1:29">
      <c r="A1373" s="29" t="str">
        <f>UPPER(A1372)</f>
        <v>0</v>
      </c>
      <c r="B1373" s="29">
        <f>B1372</f>
        <v>0</v>
      </c>
      <c r="C1373" s="30">
        <f>C1372</f>
        <v>0</v>
      </c>
      <c r="D1373" s="30">
        <f>D1372</f>
        <v>0</v>
      </c>
      <c r="E1373" s="29">
        <f>E1372</f>
        <v>0</v>
      </c>
      <c r="F1373" s="29">
        <f>F1372</f>
        <v>0</v>
      </c>
      <c r="G1373" s="29" t="e">
        <f>IF(C1372=1,IF(D1372="BUY",E1372+(ROUND(F1372*G1372/B1372,0)*B1372),E1372-(ROUND(F1372*G1372/B1372,0)*B1372)),IF(D1372="BUY",E1372-(ROUND(F1372*G1372/B1372,0)*B1372),E1372+(ROUND(F1372*G1372/B1372,0)*B1372)))</f>
        <v>#DIV/0!</v>
      </c>
      <c r="H1373" s="29" t="e">
        <f>IF(C1372=1,IF(D1372="BUY",G1373-(ROUND(F1372*H1372/B1372,0)*B1372),G1373+(ROUND(F1372*H1372/B1372,0)*B1372)),IF(D1372="BUY",G1373+(ROUND(F1372*H1372/B1372,0)*B1372),G1373-(ROUND(F1372*H1372/B1372,0)*B1372)))</f>
        <v>#DIV/0!</v>
      </c>
      <c r="I1373" s="29" t="e">
        <f>IF(D1372="BUY",G1373+(ROUND(F1372*I1372/(B1372*100),0)*B1372),G1373-(ROUND(F1372*I1372/(B1372*100),0)*B1372))</f>
        <v>#DIV/0!</v>
      </c>
      <c r="J1373" s="29" t="e">
        <f>IF(C1372=1,IF(D1372="BUY",E1372+(ROUND(F1372*J1372/B1372,0)*B1372),E1372-(ROUND(F1372*J1372/B1372,0)*B1372)),IF(D1372="BUY",E1372-(ROUND(F1372*J1372/B1372,0)*B1372),E1372+(ROUND(F1372*J1372/B1372,0)*B1372)))</f>
        <v>#DIV/0!</v>
      </c>
      <c r="K1373" s="29" t="e">
        <f>IF(C1372=1,IF(D1372="BUY",E1372-(ROUND(F1372*K1372/B1372,0)*B1372),E1372+(ROUND(F1372*K1372/B1372,0)*B1372)),IF(D1372="BUY",E1372-(ROUND(F1372*K1372/B1372,0)*B1372),E1372+(ROUND(F1372*K1372/B1372,0)*B1372)))</f>
        <v>#DIV/0!</v>
      </c>
      <c r="L1373" s="29" t="e">
        <f t="shared" ref="L1373" si="2054">IF(D1373="BUY",I1373+(R1373*B1373),I1373-(R1373*B1373))</f>
        <v>#DIV/0!</v>
      </c>
      <c r="M1373" s="29" t="e">
        <f>IF(D1372="BUY",E1372+(ROUND(F1372*M1372/B1372,0)*B1372),E1372-(ROUND(F1372*M1372/B1372,0)*B1372))</f>
        <v>#DIV/0!</v>
      </c>
      <c r="N1373" s="29" t="e">
        <f>IF(D1372="BUY",E1372-(ROUND(F1372*N1372/B1372,0)*B1372),E1372+(ROUND(F1372*N1372/B1372,0)*B1372))</f>
        <v>#DIV/0!</v>
      </c>
      <c r="O1373" s="31" t="e">
        <f>IF(D1373="BUY",N1373-VLOOKUP(A1373,Symbols!A$1:D$1000,4,FALSE),N1373+VLOOKUP(A1373,Symbols!A$1:D$1000,4,FALSE))</f>
        <v>#DIV/0!</v>
      </c>
      <c r="P1373" s="29">
        <f>P1372</f>
        <v>0</v>
      </c>
      <c r="Q1373" s="29">
        <f>Q1372</f>
        <v>0</v>
      </c>
      <c r="R1373" s="29">
        <f>R1372</f>
        <v>0</v>
      </c>
      <c r="S1373" s="29">
        <f>S1372</f>
        <v>0</v>
      </c>
      <c r="T1373" s="29">
        <f>T1372</f>
        <v>0</v>
      </c>
      <c r="U1373" s="29" t="e">
        <f>DATEDIF(DATE(1970,1,1),U1372,"D")*86400</f>
        <v>#NUM!</v>
      </c>
      <c r="V1373" s="29">
        <f>HOUR(V1372)*3600+MINUTE(V1372)*60+SECOND(V1372)</f>
        <v>0</v>
      </c>
      <c r="W1373" s="29" t="e">
        <f>DATEDIF(DATE(1970,1,1),W1372,"D")*86400</f>
        <v>#NUM!</v>
      </c>
      <c r="X1373" s="29">
        <f>HOUR(X1372)*3600+MINUTE(X1372)*60+SECOND(X1372)</f>
        <v>0</v>
      </c>
      <c r="Y1373" s="31">
        <f>(Y1372*B1373)</f>
        <v>0</v>
      </c>
      <c r="Z1373" s="29">
        <f>Z1372</f>
        <v>0</v>
      </c>
      <c r="AA1373" s="29" t="e">
        <f>DATEDIF(DATE(1970,1,1),AA1372,"D")*86400</f>
        <v>#NUM!</v>
      </c>
      <c r="AB1373" s="29">
        <f>HOUR(AB1372)*3600+MINUTE(AB1372)*60+SECOND(AB1372)</f>
        <v>0</v>
      </c>
      <c r="AC1373" s="29">
        <f>AC1372</f>
        <v>0</v>
      </c>
    </row>
    <row r="1374" spans="1:29">
      <c r="A1374" s="23">
        <f>Parameters!A688</f>
        <v>0</v>
      </c>
      <c r="B1374" s="23">
        <f>Parameters!B688</f>
        <v>0</v>
      </c>
      <c r="C1374" s="24">
        <f>Parameters!C688</f>
        <v>0</v>
      </c>
      <c r="D1374" s="24">
        <f>Parameters!D688</f>
        <v>0</v>
      </c>
      <c r="E1374" s="23">
        <f>Parameters!E688</f>
        <v>0</v>
      </c>
      <c r="F1374" s="23">
        <f>Parameters!F688</f>
        <v>0</v>
      </c>
      <c r="G1374" s="25">
        <f>Parameters!G688</f>
        <v>0</v>
      </c>
      <c r="H1374" s="25">
        <f>Parameters!H688</f>
        <v>0</v>
      </c>
      <c r="I1374" s="25">
        <f>Parameters!I688</f>
        <v>0</v>
      </c>
      <c r="J1374" s="25">
        <f>Parameters!J688</f>
        <v>0</v>
      </c>
      <c r="K1374" s="25">
        <f>Parameters!K688</f>
        <v>0</v>
      </c>
      <c r="L1374" s="26" t="e">
        <f t="shared" ref="L1374" si="2055">L1375</f>
        <v>#DIV/0!</v>
      </c>
      <c r="M1374" s="25">
        <f>Parameters!L688</f>
        <v>0</v>
      </c>
      <c r="N1374" s="25">
        <f>Parameters!M688</f>
        <v>0</v>
      </c>
      <c r="O1374" s="26" t="e">
        <f t="shared" ref="O1374" si="2056">O1375</f>
        <v>#DIV/0!</v>
      </c>
      <c r="P1374" s="23">
        <f>Parameters!N688</f>
        <v>0</v>
      </c>
      <c r="Q1374" s="23">
        <f>Parameters!O688</f>
        <v>0</v>
      </c>
      <c r="R1374" s="23">
        <f>Parameters!P688</f>
        <v>0</v>
      </c>
      <c r="S1374" s="23">
        <f>Parameters!Q688</f>
        <v>0</v>
      </c>
      <c r="T1374" s="23">
        <f>Parameters!R688</f>
        <v>0</v>
      </c>
      <c r="U1374" s="27">
        <f>Parameters!S688</f>
        <v>0</v>
      </c>
      <c r="V1374" s="28">
        <f>Parameters!T688</f>
        <v>0</v>
      </c>
      <c r="W1374" s="27">
        <f>Parameters!U688</f>
        <v>0</v>
      </c>
      <c r="X1374" s="28">
        <f>Parameters!V688</f>
        <v>0</v>
      </c>
      <c r="Y1374" s="25">
        <f>Parameters!W688</f>
        <v>0</v>
      </c>
      <c r="Z1374" s="23">
        <f>Parameters!X688</f>
        <v>0</v>
      </c>
      <c r="AA1374" s="27">
        <f>Parameters!Y688</f>
        <v>0</v>
      </c>
      <c r="AB1374" s="28">
        <f>Parameters!Z688</f>
        <v>0</v>
      </c>
      <c r="AC1374" s="23">
        <f>Parameters!AA688</f>
        <v>0</v>
      </c>
    </row>
    <row r="1375" spans="1:29">
      <c r="A1375" s="29" t="str">
        <f>UPPER(A1374)</f>
        <v>0</v>
      </c>
      <c r="B1375" s="29">
        <f>B1374</f>
        <v>0</v>
      </c>
      <c r="C1375" s="30">
        <f>C1374</f>
        <v>0</v>
      </c>
      <c r="D1375" s="30">
        <f>D1374</f>
        <v>0</v>
      </c>
      <c r="E1375" s="29">
        <f>E1374</f>
        <v>0</v>
      </c>
      <c r="F1375" s="29">
        <f>F1374</f>
        <v>0</v>
      </c>
      <c r="G1375" s="29" t="e">
        <f>IF(C1374=1,IF(D1374="BUY",E1374+(ROUND(F1374*G1374/B1374,0)*B1374),E1374-(ROUND(F1374*G1374/B1374,0)*B1374)),IF(D1374="BUY",E1374-(ROUND(F1374*G1374/B1374,0)*B1374),E1374+(ROUND(F1374*G1374/B1374,0)*B1374)))</f>
        <v>#DIV/0!</v>
      </c>
      <c r="H1375" s="29" t="e">
        <f>IF(C1374=1,IF(D1374="BUY",G1375-(ROUND(F1374*H1374/B1374,0)*B1374),G1375+(ROUND(F1374*H1374/B1374,0)*B1374)),IF(D1374="BUY",G1375+(ROUND(F1374*H1374/B1374,0)*B1374),G1375-(ROUND(F1374*H1374/B1374,0)*B1374)))</f>
        <v>#DIV/0!</v>
      </c>
      <c r="I1375" s="29" t="e">
        <f>IF(D1374="BUY",G1375+(ROUND(F1374*I1374/(B1374*100),0)*B1374),G1375-(ROUND(F1374*I1374/(B1374*100),0)*B1374))</f>
        <v>#DIV/0!</v>
      </c>
      <c r="J1375" s="29" t="e">
        <f>IF(C1374=1,IF(D1374="BUY",E1374+(ROUND(F1374*J1374/B1374,0)*B1374),E1374-(ROUND(F1374*J1374/B1374,0)*B1374)),IF(D1374="BUY",E1374-(ROUND(F1374*J1374/B1374,0)*B1374),E1374+(ROUND(F1374*J1374/B1374,0)*B1374)))</f>
        <v>#DIV/0!</v>
      </c>
      <c r="K1375" s="29" t="e">
        <f>IF(C1374=1,IF(D1374="BUY",E1374-(ROUND(F1374*K1374/B1374,0)*B1374),E1374+(ROUND(F1374*K1374/B1374,0)*B1374)),IF(D1374="BUY",E1374-(ROUND(F1374*K1374/B1374,0)*B1374),E1374+(ROUND(F1374*K1374/B1374,0)*B1374)))</f>
        <v>#DIV/0!</v>
      </c>
      <c r="L1375" s="29" t="e">
        <f t="shared" ref="L1375" si="2057">IF(D1375="BUY",I1375+(R1375*B1375),I1375-(R1375*B1375))</f>
        <v>#DIV/0!</v>
      </c>
      <c r="M1375" s="29" t="e">
        <f>IF(D1374="BUY",E1374+(ROUND(F1374*M1374/B1374,0)*B1374),E1374-(ROUND(F1374*M1374/B1374,0)*B1374))</f>
        <v>#DIV/0!</v>
      </c>
      <c r="N1375" s="29" t="e">
        <f>IF(D1374="BUY",E1374-(ROUND(F1374*N1374/B1374,0)*B1374),E1374+(ROUND(F1374*N1374/B1374,0)*B1374))</f>
        <v>#DIV/0!</v>
      </c>
      <c r="O1375" s="31" t="e">
        <f>IF(D1375="BUY",N1375-VLOOKUP(A1375,Symbols!A$1:D$1000,4,FALSE),N1375+VLOOKUP(A1375,Symbols!A$1:D$1000,4,FALSE))</f>
        <v>#DIV/0!</v>
      </c>
      <c r="P1375" s="29">
        <f>P1374</f>
        <v>0</v>
      </c>
      <c r="Q1375" s="29">
        <f>Q1374</f>
        <v>0</v>
      </c>
      <c r="R1375" s="29">
        <f>R1374</f>
        <v>0</v>
      </c>
      <c r="S1375" s="29">
        <f>S1374</f>
        <v>0</v>
      </c>
      <c r="T1375" s="29">
        <f>T1374</f>
        <v>0</v>
      </c>
      <c r="U1375" s="29" t="e">
        <f>DATEDIF(DATE(1970,1,1),U1374,"D")*86400</f>
        <v>#NUM!</v>
      </c>
      <c r="V1375" s="29">
        <f>HOUR(V1374)*3600+MINUTE(V1374)*60+SECOND(V1374)</f>
        <v>0</v>
      </c>
      <c r="W1375" s="29" t="e">
        <f>DATEDIF(DATE(1970,1,1),W1374,"D")*86400</f>
        <v>#NUM!</v>
      </c>
      <c r="X1375" s="29">
        <f>HOUR(X1374)*3600+MINUTE(X1374)*60+SECOND(X1374)</f>
        <v>0</v>
      </c>
      <c r="Y1375" s="31">
        <f>(Y1374*B1375)</f>
        <v>0</v>
      </c>
      <c r="Z1375" s="29">
        <f>Z1374</f>
        <v>0</v>
      </c>
      <c r="AA1375" s="29" t="e">
        <f>DATEDIF(DATE(1970,1,1),AA1374,"D")*86400</f>
        <v>#NUM!</v>
      </c>
      <c r="AB1375" s="29">
        <f>HOUR(AB1374)*3600+MINUTE(AB1374)*60+SECOND(AB1374)</f>
        <v>0</v>
      </c>
      <c r="AC1375" s="29">
        <f>AC1374</f>
        <v>0</v>
      </c>
    </row>
    <row r="1376" spans="1:29">
      <c r="A1376" s="23">
        <f>Parameters!A689</f>
        <v>0</v>
      </c>
      <c r="B1376" s="23">
        <f>Parameters!B689</f>
        <v>0</v>
      </c>
      <c r="C1376" s="24">
        <f>Parameters!C689</f>
        <v>0</v>
      </c>
      <c r="D1376" s="24">
        <f>Parameters!D689</f>
        <v>0</v>
      </c>
      <c r="E1376" s="23">
        <f>Parameters!E689</f>
        <v>0</v>
      </c>
      <c r="F1376" s="23">
        <f>Parameters!F689</f>
        <v>0</v>
      </c>
      <c r="G1376" s="25">
        <f>Parameters!G689</f>
        <v>0</v>
      </c>
      <c r="H1376" s="25">
        <f>Parameters!H689</f>
        <v>0</v>
      </c>
      <c r="I1376" s="25">
        <f>Parameters!I689</f>
        <v>0</v>
      </c>
      <c r="J1376" s="25">
        <f>Parameters!J689</f>
        <v>0</v>
      </c>
      <c r="K1376" s="25">
        <f>Parameters!K689</f>
        <v>0</v>
      </c>
      <c r="L1376" s="26" t="e">
        <f t="shared" ref="L1376" si="2058">L1377</f>
        <v>#DIV/0!</v>
      </c>
      <c r="M1376" s="25">
        <f>Parameters!L689</f>
        <v>0</v>
      </c>
      <c r="N1376" s="25">
        <f>Parameters!M689</f>
        <v>0</v>
      </c>
      <c r="O1376" s="26" t="e">
        <f t="shared" ref="O1376" si="2059">O1377</f>
        <v>#DIV/0!</v>
      </c>
      <c r="P1376" s="23">
        <f>Parameters!N689</f>
        <v>0</v>
      </c>
      <c r="Q1376" s="23">
        <f>Parameters!O689</f>
        <v>0</v>
      </c>
      <c r="R1376" s="23">
        <f>Parameters!P689</f>
        <v>0</v>
      </c>
      <c r="S1376" s="23">
        <f>Parameters!Q689</f>
        <v>0</v>
      </c>
      <c r="T1376" s="23">
        <f>Parameters!R689</f>
        <v>0</v>
      </c>
      <c r="U1376" s="27">
        <f>Parameters!S689</f>
        <v>0</v>
      </c>
      <c r="V1376" s="28">
        <f>Parameters!T689</f>
        <v>0</v>
      </c>
      <c r="W1376" s="27">
        <f>Parameters!U689</f>
        <v>0</v>
      </c>
      <c r="X1376" s="28">
        <f>Parameters!V689</f>
        <v>0</v>
      </c>
      <c r="Y1376" s="25">
        <f>Parameters!W689</f>
        <v>0</v>
      </c>
      <c r="Z1376" s="23">
        <f>Parameters!X689</f>
        <v>0</v>
      </c>
      <c r="AA1376" s="27">
        <f>Parameters!Y689</f>
        <v>0</v>
      </c>
      <c r="AB1376" s="28">
        <f>Parameters!Z689</f>
        <v>0</v>
      </c>
      <c r="AC1376" s="23">
        <f>Parameters!AA689</f>
        <v>0</v>
      </c>
    </row>
    <row r="1377" spans="1:29">
      <c r="A1377" s="29" t="str">
        <f>UPPER(A1376)</f>
        <v>0</v>
      </c>
      <c r="B1377" s="29">
        <f>B1376</f>
        <v>0</v>
      </c>
      <c r="C1377" s="30">
        <f>C1376</f>
        <v>0</v>
      </c>
      <c r="D1377" s="30">
        <f>D1376</f>
        <v>0</v>
      </c>
      <c r="E1377" s="29">
        <f>E1376</f>
        <v>0</v>
      </c>
      <c r="F1377" s="29">
        <f>F1376</f>
        <v>0</v>
      </c>
      <c r="G1377" s="29" t="e">
        <f>IF(C1376=1,IF(D1376="BUY",E1376+(ROUND(F1376*G1376/B1376,0)*B1376),E1376-(ROUND(F1376*G1376/B1376,0)*B1376)),IF(D1376="BUY",E1376-(ROUND(F1376*G1376/B1376,0)*B1376),E1376+(ROUND(F1376*G1376/B1376,0)*B1376)))</f>
        <v>#DIV/0!</v>
      </c>
      <c r="H1377" s="29" t="e">
        <f>IF(C1376=1,IF(D1376="BUY",G1377-(ROUND(F1376*H1376/B1376,0)*B1376),G1377+(ROUND(F1376*H1376/B1376,0)*B1376)),IF(D1376="BUY",G1377+(ROUND(F1376*H1376/B1376,0)*B1376),G1377-(ROUND(F1376*H1376/B1376,0)*B1376)))</f>
        <v>#DIV/0!</v>
      </c>
      <c r="I1377" s="29" t="e">
        <f>IF(D1376="BUY",G1377+(ROUND(F1376*I1376/(B1376*100),0)*B1376),G1377-(ROUND(F1376*I1376/(B1376*100),0)*B1376))</f>
        <v>#DIV/0!</v>
      </c>
      <c r="J1377" s="29" t="e">
        <f>IF(C1376=1,IF(D1376="BUY",E1376+(ROUND(F1376*J1376/B1376,0)*B1376),E1376-(ROUND(F1376*J1376/B1376,0)*B1376)),IF(D1376="BUY",E1376-(ROUND(F1376*J1376/B1376,0)*B1376),E1376+(ROUND(F1376*J1376/B1376,0)*B1376)))</f>
        <v>#DIV/0!</v>
      </c>
      <c r="K1377" s="29" t="e">
        <f>IF(C1376=1,IF(D1376="BUY",E1376-(ROUND(F1376*K1376/B1376,0)*B1376),E1376+(ROUND(F1376*K1376/B1376,0)*B1376)),IF(D1376="BUY",E1376-(ROUND(F1376*K1376/B1376,0)*B1376),E1376+(ROUND(F1376*K1376/B1376,0)*B1376)))</f>
        <v>#DIV/0!</v>
      </c>
      <c r="L1377" s="29" t="e">
        <f t="shared" ref="L1377" si="2060">IF(D1377="BUY",I1377+(R1377*B1377),I1377-(R1377*B1377))</f>
        <v>#DIV/0!</v>
      </c>
      <c r="M1377" s="29" t="e">
        <f>IF(D1376="BUY",E1376+(ROUND(F1376*M1376/B1376,0)*B1376),E1376-(ROUND(F1376*M1376/B1376,0)*B1376))</f>
        <v>#DIV/0!</v>
      </c>
      <c r="N1377" s="29" t="e">
        <f>IF(D1376="BUY",E1376-(ROUND(F1376*N1376/B1376,0)*B1376),E1376+(ROUND(F1376*N1376/B1376,0)*B1376))</f>
        <v>#DIV/0!</v>
      </c>
      <c r="O1377" s="31" t="e">
        <f>IF(D1377="BUY",N1377-VLOOKUP(A1377,Symbols!A$1:D$1000,4,FALSE),N1377+VLOOKUP(A1377,Symbols!A$1:D$1000,4,FALSE))</f>
        <v>#DIV/0!</v>
      </c>
      <c r="P1377" s="29">
        <f>P1376</f>
        <v>0</v>
      </c>
      <c r="Q1377" s="29">
        <f>Q1376</f>
        <v>0</v>
      </c>
      <c r="R1377" s="29">
        <f>R1376</f>
        <v>0</v>
      </c>
      <c r="S1377" s="29">
        <f>S1376</f>
        <v>0</v>
      </c>
      <c r="T1377" s="29">
        <f>T1376</f>
        <v>0</v>
      </c>
      <c r="U1377" s="29" t="e">
        <f>DATEDIF(DATE(1970,1,1),U1376,"D")*86400</f>
        <v>#NUM!</v>
      </c>
      <c r="V1377" s="29">
        <f>HOUR(V1376)*3600+MINUTE(V1376)*60+SECOND(V1376)</f>
        <v>0</v>
      </c>
      <c r="W1377" s="29" t="e">
        <f>DATEDIF(DATE(1970,1,1),W1376,"D")*86400</f>
        <v>#NUM!</v>
      </c>
      <c r="X1377" s="29">
        <f>HOUR(X1376)*3600+MINUTE(X1376)*60+SECOND(X1376)</f>
        <v>0</v>
      </c>
      <c r="Y1377" s="31">
        <f>(Y1376*B1377)</f>
        <v>0</v>
      </c>
      <c r="Z1377" s="29">
        <f>Z1376</f>
        <v>0</v>
      </c>
      <c r="AA1377" s="29" t="e">
        <f>DATEDIF(DATE(1970,1,1),AA1376,"D")*86400</f>
        <v>#NUM!</v>
      </c>
      <c r="AB1377" s="29">
        <f>HOUR(AB1376)*3600+MINUTE(AB1376)*60+SECOND(AB1376)</f>
        <v>0</v>
      </c>
      <c r="AC1377" s="29">
        <f>AC1376</f>
        <v>0</v>
      </c>
    </row>
    <row r="1378" spans="1:29">
      <c r="A1378" s="23">
        <f>Parameters!A690</f>
        <v>0</v>
      </c>
      <c r="B1378" s="23">
        <f>Parameters!B690</f>
        <v>0</v>
      </c>
      <c r="C1378" s="24">
        <f>Parameters!C690</f>
        <v>0</v>
      </c>
      <c r="D1378" s="24">
        <f>Parameters!D690</f>
        <v>0</v>
      </c>
      <c r="E1378" s="23">
        <f>Parameters!E690</f>
        <v>0</v>
      </c>
      <c r="F1378" s="23">
        <f>Parameters!F690</f>
        <v>0</v>
      </c>
      <c r="G1378" s="25">
        <f>Parameters!G690</f>
        <v>0</v>
      </c>
      <c r="H1378" s="25">
        <f>Parameters!H690</f>
        <v>0</v>
      </c>
      <c r="I1378" s="25">
        <f>Parameters!I690</f>
        <v>0</v>
      </c>
      <c r="J1378" s="25">
        <f>Parameters!J690</f>
        <v>0</v>
      </c>
      <c r="K1378" s="25">
        <f>Parameters!K690</f>
        <v>0</v>
      </c>
      <c r="L1378" s="26" t="e">
        <f t="shared" ref="L1378" si="2061">L1379</f>
        <v>#DIV/0!</v>
      </c>
      <c r="M1378" s="25">
        <f>Parameters!L690</f>
        <v>0</v>
      </c>
      <c r="N1378" s="25">
        <f>Parameters!M690</f>
        <v>0</v>
      </c>
      <c r="O1378" s="26" t="e">
        <f t="shared" ref="O1378" si="2062">O1379</f>
        <v>#DIV/0!</v>
      </c>
      <c r="P1378" s="23">
        <f>Parameters!N690</f>
        <v>0</v>
      </c>
      <c r="Q1378" s="23">
        <f>Parameters!O690</f>
        <v>0</v>
      </c>
      <c r="R1378" s="23">
        <f>Parameters!P690</f>
        <v>0</v>
      </c>
      <c r="S1378" s="23">
        <f>Parameters!Q690</f>
        <v>0</v>
      </c>
      <c r="T1378" s="23">
        <f>Parameters!R690</f>
        <v>0</v>
      </c>
      <c r="U1378" s="27">
        <f>Parameters!S690</f>
        <v>0</v>
      </c>
      <c r="V1378" s="28">
        <f>Parameters!T690</f>
        <v>0</v>
      </c>
      <c r="W1378" s="27">
        <f>Parameters!U690</f>
        <v>0</v>
      </c>
      <c r="X1378" s="28">
        <f>Parameters!V690</f>
        <v>0</v>
      </c>
      <c r="Y1378" s="25">
        <f>Parameters!W690</f>
        <v>0</v>
      </c>
      <c r="Z1378" s="23">
        <f>Parameters!X690</f>
        <v>0</v>
      </c>
      <c r="AA1378" s="27">
        <f>Parameters!Y690</f>
        <v>0</v>
      </c>
      <c r="AB1378" s="28">
        <f>Parameters!Z690</f>
        <v>0</v>
      </c>
      <c r="AC1378" s="23">
        <f>Parameters!AA690</f>
        <v>0</v>
      </c>
    </row>
    <row r="1379" spans="1:29">
      <c r="A1379" s="29" t="str">
        <f>UPPER(A1378)</f>
        <v>0</v>
      </c>
      <c r="B1379" s="29">
        <f>B1378</f>
        <v>0</v>
      </c>
      <c r="C1379" s="30">
        <f>C1378</f>
        <v>0</v>
      </c>
      <c r="D1379" s="30">
        <f>D1378</f>
        <v>0</v>
      </c>
      <c r="E1379" s="29">
        <f>E1378</f>
        <v>0</v>
      </c>
      <c r="F1379" s="29">
        <f>F1378</f>
        <v>0</v>
      </c>
      <c r="G1379" s="29" t="e">
        <f>IF(C1378=1,IF(D1378="BUY",E1378+(ROUND(F1378*G1378/B1378,0)*B1378),E1378-(ROUND(F1378*G1378/B1378,0)*B1378)),IF(D1378="BUY",E1378-(ROUND(F1378*G1378/B1378,0)*B1378),E1378+(ROUND(F1378*G1378/B1378,0)*B1378)))</f>
        <v>#DIV/0!</v>
      </c>
      <c r="H1379" s="29" t="e">
        <f>IF(C1378=1,IF(D1378="BUY",G1379-(ROUND(F1378*H1378/B1378,0)*B1378),G1379+(ROUND(F1378*H1378/B1378,0)*B1378)),IF(D1378="BUY",G1379+(ROUND(F1378*H1378/B1378,0)*B1378),G1379-(ROUND(F1378*H1378/B1378,0)*B1378)))</f>
        <v>#DIV/0!</v>
      </c>
      <c r="I1379" s="29" t="e">
        <f>IF(D1378="BUY",G1379+(ROUND(F1378*I1378/(B1378*100),0)*B1378),G1379-(ROUND(F1378*I1378/(B1378*100),0)*B1378))</f>
        <v>#DIV/0!</v>
      </c>
      <c r="J1379" s="29" t="e">
        <f>IF(C1378=1,IF(D1378="BUY",E1378+(ROUND(F1378*J1378/B1378,0)*B1378),E1378-(ROUND(F1378*J1378/B1378,0)*B1378)),IF(D1378="BUY",E1378-(ROUND(F1378*J1378/B1378,0)*B1378),E1378+(ROUND(F1378*J1378/B1378,0)*B1378)))</f>
        <v>#DIV/0!</v>
      </c>
      <c r="K1379" s="29" t="e">
        <f>IF(C1378=1,IF(D1378="BUY",E1378-(ROUND(F1378*K1378/B1378,0)*B1378),E1378+(ROUND(F1378*K1378/B1378,0)*B1378)),IF(D1378="BUY",E1378-(ROUND(F1378*K1378/B1378,0)*B1378),E1378+(ROUND(F1378*K1378/B1378,0)*B1378)))</f>
        <v>#DIV/0!</v>
      </c>
      <c r="L1379" s="29" t="e">
        <f t="shared" ref="L1379" si="2063">IF(D1379="BUY",I1379+(R1379*B1379),I1379-(R1379*B1379))</f>
        <v>#DIV/0!</v>
      </c>
      <c r="M1379" s="29" t="e">
        <f>IF(D1378="BUY",E1378+(ROUND(F1378*M1378/B1378,0)*B1378),E1378-(ROUND(F1378*M1378/B1378,0)*B1378))</f>
        <v>#DIV/0!</v>
      </c>
      <c r="N1379" s="29" t="e">
        <f>IF(D1378="BUY",E1378-(ROUND(F1378*N1378/B1378,0)*B1378),E1378+(ROUND(F1378*N1378/B1378,0)*B1378))</f>
        <v>#DIV/0!</v>
      </c>
      <c r="O1379" s="31" t="e">
        <f>IF(D1379="BUY",N1379-VLOOKUP(A1379,Symbols!A$1:D$1000,4,FALSE),N1379+VLOOKUP(A1379,Symbols!A$1:D$1000,4,FALSE))</f>
        <v>#DIV/0!</v>
      </c>
      <c r="P1379" s="29">
        <f>P1378</f>
        <v>0</v>
      </c>
      <c r="Q1379" s="29">
        <f>Q1378</f>
        <v>0</v>
      </c>
      <c r="R1379" s="29">
        <f>R1378</f>
        <v>0</v>
      </c>
      <c r="S1379" s="29">
        <f>S1378</f>
        <v>0</v>
      </c>
      <c r="T1379" s="29">
        <f>T1378</f>
        <v>0</v>
      </c>
      <c r="U1379" s="29" t="e">
        <f>DATEDIF(DATE(1970,1,1),U1378,"D")*86400</f>
        <v>#NUM!</v>
      </c>
      <c r="V1379" s="29">
        <f>HOUR(V1378)*3600+MINUTE(V1378)*60+SECOND(V1378)</f>
        <v>0</v>
      </c>
      <c r="W1379" s="29" t="e">
        <f>DATEDIF(DATE(1970,1,1),W1378,"D")*86400</f>
        <v>#NUM!</v>
      </c>
      <c r="X1379" s="29">
        <f>HOUR(X1378)*3600+MINUTE(X1378)*60+SECOND(X1378)</f>
        <v>0</v>
      </c>
      <c r="Y1379" s="31">
        <f>(Y1378*B1379)</f>
        <v>0</v>
      </c>
      <c r="Z1379" s="29">
        <f>Z1378</f>
        <v>0</v>
      </c>
      <c r="AA1379" s="29" t="e">
        <f>DATEDIF(DATE(1970,1,1),AA1378,"D")*86400</f>
        <v>#NUM!</v>
      </c>
      <c r="AB1379" s="29">
        <f>HOUR(AB1378)*3600+MINUTE(AB1378)*60+SECOND(AB1378)</f>
        <v>0</v>
      </c>
      <c r="AC1379" s="29">
        <f>AC1378</f>
        <v>0</v>
      </c>
    </row>
    <row r="1380" spans="1:29">
      <c r="A1380" s="23">
        <f>Parameters!A691</f>
        <v>0</v>
      </c>
      <c r="B1380" s="23">
        <f>Parameters!B691</f>
        <v>0</v>
      </c>
      <c r="C1380" s="24">
        <f>Parameters!C691</f>
        <v>0</v>
      </c>
      <c r="D1380" s="24">
        <f>Parameters!D691</f>
        <v>0</v>
      </c>
      <c r="E1380" s="23">
        <f>Parameters!E691</f>
        <v>0</v>
      </c>
      <c r="F1380" s="23">
        <f>Parameters!F691</f>
        <v>0</v>
      </c>
      <c r="G1380" s="25">
        <f>Parameters!G691</f>
        <v>0</v>
      </c>
      <c r="H1380" s="25">
        <f>Parameters!H691</f>
        <v>0</v>
      </c>
      <c r="I1380" s="25">
        <f>Parameters!I691</f>
        <v>0</v>
      </c>
      <c r="J1380" s="25">
        <f>Parameters!J691</f>
        <v>0</v>
      </c>
      <c r="K1380" s="25">
        <f>Parameters!K691</f>
        <v>0</v>
      </c>
      <c r="L1380" s="26" t="e">
        <f t="shared" ref="L1380" si="2064">L1381</f>
        <v>#DIV/0!</v>
      </c>
      <c r="M1380" s="25">
        <f>Parameters!L691</f>
        <v>0</v>
      </c>
      <c r="N1380" s="25">
        <f>Parameters!M691</f>
        <v>0</v>
      </c>
      <c r="O1380" s="26" t="e">
        <f t="shared" ref="O1380" si="2065">O1381</f>
        <v>#DIV/0!</v>
      </c>
      <c r="P1380" s="23">
        <f>Parameters!N691</f>
        <v>0</v>
      </c>
      <c r="Q1380" s="23">
        <f>Parameters!O691</f>
        <v>0</v>
      </c>
      <c r="R1380" s="23">
        <f>Parameters!P691</f>
        <v>0</v>
      </c>
      <c r="S1380" s="23">
        <f>Parameters!Q691</f>
        <v>0</v>
      </c>
      <c r="T1380" s="23">
        <f>Parameters!R691</f>
        <v>0</v>
      </c>
      <c r="U1380" s="27">
        <f>Parameters!S691</f>
        <v>0</v>
      </c>
      <c r="V1380" s="28">
        <f>Parameters!T691</f>
        <v>0</v>
      </c>
      <c r="W1380" s="27">
        <f>Parameters!U691</f>
        <v>0</v>
      </c>
      <c r="X1380" s="28">
        <f>Parameters!V691</f>
        <v>0</v>
      </c>
      <c r="Y1380" s="25">
        <f>Parameters!W691</f>
        <v>0</v>
      </c>
      <c r="Z1380" s="23">
        <f>Parameters!X691</f>
        <v>0</v>
      </c>
      <c r="AA1380" s="27">
        <f>Parameters!Y691</f>
        <v>0</v>
      </c>
      <c r="AB1380" s="28">
        <f>Parameters!Z691</f>
        <v>0</v>
      </c>
      <c r="AC1380" s="23">
        <f>Parameters!AA691</f>
        <v>0</v>
      </c>
    </row>
    <row r="1381" spans="1:29">
      <c r="A1381" s="29" t="str">
        <f>UPPER(A1380)</f>
        <v>0</v>
      </c>
      <c r="B1381" s="29">
        <f>B1380</f>
        <v>0</v>
      </c>
      <c r="C1381" s="30">
        <f>C1380</f>
        <v>0</v>
      </c>
      <c r="D1381" s="30">
        <f>D1380</f>
        <v>0</v>
      </c>
      <c r="E1381" s="29">
        <f>E1380</f>
        <v>0</v>
      </c>
      <c r="F1381" s="29">
        <f>F1380</f>
        <v>0</v>
      </c>
      <c r="G1381" s="29" t="e">
        <f>IF(C1380=1,IF(D1380="BUY",E1380+(ROUND(F1380*G1380/B1380,0)*B1380),E1380-(ROUND(F1380*G1380/B1380,0)*B1380)),IF(D1380="BUY",E1380-(ROUND(F1380*G1380/B1380,0)*B1380),E1380+(ROUND(F1380*G1380/B1380,0)*B1380)))</f>
        <v>#DIV/0!</v>
      </c>
      <c r="H1381" s="29" t="e">
        <f>IF(C1380=1,IF(D1380="BUY",G1381-(ROUND(F1380*H1380/B1380,0)*B1380),G1381+(ROUND(F1380*H1380/B1380,0)*B1380)),IF(D1380="BUY",G1381+(ROUND(F1380*H1380/B1380,0)*B1380),G1381-(ROUND(F1380*H1380/B1380,0)*B1380)))</f>
        <v>#DIV/0!</v>
      </c>
      <c r="I1381" s="29" t="e">
        <f>IF(D1380="BUY",G1381+(ROUND(F1380*I1380/(B1380*100),0)*B1380),G1381-(ROUND(F1380*I1380/(B1380*100),0)*B1380))</f>
        <v>#DIV/0!</v>
      </c>
      <c r="J1381" s="29" t="e">
        <f>IF(C1380=1,IF(D1380="BUY",E1380+(ROUND(F1380*J1380/B1380,0)*B1380),E1380-(ROUND(F1380*J1380/B1380,0)*B1380)),IF(D1380="BUY",E1380-(ROUND(F1380*J1380/B1380,0)*B1380),E1380+(ROUND(F1380*J1380/B1380,0)*B1380)))</f>
        <v>#DIV/0!</v>
      </c>
      <c r="K1381" s="29" t="e">
        <f>IF(C1380=1,IF(D1380="BUY",E1380-(ROUND(F1380*K1380/B1380,0)*B1380),E1380+(ROUND(F1380*K1380/B1380,0)*B1380)),IF(D1380="BUY",E1380-(ROUND(F1380*K1380/B1380,0)*B1380),E1380+(ROUND(F1380*K1380/B1380,0)*B1380)))</f>
        <v>#DIV/0!</v>
      </c>
      <c r="L1381" s="29" t="e">
        <f t="shared" ref="L1381" si="2066">IF(D1381="BUY",I1381+(R1381*B1381),I1381-(R1381*B1381))</f>
        <v>#DIV/0!</v>
      </c>
      <c r="M1381" s="29" t="e">
        <f>IF(D1380="BUY",E1380+(ROUND(F1380*M1380/B1380,0)*B1380),E1380-(ROUND(F1380*M1380/B1380,0)*B1380))</f>
        <v>#DIV/0!</v>
      </c>
      <c r="N1381" s="29" t="e">
        <f>IF(D1380="BUY",E1380-(ROUND(F1380*N1380/B1380,0)*B1380),E1380+(ROUND(F1380*N1380/B1380,0)*B1380))</f>
        <v>#DIV/0!</v>
      </c>
      <c r="O1381" s="31" t="e">
        <f>IF(D1381="BUY",N1381-VLOOKUP(A1381,Symbols!A$1:D$1000,4,FALSE),N1381+VLOOKUP(A1381,Symbols!A$1:D$1000,4,FALSE))</f>
        <v>#DIV/0!</v>
      </c>
      <c r="P1381" s="29">
        <f>P1380</f>
        <v>0</v>
      </c>
      <c r="Q1381" s="29">
        <f>Q1380</f>
        <v>0</v>
      </c>
      <c r="R1381" s="29">
        <f>R1380</f>
        <v>0</v>
      </c>
      <c r="S1381" s="29">
        <f>S1380</f>
        <v>0</v>
      </c>
      <c r="T1381" s="29">
        <f>T1380</f>
        <v>0</v>
      </c>
      <c r="U1381" s="29" t="e">
        <f>DATEDIF(DATE(1970,1,1),U1380,"D")*86400</f>
        <v>#NUM!</v>
      </c>
      <c r="V1381" s="29">
        <f>HOUR(V1380)*3600+MINUTE(V1380)*60+SECOND(V1380)</f>
        <v>0</v>
      </c>
      <c r="W1381" s="29" t="e">
        <f>DATEDIF(DATE(1970,1,1),W1380,"D")*86400</f>
        <v>#NUM!</v>
      </c>
      <c r="X1381" s="29">
        <f>HOUR(X1380)*3600+MINUTE(X1380)*60+SECOND(X1380)</f>
        <v>0</v>
      </c>
      <c r="Y1381" s="31">
        <f>(Y1380*B1381)</f>
        <v>0</v>
      </c>
      <c r="Z1381" s="29">
        <f>Z1380</f>
        <v>0</v>
      </c>
      <c r="AA1381" s="29" t="e">
        <f>DATEDIF(DATE(1970,1,1),AA1380,"D")*86400</f>
        <v>#NUM!</v>
      </c>
      <c r="AB1381" s="29">
        <f>HOUR(AB1380)*3600+MINUTE(AB1380)*60+SECOND(AB1380)</f>
        <v>0</v>
      </c>
      <c r="AC1381" s="29">
        <f>AC1380</f>
        <v>0</v>
      </c>
    </row>
    <row r="1382" spans="1:29">
      <c r="A1382" s="23">
        <f>Parameters!A692</f>
        <v>0</v>
      </c>
      <c r="B1382" s="23">
        <f>Parameters!B692</f>
        <v>0</v>
      </c>
      <c r="C1382" s="24">
        <f>Parameters!C692</f>
        <v>0</v>
      </c>
      <c r="D1382" s="24">
        <f>Parameters!D692</f>
        <v>0</v>
      </c>
      <c r="E1382" s="23">
        <f>Parameters!E692</f>
        <v>0</v>
      </c>
      <c r="F1382" s="23">
        <f>Parameters!F692</f>
        <v>0</v>
      </c>
      <c r="G1382" s="25">
        <f>Parameters!G692</f>
        <v>0</v>
      </c>
      <c r="H1382" s="25">
        <f>Parameters!H692</f>
        <v>0</v>
      </c>
      <c r="I1382" s="25">
        <f>Parameters!I692</f>
        <v>0</v>
      </c>
      <c r="J1382" s="25">
        <f>Parameters!J692</f>
        <v>0</v>
      </c>
      <c r="K1382" s="25">
        <f>Parameters!K692</f>
        <v>0</v>
      </c>
      <c r="L1382" s="26" t="e">
        <f t="shared" ref="L1382" si="2067">L1383</f>
        <v>#DIV/0!</v>
      </c>
      <c r="M1382" s="25">
        <f>Parameters!L692</f>
        <v>0</v>
      </c>
      <c r="N1382" s="25">
        <f>Parameters!M692</f>
        <v>0</v>
      </c>
      <c r="O1382" s="26" t="e">
        <f t="shared" ref="O1382" si="2068">O1383</f>
        <v>#DIV/0!</v>
      </c>
      <c r="P1382" s="23">
        <f>Parameters!N692</f>
        <v>0</v>
      </c>
      <c r="Q1382" s="23">
        <f>Parameters!O692</f>
        <v>0</v>
      </c>
      <c r="R1382" s="23">
        <f>Parameters!P692</f>
        <v>0</v>
      </c>
      <c r="S1382" s="23">
        <f>Parameters!Q692</f>
        <v>0</v>
      </c>
      <c r="T1382" s="23">
        <f>Parameters!R692</f>
        <v>0</v>
      </c>
      <c r="U1382" s="27">
        <f>Parameters!S692</f>
        <v>0</v>
      </c>
      <c r="V1382" s="28">
        <f>Parameters!T692</f>
        <v>0</v>
      </c>
      <c r="W1382" s="27">
        <f>Parameters!U692</f>
        <v>0</v>
      </c>
      <c r="X1382" s="28">
        <f>Parameters!V692</f>
        <v>0</v>
      </c>
      <c r="Y1382" s="25">
        <f>Parameters!W692</f>
        <v>0</v>
      </c>
      <c r="Z1382" s="23">
        <f>Parameters!X692</f>
        <v>0</v>
      </c>
      <c r="AA1382" s="27">
        <f>Parameters!Y692</f>
        <v>0</v>
      </c>
      <c r="AB1382" s="28">
        <f>Parameters!Z692</f>
        <v>0</v>
      </c>
      <c r="AC1382" s="23">
        <f>Parameters!AA692</f>
        <v>0</v>
      </c>
    </row>
    <row r="1383" spans="1:29">
      <c r="A1383" s="29" t="str">
        <f>UPPER(A1382)</f>
        <v>0</v>
      </c>
      <c r="B1383" s="29">
        <f>B1382</f>
        <v>0</v>
      </c>
      <c r="C1383" s="30">
        <f>C1382</f>
        <v>0</v>
      </c>
      <c r="D1383" s="30">
        <f>D1382</f>
        <v>0</v>
      </c>
      <c r="E1383" s="29">
        <f>E1382</f>
        <v>0</v>
      </c>
      <c r="F1383" s="29">
        <f>F1382</f>
        <v>0</v>
      </c>
      <c r="G1383" s="29" t="e">
        <f>IF(C1382=1,IF(D1382="BUY",E1382+(ROUND(F1382*G1382/B1382,0)*B1382),E1382-(ROUND(F1382*G1382/B1382,0)*B1382)),IF(D1382="BUY",E1382-(ROUND(F1382*G1382/B1382,0)*B1382),E1382+(ROUND(F1382*G1382/B1382,0)*B1382)))</f>
        <v>#DIV/0!</v>
      </c>
      <c r="H1383" s="29" t="e">
        <f>IF(C1382=1,IF(D1382="BUY",G1383-(ROUND(F1382*H1382/B1382,0)*B1382),G1383+(ROUND(F1382*H1382/B1382,0)*B1382)),IF(D1382="BUY",G1383+(ROUND(F1382*H1382/B1382,0)*B1382),G1383-(ROUND(F1382*H1382/B1382,0)*B1382)))</f>
        <v>#DIV/0!</v>
      </c>
      <c r="I1383" s="29" t="e">
        <f>IF(D1382="BUY",G1383+(ROUND(F1382*I1382/(B1382*100),0)*B1382),G1383-(ROUND(F1382*I1382/(B1382*100),0)*B1382))</f>
        <v>#DIV/0!</v>
      </c>
      <c r="J1383" s="29" t="e">
        <f>IF(C1382=1,IF(D1382="BUY",E1382+(ROUND(F1382*J1382/B1382,0)*B1382),E1382-(ROUND(F1382*J1382/B1382,0)*B1382)),IF(D1382="BUY",E1382-(ROUND(F1382*J1382/B1382,0)*B1382),E1382+(ROUND(F1382*J1382/B1382,0)*B1382)))</f>
        <v>#DIV/0!</v>
      </c>
      <c r="K1383" s="29" t="e">
        <f>IF(C1382=1,IF(D1382="BUY",E1382-(ROUND(F1382*K1382/B1382,0)*B1382),E1382+(ROUND(F1382*K1382/B1382,0)*B1382)),IF(D1382="BUY",E1382-(ROUND(F1382*K1382/B1382,0)*B1382),E1382+(ROUND(F1382*K1382/B1382,0)*B1382)))</f>
        <v>#DIV/0!</v>
      </c>
      <c r="L1383" s="29" t="e">
        <f t="shared" ref="L1383" si="2069">IF(D1383="BUY",I1383+(R1383*B1383),I1383-(R1383*B1383))</f>
        <v>#DIV/0!</v>
      </c>
      <c r="M1383" s="29" t="e">
        <f>IF(D1382="BUY",E1382+(ROUND(F1382*M1382/B1382,0)*B1382),E1382-(ROUND(F1382*M1382/B1382,0)*B1382))</f>
        <v>#DIV/0!</v>
      </c>
      <c r="N1383" s="29" t="e">
        <f>IF(D1382="BUY",E1382-(ROUND(F1382*N1382/B1382,0)*B1382),E1382+(ROUND(F1382*N1382/B1382,0)*B1382))</f>
        <v>#DIV/0!</v>
      </c>
      <c r="O1383" s="31" t="e">
        <f>IF(D1383="BUY",N1383-VLOOKUP(A1383,Symbols!A$1:D$1000,4,FALSE),N1383+VLOOKUP(A1383,Symbols!A$1:D$1000,4,FALSE))</f>
        <v>#DIV/0!</v>
      </c>
      <c r="P1383" s="29">
        <f>P1382</f>
        <v>0</v>
      </c>
      <c r="Q1383" s="29">
        <f>Q1382</f>
        <v>0</v>
      </c>
      <c r="R1383" s="29">
        <f>R1382</f>
        <v>0</v>
      </c>
      <c r="S1383" s="29">
        <f>S1382</f>
        <v>0</v>
      </c>
      <c r="T1383" s="29">
        <f>T1382</f>
        <v>0</v>
      </c>
      <c r="U1383" s="29" t="e">
        <f>DATEDIF(DATE(1970,1,1),U1382,"D")*86400</f>
        <v>#NUM!</v>
      </c>
      <c r="V1383" s="29">
        <f>HOUR(V1382)*3600+MINUTE(V1382)*60+SECOND(V1382)</f>
        <v>0</v>
      </c>
      <c r="W1383" s="29" t="e">
        <f>DATEDIF(DATE(1970,1,1),W1382,"D")*86400</f>
        <v>#NUM!</v>
      </c>
      <c r="X1383" s="29">
        <f>HOUR(X1382)*3600+MINUTE(X1382)*60+SECOND(X1382)</f>
        <v>0</v>
      </c>
      <c r="Y1383" s="31">
        <f>(Y1382*B1383)</f>
        <v>0</v>
      </c>
      <c r="Z1383" s="29">
        <f>Z1382</f>
        <v>0</v>
      </c>
      <c r="AA1383" s="29" t="e">
        <f>DATEDIF(DATE(1970,1,1),AA1382,"D")*86400</f>
        <v>#NUM!</v>
      </c>
      <c r="AB1383" s="29">
        <f>HOUR(AB1382)*3600+MINUTE(AB1382)*60+SECOND(AB1382)</f>
        <v>0</v>
      </c>
      <c r="AC1383" s="29">
        <f>AC1382</f>
        <v>0</v>
      </c>
    </row>
    <row r="1384" spans="1:29">
      <c r="A1384" s="23">
        <f>Parameters!A693</f>
        <v>0</v>
      </c>
      <c r="B1384" s="23">
        <f>Parameters!B693</f>
        <v>0</v>
      </c>
      <c r="C1384" s="24">
        <f>Parameters!C693</f>
        <v>0</v>
      </c>
      <c r="D1384" s="24">
        <f>Parameters!D693</f>
        <v>0</v>
      </c>
      <c r="E1384" s="23">
        <f>Parameters!E693</f>
        <v>0</v>
      </c>
      <c r="F1384" s="23">
        <f>Parameters!F693</f>
        <v>0</v>
      </c>
      <c r="G1384" s="25">
        <f>Parameters!G693</f>
        <v>0</v>
      </c>
      <c r="H1384" s="25">
        <f>Parameters!H693</f>
        <v>0</v>
      </c>
      <c r="I1384" s="25">
        <f>Parameters!I693</f>
        <v>0</v>
      </c>
      <c r="J1384" s="25">
        <f>Parameters!J693</f>
        <v>0</v>
      </c>
      <c r="K1384" s="25">
        <f>Parameters!K693</f>
        <v>0</v>
      </c>
      <c r="L1384" s="26" t="e">
        <f t="shared" ref="L1384" si="2070">L1385</f>
        <v>#DIV/0!</v>
      </c>
      <c r="M1384" s="25">
        <f>Parameters!L693</f>
        <v>0</v>
      </c>
      <c r="N1384" s="25">
        <f>Parameters!M693</f>
        <v>0</v>
      </c>
      <c r="O1384" s="26" t="e">
        <f t="shared" ref="O1384" si="2071">O1385</f>
        <v>#DIV/0!</v>
      </c>
      <c r="P1384" s="23">
        <f>Parameters!N693</f>
        <v>0</v>
      </c>
      <c r="Q1384" s="23">
        <f>Parameters!O693</f>
        <v>0</v>
      </c>
      <c r="R1384" s="23">
        <f>Parameters!P693</f>
        <v>0</v>
      </c>
      <c r="S1384" s="23">
        <f>Parameters!Q693</f>
        <v>0</v>
      </c>
      <c r="T1384" s="23">
        <f>Parameters!R693</f>
        <v>0</v>
      </c>
      <c r="U1384" s="27">
        <f>Parameters!S693</f>
        <v>0</v>
      </c>
      <c r="V1384" s="28">
        <f>Parameters!T693</f>
        <v>0</v>
      </c>
      <c r="W1384" s="27">
        <f>Parameters!U693</f>
        <v>0</v>
      </c>
      <c r="X1384" s="28">
        <f>Parameters!V693</f>
        <v>0</v>
      </c>
      <c r="Y1384" s="25">
        <f>Parameters!W693</f>
        <v>0</v>
      </c>
      <c r="Z1384" s="23">
        <f>Parameters!X693</f>
        <v>0</v>
      </c>
      <c r="AA1384" s="27">
        <f>Parameters!Y693</f>
        <v>0</v>
      </c>
      <c r="AB1384" s="28">
        <f>Parameters!Z693</f>
        <v>0</v>
      </c>
      <c r="AC1384" s="23">
        <f>Parameters!AA693</f>
        <v>0</v>
      </c>
    </row>
    <row r="1385" spans="1:29">
      <c r="A1385" s="29" t="str">
        <f>UPPER(A1384)</f>
        <v>0</v>
      </c>
      <c r="B1385" s="29">
        <f>B1384</f>
        <v>0</v>
      </c>
      <c r="C1385" s="30">
        <f>C1384</f>
        <v>0</v>
      </c>
      <c r="D1385" s="30">
        <f>D1384</f>
        <v>0</v>
      </c>
      <c r="E1385" s="29">
        <f>E1384</f>
        <v>0</v>
      </c>
      <c r="F1385" s="29">
        <f>F1384</f>
        <v>0</v>
      </c>
      <c r="G1385" s="29" t="e">
        <f>IF(C1384=1,IF(D1384="BUY",E1384+(ROUND(F1384*G1384/B1384,0)*B1384),E1384-(ROUND(F1384*G1384/B1384,0)*B1384)),IF(D1384="BUY",E1384-(ROUND(F1384*G1384/B1384,0)*B1384),E1384+(ROUND(F1384*G1384/B1384,0)*B1384)))</f>
        <v>#DIV/0!</v>
      </c>
      <c r="H1385" s="29" t="e">
        <f>IF(C1384=1,IF(D1384="BUY",G1385-(ROUND(F1384*H1384/B1384,0)*B1384),G1385+(ROUND(F1384*H1384/B1384,0)*B1384)),IF(D1384="BUY",G1385+(ROUND(F1384*H1384/B1384,0)*B1384),G1385-(ROUND(F1384*H1384/B1384,0)*B1384)))</f>
        <v>#DIV/0!</v>
      </c>
      <c r="I1385" s="29" t="e">
        <f>IF(D1384="BUY",G1385+(ROUND(F1384*I1384/(B1384*100),0)*B1384),G1385-(ROUND(F1384*I1384/(B1384*100),0)*B1384))</f>
        <v>#DIV/0!</v>
      </c>
      <c r="J1385" s="29" t="e">
        <f>IF(C1384=1,IF(D1384="BUY",E1384+(ROUND(F1384*J1384/B1384,0)*B1384),E1384-(ROUND(F1384*J1384/B1384,0)*B1384)),IF(D1384="BUY",E1384-(ROUND(F1384*J1384/B1384,0)*B1384),E1384+(ROUND(F1384*J1384/B1384,0)*B1384)))</f>
        <v>#DIV/0!</v>
      </c>
      <c r="K1385" s="29" t="e">
        <f>IF(C1384=1,IF(D1384="BUY",E1384-(ROUND(F1384*K1384/B1384,0)*B1384),E1384+(ROUND(F1384*K1384/B1384,0)*B1384)),IF(D1384="BUY",E1384-(ROUND(F1384*K1384/B1384,0)*B1384),E1384+(ROUND(F1384*K1384/B1384,0)*B1384)))</f>
        <v>#DIV/0!</v>
      </c>
      <c r="L1385" s="29" t="e">
        <f t="shared" ref="L1385" si="2072">IF(D1385="BUY",I1385+(R1385*B1385),I1385-(R1385*B1385))</f>
        <v>#DIV/0!</v>
      </c>
      <c r="M1385" s="29" t="e">
        <f>IF(D1384="BUY",E1384+(ROUND(F1384*M1384/B1384,0)*B1384),E1384-(ROUND(F1384*M1384/B1384,0)*B1384))</f>
        <v>#DIV/0!</v>
      </c>
      <c r="N1385" s="29" t="e">
        <f>IF(D1384="BUY",E1384-(ROUND(F1384*N1384/B1384,0)*B1384),E1384+(ROUND(F1384*N1384/B1384,0)*B1384))</f>
        <v>#DIV/0!</v>
      </c>
      <c r="O1385" s="31" t="e">
        <f>IF(D1385="BUY",N1385-VLOOKUP(A1385,Symbols!A$1:D$1000,4,FALSE),N1385+VLOOKUP(A1385,Symbols!A$1:D$1000,4,FALSE))</f>
        <v>#DIV/0!</v>
      </c>
      <c r="P1385" s="29">
        <f>P1384</f>
        <v>0</v>
      </c>
      <c r="Q1385" s="29">
        <f>Q1384</f>
        <v>0</v>
      </c>
      <c r="R1385" s="29">
        <f>R1384</f>
        <v>0</v>
      </c>
      <c r="S1385" s="29">
        <f>S1384</f>
        <v>0</v>
      </c>
      <c r="T1385" s="29">
        <f>T1384</f>
        <v>0</v>
      </c>
      <c r="U1385" s="29" t="e">
        <f>DATEDIF(DATE(1970,1,1),U1384,"D")*86400</f>
        <v>#NUM!</v>
      </c>
      <c r="V1385" s="29">
        <f>HOUR(V1384)*3600+MINUTE(V1384)*60+SECOND(V1384)</f>
        <v>0</v>
      </c>
      <c r="W1385" s="29" t="e">
        <f>DATEDIF(DATE(1970,1,1),W1384,"D")*86400</f>
        <v>#NUM!</v>
      </c>
      <c r="X1385" s="29">
        <f>HOUR(X1384)*3600+MINUTE(X1384)*60+SECOND(X1384)</f>
        <v>0</v>
      </c>
      <c r="Y1385" s="31">
        <f>(Y1384*B1385)</f>
        <v>0</v>
      </c>
      <c r="Z1385" s="29">
        <f>Z1384</f>
        <v>0</v>
      </c>
      <c r="AA1385" s="29" t="e">
        <f>DATEDIF(DATE(1970,1,1),AA1384,"D")*86400</f>
        <v>#NUM!</v>
      </c>
      <c r="AB1385" s="29">
        <f>HOUR(AB1384)*3600+MINUTE(AB1384)*60+SECOND(AB1384)</f>
        <v>0</v>
      </c>
      <c r="AC1385" s="29">
        <f>AC1384</f>
        <v>0</v>
      </c>
    </row>
    <row r="1386" spans="1:29">
      <c r="A1386" s="23">
        <f>Parameters!A694</f>
        <v>0</v>
      </c>
      <c r="B1386" s="23">
        <f>Parameters!B694</f>
        <v>0</v>
      </c>
      <c r="C1386" s="24">
        <f>Parameters!C694</f>
        <v>0</v>
      </c>
      <c r="D1386" s="24">
        <f>Parameters!D694</f>
        <v>0</v>
      </c>
      <c r="E1386" s="23">
        <f>Parameters!E694</f>
        <v>0</v>
      </c>
      <c r="F1386" s="23">
        <f>Parameters!F694</f>
        <v>0</v>
      </c>
      <c r="G1386" s="25">
        <f>Parameters!G694</f>
        <v>0</v>
      </c>
      <c r="H1386" s="25">
        <f>Parameters!H694</f>
        <v>0</v>
      </c>
      <c r="I1386" s="25">
        <f>Parameters!I694</f>
        <v>0</v>
      </c>
      <c r="J1386" s="25">
        <f>Parameters!J694</f>
        <v>0</v>
      </c>
      <c r="K1386" s="25">
        <f>Parameters!K694</f>
        <v>0</v>
      </c>
      <c r="L1386" s="26" t="e">
        <f t="shared" ref="L1386" si="2073">L1387</f>
        <v>#DIV/0!</v>
      </c>
      <c r="M1386" s="25">
        <f>Parameters!L694</f>
        <v>0</v>
      </c>
      <c r="N1386" s="25">
        <f>Parameters!M694</f>
        <v>0</v>
      </c>
      <c r="O1386" s="26" t="e">
        <f t="shared" ref="O1386" si="2074">O1387</f>
        <v>#DIV/0!</v>
      </c>
      <c r="P1386" s="23">
        <f>Parameters!N694</f>
        <v>0</v>
      </c>
      <c r="Q1386" s="23">
        <f>Parameters!O694</f>
        <v>0</v>
      </c>
      <c r="R1386" s="23">
        <f>Parameters!P694</f>
        <v>0</v>
      </c>
      <c r="S1386" s="23">
        <f>Parameters!Q694</f>
        <v>0</v>
      </c>
      <c r="T1386" s="23">
        <f>Parameters!R694</f>
        <v>0</v>
      </c>
      <c r="U1386" s="27">
        <f>Parameters!S694</f>
        <v>0</v>
      </c>
      <c r="V1386" s="28">
        <f>Parameters!T694</f>
        <v>0</v>
      </c>
      <c r="W1386" s="27">
        <f>Parameters!U694</f>
        <v>0</v>
      </c>
      <c r="X1386" s="28">
        <f>Parameters!V694</f>
        <v>0</v>
      </c>
      <c r="Y1386" s="25">
        <f>Parameters!W694</f>
        <v>0</v>
      </c>
      <c r="Z1386" s="23">
        <f>Parameters!X694</f>
        <v>0</v>
      </c>
      <c r="AA1386" s="27">
        <f>Parameters!Y694</f>
        <v>0</v>
      </c>
      <c r="AB1386" s="28">
        <f>Parameters!Z694</f>
        <v>0</v>
      </c>
      <c r="AC1386" s="23">
        <f>Parameters!AA694</f>
        <v>0</v>
      </c>
    </row>
    <row r="1387" spans="1:29">
      <c r="A1387" s="29" t="str">
        <f>UPPER(A1386)</f>
        <v>0</v>
      </c>
      <c r="B1387" s="29">
        <f>B1386</f>
        <v>0</v>
      </c>
      <c r="C1387" s="30">
        <f>C1386</f>
        <v>0</v>
      </c>
      <c r="D1387" s="30">
        <f>D1386</f>
        <v>0</v>
      </c>
      <c r="E1387" s="29">
        <f>E1386</f>
        <v>0</v>
      </c>
      <c r="F1387" s="29">
        <f>F1386</f>
        <v>0</v>
      </c>
      <c r="G1387" s="29" t="e">
        <f>IF(C1386=1,IF(D1386="BUY",E1386+(ROUND(F1386*G1386/B1386,0)*B1386),E1386-(ROUND(F1386*G1386/B1386,0)*B1386)),IF(D1386="BUY",E1386-(ROUND(F1386*G1386/B1386,0)*B1386),E1386+(ROUND(F1386*G1386/B1386,0)*B1386)))</f>
        <v>#DIV/0!</v>
      </c>
      <c r="H1387" s="29" t="e">
        <f>IF(C1386=1,IF(D1386="BUY",G1387-(ROUND(F1386*H1386/B1386,0)*B1386),G1387+(ROUND(F1386*H1386/B1386,0)*B1386)),IF(D1386="BUY",G1387+(ROUND(F1386*H1386/B1386,0)*B1386),G1387-(ROUND(F1386*H1386/B1386,0)*B1386)))</f>
        <v>#DIV/0!</v>
      </c>
      <c r="I1387" s="29" t="e">
        <f>IF(D1386="BUY",G1387+(ROUND(F1386*I1386/(B1386*100),0)*B1386),G1387-(ROUND(F1386*I1386/(B1386*100),0)*B1386))</f>
        <v>#DIV/0!</v>
      </c>
      <c r="J1387" s="29" t="e">
        <f>IF(C1386=1,IF(D1386="BUY",E1386+(ROUND(F1386*J1386/B1386,0)*B1386),E1386-(ROUND(F1386*J1386/B1386,0)*B1386)),IF(D1386="BUY",E1386-(ROUND(F1386*J1386/B1386,0)*B1386),E1386+(ROUND(F1386*J1386/B1386,0)*B1386)))</f>
        <v>#DIV/0!</v>
      </c>
      <c r="K1387" s="29" t="e">
        <f>IF(C1386=1,IF(D1386="BUY",E1386-(ROUND(F1386*K1386/B1386,0)*B1386),E1386+(ROUND(F1386*K1386/B1386,0)*B1386)),IF(D1386="BUY",E1386-(ROUND(F1386*K1386/B1386,0)*B1386),E1386+(ROUND(F1386*K1386/B1386,0)*B1386)))</f>
        <v>#DIV/0!</v>
      </c>
      <c r="L1387" s="29" t="e">
        <f t="shared" ref="L1387" si="2075">IF(D1387="BUY",I1387+(R1387*B1387),I1387-(R1387*B1387))</f>
        <v>#DIV/0!</v>
      </c>
      <c r="M1387" s="29" t="e">
        <f>IF(D1386="BUY",E1386+(ROUND(F1386*M1386/B1386,0)*B1386),E1386-(ROUND(F1386*M1386/B1386,0)*B1386))</f>
        <v>#DIV/0!</v>
      </c>
      <c r="N1387" s="29" t="e">
        <f>IF(D1386="BUY",E1386-(ROUND(F1386*N1386/B1386,0)*B1386),E1386+(ROUND(F1386*N1386/B1386,0)*B1386))</f>
        <v>#DIV/0!</v>
      </c>
      <c r="O1387" s="31" t="e">
        <f>IF(D1387="BUY",N1387-VLOOKUP(A1387,Symbols!A$1:D$1000,4,FALSE),N1387+VLOOKUP(A1387,Symbols!A$1:D$1000,4,FALSE))</f>
        <v>#DIV/0!</v>
      </c>
      <c r="P1387" s="29">
        <f>P1386</f>
        <v>0</v>
      </c>
      <c r="Q1387" s="29">
        <f>Q1386</f>
        <v>0</v>
      </c>
      <c r="R1387" s="29">
        <f>R1386</f>
        <v>0</v>
      </c>
      <c r="S1387" s="29">
        <f>S1386</f>
        <v>0</v>
      </c>
      <c r="T1387" s="29">
        <f>T1386</f>
        <v>0</v>
      </c>
      <c r="U1387" s="29" t="e">
        <f>DATEDIF(DATE(1970,1,1),U1386,"D")*86400</f>
        <v>#NUM!</v>
      </c>
      <c r="V1387" s="29">
        <f>HOUR(V1386)*3600+MINUTE(V1386)*60+SECOND(V1386)</f>
        <v>0</v>
      </c>
      <c r="W1387" s="29" t="e">
        <f>DATEDIF(DATE(1970,1,1),W1386,"D")*86400</f>
        <v>#NUM!</v>
      </c>
      <c r="X1387" s="29">
        <f>HOUR(X1386)*3600+MINUTE(X1386)*60+SECOND(X1386)</f>
        <v>0</v>
      </c>
      <c r="Y1387" s="31">
        <f>(Y1386*B1387)</f>
        <v>0</v>
      </c>
      <c r="Z1387" s="29">
        <f>Z1386</f>
        <v>0</v>
      </c>
      <c r="AA1387" s="29" t="e">
        <f>DATEDIF(DATE(1970,1,1),AA1386,"D")*86400</f>
        <v>#NUM!</v>
      </c>
      <c r="AB1387" s="29">
        <f>HOUR(AB1386)*3600+MINUTE(AB1386)*60+SECOND(AB1386)</f>
        <v>0</v>
      </c>
      <c r="AC1387" s="29">
        <f>AC1386</f>
        <v>0</v>
      </c>
    </row>
    <row r="1388" spans="1:29">
      <c r="A1388" s="23">
        <f>Parameters!A695</f>
        <v>0</v>
      </c>
      <c r="B1388" s="23">
        <f>Parameters!B695</f>
        <v>0</v>
      </c>
      <c r="C1388" s="24">
        <f>Parameters!C695</f>
        <v>0</v>
      </c>
      <c r="D1388" s="24">
        <f>Parameters!D695</f>
        <v>0</v>
      </c>
      <c r="E1388" s="23">
        <f>Parameters!E695</f>
        <v>0</v>
      </c>
      <c r="F1388" s="23">
        <f>Parameters!F695</f>
        <v>0</v>
      </c>
      <c r="G1388" s="25">
        <f>Parameters!G695</f>
        <v>0</v>
      </c>
      <c r="H1388" s="25">
        <f>Parameters!H695</f>
        <v>0</v>
      </c>
      <c r="I1388" s="25">
        <f>Parameters!I695</f>
        <v>0</v>
      </c>
      <c r="J1388" s="25">
        <f>Parameters!J695</f>
        <v>0</v>
      </c>
      <c r="K1388" s="25">
        <f>Parameters!K695</f>
        <v>0</v>
      </c>
      <c r="L1388" s="26" t="e">
        <f t="shared" ref="L1388" si="2076">L1389</f>
        <v>#DIV/0!</v>
      </c>
      <c r="M1388" s="25">
        <f>Parameters!L695</f>
        <v>0</v>
      </c>
      <c r="N1388" s="25">
        <f>Parameters!M695</f>
        <v>0</v>
      </c>
      <c r="O1388" s="26" t="e">
        <f t="shared" ref="O1388" si="2077">O1389</f>
        <v>#DIV/0!</v>
      </c>
      <c r="P1388" s="23">
        <f>Parameters!N695</f>
        <v>0</v>
      </c>
      <c r="Q1388" s="23">
        <f>Parameters!O695</f>
        <v>0</v>
      </c>
      <c r="R1388" s="23">
        <f>Parameters!P695</f>
        <v>0</v>
      </c>
      <c r="S1388" s="23">
        <f>Parameters!Q695</f>
        <v>0</v>
      </c>
      <c r="T1388" s="23">
        <f>Parameters!R695</f>
        <v>0</v>
      </c>
      <c r="U1388" s="27">
        <f>Parameters!S695</f>
        <v>0</v>
      </c>
      <c r="V1388" s="28">
        <f>Parameters!T695</f>
        <v>0</v>
      </c>
      <c r="W1388" s="27">
        <f>Parameters!U695</f>
        <v>0</v>
      </c>
      <c r="X1388" s="28">
        <f>Parameters!V695</f>
        <v>0</v>
      </c>
      <c r="Y1388" s="25">
        <f>Parameters!W695</f>
        <v>0</v>
      </c>
      <c r="Z1388" s="23">
        <f>Parameters!X695</f>
        <v>0</v>
      </c>
      <c r="AA1388" s="27">
        <f>Parameters!Y695</f>
        <v>0</v>
      </c>
      <c r="AB1388" s="28">
        <f>Parameters!Z695</f>
        <v>0</v>
      </c>
      <c r="AC1388" s="23">
        <f>Parameters!AA695</f>
        <v>0</v>
      </c>
    </row>
    <row r="1389" spans="1:29">
      <c r="A1389" s="29" t="str">
        <f>UPPER(A1388)</f>
        <v>0</v>
      </c>
      <c r="B1389" s="29">
        <f>B1388</f>
        <v>0</v>
      </c>
      <c r="C1389" s="30">
        <f>C1388</f>
        <v>0</v>
      </c>
      <c r="D1389" s="30">
        <f>D1388</f>
        <v>0</v>
      </c>
      <c r="E1389" s="29">
        <f>E1388</f>
        <v>0</v>
      </c>
      <c r="F1389" s="29">
        <f>F1388</f>
        <v>0</v>
      </c>
      <c r="G1389" s="29" t="e">
        <f>IF(C1388=1,IF(D1388="BUY",E1388+(ROUND(F1388*G1388/B1388,0)*B1388),E1388-(ROUND(F1388*G1388/B1388,0)*B1388)),IF(D1388="BUY",E1388-(ROUND(F1388*G1388/B1388,0)*B1388),E1388+(ROUND(F1388*G1388/B1388,0)*B1388)))</f>
        <v>#DIV/0!</v>
      </c>
      <c r="H1389" s="29" t="e">
        <f>IF(C1388=1,IF(D1388="BUY",G1389-(ROUND(F1388*H1388/B1388,0)*B1388),G1389+(ROUND(F1388*H1388/B1388,0)*B1388)),IF(D1388="BUY",G1389+(ROUND(F1388*H1388/B1388,0)*B1388),G1389-(ROUND(F1388*H1388/B1388,0)*B1388)))</f>
        <v>#DIV/0!</v>
      </c>
      <c r="I1389" s="29" t="e">
        <f>IF(D1388="BUY",G1389+(ROUND(F1388*I1388/(B1388*100),0)*B1388),G1389-(ROUND(F1388*I1388/(B1388*100),0)*B1388))</f>
        <v>#DIV/0!</v>
      </c>
      <c r="J1389" s="29" t="e">
        <f>IF(C1388=1,IF(D1388="BUY",E1388+(ROUND(F1388*J1388/B1388,0)*B1388),E1388-(ROUND(F1388*J1388/B1388,0)*B1388)),IF(D1388="BUY",E1388-(ROUND(F1388*J1388/B1388,0)*B1388),E1388+(ROUND(F1388*J1388/B1388,0)*B1388)))</f>
        <v>#DIV/0!</v>
      </c>
      <c r="K1389" s="29" t="e">
        <f>IF(C1388=1,IF(D1388="BUY",E1388-(ROUND(F1388*K1388/B1388,0)*B1388),E1388+(ROUND(F1388*K1388/B1388,0)*B1388)),IF(D1388="BUY",E1388-(ROUND(F1388*K1388/B1388,0)*B1388),E1388+(ROUND(F1388*K1388/B1388,0)*B1388)))</f>
        <v>#DIV/0!</v>
      </c>
      <c r="L1389" s="29" t="e">
        <f t="shared" ref="L1389" si="2078">IF(D1389="BUY",I1389+(R1389*B1389),I1389-(R1389*B1389))</f>
        <v>#DIV/0!</v>
      </c>
      <c r="M1389" s="29" t="e">
        <f>IF(D1388="BUY",E1388+(ROUND(F1388*M1388/B1388,0)*B1388),E1388-(ROUND(F1388*M1388/B1388,0)*B1388))</f>
        <v>#DIV/0!</v>
      </c>
      <c r="N1389" s="29" t="e">
        <f>IF(D1388="BUY",E1388-(ROUND(F1388*N1388/B1388,0)*B1388),E1388+(ROUND(F1388*N1388/B1388,0)*B1388))</f>
        <v>#DIV/0!</v>
      </c>
      <c r="O1389" s="31" t="e">
        <f>IF(D1389="BUY",N1389-VLOOKUP(A1389,Symbols!A$1:D$1000,4,FALSE),N1389+VLOOKUP(A1389,Symbols!A$1:D$1000,4,FALSE))</f>
        <v>#DIV/0!</v>
      </c>
      <c r="P1389" s="29">
        <f>P1388</f>
        <v>0</v>
      </c>
      <c r="Q1389" s="29">
        <f>Q1388</f>
        <v>0</v>
      </c>
      <c r="R1389" s="29">
        <f>R1388</f>
        <v>0</v>
      </c>
      <c r="S1389" s="29">
        <f>S1388</f>
        <v>0</v>
      </c>
      <c r="T1389" s="29">
        <f>T1388</f>
        <v>0</v>
      </c>
      <c r="U1389" s="29" t="e">
        <f>DATEDIF(DATE(1970,1,1),U1388,"D")*86400</f>
        <v>#NUM!</v>
      </c>
      <c r="V1389" s="29">
        <f>HOUR(V1388)*3600+MINUTE(V1388)*60+SECOND(V1388)</f>
        <v>0</v>
      </c>
      <c r="W1389" s="29" t="e">
        <f>DATEDIF(DATE(1970,1,1),W1388,"D")*86400</f>
        <v>#NUM!</v>
      </c>
      <c r="X1389" s="29">
        <f>HOUR(X1388)*3600+MINUTE(X1388)*60+SECOND(X1388)</f>
        <v>0</v>
      </c>
      <c r="Y1389" s="31">
        <f>(Y1388*B1389)</f>
        <v>0</v>
      </c>
      <c r="Z1389" s="29">
        <f>Z1388</f>
        <v>0</v>
      </c>
      <c r="AA1389" s="29" t="e">
        <f>DATEDIF(DATE(1970,1,1),AA1388,"D")*86400</f>
        <v>#NUM!</v>
      </c>
      <c r="AB1389" s="29">
        <f>HOUR(AB1388)*3600+MINUTE(AB1388)*60+SECOND(AB1388)</f>
        <v>0</v>
      </c>
      <c r="AC1389" s="29">
        <f>AC1388</f>
        <v>0</v>
      </c>
    </row>
    <row r="1390" spans="1:29">
      <c r="A1390" s="23">
        <f>Parameters!A696</f>
        <v>0</v>
      </c>
      <c r="B1390" s="23">
        <f>Parameters!B696</f>
        <v>0</v>
      </c>
      <c r="C1390" s="24">
        <f>Parameters!C696</f>
        <v>0</v>
      </c>
      <c r="D1390" s="24">
        <f>Parameters!D696</f>
        <v>0</v>
      </c>
      <c r="E1390" s="23">
        <f>Parameters!E696</f>
        <v>0</v>
      </c>
      <c r="F1390" s="23">
        <f>Parameters!F696</f>
        <v>0</v>
      </c>
      <c r="G1390" s="25">
        <f>Parameters!G696</f>
        <v>0</v>
      </c>
      <c r="H1390" s="25">
        <f>Parameters!H696</f>
        <v>0</v>
      </c>
      <c r="I1390" s="25">
        <f>Parameters!I696</f>
        <v>0</v>
      </c>
      <c r="J1390" s="25">
        <f>Parameters!J696</f>
        <v>0</v>
      </c>
      <c r="K1390" s="25">
        <f>Parameters!K696</f>
        <v>0</v>
      </c>
      <c r="L1390" s="26" t="e">
        <f t="shared" ref="L1390" si="2079">L1391</f>
        <v>#DIV/0!</v>
      </c>
      <c r="M1390" s="25">
        <f>Parameters!L696</f>
        <v>0</v>
      </c>
      <c r="N1390" s="25">
        <f>Parameters!M696</f>
        <v>0</v>
      </c>
      <c r="O1390" s="26" t="e">
        <f t="shared" ref="O1390" si="2080">O1391</f>
        <v>#DIV/0!</v>
      </c>
      <c r="P1390" s="23">
        <f>Parameters!N696</f>
        <v>0</v>
      </c>
      <c r="Q1390" s="23">
        <f>Parameters!O696</f>
        <v>0</v>
      </c>
      <c r="R1390" s="23">
        <f>Parameters!P696</f>
        <v>0</v>
      </c>
      <c r="S1390" s="23">
        <f>Parameters!Q696</f>
        <v>0</v>
      </c>
      <c r="T1390" s="23">
        <f>Parameters!R696</f>
        <v>0</v>
      </c>
      <c r="U1390" s="27">
        <f>Parameters!S696</f>
        <v>0</v>
      </c>
      <c r="V1390" s="28">
        <f>Parameters!T696</f>
        <v>0</v>
      </c>
      <c r="W1390" s="27">
        <f>Parameters!U696</f>
        <v>0</v>
      </c>
      <c r="X1390" s="28">
        <f>Parameters!V696</f>
        <v>0</v>
      </c>
      <c r="Y1390" s="25">
        <f>Parameters!W696</f>
        <v>0</v>
      </c>
      <c r="Z1390" s="23">
        <f>Parameters!X696</f>
        <v>0</v>
      </c>
      <c r="AA1390" s="27">
        <f>Parameters!Y696</f>
        <v>0</v>
      </c>
      <c r="AB1390" s="28">
        <f>Parameters!Z696</f>
        <v>0</v>
      </c>
      <c r="AC1390" s="23">
        <f>Parameters!AA696</f>
        <v>0</v>
      </c>
    </row>
    <row r="1391" spans="1:29">
      <c r="A1391" s="29" t="str">
        <f>UPPER(A1390)</f>
        <v>0</v>
      </c>
      <c r="B1391" s="29">
        <f>B1390</f>
        <v>0</v>
      </c>
      <c r="C1391" s="30">
        <f>C1390</f>
        <v>0</v>
      </c>
      <c r="D1391" s="30">
        <f>D1390</f>
        <v>0</v>
      </c>
      <c r="E1391" s="29">
        <f>E1390</f>
        <v>0</v>
      </c>
      <c r="F1391" s="29">
        <f>F1390</f>
        <v>0</v>
      </c>
      <c r="G1391" s="29" t="e">
        <f>IF(C1390=1,IF(D1390="BUY",E1390+(ROUND(F1390*G1390/B1390,0)*B1390),E1390-(ROUND(F1390*G1390/B1390,0)*B1390)),IF(D1390="BUY",E1390-(ROUND(F1390*G1390/B1390,0)*B1390),E1390+(ROUND(F1390*G1390/B1390,0)*B1390)))</f>
        <v>#DIV/0!</v>
      </c>
      <c r="H1391" s="29" t="e">
        <f>IF(C1390=1,IF(D1390="BUY",G1391-(ROUND(F1390*H1390/B1390,0)*B1390),G1391+(ROUND(F1390*H1390/B1390,0)*B1390)),IF(D1390="BUY",G1391+(ROUND(F1390*H1390/B1390,0)*B1390),G1391-(ROUND(F1390*H1390/B1390,0)*B1390)))</f>
        <v>#DIV/0!</v>
      </c>
      <c r="I1391" s="29" t="e">
        <f>IF(D1390="BUY",G1391+(ROUND(F1390*I1390/(B1390*100),0)*B1390),G1391-(ROUND(F1390*I1390/(B1390*100),0)*B1390))</f>
        <v>#DIV/0!</v>
      </c>
      <c r="J1391" s="29" t="e">
        <f>IF(C1390=1,IF(D1390="BUY",E1390+(ROUND(F1390*J1390/B1390,0)*B1390),E1390-(ROUND(F1390*J1390/B1390,0)*B1390)),IF(D1390="BUY",E1390-(ROUND(F1390*J1390/B1390,0)*B1390),E1390+(ROUND(F1390*J1390/B1390,0)*B1390)))</f>
        <v>#DIV/0!</v>
      </c>
      <c r="K1391" s="29" t="e">
        <f>IF(C1390=1,IF(D1390="BUY",E1390-(ROUND(F1390*K1390/B1390,0)*B1390),E1390+(ROUND(F1390*K1390/B1390,0)*B1390)),IF(D1390="BUY",E1390-(ROUND(F1390*K1390/B1390,0)*B1390),E1390+(ROUND(F1390*K1390/B1390,0)*B1390)))</f>
        <v>#DIV/0!</v>
      </c>
      <c r="L1391" s="29" t="e">
        <f t="shared" ref="L1391" si="2081">IF(D1391="BUY",I1391+(R1391*B1391),I1391-(R1391*B1391))</f>
        <v>#DIV/0!</v>
      </c>
      <c r="M1391" s="29" t="e">
        <f>IF(D1390="BUY",E1390+(ROUND(F1390*M1390/B1390,0)*B1390),E1390-(ROUND(F1390*M1390/B1390,0)*B1390))</f>
        <v>#DIV/0!</v>
      </c>
      <c r="N1391" s="29" t="e">
        <f>IF(D1390="BUY",E1390-(ROUND(F1390*N1390/B1390,0)*B1390),E1390+(ROUND(F1390*N1390/B1390,0)*B1390))</f>
        <v>#DIV/0!</v>
      </c>
      <c r="O1391" s="31" t="e">
        <f>IF(D1391="BUY",N1391-VLOOKUP(A1391,Symbols!A$1:D$1000,4,FALSE),N1391+VLOOKUP(A1391,Symbols!A$1:D$1000,4,FALSE))</f>
        <v>#DIV/0!</v>
      </c>
      <c r="P1391" s="29">
        <f>P1390</f>
        <v>0</v>
      </c>
      <c r="Q1391" s="29">
        <f>Q1390</f>
        <v>0</v>
      </c>
      <c r="R1391" s="29">
        <f>R1390</f>
        <v>0</v>
      </c>
      <c r="S1391" s="29">
        <f>S1390</f>
        <v>0</v>
      </c>
      <c r="T1391" s="29">
        <f>T1390</f>
        <v>0</v>
      </c>
      <c r="U1391" s="29" t="e">
        <f>DATEDIF(DATE(1970,1,1),U1390,"D")*86400</f>
        <v>#NUM!</v>
      </c>
      <c r="V1391" s="29">
        <f>HOUR(V1390)*3600+MINUTE(V1390)*60+SECOND(V1390)</f>
        <v>0</v>
      </c>
      <c r="W1391" s="29" t="e">
        <f>DATEDIF(DATE(1970,1,1),W1390,"D")*86400</f>
        <v>#NUM!</v>
      </c>
      <c r="X1391" s="29">
        <f>HOUR(X1390)*3600+MINUTE(X1390)*60+SECOND(X1390)</f>
        <v>0</v>
      </c>
      <c r="Y1391" s="31">
        <f>(Y1390*B1391)</f>
        <v>0</v>
      </c>
      <c r="Z1391" s="29">
        <f>Z1390</f>
        <v>0</v>
      </c>
      <c r="AA1391" s="29" t="e">
        <f>DATEDIF(DATE(1970,1,1),AA1390,"D")*86400</f>
        <v>#NUM!</v>
      </c>
      <c r="AB1391" s="29">
        <f>HOUR(AB1390)*3600+MINUTE(AB1390)*60+SECOND(AB1390)</f>
        <v>0</v>
      </c>
      <c r="AC1391" s="29">
        <f>AC1390</f>
        <v>0</v>
      </c>
    </row>
    <row r="1392" spans="1:29">
      <c r="A1392" s="23">
        <f>Parameters!A697</f>
        <v>0</v>
      </c>
      <c r="B1392" s="23">
        <f>Parameters!B697</f>
        <v>0</v>
      </c>
      <c r="C1392" s="24">
        <f>Parameters!C697</f>
        <v>0</v>
      </c>
      <c r="D1392" s="24">
        <f>Parameters!D697</f>
        <v>0</v>
      </c>
      <c r="E1392" s="23">
        <f>Parameters!E697</f>
        <v>0</v>
      </c>
      <c r="F1392" s="23">
        <f>Parameters!F697</f>
        <v>0</v>
      </c>
      <c r="G1392" s="25">
        <f>Parameters!G697</f>
        <v>0</v>
      </c>
      <c r="H1392" s="25">
        <f>Parameters!H697</f>
        <v>0</v>
      </c>
      <c r="I1392" s="25">
        <f>Parameters!I697</f>
        <v>0</v>
      </c>
      <c r="J1392" s="25">
        <f>Parameters!J697</f>
        <v>0</v>
      </c>
      <c r="K1392" s="25">
        <f>Parameters!K697</f>
        <v>0</v>
      </c>
      <c r="L1392" s="26" t="e">
        <f t="shared" ref="L1392" si="2082">L1393</f>
        <v>#DIV/0!</v>
      </c>
      <c r="M1392" s="25">
        <f>Parameters!L697</f>
        <v>0</v>
      </c>
      <c r="N1392" s="25">
        <f>Parameters!M697</f>
        <v>0</v>
      </c>
      <c r="O1392" s="26" t="e">
        <f t="shared" ref="O1392" si="2083">O1393</f>
        <v>#DIV/0!</v>
      </c>
      <c r="P1392" s="23">
        <f>Parameters!N697</f>
        <v>0</v>
      </c>
      <c r="Q1392" s="23">
        <f>Parameters!O697</f>
        <v>0</v>
      </c>
      <c r="R1392" s="23">
        <f>Parameters!P697</f>
        <v>0</v>
      </c>
      <c r="S1392" s="23">
        <f>Parameters!Q697</f>
        <v>0</v>
      </c>
      <c r="T1392" s="23">
        <f>Parameters!R697</f>
        <v>0</v>
      </c>
      <c r="U1392" s="27">
        <f>Parameters!S697</f>
        <v>0</v>
      </c>
      <c r="V1392" s="28">
        <f>Parameters!T697</f>
        <v>0</v>
      </c>
      <c r="W1392" s="27">
        <f>Parameters!U697</f>
        <v>0</v>
      </c>
      <c r="X1392" s="28">
        <f>Parameters!V697</f>
        <v>0</v>
      </c>
      <c r="Y1392" s="25">
        <f>Parameters!W697</f>
        <v>0</v>
      </c>
      <c r="Z1392" s="23">
        <f>Parameters!X697</f>
        <v>0</v>
      </c>
      <c r="AA1392" s="27">
        <f>Parameters!Y697</f>
        <v>0</v>
      </c>
      <c r="AB1392" s="28">
        <f>Parameters!Z697</f>
        <v>0</v>
      </c>
      <c r="AC1392" s="23">
        <f>Parameters!AA697</f>
        <v>0</v>
      </c>
    </row>
    <row r="1393" spans="1:29">
      <c r="A1393" s="29" t="str">
        <f>UPPER(A1392)</f>
        <v>0</v>
      </c>
      <c r="B1393" s="29">
        <f>B1392</f>
        <v>0</v>
      </c>
      <c r="C1393" s="30">
        <f>C1392</f>
        <v>0</v>
      </c>
      <c r="D1393" s="30">
        <f>D1392</f>
        <v>0</v>
      </c>
      <c r="E1393" s="29">
        <f>E1392</f>
        <v>0</v>
      </c>
      <c r="F1393" s="29">
        <f>F1392</f>
        <v>0</v>
      </c>
      <c r="G1393" s="29" t="e">
        <f>IF(C1392=1,IF(D1392="BUY",E1392+(ROUND(F1392*G1392/B1392,0)*B1392),E1392-(ROUND(F1392*G1392/B1392,0)*B1392)),IF(D1392="BUY",E1392-(ROUND(F1392*G1392/B1392,0)*B1392),E1392+(ROUND(F1392*G1392/B1392,0)*B1392)))</f>
        <v>#DIV/0!</v>
      </c>
      <c r="H1393" s="29" t="e">
        <f>IF(C1392=1,IF(D1392="BUY",G1393-(ROUND(F1392*H1392/B1392,0)*B1392),G1393+(ROUND(F1392*H1392/B1392,0)*B1392)),IF(D1392="BUY",G1393+(ROUND(F1392*H1392/B1392,0)*B1392),G1393-(ROUND(F1392*H1392/B1392,0)*B1392)))</f>
        <v>#DIV/0!</v>
      </c>
      <c r="I1393" s="29" t="e">
        <f>IF(D1392="BUY",G1393+(ROUND(F1392*I1392/(B1392*100),0)*B1392),G1393-(ROUND(F1392*I1392/(B1392*100),0)*B1392))</f>
        <v>#DIV/0!</v>
      </c>
      <c r="J1393" s="29" t="e">
        <f>IF(C1392=1,IF(D1392="BUY",E1392+(ROUND(F1392*J1392/B1392,0)*B1392),E1392-(ROUND(F1392*J1392/B1392,0)*B1392)),IF(D1392="BUY",E1392-(ROUND(F1392*J1392/B1392,0)*B1392),E1392+(ROUND(F1392*J1392/B1392,0)*B1392)))</f>
        <v>#DIV/0!</v>
      </c>
      <c r="K1393" s="29" t="e">
        <f>IF(C1392=1,IF(D1392="BUY",E1392-(ROUND(F1392*K1392/B1392,0)*B1392),E1392+(ROUND(F1392*K1392/B1392,0)*B1392)),IF(D1392="BUY",E1392-(ROUND(F1392*K1392/B1392,0)*B1392),E1392+(ROUND(F1392*K1392/B1392,0)*B1392)))</f>
        <v>#DIV/0!</v>
      </c>
      <c r="L1393" s="29" t="e">
        <f t="shared" ref="L1393" si="2084">IF(D1393="BUY",I1393+(R1393*B1393),I1393-(R1393*B1393))</f>
        <v>#DIV/0!</v>
      </c>
      <c r="M1393" s="29" t="e">
        <f>IF(D1392="BUY",E1392+(ROUND(F1392*M1392/B1392,0)*B1392),E1392-(ROUND(F1392*M1392/B1392,0)*B1392))</f>
        <v>#DIV/0!</v>
      </c>
      <c r="N1393" s="29" t="e">
        <f>IF(D1392="BUY",E1392-(ROUND(F1392*N1392/B1392,0)*B1392),E1392+(ROUND(F1392*N1392/B1392,0)*B1392))</f>
        <v>#DIV/0!</v>
      </c>
      <c r="O1393" s="31" t="e">
        <f>IF(D1393="BUY",N1393-VLOOKUP(A1393,Symbols!A$1:D$1000,4,FALSE),N1393+VLOOKUP(A1393,Symbols!A$1:D$1000,4,FALSE))</f>
        <v>#DIV/0!</v>
      </c>
      <c r="P1393" s="29">
        <f>P1392</f>
        <v>0</v>
      </c>
      <c r="Q1393" s="29">
        <f>Q1392</f>
        <v>0</v>
      </c>
      <c r="R1393" s="29">
        <f>R1392</f>
        <v>0</v>
      </c>
      <c r="S1393" s="29">
        <f>S1392</f>
        <v>0</v>
      </c>
      <c r="T1393" s="29">
        <f>T1392</f>
        <v>0</v>
      </c>
      <c r="U1393" s="29" t="e">
        <f>DATEDIF(DATE(1970,1,1),U1392,"D")*86400</f>
        <v>#NUM!</v>
      </c>
      <c r="V1393" s="29">
        <f>HOUR(V1392)*3600+MINUTE(V1392)*60+SECOND(V1392)</f>
        <v>0</v>
      </c>
      <c r="W1393" s="29" t="e">
        <f>DATEDIF(DATE(1970,1,1),W1392,"D")*86400</f>
        <v>#NUM!</v>
      </c>
      <c r="X1393" s="29">
        <f>HOUR(X1392)*3600+MINUTE(X1392)*60+SECOND(X1392)</f>
        <v>0</v>
      </c>
      <c r="Y1393" s="31">
        <f>(Y1392*B1393)</f>
        <v>0</v>
      </c>
      <c r="Z1393" s="29">
        <f>Z1392</f>
        <v>0</v>
      </c>
      <c r="AA1393" s="29" t="e">
        <f>DATEDIF(DATE(1970,1,1),AA1392,"D")*86400</f>
        <v>#NUM!</v>
      </c>
      <c r="AB1393" s="29">
        <f>HOUR(AB1392)*3600+MINUTE(AB1392)*60+SECOND(AB1392)</f>
        <v>0</v>
      </c>
      <c r="AC1393" s="29">
        <f>AC1392</f>
        <v>0</v>
      </c>
    </row>
    <row r="1394" spans="1:29">
      <c r="A1394" s="23">
        <f>Parameters!A698</f>
        <v>0</v>
      </c>
      <c r="B1394" s="23">
        <f>Parameters!B698</f>
        <v>0</v>
      </c>
      <c r="C1394" s="24">
        <f>Parameters!C698</f>
        <v>0</v>
      </c>
      <c r="D1394" s="24">
        <f>Parameters!D698</f>
        <v>0</v>
      </c>
      <c r="E1394" s="23">
        <f>Parameters!E698</f>
        <v>0</v>
      </c>
      <c r="F1394" s="23">
        <f>Parameters!F698</f>
        <v>0</v>
      </c>
      <c r="G1394" s="25">
        <f>Parameters!G698</f>
        <v>0</v>
      </c>
      <c r="H1394" s="25">
        <f>Parameters!H698</f>
        <v>0</v>
      </c>
      <c r="I1394" s="25">
        <f>Parameters!I698</f>
        <v>0</v>
      </c>
      <c r="J1394" s="25">
        <f>Parameters!J698</f>
        <v>0</v>
      </c>
      <c r="K1394" s="25">
        <f>Parameters!K698</f>
        <v>0</v>
      </c>
      <c r="L1394" s="26" t="e">
        <f t="shared" ref="L1394" si="2085">L1395</f>
        <v>#DIV/0!</v>
      </c>
      <c r="M1394" s="25">
        <f>Parameters!L698</f>
        <v>0</v>
      </c>
      <c r="N1394" s="25">
        <f>Parameters!M698</f>
        <v>0</v>
      </c>
      <c r="O1394" s="26" t="e">
        <f t="shared" ref="O1394" si="2086">O1395</f>
        <v>#DIV/0!</v>
      </c>
      <c r="P1394" s="23">
        <f>Parameters!N698</f>
        <v>0</v>
      </c>
      <c r="Q1394" s="23">
        <f>Parameters!O698</f>
        <v>0</v>
      </c>
      <c r="R1394" s="23">
        <f>Parameters!P698</f>
        <v>0</v>
      </c>
      <c r="S1394" s="23">
        <f>Parameters!Q698</f>
        <v>0</v>
      </c>
      <c r="T1394" s="23">
        <f>Parameters!R698</f>
        <v>0</v>
      </c>
      <c r="U1394" s="27">
        <f>Parameters!S698</f>
        <v>0</v>
      </c>
      <c r="V1394" s="28">
        <f>Parameters!T698</f>
        <v>0</v>
      </c>
      <c r="W1394" s="27">
        <f>Parameters!U698</f>
        <v>0</v>
      </c>
      <c r="X1394" s="28">
        <f>Parameters!V698</f>
        <v>0</v>
      </c>
      <c r="Y1394" s="25">
        <f>Parameters!W698</f>
        <v>0</v>
      </c>
      <c r="Z1394" s="23">
        <f>Parameters!X698</f>
        <v>0</v>
      </c>
      <c r="AA1394" s="27">
        <f>Parameters!Y698</f>
        <v>0</v>
      </c>
      <c r="AB1394" s="28">
        <f>Parameters!Z698</f>
        <v>0</v>
      </c>
      <c r="AC1394" s="23">
        <f>Parameters!AA698</f>
        <v>0</v>
      </c>
    </row>
    <row r="1395" spans="1:29">
      <c r="A1395" s="29" t="str">
        <f>UPPER(A1394)</f>
        <v>0</v>
      </c>
      <c r="B1395" s="29">
        <f>B1394</f>
        <v>0</v>
      </c>
      <c r="C1395" s="30">
        <f>C1394</f>
        <v>0</v>
      </c>
      <c r="D1395" s="30">
        <f>D1394</f>
        <v>0</v>
      </c>
      <c r="E1395" s="29">
        <f>E1394</f>
        <v>0</v>
      </c>
      <c r="F1395" s="29">
        <f>F1394</f>
        <v>0</v>
      </c>
      <c r="G1395" s="29" t="e">
        <f>IF(C1394=1,IF(D1394="BUY",E1394+(ROUND(F1394*G1394/B1394,0)*B1394),E1394-(ROUND(F1394*G1394/B1394,0)*B1394)),IF(D1394="BUY",E1394-(ROUND(F1394*G1394/B1394,0)*B1394),E1394+(ROUND(F1394*G1394/B1394,0)*B1394)))</f>
        <v>#DIV/0!</v>
      </c>
      <c r="H1395" s="29" t="e">
        <f>IF(C1394=1,IF(D1394="BUY",G1395-(ROUND(F1394*H1394/B1394,0)*B1394),G1395+(ROUND(F1394*H1394/B1394,0)*B1394)),IF(D1394="BUY",G1395+(ROUND(F1394*H1394/B1394,0)*B1394),G1395-(ROUND(F1394*H1394/B1394,0)*B1394)))</f>
        <v>#DIV/0!</v>
      </c>
      <c r="I1395" s="29" t="e">
        <f>IF(D1394="BUY",G1395+(ROUND(F1394*I1394/(B1394*100),0)*B1394),G1395-(ROUND(F1394*I1394/(B1394*100),0)*B1394))</f>
        <v>#DIV/0!</v>
      </c>
      <c r="J1395" s="29" t="e">
        <f>IF(C1394=1,IF(D1394="BUY",E1394+(ROUND(F1394*J1394/B1394,0)*B1394),E1394-(ROUND(F1394*J1394/B1394,0)*B1394)),IF(D1394="BUY",E1394-(ROUND(F1394*J1394/B1394,0)*B1394),E1394+(ROUND(F1394*J1394/B1394,0)*B1394)))</f>
        <v>#DIV/0!</v>
      </c>
      <c r="K1395" s="29" t="e">
        <f>IF(C1394=1,IF(D1394="BUY",E1394-(ROUND(F1394*K1394/B1394,0)*B1394),E1394+(ROUND(F1394*K1394/B1394,0)*B1394)),IF(D1394="BUY",E1394-(ROUND(F1394*K1394/B1394,0)*B1394),E1394+(ROUND(F1394*K1394/B1394,0)*B1394)))</f>
        <v>#DIV/0!</v>
      </c>
      <c r="L1395" s="29" t="e">
        <f t="shared" ref="L1395" si="2087">IF(D1395="BUY",I1395+(R1395*B1395),I1395-(R1395*B1395))</f>
        <v>#DIV/0!</v>
      </c>
      <c r="M1395" s="29" t="e">
        <f>IF(D1394="BUY",E1394+(ROUND(F1394*M1394/B1394,0)*B1394),E1394-(ROUND(F1394*M1394/B1394,0)*B1394))</f>
        <v>#DIV/0!</v>
      </c>
      <c r="N1395" s="29" t="e">
        <f>IF(D1394="BUY",E1394-(ROUND(F1394*N1394/B1394,0)*B1394),E1394+(ROUND(F1394*N1394/B1394,0)*B1394))</f>
        <v>#DIV/0!</v>
      </c>
      <c r="O1395" s="31" t="e">
        <f>IF(D1395="BUY",N1395-VLOOKUP(A1395,Symbols!A$1:D$1000,4,FALSE),N1395+VLOOKUP(A1395,Symbols!A$1:D$1000,4,FALSE))</f>
        <v>#DIV/0!</v>
      </c>
      <c r="P1395" s="29">
        <f>P1394</f>
        <v>0</v>
      </c>
      <c r="Q1395" s="29">
        <f>Q1394</f>
        <v>0</v>
      </c>
      <c r="R1395" s="29">
        <f>R1394</f>
        <v>0</v>
      </c>
      <c r="S1395" s="29">
        <f>S1394</f>
        <v>0</v>
      </c>
      <c r="T1395" s="29">
        <f>T1394</f>
        <v>0</v>
      </c>
      <c r="U1395" s="29" t="e">
        <f>DATEDIF(DATE(1970,1,1),U1394,"D")*86400</f>
        <v>#NUM!</v>
      </c>
      <c r="V1395" s="29">
        <f>HOUR(V1394)*3600+MINUTE(V1394)*60+SECOND(V1394)</f>
        <v>0</v>
      </c>
      <c r="W1395" s="29" t="e">
        <f>DATEDIF(DATE(1970,1,1),W1394,"D")*86400</f>
        <v>#NUM!</v>
      </c>
      <c r="X1395" s="29">
        <f>HOUR(X1394)*3600+MINUTE(X1394)*60+SECOND(X1394)</f>
        <v>0</v>
      </c>
      <c r="Y1395" s="31">
        <f>(Y1394*B1395)</f>
        <v>0</v>
      </c>
      <c r="Z1395" s="29">
        <f>Z1394</f>
        <v>0</v>
      </c>
      <c r="AA1395" s="29" t="e">
        <f>DATEDIF(DATE(1970,1,1),AA1394,"D")*86400</f>
        <v>#NUM!</v>
      </c>
      <c r="AB1395" s="29">
        <f>HOUR(AB1394)*3600+MINUTE(AB1394)*60+SECOND(AB1394)</f>
        <v>0</v>
      </c>
      <c r="AC1395" s="29">
        <f>AC1394</f>
        <v>0</v>
      </c>
    </row>
    <row r="1396" spans="1:29">
      <c r="A1396" s="23">
        <f>Parameters!A699</f>
        <v>0</v>
      </c>
      <c r="B1396" s="23">
        <f>Parameters!B699</f>
        <v>0</v>
      </c>
      <c r="C1396" s="24">
        <f>Parameters!C699</f>
        <v>0</v>
      </c>
      <c r="D1396" s="24">
        <f>Parameters!D699</f>
        <v>0</v>
      </c>
      <c r="E1396" s="23">
        <f>Parameters!E699</f>
        <v>0</v>
      </c>
      <c r="F1396" s="23">
        <f>Parameters!F699</f>
        <v>0</v>
      </c>
      <c r="G1396" s="25">
        <f>Parameters!G699</f>
        <v>0</v>
      </c>
      <c r="H1396" s="25">
        <f>Parameters!H699</f>
        <v>0</v>
      </c>
      <c r="I1396" s="25">
        <f>Parameters!I699</f>
        <v>0</v>
      </c>
      <c r="J1396" s="25">
        <f>Parameters!J699</f>
        <v>0</v>
      </c>
      <c r="K1396" s="25">
        <f>Parameters!K699</f>
        <v>0</v>
      </c>
      <c r="L1396" s="26" t="e">
        <f t="shared" ref="L1396" si="2088">L1397</f>
        <v>#DIV/0!</v>
      </c>
      <c r="M1396" s="25">
        <f>Parameters!L699</f>
        <v>0</v>
      </c>
      <c r="N1396" s="25">
        <f>Parameters!M699</f>
        <v>0</v>
      </c>
      <c r="O1396" s="26" t="e">
        <f t="shared" ref="O1396" si="2089">O1397</f>
        <v>#DIV/0!</v>
      </c>
      <c r="P1396" s="23">
        <f>Parameters!N699</f>
        <v>0</v>
      </c>
      <c r="Q1396" s="23">
        <f>Parameters!O699</f>
        <v>0</v>
      </c>
      <c r="R1396" s="23">
        <f>Parameters!P699</f>
        <v>0</v>
      </c>
      <c r="S1396" s="23">
        <f>Parameters!Q699</f>
        <v>0</v>
      </c>
      <c r="T1396" s="23">
        <f>Parameters!R699</f>
        <v>0</v>
      </c>
      <c r="U1396" s="27">
        <f>Parameters!S699</f>
        <v>0</v>
      </c>
      <c r="V1396" s="28">
        <f>Parameters!T699</f>
        <v>0</v>
      </c>
      <c r="W1396" s="27">
        <f>Parameters!U699</f>
        <v>0</v>
      </c>
      <c r="X1396" s="28">
        <f>Parameters!V699</f>
        <v>0</v>
      </c>
      <c r="Y1396" s="25">
        <f>Parameters!W699</f>
        <v>0</v>
      </c>
      <c r="Z1396" s="23">
        <f>Parameters!X699</f>
        <v>0</v>
      </c>
      <c r="AA1396" s="27">
        <f>Parameters!Y699</f>
        <v>0</v>
      </c>
      <c r="AB1396" s="28">
        <f>Parameters!Z699</f>
        <v>0</v>
      </c>
      <c r="AC1396" s="23">
        <f>Parameters!AA699</f>
        <v>0</v>
      </c>
    </row>
    <row r="1397" spans="1:29">
      <c r="A1397" s="29" t="str">
        <f>UPPER(A1396)</f>
        <v>0</v>
      </c>
      <c r="B1397" s="29">
        <f>B1396</f>
        <v>0</v>
      </c>
      <c r="C1397" s="30">
        <f>C1396</f>
        <v>0</v>
      </c>
      <c r="D1397" s="30">
        <f>D1396</f>
        <v>0</v>
      </c>
      <c r="E1397" s="29">
        <f>E1396</f>
        <v>0</v>
      </c>
      <c r="F1397" s="29">
        <f>F1396</f>
        <v>0</v>
      </c>
      <c r="G1397" s="29" t="e">
        <f>IF(C1396=1,IF(D1396="BUY",E1396+(ROUND(F1396*G1396/B1396,0)*B1396),E1396-(ROUND(F1396*G1396/B1396,0)*B1396)),IF(D1396="BUY",E1396-(ROUND(F1396*G1396/B1396,0)*B1396),E1396+(ROUND(F1396*G1396/B1396,0)*B1396)))</f>
        <v>#DIV/0!</v>
      </c>
      <c r="H1397" s="29" t="e">
        <f>IF(C1396=1,IF(D1396="BUY",G1397-(ROUND(F1396*H1396/B1396,0)*B1396),G1397+(ROUND(F1396*H1396/B1396,0)*B1396)),IF(D1396="BUY",G1397+(ROUND(F1396*H1396/B1396,0)*B1396),G1397-(ROUND(F1396*H1396/B1396,0)*B1396)))</f>
        <v>#DIV/0!</v>
      </c>
      <c r="I1397" s="29" t="e">
        <f>IF(D1396="BUY",G1397+(ROUND(F1396*I1396/(B1396*100),0)*B1396),G1397-(ROUND(F1396*I1396/(B1396*100),0)*B1396))</f>
        <v>#DIV/0!</v>
      </c>
      <c r="J1397" s="29" t="e">
        <f>IF(C1396=1,IF(D1396="BUY",E1396+(ROUND(F1396*J1396/B1396,0)*B1396),E1396-(ROUND(F1396*J1396/B1396,0)*B1396)),IF(D1396="BUY",E1396-(ROUND(F1396*J1396/B1396,0)*B1396),E1396+(ROUND(F1396*J1396/B1396,0)*B1396)))</f>
        <v>#DIV/0!</v>
      </c>
      <c r="K1397" s="29" t="e">
        <f>IF(C1396=1,IF(D1396="BUY",E1396-(ROUND(F1396*K1396/B1396,0)*B1396),E1396+(ROUND(F1396*K1396/B1396,0)*B1396)),IF(D1396="BUY",E1396-(ROUND(F1396*K1396/B1396,0)*B1396),E1396+(ROUND(F1396*K1396/B1396,0)*B1396)))</f>
        <v>#DIV/0!</v>
      </c>
      <c r="L1397" s="29" t="e">
        <f t="shared" ref="L1397" si="2090">IF(D1397="BUY",I1397+(R1397*B1397),I1397-(R1397*B1397))</f>
        <v>#DIV/0!</v>
      </c>
      <c r="M1397" s="29" t="e">
        <f>IF(D1396="BUY",E1396+(ROUND(F1396*M1396/B1396,0)*B1396),E1396-(ROUND(F1396*M1396/B1396,0)*B1396))</f>
        <v>#DIV/0!</v>
      </c>
      <c r="N1397" s="29" t="e">
        <f>IF(D1396="BUY",E1396-(ROUND(F1396*N1396/B1396,0)*B1396),E1396+(ROUND(F1396*N1396/B1396,0)*B1396))</f>
        <v>#DIV/0!</v>
      </c>
      <c r="O1397" s="31" t="e">
        <f>IF(D1397="BUY",N1397-VLOOKUP(A1397,Symbols!A$1:D$1000,4,FALSE),N1397+VLOOKUP(A1397,Symbols!A$1:D$1000,4,FALSE))</f>
        <v>#DIV/0!</v>
      </c>
      <c r="P1397" s="29">
        <f>P1396</f>
        <v>0</v>
      </c>
      <c r="Q1397" s="29">
        <f>Q1396</f>
        <v>0</v>
      </c>
      <c r="R1397" s="29">
        <f>R1396</f>
        <v>0</v>
      </c>
      <c r="S1397" s="29">
        <f>S1396</f>
        <v>0</v>
      </c>
      <c r="T1397" s="29">
        <f>T1396</f>
        <v>0</v>
      </c>
      <c r="U1397" s="29" t="e">
        <f>DATEDIF(DATE(1970,1,1),U1396,"D")*86400</f>
        <v>#NUM!</v>
      </c>
      <c r="V1397" s="29">
        <f>HOUR(V1396)*3600+MINUTE(V1396)*60+SECOND(V1396)</f>
        <v>0</v>
      </c>
      <c r="W1397" s="29" t="e">
        <f>DATEDIF(DATE(1970,1,1),W1396,"D")*86400</f>
        <v>#NUM!</v>
      </c>
      <c r="X1397" s="29">
        <f>HOUR(X1396)*3600+MINUTE(X1396)*60+SECOND(X1396)</f>
        <v>0</v>
      </c>
      <c r="Y1397" s="31">
        <f>(Y1396*B1397)</f>
        <v>0</v>
      </c>
      <c r="Z1397" s="29">
        <f>Z1396</f>
        <v>0</v>
      </c>
      <c r="AA1397" s="29" t="e">
        <f>DATEDIF(DATE(1970,1,1),AA1396,"D")*86400</f>
        <v>#NUM!</v>
      </c>
      <c r="AB1397" s="29">
        <f>HOUR(AB1396)*3600+MINUTE(AB1396)*60+SECOND(AB1396)</f>
        <v>0</v>
      </c>
      <c r="AC1397" s="29">
        <f>AC1396</f>
        <v>0</v>
      </c>
    </row>
    <row r="1398" spans="1:29">
      <c r="A1398" s="23">
        <f>Parameters!A700</f>
        <v>0</v>
      </c>
      <c r="B1398" s="23">
        <f>Parameters!B700</f>
        <v>0</v>
      </c>
      <c r="C1398" s="24">
        <f>Parameters!C700</f>
        <v>0</v>
      </c>
      <c r="D1398" s="24">
        <f>Parameters!D700</f>
        <v>0</v>
      </c>
      <c r="E1398" s="23">
        <f>Parameters!E700</f>
        <v>0</v>
      </c>
      <c r="F1398" s="23">
        <f>Parameters!F700</f>
        <v>0</v>
      </c>
      <c r="G1398" s="25">
        <f>Parameters!G700</f>
        <v>0</v>
      </c>
      <c r="H1398" s="25">
        <f>Parameters!H700</f>
        <v>0</v>
      </c>
      <c r="I1398" s="25">
        <f>Parameters!I700</f>
        <v>0</v>
      </c>
      <c r="J1398" s="25">
        <f>Parameters!J700</f>
        <v>0</v>
      </c>
      <c r="K1398" s="25">
        <f>Parameters!K700</f>
        <v>0</v>
      </c>
      <c r="L1398" s="26" t="e">
        <f t="shared" ref="L1398" si="2091">L1399</f>
        <v>#DIV/0!</v>
      </c>
      <c r="M1398" s="25">
        <f>Parameters!L700</f>
        <v>0</v>
      </c>
      <c r="N1398" s="25">
        <f>Parameters!M700</f>
        <v>0</v>
      </c>
      <c r="O1398" s="26" t="e">
        <f t="shared" ref="O1398" si="2092">O1399</f>
        <v>#DIV/0!</v>
      </c>
      <c r="P1398" s="23">
        <f>Parameters!N700</f>
        <v>0</v>
      </c>
      <c r="Q1398" s="23">
        <f>Parameters!O700</f>
        <v>0</v>
      </c>
      <c r="R1398" s="23">
        <f>Parameters!P700</f>
        <v>0</v>
      </c>
      <c r="S1398" s="23">
        <f>Parameters!Q700</f>
        <v>0</v>
      </c>
      <c r="T1398" s="23">
        <f>Parameters!R700</f>
        <v>0</v>
      </c>
      <c r="U1398" s="27">
        <f>Parameters!S700</f>
        <v>0</v>
      </c>
      <c r="V1398" s="28">
        <f>Parameters!T700</f>
        <v>0</v>
      </c>
      <c r="W1398" s="27">
        <f>Parameters!U700</f>
        <v>0</v>
      </c>
      <c r="X1398" s="28">
        <f>Parameters!V700</f>
        <v>0</v>
      </c>
      <c r="Y1398" s="25">
        <f>Parameters!W700</f>
        <v>0</v>
      </c>
      <c r="Z1398" s="23">
        <f>Parameters!X700</f>
        <v>0</v>
      </c>
      <c r="AA1398" s="27">
        <f>Parameters!Y700</f>
        <v>0</v>
      </c>
      <c r="AB1398" s="28">
        <f>Parameters!Z700</f>
        <v>0</v>
      </c>
      <c r="AC1398" s="23">
        <f>Parameters!AA700</f>
        <v>0</v>
      </c>
    </row>
    <row r="1399" spans="1:29">
      <c r="A1399" s="29" t="str">
        <f>UPPER(A1398)</f>
        <v>0</v>
      </c>
      <c r="B1399" s="29">
        <f>B1398</f>
        <v>0</v>
      </c>
      <c r="C1399" s="30">
        <f>C1398</f>
        <v>0</v>
      </c>
      <c r="D1399" s="30">
        <f>D1398</f>
        <v>0</v>
      </c>
      <c r="E1399" s="29">
        <f>E1398</f>
        <v>0</v>
      </c>
      <c r="F1399" s="29">
        <f>F1398</f>
        <v>0</v>
      </c>
      <c r="G1399" s="29" t="e">
        <f>IF(C1398=1,IF(D1398="BUY",E1398+(ROUND(F1398*G1398/B1398,0)*B1398),E1398-(ROUND(F1398*G1398/B1398,0)*B1398)),IF(D1398="BUY",E1398-(ROUND(F1398*G1398/B1398,0)*B1398),E1398+(ROUND(F1398*G1398/B1398,0)*B1398)))</f>
        <v>#DIV/0!</v>
      </c>
      <c r="H1399" s="29" t="e">
        <f>IF(C1398=1,IF(D1398="BUY",G1399-(ROUND(F1398*H1398/B1398,0)*B1398),G1399+(ROUND(F1398*H1398/B1398,0)*B1398)),IF(D1398="BUY",G1399+(ROUND(F1398*H1398/B1398,0)*B1398),G1399-(ROUND(F1398*H1398/B1398,0)*B1398)))</f>
        <v>#DIV/0!</v>
      </c>
      <c r="I1399" s="29" t="e">
        <f>IF(D1398="BUY",G1399+(ROUND(F1398*I1398/(B1398*100),0)*B1398),G1399-(ROUND(F1398*I1398/(B1398*100),0)*B1398))</f>
        <v>#DIV/0!</v>
      </c>
      <c r="J1399" s="29" t="e">
        <f>IF(C1398=1,IF(D1398="BUY",E1398+(ROUND(F1398*J1398/B1398,0)*B1398),E1398-(ROUND(F1398*J1398/B1398,0)*B1398)),IF(D1398="BUY",E1398-(ROUND(F1398*J1398/B1398,0)*B1398),E1398+(ROUND(F1398*J1398/B1398,0)*B1398)))</f>
        <v>#DIV/0!</v>
      </c>
      <c r="K1399" s="29" t="e">
        <f>IF(C1398=1,IF(D1398="BUY",E1398-(ROUND(F1398*K1398/B1398,0)*B1398),E1398+(ROUND(F1398*K1398/B1398,0)*B1398)),IF(D1398="BUY",E1398-(ROUND(F1398*K1398/B1398,0)*B1398),E1398+(ROUND(F1398*K1398/B1398,0)*B1398)))</f>
        <v>#DIV/0!</v>
      </c>
      <c r="L1399" s="29" t="e">
        <f t="shared" ref="L1399" si="2093">IF(D1399="BUY",I1399+(R1399*B1399),I1399-(R1399*B1399))</f>
        <v>#DIV/0!</v>
      </c>
      <c r="M1399" s="29" t="e">
        <f>IF(D1398="BUY",E1398+(ROUND(F1398*M1398/B1398,0)*B1398),E1398-(ROUND(F1398*M1398/B1398,0)*B1398))</f>
        <v>#DIV/0!</v>
      </c>
      <c r="N1399" s="29" t="e">
        <f>IF(D1398="BUY",E1398-(ROUND(F1398*N1398/B1398,0)*B1398),E1398+(ROUND(F1398*N1398/B1398,0)*B1398))</f>
        <v>#DIV/0!</v>
      </c>
      <c r="O1399" s="31" t="e">
        <f>IF(D1399="BUY",N1399-VLOOKUP(A1399,Symbols!A$1:D$1000,4,FALSE),N1399+VLOOKUP(A1399,Symbols!A$1:D$1000,4,FALSE))</f>
        <v>#DIV/0!</v>
      </c>
      <c r="P1399" s="29">
        <f>P1398</f>
        <v>0</v>
      </c>
      <c r="Q1399" s="29">
        <f>Q1398</f>
        <v>0</v>
      </c>
      <c r="R1399" s="29">
        <f>R1398</f>
        <v>0</v>
      </c>
      <c r="S1399" s="29">
        <f>S1398</f>
        <v>0</v>
      </c>
      <c r="T1399" s="29">
        <f>T1398</f>
        <v>0</v>
      </c>
      <c r="U1399" s="29" t="e">
        <f>DATEDIF(DATE(1970,1,1),U1398,"D")*86400</f>
        <v>#NUM!</v>
      </c>
      <c r="V1399" s="29">
        <f>HOUR(V1398)*3600+MINUTE(V1398)*60+SECOND(V1398)</f>
        <v>0</v>
      </c>
      <c r="W1399" s="29" t="e">
        <f>DATEDIF(DATE(1970,1,1),W1398,"D")*86400</f>
        <v>#NUM!</v>
      </c>
      <c r="X1399" s="29">
        <f>HOUR(X1398)*3600+MINUTE(X1398)*60+SECOND(X1398)</f>
        <v>0</v>
      </c>
      <c r="Y1399" s="31">
        <f>(Y1398*B1399)</f>
        <v>0</v>
      </c>
      <c r="Z1399" s="29">
        <f>Z1398</f>
        <v>0</v>
      </c>
      <c r="AA1399" s="29" t="e">
        <f>DATEDIF(DATE(1970,1,1),AA1398,"D")*86400</f>
        <v>#NUM!</v>
      </c>
      <c r="AB1399" s="29">
        <f>HOUR(AB1398)*3600+MINUTE(AB1398)*60+SECOND(AB1398)</f>
        <v>0</v>
      </c>
      <c r="AC1399" s="29">
        <f>AC1398</f>
        <v>0</v>
      </c>
    </row>
    <row r="1400" spans="1:29">
      <c r="A1400" s="23">
        <f>Parameters!A701</f>
        <v>0</v>
      </c>
      <c r="B1400" s="23">
        <f>Parameters!B701</f>
        <v>0</v>
      </c>
      <c r="C1400" s="24">
        <f>Parameters!C701</f>
        <v>0</v>
      </c>
      <c r="D1400" s="24">
        <f>Parameters!D701</f>
        <v>0</v>
      </c>
      <c r="E1400" s="23">
        <f>Parameters!E701</f>
        <v>0</v>
      </c>
      <c r="F1400" s="23">
        <f>Parameters!F701</f>
        <v>0</v>
      </c>
      <c r="G1400" s="25">
        <f>Parameters!G701</f>
        <v>0</v>
      </c>
      <c r="H1400" s="25">
        <f>Parameters!H701</f>
        <v>0</v>
      </c>
      <c r="I1400" s="25">
        <f>Parameters!I701</f>
        <v>0</v>
      </c>
      <c r="J1400" s="25">
        <f>Parameters!J701</f>
        <v>0</v>
      </c>
      <c r="K1400" s="25">
        <f>Parameters!K701</f>
        <v>0</v>
      </c>
      <c r="L1400" s="26" t="e">
        <f t="shared" ref="L1400" si="2094">L1401</f>
        <v>#DIV/0!</v>
      </c>
      <c r="M1400" s="25">
        <f>Parameters!L701</f>
        <v>0</v>
      </c>
      <c r="N1400" s="25">
        <f>Parameters!M701</f>
        <v>0</v>
      </c>
      <c r="O1400" s="26" t="e">
        <f t="shared" ref="O1400" si="2095">O1401</f>
        <v>#DIV/0!</v>
      </c>
      <c r="P1400" s="23">
        <f>Parameters!N701</f>
        <v>0</v>
      </c>
      <c r="Q1400" s="23">
        <f>Parameters!O701</f>
        <v>0</v>
      </c>
      <c r="R1400" s="23">
        <f>Parameters!P701</f>
        <v>0</v>
      </c>
      <c r="S1400" s="23">
        <f>Parameters!Q701</f>
        <v>0</v>
      </c>
      <c r="T1400" s="23">
        <f>Parameters!R701</f>
        <v>0</v>
      </c>
      <c r="U1400" s="27">
        <f>Parameters!S701</f>
        <v>0</v>
      </c>
      <c r="V1400" s="28">
        <f>Parameters!T701</f>
        <v>0</v>
      </c>
      <c r="W1400" s="27">
        <f>Parameters!U701</f>
        <v>0</v>
      </c>
      <c r="X1400" s="28">
        <f>Parameters!V701</f>
        <v>0</v>
      </c>
      <c r="Y1400" s="25">
        <f>Parameters!W701</f>
        <v>0</v>
      </c>
      <c r="Z1400" s="23">
        <f>Parameters!X701</f>
        <v>0</v>
      </c>
      <c r="AA1400" s="27">
        <f>Parameters!Y701</f>
        <v>0</v>
      </c>
      <c r="AB1400" s="28">
        <f>Parameters!Z701</f>
        <v>0</v>
      </c>
      <c r="AC1400" s="23">
        <f>Parameters!AA701</f>
        <v>0</v>
      </c>
    </row>
    <row r="1401" spans="1:29">
      <c r="A1401" s="29" t="str">
        <f>UPPER(A1400)</f>
        <v>0</v>
      </c>
      <c r="B1401" s="29">
        <f>B1400</f>
        <v>0</v>
      </c>
      <c r="C1401" s="30">
        <f>C1400</f>
        <v>0</v>
      </c>
      <c r="D1401" s="30">
        <f>D1400</f>
        <v>0</v>
      </c>
      <c r="E1401" s="29">
        <f>E1400</f>
        <v>0</v>
      </c>
      <c r="F1401" s="29">
        <f>F1400</f>
        <v>0</v>
      </c>
      <c r="G1401" s="29" t="e">
        <f>IF(C1400=1,IF(D1400="BUY",E1400+(ROUND(F1400*G1400/B1400,0)*B1400),E1400-(ROUND(F1400*G1400/B1400,0)*B1400)),IF(D1400="BUY",E1400-(ROUND(F1400*G1400/B1400,0)*B1400),E1400+(ROUND(F1400*G1400/B1400,0)*B1400)))</f>
        <v>#DIV/0!</v>
      </c>
      <c r="H1401" s="29" t="e">
        <f>IF(C1400=1,IF(D1400="BUY",G1401-(ROUND(F1400*H1400/B1400,0)*B1400),G1401+(ROUND(F1400*H1400/B1400,0)*B1400)),IF(D1400="BUY",G1401+(ROUND(F1400*H1400/B1400,0)*B1400),G1401-(ROUND(F1400*H1400/B1400,0)*B1400)))</f>
        <v>#DIV/0!</v>
      </c>
      <c r="I1401" s="29" t="e">
        <f>IF(D1400="BUY",G1401+(ROUND(F1400*I1400/(B1400*100),0)*B1400),G1401-(ROUND(F1400*I1400/(B1400*100),0)*B1400))</f>
        <v>#DIV/0!</v>
      </c>
      <c r="J1401" s="29" t="e">
        <f>IF(C1400=1,IF(D1400="BUY",E1400+(ROUND(F1400*J1400/B1400,0)*B1400),E1400-(ROUND(F1400*J1400/B1400,0)*B1400)),IF(D1400="BUY",E1400-(ROUND(F1400*J1400/B1400,0)*B1400),E1400+(ROUND(F1400*J1400/B1400,0)*B1400)))</f>
        <v>#DIV/0!</v>
      </c>
      <c r="K1401" s="29" t="e">
        <f>IF(C1400=1,IF(D1400="BUY",E1400-(ROUND(F1400*K1400/B1400,0)*B1400),E1400+(ROUND(F1400*K1400/B1400,0)*B1400)),IF(D1400="BUY",E1400-(ROUND(F1400*K1400/B1400,0)*B1400),E1400+(ROUND(F1400*K1400/B1400,0)*B1400)))</f>
        <v>#DIV/0!</v>
      </c>
      <c r="L1401" s="29" t="e">
        <f t="shared" ref="L1401" si="2096">IF(D1401="BUY",I1401+(R1401*B1401),I1401-(R1401*B1401))</f>
        <v>#DIV/0!</v>
      </c>
      <c r="M1401" s="29" t="e">
        <f>IF(D1400="BUY",E1400+(ROUND(F1400*M1400/B1400,0)*B1400),E1400-(ROUND(F1400*M1400/B1400,0)*B1400))</f>
        <v>#DIV/0!</v>
      </c>
      <c r="N1401" s="29" t="e">
        <f>IF(D1400="BUY",E1400-(ROUND(F1400*N1400/B1400,0)*B1400),E1400+(ROUND(F1400*N1400/B1400,0)*B1400))</f>
        <v>#DIV/0!</v>
      </c>
      <c r="O1401" s="31" t="e">
        <f>IF(D1401="BUY",N1401-VLOOKUP(A1401,Symbols!A$1:D$1000,4,FALSE),N1401+VLOOKUP(A1401,Symbols!A$1:D$1000,4,FALSE))</f>
        <v>#DIV/0!</v>
      </c>
      <c r="P1401" s="29">
        <f>P1400</f>
        <v>0</v>
      </c>
      <c r="Q1401" s="29">
        <f>Q1400</f>
        <v>0</v>
      </c>
      <c r="R1401" s="29">
        <f>R1400</f>
        <v>0</v>
      </c>
      <c r="S1401" s="29">
        <f>S1400</f>
        <v>0</v>
      </c>
      <c r="T1401" s="29">
        <f>T1400</f>
        <v>0</v>
      </c>
      <c r="U1401" s="29" t="e">
        <f>DATEDIF(DATE(1970,1,1),U1400,"D")*86400</f>
        <v>#NUM!</v>
      </c>
      <c r="V1401" s="29">
        <f>HOUR(V1400)*3600+MINUTE(V1400)*60+SECOND(V1400)</f>
        <v>0</v>
      </c>
      <c r="W1401" s="29" t="e">
        <f>DATEDIF(DATE(1970,1,1),W1400,"D")*86400</f>
        <v>#NUM!</v>
      </c>
      <c r="X1401" s="29">
        <f>HOUR(X1400)*3600+MINUTE(X1400)*60+SECOND(X1400)</f>
        <v>0</v>
      </c>
      <c r="Y1401" s="31">
        <f>(Y1400*B1401)</f>
        <v>0</v>
      </c>
      <c r="Z1401" s="29">
        <f>Z1400</f>
        <v>0</v>
      </c>
      <c r="AA1401" s="29" t="e">
        <f>DATEDIF(DATE(1970,1,1),AA1400,"D")*86400</f>
        <v>#NUM!</v>
      </c>
      <c r="AB1401" s="29">
        <f>HOUR(AB1400)*3600+MINUTE(AB1400)*60+SECOND(AB1400)</f>
        <v>0</v>
      </c>
      <c r="AC1401" s="29">
        <f>AC1400</f>
        <v>0</v>
      </c>
    </row>
    <row r="1402" spans="1:29">
      <c r="A1402" s="23">
        <f>Parameters!A702</f>
        <v>0</v>
      </c>
      <c r="B1402" s="23">
        <f>Parameters!B702</f>
        <v>0</v>
      </c>
      <c r="C1402" s="24">
        <f>Parameters!C702</f>
        <v>0</v>
      </c>
      <c r="D1402" s="24">
        <f>Parameters!D702</f>
        <v>0</v>
      </c>
      <c r="E1402" s="23">
        <f>Parameters!E702</f>
        <v>0</v>
      </c>
      <c r="F1402" s="23">
        <f>Parameters!F702</f>
        <v>0</v>
      </c>
      <c r="G1402" s="25">
        <f>Parameters!G702</f>
        <v>0</v>
      </c>
      <c r="H1402" s="25">
        <f>Parameters!H702</f>
        <v>0</v>
      </c>
      <c r="I1402" s="25">
        <f>Parameters!I702</f>
        <v>0</v>
      </c>
      <c r="J1402" s="25">
        <f>Parameters!J702</f>
        <v>0</v>
      </c>
      <c r="K1402" s="25">
        <f>Parameters!K702</f>
        <v>0</v>
      </c>
      <c r="L1402" s="26" t="e">
        <f t="shared" ref="L1402" si="2097">L1403</f>
        <v>#DIV/0!</v>
      </c>
      <c r="M1402" s="25">
        <f>Parameters!L702</f>
        <v>0</v>
      </c>
      <c r="N1402" s="25">
        <f>Parameters!M702</f>
        <v>0</v>
      </c>
      <c r="O1402" s="26" t="e">
        <f t="shared" ref="O1402" si="2098">O1403</f>
        <v>#DIV/0!</v>
      </c>
      <c r="P1402" s="23">
        <f>Parameters!N702</f>
        <v>0</v>
      </c>
      <c r="Q1402" s="23">
        <f>Parameters!O702</f>
        <v>0</v>
      </c>
      <c r="R1402" s="23">
        <f>Parameters!P702</f>
        <v>0</v>
      </c>
      <c r="S1402" s="23">
        <f>Parameters!Q702</f>
        <v>0</v>
      </c>
      <c r="T1402" s="23">
        <f>Parameters!R702</f>
        <v>0</v>
      </c>
      <c r="U1402" s="27">
        <f>Parameters!S702</f>
        <v>0</v>
      </c>
      <c r="V1402" s="28">
        <f>Parameters!T702</f>
        <v>0</v>
      </c>
      <c r="W1402" s="27">
        <f>Parameters!U702</f>
        <v>0</v>
      </c>
      <c r="X1402" s="28">
        <f>Parameters!V702</f>
        <v>0</v>
      </c>
      <c r="Y1402" s="25">
        <f>Parameters!W702</f>
        <v>0</v>
      </c>
      <c r="Z1402" s="23">
        <f>Parameters!X702</f>
        <v>0</v>
      </c>
      <c r="AA1402" s="27">
        <f>Parameters!Y702</f>
        <v>0</v>
      </c>
      <c r="AB1402" s="28">
        <f>Parameters!Z702</f>
        <v>0</v>
      </c>
      <c r="AC1402" s="23">
        <f>Parameters!AA702</f>
        <v>0</v>
      </c>
    </row>
    <row r="1403" spans="1:29">
      <c r="A1403" s="29" t="str">
        <f>UPPER(A1402)</f>
        <v>0</v>
      </c>
      <c r="B1403" s="29">
        <f>B1402</f>
        <v>0</v>
      </c>
      <c r="C1403" s="30">
        <f>C1402</f>
        <v>0</v>
      </c>
      <c r="D1403" s="30">
        <f>D1402</f>
        <v>0</v>
      </c>
      <c r="E1403" s="29">
        <f>E1402</f>
        <v>0</v>
      </c>
      <c r="F1403" s="29">
        <f>F1402</f>
        <v>0</v>
      </c>
      <c r="G1403" s="29" t="e">
        <f>IF(C1402=1,IF(D1402="BUY",E1402+(ROUND(F1402*G1402/B1402,0)*B1402),E1402-(ROUND(F1402*G1402/B1402,0)*B1402)),IF(D1402="BUY",E1402-(ROUND(F1402*G1402/B1402,0)*B1402),E1402+(ROUND(F1402*G1402/B1402,0)*B1402)))</f>
        <v>#DIV/0!</v>
      </c>
      <c r="H1403" s="29" t="e">
        <f>IF(C1402=1,IF(D1402="BUY",G1403-(ROUND(F1402*H1402/B1402,0)*B1402),G1403+(ROUND(F1402*H1402/B1402,0)*B1402)),IF(D1402="BUY",G1403+(ROUND(F1402*H1402/B1402,0)*B1402),G1403-(ROUND(F1402*H1402/B1402,0)*B1402)))</f>
        <v>#DIV/0!</v>
      </c>
      <c r="I1403" s="29" t="e">
        <f>IF(D1402="BUY",G1403+(ROUND(F1402*I1402/(B1402*100),0)*B1402),G1403-(ROUND(F1402*I1402/(B1402*100),0)*B1402))</f>
        <v>#DIV/0!</v>
      </c>
      <c r="J1403" s="29" t="e">
        <f>IF(C1402=1,IF(D1402="BUY",E1402+(ROUND(F1402*J1402/B1402,0)*B1402),E1402-(ROUND(F1402*J1402/B1402,0)*B1402)),IF(D1402="BUY",E1402-(ROUND(F1402*J1402/B1402,0)*B1402),E1402+(ROUND(F1402*J1402/B1402,0)*B1402)))</f>
        <v>#DIV/0!</v>
      </c>
      <c r="K1403" s="29" t="e">
        <f>IF(C1402=1,IF(D1402="BUY",E1402-(ROUND(F1402*K1402/B1402,0)*B1402),E1402+(ROUND(F1402*K1402/B1402,0)*B1402)),IF(D1402="BUY",E1402-(ROUND(F1402*K1402/B1402,0)*B1402),E1402+(ROUND(F1402*K1402/B1402,0)*B1402)))</f>
        <v>#DIV/0!</v>
      </c>
      <c r="L1403" s="29" t="e">
        <f t="shared" ref="L1403" si="2099">IF(D1403="BUY",I1403+(R1403*B1403),I1403-(R1403*B1403))</f>
        <v>#DIV/0!</v>
      </c>
      <c r="M1403" s="29" t="e">
        <f>IF(D1402="BUY",E1402+(ROUND(F1402*M1402/B1402,0)*B1402),E1402-(ROUND(F1402*M1402/B1402,0)*B1402))</f>
        <v>#DIV/0!</v>
      </c>
      <c r="N1403" s="29" t="e">
        <f>IF(D1402="BUY",E1402-(ROUND(F1402*N1402/B1402,0)*B1402),E1402+(ROUND(F1402*N1402/B1402,0)*B1402))</f>
        <v>#DIV/0!</v>
      </c>
      <c r="O1403" s="31" t="e">
        <f>IF(D1403="BUY",N1403-VLOOKUP(A1403,Symbols!A$1:D$1000,4,FALSE),N1403+VLOOKUP(A1403,Symbols!A$1:D$1000,4,FALSE))</f>
        <v>#DIV/0!</v>
      </c>
      <c r="P1403" s="29">
        <f>P1402</f>
        <v>0</v>
      </c>
      <c r="Q1403" s="29">
        <f>Q1402</f>
        <v>0</v>
      </c>
      <c r="R1403" s="29">
        <f>R1402</f>
        <v>0</v>
      </c>
      <c r="S1403" s="29">
        <f>S1402</f>
        <v>0</v>
      </c>
      <c r="T1403" s="29">
        <f>T1402</f>
        <v>0</v>
      </c>
      <c r="U1403" s="29" t="e">
        <f>DATEDIF(DATE(1970,1,1),U1402,"D")*86400</f>
        <v>#NUM!</v>
      </c>
      <c r="V1403" s="29">
        <f>HOUR(V1402)*3600+MINUTE(V1402)*60+SECOND(V1402)</f>
        <v>0</v>
      </c>
      <c r="W1403" s="29" t="e">
        <f>DATEDIF(DATE(1970,1,1),W1402,"D")*86400</f>
        <v>#NUM!</v>
      </c>
      <c r="X1403" s="29">
        <f>HOUR(X1402)*3600+MINUTE(X1402)*60+SECOND(X1402)</f>
        <v>0</v>
      </c>
      <c r="Y1403" s="31">
        <f>(Y1402*B1403)</f>
        <v>0</v>
      </c>
      <c r="Z1403" s="29">
        <f>Z1402</f>
        <v>0</v>
      </c>
      <c r="AA1403" s="29" t="e">
        <f>DATEDIF(DATE(1970,1,1),AA1402,"D")*86400</f>
        <v>#NUM!</v>
      </c>
      <c r="AB1403" s="29">
        <f>HOUR(AB1402)*3600+MINUTE(AB1402)*60+SECOND(AB1402)</f>
        <v>0</v>
      </c>
      <c r="AC1403" s="29">
        <f>AC1402</f>
        <v>0</v>
      </c>
    </row>
    <row r="1404" spans="1:29">
      <c r="A1404" s="23">
        <f>Parameters!A703</f>
        <v>0</v>
      </c>
      <c r="B1404" s="23">
        <f>Parameters!B703</f>
        <v>0</v>
      </c>
      <c r="C1404" s="24">
        <f>Parameters!C703</f>
        <v>0</v>
      </c>
      <c r="D1404" s="24">
        <f>Parameters!D703</f>
        <v>0</v>
      </c>
      <c r="E1404" s="23">
        <f>Parameters!E703</f>
        <v>0</v>
      </c>
      <c r="F1404" s="23">
        <f>Parameters!F703</f>
        <v>0</v>
      </c>
      <c r="G1404" s="25">
        <f>Parameters!G703</f>
        <v>0</v>
      </c>
      <c r="H1404" s="25">
        <f>Parameters!H703</f>
        <v>0</v>
      </c>
      <c r="I1404" s="25">
        <f>Parameters!I703</f>
        <v>0</v>
      </c>
      <c r="J1404" s="25">
        <f>Parameters!J703</f>
        <v>0</v>
      </c>
      <c r="K1404" s="25">
        <f>Parameters!K703</f>
        <v>0</v>
      </c>
      <c r="L1404" s="26" t="e">
        <f t="shared" ref="L1404" si="2100">L1405</f>
        <v>#DIV/0!</v>
      </c>
      <c r="M1404" s="25">
        <f>Parameters!L703</f>
        <v>0</v>
      </c>
      <c r="N1404" s="25">
        <f>Parameters!M703</f>
        <v>0</v>
      </c>
      <c r="O1404" s="26" t="e">
        <f t="shared" ref="O1404" si="2101">O1405</f>
        <v>#DIV/0!</v>
      </c>
      <c r="P1404" s="23">
        <f>Parameters!N703</f>
        <v>0</v>
      </c>
      <c r="Q1404" s="23">
        <f>Parameters!O703</f>
        <v>0</v>
      </c>
      <c r="R1404" s="23">
        <f>Parameters!P703</f>
        <v>0</v>
      </c>
      <c r="S1404" s="23">
        <f>Parameters!Q703</f>
        <v>0</v>
      </c>
      <c r="T1404" s="23">
        <f>Parameters!R703</f>
        <v>0</v>
      </c>
      <c r="U1404" s="27">
        <f>Parameters!S703</f>
        <v>0</v>
      </c>
      <c r="V1404" s="28">
        <f>Parameters!T703</f>
        <v>0</v>
      </c>
      <c r="W1404" s="27">
        <f>Parameters!U703</f>
        <v>0</v>
      </c>
      <c r="X1404" s="28">
        <f>Parameters!V703</f>
        <v>0</v>
      </c>
      <c r="Y1404" s="25">
        <f>Parameters!W703</f>
        <v>0</v>
      </c>
      <c r="Z1404" s="23">
        <f>Parameters!X703</f>
        <v>0</v>
      </c>
      <c r="AA1404" s="27">
        <f>Parameters!Y703</f>
        <v>0</v>
      </c>
      <c r="AB1404" s="28">
        <f>Parameters!Z703</f>
        <v>0</v>
      </c>
      <c r="AC1404" s="23">
        <f>Parameters!AA703</f>
        <v>0</v>
      </c>
    </row>
    <row r="1405" spans="1:29">
      <c r="A1405" s="29" t="str">
        <f>UPPER(A1404)</f>
        <v>0</v>
      </c>
      <c r="B1405" s="29">
        <f>B1404</f>
        <v>0</v>
      </c>
      <c r="C1405" s="30">
        <f>C1404</f>
        <v>0</v>
      </c>
      <c r="D1405" s="30">
        <f>D1404</f>
        <v>0</v>
      </c>
      <c r="E1405" s="29">
        <f>E1404</f>
        <v>0</v>
      </c>
      <c r="F1405" s="29">
        <f>F1404</f>
        <v>0</v>
      </c>
      <c r="G1405" s="29" t="e">
        <f>IF(C1404=1,IF(D1404="BUY",E1404+(ROUND(F1404*G1404/B1404,0)*B1404),E1404-(ROUND(F1404*G1404/B1404,0)*B1404)),IF(D1404="BUY",E1404-(ROUND(F1404*G1404/B1404,0)*B1404),E1404+(ROUND(F1404*G1404/B1404,0)*B1404)))</f>
        <v>#DIV/0!</v>
      </c>
      <c r="H1405" s="29" t="e">
        <f>IF(C1404=1,IF(D1404="BUY",G1405-(ROUND(F1404*H1404/B1404,0)*B1404),G1405+(ROUND(F1404*H1404/B1404,0)*B1404)),IF(D1404="BUY",G1405+(ROUND(F1404*H1404/B1404,0)*B1404),G1405-(ROUND(F1404*H1404/B1404,0)*B1404)))</f>
        <v>#DIV/0!</v>
      </c>
      <c r="I1405" s="29" t="e">
        <f>IF(D1404="BUY",G1405+(ROUND(F1404*I1404/(B1404*100),0)*B1404),G1405-(ROUND(F1404*I1404/(B1404*100),0)*B1404))</f>
        <v>#DIV/0!</v>
      </c>
      <c r="J1405" s="29" t="e">
        <f>IF(C1404=1,IF(D1404="BUY",E1404+(ROUND(F1404*J1404/B1404,0)*B1404),E1404-(ROUND(F1404*J1404/B1404,0)*B1404)),IF(D1404="BUY",E1404-(ROUND(F1404*J1404/B1404,0)*B1404),E1404+(ROUND(F1404*J1404/B1404,0)*B1404)))</f>
        <v>#DIV/0!</v>
      </c>
      <c r="K1405" s="29" t="e">
        <f>IF(C1404=1,IF(D1404="BUY",E1404-(ROUND(F1404*K1404/B1404,0)*B1404),E1404+(ROUND(F1404*K1404/B1404,0)*B1404)),IF(D1404="BUY",E1404-(ROUND(F1404*K1404/B1404,0)*B1404),E1404+(ROUND(F1404*K1404/B1404,0)*B1404)))</f>
        <v>#DIV/0!</v>
      </c>
      <c r="L1405" s="29" t="e">
        <f t="shared" ref="L1405" si="2102">IF(D1405="BUY",I1405+(R1405*B1405),I1405-(R1405*B1405))</f>
        <v>#DIV/0!</v>
      </c>
      <c r="M1405" s="29" t="e">
        <f>IF(D1404="BUY",E1404+(ROUND(F1404*M1404/B1404,0)*B1404),E1404-(ROUND(F1404*M1404/B1404,0)*B1404))</f>
        <v>#DIV/0!</v>
      </c>
      <c r="N1405" s="29" t="e">
        <f>IF(D1404="BUY",E1404-(ROUND(F1404*N1404/B1404,0)*B1404),E1404+(ROUND(F1404*N1404/B1404,0)*B1404))</f>
        <v>#DIV/0!</v>
      </c>
      <c r="O1405" s="31" t="e">
        <f>IF(D1405="BUY",N1405-VLOOKUP(A1405,Symbols!A$1:D$1000,4,FALSE),N1405+VLOOKUP(A1405,Symbols!A$1:D$1000,4,FALSE))</f>
        <v>#DIV/0!</v>
      </c>
      <c r="P1405" s="29">
        <f>P1404</f>
        <v>0</v>
      </c>
      <c r="Q1405" s="29">
        <f>Q1404</f>
        <v>0</v>
      </c>
      <c r="R1405" s="29">
        <f>R1404</f>
        <v>0</v>
      </c>
      <c r="S1405" s="29">
        <f>S1404</f>
        <v>0</v>
      </c>
      <c r="T1405" s="29">
        <f>T1404</f>
        <v>0</v>
      </c>
      <c r="U1405" s="29" t="e">
        <f>DATEDIF(DATE(1970,1,1),U1404,"D")*86400</f>
        <v>#NUM!</v>
      </c>
      <c r="V1405" s="29">
        <f>HOUR(V1404)*3600+MINUTE(V1404)*60+SECOND(V1404)</f>
        <v>0</v>
      </c>
      <c r="W1405" s="29" t="e">
        <f>DATEDIF(DATE(1970,1,1),W1404,"D")*86400</f>
        <v>#NUM!</v>
      </c>
      <c r="X1405" s="29">
        <f>HOUR(X1404)*3600+MINUTE(X1404)*60+SECOND(X1404)</f>
        <v>0</v>
      </c>
      <c r="Y1405" s="31">
        <f>(Y1404*B1405)</f>
        <v>0</v>
      </c>
      <c r="Z1405" s="29">
        <f>Z1404</f>
        <v>0</v>
      </c>
      <c r="AA1405" s="29" t="e">
        <f>DATEDIF(DATE(1970,1,1),AA1404,"D")*86400</f>
        <v>#NUM!</v>
      </c>
      <c r="AB1405" s="29">
        <f>HOUR(AB1404)*3600+MINUTE(AB1404)*60+SECOND(AB1404)</f>
        <v>0</v>
      </c>
      <c r="AC1405" s="29">
        <f>AC1404</f>
        <v>0</v>
      </c>
    </row>
    <row r="1406" spans="1:29">
      <c r="A1406" s="23">
        <f>Parameters!A704</f>
        <v>0</v>
      </c>
      <c r="B1406" s="23">
        <f>Parameters!B704</f>
        <v>0</v>
      </c>
      <c r="C1406" s="24">
        <f>Parameters!C704</f>
        <v>0</v>
      </c>
      <c r="D1406" s="24">
        <f>Parameters!D704</f>
        <v>0</v>
      </c>
      <c r="E1406" s="23">
        <f>Parameters!E704</f>
        <v>0</v>
      </c>
      <c r="F1406" s="23">
        <f>Parameters!F704</f>
        <v>0</v>
      </c>
      <c r="G1406" s="25">
        <f>Parameters!G704</f>
        <v>0</v>
      </c>
      <c r="H1406" s="25">
        <f>Parameters!H704</f>
        <v>0</v>
      </c>
      <c r="I1406" s="25">
        <f>Parameters!I704</f>
        <v>0</v>
      </c>
      <c r="J1406" s="25">
        <f>Parameters!J704</f>
        <v>0</v>
      </c>
      <c r="K1406" s="25">
        <f>Parameters!K704</f>
        <v>0</v>
      </c>
      <c r="L1406" s="26" t="e">
        <f t="shared" ref="L1406" si="2103">L1407</f>
        <v>#DIV/0!</v>
      </c>
      <c r="M1406" s="25">
        <f>Parameters!L704</f>
        <v>0</v>
      </c>
      <c r="N1406" s="25">
        <f>Parameters!M704</f>
        <v>0</v>
      </c>
      <c r="O1406" s="26" t="e">
        <f t="shared" ref="O1406" si="2104">O1407</f>
        <v>#DIV/0!</v>
      </c>
      <c r="P1406" s="23">
        <f>Parameters!N704</f>
        <v>0</v>
      </c>
      <c r="Q1406" s="23">
        <f>Parameters!O704</f>
        <v>0</v>
      </c>
      <c r="R1406" s="23">
        <f>Parameters!P704</f>
        <v>0</v>
      </c>
      <c r="S1406" s="23">
        <f>Parameters!Q704</f>
        <v>0</v>
      </c>
      <c r="T1406" s="23">
        <f>Parameters!R704</f>
        <v>0</v>
      </c>
      <c r="U1406" s="27">
        <f>Parameters!S704</f>
        <v>0</v>
      </c>
      <c r="V1406" s="28">
        <f>Parameters!T704</f>
        <v>0</v>
      </c>
      <c r="W1406" s="27">
        <f>Parameters!U704</f>
        <v>0</v>
      </c>
      <c r="X1406" s="28">
        <f>Parameters!V704</f>
        <v>0</v>
      </c>
      <c r="Y1406" s="25">
        <f>Parameters!W704</f>
        <v>0</v>
      </c>
      <c r="Z1406" s="23">
        <f>Parameters!X704</f>
        <v>0</v>
      </c>
      <c r="AA1406" s="27">
        <f>Parameters!Y704</f>
        <v>0</v>
      </c>
      <c r="AB1406" s="28">
        <f>Parameters!Z704</f>
        <v>0</v>
      </c>
      <c r="AC1406" s="23">
        <f>Parameters!AA704</f>
        <v>0</v>
      </c>
    </row>
    <row r="1407" spans="1:29">
      <c r="A1407" s="29" t="str">
        <f>UPPER(A1406)</f>
        <v>0</v>
      </c>
      <c r="B1407" s="29">
        <f>B1406</f>
        <v>0</v>
      </c>
      <c r="C1407" s="30">
        <f>C1406</f>
        <v>0</v>
      </c>
      <c r="D1407" s="30">
        <f>D1406</f>
        <v>0</v>
      </c>
      <c r="E1407" s="29">
        <f>E1406</f>
        <v>0</v>
      </c>
      <c r="F1407" s="29">
        <f>F1406</f>
        <v>0</v>
      </c>
      <c r="G1407" s="29" t="e">
        <f>IF(C1406=1,IF(D1406="BUY",E1406+(ROUND(F1406*G1406/B1406,0)*B1406),E1406-(ROUND(F1406*G1406/B1406,0)*B1406)),IF(D1406="BUY",E1406-(ROUND(F1406*G1406/B1406,0)*B1406),E1406+(ROUND(F1406*G1406/B1406,0)*B1406)))</f>
        <v>#DIV/0!</v>
      </c>
      <c r="H1407" s="29" t="e">
        <f>IF(C1406=1,IF(D1406="BUY",G1407-(ROUND(F1406*H1406/B1406,0)*B1406),G1407+(ROUND(F1406*H1406/B1406,0)*B1406)),IF(D1406="BUY",G1407+(ROUND(F1406*H1406/B1406,0)*B1406),G1407-(ROUND(F1406*H1406/B1406,0)*B1406)))</f>
        <v>#DIV/0!</v>
      </c>
      <c r="I1407" s="29" t="e">
        <f>IF(D1406="BUY",G1407+(ROUND(F1406*I1406/(B1406*100),0)*B1406),G1407-(ROUND(F1406*I1406/(B1406*100),0)*B1406))</f>
        <v>#DIV/0!</v>
      </c>
      <c r="J1407" s="29" t="e">
        <f>IF(C1406=1,IF(D1406="BUY",E1406+(ROUND(F1406*J1406/B1406,0)*B1406),E1406-(ROUND(F1406*J1406/B1406,0)*B1406)),IF(D1406="BUY",E1406-(ROUND(F1406*J1406/B1406,0)*B1406),E1406+(ROUND(F1406*J1406/B1406,0)*B1406)))</f>
        <v>#DIV/0!</v>
      </c>
      <c r="K1407" s="29" t="e">
        <f>IF(C1406=1,IF(D1406="BUY",E1406-(ROUND(F1406*K1406/B1406,0)*B1406),E1406+(ROUND(F1406*K1406/B1406,0)*B1406)),IF(D1406="BUY",E1406-(ROUND(F1406*K1406/B1406,0)*B1406),E1406+(ROUND(F1406*K1406/B1406,0)*B1406)))</f>
        <v>#DIV/0!</v>
      </c>
      <c r="L1407" s="29" t="e">
        <f t="shared" ref="L1407" si="2105">IF(D1407="BUY",I1407+(R1407*B1407),I1407-(R1407*B1407))</f>
        <v>#DIV/0!</v>
      </c>
      <c r="M1407" s="29" t="e">
        <f>IF(D1406="BUY",E1406+(ROUND(F1406*M1406/B1406,0)*B1406),E1406-(ROUND(F1406*M1406/B1406,0)*B1406))</f>
        <v>#DIV/0!</v>
      </c>
      <c r="N1407" s="29" t="e">
        <f>IF(D1406="BUY",E1406-(ROUND(F1406*N1406/B1406,0)*B1406),E1406+(ROUND(F1406*N1406/B1406,0)*B1406))</f>
        <v>#DIV/0!</v>
      </c>
      <c r="O1407" s="31" t="e">
        <f>IF(D1407="BUY",N1407-VLOOKUP(A1407,Symbols!A$1:D$1000,4,FALSE),N1407+VLOOKUP(A1407,Symbols!A$1:D$1000,4,FALSE))</f>
        <v>#DIV/0!</v>
      </c>
      <c r="P1407" s="29">
        <f>P1406</f>
        <v>0</v>
      </c>
      <c r="Q1407" s="29">
        <f>Q1406</f>
        <v>0</v>
      </c>
      <c r="R1407" s="29">
        <f>R1406</f>
        <v>0</v>
      </c>
      <c r="S1407" s="29">
        <f>S1406</f>
        <v>0</v>
      </c>
      <c r="T1407" s="29">
        <f>T1406</f>
        <v>0</v>
      </c>
      <c r="U1407" s="29" t="e">
        <f>DATEDIF(DATE(1970,1,1),U1406,"D")*86400</f>
        <v>#NUM!</v>
      </c>
      <c r="V1407" s="29">
        <f>HOUR(V1406)*3600+MINUTE(V1406)*60+SECOND(V1406)</f>
        <v>0</v>
      </c>
      <c r="W1407" s="29" t="e">
        <f>DATEDIF(DATE(1970,1,1),W1406,"D")*86400</f>
        <v>#NUM!</v>
      </c>
      <c r="X1407" s="29">
        <f>HOUR(X1406)*3600+MINUTE(X1406)*60+SECOND(X1406)</f>
        <v>0</v>
      </c>
      <c r="Y1407" s="31">
        <f>(Y1406*B1407)</f>
        <v>0</v>
      </c>
      <c r="Z1407" s="29">
        <f>Z1406</f>
        <v>0</v>
      </c>
      <c r="AA1407" s="29" t="e">
        <f>DATEDIF(DATE(1970,1,1),AA1406,"D")*86400</f>
        <v>#NUM!</v>
      </c>
      <c r="AB1407" s="29">
        <f>HOUR(AB1406)*3600+MINUTE(AB1406)*60+SECOND(AB1406)</f>
        <v>0</v>
      </c>
      <c r="AC1407" s="29">
        <f>AC1406</f>
        <v>0</v>
      </c>
    </row>
    <row r="1408" spans="1:29">
      <c r="A1408" s="23">
        <f>Parameters!A705</f>
        <v>0</v>
      </c>
      <c r="B1408" s="23">
        <f>Parameters!B705</f>
        <v>0</v>
      </c>
      <c r="C1408" s="24">
        <f>Parameters!C705</f>
        <v>0</v>
      </c>
      <c r="D1408" s="24">
        <f>Parameters!D705</f>
        <v>0</v>
      </c>
      <c r="E1408" s="23">
        <f>Parameters!E705</f>
        <v>0</v>
      </c>
      <c r="F1408" s="23">
        <f>Parameters!F705</f>
        <v>0</v>
      </c>
      <c r="G1408" s="25">
        <f>Parameters!G705</f>
        <v>0</v>
      </c>
      <c r="H1408" s="25">
        <f>Parameters!H705</f>
        <v>0</v>
      </c>
      <c r="I1408" s="25">
        <f>Parameters!I705</f>
        <v>0</v>
      </c>
      <c r="J1408" s="25">
        <f>Parameters!J705</f>
        <v>0</v>
      </c>
      <c r="K1408" s="25">
        <f>Parameters!K705</f>
        <v>0</v>
      </c>
      <c r="L1408" s="26" t="e">
        <f t="shared" ref="L1408" si="2106">L1409</f>
        <v>#DIV/0!</v>
      </c>
      <c r="M1408" s="25">
        <f>Parameters!L705</f>
        <v>0</v>
      </c>
      <c r="N1408" s="25">
        <f>Parameters!M705</f>
        <v>0</v>
      </c>
      <c r="O1408" s="26" t="e">
        <f t="shared" ref="O1408" si="2107">O1409</f>
        <v>#DIV/0!</v>
      </c>
      <c r="P1408" s="23">
        <f>Parameters!N705</f>
        <v>0</v>
      </c>
      <c r="Q1408" s="23">
        <f>Parameters!O705</f>
        <v>0</v>
      </c>
      <c r="R1408" s="23">
        <f>Parameters!P705</f>
        <v>0</v>
      </c>
      <c r="S1408" s="23">
        <f>Parameters!Q705</f>
        <v>0</v>
      </c>
      <c r="T1408" s="23">
        <f>Parameters!R705</f>
        <v>0</v>
      </c>
      <c r="U1408" s="27">
        <f>Parameters!S705</f>
        <v>0</v>
      </c>
      <c r="V1408" s="28">
        <f>Parameters!T705</f>
        <v>0</v>
      </c>
      <c r="W1408" s="27">
        <f>Parameters!U705</f>
        <v>0</v>
      </c>
      <c r="X1408" s="28">
        <f>Parameters!V705</f>
        <v>0</v>
      </c>
      <c r="Y1408" s="25">
        <f>Parameters!W705</f>
        <v>0</v>
      </c>
      <c r="Z1408" s="23">
        <f>Parameters!X705</f>
        <v>0</v>
      </c>
      <c r="AA1408" s="27">
        <f>Parameters!Y705</f>
        <v>0</v>
      </c>
      <c r="AB1408" s="28">
        <f>Parameters!Z705</f>
        <v>0</v>
      </c>
      <c r="AC1408" s="23">
        <f>Parameters!AA705</f>
        <v>0</v>
      </c>
    </row>
    <row r="1409" spans="1:29">
      <c r="A1409" s="29" t="str">
        <f>UPPER(A1408)</f>
        <v>0</v>
      </c>
      <c r="B1409" s="29">
        <f>B1408</f>
        <v>0</v>
      </c>
      <c r="C1409" s="30">
        <f>C1408</f>
        <v>0</v>
      </c>
      <c r="D1409" s="30">
        <f>D1408</f>
        <v>0</v>
      </c>
      <c r="E1409" s="29">
        <f>E1408</f>
        <v>0</v>
      </c>
      <c r="F1409" s="29">
        <f>F1408</f>
        <v>0</v>
      </c>
      <c r="G1409" s="29" t="e">
        <f>IF(C1408=1,IF(D1408="BUY",E1408+(ROUND(F1408*G1408/B1408,0)*B1408),E1408-(ROUND(F1408*G1408/B1408,0)*B1408)),IF(D1408="BUY",E1408-(ROUND(F1408*G1408/B1408,0)*B1408),E1408+(ROUND(F1408*G1408/B1408,0)*B1408)))</f>
        <v>#DIV/0!</v>
      </c>
      <c r="H1409" s="29" t="e">
        <f>IF(C1408=1,IF(D1408="BUY",G1409-(ROUND(F1408*H1408/B1408,0)*B1408),G1409+(ROUND(F1408*H1408/B1408,0)*B1408)),IF(D1408="BUY",G1409+(ROUND(F1408*H1408/B1408,0)*B1408),G1409-(ROUND(F1408*H1408/B1408,0)*B1408)))</f>
        <v>#DIV/0!</v>
      </c>
      <c r="I1409" s="29" t="e">
        <f>IF(D1408="BUY",G1409+(ROUND(F1408*I1408/(B1408*100),0)*B1408),G1409-(ROUND(F1408*I1408/(B1408*100),0)*B1408))</f>
        <v>#DIV/0!</v>
      </c>
      <c r="J1409" s="29" t="e">
        <f>IF(C1408=1,IF(D1408="BUY",E1408+(ROUND(F1408*J1408/B1408,0)*B1408),E1408-(ROUND(F1408*J1408/B1408,0)*B1408)),IF(D1408="BUY",E1408-(ROUND(F1408*J1408/B1408,0)*B1408),E1408+(ROUND(F1408*J1408/B1408,0)*B1408)))</f>
        <v>#DIV/0!</v>
      </c>
      <c r="K1409" s="29" t="e">
        <f>IF(C1408=1,IF(D1408="BUY",E1408-(ROUND(F1408*K1408/B1408,0)*B1408),E1408+(ROUND(F1408*K1408/B1408,0)*B1408)),IF(D1408="BUY",E1408-(ROUND(F1408*K1408/B1408,0)*B1408),E1408+(ROUND(F1408*K1408/B1408,0)*B1408)))</f>
        <v>#DIV/0!</v>
      </c>
      <c r="L1409" s="29" t="e">
        <f t="shared" ref="L1409" si="2108">IF(D1409="BUY",I1409+(R1409*B1409),I1409-(R1409*B1409))</f>
        <v>#DIV/0!</v>
      </c>
      <c r="M1409" s="29" t="e">
        <f>IF(D1408="BUY",E1408+(ROUND(F1408*M1408/B1408,0)*B1408),E1408-(ROUND(F1408*M1408/B1408,0)*B1408))</f>
        <v>#DIV/0!</v>
      </c>
      <c r="N1409" s="29" t="e">
        <f>IF(D1408="BUY",E1408-(ROUND(F1408*N1408/B1408,0)*B1408),E1408+(ROUND(F1408*N1408/B1408,0)*B1408))</f>
        <v>#DIV/0!</v>
      </c>
      <c r="O1409" s="31" t="e">
        <f>IF(D1409="BUY",N1409-VLOOKUP(A1409,Symbols!A$1:D$1000,4,FALSE),N1409+VLOOKUP(A1409,Symbols!A$1:D$1000,4,FALSE))</f>
        <v>#DIV/0!</v>
      </c>
      <c r="P1409" s="29">
        <f>P1408</f>
        <v>0</v>
      </c>
      <c r="Q1409" s="29">
        <f>Q1408</f>
        <v>0</v>
      </c>
      <c r="R1409" s="29">
        <f>R1408</f>
        <v>0</v>
      </c>
      <c r="S1409" s="29">
        <f>S1408</f>
        <v>0</v>
      </c>
      <c r="T1409" s="29">
        <f>T1408</f>
        <v>0</v>
      </c>
      <c r="U1409" s="29" t="e">
        <f>DATEDIF(DATE(1970,1,1),U1408,"D")*86400</f>
        <v>#NUM!</v>
      </c>
      <c r="V1409" s="29">
        <f>HOUR(V1408)*3600+MINUTE(V1408)*60+SECOND(V1408)</f>
        <v>0</v>
      </c>
      <c r="W1409" s="29" t="e">
        <f>DATEDIF(DATE(1970,1,1),W1408,"D")*86400</f>
        <v>#NUM!</v>
      </c>
      <c r="X1409" s="29">
        <f>HOUR(X1408)*3600+MINUTE(X1408)*60+SECOND(X1408)</f>
        <v>0</v>
      </c>
      <c r="Y1409" s="31">
        <f>(Y1408*B1409)</f>
        <v>0</v>
      </c>
      <c r="Z1409" s="29">
        <f>Z1408</f>
        <v>0</v>
      </c>
      <c r="AA1409" s="29" t="e">
        <f>DATEDIF(DATE(1970,1,1),AA1408,"D")*86400</f>
        <v>#NUM!</v>
      </c>
      <c r="AB1409" s="29">
        <f>HOUR(AB1408)*3600+MINUTE(AB1408)*60+SECOND(AB1408)</f>
        <v>0</v>
      </c>
      <c r="AC1409" s="29">
        <f>AC1408</f>
        <v>0</v>
      </c>
    </row>
    <row r="1410" spans="1:29">
      <c r="A1410" s="23">
        <f>Parameters!A706</f>
        <v>0</v>
      </c>
      <c r="B1410" s="23">
        <f>Parameters!B706</f>
        <v>0</v>
      </c>
      <c r="C1410" s="24">
        <f>Parameters!C706</f>
        <v>0</v>
      </c>
      <c r="D1410" s="24">
        <f>Parameters!D706</f>
        <v>0</v>
      </c>
      <c r="E1410" s="23">
        <f>Parameters!E706</f>
        <v>0</v>
      </c>
      <c r="F1410" s="23">
        <f>Parameters!F706</f>
        <v>0</v>
      </c>
      <c r="G1410" s="25">
        <f>Parameters!G706</f>
        <v>0</v>
      </c>
      <c r="H1410" s="25">
        <f>Parameters!H706</f>
        <v>0</v>
      </c>
      <c r="I1410" s="25">
        <f>Parameters!I706</f>
        <v>0</v>
      </c>
      <c r="J1410" s="25">
        <f>Parameters!J706</f>
        <v>0</v>
      </c>
      <c r="K1410" s="25">
        <f>Parameters!K706</f>
        <v>0</v>
      </c>
      <c r="L1410" s="26" t="e">
        <f t="shared" ref="L1410" si="2109">L1411</f>
        <v>#DIV/0!</v>
      </c>
      <c r="M1410" s="25">
        <f>Parameters!L706</f>
        <v>0</v>
      </c>
      <c r="N1410" s="25">
        <f>Parameters!M706</f>
        <v>0</v>
      </c>
      <c r="O1410" s="26" t="e">
        <f t="shared" ref="O1410" si="2110">O1411</f>
        <v>#DIV/0!</v>
      </c>
      <c r="P1410" s="23">
        <f>Parameters!N706</f>
        <v>0</v>
      </c>
      <c r="Q1410" s="23">
        <f>Parameters!O706</f>
        <v>0</v>
      </c>
      <c r="R1410" s="23">
        <f>Parameters!P706</f>
        <v>0</v>
      </c>
      <c r="S1410" s="23">
        <f>Parameters!Q706</f>
        <v>0</v>
      </c>
      <c r="T1410" s="23">
        <f>Parameters!R706</f>
        <v>0</v>
      </c>
      <c r="U1410" s="27">
        <f>Parameters!S706</f>
        <v>0</v>
      </c>
      <c r="V1410" s="28">
        <f>Parameters!T706</f>
        <v>0</v>
      </c>
      <c r="W1410" s="27">
        <f>Parameters!U706</f>
        <v>0</v>
      </c>
      <c r="X1410" s="28">
        <f>Parameters!V706</f>
        <v>0</v>
      </c>
      <c r="Y1410" s="25">
        <f>Parameters!W706</f>
        <v>0</v>
      </c>
      <c r="Z1410" s="23">
        <f>Parameters!X706</f>
        <v>0</v>
      </c>
      <c r="AA1410" s="27">
        <f>Parameters!Y706</f>
        <v>0</v>
      </c>
      <c r="AB1410" s="28">
        <f>Parameters!Z706</f>
        <v>0</v>
      </c>
      <c r="AC1410" s="23">
        <f>Parameters!AA706</f>
        <v>0</v>
      </c>
    </row>
    <row r="1411" spans="1:29">
      <c r="A1411" s="29" t="str">
        <f>UPPER(A1410)</f>
        <v>0</v>
      </c>
      <c r="B1411" s="29">
        <f>B1410</f>
        <v>0</v>
      </c>
      <c r="C1411" s="30">
        <f>C1410</f>
        <v>0</v>
      </c>
      <c r="D1411" s="30">
        <f>D1410</f>
        <v>0</v>
      </c>
      <c r="E1411" s="29">
        <f>E1410</f>
        <v>0</v>
      </c>
      <c r="F1411" s="29">
        <f>F1410</f>
        <v>0</v>
      </c>
      <c r="G1411" s="29" t="e">
        <f>IF(C1410=1,IF(D1410="BUY",E1410+(ROUND(F1410*G1410/B1410,0)*B1410),E1410-(ROUND(F1410*G1410/B1410,0)*B1410)),IF(D1410="BUY",E1410-(ROUND(F1410*G1410/B1410,0)*B1410),E1410+(ROUND(F1410*G1410/B1410,0)*B1410)))</f>
        <v>#DIV/0!</v>
      </c>
      <c r="H1411" s="29" t="e">
        <f>IF(C1410=1,IF(D1410="BUY",G1411-(ROUND(F1410*H1410/B1410,0)*B1410),G1411+(ROUND(F1410*H1410/B1410,0)*B1410)),IF(D1410="BUY",G1411+(ROUND(F1410*H1410/B1410,0)*B1410),G1411-(ROUND(F1410*H1410/B1410,0)*B1410)))</f>
        <v>#DIV/0!</v>
      </c>
      <c r="I1411" s="29" t="e">
        <f>IF(D1410="BUY",G1411+(ROUND(F1410*I1410/(B1410*100),0)*B1410),G1411-(ROUND(F1410*I1410/(B1410*100),0)*B1410))</f>
        <v>#DIV/0!</v>
      </c>
      <c r="J1411" s="29" t="e">
        <f>IF(C1410=1,IF(D1410="BUY",E1410+(ROUND(F1410*J1410/B1410,0)*B1410),E1410-(ROUND(F1410*J1410/B1410,0)*B1410)),IF(D1410="BUY",E1410-(ROUND(F1410*J1410/B1410,0)*B1410),E1410+(ROUND(F1410*J1410/B1410,0)*B1410)))</f>
        <v>#DIV/0!</v>
      </c>
      <c r="K1411" s="29" t="e">
        <f>IF(C1410=1,IF(D1410="BUY",E1410-(ROUND(F1410*K1410/B1410,0)*B1410),E1410+(ROUND(F1410*K1410/B1410,0)*B1410)),IF(D1410="BUY",E1410-(ROUND(F1410*K1410/B1410,0)*B1410),E1410+(ROUND(F1410*K1410/B1410,0)*B1410)))</f>
        <v>#DIV/0!</v>
      </c>
      <c r="L1411" s="29" t="e">
        <f t="shared" ref="L1411" si="2111">IF(D1411="BUY",I1411+(R1411*B1411),I1411-(R1411*B1411))</f>
        <v>#DIV/0!</v>
      </c>
      <c r="M1411" s="29" t="e">
        <f>IF(D1410="BUY",E1410+(ROUND(F1410*M1410/B1410,0)*B1410),E1410-(ROUND(F1410*M1410/B1410,0)*B1410))</f>
        <v>#DIV/0!</v>
      </c>
      <c r="N1411" s="29" t="e">
        <f>IF(D1410="BUY",E1410-(ROUND(F1410*N1410/B1410,0)*B1410),E1410+(ROUND(F1410*N1410/B1410,0)*B1410))</f>
        <v>#DIV/0!</v>
      </c>
      <c r="O1411" s="31" t="e">
        <f>IF(D1411="BUY",N1411-VLOOKUP(A1411,Symbols!A$1:D$1000,4,FALSE),N1411+VLOOKUP(A1411,Symbols!A$1:D$1000,4,FALSE))</f>
        <v>#DIV/0!</v>
      </c>
      <c r="P1411" s="29">
        <f>P1410</f>
        <v>0</v>
      </c>
      <c r="Q1411" s="29">
        <f>Q1410</f>
        <v>0</v>
      </c>
      <c r="R1411" s="29">
        <f>R1410</f>
        <v>0</v>
      </c>
      <c r="S1411" s="29">
        <f>S1410</f>
        <v>0</v>
      </c>
      <c r="T1411" s="29">
        <f>T1410</f>
        <v>0</v>
      </c>
      <c r="U1411" s="29" t="e">
        <f>DATEDIF(DATE(1970,1,1),U1410,"D")*86400</f>
        <v>#NUM!</v>
      </c>
      <c r="V1411" s="29">
        <f>HOUR(V1410)*3600+MINUTE(V1410)*60+SECOND(V1410)</f>
        <v>0</v>
      </c>
      <c r="W1411" s="29" t="e">
        <f>DATEDIF(DATE(1970,1,1),W1410,"D")*86400</f>
        <v>#NUM!</v>
      </c>
      <c r="X1411" s="29">
        <f>HOUR(X1410)*3600+MINUTE(X1410)*60+SECOND(X1410)</f>
        <v>0</v>
      </c>
      <c r="Y1411" s="31">
        <f>(Y1410*B1411)</f>
        <v>0</v>
      </c>
      <c r="Z1411" s="29">
        <f>Z1410</f>
        <v>0</v>
      </c>
      <c r="AA1411" s="29" t="e">
        <f>DATEDIF(DATE(1970,1,1),AA1410,"D")*86400</f>
        <v>#NUM!</v>
      </c>
      <c r="AB1411" s="29">
        <f>HOUR(AB1410)*3600+MINUTE(AB1410)*60+SECOND(AB1410)</f>
        <v>0</v>
      </c>
      <c r="AC1411" s="29">
        <f>AC1410</f>
        <v>0</v>
      </c>
    </row>
    <row r="1412" spans="1:29">
      <c r="A1412" s="23">
        <f>Parameters!A707</f>
        <v>0</v>
      </c>
      <c r="B1412" s="23">
        <f>Parameters!B707</f>
        <v>0</v>
      </c>
      <c r="C1412" s="24">
        <f>Parameters!C707</f>
        <v>0</v>
      </c>
      <c r="D1412" s="24">
        <f>Parameters!D707</f>
        <v>0</v>
      </c>
      <c r="E1412" s="23">
        <f>Parameters!E707</f>
        <v>0</v>
      </c>
      <c r="F1412" s="23">
        <f>Parameters!F707</f>
        <v>0</v>
      </c>
      <c r="G1412" s="25">
        <f>Parameters!G707</f>
        <v>0</v>
      </c>
      <c r="H1412" s="25">
        <f>Parameters!H707</f>
        <v>0</v>
      </c>
      <c r="I1412" s="25">
        <f>Parameters!I707</f>
        <v>0</v>
      </c>
      <c r="J1412" s="25">
        <f>Parameters!J707</f>
        <v>0</v>
      </c>
      <c r="K1412" s="25">
        <f>Parameters!K707</f>
        <v>0</v>
      </c>
      <c r="L1412" s="26" t="e">
        <f t="shared" ref="L1412" si="2112">L1413</f>
        <v>#DIV/0!</v>
      </c>
      <c r="M1412" s="25">
        <f>Parameters!L707</f>
        <v>0</v>
      </c>
      <c r="N1412" s="25">
        <f>Parameters!M707</f>
        <v>0</v>
      </c>
      <c r="O1412" s="26" t="e">
        <f t="shared" ref="O1412" si="2113">O1413</f>
        <v>#DIV/0!</v>
      </c>
      <c r="P1412" s="23">
        <f>Parameters!N707</f>
        <v>0</v>
      </c>
      <c r="Q1412" s="23">
        <f>Parameters!O707</f>
        <v>0</v>
      </c>
      <c r="R1412" s="23">
        <f>Parameters!P707</f>
        <v>0</v>
      </c>
      <c r="S1412" s="23">
        <f>Parameters!Q707</f>
        <v>0</v>
      </c>
      <c r="T1412" s="23">
        <f>Parameters!R707</f>
        <v>0</v>
      </c>
      <c r="U1412" s="27">
        <f>Parameters!S707</f>
        <v>0</v>
      </c>
      <c r="V1412" s="28">
        <f>Parameters!T707</f>
        <v>0</v>
      </c>
      <c r="W1412" s="27">
        <f>Parameters!U707</f>
        <v>0</v>
      </c>
      <c r="X1412" s="28">
        <f>Parameters!V707</f>
        <v>0</v>
      </c>
      <c r="Y1412" s="25">
        <f>Parameters!W707</f>
        <v>0</v>
      </c>
      <c r="Z1412" s="23">
        <f>Parameters!X707</f>
        <v>0</v>
      </c>
      <c r="AA1412" s="27">
        <f>Parameters!Y707</f>
        <v>0</v>
      </c>
      <c r="AB1412" s="28">
        <f>Parameters!Z707</f>
        <v>0</v>
      </c>
      <c r="AC1412" s="23">
        <f>Parameters!AA707</f>
        <v>0</v>
      </c>
    </row>
    <row r="1413" spans="1:29">
      <c r="A1413" s="29" t="str">
        <f>UPPER(A1412)</f>
        <v>0</v>
      </c>
      <c r="B1413" s="29">
        <f>B1412</f>
        <v>0</v>
      </c>
      <c r="C1413" s="30">
        <f>C1412</f>
        <v>0</v>
      </c>
      <c r="D1413" s="30">
        <f>D1412</f>
        <v>0</v>
      </c>
      <c r="E1413" s="29">
        <f>E1412</f>
        <v>0</v>
      </c>
      <c r="F1413" s="29">
        <f>F1412</f>
        <v>0</v>
      </c>
      <c r="G1413" s="29" t="e">
        <f>IF(C1412=1,IF(D1412="BUY",E1412+(ROUND(F1412*G1412/B1412,0)*B1412),E1412-(ROUND(F1412*G1412/B1412,0)*B1412)),IF(D1412="BUY",E1412-(ROUND(F1412*G1412/B1412,0)*B1412),E1412+(ROUND(F1412*G1412/B1412,0)*B1412)))</f>
        <v>#DIV/0!</v>
      </c>
      <c r="H1413" s="29" t="e">
        <f>IF(C1412=1,IF(D1412="BUY",G1413-(ROUND(F1412*H1412/B1412,0)*B1412),G1413+(ROUND(F1412*H1412/B1412,0)*B1412)),IF(D1412="BUY",G1413+(ROUND(F1412*H1412/B1412,0)*B1412),G1413-(ROUND(F1412*H1412/B1412,0)*B1412)))</f>
        <v>#DIV/0!</v>
      </c>
      <c r="I1413" s="29" t="e">
        <f>IF(D1412="BUY",G1413+(ROUND(F1412*I1412/(B1412*100),0)*B1412),G1413-(ROUND(F1412*I1412/(B1412*100),0)*B1412))</f>
        <v>#DIV/0!</v>
      </c>
      <c r="J1413" s="29" t="e">
        <f>IF(C1412=1,IF(D1412="BUY",E1412+(ROUND(F1412*J1412/B1412,0)*B1412),E1412-(ROUND(F1412*J1412/B1412,0)*B1412)),IF(D1412="BUY",E1412-(ROUND(F1412*J1412/B1412,0)*B1412),E1412+(ROUND(F1412*J1412/B1412,0)*B1412)))</f>
        <v>#DIV/0!</v>
      </c>
      <c r="K1413" s="29" t="e">
        <f>IF(C1412=1,IF(D1412="BUY",E1412-(ROUND(F1412*K1412/B1412,0)*B1412),E1412+(ROUND(F1412*K1412/B1412,0)*B1412)),IF(D1412="BUY",E1412-(ROUND(F1412*K1412/B1412,0)*B1412),E1412+(ROUND(F1412*K1412/B1412,0)*B1412)))</f>
        <v>#DIV/0!</v>
      </c>
      <c r="L1413" s="29" t="e">
        <f t="shared" ref="L1413" si="2114">IF(D1413="BUY",I1413+(R1413*B1413),I1413-(R1413*B1413))</f>
        <v>#DIV/0!</v>
      </c>
      <c r="M1413" s="29" t="e">
        <f>IF(D1412="BUY",E1412+(ROUND(F1412*M1412/B1412,0)*B1412),E1412-(ROUND(F1412*M1412/B1412,0)*B1412))</f>
        <v>#DIV/0!</v>
      </c>
      <c r="N1413" s="29" t="e">
        <f>IF(D1412="BUY",E1412-(ROUND(F1412*N1412/B1412,0)*B1412),E1412+(ROUND(F1412*N1412/B1412,0)*B1412))</f>
        <v>#DIV/0!</v>
      </c>
      <c r="O1413" s="31" t="e">
        <f>IF(D1413="BUY",N1413-VLOOKUP(A1413,Symbols!A$1:D$1000,4,FALSE),N1413+VLOOKUP(A1413,Symbols!A$1:D$1000,4,FALSE))</f>
        <v>#DIV/0!</v>
      </c>
      <c r="P1413" s="29">
        <f>P1412</f>
        <v>0</v>
      </c>
      <c r="Q1413" s="29">
        <f>Q1412</f>
        <v>0</v>
      </c>
      <c r="R1413" s="29">
        <f>R1412</f>
        <v>0</v>
      </c>
      <c r="S1413" s="29">
        <f>S1412</f>
        <v>0</v>
      </c>
      <c r="T1413" s="29">
        <f>T1412</f>
        <v>0</v>
      </c>
      <c r="U1413" s="29" t="e">
        <f>DATEDIF(DATE(1970,1,1),U1412,"D")*86400</f>
        <v>#NUM!</v>
      </c>
      <c r="V1413" s="29">
        <f>HOUR(V1412)*3600+MINUTE(V1412)*60+SECOND(V1412)</f>
        <v>0</v>
      </c>
      <c r="W1413" s="29" t="e">
        <f>DATEDIF(DATE(1970,1,1),W1412,"D")*86400</f>
        <v>#NUM!</v>
      </c>
      <c r="X1413" s="29">
        <f>HOUR(X1412)*3600+MINUTE(X1412)*60+SECOND(X1412)</f>
        <v>0</v>
      </c>
      <c r="Y1413" s="31">
        <f>(Y1412*B1413)</f>
        <v>0</v>
      </c>
      <c r="Z1413" s="29">
        <f>Z1412</f>
        <v>0</v>
      </c>
      <c r="AA1413" s="29" t="e">
        <f>DATEDIF(DATE(1970,1,1),AA1412,"D")*86400</f>
        <v>#NUM!</v>
      </c>
      <c r="AB1413" s="29">
        <f>HOUR(AB1412)*3600+MINUTE(AB1412)*60+SECOND(AB1412)</f>
        <v>0</v>
      </c>
      <c r="AC1413" s="29">
        <f>AC1412</f>
        <v>0</v>
      </c>
    </row>
    <row r="1414" spans="1:29">
      <c r="A1414" s="23">
        <f>Parameters!A708</f>
        <v>0</v>
      </c>
      <c r="B1414" s="23">
        <f>Parameters!B708</f>
        <v>0</v>
      </c>
      <c r="C1414" s="24">
        <f>Parameters!C708</f>
        <v>0</v>
      </c>
      <c r="D1414" s="24">
        <f>Parameters!D708</f>
        <v>0</v>
      </c>
      <c r="E1414" s="23">
        <f>Parameters!E708</f>
        <v>0</v>
      </c>
      <c r="F1414" s="23">
        <f>Parameters!F708</f>
        <v>0</v>
      </c>
      <c r="G1414" s="25">
        <f>Parameters!G708</f>
        <v>0</v>
      </c>
      <c r="H1414" s="25">
        <f>Parameters!H708</f>
        <v>0</v>
      </c>
      <c r="I1414" s="25">
        <f>Parameters!I708</f>
        <v>0</v>
      </c>
      <c r="J1414" s="25">
        <f>Parameters!J708</f>
        <v>0</v>
      </c>
      <c r="K1414" s="25">
        <f>Parameters!K708</f>
        <v>0</v>
      </c>
      <c r="L1414" s="26" t="e">
        <f t="shared" ref="L1414" si="2115">L1415</f>
        <v>#DIV/0!</v>
      </c>
      <c r="M1414" s="25">
        <f>Parameters!L708</f>
        <v>0</v>
      </c>
      <c r="N1414" s="25">
        <f>Parameters!M708</f>
        <v>0</v>
      </c>
      <c r="O1414" s="26" t="e">
        <f t="shared" ref="O1414" si="2116">O1415</f>
        <v>#DIV/0!</v>
      </c>
      <c r="P1414" s="23">
        <f>Parameters!N708</f>
        <v>0</v>
      </c>
      <c r="Q1414" s="23">
        <f>Parameters!O708</f>
        <v>0</v>
      </c>
      <c r="R1414" s="23">
        <f>Parameters!P708</f>
        <v>0</v>
      </c>
      <c r="S1414" s="23">
        <f>Parameters!Q708</f>
        <v>0</v>
      </c>
      <c r="T1414" s="23">
        <f>Parameters!R708</f>
        <v>0</v>
      </c>
      <c r="U1414" s="27">
        <f>Parameters!S708</f>
        <v>0</v>
      </c>
      <c r="V1414" s="28">
        <f>Parameters!T708</f>
        <v>0</v>
      </c>
      <c r="W1414" s="27">
        <f>Parameters!U708</f>
        <v>0</v>
      </c>
      <c r="X1414" s="28">
        <f>Parameters!V708</f>
        <v>0</v>
      </c>
      <c r="Y1414" s="25">
        <f>Parameters!W708</f>
        <v>0</v>
      </c>
      <c r="Z1414" s="23">
        <f>Parameters!X708</f>
        <v>0</v>
      </c>
      <c r="AA1414" s="27">
        <f>Parameters!Y708</f>
        <v>0</v>
      </c>
      <c r="AB1414" s="28">
        <f>Parameters!Z708</f>
        <v>0</v>
      </c>
      <c r="AC1414" s="23">
        <f>Parameters!AA708</f>
        <v>0</v>
      </c>
    </row>
    <row r="1415" spans="1:29">
      <c r="A1415" s="29" t="str">
        <f>UPPER(A1414)</f>
        <v>0</v>
      </c>
      <c r="B1415" s="29">
        <f>B1414</f>
        <v>0</v>
      </c>
      <c r="C1415" s="30">
        <f>C1414</f>
        <v>0</v>
      </c>
      <c r="D1415" s="30">
        <f>D1414</f>
        <v>0</v>
      </c>
      <c r="E1415" s="29">
        <f>E1414</f>
        <v>0</v>
      </c>
      <c r="F1415" s="29">
        <f>F1414</f>
        <v>0</v>
      </c>
      <c r="G1415" s="29" t="e">
        <f>IF(C1414=1,IF(D1414="BUY",E1414+(ROUND(F1414*G1414/B1414,0)*B1414),E1414-(ROUND(F1414*G1414/B1414,0)*B1414)),IF(D1414="BUY",E1414-(ROUND(F1414*G1414/B1414,0)*B1414),E1414+(ROUND(F1414*G1414/B1414,0)*B1414)))</f>
        <v>#DIV/0!</v>
      </c>
      <c r="H1415" s="29" t="e">
        <f>IF(C1414=1,IF(D1414="BUY",G1415-(ROUND(F1414*H1414/B1414,0)*B1414),G1415+(ROUND(F1414*H1414/B1414,0)*B1414)),IF(D1414="BUY",G1415+(ROUND(F1414*H1414/B1414,0)*B1414),G1415-(ROUND(F1414*H1414/B1414,0)*B1414)))</f>
        <v>#DIV/0!</v>
      </c>
      <c r="I1415" s="29" t="e">
        <f>IF(D1414="BUY",G1415+(ROUND(F1414*I1414/(B1414*100),0)*B1414),G1415-(ROUND(F1414*I1414/(B1414*100),0)*B1414))</f>
        <v>#DIV/0!</v>
      </c>
      <c r="J1415" s="29" t="e">
        <f>IF(C1414=1,IF(D1414="BUY",E1414+(ROUND(F1414*J1414/B1414,0)*B1414),E1414-(ROUND(F1414*J1414/B1414,0)*B1414)),IF(D1414="BUY",E1414-(ROUND(F1414*J1414/B1414,0)*B1414),E1414+(ROUND(F1414*J1414/B1414,0)*B1414)))</f>
        <v>#DIV/0!</v>
      </c>
      <c r="K1415" s="29" t="e">
        <f>IF(C1414=1,IF(D1414="BUY",E1414-(ROUND(F1414*K1414/B1414,0)*B1414),E1414+(ROUND(F1414*K1414/B1414,0)*B1414)),IF(D1414="BUY",E1414-(ROUND(F1414*K1414/B1414,0)*B1414),E1414+(ROUND(F1414*K1414/B1414,0)*B1414)))</f>
        <v>#DIV/0!</v>
      </c>
      <c r="L1415" s="29" t="e">
        <f t="shared" ref="L1415" si="2117">IF(D1415="BUY",I1415+(R1415*B1415),I1415-(R1415*B1415))</f>
        <v>#DIV/0!</v>
      </c>
      <c r="M1415" s="29" t="e">
        <f>IF(D1414="BUY",E1414+(ROUND(F1414*M1414/B1414,0)*B1414),E1414-(ROUND(F1414*M1414/B1414,0)*B1414))</f>
        <v>#DIV/0!</v>
      </c>
      <c r="N1415" s="29" t="e">
        <f>IF(D1414="BUY",E1414-(ROUND(F1414*N1414/B1414,0)*B1414),E1414+(ROUND(F1414*N1414/B1414,0)*B1414))</f>
        <v>#DIV/0!</v>
      </c>
      <c r="O1415" s="31" t="e">
        <f>IF(D1415="BUY",N1415-VLOOKUP(A1415,Symbols!A$1:D$1000,4,FALSE),N1415+VLOOKUP(A1415,Symbols!A$1:D$1000,4,FALSE))</f>
        <v>#DIV/0!</v>
      </c>
      <c r="P1415" s="29">
        <f>P1414</f>
        <v>0</v>
      </c>
      <c r="Q1415" s="29">
        <f>Q1414</f>
        <v>0</v>
      </c>
      <c r="R1415" s="29">
        <f>R1414</f>
        <v>0</v>
      </c>
      <c r="S1415" s="29">
        <f>S1414</f>
        <v>0</v>
      </c>
      <c r="T1415" s="29">
        <f>T1414</f>
        <v>0</v>
      </c>
      <c r="U1415" s="29" t="e">
        <f>DATEDIF(DATE(1970,1,1),U1414,"D")*86400</f>
        <v>#NUM!</v>
      </c>
      <c r="V1415" s="29">
        <f>HOUR(V1414)*3600+MINUTE(V1414)*60+SECOND(V1414)</f>
        <v>0</v>
      </c>
      <c r="W1415" s="29" t="e">
        <f>DATEDIF(DATE(1970,1,1),W1414,"D")*86400</f>
        <v>#NUM!</v>
      </c>
      <c r="X1415" s="29">
        <f>HOUR(X1414)*3600+MINUTE(X1414)*60+SECOND(X1414)</f>
        <v>0</v>
      </c>
      <c r="Y1415" s="31">
        <f>(Y1414*B1415)</f>
        <v>0</v>
      </c>
      <c r="Z1415" s="29">
        <f>Z1414</f>
        <v>0</v>
      </c>
      <c r="AA1415" s="29" t="e">
        <f>DATEDIF(DATE(1970,1,1),AA1414,"D")*86400</f>
        <v>#NUM!</v>
      </c>
      <c r="AB1415" s="29">
        <f>HOUR(AB1414)*3600+MINUTE(AB1414)*60+SECOND(AB1414)</f>
        <v>0</v>
      </c>
      <c r="AC1415" s="29">
        <f>AC1414</f>
        <v>0</v>
      </c>
    </row>
    <row r="1416" spans="1:29">
      <c r="A1416" s="23">
        <f>Parameters!A709</f>
        <v>0</v>
      </c>
      <c r="B1416" s="23">
        <f>Parameters!B709</f>
        <v>0</v>
      </c>
      <c r="C1416" s="24">
        <f>Parameters!C709</f>
        <v>0</v>
      </c>
      <c r="D1416" s="24">
        <f>Parameters!D709</f>
        <v>0</v>
      </c>
      <c r="E1416" s="23">
        <f>Parameters!E709</f>
        <v>0</v>
      </c>
      <c r="F1416" s="23">
        <f>Parameters!F709</f>
        <v>0</v>
      </c>
      <c r="G1416" s="25">
        <f>Parameters!G709</f>
        <v>0</v>
      </c>
      <c r="H1416" s="25">
        <f>Parameters!H709</f>
        <v>0</v>
      </c>
      <c r="I1416" s="25">
        <f>Parameters!I709</f>
        <v>0</v>
      </c>
      <c r="J1416" s="25">
        <f>Parameters!J709</f>
        <v>0</v>
      </c>
      <c r="K1416" s="25">
        <f>Parameters!K709</f>
        <v>0</v>
      </c>
      <c r="L1416" s="26" t="e">
        <f t="shared" ref="L1416" si="2118">L1417</f>
        <v>#DIV/0!</v>
      </c>
      <c r="M1416" s="25">
        <f>Parameters!L709</f>
        <v>0</v>
      </c>
      <c r="N1416" s="25">
        <f>Parameters!M709</f>
        <v>0</v>
      </c>
      <c r="O1416" s="26" t="e">
        <f t="shared" ref="O1416" si="2119">O1417</f>
        <v>#DIV/0!</v>
      </c>
      <c r="P1416" s="23">
        <f>Parameters!N709</f>
        <v>0</v>
      </c>
      <c r="Q1416" s="23">
        <f>Parameters!O709</f>
        <v>0</v>
      </c>
      <c r="R1416" s="23">
        <f>Parameters!P709</f>
        <v>0</v>
      </c>
      <c r="S1416" s="23">
        <f>Parameters!Q709</f>
        <v>0</v>
      </c>
      <c r="T1416" s="23">
        <f>Parameters!R709</f>
        <v>0</v>
      </c>
      <c r="U1416" s="27">
        <f>Parameters!S709</f>
        <v>0</v>
      </c>
      <c r="V1416" s="28">
        <f>Parameters!T709</f>
        <v>0</v>
      </c>
      <c r="W1416" s="27">
        <f>Parameters!U709</f>
        <v>0</v>
      </c>
      <c r="X1416" s="28">
        <f>Parameters!V709</f>
        <v>0</v>
      </c>
      <c r="Y1416" s="25">
        <f>Parameters!W709</f>
        <v>0</v>
      </c>
      <c r="Z1416" s="23">
        <f>Parameters!X709</f>
        <v>0</v>
      </c>
      <c r="AA1416" s="27">
        <f>Parameters!Y709</f>
        <v>0</v>
      </c>
      <c r="AB1416" s="28">
        <f>Parameters!Z709</f>
        <v>0</v>
      </c>
      <c r="AC1416" s="23">
        <f>Parameters!AA709</f>
        <v>0</v>
      </c>
    </row>
    <row r="1417" spans="1:29">
      <c r="A1417" s="29" t="str">
        <f>UPPER(A1416)</f>
        <v>0</v>
      </c>
      <c r="B1417" s="29">
        <f>B1416</f>
        <v>0</v>
      </c>
      <c r="C1417" s="30">
        <f>C1416</f>
        <v>0</v>
      </c>
      <c r="D1417" s="30">
        <f>D1416</f>
        <v>0</v>
      </c>
      <c r="E1417" s="29">
        <f>E1416</f>
        <v>0</v>
      </c>
      <c r="F1417" s="29">
        <f>F1416</f>
        <v>0</v>
      </c>
      <c r="G1417" s="29" t="e">
        <f>IF(C1416=1,IF(D1416="BUY",E1416+(ROUND(F1416*G1416/B1416,0)*B1416),E1416-(ROUND(F1416*G1416/B1416,0)*B1416)),IF(D1416="BUY",E1416-(ROUND(F1416*G1416/B1416,0)*B1416),E1416+(ROUND(F1416*G1416/B1416,0)*B1416)))</f>
        <v>#DIV/0!</v>
      </c>
      <c r="H1417" s="29" t="e">
        <f>IF(C1416=1,IF(D1416="BUY",G1417-(ROUND(F1416*H1416/B1416,0)*B1416),G1417+(ROUND(F1416*H1416/B1416,0)*B1416)),IF(D1416="BUY",G1417+(ROUND(F1416*H1416/B1416,0)*B1416),G1417-(ROUND(F1416*H1416/B1416,0)*B1416)))</f>
        <v>#DIV/0!</v>
      </c>
      <c r="I1417" s="29" t="e">
        <f>IF(D1416="BUY",G1417+(ROUND(F1416*I1416/(B1416*100),0)*B1416),G1417-(ROUND(F1416*I1416/(B1416*100),0)*B1416))</f>
        <v>#DIV/0!</v>
      </c>
      <c r="J1417" s="29" t="e">
        <f>IF(C1416=1,IF(D1416="BUY",E1416+(ROUND(F1416*J1416/B1416,0)*B1416),E1416-(ROUND(F1416*J1416/B1416,0)*B1416)),IF(D1416="BUY",E1416-(ROUND(F1416*J1416/B1416,0)*B1416),E1416+(ROUND(F1416*J1416/B1416,0)*B1416)))</f>
        <v>#DIV/0!</v>
      </c>
      <c r="K1417" s="29" t="e">
        <f>IF(C1416=1,IF(D1416="BUY",E1416-(ROUND(F1416*K1416/B1416,0)*B1416),E1416+(ROUND(F1416*K1416/B1416,0)*B1416)),IF(D1416="BUY",E1416-(ROUND(F1416*K1416/B1416,0)*B1416),E1416+(ROUND(F1416*K1416/B1416,0)*B1416)))</f>
        <v>#DIV/0!</v>
      </c>
      <c r="L1417" s="29" t="e">
        <f t="shared" ref="L1417" si="2120">IF(D1417="BUY",I1417+(R1417*B1417),I1417-(R1417*B1417))</f>
        <v>#DIV/0!</v>
      </c>
      <c r="M1417" s="29" t="e">
        <f>IF(D1416="BUY",E1416+(ROUND(F1416*M1416/B1416,0)*B1416),E1416-(ROUND(F1416*M1416/B1416,0)*B1416))</f>
        <v>#DIV/0!</v>
      </c>
      <c r="N1417" s="29" t="e">
        <f>IF(D1416="BUY",E1416-(ROUND(F1416*N1416/B1416,0)*B1416),E1416+(ROUND(F1416*N1416/B1416,0)*B1416))</f>
        <v>#DIV/0!</v>
      </c>
      <c r="O1417" s="31" t="e">
        <f>IF(D1417="BUY",N1417-VLOOKUP(A1417,Symbols!A$1:D$1000,4,FALSE),N1417+VLOOKUP(A1417,Symbols!A$1:D$1000,4,FALSE))</f>
        <v>#DIV/0!</v>
      </c>
      <c r="P1417" s="29">
        <f>P1416</f>
        <v>0</v>
      </c>
      <c r="Q1417" s="29">
        <f>Q1416</f>
        <v>0</v>
      </c>
      <c r="R1417" s="29">
        <f>R1416</f>
        <v>0</v>
      </c>
      <c r="S1417" s="29">
        <f>S1416</f>
        <v>0</v>
      </c>
      <c r="T1417" s="29">
        <f>T1416</f>
        <v>0</v>
      </c>
      <c r="U1417" s="29" t="e">
        <f>DATEDIF(DATE(1970,1,1),U1416,"D")*86400</f>
        <v>#NUM!</v>
      </c>
      <c r="V1417" s="29">
        <f>HOUR(V1416)*3600+MINUTE(V1416)*60+SECOND(V1416)</f>
        <v>0</v>
      </c>
      <c r="W1417" s="29" t="e">
        <f>DATEDIF(DATE(1970,1,1),W1416,"D")*86400</f>
        <v>#NUM!</v>
      </c>
      <c r="X1417" s="29">
        <f>HOUR(X1416)*3600+MINUTE(X1416)*60+SECOND(X1416)</f>
        <v>0</v>
      </c>
      <c r="Y1417" s="31">
        <f>(Y1416*B1417)</f>
        <v>0</v>
      </c>
      <c r="Z1417" s="29">
        <f>Z1416</f>
        <v>0</v>
      </c>
      <c r="AA1417" s="29" t="e">
        <f>DATEDIF(DATE(1970,1,1),AA1416,"D")*86400</f>
        <v>#NUM!</v>
      </c>
      <c r="AB1417" s="29">
        <f>HOUR(AB1416)*3600+MINUTE(AB1416)*60+SECOND(AB1416)</f>
        <v>0</v>
      </c>
      <c r="AC1417" s="29">
        <f>AC1416</f>
        <v>0</v>
      </c>
    </row>
    <row r="1418" spans="1:29">
      <c r="A1418" s="23">
        <f>Parameters!A710</f>
        <v>0</v>
      </c>
      <c r="B1418" s="23">
        <f>Parameters!B710</f>
        <v>0</v>
      </c>
      <c r="C1418" s="24">
        <f>Parameters!C710</f>
        <v>0</v>
      </c>
      <c r="D1418" s="24">
        <f>Parameters!D710</f>
        <v>0</v>
      </c>
      <c r="E1418" s="23">
        <f>Parameters!E710</f>
        <v>0</v>
      </c>
      <c r="F1418" s="23">
        <f>Parameters!F710</f>
        <v>0</v>
      </c>
      <c r="G1418" s="25">
        <f>Parameters!G710</f>
        <v>0</v>
      </c>
      <c r="H1418" s="25">
        <f>Parameters!H710</f>
        <v>0</v>
      </c>
      <c r="I1418" s="25">
        <f>Parameters!I710</f>
        <v>0</v>
      </c>
      <c r="J1418" s="25">
        <f>Parameters!J710</f>
        <v>0</v>
      </c>
      <c r="K1418" s="25">
        <f>Parameters!K710</f>
        <v>0</v>
      </c>
      <c r="L1418" s="26" t="e">
        <f t="shared" ref="L1418" si="2121">L1419</f>
        <v>#DIV/0!</v>
      </c>
      <c r="M1418" s="25">
        <f>Parameters!L710</f>
        <v>0</v>
      </c>
      <c r="N1418" s="25">
        <f>Parameters!M710</f>
        <v>0</v>
      </c>
      <c r="O1418" s="26" t="e">
        <f t="shared" ref="O1418" si="2122">O1419</f>
        <v>#DIV/0!</v>
      </c>
      <c r="P1418" s="23">
        <f>Parameters!N710</f>
        <v>0</v>
      </c>
      <c r="Q1418" s="23">
        <f>Parameters!O710</f>
        <v>0</v>
      </c>
      <c r="R1418" s="23">
        <f>Parameters!P710</f>
        <v>0</v>
      </c>
      <c r="S1418" s="23">
        <f>Parameters!Q710</f>
        <v>0</v>
      </c>
      <c r="T1418" s="23">
        <f>Parameters!R710</f>
        <v>0</v>
      </c>
      <c r="U1418" s="27">
        <f>Parameters!S710</f>
        <v>0</v>
      </c>
      <c r="V1418" s="28">
        <f>Parameters!T710</f>
        <v>0</v>
      </c>
      <c r="W1418" s="27">
        <f>Parameters!U710</f>
        <v>0</v>
      </c>
      <c r="X1418" s="28">
        <f>Parameters!V710</f>
        <v>0</v>
      </c>
      <c r="Y1418" s="25">
        <f>Parameters!W710</f>
        <v>0</v>
      </c>
      <c r="Z1418" s="23">
        <f>Parameters!X710</f>
        <v>0</v>
      </c>
      <c r="AA1418" s="27">
        <f>Parameters!Y710</f>
        <v>0</v>
      </c>
      <c r="AB1418" s="28">
        <f>Parameters!Z710</f>
        <v>0</v>
      </c>
      <c r="AC1418" s="23">
        <f>Parameters!AA710</f>
        <v>0</v>
      </c>
    </row>
    <row r="1419" spans="1:29">
      <c r="A1419" s="29" t="str">
        <f>UPPER(A1418)</f>
        <v>0</v>
      </c>
      <c r="B1419" s="29">
        <f>B1418</f>
        <v>0</v>
      </c>
      <c r="C1419" s="30">
        <f>C1418</f>
        <v>0</v>
      </c>
      <c r="D1419" s="30">
        <f>D1418</f>
        <v>0</v>
      </c>
      <c r="E1419" s="29">
        <f>E1418</f>
        <v>0</v>
      </c>
      <c r="F1419" s="29">
        <f>F1418</f>
        <v>0</v>
      </c>
      <c r="G1419" s="29" t="e">
        <f>IF(C1418=1,IF(D1418="BUY",E1418+(ROUND(F1418*G1418/B1418,0)*B1418),E1418-(ROUND(F1418*G1418/B1418,0)*B1418)),IF(D1418="BUY",E1418-(ROUND(F1418*G1418/B1418,0)*B1418),E1418+(ROUND(F1418*G1418/B1418,0)*B1418)))</f>
        <v>#DIV/0!</v>
      </c>
      <c r="H1419" s="29" t="e">
        <f>IF(C1418=1,IF(D1418="BUY",G1419-(ROUND(F1418*H1418/B1418,0)*B1418),G1419+(ROUND(F1418*H1418/B1418,0)*B1418)),IF(D1418="BUY",G1419+(ROUND(F1418*H1418/B1418,0)*B1418),G1419-(ROUND(F1418*H1418/B1418,0)*B1418)))</f>
        <v>#DIV/0!</v>
      </c>
      <c r="I1419" s="29" t="e">
        <f>IF(D1418="BUY",G1419+(ROUND(F1418*I1418/(B1418*100),0)*B1418),G1419-(ROUND(F1418*I1418/(B1418*100),0)*B1418))</f>
        <v>#DIV/0!</v>
      </c>
      <c r="J1419" s="29" t="e">
        <f>IF(C1418=1,IF(D1418="BUY",E1418+(ROUND(F1418*J1418/B1418,0)*B1418),E1418-(ROUND(F1418*J1418/B1418,0)*B1418)),IF(D1418="BUY",E1418-(ROUND(F1418*J1418/B1418,0)*B1418),E1418+(ROUND(F1418*J1418/B1418,0)*B1418)))</f>
        <v>#DIV/0!</v>
      </c>
      <c r="K1419" s="29" t="e">
        <f>IF(C1418=1,IF(D1418="BUY",E1418-(ROUND(F1418*K1418/B1418,0)*B1418),E1418+(ROUND(F1418*K1418/B1418,0)*B1418)),IF(D1418="BUY",E1418-(ROUND(F1418*K1418/B1418,0)*B1418),E1418+(ROUND(F1418*K1418/B1418,0)*B1418)))</f>
        <v>#DIV/0!</v>
      </c>
      <c r="L1419" s="29" t="e">
        <f t="shared" ref="L1419" si="2123">IF(D1419="BUY",I1419+(R1419*B1419),I1419-(R1419*B1419))</f>
        <v>#DIV/0!</v>
      </c>
      <c r="M1419" s="29" t="e">
        <f>IF(D1418="BUY",E1418+(ROUND(F1418*M1418/B1418,0)*B1418),E1418-(ROUND(F1418*M1418/B1418,0)*B1418))</f>
        <v>#DIV/0!</v>
      </c>
      <c r="N1419" s="29" t="e">
        <f>IF(D1418="BUY",E1418-(ROUND(F1418*N1418/B1418,0)*B1418),E1418+(ROUND(F1418*N1418/B1418,0)*B1418))</f>
        <v>#DIV/0!</v>
      </c>
      <c r="O1419" s="31" t="e">
        <f>IF(D1419="BUY",N1419-VLOOKUP(A1419,Symbols!A$1:D$1000,4,FALSE),N1419+VLOOKUP(A1419,Symbols!A$1:D$1000,4,FALSE))</f>
        <v>#DIV/0!</v>
      </c>
      <c r="P1419" s="29">
        <f>P1418</f>
        <v>0</v>
      </c>
      <c r="Q1419" s="29">
        <f>Q1418</f>
        <v>0</v>
      </c>
      <c r="R1419" s="29">
        <f>R1418</f>
        <v>0</v>
      </c>
      <c r="S1419" s="29">
        <f>S1418</f>
        <v>0</v>
      </c>
      <c r="T1419" s="29">
        <f>T1418</f>
        <v>0</v>
      </c>
      <c r="U1419" s="29" t="e">
        <f>DATEDIF(DATE(1970,1,1),U1418,"D")*86400</f>
        <v>#NUM!</v>
      </c>
      <c r="V1419" s="29">
        <f>HOUR(V1418)*3600+MINUTE(V1418)*60+SECOND(V1418)</f>
        <v>0</v>
      </c>
      <c r="W1419" s="29" t="e">
        <f>DATEDIF(DATE(1970,1,1),W1418,"D")*86400</f>
        <v>#NUM!</v>
      </c>
      <c r="X1419" s="29">
        <f>HOUR(X1418)*3600+MINUTE(X1418)*60+SECOND(X1418)</f>
        <v>0</v>
      </c>
      <c r="Y1419" s="31">
        <f>(Y1418*B1419)</f>
        <v>0</v>
      </c>
      <c r="Z1419" s="29">
        <f>Z1418</f>
        <v>0</v>
      </c>
      <c r="AA1419" s="29" t="e">
        <f>DATEDIF(DATE(1970,1,1),AA1418,"D")*86400</f>
        <v>#NUM!</v>
      </c>
      <c r="AB1419" s="29">
        <f>HOUR(AB1418)*3600+MINUTE(AB1418)*60+SECOND(AB1418)</f>
        <v>0</v>
      </c>
      <c r="AC1419" s="29">
        <f>AC1418</f>
        <v>0</v>
      </c>
    </row>
    <row r="1420" spans="1:29">
      <c r="A1420" s="23">
        <f>Parameters!A711</f>
        <v>0</v>
      </c>
      <c r="B1420" s="23">
        <f>Parameters!B711</f>
        <v>0</v>
      </c>
      <c r="C1420" s="24">
        <f>Parameters!C711</f>
        <v>0</v>
      </c>
      <c r="D1420" s="24">
        <f>Parameters!D711</f>
        <v>0</v>
      </c>
      <c r="E1420" s="23">
        <f>Parameters!E711</f>
        <v>0</v>
      </c>
      <c r="F1420" s="23">
        <f>Parameters!F711</f>
        <v>0</v>
      </c>
      <c r="G1420" s="25">
        <f>Parameters!G711</f>
        <v>0</v>
      </c>
      <c r="H1420" s="25">
        <f>Parameters!H711</f>
        <v>0</v>
      </c>
      <c r="I1420" s="25">
        <f>Parameters!I711</f>
        <v>0</v>
      </c>
      <c r="J1420" s="25">
        <f>Parameters!J711</f>
        <v>0</v>
      </c>
      <c r="K1420" s="25">
        <f>Parameters!K711</f>
        <v>0</v>
      </c>
      <c r="L1420" s="26" t="e">
        <f t="shared" ref="L1420" si="2124">L1421</f>
        <v>#DIV/0!</v>
      </c>
      <c r="M1420" s="25">
        <f>Parameters!L711</f>
        <v>0</v>
      </c>
      <c r="N1420" s="25">
        <f>Parameters!M711</f>
        <v>0</v>
      </c>
      <c r="O1420" s="26" t="e">
        <f t="shared" ref="O1420" si="2125">O1421</f>
        <v>#DIV/0!</v>
      </c>
      <c r="P1420" s="23">
        <f>Parameters!N711</f>
        <v>0</v>
      </c>
      <c r="Q1420" s="23">
        <f>Parameters!O711</f>
        <v>0</v>
      </c>
      <c r="R1420" s="23">
        <f>Parameters!P711</f>
        <v>0</v>
      </c>
      <c r="S1420" s="23">
        <f>Parameters!Q711</f>
        <v>0</v>
      </c>
      <c r="T1420" s="23">
        <f>Parameters!R711</f>
        <v>0</v>
      </c>
      <c r="U1420" s="27">
        <f>Parameters!S711</f>
        <v>0</v>
      </c>
      <c r="V1420" s="28">
        <f>Parameters!T711</f>
        <v>0</v>
      </c>
      <c r="W1420" s="27">
        <f>Parameters!U711</f>
        <v>0</v>
      </c>
      <c r="X1420" s="28">
        <f>Parameters!V711</f>
        <v>0</v>
      </c>
      <c r="Y1420" s="25">
        <f>Parameters!W711</f>
        <v>0</v>
      </c>
      <c r="Z1420" s="23">
        <f>Parameters!X711</f>
        <v>0</v>
      </c>
      <c r="AA1420" s="27">
        <f>Parameters!Y711</f>
        <v>0</v>
      </c>
      <c r="AB1420" s="28">
        <f>Parameters!Z711</f>
        <v>0</v>
      </c>
      <c r="AC1420" s="23">
        <f>Parameters!AA711</f>
        <v>0</v>
      </c>
    </row>
    <row r="1421" spans="1:29">
      <c r="A1421" s="29" t="str">
        <f>UPPER(A1420)</f>
        <v>0</v>
      </c>
      <c r="B1421" s="29">
        <f>B1420</f>
        <v>0</v>
      </c>
      <c r="C1421" s="30">
        <f>C1420</f>
        <v>0</v>
      </c>
      <c r="D1421" s="30">
        <f>D1420</f>
        <v>0</v>
      </c>
      <c r="E1421" s="29">
        <f>E1420</f>
        <v>0</v>
      </c>
      <c r="F1421" s="29">
        <f>F1420</f>
        <v>0</v>
      </c>
      <c r="G1421" s="29" t="e">
        <f>IF(C1420=1,IF(D1420="BUY",E1420+(ROUND(F1420*G1420/B1420,0)*B1420),E1420-(ROUND(F1420*G1420/B1420,0)*B1420)),IF(D1420="BUY",E1420-(ROUND(F1420*G1420/B1420,0)*B1420),E1420+(ROUND(F1420*G1420/B1420,0)*B1420)))</f>
        <v>#DIV/0!</v>
      </c>
      <c r="H1421" s="29" t="e">
        <f>IF(C1420=1,IF(D1420="BUY",G1421-(ROUND(F1420*H1420/B1420,0)*B1420),G1421+(ROUND(F1420*H1420/B1420,0)*B1420)),IF(D1420="BUY",G1421+(ROUND(F1420*H1420/B1420,0)*B1420),G1421-(ROUND(F1420*H1420/B1420,0)*B1420)))</f>
        <v>#DIV/0!</v>
      </c>
      <c r="I1421" s="29" t="e">
        <f>IF(D1420="BUY",G1421+(ROUND(F1420*I1420/(B1420*100),0)*B1420),G1421-(ROUND(F1420*I1420/(B1420*100),0)*B1420))</f>
        <v>#DIV/0!</v>
      </c>
      <c r="J1421" s="29" t="e">
        <f>IF(C1420=1,IF(D1420="BUY",E1420+(ROUND(F1420*J1420/B1420,0)*B1420),E1420-(ROUND(F1420*J1420/B1420,0)*B1420)),IF(D1420="BUY",E1420-(ROUND(F1420*J1420/B1420,0)*B1420),E1420+(ROUND(F1420*J1420/B1420,0)*B1420)))</f>
        <v>#DIV/0!</v>
      </c>
      <c r="K1421" s="29" t="e">
        <f>IF(C1420=1,IF(D1420="BUY",E1420-(ROUND(F1420*K1420/B1420,0)*B1420),E1420+(ROUND(F1420*K1420/B1420,0)*B1420)),IF(D1420="BUY",E1420-(ROUND(F1420*K1420/B1420,0)*B1420),E1420+(ROUND(F1420*K1420/B1420,0)*B1420)))</f>
        <v>#DIV/0!</v>
      </c>
      <c r="L1421" s="29" t="e">
        <f t="shared" ref="L1421" si="2126">IF(D1421="BUY",I1421+(R1421*B1421),I1421-(R1421*B1421))</f>
        <v>#DIV/0!</v>
      </c>
      <c r="M1421" s="29" t="e">
        <f>IF(D1420="BUY",E1420+(ROUND(F1420*M1420/B1420,0)*B1420),E1420-(ROUND(F1420*M1420/B1420,0)*B1420))</f>
        <v>#DIV/0!</v>
      </c>
      <c r="N1421" s="29" t="e">
        <f>IF(D1420="BUY",E1420-(ROUND(F1420*N1420/B1420,0)*B1420),E1420+(ROUND(F1420*N1420/B1420,0)*B1420))</f>
        <v>#DIV/0!</v>
      </c>
      <c r="O1421" s="31" t="e">
        <f>IF(D1421="BUY",N1421-VLOOKUP(A1421,Symbols!A$1:D$1000,4,FALSE),N1421+VLOOKUP(A1421,Symbols!A$1:D$1000,4,FALSE))</f>
        <v>#DIV/0!</v>
      </c>
      <c r="P1421" s="29">
        <f>P1420</f>
        <v>0</v>
      </c>
      <c r="Q1421" s="29">
        <f>Q1420</f>
        <v>0</v>
      </c>
      <c r="R1421" s="29">
        <f>R1420</f>
        <v>0</v>
      </c>
      <c r="S1421" s="29">
        <f>S1420</f>
        <v>0</v>
      </c>
      <c r="T1421" s="29">
        <f>T1420</f>
        <v>0</v>
      </c>
      <c r="U1421" s="29" t="e">
        <f>DATEDIF(DATE(1970,1,1),U1420,"D")*86400</f>
        <v>#NUM!</v>
      </c>
      <c r="V1421" s="29">
        <f>HOUR(V1420)*3600+MINUTE(V1420)*60+SECOND(V1420)</f>
        <v>0</v>
      </c>
      <c r="W1421" s="29" t="e">
        <f>DATEDIF(DATE(1970,1,1),W1420,"D")*86400</f>
        <v>#NUM!</v>
      </c>
      <c r="X1421" s="29">
        <f>HOUR(X1420)*3600+MINUTE(X1420)*60+SECOND(X1420)</f>
        <v>0</v>
      </c>
      <c r="Y1421" s="31">
        <f>(Y1420*B1421)</f>
        <v>0</v>
      </c>
      <c r="Z1421" s="29">
        <f>Z1420</f>
        <v>0</v>
      </c>
      <c r="AA1421" s="29" t="e">
        <f>DATEDIF(DATE(1970,1,1),AA1420,"D")*86400</f>
        <v>#NUM!</v>
      </c>
      <c r="AB1421" s="29">
        <f>HOUR(AB1420)*3600+MINUTE(AB1420)*60+SECOND(AB1420)</f>
        <v>0</v>
      </c>
      <c r="AC1421" s="29">
        <f>AC1420</f>
        <v>0</v>
      </c>
    </row>
    <row r="1422" spans="1:29">
      <c r="A1422" s="23">
        <f>Parameters!A712</f>
        <v>0</v>
      </c>
      <c r="B1422" s="23">
        <f>Parameters!B712</f>
        <v>0</v>
      </c>
      <c r="C1422" s="24">
        <f>Parameters!C712</f>
        <v>0</v>
      </c>
      <c r="D1422" s="24">
        <f>Parameters!D712</f>
        <v>0</v>
      </c>
      <c r="E1422" s="23">
        <f>Parameters!E712</f>
        <v>0</v>
      </c>
      <c r="F1422" s="23">
        <f>Parameters!F712</f>
        <v>0</v>
      </c>
      <c r="G1422" s="25">
        <f>Parameters!G712</f>
        <v>0</v>
      </c>
      <c r="H1422" s="25">
        <f>Parameters!H712</f>
        <v>0</v>
      </c>
      <c r="I1422" s="25">
        <f>Parameters!I712</f>
        <v>0</v>
      </c>
      <c r="J1422" s="25">
        <f>Parameters!J712</f>
        <v>0</v>
      </c>
      <c r="K1422" s="25">
        <f>Parameters!K712</f>
        <v>0</v>
      </c>
      <c r="L1422" s="26" t="e">
        <f t="shared" ref="L1422" si="2127">L1423</f>
        <v>#DIV/0!</v>
      </c>
      <c r="M1422" s="25">
        <f>Parameters!L712</f>
        <v>0</v>
      </c>
      <c r="N1422" s="25">
        <f>Parameters!M712</f>
        <v>0</v>
      </c>
      <c r="O1422" s="26" t="e">
        <f t="shared" ref="O1422" si="2128">O1423</f>
        <v>#DIV/0!</v>
      </c>
      <c r="P1422" s="23">
        <f>Parameters!N712</f>
        <v>0</v>
      </c>
      <c r="Q1422" s="23">
        <f>Parameters!O712</f>
        <v>0</v>
      </c>
      <c r="R1422" s="23">
        <f>Parameters!P712</f>
        <v>0</v>
      </c>
      <c r="S1422" s="23">
        <f>Parameters!Q712</f>
        <v>0</v>
      </c>
      <c r="T1422" s="23">
        <f>Parameters!R712</f>
        <v>0</v>
      </c>
      <c r="U1422" s="27">
        <f>Parameters!S712</f>
        <v>0</v>
      </c>
      <c r="V1422" s="28">
        <f>Parameters!T712</f>
        <v>0</v>
      </c>
      <c r="W1422" s="27">
        <f>Parameters!U712</f>
        <v>0</v>
      </c>
      <c r="X1422" s="28">
        <f>Parameters!V712</f>
        <v>0</v>
      </c>
      <c r="Y1422" s="25">
        <f>Parameters!W712</f>
        <v>0</v>
      </c>
      <c r="Z1422" s="23">
        <f>Parameters!X712</f>
        <v>0</v>
      </c>
      <c r="AA1422" s="27">
        <f>Parameters!Y712</f>
        <v>0</v>
      </c>
      <c r="AB1422" s="28">
        <f>Parameters!Z712</f>
        <v>0</v>
      </c>
      <c r="AC1422" s="23">
        <f>Parameters!AA712</f>
        <v>0</v>
      </c>
    </row>
    <row r="1423" spans="1:29">
      <c r="A1423" s="29" t="str">
        <f>UPPER(A1422)</f>
        <v>0</v>
      </c>
      <c r="B1423" s="29">
        <f>B1422</f>
        <v>0</v>
      </c>
      <c r="C1423" s="30">
        <f>C1422</f>
        <v>0</v>
      </c>
      <c r="D1423" s="30">
        <f>D1422</f>
        <v>0</v>
      </c>
      <c r="E1423" s="29">
        <f>E1422</f>
        <v>0</v>
      </c>
      <c r="F1423" s="29">
        <f>F1422</f>
        <v>0</v>
      </c>
      <c r="G1423" s="29" t="e">
        <f>IF(C1422=1,IF(D1422="BUY",E1422+(ROUND(F1422*G1422/B1422,0)*B1422),E1422-(ROUND(F1422*G1422/B1422,0)*B1422)),IF(D1422="BUY",E1422-(ROUND(F1422*G1422/B1422,0)*B1422),E1422+(ROUND(F1422*G1422/B1422,0)*B1422)))</f>
        <v>#DIV/0!</v>
      </c>
      <c r="H1423" s="29" t="e">
        <f>IF(C1422=1,IF(D1422="BUY",G1423-(ROUND(F1422*H1422/B1422,0)*B1422),G1423+(ROUND(F1422*H1422/B1422,0)*B1422)),IF(D1422="BUY",G1423+(ROUND(F1422*H1422/B1422,0)*B1422),G1423-(ROUND(F1422*H1422/B1422,0)*B1422)))</f>
        <v>#DIV/0!</v>
      </c>
      <c r="I1423" s="29" t="e">
        <f>IF(D1422="BUY",G1423+(ROUND(F1422*I1422/(B1422*100),0)*B1422),G1423-(ROUND(F1422*I1422/(B1422*100),0)*B1422))</f>
        <v>#DIV/0!</v>
      </c>
      <c r="J1423" s="29" t="e">
        <f>IF(C1422=1,IF(D1422="BUY",E1422+(ROUND(F1422*J1422/B1422,0)*B1422),E1422-(ROUND(F1422*J1422/B1422,0)*B1422)),IF(D1422="BUY",E1422-(ROUND(F1422*J1422/B1422,0)*B1422),E1422+(ROUND(F1422*J1422/B1422,0)*B1422)))</f>
        <v>#DIV/0!</v>
      </c>
      <c r="K1423" s="29" t="e">
        <f>IF(C1422=1,IF(D1422="BUY",E1422-(ROUND(F1422*K1422/B1422,0)*B1422),E1422+(ROUND(F1422*K1422/B1422,0)*B1422)),IF(D1422="BUY",E1422-(ROUND(F1422*K1422/B1422,0)*B1422),E1422+(ROUND(F1422*K1422/B1422,0)*B1422)))</f>
        <v>#DIV/0!</v>
      </c>
      <c r="L1423" s="29" t="e">
        <f t="shared" ref="L1423" si="2129">IF(D1423="BUY",I1423+(R1423*B1423),I1423-(R1423*B1423))</f>
        <v>#DIV/0!</v>
      </c>
      <c r="M1423" s="29" t="e">
        <f>IF(D1422="BUY",E1422+(ROUND(F1422*M1422/B1422,0)*B1422),E1422-(ROUND(F1422*M1422/B1422,0)*B1422))</f>
        <v>#DIV/0!</v>
      </c>
      <c r="N1423" s="29" t="e">
        <f>IF(D1422="BUY",E1422-(ROUND(F1422*N1422/B1422,0)*B1422),E1422+(ROUND(F1422*N1422/B1422,0)*B1422))</f>
        <v>#DIV/0!</v>
      </c>
      <c r="O1423" s="31" t="e">
        <f>IF(D1423="BUY",N1423-VLOOKUP(A1423,Symbols!A$1:D$1000,4,FALSE),N1423+VLOOKUP(A1423,Symbols!A$1:D$1000,4,FALSE))</f>
        <v>#DIV/0!</v>
      </c>
      <c r="P1423" s="29">
        <f>P1422</f>
        <v>0</v>
      </c>
      <c r="Q1423" s="29">
        <f>Q1422</f>
        <v>0</v>
      </c>
      <c r="R1423" s="29">
        <f>R1422</f>
        <v>0</v>
      </c>
      <c r="S1423" s="29">
        <f>S1422</f>
        <v>0</v>
      </c>
      <c r="T1423" s="29">
        <f>T1422</f>
        <v>0</v>
      </c>
      <c r="U1423" s="29" t="e">
        <f>DATEDIF(DATE(1970,1,1),U1422,"D")*86400</f>
        <v>#NUM!</v>
      </c>
      <c r="V1423" s="29">
        <f>HOUR(V1422)*3600+MINUTE(V1422)*60+SECOND(V1422)</f>
        <v>0</v>
      </c>
      <c r="W1423" s="29" t="e">
        <f>DATEDIF(DATE(1970,1,1),W1422,"D")*86400</f>
        <v>#NUM!</v>
      </c>
      <c r="X1423" s="29">
        <f>HOUR(X1422)*3600+MINUTE(X1422)*60+SECOND(X1422)</f>
        <v>0</v>
      </c>
      <c r="Y1423" s="31">
        <f>(Y1422*B1423)</f>
        <v>0</v>
      </c>
      <c r="Z1423" s="29">
        <f>Z1422</f>
        <v>0</v>
      </c>
      <c r="AA1423" s="29" t="e">
        <f>DATEDIF(DATE(1970,1,1),AA1422,"D")*86400</f>
        <v>#NUM!</v>
      </c>
      <c r="AB1423" s="29">
        <f>HOUR(AB1422)*3600+MINUTE(AB1422)*60+SECOND(AB1422)</f>
        <v>0</v>
      </c>
      <c r="AC1423" s="29">
        <f>AC1422</f>
        <v>0</v>
      </c>
    </row>
    <row r="1424" spans="1:29">
      <c r="A1424" s="23">
        <f>Parameters!A713</f>
        <v>0</v>
      </c>
      <c r="B1424" s="23">
        <f>Parameters!B713</f>
        <v>0</v>
      </c>
      <c r="C1424" s="24">
        <f>Parameters!C713</f>
        <v>0</v>
      </c>
      <c r="D1424" s="24">
        <f>Parameters!D713</f>
        <v>0</v>
      </c>
      <c r="E1424" s="23">
        <f>Parameters!E713</f>
        <v>0</v>
      </c>
      <c r="F1424" s="23">
        <f>Parameters!F713</f>
        <v>0</v>
      </c>
      <c r="G1424" s="25">
        <f>Parameters!G713</f>
        <v>0</v>
      </c>
      <c r="H1424" s="25">
        <f>Parameters!H713</f>
        <v>0</v>
      </c>
      <c r="I1424" s="25">
        <f>Parameters!I713</f>
        <v>0</v>
      </c>
      <c r="J1424" s="25">
        <f>Parameters!J713</f>
        <v>0</v>
      </c>
      <c r="K1424" s="25">
        <f>Parameters!K713</f>
        <v>0</v>
      </c>
      <c r="L1424" s="26" t="e">
        <f t="shared" ref="L1424" si="2130">L1425</f>
        <v>#DIV/0!</v>
      </c>
      <c r="M1424" s="25">
        <f>Parameters!L713</f>
        <v>0</v>
      </c>
      <c r="N1424" s="25">
        <f>Parameters!M713</f>
        <v>0</v>
      </c>
      <c r="O1424" s="26" t="e">
        <f t="shared" ref="O1424" si="2131">O1425</f>
        <v>#DIV/0!</v>
      </c>
      <c r="P1424" s="23">
        <f>Parameters!N713</f>
        <v>0</v>
      </c>
      <c r="Q1424" s="23">
        <f>Parameters!O713</f>
        <v>0</v>
      </c>
      <c r="R1424" s="23">
        <f>Parameters!P713</f>
        <v>0</v>
      </c>
      <c r="S1424" s="23">
        <f>Parameters!Q713</f>
        <v>0</v>
      </c>
      <c r="T1424" s="23">
        <f>Parameters!R713</f>
        <v>0</v>
      </c>
      <c r="U1424" s="27">
        <f>Parameters!S713</f>
        <v>0</v>
      </c>
      <c r="V1424" s="28">
        <f>Parameters!T713</f>
        <v>0</v>
      </c>
      <c r="W1424" s="27">
        <f>Parameters!U713</f>
        <v>0</v>
      </c>
      <c r="X1424" s="28">
        <f>Parameters!V713</f>
        <v>0</v>
      </c>
      <c r="Y1424" s="25">
        <f>Parameters!W713</f>
        <v>0</v>
      </c>
      <c r="Z1424" s="23">
        <f>Parameters!X713</f>
        <v>0</v>
      </c>
      <c r="AA1424" s="27">
        <f>Parameters!Y713</f>
        <v>0</v>
      </c>
      <c r="AB1424" s="28">
        <f>Parameters!Z713</f>
        <v>0</v>
      </c>
      <c r="AC1424" s="23">
        <f>Parameters!AA713</f>
        <v>0</v>
      </c>
    </row>
    <row r="1425" spans="1:29">
      <c r="A1425" s="29" t="str">
        <f>UPPER(A1424)</f>
        <v>0</v>
      </c>
      <c r="B1425" s="29">
        <f>B1424</f>
        <v>0</v>
      </c>
      <c r="C1425" s="30">
        <f>C1424</f>
        <v>0</v>
      </c>
      <c r="D1425" s="30">
        <f>D1424</f>
        <v>0</v>
      </c>
      <c r="E1425" s="29">
        <f>E1424</f>
        <v>0</v>
      </c>
      <c r="F1425" s="29">
        <f>F1424</f>
        <v>0</v>
      </c>
      <c r="G1425" s="29" t="e">
        <f>IF(C1424=1,IF(D1424="BUY",E1424+(ROUND(F1424*G1424/B1424,0)*B1424),E1424-(ROUND(F1424*G1424/B1424,0)*B1424)),IF(D1424="BUY",E1424-(ROUND(F1424*G1424/B1424,0)*B1424),E1424+(ROUND(F1424*G1424/B1424,0)*B1424)))</f>
        <v>#DIV/0!</v>
      </c>
      <c r="H1425" s="29" t="e">
        <f>IF(C1424=1,IF(D1424="BUY",G1425-(ROUND(F1424*H1424/B1424,0)*B1424),G1425+(ROUND(F1424*H1424/B1424,0)*B1424)),IF(D1424="BUY",G1425+(ROUND(F1424*H1424/B1424,0)*B1424),G1425-(ROUND(F1424*H1424/B1424,0)*B1424)))</f>
        <v>#DIV/0!</v>
      </c>
      <c r="I1425" s="29" t="e">
        <f>IF(D1424="BUY",G1425+(ROUND(F1424*I1424/(B1424*100),0)*B1424),G1425-(ROUND(F1424*I1424/(B1424*100),0)*B1424))</f>
        <v>#DIV/0!</v>
      </c>
      <c r="J1425" s="29" t="e">
        <f>IF(C1424=1,IF(D1424="BUY",E1424+(ROUND(F1424*J1424/B1424,0)*B1424),E1424-(ROUND(F1424*J1424/B1424,0)*B1424)),IF(D1424="BUY",E1424-(ROUND(F1424*J1424/B1424,0)*B1424),E1424+(ROUND(F1424*J1424/B1424,0)*B1424)))</f>
        <v>#DIV/0!</v>
      </c>
      <c r="K1425" s="29" t="e">
        <f>IF(C1424=1,IF(D1424="BUY",E1424-(ROUND(F1424*K1424/B1424,0)*B1424),E1424+(ROUND(F1424*K1424/B1424,0)*B1424)),IF(D1424="BUY",E1424-(ROUND(F1424*K1424/B1424,0)*B1424),E1424+(ROUND(F1424*K1424/B1424,0)*B1424)))</f>
        <v>#DIV/0!</v>
      </c>
      <c r="L1425" s="29" t="e">
        <f t="shared" ref="L1425" si="2132">IF(D1425="BUY",I1425+(R1425*B1425),I1425-(R1425*B1425))</f>
        <v>#DIV/0!</v>
      </c>
      <c r="M1425" s="29" t="e">
        <f>IF(D1424="BUY",E1424+(ROUND(F1424*M1424/B1424,0)*B1424),E1424-(ROUND(F1424*M1424/B1424,0)*B1424))</f>
        <v>#DIV/0!</v>
      </c>
      <c r="N1425" s="29" t="e">
        <f>IF(D1424="BUY",E1424-(ROUND(F1424*N1424/B1424,0)*B1424),E1424+(ROUND(F1424*N1424/B1424,0)*B1424))</f>
        <v>#DIV/0!</v>
      </c>
      <c r="O1425" s="31" t="e">
        <f>IF(D1425="BUY",N1425-VLOOKUP(A1425,Symbols!A$1:D$1000,4,FALSE),N1425+VLOOKUP(A1425,Symbols!A$1:D$1000,4,FALSE))</f>
        <v>#DIV/0!</v>
      </c>
      <c r="P1425" s="29">
        <f>P1424</f>
        <v>0</v>
      </c>
      <c r="Q1425" s="29">
        <f>Q1424</f>
        <v>0</v>
      </c>
      <c r="R1425" s="29">
        <f>R1424</f>
        <v>0</v>
      </c>
      <c r="S1425" s="29">
        <f>S1424</f>
        <v>0</v>
      </c>
      <c r="T1425" s="29">
        <f>T1424</f>
        <v>0</v>
      </c>
      <c r="U1425" s="29" t="e">
        <f>DATEDIF(DATE(1970,1,1),U1424,"D")*86400</f>
        <v>#NUM!</v>
      </c>
      <c r="V1425" s="29">
        <f>HOUR(V1424)*3600+MINUTE(V1424)*60+SECOND(V1424)</f>
        <v>0</v>
      </c>
      <c r="W1425" s="29" t="e">
        <f>DATEDIF(DATE(1970,1,1),W1424,"D")*86400</f>
        <v>#NUM!</v>
      </c>
      <c r="X1425" s="29">
        <f>HOUR(X1424)*3600+MINUTE(X1424)*60+SECOND(X1424)</f>
        <v>0</v>
      </c>
      <c r="Y1425" s="31">
        <f>(Y1424*B1425)</f>
        <v>0</v>
      </c>
      <c r="Z1425" s="29">
        <f>Z1424</f>
        <v>0</v>
      </c>
      <c r="AA1425" s="29" t="e">
        <f>DATEDIF(DATE(1970,1,1),AA1424,"D")*86400</f>
        <v>#NUM!</v>
      </c>
      <c r="AB1425" s="29">
        <f>HOUR(AB1424)*3600+MINUTE(AB1424)*60+SECOND(AB1424)</f>
        <v>0</v>
      </c>
      <c r="AC1425" s="29">
        <f>AC1424</f>
        <v>0</v>
      </c>
    </row>
    <row r="1426" spans="1:29">
      <c r="A1426" s="23">
        <f>Parameters!A714</f>
        <v>0</v>
      </c>
      <c r="B1426" s="23">
        <f>Parameters!B714</f>
        <v>0</v>
      </c>
      <c r="C1426" s="24">
        <f>Parameters!C714</f>
        <v>0</v>
      </c>
      <c r="D1426" s="24">
        <f>Parameters!D714</f>
        <v>0</v>
      </c>
      <c r="E1426" s="23">
        <f>Parameters!E714</f>
        <v>0</v>
      </c>
      <c r="F1426" s="23">
        <f>Parameters!F714</f>
        <v>0</v>
      </c>
      <c r="G1426" s="25">
        <f>Parameters!G714</f>
        <v>0</v>
      </c>
      <c r="H1426" s="25">
        <f>Parameters!H714</f>
        <v>0</v>
      </c>
      <c r="I1426" s="25">
        <f>Parameters!I714</f>
        <v>0</v>
      </c>
      <c r="J1426" s="25">
        <f>Parameters!J714</f>
        <v>0</v>
      </c>
      <c r="K1426" s="25">
        <f>Parameters!K714</f>
        <v>0</v>
      </c>
      <c r="L1426" s="26" t="e">
        <f t="shared" ref="L1426" si="2133">L1427</f>
        <v>#DIV/0!</v>
      </c>
      <c r="M1426" s="25">
        <f>Parameters!L714</f>
        <v>0</v>
      </c>
      <c r="N1426" s="25">
        <f>Parameters!M714</f>
        <v>0</v>
      </c>
      <c r="O1426" s="26" t="e">
        <f t="shared" ref="O1426" si="2134">O1427</f>
        <v>#DIV/0!</v>
      </c>
      <c r="P1426" s="23">
        <f>Parameters!N714</f>
        <v>0</v>
      </c>
      <c r="Q1426" s="23">
        <f>Parameters!O714</f>
        <v>0</v>
      </c>
      <c r="R1426" s="23">
        <f>Parameters!P714</f>
        <v>0</v>
      </c>
      <c r="S1426" s="23">
        <f>Parameters!Q714</f>
        <v>0</v>
      </c>
      <c r="T1426" s="23">
        <f>Parameters!R714</f>
        <v>0</v>
      </c>
      <c r="U1426" s="27">
        <f>Parameters!S714</f>
        <v>0</v>
      </c>
      <c r="V1426" s="28">
        <f>Parameters!T714</f>
        <v>0</v>
      </c>
      <c r="W1426" s="27">
        <f>Parameters!U714</f>
        <v>0</v>
      </c>
      <c r="X1426" s="28">
        <f>Parameters!V714</f>
        <v>0</v>
      </c>
      <c r="Y1426" s="25">
        <f>Parameters!W714</f>
        <v>0</v>
      </c>
      <c r="Z1426" s="23">
        <f>Parameters!X714</f>
        <v>0</v>
      </c>
      <c r="AA1426" s="27">
        <f>Parameters!Y714</f>
        <v>0</v>
      </c>
      <c r="AB1426" s="28">
        <f>Parameters!Z714</f>
        <v>0</v>
      </c>
      <c r="AC1426" s="23">
        <f>Parameters!AA714</f>
        <v>0</v>
      </c>
    </row>
    <row r="1427" spans="1:29">
      <c r="A1427" s="29" t="str">
        <f>UPPER(A1426)</f>
        <v>0</v>
      </c>
      <c r="B1427" s="29">
        <f>B1426</f>
        <v>0</v>
      </c>
      <c r="C1427" s="30">
        <f>C1426</f>
        <v>0</v>
      </c>
      <c r="D1427" s="30">
        <f>D1426</f>
        <v>0</v>
      </c>
      <c r="E1427" s="29">
        <f>E1426</f>
        <v>0</v>
      </c>
      <c r="F1427" s="29">
        <f>F1426</f>
        <v>0</v>
      </c>
      <c r="G1427" s="29" t="e">
        <f>IF(C1426=1,IF(D1426="BUY",E1426+(ROUND(F1426*G1426/B1426,0)*B1426),E1426-(ROUND(F1426*G1426/B1426,0)*B1426)),IF(D1426="BUY",E1426-(ROUND(F1426*G1426/B1426,0)*B1426),E1426+(ROUND(F1426*G1426/B1426,0)*B1426)))</f>
        <v>#DIV/0!</v>
      </c>
      <c r="H1427" s="29" t="e">
        <f>IF(C1426=1,IF(D1426="BUY",G1427-(ROUND(F1426*H1426/B1426,0)*B1426),G1427+(ROUND(F1426*H1426/B1426,0)*B1426)),IF(D1426="BUY",G1427+(ROUND(F1426*H1426/B1426,0)*B1426),G1427-(ROUND(F1426*H1426/B1426,0)*B1426)))</f>
        <v>#DIV/0!</v>
      </c>
      <c r="I1427" s="29" t="e">
        <f>IF(D1426="BUY",G1427+(ROUND(F1426*I1426/(B1426*100),0)*B1426),G1427-(ROUND(F1426*I1426/(B1426*100),0)*B1426))</f>
        <v>#DIV/0!</v>
      </c>
      <c r="J1427" s="29" t="e">
        <f>IF(C1426=1,IF(D1426="BUY",E1426+(ROUND(F1426*J1426/B1426,0)*B1426),E1426-(ROUND(F1426*J1426/B1426,0)*B1426)),IF(D1426="BUY",E1426-(ROUND(F1426*J1426/B1426,0)*B1426),E1426+(ROUND(F1426*J1426/B1426,0)*B1426)))</f>
        <v>#DIV/0!</v>
      </c>
      <c r="K1427" s="29" t="e">
        <f>IF(C1426=1,IF(D1426="BUY",E1426-(ROUND(F1426*K1426/B1426,0)*B1426),E1426+(ROUND(F1426*K1426/B1426,0)*B1426)),IF(D1426="BUY",E1426-(ROUND(F1426*K1426/B1426,0)*B1426),E1426+(ROUND(F1426*K1426/B1426,0)*B1426)))</f>
        <v>#DIV/0!</v>
      </c>
      <c r="L1427" s="29" t="e">
        <f t="shared" ref="L1427" si="2135">IF(D1427="BUY",I1427+(R1427*B1427),I1427-(R1427*B1427))</f>
        <v>#DIV/0!</v>
      </c>
      <c r="M1427" s="29" t="e">
        <f>IF(D1426="BUY",E1426+(ROUND(F1426*M1426/B1426,0)*B1426),E1426-(ROUND(F1426*M1426/B1426,0)*B1426))</f>
        <v>#DIV/0!</v>
      </c>
      <c r="N1427" s="29" t="e">
        <f>IF(D1426="BUY",E1426-(ROUND(F1426*N1426/B1426,0)*B1426),E1426+(ROUND(F1426*N1426/B1426,0)*B1426))</f>
        <v>#DIV/0!</v>
      </c>
      <c r="O1427" s="31" t="e">
        <f>IF(D1427="BUY",N1427-VLOOKUP(A1427,Symbols!A$1:D$1000,4,FALSE),N1427+VLOOKUP(A1427,Symbols!A$1:D$1000,4,FALSE))</f>
        <v>#DIV/0!</v>
      </c>
      <c r="P1427" s="29">
        <f>P1426</f>
        <v>0</v>
      </c>
      <c r="Q1427" s="29">
        <f>Q1426</f>
        <v>0</v>
      </c>
      <c r="R1427" s="29">
        <f>R1426</f>
        <v>0</v>
      </c>
      <c r="S1427" s="29">
        <f>S1426</f>
        <v>0</v>
      </c>
      <c r="T1427" s="29">
        <f>T1426</f>
        <v>0</v>
      </c>
      <c r="U1427" s="29" t="e">
        <f>DATEDIF(DATE(1970,1,1),U1426,"D")*86400</f>
        <v>#NUM!</v>
      </c>
      <c r="V1427" s="29">
        <f>HOUR(V1426)*3600+MINUTE(V1426)*60+SECOND(V1426)</f>
        <v>0</v>
      </c>
      <c r="W1427" s="29" t="e">
        <f>DATEDIF(DATE(1970,1,1),W1426,"D")*86400</f>
        <v>#NUM!</v>
      </c>
      <c r="X1427" s="29">
        <f>HOUR(X1426)*3600+MINUTE(X1426)*60+SECOND(X1426)</f>
        <v>0</v>
      </c>
      <c r="Y1427" s="31">
        <f>(Y1426*B1427)</f>
        <v>0</v>
      </c>
      <c r="Z1427" s="29">
        <f>Z1426</f>
        <v>0</v>
      </c>
      <c r="AA1427" s="29" t="e">
        <f>DATEDIF(DATE(1970,1,1),AA1426,"D")*86400</f>
        <v>#NUM!</v>
      </c>
      <c r="AB1427" s="29">
        <f>HOUR(AB1426)*3600+MINUTE(AB1426)*60+SECOND(AB1426)</f>
        <v>0</v>
      </c>
      <c r="AC1427" s="29">
        <f>AC1426</f>
        <v>0</v>
      </c>
    </row>
    <row r="1428" spans="1:29">
      <c r="A1428" s="23">
        <f>Parameters!A715</f>
        <v>0</v>
      </c>
      <c r="B1428" s="23">
        <f>Parameters!B715</f>
        <v>0</v>
      </c>
      <c r="C1428" s="24">
        <f>Parameters!C715</f>
        <v>0</v>
      </c>
      <c r="D1428" s="24">
        <f>Parameters!D715</f>
        <v>0</v>
      </c>
      <c r="E1428" s="23">
        <f>Parameters!E715</f>
        <v>0</v>
      </c>
      <c r="F1428" s="23">
        <f>Parameters!F715</f>
        <v>0</v>
      </c>
      <c r="G1428" s="25">
        <f>Parameters!G715</f>
        <v>0</v>
      </c>
      <c r="H1428" s="25">
        <f>Parameters!H715</f>
        <v>0</v>
      </c>
      <c r="I1428" s="25">
        <f>Parameters!I715</f>
        <v>0</v>
      </c>
      <c r="J1428" s="25">
        <f>Parameters!J715</f>
        <v>0</v>
      </c>
      <c r="K1428" s="25">
        <f>Parameters!K715</f>
        <v>0</v>
      </c>
      <c r="L1428" s="26" t="e">
        <f t="shared" ref="L1428" si="2136">L1429</f>
        <v>#DIV/0!</v>
      </c>
      <c r="M1428" s="25">
        <f>Parameters!L715</f>
        <v>0</v>
      </c>
      <c r="N1428" s="25">
        <f>Parameters!M715</f>
        <v>0</v>
      </c>
      <c r="O1428" s="26" t="e">
        <f t="shared" ref="O1428" si="2137">O1429</f>
        <v>#DIV/0!</v>
      </c>
      <c r="P1428" s="23">
        <f>Parameters!N715</f>
        <v>0</v>
      </c>
      <c r="Q1428" s="23">
        <f>Parameters!O715</f>
        <v>0</v>
      </c>
      <c r="R1428" s="23">
        <f>Parameters!P715</f>
        <v>0</v>
      </c>
      <c r="S1428" s="23">
        <f>Parameters!Q715</f>
        <v>0</v>
      </c>
      <c r="T1428" s="23">
        <f>Parameters!R715</f>
        <v>0</v>
      </c>
      <c r="U1428" s="27">
        <f>Parameters!S715</f>
        <v>0</v>
      </c>
      <c r="V1428" s="28">
        <f>Parameters!T715</f>
        <v>0</v>
      </c>
      <c r="W1428" s="27">
        <f>Parameters!U715</f>
        <v>0</v>
      </c>
      <c r="X1428" s="28">
        <f>Parameters!V715</f>
        <v>0</v>
      </c>
      <c r="Y1428" s="25">
        <f>Parameters!W715</f>
        <v>0</v>
      </c>
      <c r="Z1428" s="23">
        <f>Parameters!X715</f>
        <v>0</v>
      </c>
      <c r="AA1428" s="27">
        <f>Parameters!Y715</f>
        <v>0</v>
      </c>
      <c r="AB1428" s="28">
        <f>Parameters!Z715</f>
        <v>0</v>
      </c>
      <c r="AC1428" s="23">
        <f>Parameters!AA715</f>
        <v>0</v>
      </c>
    </row>
    <row r="1429" spans="1:29">
      <c r="A1429" s="29" t="str">
        <f>UPPER(A1428)</f>
        <v>0</v>
      </c>
      <c r="B1429" s="29">
        <f>B1428</f>
        <v>0</v>
      </c>
      <c r="C1429" s="30">
        <f>C1428</f>
        <v>0</v>
      </c>
      <c r="D1429" s="30">
        <f>D1428</f>
        <v>0</v>
      </c>
      <c r="E1429" s="29">
        <f>E1428</f>
        <v>0</v>
      </c>
      <c r="F1429" s="29">
        <f>F1428</f>
        <v>0</v>
      </c>
      <c r="G1429" s="29" t="e">
        <f>IF(C1428=1,IF(D1428="BUY",E1428+(ROUND(F1428*G1428/B1428,0)*B1428),E1428-(ROUND(F1428*G1428/B1428,0)*B1428)),IF(D1428="BUY",E1428-(ROUND(F1428*G1428/B1428,0)*B1428),E1428+(ROUND(F1428*G1428/B1428,0)*B1428)))</f>
        <v>#DIV/0!</v>
      </c>
      <c r="H1429" s="29" t="e">
        <f>IF(C1428=1,IF(D1428="BUY",G1429-(ROUND(F1428*H1428/B1428,0)*B1428),G1429+(ROUND(F1428*H1428/B1428,0)*B1428)),IF(D1428="BUY",G1429+(ROUND(F1428*H1428/B1428,0)*B1428),G1429-(ROUND(F1428*H1428/B1428,0)*B1428)))</f>
        <v>#DIV/0!</v>
      </c>
      <c r="I1429" s="29" t="e">
        <f>IF(D1428="BUY",G1429+(ROUND(F1428*I1428/(B1428*100),0)*B1428),G1429-(ROUND(F1428*I1428/(B1428*100),0)*B1428))</f>
        <v>#DIV/0!</v>
      </c>
      <c r="J1429" s="29" t="e">
        <f>IF(C1428=1,IF(D1428="BUY",E1428+(ROUND(F1428*J1428/B1428,0)*B1428),E1428-(ROUND(F1428*J1428/B1428,0)*B1428)),IF(D1428="BUY",E1428-(ROUND(F1428*J1428/B1428,0)*B1428),E1428+(ROUND(F1428*J1428/B1428,0)*B1428)))</f>
        <v>#DIV/0!</v>
      </c>
      <c r="K1429" s="29" t="e">
        <f>IF(C1428=1,IF(D1428="BUY",E1428-(ROUND(F1428*K1428/B1428,0)*B1428),E1428+(ROUND(F1428*K1428/B1428,0)*B1428)),IF(D1428="BUY",E1428-(ROUND(F1428*K1428/B1428,0)*B1428),E1428+(ROUND(F1428*K1428/B1428,0)*B1428)))</f>
        <v>#DIV/0!</v>
      </c>
      <c r="L1429" s="29" t="e">
        <f t="shared" ref="L1429" si="2138">IF(D1429="BUY",I1429+(R1429*B1429),I1429-(R1429*B1429))</f>
        <v>#DIV/0!</v>
      </c>
      <c r="M1429" s="29" t="e">
        <f>IF(D1428="BUY",E1428+(ROUND(F1428*M1428/B1428,0)*B1428),E1428-(ROUND(F1428*M1428/B1428,0)*B1428))</f>
        <v>#DIV/0!</v>
      </c>
      <c r="N1429" s="29" t="e">
        <f>IF(D1428="BUY",E1428-(ROUND(F1428*N1428/B1428,0)*B1428),E1428+(ROUND(F1428*N1428/B1428,0)*B1428))</f>
        <v>#DIV/0!</v>
      </c>
      <c r="O1429" s="31" t="e">
        <f>IF(D1429="BUY",N1429-VLOOKUP(A1429,Symbols!A$1:D$1000,4,FALSE),N1429+VLOOKUP(A1429,Symbols!A$1:D$1000,4,FALSE))</f>
        <v>#DIV/0!</v>
      </c>
      <c r="P1429" s="29">
        <f>P1428</f>
        <v>0</v>
      </c>
      <c r="Q1429" s="29">
        <f>Q1428</f>
        <v>0</v>
      </c>
      <c r="R1429" s="29">
        <f>R1428</f>
        <v>0</v>
      </c>
      <c r="S1429" s="29">
        <f>S1428</f>
        <v>0</v>
      </c>
      <c r="T1429" s="29">
        <f>T1428</f>
        <v>0</v>
      </c>
      <c r="U1429" s="29" t="e">
        <f>DATEDIF(DATE(1970,1,1),U1428,"D")*86400</f>
        <v>#NUM!</v>
      </c>
      <c r="V1429" s="29">
        <f>HOUR(V1428)*3600+MINUTE(V1428)*60+SECOND(V1428)</f>
        <v>0</v>
      </c>
      <c r="W1429" s="29" t="e">
        <f>DATEDIF(DATE(1970,1,1),W1428,"D")*86400</f>
        <v>#NUM!</v>
      </c>
      <c r="X1429" s="29">
        <f>HOUR(X1428)*3600+MINUTE(X1428)*60+SECOND(X1428)</f>
        <v>0</v>
      </c>
      <c r="Y1429" s="31">
        <f>(Y1428*B1429)</f>
        <v>0</v>
      </c>
      <c r="Z1429" s="29">
        <f>Z1428</f>
        <v>0</v>
      </c>
      <c r="AA1429" s="29" t="e">
        <f>DATEDIF(DATE(1970,1,1),AA1428,"D")*86400</f>
        <v>#NUM!</v>
      </c>
      <c r="AB1429" s="29">
        <f>HOUR(AB1428)*3600+MINUTE(AB1428)*60+SECOND(AB1428)</f>
        <v>0</v>
      </c>
      <c r="AC1429" s="29">
        <f>AC1428</f>
        <v>0</v>
      </c>
    </row>
    <row r="1430" spans="1:29">
      <c r="A1430" s="23">
        <f>Parameters!A716</f>
        <v>0</v>
      </c>
      <c r="B1430" s="23">
        <f>Parameters!B716</f>
        <v>0</v>
      </c>
      <c r="C1430" s="24">
        <f>Parameters!C716</f>
        <v>0</v>
      </c>
      <c r="D1430" s="24">
        <f>Parameters!D716</f>
        <v>0</v>
      </c>
      <c r="E1430" s="23">
        <f>Parameters!E716</f>
        <v>0</v>
      </c>
      <c r="F1430" s="23">
        <f>Parameters!F716</f>
        <v>0</v>
      </c>
      <c r="G1430" s="25">
        <f>Parameters!G716</f>
        <v>0</v>
      </c>
      <c r="H1430" s="25">
        <f>Parameters!H716</f>
        <v>0</v>
      </c>
      <c r="I1430" s="25">
        <f>Parameters!I716</f>
        <v>0</v>
      </c>
      <c r="J1430" s="25">
        <f>Parameters!J716</f>
        <v>0</v>
      </c>
      <c r="K1430" s="25">
        <f>Parameters!K716</f>
        <v>0</v>
      </c>
      <c r="L1430" s="26" t="e">
        <f t="shared" ref="L1430" si="2139">L1431</f>
        <v>#DIV/0!</v>
      </c>
      <c r="M1430" s="25">
        <f>Parameters!L716</f>
        <v>0</v>
      </c>
      <c r="N1430" s="25">
        <f>Parameters!M716</f>
        <v>0</v>
      </c>
      <c r="O1430" s="26" t="e">
        <f t="shared" ref="O1430" si="2140">O1431</f>
        <v>#DIV/0!</v>
      </c>
      <c r="P1430" s="23">
        <f>Parameters!N716</f>
        <v>0</v>
      </c>
      <c r="Q1430" s="23">
        <f>Parameters!O716</f>
        <v>0</v>
      </c>
      <c r="R1430" s="23">
        <f>Parameters!P716</f>
        <v>0</v>
      </c>
      <c r="S1430" s="23">
        <f>Parameters!Q716</f>
        <v>0</v>
      </c>
      <c r="T1430" s="23">
        <f>Parameters!R716</f>
        <v>0</v>
      </c>
      <c r="U1430" s="27">
        <f>Parameters!S716</f>
        <v>0</v>
      </c>
      <c r="V1430" s="28">
        <f>Parameters!T716</f>
        <v>0</v>
      </c>
      <c r="W1430" s="27">
        <f>Parameters!U716</f>
        <v>0</v>
      </c>
      <c r="X1430" s="28">
        <f>Parameters!V716</f>
        <v>0</v>
      </c>
      <c r="Y1430" s="25">
        <f>Parameters!W716</f>
        <v>0</v>
      </c>
      <c r="Z1430" s="23">
        <f>Parameters!X716</f>
        <v>0</v>
      </c>
      <c r="AA1430" s="27">
        <f>Parameters!Y716</f>
        <v>0</v>
      </c>
      <c r="AB1430" s="28">
        <f>Parameters!Z716</f>
        <v>0</v>
      </c>
      <c r="AC1430" s="23">
        <f>Parameters!AA716</f>
        <v>0</v>
      </c>
    </row>
    <row r="1431" spans="1:29">
      <c r="A1431" s="29" t="str">
        <f>UPPER(A1430)</f>
        <v>0</v>
      </c>
      <c r="B1431" s="29">
        <f>B1430</f>
        <v>0</v>
      </c>
      <c r="C1431" s="30">
        <f>C1430</f>
        <v>0</v>
      </c>
      <c r="D1431" s="30">
        <f>D1430</f>
        <v>0</v>
      </c>
      <c r="E1431" s="29">
        <f>E1430</f>
        <v>0</v>
      </c>
      <c r="F1431" s="29">
        <f>F1430</f>
        <v>0</v>
      </c>
      <c r="G1431" s="29" t="e">
        <f>IF(C1430=1,IF(D1430="BUY",E1430+(ROUND(F1430*G1430/B1430,0)*B1430),E1430-(ROUND(F1430*G1430/B1430,0)*B1430)),IF(D1430="BUY",E1430-(ROUND(F1430*G1430/B1430,0)*B1430),E1430+(ROUND(F1430*G1430/B1430,0)*B1430)))</f>
        <v>#DIV/0!</v>
      </c>
      <c r="H1431" s="29" t="e">
        <f>IF(C1430=1,IF(D1430="BUY",G1431-(ROUND(F1430*H1430/B1430,0)*B1430),G1431+(ROUND(F1430*H1430/B1430,0)*B1430)),IF(D1430="BUY",G1431+(ROUND(F1430*H1430/B1430,0)*B1430),G1431-(ROUND(F1430*H1430/B1430,0)*B1430)))</f>
        <v>#DIV/0!</v>
      </c>
      <c r="I1431" s="29" t="e">
        <f>IF(D1430="BUY",G1431+(ROUND(F1430*I1430/(B1430*100),0)*B1430),G1431-(ROUND(F1430*I1430/(B1430*100),0)*B1430))</f>
        <v>#DIV/0!</v>
      </c>
      <c r="J1431" s="29" t="e">
        <f>IF(C1430=1,IF(D1430="BUY",E1430+(ROUND(F1430*J1430/B1430,0)*B1430),E1430-(ROUND(F1430*J1430/B1430,0)*B1430)),IF(D1430="BUY",E1430-(ROUND(F1430*J1430/B1430,0)*B1430),E1430+(ROUND(F1430*J1430/B1430,0)*B1430)))</f>
        <v>#DIV/0!</v>
      </c>
      <c r="K1431" s="29" t="e">
        <f>IF(C1430=1,IF(D1430="BUY",E1430-(ROUND(F1430*K1430/B1430,0)*B1430),E1430+(ROUND(F1430*K1430/B1430,0)*B1430)),IF(D1430="BUY",E1430-(ROUND(F1430*K1430/B1430,0)*B1430),E1430+(ROUND(F1430*K1430/B1430,0)*B1430)))</f>
        <v>#DIV/0!</v>
      </c>
      <c r="L1431" s="29" t="e">
        <f t="shared" ref="L1431" si="2141">IF(D1431="BUY",I1431+(R1431*B1431),I1431-(R1431*B1431))</f>
        <v>#DIV/0!</v>
      </c>
      <c r="M1431" s="29" t="e">
        <f>IF(D1430="BUY",E1430+(ROUND(F1430*M1430/B1430,0)*B1430),E1430-(ROUND(F1430*M1430/B1430,0)*B1430))</f>
        <v>#DIV/0!</v>
      </c>
      <c r="N1431" s="29" t="e">
        <f>IF(D1430="BUY",E1430-(ROUND(F1430*N1430/B1430,0)*B1430),E1430+(ROUND(F1430*N1430/B1430,0)*B1430))</f>
        <v>#DIV/0!</v>
      </c>
      <c r="O1431" s="31" t="e">
        <f>IF(D1431="BUY",N1431-VLOOKUP(A1431,Symbols!A$1:D$1000,4,FALSE),N1431+VLOOKUP(A1431,Symbols!A$1:D$1000,4,FALSE))</f>
        <v>#DIV/0!</v>
      </c>
      <c r="P1431" s="29">
        <f>P1430</f>
        <v>0</v>
      </c>
      <c r="Q1431" s="29">
        <f>Q1430</f>
        <v>0</v>
      </c>
      <c r="R1431" s="29">
        <f>R1430</f>
        <v>0</v>
      </c>
      <c r="S1431" s="29">
        <f>S1430</f>
        <v>0</v>
      </c>
      <c r="T1431" s="29">
        <f>T1430</f>
        <v>0</v>
      </c>
      <c r="U1431" s="29" t="e">
        <f>DATEDIF(DATE(1970,1,1),U1430,"D")*86400</f>
        <v>#NUM!</v>
      </c>
      <c r="V1431" s="29">
        <f>HOUR(V1430)*3600+MINUTE(V1430)*60+SECOND(V1430)</f>
        <v>0</v>
      </c>
      <c r="W1431" s="29" t="e">
        <f>DATEDIF(DATE(1970,1,1),W1430,"D")*86400</f>
        <v>#NUM!</v>
      </c>
      <c r="X1431" s="29">
        <f>HOUR(X1430)*3600+MINUTE(X1430)*60+SECOND(X1430)</f>
        <v>0</v>
      </c>
      <c r="Y1431" s="31">
        <f>(Y1430*B1431)</f>
        <v>0</v>
      </c>
      <c r="Z1431" s="29">
        <f>Z1430</f>
        <v>0</v>
      </c>
      <c r="AA1431" s="29" t="e">
        <f>DATEDIF(DATE(1970,1,1),AA1430,"D")*86400</f>
        <v>#NUM!</v>
      </c>
      <c r="AB1431" s="29">
        <f>HOUR(AB1430)*3600+MINUTE(AB1430)*60+SECOND(AB1430)</f>
        <v>0</v>
      </c>
      <c r="AC1431" s="29">
        <f>AC1430</f>
        <v>0</v>
      </c>
    </row>
    <row r="1432" spans="1:29">
      <c r="A1432" s="23">
        <f>Parameters!A717</f>
        <v>0</v>
      </c>
      <c r="B1432" s="23">
        <f>Parameters!B717</f>
        <v>0</v>
      </c>
      <c r="C1432" s="24">
        <f>Parameters!C717</f>
        <v>0</v>
      </c>
      <c r="D1432" s="24">
        <f>Parameters!D717</f>
        <v>0</v>
      </c>
      <c r="E1432" s="23">
        <f>Parameters!E717</f>
        <v>0</v>
      </c>
      <c r="F1432" s="23">
        <f>Parameters!F717</f>
        <v>0</v>
      </c>
      <c r="G1432" s="25">
        <f>Parameters!G717</f>
        <v>0</v>
      </c>
      <c r="H1432" s="25">
        <f>Parameters!H717</f>
        <v>0</v>
      </c>
      <c r="I1432" s="25">
        <f>Parameters!I717</f>
        <v>0</v>
      </c>
      <c r="J1432" s="25">
        <f>Parameters!J717</f>
        <v>0</v>
      </c>
      <c r="K1432" s="25">
        <f>Parameters!K717</f>
        <v>0</v>
      </c>
      <c r="L1432" s="26" t="e">
        <f t="shared" ref="L1432" si="2142">L1433</f>
        <v>#DIV/0!</v>
      </c>
      <c r="M1432" s="25">
        <f>Parameters!L717</f>
        <v>0</v>
      </c>
      <c r="N1432" s="25">
        <f>Parameters!M717</f>
        <v>0</v>
      </c>
      <c r="O1432" s="26" t="e">
        <f t="shared" ref="O1432" si="2143">O1433</f>
        <v>#DIV/0!</v>
      </c>
      <c r="P1432" s="23">
        <f>Parameters!N717</f>
        <v>0</v>
      </c>
      <c r="Q1432" s="23">
        <f>Parameters!O717</f>
        <v>0</v>
      </c>
      <c r="R1432" s="23">
        <f>Parameters!P717</f>
        <v>0</v>
      </c>
      <c r="S1432" s="23">
        <f>Parameters!Q717</f>
        <v>0</v>
      </c>
      <c r="T1432" s="23">
        <f>Parameters!R717</f>
        <v>0</v>
      </c>
      <c r="U1432" s="27">
        <f>Parameters!S717</f>
        <v>0</v>
      </c>
      <c r="V1432" s="28">
        <f>Parameters!T717</f>
        <v>0</v>
      </c>
      <c r="W1432" s="27">
        <f>Parameters!U717</f>
        <v>0</v>
      </c>
      <c r="X1432" s="28">
        <f>Parameters!V717</f>
        <v>0</v>
      </c>
      <c r="Y1432" s="25">
        <f>Parameters!W717</f>
        <v>0</v>
      </c>
      <c r="Z1432" s="23">
        <f>Parameters!X717</f>
        <v>0</v>
      </c>
      <c r="AA1432" s="27">
        <f>Parameters!Y717</f>
        <v>0</v>
      </c>
      <c r="AB1432" s="28">
        <f>Parameters!Z717</f>
        <v>0</v>
      </c>
      <c r="AC1432" s="23">
        <f>Parameters!AA717</f>
        <v>0</v>
      </c>
    </row>
    <row r="1433" spans="1:29">
      <c r="A1433" s="29" t="str">
        <f>UPPER(A1432)</f>
        <v>0</v>
      </c>
      <c r="B1433" s="29">
        <f>B1432</f>
        <v>0</v>
      </c>
      <c r="C1433" s="30">
        <f>C1432</f>
        <v>0</v>
      </c>
      <c r="D1433" s="30">
        <f>D1432</f>
        <v>0</v>
      </c>
      <c r="E1433" s="29">
        <f>E1432</f>
        <v>0</v>
      </c>
      <c r="F1433" s="29">
        <f>F1432</f>
        <v>0</v>
      </c>
      <c r="G1433" s="29" t="e">
        <f>IF(C1432=1,IF(D1432="BUY",E1432+(ROUND(F1432*G1432/B1432,0)*B1432),E1432-(ROUND(F1432*G1432/B1432,0)*B1432)),IF(D1432="BUY",E1432-(ROUND(F1432*G1432/B1432,0)*B1432),E1432+(ROUND(F1432*G1432/B1432,0)*B1432)))</f>
        <v>#DIV/0!</v>
      </c>
      <c r="H1433" s="29" t="e">
        <f>IF(C1432=1,IF(D1432="BUY",G1433-(ROUND(F1432*H1432/B1432,0)*B1432),G1433+(ROUND(F1432*H1432/B1432,0)*B1432)),IF(D1432="BUY",G1433+(ROUND(F1432*H1432/B1432,0)*B1432),G1433-(ROUND(F1432*H1432/B1432,0)*B1432)))</f>
        <v>#DIV/0!</v>
      </c>
      <c r="I1433" s="29" t="e">
        <f>IF(D1432="BUY",G1433+(ROUND(F1432*I1432/(B1432*100),0)*B1432),G1433-(ROUND(F1432*I1432/(B1432*100),0)*B1432))</f>
        <v>#DIV/0!</v>
      </c>
      <c r="J1433" s="29" t="e">
        <f>IF(C1432=1,IF(D1432="BUY",E1432+(ROUND(F1432*J1432/B1432,0)*B1432),E1432-(ROUND(F1432*J1432/B1432,0)*B1432)),IF(D1432="BUY",E1432-(ROUND(F1432*J1432/B1432,0)*B1432),E1432+(ROUND(F1432*J1432/B1432,0)*B1432)))</f>
        <v>#DIV/0!</v>
      </c>
      <c r="K1433" s="29" t="e">
        <f>IF(C1432=1,IF(D1432="BUY",E1432-(ROUND(F1432*K1432/B1432,0)*B1432),E1432+(ROUND(F1432*K1432/B1432,0)*B1432)),IF(D1432="BUY",E1432-(ROUND(F1432*K1432/B1432,0)*B1432),E1432+(ROUND(F1432*K1432/B1432,0)*B1432)))</f>
        <v>#DIV/0!</v>
      </c>
      <c r="L1433" s="29" t="e">
        <f t="shared" ref="L1433" si="2144">IF(D1433="BUY",I1433+(R1433*B1433),I1433-(R1433*B1433))</f>
        <v>#DIV/0!</v>
      </c>
      <c r="M1433" s="29" t="e">
        <f>IF(D1432="BUY",E1432+(ROUND(F1432*M1432/B1432,0)*B1432),E1432-(ROUND(F1432*M1432/B1432,0)*B1432))</f>
        <v>#DIV/0!</v>
      </c>
      <c r="N1433" s="29" t="e">
        <f>IF(D1432="BUY",E1432-(ROUND(F1432*N1432/B1432,0)*B1432),E1432+(ROUND(F1432*N1432/B1432,0)*B1432))</f>
        <v>#DIV/0!</v>
      </c>
      <c r="O1433" s="31" t="e">
        <f>IF(D1433="BUY",N1433-VLOOKUP(A1433,Symbols!A$1:D$1000,4,FALSE),N1433+VLOOKUP(A1433,Symbols!A$1:D$1000,4,FALSE))</f>
        <v>#DIV/0!</v>
      </c>
      <c r="P1433" s="29">
        <f>P1432</f>
        <v>0</v>
      </c>
      <c r="Q1433" s="29">
        <f>Q1432</f>
        <v>0</v>
      </c>
      <c r="R1433" s="29">
        <f>R1432</f>
        <v>0</v>
      </c>
      <c r="S1433" s="29">
        <f>S1432</f>
        <v>0</v>
      </c>
      <c r="T1433" s="29">
        <f>T1432</f>
        <v>0</v>
      </c>
      <c r="U1433" s="29" t="e">
        <f>DATEDIF(DATE(1970,1,1),U1432,"D")*86400</f>
        <v>#NUM!</v>
      </c>
      <c r="V1433" s="29">
        <f>HOUR(V1432)*3600+MINUTE(V1432)*60+SECOND(V1432)</f>
        <v>0</v>
      </c>
      <c r="W1433" s="29" t="e">
        <f>DATEDIF(DATE(1970,1,1),W1432,"D")*86400</f>
        <v>#NUM!</v>
      </c>
      <c r="X1433" s="29">
        <f>HOUR(X1432)*3600+MINUTE(X1432)*60+SECOND(X1432)</f>
        <v>0</v>
      </c>
      <c r="Y1433" s="31">
        <f>(Y1432*B1433)</f>
        <v>0</v>
      </c>
      <c r="Z1433" s="29">
        <f>Z1432</f>
        <v>0</v>
      </c>
      <c r="AA1433" s="29" t="e">
        <f>DATEDIF(DATE(1970,1,1),AA1432,"D")*86400</f>
        <v>#NUM!</v>
      </c>
      <c r="AB1433" s="29">
        <f>HOUR(AB1432)*3600+MINUTE(AB1432)*60+SECOND(AB1432)</f>
        <v>0</v>
      </c>
      <c r="AC1433" s="29">
        <f>AC1432</f>
        <v>0</v>
      </c>
    </row>
    <row r="1434" spans="1:29">
      <c r="A1434" s="23">
        <f>Parameters!A718</f>
        <v>0</v>
      </c>
      <c r="B1434" s="23">
        <f>Parameters!B718</f>
        <v>0</v>
      </c>
      <c r="C1434" s="24">
        <f>Parameters!C718</f>
        <v>0</v>
      </c>
      <c r="D1434" s="24">
        <f>Parameters!D718</f>
        <v>0</v>
      </c>
      <c r="E1434" s="23">
        <f>Parameters!E718</f>
        <v>0</v>
      </c>
      <c r="F1434" s="23">
        <f>Parameters!F718</f>
        <v>0</v>
      </c>
      <c r="G1434" s="25">
        <f>Parameters!G718</f>
        <v>0</v>
      </c>
      <c r="H1434" s="25">
        <f>Parameters!H718</f>
        <v>0</v>
      </c>
      <c r="I1434" s="25">
        <f>Parameters!I718</f>
        <v>0</v>
      </c>
      <c r="J1434" s="25">
        <f>Parameters!J718</f>
        <v>0</v>
      </c>
      <c r="K1434" s="25">
        <f>Parameters!K718</f>
        <v>0</v>
      </c>
      <c r="L1434" s="26" t="e">
        <f t="shared" ref="L1434" si="2145">L1435</f>
        <v>#DIV/0!</v>
      </c>
      <c r="M1434" s="25">
        <f>Parameters!L718</f>
        <v>0</v>
      </c>
      <c r="N1434" s="25">
        <f>Parameters!M718</f>
        <v>0</v>
      </c>
      <c r="O1434" s="26" t="e">
        <f t="shared" ref="O1434" si="2146">O1435</f>
        <v>#DIV/0!</v>
      </c>
      <c r="P1434" s="23">
        <f>Parameters!N718</f>
        <v>0</v>
      </c>
      <c r="Q1434" s="23">
        <f>Parameters!O718</f>
        <v>0</v>
      </c>
      <c r="R1434" s="23">
        <f>Parameters!P718</f>
        <v>0</v>
      </c>
      <c r="S1434" s="23">
        <f>Parameters!Q718</f>
        <v>0</v>
      </c>
      <c r="T1434" s="23">
        <f>Parameters!R718</f>
        <v>0</v>
      </c>
      <c r="U1434" s="27">
        <f>Parameters!S718</f>
        <v>0</v>
      </c>
      <c r="V1434" s="28">
        <f>Parameters!T718</f>
        <v>0</v>
      </c>
      <c r="W1434" s="27">
        <f>Parameters!U718</f>
        <v>0</v>
      </c>
      <c r="X1434" s="28">
        <f>Parameters!V718</f>
        <v>0</v>
      </c>
      <c r="Y1434" s="25">
        <f>Parameters!W718</f>
        <v>0</v>
      </c>
      <c r="Z1434" s="23">
        <f>Parameters!X718</f>
        <v>0</v>
      </c>
      <c r="AA1434" s="27">
        <f>Parameters!Y718</f>
        <v>0</v>
      </c>
      <c r="AB1434" s="28">
        <f>Parameters!Z718</f>
        <v>0</v>
      </c>
      <c r="AC1434" s="23">
        <f>Parameters!AA718</f>
        <v>0</v>
      </c>
    </row>
    <row r="1435" spans="1:29">
      <c r="A1435" s="29" t="str">
        <f>UPPER(A1434)</f>
        <v>0</v>
      </c>
      <c r="B1435" s="29">
        <f>B1434</f>
        <v>0</v>
      </c>
      <c r="C1435" s="30">
        <f>C1434</f>
        <v>0</v>
      </c>
      <c r="D1435" s="30">
        <f>D1434</f>
        <v>0</v>
      </c>
      <c r="E1435" s="29">
        <f>E1434</f>
        <v>0</v>
      </c>
      <c r="F1435" s="29">
        <f>F1434</f>
        <v>0</v>
      </c>
      <c r="G1435" s="29" t="e">
        <f>IF(C1434=1,IF(D1434="BUY",E1434+(ROUND(F1434*G1434/B1434,0)*B1434),E1434-(ROUND(F1434*G1434/B1434,0)*B1434)),IF(D1434="BUY",E1434-(ROUND(F1434*G1434/B1434,0)*B1434),E1434+(ROUND(F1434*G1434/B1434,0)*B1434)))</f>
        <v>#DIV/0!</v>
      </c>
      <c r="H1435" s="29" t="e">
        <f>IF(C1434=1,IF(D1434="BUY",G1435-(ROUND(F1434*H1434/B1434,0)*B1434),G1435+(ROUND(F1434*H1434/B1434,0)*B1434)),IF(D1434="BUY",G1435+(ROUND(F1434*H1434/B1434,0)*B1434),G1435-(ROUND(F1434*H1434/B1434,0)*B1434)))</f>
        <v>#DIV/0!</v>
      </c>
      <c r="I1435" s="29" t="e">
        <f>IF(D1434="BUY",G1435+(ROUND(F1434*I1434/(B1434*100),0)*B1434),G1435-(ROUND(F1434*I1434/(B1434*100),0)*B1434))</f>
        <v>#DIV/0!</v>
      </c>
      <c r="J1435" s="29" t="e">
        <f>IF(C1434=1,IF(D1434="BUY",E1434+(ROUND(F1434*J1434/B1434,0)*B1434),E1434-(ROUND(F1434*J1434/B1434,0)*B1434)),IF(D1434="BUY",E1434-(ROUND(F1434*J1434/B1434,0)*B1434),E1434+(ROUND(F1434*J1434/B1434,0)*B1434)))</f>
        <v>#DIV/0!</v>
      </c>
      <c r="K1435" s="29" t="e">
        <f>IF(C1434=1,IF(D1434="BUY",E1434-(ROUND(F1434*K1434/B1434,0)*B1434),E1434+(ROUND(F1434*K1434/B1434,0)*B1434)),IF(D1434="BUY",E1434-(ROUND(F1434*K1434/B1434,0)*B1434),E1434+(ROUND(F1434*K1434/B1434,0)*B1434)))</f>
        <v>#DIV/0!</v>
      </c>
      <c r="L1435" s="29" t="e">
        <f t="shared" ref="L1435" si="2147">IF(D1435="BUY",I1435+(R1435*B1435),I1435-(R1435*B1435))</f>
        <v>#DIV/0!</v>
      </c>
      <c r="M1435" s="29" t="e">
        <f>IF(D1434="BUY",E1434+(ROUND(F1434*M1434/B1434,0)*B1434),E1434-(ROUND(F1434*M1434/B1434,0)*B1434))</f>
        <v>#DIV/0!</v>
      </c>
      <c r="N1435" s="29" t="e">
        <f>IF(D1434="BUY",E1434-(ROUND(F1434*N1434/B1434,0)*B1434),E1434+(ROUND(F1434*N1434/B1434,0)*B1434))</f>
        <v>#DIV/0!</v>
      </c>
      <c r="O1435" s="31" t="e">
        <f>IF(D1435="BUY",N1435-VLOOKUP(A1435,Symbols!A$1:D$1000,4,FALSE),N1435+VLOOKUP(A1435,Symbols!A$1:D$1000,4,FALSE))</f>
        <v>#DIV/0!</v>
      </c>
      <c r="P1435" s="29">
        <f>P1434</f>
        <v>0</v>
      </c>
      <c r="Q1435" s="29">
        <f>Q1434</f>
        <v>0</v>
      </c>
      <c r="R1435" s="29">
        <f>R1434</f>
        <v>0</v>
      </c>
      <c r="S1435" s="29">
        <f>S1434</f>
        <v>0</v>
      </c>
      <c r="T1435" s="29">
        <f>T1434</f>
        <v>0</v>
      </c>
      <c r="U1435" s="29" t="e">
        <f>DATEDIF(DATE(1970,1,1),U1434,"D")*86400</f>
        <v>#NUM!</v>
      </c>
      <c r="V1435" s="29">
        <f>HOUR(V1434)*3600+MINUTE(V1434)*60+SECOND(V1434)</f>
        <v>0</v>
      </c>
      <c r="W1435" s="29" t="e">
        <f>DATEDIF(DATE(1970,1,1),W1434,"D")*86400</f>
        <v>#NUM!</v>
      </c>
      <c r="X1435" s="29">
        <f>HOUR(X1434)*3600+MINUTE(X1434)*60+SECOND(X1434)</f>
        <v>0</v>
      </c>
      <c r="Y1435" s="31">
        <f>(Y1434*B1435)</f>
        <v>0</v>
      </c>
      <c r="Z1435" s="29">
        <f>Z1434</f>
        <v>0</v>
      </c>
      <c r="AA1435" s="29" t="e">
        <f>DATEDIF(DATE(1970,1,1),AA1434,"D")*86400</f>
        <v>#NUM!</v>
      </c>
      <c r="AB1435" s="29">
        <f>HOUR(AB1434)*3600+MINUTE(AB1434)*60+SECOND(AB1434)</f>
        <v>0</v>
      </c>
      <c r="AC1435" s="29">
        <f>AC1434</f>
        <v>0</v>
      </c>
    </row>
    <row r="1436" spans="1:29">
      <c r="A1436" s="23">
        <f>Parameters!A719</f>
        <v>0</v>
      </c>
      <c r="B1436" s="23">
        <f>Parameters!B719</f>
        <v>0</v>
      </c>
      <c r="C1436" s="24">
        <f>Parameters!C719</f>
        <v>0</v>
      </c>
      <c r="D1436" s="24">
        <f>Parameters!D719</f>
        <v>0</v>
      </c>
      <c r="E1436" s="23">
        <f>Parameters!E719</f>
        <v>0</v>
      </c>
      <c r="F1436" s="23">
        <f>Parameters!F719</f>
        <v>0</v>
      </c>
      <c r="G1436" s="25">
        <f>Parameters!G719</f>
        <v>0</v>
      </c>
      <c r="H1436" s="25">
        <f>Parameters!H719</f>
        <v>0</v>
      </c>
      <c r="I1436" s="25">
        <f>Parameters!I719</f>
        <v>0</v>
      </c>
      <c r="J1436" s="25">
        <f>Parameters!J719</f>
        <v>0</v>
      </c>
      <c r="K1436" s="25">
        <f>Parameters!K719</f>
        <v>0</v>
      </c>
      <c r="L1436" s="26" t="e">
        <f t="shared" ref="L1436" si="2148">L1437</f>
        <v>#DIV/0!</v>
      </c>
      <c r="M1436" s="25">
        <f>Parameters!L719</f>
        <v>0</v>
      </c>
      <c r="N1436" s="25">
        <f>Parameters!M719</f>
        <v>0</v>
      </c>
      <c r="O1436" s="26" t="e">
        <f t="shared" ref="O1436" si="2149">O1437</f>
        <v>#DIV/0!</v>
      </c>
      <c r="P1436" s="23">
        <f>Parameters!N719</f>
        <v>0</v>
      </c>
      <c r="Q1436" s="23">
        <f>Parameters!O719</f>
        <v>0</v>
      </c>
      <c r="R1436" s="23">
        <f>Parameters!P719</f>
        <v>0</v>
      </c>
      <c r="S1436" s="23">
        <f>Parameters!Q719</f>
        <v>0</v>
      </c>
      <c r="T1436" s="23">
        <f>Parameters!R719</f>
        <v>0</v>
      </c>
      <c r="U1436" s="27">
        <f>Parameters!S719</f>
        <v>0</v>
      </c>
      <c r="V1436" s="28">
        <f>Parameters!T719</f>
        <v>0</v>
      </c>
      <c r="W1436" s="27">
        <f>Parameters!U719</f>
        <v>0</v>
      </c>
      <c r="X1436" s="28">
        <f>Parameters!V719</f>
        <v>0</v>
      </c>
      <c r="Y1436" s="25">
        <f>Parameters!W719</f>
        <v>0</v>
      </c>
      <c r="Z1436" s="23">
        <f>Parameters!X719</f>
        <v>0</v>
      </c>
      <c r="AA1436" s="27">
        <f>Parameters!Y719</f>
        <v>0</v>
      </c>
      <c r="AB1436" s="28">
        <f>Parameters!Z719</f>
        <v>0</v>
      </c>
      <c r="AC1436" s="23">
        <f>Parameters!AA719</f>
        <v>0</v>
      </c>
    </row>
    <row r="1437" spans="1:29">
      <c r="A1437" s="29" t="str">
        <f>UPPER(A1436)</f>
        <v>0</v>
      </c>
      <c r="B1437" s="29">
        <f>B1436</f>
        <v>0</v>
      </c>
      <c r="C1437" s="30">
        <f>C1436</f>
        <v>0</v>
      </c>
      <c r="D1437" s="30">
        <f>D1436</f>
        <v>0</v>
      </c>
      <c r="E1437" s="29">
        <f>E1436</f>
        <v>0</v>
      </c>
      <c r="F1437" s="29">
        <f>F1436</f>
        <v>0</v>
      </c>
      <c r="G1437" s="29" t="e">
        <f>IF(C1436=1,IF(D1436="BUY",E1436+(ROUND(F1436*G1436/B1436,0)*B1436),E1436-(ROUND(F1436*G1436/B1436,0)*B1436)),IF(D1436="BUY",E1436-(ROUND(F1436*G1436/B1436,0)*B1436),E1436+(ROUND(F1436*G1436/B1436,0)*B1436)))</f>
        <v>#DIV/0!</v>
      </c>
      <c r="H1437" s="29" t="e">
        <f>IF(C1436=1,IF(D1436="BUY",G1437-(ROUND(F1436*H1436/B1436,0)*B1436),G1437+(ROUND(F1436*H1436/B1436,0)*B1436)),IF(D1436="BUY",G1437+(ROUND(F1436*H1436/B1436,0)*B1436),G1437-(ROUND(F1436*H1436/B1436,0)*B1436)))</f>
        <v>#DIV/0!</v>
      </c>
      <c r="I1437" s="29" t="e">
        <f>IF(D1436="BUY",G1437+(ROUND(F1436*I1436/(B1436*100),0)*B1436),G1437-(ROUND(F1436*I1436/(B1436*100),0)*B1436))</f>
        <v>#DIV/0!</v>
      </c>
      <c r="J1437" s="29" t="e">
        <f>IF(C1436=1,IF(D1436="BUY",E1436+(ROUND(F1436*J1436/B1436,0)*B1436),E1436-(ROUND(F1436*J1436/B1436,0)*B1436)),IF(D1436="BUY",E1436-(ROUND(F1436*J1436/B1436,0)*B1436),E1436+(ROUND(F1436*J1436/B1436,0)*B1436)))</f>
        <v>#DIV/0!</v>
      </c>
      <c r="K1437" s="29" t="e">
        <f>IF(C1436=1,IF(D1436="BUY",E1436-(ROUND(F1436*K1436/B1436,0)*B1436),E1436+(ROUND(F1436*K1436/B1436,0)*B1436)),IF(D1436="BUY",E1436-(ROUND(F1436*K1436/B1436,0)*B1436),E1436+(ROUND(F1436*K1436/B1436,0)*B1436)))</f>
        <v>#DIV/0!</v>
      </c>
      <c r="L1437" s="29" t="e">
        <f t="shared" ref="L1437" si="2150">IF(D1437="BUY",I1437+(R1437*B1437),I1437-(R1437*B1437))</f>
        <v>#DIV/0!</v>
      </c>
      <c r="M1437" s="29" t="e">
        <f>IF(D1436="BUY",E1436+(ROUND(F1436*M1436/B1436,0)*B1436),E1436-(ROUND(F1436*M1436/B1436,0)*B1436))</f>
        <v>#DIV/0!</v>
      </c>
      <c r="N1437" s="29" t="e">
        <f>IF(D1436="BUY",E1436-(ROUND(F1436*N1436/B1436,0)*B1436),E1436+(ROUND(F1436*N1436/B1436,0)*B1436))</f>
        <v>#DIV/0!</v>
      </c>
      <c r="O1437" s="31" t="e">
        <f>IF(D1437="BUY",N1437-VLOOKUP(A1437,Symbols!A$1:D$1000,4,FALSE),N1437+VLOOKUP(A1437,Symbols!A$1:D$1000,4,FALSE))</f>
        <v>#DIV/0!</v>
      </c>
      <c r="P1437" s="29">
        <f>P1436</f>
        <v>0</v>
      </c>
      <c r="Q1437" s="29">
        <f>Q1436</f>
        <v>0</v>
      </c>
      <c r="R1437" s="29">
        <f>R1436</f>
        <v>0</v>
      </c>
      <c r="S1437" s="29">
        <f>S1436</f>
        <v>0</v>
      </c>
      <c r="T1437" s="29">
        <f>T1436</f>
        <v>0</v>
      </c>
      <c r="U1437" s="29" t="e">
        <f>DATEDIF(DATE(1970,1,1),U1436,"D")*86400</f>
        <v>#NUM!</v>
      </c>
      <c r="V1437" s="29">
        <f>HOUR(V1436)*3600+MINUTE(V1436)*60+SECOND(V1436)</f>
        <v>0</v>
      </c>
      <c r="W1437" s="29" t="e">
        <f>DATEDIF(DATE(1970,1,1),W1436,"D")*86400</f>
        <v>#NUM!</v>
      </c>
      <c r="X1437" s="29">
        <f>HOUR(X1436)*3600+MINUTE(X1436)*60+SECOND(X1436)</f>
        <v>0</v>
      </c>
      <c r="Y1437" s="31">
        <f>(Y1436*B1437)</f>
        <v>0</v>
      </c>
      <c r="Z1437" s="29">
        <f>Z1436</f>
        <v>0</v>
      </c>
      <c r="AA1437" s="29" t="e">
        <f>DATEDIF(DATE(1970,1,1),AA1436,"D")*86400</f>
        <v>#NUM!</v>
      </c>
      <c r="AB1437" s="29">
        <f>HOUR(AB1436)*3600+MINUTE(AB1436)*60+SECOND(AB1436)</f>
        <v>0</v>
      </c>
      <c r="AC1437" s="29">
        <f>AC1436</f>
        <v>0</v>
      </c>
    </row>
    <row r="1438" spans="1:29">
      <c r="A1438" s="23">
        <f>Parameters!A720</f>
        <v>0</v>
      </c>
      <c r="B1438" s="23">
        <f>Parameters!B720</f>
        <v>0</v>
      </c>
      <c r="C1438" s="24">
        <f>Parameters!C720</f>
        <v>0</v>
      </c>
      <c r="D1438" s="24">
        <f>Parameters!D720</f>
        <v>0</v>
      </c>
      <c r="E1438" s="23">
        <f>Parameters!E720</f>
        <v>0</v>
      </c>
      <c r="F1438" s="23">
        <f>Parameters!F720</f>
        <v>0</v>
      </c>
      <c r="G1438" s="25">
        <f>Parameters!G720</f>
        <v>0</v>
      </c>
      <c r="H1438" s="25">
        <f>Parameters!H720</f>
        <v>0</v>
      </c>
      <c r="I1438" s="25">
        <f>Parameters!I720</f>
        <v>0</v>
      </c>
      <c r="J1438" s="25">
        <f>Parameters!J720</f>
        <v>0</v>
      </c>
      <c r="K1438" s="25">
        <f>Parameters!K720</f>
        <v>0</v>
      </c>
      <c r="L1438" s="26" t="e">
        <f t="shared" ref="L1438" si="2151">L1439</f>
        <v>#DIV/0!</v>
      </c>
      <c r="M1438" s="25">
        <f>Parameters!L720</f>
        <v>0</v>
      </c>
      <c r="N1438" s="25">
        <f>Parameters!M720</f>
        <v>0</v>
      </c>
      <c r="O1438" s="26" t="e">
        <f t="shared" ref="O1438" si="2152">O1439</f>
        <v>#DIV/0!</v>
      </c>
      <c r="P1438" s="23">
        <f>Parameters!N720</f>
        <v>0</v>
      </c>
      <c r="Q1438" s="23">
        <f>Parameters!O720</f>
        <v>0</v>
      </c>
      <c r="R1438" s="23">
        <f>Parameters!P720</f>
        <v>0</v>
      </c>
      <c r="S1438" s="23">
        <f>Parameters!Q720</f>
        <v>0</v>
      </c>
      <c r="T1438" s="23">
        <f>Parameters!R720</f>
        <v>0</v>
      </c>
      <c r="U1438" s="27">
        <f>Parameters!S720</f>
        <v>0</v>
      </c>
      <c r="V1438" s="28">
        <f>Parameters!T720</f>
        <v>0</v>
      </c>
      <c r="W1438" s="27">
        <f>Parameters!U720</f>
        <v>0</v>
      </c>
      <c r="X1438" s="28">
        <f>Parameters!V720</f>
        <v>0</v>
      </c>
      <c r="Y1438" s="25">
        <f>Parameters!W720</f>
        <v>0</v>
      </c>
      <c r="Z1438" s="23">
        <f>Parameters!X720</f>
        <v>0</v>
      </c>
      <c r="AA1438" s="27">
        <f>Parameters!Y720</f>
        <v>0</v>
      </c>
      <c r="AB1438" s="28">
        <f>Parameters!Z720</f>
        <v>0</v>
      </c>
      <c r="AC1438" s="23">
        <f>Parameters!AA720</f>
        <v>0</v>
      </c>
    </row>
    <row r="1439" spans="1:29">
      <c r="A1439" s="29" t="str">
        <f>UPPER(A1438)</f>
        <v>0</v>
      </c>
      <c r="B1439" s="29">
        <f>B1438</f>
        <v>0</v>
      </c>
      <c r="C1439" s="30">
        <f>C1438</f>
        <v>0</v>
      </c>
      <c r="D1439" s="30">
        <f>D1438</f>
        <v>0</v>
      </c>
      <c r="E1439" s="29">
        <f>E1438</f>
        <v>0</v>
      </c>
      <c r="F1439" s="29">
        <f>F1438</f>
        <v>0</v>
      </c>
      <c r="G1439" s="29" t="e">
        <f>IF(C1438=1,IF(D1438="BUY",E1438+(ROUND(F1438*G1438/B1438,0)*B1438),E1438-(ROUND(F1438*G1438/B1438,0)*B1438)),IF(D1438="BUY",E1438-(ROUND(F1438*G1438/B1438,0)*B1438),E1438+(ROUND(F1438*G1438/B1438,0)*B1438)))</f>
        <v>#DIV/0!</v>
      </c>
      <c r="H1439" s="29" t="e">
        <f>IF(C1438=1,IF(D1438="BUY",G1439-(ROUND(F1438*H1438/B1438,0)*B1438),G1439+(ROUND(F1438*H1438/B1438,0)*B1438)),IF(D1438="BUY",G1439+(ROUND(F1438*H1438/B1438,0)*B1438),G1439-(ROUND(F1438*H1438/B1438,0)*B1438)))</f>
        <v>#DIV/0!</v>
      </c>
      <c r="I1439" s="29" t="e">
        <f>IF(D1438="BUY",G1439+(ROUND(F1438*I1438/(B1438*100),0)*B1438),G1439-(ROUND(F1438*I1438/(B1438*100),0)*B1438))</f>
        <v>#DIV/0!</v>
      </c>
      <c r="J1439" s="29" t="e">
        <f>IF(C1438=1,IF(D1438="BUY",E1438+(ROUND(F1438*J1438/B1438,0)*B1438),E1438-(ROUND(F1438*J1438/B1438,0)*B1438)),IF(D1438="BUY",E1438-(ROUND(F1438*J1438/B1438,0)*B1438),E1438+(ROUND(F1438*J1438/B1438,0)*B1438)))</f>
        <v>#DIV/0!</v>
      </c>
      <c r="K1439" s="29" t="e">
        <f>IF(C1438=1,IF(D1438="BUY",E1438-(ROUND(F1438*K1438/B1438,0)*B1438),E1438+(ROUND(F1438*K1438/B1438,0)*B1438)),IF(D1438="BUY",E1438-(ROUND(F1438*K1438/B1438,0)*B1438),E1438+(ROUND(F1438*K1438/B1438,0)*B1438)))</f>
        <v>#DIV/0!</v>
      </c>
      <c r="L1439" s="29" t="e">
        <f t="shared" ref="L1439" si="2153">IF(D1439="BUY",I1439+(R1439*B1439),I1439-(R1439*B1439))</f>
        <v>#DIV/0!</v>
      </c>
      <c r="M1439" s="29" t="e">
        <f>IF(D1438="BUY",E1438+(ROUND(F1438*M1438/B1438,0)*B1438),E1438-(ROUND(F1438*M1438/B1438,0)*B1438))</f>
        <v>#DIV/0!</v>
      </c>
      <c r="N1439" s="29" t="e">
        <f>IF(D1438="BUY",E1438-(ROUND(F1438*N1438/B1438,0)*B1438),E1438+(ROUND(F1438*N1438/B1438,0)*B1438))</f>
        <v>#DIV/0!</v>
      </c>
      <c r="O1439" s="31" t="e">
        <f>IF(D1439="BUY",N1439-VLOOKUP(A1439,Symbols!A$1:D$1000,4,FALSE),N1439+VLOOKUP(A1439,Symbols!A$1:D$1000,4,FALSE))</f>
        <v>#DIV/0!</v>
      </c>
      <c r="P1439" s="29">
        <f>P1438</f>
        <v>0</v>
      </c>
      <c r="Q1439" s="29">
        <f>Q1438</f>
        <v>0</v>
      </c>
      <c r="R1439" s="29">
        <f>R1438</f>
        <v>0</v>
      </c>
      <c r="S1439" s="29">
        <f>S1438</f>
        <v>0</v>
      </c>
      <c r="T1439" s="29">
        <f>T1438</f>
        <v>0</v>
      </c>
      <c r="U1439" s="29" t="e">
        <f>DATEDIF(DATE(1970,1,1),U1438,"D")*86400</f>
        <v>#NUM!</v>
      </c>
      <c r="V1439" s="29">
        <f>HOUR(V1438)*3600+MINUTE(V1438)*60+SECOND(V1438)</f>
        <v>0</v>
      </c>
      <c r="W1439" s="29" t="e">
        <f>DATEDIF(DATE(1970,1,1),W1438,"D")*86400</f>
        <v>#NUM!</v>
      </c>
      <c r="X1439" s="29">
        <f>HOUR(X1438)*3600+MINUTE(X1438)*60+SECOND(X1438)</f>
        <v>0</v>
      </c>
      <c r="Y1439" s="31">
        <f>(Y1438*B1439)</f>
        <v>0</v>
      </c>
      <c r="Z1439" s="29">
        <f>Z1438</f>
        <v>0</v>
      </c>
      <c r="AA1439" s="29" t="e">
        <f>DATEDIF(DATE(1970,1,1),AA1438,"D")*86400</f>
        <v>#NUM!</v>
      </c>
      <c r="AB1439" s="29">
        <f>HOUR(AB1438)*3600+MINUTE(AB1438)*60+SECOND(AB1438)</f>
        <v>0</v>
      </c>
      <c r="AC1439" s="29">
        <f>AC1438</f>
        <v>0</v>
      </c>
    </row>
    <row r="1440" spans="1:29">
      <c r="A1440" s="23">
        <f>Parameters!A721</f>
        <v>0</v>
      </c>
      <c r="B1440" s="23">
        <f>Parameters!B721</f>
        <v>0</v>
      </c>
      <c r="C1440" s="24">
        <f>Parameters!C721</f>
        <v>0</v>
      </c>
      <c r="D1440" s="24">
        <f>Parameters!D721</f>
        <v>0</v>
      </c>
      <c r="E1440" s="23">
        <f>Parameters!E721</f>
        <v>0</v>
      </c>
      <c r="F1440" s="23">
        <f>Parameters!F721</f>
        <v>0</v>
      </c>
      <c r="G1440" s="25">
        <f>Parameters!G721</f>
        <v>0</v>
      </c>
      <c r="H1440" s="25">
        <f>Parameters!H721</f>
        <v>0</v>
      </c>
      <c r="I1440" s="25">
        <f>Parameters!I721</f>
        <v>0</v>
      </c>
      <c r="J1440" s="25">
        <f>Parameters!J721</f>
        <v>0</v>
      </c>
      <c r="K1440" s="25">
        <f>Parameters!K721</f>
        <v>0</v>
      </c>
      <c r="L1440" s="26" t="e">
        <f t="shared" ref="L1440" si="2154">L1441</f>
        <v>#DIV/0!</v>
      </c>
      <c r="M1440" s="25">
        <f>Parameters!L721</f>
        <v>0</v>
      </c>
      <c r="N1440" s="25">
        <f>Parameters!M721</f>
        <v>0</v>
      </c>
      <c r="O1440" s="26" t="e">
        <f t="shared" ref="O1440" si="2155">O1441</f>
        <v>#DIV/0!</v>
      </c>
      <c r="P1440" s="23">
        <f>Parameters!N721</f>
        <v>0</v>
      </c>
      <c r="Q1440" s="23">
        <f>Parameters!O721</f>
        <v>0</v>
      </c>
      <c r="R1440" s="23">
        <f>Parameters!P721</f>
        <v>0</v>
      </c>
      <c r="S1440" s="23">
        <f>Parameters!Q721</f>
        <v>0</v>
      </c>
      <c r="T1440" s="23">
        <f>Parameters!R721</f>
        <v>0</v>
      </c>
      <c r="U1440" s="27">
        <f>Parameters!S721</f>
        <v>0</v>
      </c>
      <c r="V1440" s="28">
        <f>Parameters!T721</f>
        <v>0</v>
      </c>
      <c r="W1440" s="27">
        <f>Parameters!U721</f>
        <v>0</v>
      </c>
      <c r="X1440" s="28">
        <f>Parameters!V721</f>
        <v>0</v>
      </c>
      <c r="Y1440" s="25">
        <f>Parameters!W721</f>
        <v>0</v>
      </c>
      <c r="Z1440" s="23">
        <f>Parameters!X721</f>
        <v>0</v>
      </c>
      <c r="AA1440" s="27">
        <f>Parameters!Y721</f>
        <v>0</v>
      </c>
      <c r="AB1440" s="28">
        <f>Parameters!Z721</f>
        <v>0</v>
      </c>
      <c r="AC1440" s="23">
        <f>Parameters!AA721</f>
        <v>0</v>
      </c>
    </row>
    <row r="1441" spans="1:29">
      <c r="A1441" s="29" t="str">
        <f>UPPER(A1440)</f>
        <v>0</v>
      </c>
      <c r="B1441" s="29">
        <f>B1440</f>
        <v>0</v>
      </c>
      <c r="C1441" s="30">
        <f>C1440</f>
        <v>0</v>
      </c>
      <c r="D1441" s="30">
        <f>D1440</f>
        <v>0</v>
      </c>
      <c r="E1441" s="29">
        <f>E1440</f>
        <v>0</v>
      </c>
      <c r="F1441" s="29">
        <f>F1440</f>
        <v>0</v>
      </c>
      <c r="G1441" s="29" t="e">
        <f>IF(C1440=1,IF(D1440="BUY",E1440+(ROUND(F1440*G1440/B1440,0)*B1440),E1440-(ROUND(F1440*G1440/B1440,0)*B1440)),IF(D1440="BUY",E1440-(ROUND(F1440*G1440/B1440,0)*B1440),E1440+(ROUND(F1440*G1440/B1440,0)*B1440)))</f>
        <v>#DIV/0!</v>
      </c>
      <c r="H1441" s="29" t="e">
        <f>IF(C1440=1,IF(D1440="BUY",G1441-(ROUND(F1440*H1440/B1440,0)*B1440),G1441+(ROUND(F1440*H1440/B1440,0)*B1440)),IF(D1440="BUY",G1441+(ROUND(F1440*H1440/B1440,0)*B1440),G1441-(ROUND(F1440*H1440/B1440,0)*B1440)))</f>
        <v>#DIV/0!</v>
      </c>
      <c r="I1441" s="29" t="e">
        <f>IF(D1440="BUY",G1441+(ROUND(F1440*I1440/(B1440*100),0)*B1440),G1441-(ROUND(F1440*I1440/(B1440*100),0)*B1440))</f>
        <v>#DIV/0!</v>
      </c>
      <c r="J1441" s="29" t="e">
        <f>IF(C1440=1,IF(D1440="BUY",E1440+(ROUND(F1440*J1440/B1440,0)*B1440),E1440-(ROUND(F1440*J1440/B1440,0)*B1440)),IF(D1440="BUY",E1440-(ROUND(F1440*J1440/B1440,0)*B1440),E1440+(ROUND(F1440*J1440/B1440,0)*B1440)))</f>
        <v>#DIV/0!</v>
      </c>
      <c r="K1441" s="29" t="e">
        <f>IF(C1440=1,IF(D1440="BUY",E1440-(ROUND(F1440*K1440/B1440,0)*B1440),E1440+(ROUND(F1440*K1440/B1440,0)*B1440)),IF(D1440="BUY",E1440-(ROUND(F1440*K1440/B1440,0)*B1440),E1440+(ROUND(F1440*K1440/B1440,0)*B1440)))</f>
        <v>#DIV/0!</v>
      </c>
      <c r="L1441" s="29" t="e">
        <f t="shared" ref="L1441" si="2156">IF(D1441="BUY",I1441+(R1441*B1441),I1441-(R1441*B1441))</f>
        <v>#DIV/0!</v>
      </c>
      <c r="M1441" s="29" t="e">
        <f>IF(D1440="BUY",E1440+(ROUND(F1440*M1440/B1440,0)*B1440),E1440-(ROUND(F1440*M1440/B1440,0)*B1440))</f>
        <v>#DIV/0!</v>
      </c>
      <c r="N1441" s="29" t="e">
        <f>IF(D1440="BUY",E1440-(ROUND(F1440*N1440/B1440,0)*B1440),E1440+(ROUND(F1440*N1440/B1440,0)*B1440))</f>
        <v>#DIV/0!</v>
      </c>
      <c r="O1441" s="31" t="e">
        <f>IF(D1441="BUY",N1441-VLOOKUP(A1441,Symbols!A$1:D$1000,4,FALSE),N1441+VLOOKUP(A1441,Symbols!A$1:D$1000,4,FALSE))</f>
        <v>#DIV/0!</v>
      </c>
      <c r="P1441" s="29">
        <f>P1440</f>
        <v>0</v>
      </c>
      <c r="Q1441" s="29">
        <f>Q1440</f>
        <v>0</v>
      </c>
      <c r="R1441" s="29">
        <f>R1440</f>
        <v>0</v>
      </c>
      <c r="S1441" s="29">
        <f>S1440</f>
        <v>0</v>
      </c>
      <c r="T1441" s="29">
        <f>T1440</f>
        <v>0</v>
      </c>
      <c r="U1441" s="29" t="e">
        <f>DATEDIF(DATE(1970,1,1),U1440,"D")*86400</f>
        <v>#NUM!</v>
      </c>
      <c r="V1441" s="29">
        <f>HOUR(V1440)*3600+MINUTE(V1440)*60+SECOND(V1440)</f>
        <v>0</v>
      </c>
      <c r="W1441" s="29" t="e">
        <f>DATEDIF(DATE(1970,1,1),W1440,"D")*86400</f>
        <v>#NUM!</v>
      </c>
      <c r="X1441" s="29">
        <f>HOUR(X1440)*3600+MINUTE(X1440)*60+SECOND(X1440)</f>
        <v>0</v>
      </c>
      <c r="Y1441" s="31">
        <f>(Y1440*B1441)</f>
        <v>0</v>
      </c>
      <c r="Z1441" s="29">
        <f>Z1440</f>
        <v>0</v>
      </c>
      <c r="AA1441" s="29" t="e">
        <f>DATEDIF(DATE(1970,1,1),AA1440,"D")*86400</f>
        <v>#NUM!</v>
      </c>
      <c r="AB1441" s="29">
        <f>HOUR(AB1440)*3600+MINUTE(AB1440)*60+SECOND(AB1440)</f>
        <v>0</v>
      </c>
      <c r="AC1441" s="29">
        <f>AC1440</f>
        <v>0</v>
      </c>
    </row>
    <row r="1442" spans="1:29">
      <c r="A1442" s="23">
        <f>Parameters!A722</f>
        <v>0</v>
      </c>
      <c r="B1442" s="23">
        <f>Parameters!B722</f>
        <v>0</v>
      </c>
      <c r="C1442" s="24">
        <f>Parameters!C722</f>
        <v>0</v>
      </c>
      <c r="D1442" s="24">
        <f>Parameters!D722</f>
        <v>0</v>
      </c>
      <c r="E1442" s="23">
        <f>Parameters!E722</f>
        <v>0</v>
      </c>
      <c r="F1442" s="23">
        <f>Parameters!F722</f>
        <v>0</v>
      </c>
      <c r="G1442" s="25">
        <f>Parameters!G722</f>
        <v>0</v>
      </c>
      <c r="H1442" s="25">
        <f>Parameters!H722</f>
        <v>0</v>
      </c>
      <c r="I1442" s="25">
        <f>Parameters!I722</f>
        <v>0</v>
      </c>
      <c r="J1442" s="25">
        <f>Parameters!J722</f>
        <v>0</v>
      </c>
      <c r="K1442" s="25">
        <f>Parameters!K722</f>
        <v>0</v>
      </c>
      <c r="L1442" s="26" t="e">
        <f t="shared" ref="L1442" si="2157">L1443</f>
        <v>#DIV/0!</v>
      </c>
      <c r="M1442" s="25">
        <f>Parameters!L722</f>
        <v>0</v>
      </c>
      <c r="N1442" s="25">
        <f>Parameters!M722</f>
        <v>0</v>
      </c>
      <c r="O1442" s="26" t="e">
        <f t="shared" ref="O1442" si="2158">O1443</f>
        <v>#DIV/0!</v>
      </c>
      <c r="P1442" s="23">
        <f>Parameters!N722</f>
        <v>0</v>
      </c>
      <c r="Q1442" s="23">
        <f>Parameters!O722</f>
        <v>0</v>
      </c>
      <c r="R1442" s="23">
        <f>Parameters!P722</f>
        <v>0</v>
      </c>
      <c r="S1442" s="23">
        <f>Parameters!Q722</f>
        <v>0</v>
      </c>
      <c r="T1442" s="23">
        <f>Parameters!R722</f>
        <v>0</v>
      </c>
      <c r="U1442" s="27">
        <f>Parameters!S722</f>
        <v>0</v>
      </c>
      <c r="V1442" s="28">
        <f>Parameters!T722</f>
        <v>0</v>
      </c>
      <c r="W1442" s="27">
        <f>Parameters!U722</f>
        <v>0</v>
      </c>
      <c r="X1442" s="28">
        <f>Parameters!V722</f>
        <v>0</v>
      </c>
      <c r="Y1442" s="25">
        <f>Parameters!W722</f>
        <v>0</v>
      </c>
      <c r="Z1442" s="23">
        <f>Parameters!X722</f>
        <v>0</v>
      </c>
      <c r="AA1442" s="27">
        <f>Parameters!Y722</f>
        <v>0</v>
      </c>
      <c r="AB1442" s="28">
        <f>Parameters!Z722</f>
        <v>0</v>
      </c>
      <c r="AC1442" s="23">
        <f>Parameters!AA722</f>
        <v>0</v>
      </c>
    </row>
    <row r="1443" spans="1:29">
      <c r="A1443" s="29" t="str">
        <f>UPPER(A1442)</f>
        <v>0</v>
      </c>
      <c r="B1443" s="29">
        <f>B1442</f>
        <v>0</v>
      </c>
      <c r="C1443" s="30">
        <f>C1442</f>
        <v>0</v>
      </c>
      <c r="D1443" s="30">
        <f>D1442</f>
        <v>0</v>
      </c>
      <c r="E1443" s="29">
        <f>E1442</f>
        <v>0</v>
      </c>
      <c r="F1443" s="29">
        <f>F1442</f>
        <v>0</v>
      </c>
      <c r="G1443" s="29" t="e">
        <f>IF(C1442=1,IF(D1442="BUY",E1442+(ROUND(F1442*G1442/B1442,0)*B1442),E1442-(ROUND(F1442*G1442/B1442,0)*B1442)),IF(D1442="BUY",E1442-(ROUND(F1442*G1442/B1442,0)*B1442),E1442+(ROUND(F1442*G1442/B1442,0)*B1442)))</f>
        <v>#DIV/0!</v>
      </c>
      <c r="H1443" s="29" t="e">
        <f>IF(C1442=1,IF(D1442="BUY",G1443-(ROUND(F1442*H1442/B1442,0)*B1442),G1443+(ROUND(F1442*H1442/B1442,0)*B1442)),IF(D1442="BUY",G1443+(ROUND(F1442*H1442/B1442,0)*B1442),G1443-(ROUND(F1442*H1442/B1442,0)*B1442)))</f>
        <v>#DIV/0!</v>
      </c>
      <c r="I1443" s="29" t="e">
        <f>IF(D1442="BUY",G1443+(ROUND(F1442*I1442/(B1442*100),0)*B1442),G1443-(ROUND(F1442*I1442/(B1442*100),0)*B1442))</f>
        <v>#DIV/0!</v>
      </c>
      <c r="J1443" s="29" t="e">
        <f>IF(C1442=1,IF(D1442="BUY",E1442+(ROUND(F1442*J1442/B1442,0)*B1442),E1442-(ROUND(F1442*J1442/B1442,0)*B1442)),IF(D1442="BUY",E1442-(ROUND(F1442*J1442/B1442,0)*B1442),E1442+(ROUND(F1442*J1442/B1442,0)*B1442)))</f>
        <v>#DIV/0!</v>
      </c>
      <c r="K1443" s="29" t="e">
        <f>IF(C1442=1,IF(D1442="BUY",E1442-(ROUND(F1442*K1442/B1442,0)*B1442),E1442+(ROUND(F1442*K1442/B1442,0)*B1442)),IF(D1442="BUY",E1442-(ROUND(F1442*K1442/B1442,0)*B1442),E1442+(ROUND(F1442*K1442/B1442,0)*B1442)))</f>
        <v>#DIV/0!</v>
      </c>
      <c r="L1443" s="29" t="e">
        <f t="shared" ref="L1443" si="2159">IF(D1443="BUY",I1443+(R1443*B1443),I1443-(R1443*B1443))</f>
        <v>#DIV/0!</v>
      </c>
      <c r="M1443" s="29" t="e">
        <f>IF(D1442="BUY",E1442+(ROUND(F1442*M1442/B1442,0)*B1442),E1442-(ROUND(F1442*M1442/B1442,0)*B1442))</f>
        <v>#DIV/0!</v>
      </c>
      <c r="N1443" s="29" t="e">
        <f>IF(D1442="BUY",E1442-(ROUND(F1442*N1442/B1442,0)*B1442),E1442+(ROUND(F1442*N1442/B1442,0)*B1442))</f>
        <v>#DIV/0!</v>
      </c>
      <c r="O1443" s="31" t="e">
        <f>IF(D1443="BUY",N1443-VLOOKUP(A1443,Symbols!A$1:D$1000,4,FALSE),N1443+VLOOKUP(A1443,Symbols!A$1:D$1000,4,FALSE))</f>
        <v>#DIV/0!</v>
      </c>
      <c r="P1443" s="29">
        <f>P1442</f>
        <v>0</v>
      </c>
      <c r="Q1443" s="29">
        <f>Q1442</f>
        <v>0</v>
      </c>
      <c r="R1443" s="29">
        <f>R1442</f>
        <v>0</v>
      </c>
      <c r="S1443" s="29">
        <f>S1442</f>
        <v>0</v>
      </c>
      <c r="T1443" s="29">
        <f>T1442</f>
        <v>0</v>
      </c>
      <c r="U1443" s="29" t="e">
        <f>DATEDIF(DATE(1970,1,1),U1442,"D")*86400</f>
        <v>#NUM!</v>
      </c>
      <c r="V1443" s="29">
        <f>HOUR(V1442)*3600+MINUTE(V1442)*60+SECOND(V1442)</f>
        <v>0</v>
      </c>
      <c r="W1443" s="29" t="e">
        <f>DATEDIF(DATE(1970,1,1),W1442,"D")*86400</f>
        <v>#NUM!</v>
      </c>
      <c r="X1443" s="29">
        <f>HOUR(X1442)*3600+MINUTE(X1442)*60+SECOND(X1442)</f>
        <v>0</v>
      </c>
      <c r="Y1443" s="31">
        <f>(Y1442*B1443)</f>
        <v>0</v>
      </c>
      <c r="Z1443" s="29">
        <f>Z1442</f>
        <v>0</v>
      </c>
      <c r="AA1443" s="29" t="e">
        <f>DATEDIF(DATE(1970,1,1),AA1442,"D")*86400</f>
        <v>#NUM!</v>
      </c>
      <c r="AB1443" s="29">
        <f>HOUR(AB1442)*3600+MINUTE(AB1442)*60+SECOND(AB1442)</f>
        <v>0</v>
      </c>
      <c r="AC1443" s="29">
        <f>AC1442</f>
        <v>0</v>
      </c>
    </row>
    <row r="1444" spans="1:29">
      <c r="A1444" s="23">
        <f>Parameters!A723</f>
        <v>0</v>
      </c>
      <c r="B1444" s="23">
        <f>Parameters!B723</f>
        <v>0</v>
      </c>
      <c r="C1444" s="24">
        <f>Parameters!C723</f>
        <v>0</v>
      </c>
      <c r="D1444" s="24">
        <f>Parameters!D723</f>
        <v>0</v>
      </c>
      <c r="E1444" s="23">
        <f>Parameters!E723</f>
        <v>0</v>
      </c>
      <c r="F1444" s="23">
        <f>Parameters!F723</f>
        <v>0</v>
      </c>
      <c r="G1444" s="25">
        <f>Parameters!G723</f>
        <v>0</v>
      </c>
      <c r="H1444" s="25">
        <f>Parameters!H723</f>
        <v>0</v>
      </c>
      <c r="I1444" s="25">
        <f>Parameters!I723</f>
        <v>0</v>
      </c>
      <c r="J1444" s="25">
        <f>Parameters!J723</f>
        <v>0</v>
      </c>
      <c r="K1444" s="25">
        <f>Parameters!K723</f>
        <v>0</v>
      </c>
      <c r="L1444" s="26" t="e">
        <f t="shared" ref="L1444" si="2160">L1445</f>
        <v>#DIV/0!</v>
      </c>
      <c r="M1444" s="25">
        <f>Parameters!L723</f>
        <v>0</v>
      </c>
      <c r="N1444" s="25">
        <f>Parameters!M723</f>
        <v>0</v>
      </c>
      <c r="O1444" s="26" t="e">
        <f t="shared" ref="O1444" si="2161">O1445</f>
        <v>#DIV/0!</v>
      </c>
      <c r="P1444" s="23">
        <f>Parameters!N723</f>
        <v>0</v>
      </c>
      <c r="Q1444" s="23">
        <f>Parameters!O723</f>
        <v>0</v>
      </c>
      <c r="R1444" s="23">
        <f>Parameters!P723</f>
        <v>0</v>
      </c>
      <c r="S1444" s="23">
        <f>Parameters!Q723</f>
        <v>0</v>
      </c>
      <c r="T1444" s="23">
        <f>Parameters!R723</f>
        <v>0</v>
      </c>
      <c r="U1444" s="27">
        <f>Parameters!S723</f>
        <v>0</v>
      </c>
      <c r="V1444" s="28">
        <f>Parameters!T723</f>
        <v>0</v>
      </c>
      <c r="W1444" s="27">
        <f>Parameters!U723</f>
        <v>0</v>
      </c>
      <c r="X1444" s="28">
        <f>Parameters!V723</f>
        <v>0</v>
      </c>
      <c r="Y1444" s="25">
        <f>Parameters!W723</f>
        <v>0</v>
      </c>
      <c r="Z1444" s="23">
        <f>Parameters!X723</f>
        <v>0</v>
      </c>
      <c r="AA1444" s="27">
        <f>Parameters!Y723</f>
        <v>0</v>
      </c>
      <c r="AB1444" s="28">
        <f>Parameters!Z723</f>
        <v>0</v>
      </c>
      <c r="AC1444" s="23">
        <f>Parameters!AA723</f>
        <v>0</v>
      </c>
    </row>
    <row r="1445" spans="1:29">
      <c r="A1445" s="29" t="str">
        <f>UPPER(A1444)</f>
        <v>0</v>
      </c>
      <c r="B1445" s="29">
        <f>B1444</f>
        <v>0</v>
      </c>
      <c r="C1445" s="30">
        <f>C1444</f>
        <v>0</v>
      </c>
      <c r="D1445" s="30">
        <f>D1444</f>
        <v>0</v>
      </c>
      <c r="E1445" s="29">
        <f>E1444</f>
        <v>0</v>
      </c>
      <c r="F1445" s="29">
        <f>F1444</f>
        <v>0</v>
      </c>
      <c r="G1445" s="29" t="e">
        <f>IF(C1444=1,IF(D1444="BUY",E1444+(ROUND(F1444*G1444/B1444,0)*B1444),E1444-(ROUND(F1444*G1444/B1444,0)*B1444)),IF(D1444="BUY",E1444-(ROUND(F1444*G1444/B1444,0)*B1444),E1444+(ROUND(F1444*G1444/B1444,0)*B1444)))</f>
        <v>#DIV/0!</v>
      </c>
      <c r="H1445" s="29" t="e">
        <f>IF(C1444=1,IF(D1444="BUY",G1445-(ROUND(F1444*H1444/B1444,0)*B1444),G1445+(ROUND(F1444*H1444/B1444,0)*B1444)),IF(D1444="BUY",G1445+(ROUND(F1444*H1444/B1444,0)*B1444),G1445-(ROUND(F1444*H1444/B1444,0)*B1444)))</f>
        <v>#DIV/0!</v>
      </c>
      <c r="I1445" s="29" t="e">
        <f>IF(D1444="BUY",G1445+(ROUND(F1444*I1444/(B1444*100),0)*B1444),G1445-(ROUND(F1444*I1444/(B1444*100),0)*B1444))</f>
        <v>#DIV/0!</v>
      </c>
      <c r="J1445" s="29" t="e">
        <f>IF(C1444=1,IF(D1444="BUY",E1444+(ROUND(F1444*J1444/B1444,0)*B1444),E1444-(ROUND(F1444*J1444/B1444,0)*B1444)),IF(D1444="BUY",E1444-(ROUND(F1444*J1444/B1444,0)*B1444),E1444+(ROUND(F1444*J1444/B1444,0)*B1444)))</f>
        <v>#DIV/0!</v>
      </c>
      <c r="K1445" s="29" t="e">
        <f>IF(C1444=1,IF(D1444="BUY",E1444-(ROUND(F1444*K1444/B1444,0)*B1444),E1444+(ROUND(F1444*K1444/B1444,0)*B1444)),IF(D1444="BUY",E1444-(ROUND(F1444*K1444/B1444,0)*B1444),E1444+(ROUND(F1444*K1444/B1444,0)*B1444)))</f>
        <v>#DIV/0!</v>
      </c>
      <c r="L1445" s="29" t="e">
        <f t="shared" ref="L1445" si="2162">IF(D1445="BUY",I1445+(R1445*B1445),I1445-(R1445*B1445))</f>
        <v>#DIV/0!</v>
      </c>
      <c r="M1445" s="29" t="e">
        <f>IF(D1444="BUY",E1444+(ROUND(F1444*M1444/B1444,0)*B1444),E1444-(ROUND(F1444*M1444/B1444,0)*B1444))</f>
        <v>#DIV/0!</v>
      </c>
      <c r="N1445" s="29" t="e">
        <f>IF(D1444="BUY",E1444-(ROUND(F1444*N1444/B1444,0)*B1444),E1444+(ROUND(F1444*N1444/B1444,0)*B1444))</f>
        <v>#DIV/0!</v>
      </c>
      <c r="O1445" s="31" t="e">
        <f>IF(D1445="BUY",N1445-VLOOKUP(A1445,Symbols!A$1:D$1000,4,FALSE),N1445+VLOOKUP(A1445,Symbols!A$1:D$1000,4,FALSE))</f>
        <v>#DIV/0!</v>
      </c>
      <c r="P1445" s="29">
        <f>P1444</f>
        <v>0</v>
      </c>
      <c r="Q1445" s="29">
        <f>Q1444</f>
        <v>0</v>
      </c>
      <c r="R1445" s="29">
        <f>R1444</f>
        <v>0</v>
      </c>
      <c r="S1445" s="29">
        <f>S1444</f>
        <v>0</v>
      </c>
      <c r="T1445" s="29">
        <f>T1444</f>
        <v>0</v>
      </c>
      <c r="U1445" s="29" t="e">
        <f>DATEDIF(DATE(1970,1,1),U1444,"D")*86400</f>
        <v>#NUM!</v>
      </c>
      <c r="V1445" s="29">
        <f>HOUR(V1444)*3600+MINUTE(V1444)*60+SECOND(V1444)</f>
        <v>0</v>
      </c>
      <c r="W1445" s="29" t="e">
        <f>DATEDIF(DATE(1970,1,1),W1444,"D")*86400</f>
        <v>#NUM!</v>
      </c>
      <c r="X1445" s="29">
        <f>HOUR(X1444)*3600+MINUTE(X1444)*60+SECOND(X1444)</f>
        <v>0</v>
      </c>
      <c r="Y1445" s="31">
        <f>(Y1444*B1445)</f>
        <v>0</v>
      </c>
      <c r="Z1445" s="29">
        <f>Z1444</f>
        <v>0</v>
      </c>
      <c r="AA1445" s="29" t="e">
        <f>DATEDIF(DATE(1970,1,1),AA1444,"D")*86400</f>
        <v>#NUM!</v>
      </c>
      <c r="AB1445" s="29">
        <f>HOUR(AB1444)*3600+MINUTE(AB1444)*60+SECOND(AB1444)</f>
        <v>0</v>
      </c>
      <c r="AC1445" s="29">
        <f>AC1444</f>
        <v>0</v>
      </c>
    </row>
    <row r="1446" spans="1:29">
      <c r="A1446" s="23">
        <f>Parameters!A724</f>
        <v>0</v>
      </c>
      <c r="B1446" s="23">
        <f>Parameters!B724</f>
        <v>0</v>
      </c>
      <c r="C1446" s="24">
        <f>Parameters!C724</f>
        <v>0</v>
      </c>
      <c r="D1446" s="24">
        <f>Parameters!D724</f>
        <v>0</v>
      </c>
      <c r="E1446" s="23">
        <f>Parameters!E724</f>
        <v>0</v>
      </c>
      <c r="F1446" s="23">
        <f>Parameters!F724</f>
        <v>0</v>
      </c>
      <c r="G1446" s="25">
        <f>Parameters!G724</f>
        <v>0</v>
      </c>
      <c r="H1446" s="25">
        <f>Parameters!H724</f>
        <v>0</v>
      </c>
      <c r="I1446" s="25">
        <f>Parameters!I724</f>
        <v>0</v>
      </c>
      <c r="J1446" s="25">
        <f>Parameters!J724</f>
        <v>0</v>
      </c>
      <c r="K1446" s="25">
        <f>Parameters!K724</f>
        <v>0</v>
      </c>
      <c r="L1446" s="26" t="e">
        <f t="shared" ref="L1446" si="2163">L1447</f>
        <v>#DIV/0!</v>
      </c>
      <c r="M1446" s="25">
        <f>Parameters!L724</f>
        <v>0</v>
      </c>
      <c r="N1446" s="25">
        <f>Parameters!M724</f>
        <v>0</v>
      </c>
      <c r="O1446" s="26" t="e">
        <f t="shared" ref="O1446" si="2164">O1447</f>
        <v>#DIV/0!</v>
      </c>
      <c r="P1446" s="23">
        <f>Parameters!N724</f>
        <v>0</v>
      </c>
      <c r="Q1446" s="23">
        <f>Parameters!O724</f>
        <v>0</v>
      </c>
      <c r="R1446" s="23">
        <f>Parameters!P724</f>
        <v>0</v>
      </c>
      <c r="S1446" s="23">
        <f>Parameters!Q724</f>
        <v>0</v>
      </c>
      <c r="T1446" s="23">
        <f>Parameters!R724</f>
        <v>0</v>
      </c>
      <c r="U1446" s="27">
        <f>Parameters!S724</f>
        <v>0</v>
      </c>
      <c r="V1446" s="28">
        <f>Parameters!T724</f>
        <v>0</v>
      </c>
      <c r="W1446" s="27">
        <f>Parameters!U724</f>
        <v>0</v>
      </c>
      <c r="X1446" s="28">
        <f>Parameters!V724</f>
        <v>0</v>
      </c>
      <c r="Y1446" s="25">
        <f>Parameters!W724</f>
        <v>0</v>
      </c>
      <c r="Z1446" s="23">
        <f>Parameters!X724</f>
        <v>0</v>
      </c>
      <c r="AA1446" s="27">
        <f>Parameters!Y724</f>
        <v>0</v>
      </c>
      <c r="AB1446" s="28">
        <f>Parameters!Z724</f>
        <v>0</v>
      </c>
      <c r="AC1446" s="23">
        <f>Parameters!AA724</f>
        <v>0</v>
      </c>
    </row>
    <row r="1447" spans="1:29">
      <c r="A1447" s="29" t="str">
        <f>UPPER(A1446)</f>
        <v>0</v>
      </c>
      <c r="B1447" s="29">
        <f>B1446</f>
        <v>0</v>
      </c>
      <c r="C1447" s="30">
        <f>C1446</f>
        <v>0</v>
      </c>
      <c r="D1447" s="30">
        <f>D1446</f>
        <v>0</v>
      </c>
      <c r="E1447" s="29">
        <f>E1446</f>
        <v>0</v>
      </c>
      <c r="F1447" s="29">
        <f>F1446</f>
        <v>0</v>
      </c>
      <c r="G1447" s="29" t="e">
        <f>IF(C1446=1,IF(D1446="BUY",E1446+(ROUND(F1446*G1446/B1446,0)*B1446),E1446-(ROUND(F1446*G1446/B1446,0)*B1446)),IF(D1446="BUY",E1446-(ROUND(F1446*G1446/B1446,0)*B1446),E1446+(ROUND(F1446*G1446/B1446,0)*B1446)))</f>
        <v>#DIV/0!</v>
      </c>
      <c r="H1447" s="29" t="e">
        <f>IF(C1446=1,IF(D1446="BUY",G1447-(ROUND(F1446*H1446/B1446,0)*B1446),G1447+(ROUND(F1446*H1446/B1446,0)*B1446)),IF(D1446="BUY",G1447+(ROUND(F1446*H1446/B1446,0)*B1446),G1447-(ROUND(F1446*H1446/B1446,0)*B1446)))</f>
        <v>#DIV/0!</v>
      </c>
      <c r="I1447" s="29" t="e">
        <f>IF(D1446="BUY",G1447+(ROUND(F1446*I1446/(B1446*100),0)*B1446),G1447-(ROUND(F1446*I1446/(B1446*100),0)*B1446))</f>
        <v>#DIV/0!</v>
      </c>
      <c r="J1447" s="29" t="e">
        <f>IF(C1446=1,IF(D1446="BUY",E1446+(ROUND(F1446*J1446/B1446,0)*B1446),E1446-(ROUND(F1446*J1446/B1446,0)*B1446)),IF(D1446="BUY",E1446-(ROUND(F1446*J1446/B1446,0)*B1446),E1446+(ROUND(F1446*J1446/B1446,0)*B1446)))</f>
        <v>#DIV/0!</v>
      </c>
      <c r="K1447" s="29" t="e">
        <f>IF(C1446=1,IF(D1446="BUY",E1446-(ROUND(F1446*K1446/B1446,0)*B1446),E1446+(ROUND(F1446*K1446/B1446,0)*B1446)),IF(D1446="BUY",E1446-(ROUND(F1446*K1446/B1446,0)*B1446),E1446+(ROUND(F1446*K1446/B1446,0)*B1446)))</f>
        <v>#DIV/0!</v>
      </c>
      <c r="L1447" s="29" t="e">
        <f t="shared" ref="L1447" si="2165">IF(D1447="BUY",I1447+(R1447*B1447),I1447-(R1447*B1447))</f>
        <v>#DIV/0!</v>
      </c>
      <c r="M1447" s="29" t="e">
        <f>IF(D1446="BUY",E1446+(ROUND(F1446*M1446/B1446,0)*B1446),E1446-(ROUND(F1446*M1446/B1446,0)*B1446))</f>
        <v>#DIV/0!</v>
      </c>
      <c r="N1447" s="29" t="e">
        <f>IF(D1446="BUY",E1446-(ROUND(F1446*N1446/B1446,0)*B1446),E1446+(ROUND(F1446*N1446/B1446,0)*B1446))</f>
        <v>#DIV/0!</v>
      </c>
      <c r="O1447" s="31" t="e">
        <f>IF(D1447="BUY",N1447-VLOOKUP(A1447,Symbols!A$1:D$1000,4,FALSE),N1447+VLOOKUP(A1447,Symbols!A$1:D$1000,4,FALSE))</f>
        <v>#DIV/0!</v>
      </c>
      <c r="P1447" s="29">
        <f>P1446</f>
        <v>0</v>
      </c>
      <c r="Q1447" s="29">
        <f>Q1446</f>
        <v>0</v>
      </c>
      <c r="R1447" s="29">
        <f>R1446</f>
        <v>0</v>
      </c>
      <c r="S1447" s="29">
        <f>S1446</f>
        <v>0</v>
      </c>
      <c r="T1447" s="29">
        <f>T1446</f>
        <v>0</v>
      </c>
      <c r="U1447" s="29" t="e">
        <f>DATEDIF(DATE(1970,1,1),U1446,"D")*86400</f>
        <v>#NUM!</v>
      </c>
      <c r="V1447" s="29">
        <f>HOUR(V1446)*3600+MINUTE(V1446)*60+SECOND(V1446)</f>
        <v>0</v>
      </c>
      <c r="W1447" s="29" t="e">
        <f>DATEDIF(DATE(1970,1,1),W1446,"D")*86400</f>
        <v>#NUM!</v>
      </c>
      <c r="X1447" s="29">
        <f>HOUR(X1446)*3600+MINUTE(X1446)*60+SECOND(X1446)</f>
        <v>0</v>
      </c>
      <c r="Y1447" s="31">
        <f>(Y1446*B1447)</f>
        <v>0</v>
      </c>
      <c r="Z1447" s="29">
        <f>Z1446</f>
        <v>0</v>
      </c>
      <c r="AA1447" s="29" t="e">
        <f>DATEDIF(DATE(1970,1,1),AA1446,"D")*86400</f>
        <v>#NUM!</v>
      </c>
      <c r="AB1447" s="29">
        <f>HOUR(AB1446)*3600+MINUTE(AB1446)*60+SECOND(AB1446)</f>
        <v>0</v>
      </c>
      <c r="AC1447" s="29">
        <f>AC1446</f>
        <v>0</v>
      </c>
    </row>
    <row r="1448" spans="1:29">
      <c r="A1448" s="23">
        <f>Parameters!A725</f>
        <v>0</v>
      </c>
      <c r="B1448" s="23">
        <f>Parameters!B725</f>
        <v>0</v>
      </c>
      <c r="C1448" s="24">
        <f>Parameters!C725</f>
        <v>0</v>
      </c>
      <c r="D1448" s="24">
        <f>Parameters!D725</f>
        <v>0</v>
      </c>
      <c r="E1448" s="23">
        <f>Parameters!E725</f>
        <v>0</v>
      </c>
      <c r="F1448" s="23">
        <f>Parameters!F725</f>
        <v>0</v>
      </c>
      <c r="G1448" s="25">
        <f>Parameters!G725</f>
        <v>0</v>
      </c>
      <c r="H1448" s="25">
        <f>Parameters!H725</f>
        <v>0</v>
      </c>
      <c r="I1448" s="25">
        <f>Parameters!I725</f>
        <v>0</v>
      </c>
      <c r="J1448" s="25">
        <f>Parameters!J725</f>
        <v>0</v>
      </c>
      <c r="K1448" s="25">
        <f>Parameters!K725</f>
        <v>0</v>
      </c>
      <c r="L1448" s="26" t="e">
        <f t="shared" ref="L1448" si="2166">L1449</f>
        <v>#DIV/0!</v>
      </c>
      <c r="M1448" s="25">
        <f>Parameters!L725</f>
        <v>0</v>
      </c>
      <c r="N1448" s="25">
        <f>Parameters!M725</f>
        <v>0</v>
      </c>
      <c r="O1448" s="26" t="e">
        <f t="shared" ref="O1448" si="2167">O1449</f>
        <v>#DIV/0!</v>
      </c>
      <c r="P1448" s="23">
        <f>Parameters!N725</f>
        <v>0</v>
      </c>
      <c r="Q1448" s="23">
        <f>Parameters!O725</f>
        <v>0</v>
      </c>
      <c r="R1448" s="23">
        <f>Parameters!P725</f>
        <v>0</v>
      </c>
      <c r="S1448" s="23">
        <f>Parameters!Q725</f>
        <v>0</v>
      </c>
      <c r="T1448" s="23">
        <f>Parameters!R725</f>
        <v>0</v>
      </c>
      <c r="U1448" s="27">
        <f>Parameters!S725</f>
        <v>0</v>
      </c>
      <c r="V1448" s="28">
        <f>Parameters!T725</f>
        <v>0</v>
      </c>
      <c r="W1448" s="27">
        <f>Parameters!U725</f>
        <v>0</v>
      </c>
      <c r="X1448" s="28">
        <f>Parameters!V725</f>
        <v>0</v>
      </c>
      <c r="Y1448" s="25">
        <f>Parameters!W725</f>
        <v>0</v>
      </c>
      <c r="Z1448" s="23">
        <f>Parameters!X725</f>
        <v>0</v>
      </c>
      <c r="AA1448" s="27">
        <f>Parameters!Y725</f>
        <v>0</v>
      </c>
      <c r="AB1448" s="28">
        <f>Parameters!Z725</f>
        <v>0</v>
      </c>
      <c r="AC1448" s="23">
        <f>Parameters!AA725</f>
        <v>0</v>
      </c>
    </row>
    <row r="1449" spans="1:29">
      <c r="A1449" s="29" t="str">
        <f>UPPER(A1448)</f>
        <v>0</v>
      </c>
      <c r="B1449" s="29">
        <f>B1448</f>
        <v>0</v>
      </c>
      <c r="C1449" s="30">
        <f>C1448</f>
        <v>0</v>
      </c>
      <c r="D1449" s="30">
        <f>D1448</f>
        <v>0</v>
      </c>
      <c r="E1449" s="29">
        <f>E1448</f>
        <v>0</v>
      </c>
      <c r="F1449" s="29">
        <f>F1448</f>
        <v>0</v>
      </c>
      <c r="G1449" s="29" t="e">
        <f>IF(C1448=1,IF(D1448="BUY",E1448+(ROUND(F1448*G1448/B1448,0)*B1448),E1448-(ROUND(F1448*G1448/B1448,0)*B1448)),IF(D1448="BUY",E1448-(ROUND(F1448*G1448/B1448,0)*B1448),E1448+(ROUND(F1448*G1448/B1448,0)*B1448)))</f>
        <v>#DIV/0!</v>
      </c>
      <c r="H1449" s="29" t="e">
        <f>IF(C1448=1,IF(D1448="BUY",G1449-(ROUND(F1448*H1448/B1448,0)*B1448),G1449+(ROUND(F1448*H1448/B1448,0)*B1448)),IF(D1448="BUY",G1449+(ROUND(F1448*H1448/B1448,0)*B1448),G1449-(ROUND(F1448*H1448/B1448,0)*B1448)))</f>
        <v>#DIV/0!</v>
      </c>
      <c r="I1449" s="29" t="e">
        <f>IF(D1448="BUY",G1449+(ROUND(F1448*I1448/(B1448*100),0)*B1448),G1449-(ROUND(F1448*I1448/(B1448*100),0)*B1448))</f>
        <v>#DIV/0!</v>
      </c>
      <c r="J1449" s="29" t="e">
        <f>IF(C1448=1,IF(D1448="BUY",E1448+(ROUND(F1448*J1448/B1448,0)*B1448),E1448-(ROUND(F1448*J1448/B1448,0)*B1448)),IF(D1448="BUY",E1448-(ROUND(F1448*J1448/B1448,0)*B1448),E1448+(ROUND(F1448*J1448/B1448,0)*B1448)))</f>
        <v>#DIV/0!</v>
      </c>
      <c r="K1449" s="29" t="e">
        <f>IF(C1448=1,IF(D1448="BUY",E1448-(ROUND(F1448*K1448/B1448,0)*B1448),E1448+(ROUND(F1448*K1448/B1448,0)*B1448)),IF(D1448="BUY",E1448-(ROUND(F1448*K1448/B1448,0)*B1448),E1448+(ROUND(F1448*K1448/B1448,0)*B1448)))</f>
        <v>#DIV/0!</v>
      </c>
      <c r="L1449" s="29" t="e">
        <f t="shared" ref="L1449" si="2168">IF(D1449="BUY",I1449+(R1449*B1449),I1449-(R1449*B1449))</f>
        <v>#DIV/0!</v>
      </c>
      <c r="M1449" s="29" t="e">
        <f>IF(D1448="BUY",E1448+(ROUND(F1448*M1448/B1448,0)*B1448),E1448-(ROUND(F1448*M1448/B1448,0)*B1448))</f>
        <v>#DIV/0!</v>
      </c>
      <c r="N1449" s="29" t="e">
        <f>IF(D1448="BUY",E1448-(ROUND(F1448*N1448/B1448,0)*B1448),E1448+(ROUND(F1448*N1448/B1448,0)*B1448))</f>
        <v>#DIV/0!</v>
      </c>
      <c r="O1449" s="31" t="e">
        <f>IF(D1449="BUY",N1449-VLOOKUP(A1449,Symbols!A$1:D$1000,4,FALSE),N1449+VLOOKUP(A1449,Symbols!A$1:D$1000,4,FALSE))</f>
        <v>#DIV/0!</v>
      </c>
      <c r="P1449" s="29">
        <f>P1448</f>
        <v>0</v>
      </c>
      <c r="Q1449" s="29">
        <f>Q1448</f>
        <v>0</v>
      </c>
      <c r="R1449" s="29">
        <f>R1448</f>
        <v>0</v>
      </c>
      <c r="S1449" s="29">
        <f>S1448</f>
        <v>0</v>
      </c>
      <c r="T1449" s="29">
        <f>T1448</f>
        <v>0</v>
      </c>
      <c r="U1449" s="29" t="e">
        <f>DATEDIF(DATE(1970,1,1),U1448,"D")*86400</f>
        <v>#NUM!</v>
      </c>
      <c r="V1449" s="29">
        <f>HOUR(V1448)*3600+MINUTE(V1448)*60+SECOND(V1448)</f>
        <v>0</v>
      </c>
      <c r="W1449" s="29" t="e">
        <f>DATEDIF(DATE(1970,1,1),W1448,"D")*86400</f>
        <v>#NUM!</v>
      </c>
      <c r="X1449" s="29">
        <f>HOUR(X1448)*3600+MINUTE(X1448)*60+SECOND(X1448)</f>
        <v>0</v>
      </c>
      <c r="Y1449" s="31">
        <f>(Y1448*B1449)</f>
        <v>0</v>
      </c>
      <c r="Z1449" s="29">
        <f>Z1448</f>
        <v>0</v>
      </c>
      <c r="AA1449" s="29" t="e">
        <f>DATEDIF(DATE(1970,1,1),AA1448,"D")*86400</f>
        <v>#NUM!</v>
      </c>
      <c r="AB1449" s="29">
        <f>HOUR(AB1448)*3600+MINUTE(AB1448)*60+SECOND(AB1448)</f>
        <v>0</v>
      </c>
      <c r="AC1449" s="29">
        <f>AC1448</f>
        <v>0</v>
      </c>
    </row>
    <row r="1450" spans="1:29">
      <c r="A1450" s="23">
        <f>Parameters!A726</f>
        <v>0</v>
      </c>
      <c r="B1450" s="23">
        <f>Parameters!B726</f>
        <v>0</v>
      </c>
      <c r="C1450" s="24">
        <f>Parameters!C726</f>
        <v>0</v>
      </c>
      <c r="D1450" s="24">
        <f>Parameters!D726</f>
        <v>0</v>
      </c>
      <c r="E1450" s="23">
        <f>Parameters!E726</f>
        <v>0</v>
      </c>
      <c r="F1450" s="23">
        <f>Parameters!F726</f>
        <v>0</v>
      </c>
      <c r="G1450" s="25">
        <f>Parameters!G726</f>
        <v>0</v>
      </c>
      <c r="H1450" s="25">
        <f>Parameters!H726</f>
        <v>0</v>
      </c>
      <c r="I1450" s="25">
        <f>Parameters!I726</f>
        <v>0</v>
      </c>
      <c r="J1450" s="25">
        <f>Parameters!J726</f>
        <v>0</v>
      </c>
      <c r="K1450" s="25">
        <f>Parameters!K726</f>
        <v>0</v>
      </c>
      <c r="L1450" s="26" t="e">
        <f t="shared" ref="L1450" si="2169">L1451</f>
        <v>#DIV/0!</v>
      </c>
      <c r="M1450" s="25">
        <f>Parameters!L726</f>
        <v>0</v>
      </c>
      <c r="N1450" s="25">
        <f>Parameters!M726</f>
        <v>0</v>
      </c>
      <c r="O1450" s="26" t="e">
        <f t="shared" ref="O1450" si="2170">O1451</f>
        <v>#DIV/0!</v>
      </c>
      <c r="P1450" s="23">
        <f>Parameters!N726</f>
        <v>0</v>
      </c>
      <c r="Q1450" s="23">
        <f>Parameters!O726</f>
        <v>0</v>
      </c>
      <c r="R1450" s="23">
        <f>Parameters!P726</f>
        <v>0</v>
      </c>
      <c r="S1450" s="23">
        <f>Parameters!Q726</f>
        <v>0</v>
      </c>
      <c r="T1450" s="23">
        <f>Parameters!R726</f>
        <v>0</v>
      </c>
      <c r="U1450" s="27">
        <f>Parameters!S726</f>
        <v>0</v>
      </c>
      <c r="V1450" s="28">
        <f>Parameters!T726</f>
        <v>0</v>
      </c>
      <c r="W1450" s="27">
        <f>Parameters!U726</f>
        <v>0</v>
      </c>
      <c r="X1450" s="28">
        <f>Parameters!V726</f>
        <v>0</v>
      </c>
      <c r="Y1450" s="25">
        <f>Parameters!W726</f>
        <v>0</v>
      </c>
      <c r="Z1450" s="23">
        <f>Parameters!X726</f>
        <v>0</v>
      </c>
      <c r="AA1450" s="27">
        <f>Parameters!Y726</f>
        <v>0</v>
      </c>
      <c r="AB1450" s="28">
        <f>Parameters!Z726</f>
        <v>0</v>
      </c>
      <c r="AC1450" s="23">
        <f>Parameters!AA726</f>
        <v>0</v>
      </c>
    </row>
    <row r="1451" spans="1:29">
      <c r="A1451" s="29" t="str">
        <f>UPPER(A1450)</f>
        <v>0</v>
      </c>
      <c r="B1451" s="29">
        <f>B1450</f>
        <v>0</v>
      </c>
      <c r="C1451" s="30">
        <f>C1450</f>
        <v>0</v>
      </c>
      <c r="D1451" s="30">
        <f>D1450</f>
        <v>0</v>
      </c>
      <c r="E1451" s="29">
        <f>E1450</f>
        <v>0</v>
      </c>
      <c r="F1451" s="29">
        <f>F1450</f>
        <v>0</v>
      </c>
      <c r="G1451" s="29" t="e">
        <f>IF(C1450=1,IF(D1450="BUY",E1450+(ROUND(F1450*G1450/B1450,0)*B1450),E1450-(ROUND(F1450*G1450/B1450,0)*B1450)),IF(D1450="BUY",E1450-(ROUND(F1450*G1450/B1450,0)*B1450),E1450+(ROUND(F1450*G1450/B1450,0)*B1450)))</f>
        <v>#DIV/0!</v>
      </c>
      <c r="H1451" s="29" t="e">
        <f>IF(C1450=1,IF(D1450="BUY",G1451-(ROUND(F1450*H1450/B1450,0)*B1450),G1451+(ROUND(F1450*H1450/B1450,0)*B1450)),IF(D1450="BUY",G1451+(ROUND(F1450*H1450/B1450,0)*B1450),G1451-(ROUND(F1450*H1450/B1450,0)*B1450)))</f>
        <v>#DIV/0!</v>
      </c>
      <c r="I1451" s="29" t="e">
        <f>IF(D1450="BUY",G1451+(ROUND(F1450*I1450/(B1450*100),0)*B1450),G1451-(ROUND(F1450*I1450/(B1450*100),0)*B1450))</f>
        <v>#DIV/0!</v>
      </c>
      <c r="J1451" s="29" t="e">
        <f>IF(C1450=1,IF(D1450="BUY",E1450+(ROUND(F1450*J1450/B1450,0)*B1450),E1450-(ROUND(F1450*J1450/B1450,0)*B1450)),IF(D1450="BUY",E1450-(ROUND(F1450*J1450/B1450,0)*B1450),E1450+(ROUND(F1450*J1450/B1450,0)*B1450)))</f>
        <v>#DIV/0!</v>
      </c>
      <c r="K1451" s="29" t="e">
        <f>IF(C1450=1,IF(D1450="BUY",E1450-(ROUND(F1450*K1450/B1450,0)*B1450),E1450+(ROUND(F1450*K1450/B1450,0)*B1450)),IF(D1450="BUY",E1450-(ROUND(F1450*K1450/B1450,0)*B1450),E1450+(ROUND(F1450*K1450/B1450,0)*B1450)))</f>
        <v>#DIV/0!</v>
      </c>
      <c r="L1451" s="29" t="e">
        <f t="shared" ref="L1451" si="2171">IF(D1451="BUY",I1451+(R1451*B1451),I1451-(R1451*B1451))</f>
        <v>#DIV/0!</v>
      </c>
      <c r="M1451" s="29" t="e">
        <f>IF(D1450="BUY",E1450+(ROUND(F1450*M1450/B1450,0)*B1450),E1450-(ROUND(F1450*M1450/B1450,0)*B1450))</f>
        <v>#DIV/0!</v>
      </c>
      <c r="N1451" s="29" t="e">
        <f>IF(D1450="BUY",E1450-(ROUND(F1450*N1450/B1450,0)*B1450),E1450+(ROUND(F1450*N1450/B1450,0)*B1450))</f>
        <v>#DIV/0!</v>
      </c>
      <c r="O1451" s="31" t="e">
        <f>IF(D1451="BUY",N1451-VLOOKUP(A1451,Symbols!A$1:D$1000,4,FALSE),N1451+VLOOKUP(A1451,Symbols!A$1:D$1000,4,FALSE))</f>
        <v>#DIV/0!</v>
      </c>
      <c r="P1451" s="29">
        <f>P1450</f>
        <v>0</v>
      </c>
      <c r="Q1451" s="29">
        <f>Q1450</f>
        <v>0</v>
      </c>
      <c r="R1451" s="29">
        <f>R1450</f>
        <v>0</v>
      </c>
      <c r="S1451" s="29">
        <f>S1450</f>
        <v>0</v>
      </c>
      <c r="T1451" s="29">
        <f>T1450</f>
        <v>0</v>
      </c>
      <c r="U1451" s="29" t="e">
        <f>DATEDIF(DATE(1970,1,1),U1450,"D")*86400</f>
        <v>#NUM!</v>
      </c>
      <c r="V1451" s="29">
        <f>HOUR(V1450)*3600+MINUTE(V1450)*60+SECOND(V1450)</f>
        <v>0</v>
      </c>
      <c r="W1451" s="29" t="e">
        <f>DATEDIF(DATE(1970,1,1),W1450,"D")*86400</f>
        <v>#NUM!</v>
      </c>
      <c r="X1451" s="29">
        <f>HOUR(X1450)*3600+MINUTE(X1450)*60+SECOND(X1450)</f>
        <v>0</v>
      </c>
      <c r="Y1451" s="31">
        <f>(Y1450*B1451)</f>
        <v>0</v>
      </c>
      <c r="Z1451" s="29">
        <f>Z1450</f>
        <v>0</v>
      </c>
      <c r="AA1451" s="29" t="e">
        <f>DATEDIF(DATE(1970,1,1),AA1450,"D")*86400</f>
        <v>#NUM!</v>
      </c>
      <c r="AB1451" s="29">
        <f>HOUR(AB1450)*3600+MINUTE(AB1450)*60+SECOND(AB1450)</f>
        <v>0</v>
      </c>
      <c r="AC1451" s="29">
        <f>AC1450</f>
        <v>0</v>
      </c>
    </row>
    <row r="1452" spans="1:29">
      <c r="A1452" s="23">
        <f>Parameters!A727</f>
        <v>0</v>
      </c>
      <c r="B1452" s="23">
        <f>Parameters!B727</f>
        <v>0</v>
      </c>
      <c r="C1452" s="24">
        <f>Parameters!C727</f>
        <v>0</v>
      </c>
      <c r="D1452" s="24">
        <f>Parameters!D727</f>
        <v>0</v>
      </c>
      <c r="E1452" s="23">
        <f>Parameters!E727</f>
        <v>0</v>
      </c>
      <c r="F1452" s="23">
        <f>Parameters!F727</f>
        <v>0</v>
      </c>
      <c r="G1452" s="25">
        <f>Parameters!G727</f>
        <v>0</v>
      </c>
      <c r="H1452" s="25">
        <f>Parameters!H727</f>
        <v>0</v>
      </c>
      <c r="I1452" s="25">
        <f>Parameters!I727</f>
        <v>0</v>
      </c>
      <c r="J1452" s="25">
        <f>Parameters!J727</f>
        <v>0</v>
      </c>
      <c r="K1452" s="25">
        <f>Parameters!K727</f>
        <v>0</v>
      </c>
      <c r="L1452" s="26" t="e">
        <f t="shared" ref="L1452" si="2172">L1453</f>
        <v>#DIV/0!</v>
      </c>
      <c r="M1452" s="25">
        <f>Parameters!L727</f>
        <v>0</v>
      </c>
      <c r="N1452" s="25">
        <f>Parameters!M727</f>
        <v>0</v>
      </c>
      <c r="O1452" s="26" t="e">
        <f t="shared" ref="O1452" si="2173">O1453</f>
        <v>#DIV/0!</v>
      </c>
      <c r="P1452" s="23">
        <f>Parameters!N727</f>
        <v>0</v>
      </c>
      <c r="Q1452" s="23">
        <f>Parameters!O727</f>
        <v>0</v>
      </c>
      <c r="R1452" s="23">
        <f>Parameters!P727</f>
        <v>0</v>
      </c>
      <c r="S1452" s="23">
        <f>Parameters!Q727</f>
        <v>0</v>
      </c>
      <c r="T1452" s="23">
        <f>Parameters!R727</f>
        <v>0</v>
      </c>
      <c r="U1452" s="27">
        <f>Parameters!S727</f>
        <v>0</v>
      </c>
      <c r="V1452" s="28">
        <f>Parameters!T727</f>
        <v>0</v>
      </c>
      <c r="W1452" s="27">
        <f>Parameters!U727</f>
        <v>0</v>
      </c>
      <c r="X1452" s="28">
        <f>Parameters!V727</f>
        <v>0</v>
      </c>
      <c r="Y1452" s="25">
        <f>Parameters!W727</f>
        <v>0</v>
      </c>
      <c r="Z1452" s="23">
        <f>Parameters!X727</f>
        <v>0</v>
      </c>
      <c r="AA1452" s="27">
        <f>Parameters!Y727</f>
        <v>0</v>
      </c>
      <c r="AB1452" s="28">
        <f>Parameters!Z727</f>
        <v>0</v>
      </c>
      <c r="AC1452" s="23">
        <f>Parameters!AA727</f>
        <v>0</v>
      </c>
    </row>
    <row r="1453" spans="1:29">
      <c r="A1453" s="29" t="str">
        <f>UPPER(A1452)</f>
        <v>0</v>
      </c>
      <c r="B1453" s="29">
        <f>B1452</f>
        <v>0</v>
      </c>
      <c r="C1453" s="30">
        <f>C1452</f>
        <v>0</v>
      </c>
      <c r="D1453" s="30">
        <f>D1452</f>
        <v>0</v>
      </c>
      <c r="E1453" s="29">
        <f>E1452</f>
        <v>0</v>
      </c>
      <c r="F1453" s="29">
        <f>F1452</f>
        <v>0</v>
      </c>
      <c r="G1453" s="29" t="e">
        <f>IF(C1452=1,IF(D1452="BUY",E1452+(ROUND(F1452*G1452/B1452,0)*B1452),E1452-(ROUND(F1452*G1452/B1452,0)*B1452)),IF(D1452="BUY",E1452-(ROUND(F1452*G1452/B1452,0)*B1452),E1452+(ROUND(F1452*G1452/B1452,0)*B1452)))</f>
        <v>#DIV/0!</v>
      </c>
      <c r="H1453" s="29" t="e">
        <f>IF(C1452=1,IF(D1452="BUY",G1453-(ROUND(F1452*H1452/B1452,0)*B1452),G1453+(ROUND(F1452*H1452/B1452,0)*B1452)),IF(D1452="BUY",G1453+(ROUND(F1452*H1452/B1452,0)*B1452),G1453-(ROUND(F1452*H1452/B1452,0)*B1452)))</f>
        <v>#DIV/0!</v>
      </c>
      <c r="I1453" s="29" t="e">
        <f>IF(D1452="BUY",G1453+(ROUND(F1452*I1452/(B1452*100),0)*B1452),G1453-(ROUND(F1452*I1452/(B1452*100),0)*B1452))</f>
        <v>#DIV/0!</v>
      </c>
      <c r="J1453" s="29" t="e">
        <f>IF(C1452=1,IF(D1452="BUY",E1452+(ROUND(F1452*J1452/B1452,0)*B1452),E1452-(ROUND(F1452*J1452/B1452,0)*B1452)),IF(D1452="BUY",E1452-(ROUND(F1452*J1452/B1452,0)*B1452),E1452+(ROUND(F1452*J1452/B1452,0)*B1452)))</f>
        <v>#DIV/0!</v>
      </c>
      <c r="K1453" s="29" t="e">
        <f>IF(C1452=1,IF(D1452="BUY",E1452-(ROUND(F1452*K1452/B1452,0)*B1452),E1452+(ROUND(F1452*K1452/B1452,0)*B1452)),IF(D1452="BUY",E1452-(ROUND(F1452*K1452/B1452,0)*B1452),E1452+(ROUND(F1452*K1452/B1452,0)*B1452)))</f>
        <v>#DIV/0!</v>
      </c>
      <c r="L1453" s="29" t="e">
        <f t="shared" ref="L1453" si="2174">IF(D1453="BUY",I1453+(R1453*B1453),I1453-(R1453*B1453))</f>
        <v>#DIV/0!</v>
      </c>
      <c r="M1453" s="29" t="e">
        <f>IF(D1452="BUY",E1452+(ROUND(F1452*M1452/B1452,0)*B1452),E1452-(ROUND(F1452*M1452/B1452,0)*B1452))</f>
        <v>#DIV/0!</v>
      </c>
      <c r="N1453" s="29" t="e">
        <f>IF(D1452="BUY",E1452-(ROUND(F1452*N1452/B1452,0)*B1452),E1452+(ROUND(F1452*N1452/B1452,0)*B1452))</f>
        <v>#DIV/0!</v>
      </c>
      <c r="O1453" s="31" t="e">
        <f>IF(D1453="BUY",N1453-VLOOKUP(A1453,Symbols!A$1:D$1000,4,FALSE),N1453+VLOOKUP(A1453,Symbols!A$1:D$1000,4,FALSE))</f>
        <v>#DIV/0!</v>
      </c>
      <c r="P1453" s="29">
        <f>P1452</f>
        <v>0</v>
      </c>
      <c r="Q1453" s="29">
        <f>Q1452</f>
        <v>0</v>
      </c>
      <c r="R1453" s="29">
        <f>R1452</f>
        <v>0</v>
      </c>
      <c r="S1453" s="29">
        <f>S1452</f>
        <v>0</v>
      </c>
      <c r="T1453" s="29">
        <f>T1452</f>
        <v>0</v>
      </c>
      <c r="U1453" s="29" t="e">
        <f>DATEDIF(DATE(1970,1,1),U1452,"D")*86400</f>
        <v>#NUM!</v>
      </c>
      <c r="V1453" s="29">
        <f>HOUR(V1452)*3600+MINUTE(V1452)*60+SECOND(V1452)</f>
        <v>0</v>
      </c>
      <c r="W1453" s="29" t="e">
        <f>DATEDIF(DATE(1970,1,1),W1452,"D")*86400</f>
        <v>#NUM!</v>
      </c>
      <c r="X1453" s="29">
        <f>HOUR(X1452)*3600+MINUTE(X1452)*60+SECOND(X1452)</f>
        <v>0</v>
      </c>
      <c r="Y1453" s="31">
        <f>(Y1452*B1453)</f>
        <v>0</v>
      </c>
      <c r="Z1453" s="29">
        <f>Z1452</f>
        <v>0</v>
      </c>
      <c r="AA1453" s="29" t="e">
        <f>DATEDIF(DATE(1970,1,1),AA1452,"D")*86400</f>
        <v>#NUM!</v>
      </c>
      <c r="AB1453" s="29">
        <f>HOUR(AB1452)*3600+MINUTE(AB1452)*60+SECOND(AB1452)</f>
        <v>0</v>
      </c>
      <c r="AC1453" s="29">
        <f>AC1452</f>
        <v>0</v>
      </c>
    </row>
    <row r="1454" spans="1:29">
      <c r="A1454" s="23">
        <f>Parameters!A728</f>
        <v>0</v>
      </c>
      <c r="B1454" s="23">
        <f>Parameters!B728</f>
        <v>0</v>
      </c>
      <c r="C1454" s="24">
        <f>Parameters!C728</f>
        <v>0</v>
      </c>
      <c r="D1454" s="24">
        <f>Parameters!D728</f>
        <v>0</v>
      </c>
      <c r="E1454" s="23">
        <f>Parameters!E728</f>
        <v>0</v>
      </c>
      <c r="F1454" s="23">
        <f>Parameters!F728</f>
        <v>0</v>
      </c>
      <c r="G1454" s="25">
        <f>Parameters!G728</f>
        <v>0</v>
      </c>
      <c r="H1454" s="25">
        <f>Parameters!H728</f>
        <v>0</v>
      </c>
      <c r="I1454" s="25">
        <f>Parameters!I728</f>
        <v>0</v>
      </c>
      <c r="J1454" s="25">
        <f>Parameters!J728</f>
        <v>0</v>
      </c>
      <c r="K1454" s="25">
        <f>Parameters!K728</f>
        <v>0</v>
      </c>
      <c r="L1454" s="26" t="e">
        <f t="shared" ref="L1454" si="2175">L1455</f>
        <v>#DIV/0!</v>
      </c>
      <c r="M1454" s="25">
        <f>Parameters!L728</f>
        <v>0</v>
      </c>
      <c r="N1454" s="25">
        <f>Parameters!M728</f>
        <v>0</v>
      </c>
      <c r="O1454" s="26" t="e">
        <f t="shared" ref="O1454" si="2176">O1455</f>
        <v>#DIV/0!</v>
      </c>
      <c r="P1454" s="23">
        <f>Parameters!N728</f>
        <v>0</v>
      </c>
      <c r="Q1454" s="23">
        <f>Parameters!O728</f>
        <v>0</v>
      </c>
      <c r="R1454" s="23">
        <f>Parameters!P728</f>
        <v>0</v>
      </c>
      <c r="S1454" s="23">
        <f>Parameters!Q728</f>
        <v>0</v>
      </c>
      <c r="T1454" s="23">
        <f>Parameters!R728</f>
        <v>0</v>
      </c>
      <c r="U1454" s="27">
        <f>Parameters!S728</f>
        <v>0</v>
      </c>
      <c r="V1454" s="28">
        <f>Parameters!T728</f>
        <v>0</v>
      </c>
      <c r="W1454" s="27">
        <f>Parameters!U728</f>
        <v>0</v>
      </c>
      <c r="X1454" s="28">
        <f>Parameters!V728</f>
        <v>0</v>
      </c>
      <c r="Y1454" s="25">
        <f>Parameters!W728</f>
        <v>0</v>
      </c>
      <c r="Z1454" s="23">
        <f>Parameters!X728</f>
        <v>0</v>
      </c>
      <c r="AA1454" s="27">
        <f>Parameters!Y728</f>
        <v>0</v>
      </c>
      <c r="AB1454" s="28">
        <f>Parameters!Z728</f>
        <v>0</v>
      </c>
      <c r="AC1454" s="23">
        <f>Parameters!AA728</f>
        <v>0</v>
      </c>
    </row>
    <row r="1455" spans="1:29">
      <c r="A1455" s="29" t="str">
        <f>UPPER(A1454)</f>
        <v>0</v>
      </c>
      <c r="B1455" s="29">
        <f>B1454</f>
        <v>0</v>
      </c>
      <c r="C1455" s="30">
        <f>C1454</f>
        <v>0</v>
      </c>
      <c r="D1455" s="30">
        <f>D1454</f>
        <v>0</v>
      </c>
      <c r="E1455" s="29">
        <f>E1454</f>
        <v>0</v>
      </c>
      <c r="F1455" s="29">
        <f>F1454</f>
        <v>0</v>
      </c>
      <c r="G1455" s="29" t="e">
        <f>IF(C1454=1,IF(D1454="BUY",E1454+(ROUND(F1454*G1454/B1454,0)*B1454),E1454-(ROUND(F1454*G1454/B1454,0)*B1454)),IF(D1454="BUY",E1454-(ROUND(F1454*G1454/B1454,0)*B1454),E1454+(ROUND(F1454*G1454/B1454,0)*B1454)))</f>
        <v>#DIV/0!</v>
      </c>
      <c r="H1455" s="29" t="e">
        <f>IF(C1454=1,IF(D1454="BUY",G1455-(ROUND(F1454*H1454/B1454,0)*B1454),G1455+(ROUND(F1454*H1454/B1454,0)*B1454)),IF(D1454="BUY",G1455+(ROUND(F1454*H1454/B1454,0)*B1454),G1455-(ROUND(F1454*H1454/B1454,0)*B1454)))</f>
        <v>#DIV/0!</v>
      </c>
      <c r="I1455" s="29" t="e">
        <f>IF(D1454="BUY",G1455+(ROUND(F1454*I1454/(B1454*100),0)*B1454),G1455-(ROUND(F1454*I1454/(B1454*100),0)*B1454))</f>
        <v>#DIV/0!</v>
      </c>
      <c r="J1455" s="29" t="e">
        <f>IF(C1454=1,IF(D1454="BUY",E1454+(ROUND(F1454*J1454/B1454,0)*B1454),E1454-(ROUND(F1454*J1454/B1454,0)*B1454)),IF(D1454="BUY",E1454-(ROUND(F1454*J1454/B1454,0)*B1454),E1454+(ROUND(F1454*J1454/B1454,0)*B1454)))</f>
        <v>#DIV/0!</v>
      </c>
      <c r="K1455" s="29" t="e">
        <f>IF(C1454=1,IF(D1454="BUY",E1454-(ROUND(F1454*K1454/B1454,0)*B1454),E1454+(ROUND(F1454*K1454/B1454,0)*B1454)),IF(D1454="BUY",E1454-(ROUND(F1454*K1454/B1454,0)*B1454),E1454+(ROUND(F1454*K1454/B1454,0)*B1454)))</f>
        <v>#DIV/0!</v>
      </c>
      <c r="L1455" s="29" t="e">
        <f t="shared" ref="L1455" si="2177">IF(D1455="BUY",I1455+(R1455*B1455),I1455-(R1455*B1455))</f>
        <v>#DIV/0!</v>
      </c>
      <c r="M1455" s="29" t="e">
        <f>IF(D1454="BUY",E1454+(ROUND(F1454*M1454/B1454,0)*B1454),E1454-(ROUND(F1454*M1454/B1454,0)*B1454))</f>
        <v>#DIV/0!</v>
      </c>
      <c r="N1455" s="29" t="e">
        <f>IF(D1454="BUY",E1454-(ROUND(F1454*N1454/B1454,0)*B1454),E1454+(ROUND(F1454*N1454/B1454,0)*B1454))</f>
        <v>#DIV/0!</v>
      </c>
      <c r="O1455" s="31" t="e">
        <f>IF(D1455="BUY",N1455-VLOOKUP(A1455,Symbols!A$1:D$1000,4,FALSE),N1455+VLOOKUP(A1455,Symbols!A$1:D$1000,4,FALSE))</f>
        <v>#DIV/0!</v>
      </c>
      <c r="P1455" s="29">
        <f>P1454</f>
        <v>0</v>
      </c>
      <c r="Q1455" s="29">
        <f>Q1454</f>
        <v>0</v>
      </c>
      <c r="R1455" s="29">
        <f>R1454</f>
        <v>0</v>
      </c>
      <c r="S1455" s="29">
        <f>S1454</f>
        <v>0</v>
      </c>
      <c r="T1455" s="29">
        <f>T1454</f>
        <v>0</v>
      </c>
      <c r="U1455" s="29" t="e">
        <f>DATEDIF(DATE(1970,1,1),U1454,"D")*86400</f>
        <v>#NUM!</v>
      </c>
      <c r="V1455" s="29">
        <f>HOUR(V1454)*3600+MINUTE(V1454)*60+SECOND(V1454)</f>
        <v>0</v>
      </c>
      <c r="W1455" s="29" t="e">
        <f>DATEDIF(DATE(1970,1,1),W1454,"D")*86400</f>
        <v>#NUM!</v>
      </c>
      <c r="X1455" s="29">
        <f>HOUR(X1454)*3600+MINUTE(X1454)*60+SECOND(X1454)</f>
        <v>0</v>
      </c>
      <c r="Y1455" s="31">
        <f>(Y1454*B1455)</f>
        <v>0</v>
      </c>
      <c r="Z1455" s="29">
        <f>Z1454</f>
        <v>0</v>
      </c>
      <c r="AA1455" s="29" t="e">
        <f>DATEDIF(DATE(1970,1,1),AA1454,"D")*86400</f>
        <v>#NUM!</v>
      </c>
      <c r="AB1455" s="29">
        <f>HOUR(AB1454)*3600+MINUTE(AB1454)*60+SECOND(AB1454)</f>
        <v>0</v>
      </c>
      <c r="AC1455" s="29">
        <f>AC1454</f>
        <v>0</v>
      </c>
    </row>
    <row r="1456" spans="1:29">
      <c r="A1456" s="23">
        <f>Parameters!A729</f>
        <v>0</v>
      </c>
      <c r="B1456" s="23">
        <f>Parameters!B729</f>
        <v>0</v>
      </c>
      <c r="C1456" s="24">
        <f>Parameters!C729</f>
        <v>0</v>
      </c>
      <c r="D1456" s="24">
        <f>Parameters!D729</f>
        <v>0</v>
      </c>
      <c r="E1456" s="23">
        <f>Parameters!E729</f>
        <v>0</v>
      </c>
      <c r="F1456" s="23">
        <f>Parameters!F729</f>
        <v>0</v>
      </c>
      <c r="G1456" s="25">
        <f>Parameters!G729</f>
        <v>0</v>
      </c>
      <c r="H1456" s="25">
        <f>Parameters!H729</f>
        <v>0</v>
      </c>
      <c r="I1456" s="25">
        <f>Parameters!I729</f>
        <v>0</v>
      </c>
      <c r="J1456" s="25">
        <f>Parameters!J729</f>
        <v>0</v>
      </c>
      <c r="K1456" s="25">
        <f>Parameters!K729</f>
        <v>0</v>
      </c>
      <c r="L1456" s="26" t="e">
        <f t="shared" ref="L1456" si="2178">L1457</f>
        <v>#DIV/0!</v>
      </c>
      <c r="M1456" s="25">
        <f>Parameters!L729</f>
        <v>0</v>
      </c>
      <c r="N1456" s="25">
        <f>Parameters!M729</f>
        <v>0</v>
      </c>
      <c r="O1456" s="26" t="e">
        <f t="shared" ref="O1456" si="2179">O1457</f>
        <v>#DIV/0!</v>
      </c>
      <c r="P1456" s="23">
        <f>Parameters!N729</f>
        <v>0</v>
      </c>
      <c r="Q1456" s="23">
        <f>Parameters!O729</f>
        <v>0</v>
      </c>
      <c r="R1456" s="23">
        <f>Parameters!P729</f>
        <v>0</v>
      </c>
      <c r="S1456" s="23">
        <f>Parameters!Q729</f>
        <v>0</v>
      </c>
      <c r="T1456" s="23">
        <f>Parameters!R729</f>
        <v>0</v>
      </c>
      <c r="U1456" s="27">
        <f>Parameters!S729</f>
        <v>0</v>
      </c>
      <c r="V1456" s="28">
        <f>Parameters!T729</f>
        <v>0</v>
      </c>
      <c r="W1456" s="27">
        <f>Parameters!U729</f>
        <v>0</v>
      </c>
      <c r="X1456" s="28">
        <f>Parameters!V729</f>
        <v>0</v>
      </c>
      <c r="Y1456" s="25">
        <f>Parameters!W729</f>
        <v>0</v>
      </c>
      <c r="Z1456" s="23">
        <f>Parameters!X729</f>
        <v>0</v>
      </c>
      <c r="AA1456" s="27">
        <f>Parameters!Y729</f>
        <v>0</v>
      </c>
      <c r="AB1456" s="28">
        <f>Parameters!Z729</f>
        <v>0</v>
      </c>
      <c r="AC1456" s="23">
        <f>Parameters!AA729</f>
        <v>0</v>
      </c>
    </row>
    <row r="1457" spans="1:29">
      <c r="A1457" s="29" t="str">
        <f>UPPER(A1456)</f>
        <v>0</v>
      </c>
      <c r="B1457" s="29">
        <f>B1456</f>
        <v>0</v>
      </c>
      <c r="C1457" s="30">
        <f>C1456</f>
        <v>0</v>
      </c>
      <c r="D1457" s="30">
        <f>D1456</f>
        <v>0</v>
      </c>
      <c r="E1457" s="29">
        <f>E1456</f>
        <v>0</v>
      </c>
      <c r="F1457" s="29">
        <f>F1456</f>
        <v>0</v>
      </c>
      <c r="G1457" s="29" t="e">
        <f>IF(C1456=1,IF(D1456="BUY",E1456+(ROUND(F1456*G1456/B1456,0)*B1456),E1456-(ROUND(F1456*G1456/B1456,0)*B1456)),IF(D1456="BUY",E1456-(ROUND(F1456*G1456/B1456,0)*B1456),E1456+(ROUND(F1456*G1456/B1456,0)*B1456)))</f>
        <v>#DIV/0!</v>
      </c>
      <c r="H1457" s="29" t="e">
        <f>IF(C1456=1,IF(D1456="BUY",G1457-(ROUND(F1456*H1456/B1456,0)*B1456),G1457+(ROUND(F1456*H1456/B1456,0)*B1456)),IF(D1456="BUY",G1457+(ROUND(F1456*H1456/B1456,0)*B1456),G1457-(ROUND(F1456*H1456/B1456,0)*B1456)))</f>
        <v>#DIV/0!</v>
      </c>
      <c r="I1457" s="29" t="e">
        <f>IF(D1456="BUY",G1457+(ROUND(F1456*I1456/(B1456*100),0)*B1456),G1457-(ROUND(F1456*I1456/(B1456*100),0)*B1456))</f>
        <v>#DIV/0!</v>
      </c>
      <c r="J1457" s="29" t="e">
        <f>IF(C1456=1,IF(D1456="BUY",E1456+(ROUND(F1456*J1456/B1456,0)*B1456),E1456-(ROUND(F1456*J1456/B1456,0)*B1456)),IF(D1456="BUY",E1456-(ROUND(F1456*J1456/B1456,0)*B1456),E1456+(ROUND(F1456*J1456/B1456,0)*B1456)))</f>
        <v>#DIV/0!</v>
      </c>
      <c r="K1457" s="29" t="e">
        <f>IF(C1456=1,IF(D1456="BUY",E1456-(ROUND(F1456*K1456/B1456,0)*B1456),E1456+(ROUND(F1456*K1456/B1456,0)*B1456)),IF(D1456="BUY",E1456-(ROUND(F1456*K1456/B1456,0)*B1456),E1456+(ROUND(F1456*K1456/B1456,0)*B1456)))</f>
        <v>#DIV/0!</v>
      </c>
      <c r="L1457" s="29" t="e">
        <f t="shared" ref="L1457" si="2180">IF(D1457="BUY",I1457+(R1457*B1457),I1457-(R1457*B1457))</f>
        <v>#DIV/0!</v>
      </c>
      <c r="M1457" s="29" t="e">
        <f>IF(D1456="BUY",E1456+(ROUND(F1456*M1456/B1456,0)*B1456),E1456-(ROUND(F1456*M1456/B1456,0)*B1456))</f>
        <v>#DIV/0!</v>
      </c>
      <c r="N1457" s="29" t="e">
        <f>IF(D1456="BUY",E1456-(ROUND(F1456*N1456/B1456,0)*B1456),E1456+(ROUND(F1456*N1456/B1456,0)*B1456))</f>
        <v>#DIV/0!</v>
      </c>
      <c r="O1457" s="31" t="e">
        <f>IF(D1457="BUY",N1457-VLOOKUP(A1457,Symbols!A$1:D$1000,4,FALSE),N1457+VLOOKUP(A1457,Symbols!A$1:D$1000,4,FALSE))</f>
        <v>#DIV/0!</v>
      </c>
      <c r="P1457" s="29">
        <f>P1456</f>
        <v>0</v>
      </c>
      <c r="Q1457" s="29">
        <f>Q1456</f>
        <v>0</v>
      </c>
      <c r="R1457" s="29">
        <f>R1456</f>
        <v>0</v>
      </c>
      <c r="S1457" s="29">
        <f>S1456</f>
        <v>0</v>
      </c>
      <c r="T1457" s="29">
        <f>T1456</f>
        <v>0</v>
      </c>
      <c r="U1457" s="29" t="e">
        <f>DATEDIF(DATE(1970,1,1),U1456,"D")*86400</f>
        <v>#NUM!</v>
      </c>
      <c r="V1457" s="29">
        <f>HOUR(V1456)*3600+MINUTE(V1456)*60+SECOND(V1456)</f>
        <v>0</v>
      </c>
      <c r="W1457" s="29" t="e">
        <f>DATEDIF(DATE(1970,1,1),W1456,"D")*86400</f>
        <v>#NUM!</v>
      </c>
      <c r="X1457" s="29">
        <f>HOUR(X1456)*3600+MINUTE(X1456)*60+SECOND(X1456)</f>
        <v>0</v>
      </c>
      <c r="Y1457" s="31">
        <f>(Y1456*B1457)</f>
        <v>0</v>
      </c>
      <c r="Z1457" s="29">
        <f>Z1456</f>
        <v>0</v>
      </c>
      <c r="AA1457" s="29" t="e">
        <f>DATEDIF(DATE(1970,1,1),AA1456,"D")*86400</f>
        <v>#NUM!</v>
      </c>
      <c r="AB1457" s="29">
        <f>HOUR(AB1456)*3600+MINUTE(AB1456)*60+SECOND(AB1456)</f>
        <v>0</v>
      </c>
      <c r="AC1457" s="29">
        <f>AC1456</f>
        <v>0</v>
      </c>
    </row>
    <row r="1458" spans="1:29">
      <c r="A1458" s="23">
        <f>Parameters!A730</f>
        <v>0</v>
      </c>
      <c r="B1458" s="23">
        <f>Parameters!B730</f>
        <v>0</v>
      </c>
      <c r="C1458" s="24">
        <f>Parameters!C730</f>
        <v>0</v>
      </c>
      <c r="D1458" s="24">
        <f>Parameters!D730</f>
        <v>0</v>
      </c>
      <c r="E1458" s="23">
        <f>Parameters!E730</f>
        <v>0</v>
      </c>
      <c r="F1458" s="23">
        <f>Parameters!F730</f>
        <v>0</v>
      </c>
      <c r="G1458" s="25">
        <f>Parameters!G730</f>
        <v>0</v>
      </c>
      <c r="H1458" s="25">
        <f>Parameters!H730</f>
        <v>0</v>
      </c>
      <c r="I1458" s="25">
        <f>Parameters!I730</f>
        <v>0</v>
      </c>
      <c r="J1458" s="25">
        <f>Parameters!J730</f>
        <v>0</v>
      </c>
      <c r="K1458" s="25">
        <f>Parameters!K730</f>
        <v>0</v>
      </c>
      <c r="L1458" s="26" t="e">
        <f t="shared" ref="L1458" si="2181">L1459</f>
        <v>#DIV/0!</v>
      </c>
      <c r="M1458" s="25">
        <f>Parameters!L730</f>
        <v>0</v>
      </c>
      <c r="N1458" s="25">
        <f>Parameters!M730</f>
        <v>0</v>
      </c>
      <c r="O1458" s="26" t="e">
        <f t="shared" ref="O1458" si="2182">O1459</f>
        <v>#DIV/0!</v>
      </c>
      <c r="P1458" s="23">
        <f>Parameters!N730</f>
        <v>0</v>
      </c>
      <c r="Q1458" s="23">
        <f>Parameters!O730</f>
        <v>0</v>
      </c>
      <c r="R1458" s="23">
        <f>Parameters!P730</f>
        <v>0</v>
      </c>
      <c r="S1458" s="23">
        <f>Parameters!Q730</f>
        <v>0</v>
      </c>
      <c r="T1458" s="23">
        <f>Parameters!R730</f>
        <v>0</v>
      </c>
      <c r="U1458" s="27">
        <f>Parameters!S730</f>
        <v>0</v>
      </c>
      <c r="V1458" s="28">
        <f>Parameters!T730</f>
        <v>0</v>
      </c>
      <c r="W1458" s="27">
        <f>Parameters!U730</f>
        <v>0</v>
      </c>
      <c r="X1458" s="28">
        <f>Parameters!V730</f>
        <v>0</v>
      </c>
      <c r="Y1458" s="25">
        <f>Parameters!W730</f>
        <v>0</v>
      </c>
      <c r="Z1458" s="23">
        <f>Parameters!X730</f>
        <v>0</v>
      </c>
      <c r="AA1458" s="27">
        <f>Parameters!Y730</f>
        <v>0</v>
      </c>
      <c r="AB1458" s="28">
        <f>Parameters!Z730</f>
        <v>0</v>
      </c>
      <c r="AC1458" s="23">
        <f>Parameters!AA730</f>
        <v>0</v>
      </c>
    </row>
    <row r="1459" spans="1:29">
      <c r="A1459" s="29" t="str">
        <f>UPPER(A1458)</f>
        <v>0</v>
      </c>
      <c r="B1459" s="29">
        <f>B1458</f>
        <v>0</v>
      </c>
      <c r="C1459" s="30">
        <f>C1458</f>
        <v>0</v>
      </c>
      <c r="D1459" s="30">
        <f>D1458</f>
        <v>0</v>
      </c>
      <c r="E1459" s="29">
        <f>E1458</f>
        <v>0</v>
      </c>
      <c r="F1459" s="29">
        <f>F1458</f>
        <v>0</v>
      </c>
      <c r="G1459" s="29" t="e">
        <f>IF(C1458=1,IF(D1458="BUY",E1458+(ROUND(F1458*G1458/B1458,0)*B1458),E1458-(ROUND(F1458*G1458/B1458,0)*B1458)),IF(D1458="BUY",E1458-(ROUND(F1458*G1458/B1458,0)*B1458),E1458+(ROUND(F1458*G1458/B1458,0)*B1458)))</f>
        <v>#DIV/0!</v>
      </c>
      <c r="H1459" s="29" t="e">
        <f>IF(C1458=1,IF(D1458="BUY",G1459-(ROUND(F1458*H1458/B1458,0)*B1458),G1459+(ROUND(F1458*H1458/B1458,0)*B1458)),IF(D1458="BUY",G1459+(ROUND(F1458*H1458/B1458,0)*B1458),G1459-(ROUND(F1458*H1458/B1458,0)*B1458)))</f>
        <v>#DIV/0!</v>
      </c>
      <c r="I1459" s="29" t="e">
        <f>IF(D1458="BUY",G1459+(ROUND(F1458*I1458/(B1458*100),0)*B1458),G1459-(ROUND(F1458*I1458/(B1458*100),0)*B1458))</f>
        <v>#DIV/0!</v>
      </c>
      <c r="J1459" s="29" t="e">
        <f>IF(C1458=1,IF(D1458="BUY",E1458+(ROUND(F1458*J1458/B1458,0)*B1458),E1458-(ROUND(F1458*J1458/B1458,0)*B1458)),IF(D1458="BUY",E1458-(ROUND(F1458*J1458/B1458,0)*B1458),E1458+(ROUND(F1458*J1458/B1458,0)*B1458)))</f>
        <v>#DIV/0!</v>
      </c>
      <c r="K1459" s="29" t="e">
        <f>IF(C1458=1,IF(D1458="BUY",E1458-(ROUND(F1458*K1458/B1458,0)*B1458),E1458+(ROUND(F1458*K1458/B1458,0)*B1458)),IF(D1458="BUY",E1458-(ROUND(F1458*K1458/B1458,0)*B1458),E1458+(ROUND(F1458*K1458/B1458,0)*B1458)))</f>
        <v>#DIV/0!</v>
      </c>
      <c r="L1459" s="29" t="e">
        <f t="shared" ref="L1459" si="2183">IF(D1459="BUY",I1459+(R1459*B1459),I1459-(R1459*B1459))</f>
        <v>#DIV/0!</v>
      </c>
      <c r="M1459" s="29" t="e">
        <f>IF(D1458="BUY",E1458+(ROUND(F1458*M1458/B1458,0)*B1458),E1458-(ROUND(F1458*M1458/B1458,0)*B1458))</f>
        <v>#DIV/0!</v>
      </c>
      <c r="N1459" s="29" t="e">
        <f>IF(D1458="BUY",E1458-(ROUND(F1458*N1458/B1458,0)*B1458),E1458+(ROUND(F1458*N1458/B1458,0)*B1458))</f>
        <v>#DIV/0!</v>
      </c>
      <c r="O1459" s="31" t="e">
        <f>IF(D1459="BUY",N1459-VLOOKUP(A1459,Symbols!A$1:D$1000,4,FALSE),N1459+VLOOKUP(A1459,Symbols!A$1:D$1000,4,FALSE))</f>
        <v>#DIV/0!</v>
      </c>
      <c r="P1459" s="29">
        <f>P1458</f>
        <v>0</v>
      </c>
      <c r="Q1459" s="29">
        <f>Q1458</f>
        <v>0</v>
      </c>
      <c r="R1459" s="29">
        <f>R1458</f>
        <v>0</v>
      </c>
      <c r="S1459" s="29">
        <f>S1458</f>
        <v>0</v>
      </c>
      <c r="T1459" s="29">
        <f>T1458</f>
        <v>0</v>
      </c>
      <c r="U1459" s="29" t="e">
        <f>DATEDIF(DATE(1970,1,1),U1458,"D")*86400</f>
        <v>#NUM!</v>
      </c>
      <c r="V1459" s="29">
        <f>HOUR(V1458)*3600+MINUTE(V1458)*60+SECOND(V1458)</f>
        <v>0</v>
      </c>
      <c r="W1459" s="29" t="e">
        <f>DATEDIF(DATE(1970,1,1),W1458,"D")*86400</f>
        <v>#NUM!</v>
      </c>
      <c r="X1459" s="29">
        <f>HOUR(X1458)*3600+MINUTE(X1458)*60+SECOND(X1458)</f>
        <v>0</v>
      </c>
      <c r="Y1459" s="31">
        <f>(Y1458*B1459)</f>
        <v>0</v>
      </c>
      <c r="Z1459" s="29">
        <f>Z1458</f>
        <v>0</v>
      </c>
      <c r="AA1459" s="29" t="e">
        <f>DATEDIF(DATE(1970,1,1),AA1458,"D")*86400</f>
        <v>#NUM!</v>
      </c>
      <c r="AB1459" s="29">
        <f>HOUR(AB1458)*3600+MINUTE(AB1458)*60+SECOND(AB1458)</f>
        <v>0</v>
      </c>
      <c r="AC1459" s="29">
        <f>AC1458</f>
        <v>0</v>
      </c>
    </row>
    <row r="1460" spans="1:29">
      <c r="A1460" s="23">
        <f>Parameters!A731</f>
        <v>0</v>
      </c>
      <c r="B1460" s="23">
        <f>Parameters!B731</f>
        <v>0</v>
      </c>
      <c r="C1460" s="24">
        <f>Parameters!C731</f>
        <v>0</v>
      </c>
      <c r="D1460" s="24">
        <f>Parameters!D731</f>
        <v>0</v>
      </c>
      <c r="E1460" s="23">
        <f>Parameters!E731</f>
        <v>0</v>
      </c>
      <c r="F1460" s="23">
        <f>Parameters!F731</f>
        <v>0</v>
      </c>
      <c r="G1460" s="25">
        <f>Parameters!G731</f>
        <v>0</v>
      </c>
      <c r="H1460" s="25">
        <f>Parameters!H731</f>
        <v>0</v>
      </c>
      <c r="I1460" s="25">
        <f>Parameters!I731</f>
        <v>0</v>
      </c>
      <c r="J1460" s="25">
        <f>Parameters!J731</f>
        <v>0</v>
      </c>
      <c r="K1460" s="25">
        <f>Parameters!K731</f>
        <v>0</v>
      </c>
      <c r="L1460" s="26" t="e">
        <f t="shared" ref="L1460" si="2184">L1461</f>
        <v>#DIV/0!</v>
      </c>
      <c r="M1460" s="25">
        <f>Parameters!L731</f>
        <v>0</v>
      </c>
      <c r="N1460" s="25">
        <f>Parameters!M731</f>
        <v>0</v>
      </c>
      <c r="O1460" s="26" t="e">
        <f t="shared" ref="O1460" si="2185">O1461</f>
        <v>#DIV/0!</v>
      </c>
      <c r="P1460" s="23">
        <f>Parameters!N731</f>
        <v>0</v>
      </c>
      <c r="Q1460" s="23">
        <f>Parameters!O731</f>
        <v>0</v>
      </c>
      <c r="R1460" s="23">
        <f>Parameters!P731</f>
        <v>0</v>
      </c>
      <c r="S1460" s="23">
        <f>Parameters!Q731</f>
        <v>0</v>
      </c>
      <c r="T1460" s="23">
        <f>Parameters!R731</f>
        <v>0</v>
      </c>
      <c r="U1460" s="27">
        <f>Parameters!S731</f>
        <v>0</v>
      </c>
      <c r="V1460" s="28">
        <f>Parameters!T731</f>
        <v>0</v>
      </c>
      <c r="W1460" s="27">
        <f>Parameters!U731</f>
        <v>0</v>
      </c>
      <c r="X1460" s="28">
        <f>Parameters!V731</f>
        <v>0</v>
      </c>
      <c r="Y1460" s="25">
        <f>Parameters!W731</f>
        <v>0</v>
      </c>
      <c r="Z1460" s="23">
        <f>Parameters!X731</f>
        <v>0</v>
      </c>
      <c r="AA1460" s="27">
        <f>Parameters!Y731</f>
        <v>0</v>
      </c>
      <c r="AB1460" s="28">
        <f>Parameters!Z731</f>
        <v>0</v>
      </c>
      <c r="AC1460" s="23">
        <f>Parameters!AA731</f>
        <v>0</v>
      </c>
    </row>
    <row r="1461" spans="1:29">
      <c r="A1461" s="29" t="str">
        <f>UPPER(A1460)</f>
        <v>0</v>
      </c>
      <c r="B1461" s="29">
        <f>B1460</f>
        <v>0</v>
      </c>
      <c r="C1461" s="30">
        <f>C1460</f>
        <v>0</v>
      </c>
      <c r="D1461" s="30">
        <f>D1460</f>
        <v>0</v>
      </c>
      <c r="E1461" s="29">
        <f>E1460</f>
        <v>0</v>
      </c>
      <c r="F1461" s="29">
        <f>F1460</f>
        <v>0</v>
      </c>
      <c r="G1461" s="29" t="e">
        <f>IF(C1460=1,IF(D1460="BUY",E1460+(ROUND(F1460*G1460/B1460,0)*B1460),E1460-(ROUND(F1460*G1460/B1460,0)*B1460)),IF(D1460="BUY",E1460-(ROUND(F1460*G1460/B1460,0)*B1460),E1460+(ROUND(F1460*G1460/B1460,0)*B1460)))</f>
        <v>#DIV/0!</v>
      </c>
      <c r="H1461" s="29" t="e">
        <f>IF(C1460=1,IF(D1460="BUY",G1461-(ROUND(F1460*H1460/B1460,0)*B1460),G1461+(ROUND(F1460*H1460/B1460,0)*B1460)),IF(D1460="BUY",G1461+(ROUND(F1460*H1460/B1460,0)*B1460),G1461-(ROUND(F1460*H1460/B1460,0)*B1460)))</f>
        <v>#DIV/0!</v>
      </c>
      <c r="I1461" s="29" t="e">
        <f>IF(D1460="BUY",G1461+(ROUND(F1460*I1460/(B1460*100),0)*B1460),G1461-(ROUND(F1460*I1460/(B1460*100),0)*B1460))</f>
        <v>#DIV/0!</v>
      </c>
      <c r="J1461" s="29" t="e">
        <f>IF(C1460=1,IF(D1460="BUY",E1460+(ROUND(F1460*J1460/B1460,0)*B1460),E1460-(ROUND(F1460*J1460/B1460,0)*B1460)),IF(D1460="BUY",E1460-(ROUND(F1460*J1460/B1460,0)*B1460),E1460+(ROUND(F1460*J1460/B1460,0)*B1460)))</f>
        <v>#DIV/0!</v>
      </c>
      <c r="K1461" s="29" t="e">
        <f>IF(C1460=1,IF(D1460="BUY",E1460-(ROUND(F1460*K1460/B1460,0)*B1460),E1460+(ROUND(F1460*K1460/B1460,0)*B1460)),IF(D1460="BUY",E1460-(ROUND(F1460*K1460/B1460,0)*B1460),E1460+(ROUND(F1460*K1460/B1460,0)*B1460)))</f>
        <v>#DIV/0!</v>
      </c>
      <c r="L1461" s="29" t="e">
        <f t="shared" ref="L1461" si="2186">IF(D1461="BUY",I1461+(R1461*B1461),I1461-(R1461*B1461))</f>
        <v>#DIV/0!</v>
      </c>
      <c r="M1461" s="29" t="e">
        <f>IF(D1460="BUY",E1460+(ROUND(F1460*M1460/B1460,0)*B1460),E1460-(ROUND(F1460*M1460/B1460,0)*B1460))</f>
        <v>#DIV/0!</v>
      </c>
      <c r="N1461" s="29" t="e">
        <f>IF(D1460="BUY",E1460-(ROUND(F1460*N1460/B1460,0)*B1460),E1460+(ROUND(F1460*N1460/B1460,0)*B1460))</f>
        <v>#DIV/0!</v>
      </c>
      <c r="O1461" s="31" t="e">
        <f>IF(D1461="BUY",N1461-VLOOKUP(A1461,Symbols!A$1:D$1000,4,FALSE),N1461+VLOOKUP(A1461,Symbols!A$1:D$1000,4,FALSE))</f>
        <v>#DIV/0!</v>
      </c>
      <c r="P1461" s="29">
        <f>P1460</f>
        <v>0</v>
      </c>
      <c r="Q1461" s="29">
        <f>Q1460</f>
        <v>0</v>
      </c>
      <c r="R1461" s="29">
        <f>R1460</f>
        <v>0</v>
      </c>
      <c r="S1461" s="29">
        <f>S1460</f>
        <v>0</v>
      </c>
      <c r="T1461" s="29">
        <f>T1460</f>
        <v>0</v>
      </c>
      <c r="U1461" s="29" t="e">
        <f>DATEDIF(DATE(1970,1,1),U1460,"D")*86400</f>
        <v>#NUM!</v>
      </c>
      <c r="V1461" s="29">
        <f>HOUR(V1460)*3600+MINUTE(V1460)*60+SECOND(V1460)</f>
        <v>0</v>
      </c>
      <c r="W1461" s="29" t="e">
        <f>DATEDIF(DATE(1970,1,1),W1460,"D")*86400</f>
        <v>#NUM!</v>
      </c>
      <c r="X1461" s="29">
        <f>HOUR(X1460)*3600+MINUTE(X1460)*60+SECOND(X1460)</f>
        <v>0</v>
      </c>
      <c r="Y1461" s="31">
        <f>(Y1460*B1461)</f>
        <v>0</v>
      </c>
      <c r="Z1461" s="29">
        <f>Z1460</f>
        <v>0</v>
      </c>
      <c r="AA1461" s="29" t="e">
        <f>DATEDIF(DATE(1970,1,1),AA1460,"D")*86400</f>
        <v>#NUM!</v>
      </c>
      <c r="AB1461" s="29">
        <f>HOUR(AB1460)*3600+MINUTE(AB1460)*60+SECOND(AB1460)</f>
        <v>0</v>
      </c>
      <c r="AC1461" s="29">
        <f>AC1460</f>
        <v>0</v>
      </c>
    </row>
    <row r="1462" spans="1:29">
      <c r="A1462" s="23">
        <f>Parameters!A732</f>
        <v>0</v>
      </c>
      <c r="B1462" s="23">
        <f>Parameters!B732</f>
        <v>0</v>
      </c>
      <c r="C1462" s="24">
        <f>Parameters!C732</f>
        <v>0</v>
      </c>
      <c r="D1462" s="24">
        <f>Parameters!D732</f>
        <v>0</v>
      </c>
      <c r="E1462" s="23">
        <f>Parameters!E732</f>
        <v>0</v>
      </c>
      <c r="F1462" s="23">
        <f>Parameters!F732</f>
        <v>0</v>
      </c>
      <c r="G1462" s="25">
        <f>Parameters!G732</f>
        <v>0</v>
      </c>
      <c r="H1462" s="25">
        <f>Parameters!H732</f>
        <v>0</v>
      </c>
      <c r="I1462" s="25">
        <f>Parameters!I732</f>
        <v>0</v>
      </c>
      <c r="J1462" s="25">
        <f>Parameters!J732</f>
        <v>0</v>
      </c>
      <c r="K1462" s="25">
        <f>Parameters!K732</f>
        <v>0</v>
      </c>
      <c r="L1462" s="26" t="e">
        <f t="shared" ref="L1462" si="2187">L1463</f>
        <v>#DIV/0!</v>
      </c>
      <c r="M1462" s="25">
        <f>Parameters!L732</f>
        <v>0</v>
      </c>
      <c r="N1462" s="25">
        <f>Parameters!M732</f>
        <v>0</v>
      </c>
      <c r="O1462" s="26" t="e">
        <f t="shared" ref="O1462" si="2188">O1463</f>
        <v>#DIV/0!</v>
      </c>
      <c r="P1462" s="23">
        <f>Parameters!N732</f>
        <v>0</v>
      </c>
      <c r="Q1462" s="23">
        <f>Parameters!O732</f>
        <v>0</v>
      </c>
      <c r="R1462" s="23">
        <f>Parameters!P732</f>
        <v>0</v>
      </c>
      <c r="S1462" s="23">
        <f>Parameters!Q732</f>
        <v>0</v>
      </c>
      <c r="T1462" s="23">
        <f>Parameters!R732</f>
        <v>0</v>
      </c>
      <c r="U1462" s="27">
        <f>Parameters!S732</f>
        <v>0</v>
      </c>
      <c r="V1462" s="28">
        <f>Parameters!T732</f>
        <v>0</v>
      </c>
      <c r="W1462" s="27">
        <f>Parameters!U732</f>
        <v>0</v>
      </c>
      <c r="X1462" s="28">
        <f>Parameters!V732</f>
        <v>0</v>
      </c>
      <c r="Y1462" s="25">
        <f>Parameters!W732</f>
        <v>0</v>
      </c>
      <c r="Z1462" s="23">
        <f>Parameters!X732</f>
        <v>0</v>
      </c>
      <c r="AA1462" s="27">
        <f>Parameters!Y732</f>
        <v>0</v>
      </c>
      <c r="AB1462" s="28">
        <f>Parameters!Z732</f>
        <v>0</v>
      </c>
      <c r="AC1462" s="23">
        <f>Parameters!AA732</f>
        <v>0</v>
      </c>
    </row>
    <row r="1463" spans="1:29">
      <c r="A1463" s="29" t="str">
        <f>UPPER(A1462)</f>
        <v>0</v>
      </c>
      <c r="B1463" s="29">
        <f>B1462</f>
        <v>0</v>
      </c>
      <c r="C1463" s="30">
        <f>C1462</f>
        <v>0</v>
      </c>
      <c r="D1463" s="30">
        <f>D1462</f>
        <v>0</v>
      </c>
      <c r="E1463" s="29">
        <f>E1462</f>
        <v>0</v>
      </c>
      <c r="F1463" s="29">
        <f>F1462</f>
        <v>0</v>
      </c>
      <c r="G1463" s="29" t="e">
        <f>IF(C1462=1,IF(D1462="BUY",E1462+(ROUND(F1462*G1462/B1462,0)*B1462),E1462-(ROUND(F1462*G1462/B1462,0)*B1462)),IF(D1462="BUY",E1462-(ROUND(F1462*G1462/B1462,0)*B1462),E1462+(ROUND(F1462*G1462/B1462,0)*B1462)))</f>
        <v>#DIV/0!</v>
      </c>
      <c r="H1463" s="29" t="e">
        <f>IF(C1462=1,IF(D1462="BUY",G1463-(ROUND(F1462*H1462/B1462,0)*B1462),G1463+(ROUND(F1462*H1462/B1462,0)*B1462)),IF(D1462="BUY",G1463+(ROUND(F1462*H1462/B1462,0)*B1462),G1463-(ROUND(F1462*H1462/B1462,0)*B1462)))</f>
        <v>#DIV/0!</v>
      </c>
      <c r="I1463" s="29" t="e">
        <f>IF(D1462="BUY",G1463+(ROUND(F1462*I1462/(B1462*100),0)*B1462),G1463-(ROUND(F1462*I1462/(B1462*100),0)*B1462))</f>
        <v>#DIV/0!</v>
      </c>
      <c r="J1463" s="29" t="e">
        <f>IF(C1462=1,IF(D1462="BUY",E1462+(ROUND(F1462*J1462/B1462,0)*B1462),E1462-(ROUND(F1462*J1462/B1462,0)*B1462)),IF(D1462="BUY",E1462-(ROUND(F1462*J1462/B1462,0)*B1462),E1462+(ROUND(F1462*J1462/B1462,0)*B1462)))</f>
        <v>#DIV/0!</v>
      </c>
      <c r="K1463" s="29" t="e">
        <f>IF(C1462=1,IF(D1462="BUY",E1462-(ROUND(F1462*K1462/B1462,0)*B1462),E1462+(ROUND(F1462*K1462/B1462,0)*B1462)),IF(D1462="BUY",E1462-(ROUND(F1462*K1462/B1462,0)*B1462),E1462+(ROUND(F1462*K1462/B1462,0)*B1462)))</f>
        <v>#DIV/0!</v>
      </c>
      <c r="L1463" s="29" t="e">
        <f t="shared" ref="L1463" si="2189">IF(D1463="BUY",I1463+(R1463*B1463),I1463-(R1463*B1463))</f>
        <v>#DIV/0!</v>
      </c>
      <c r="M1463" s="29" t="e">
        <f>IF(D1462="BUY",E1462+(ROUND(F1462*M1462/B1462,0)*B1462),E1462-(ROUND(F1462*M1462/B1462,0)*B1462))</f>
        <v>#DIV/0!</v>
      </c>
      <c r="N1463" s="29" t="e">
        <f>IF(D1462="BUY",E1462-(ROUND(F1462*N1462/B1462,0)*B1462),E1462+(ROUND(F1462*N1462/B1462,0)*B1462))</f>
        <v>#DIV/0!</v>
      </c>
      <c r="O1463" s="31" t="e">
        <f>IF(D1463="BUY",N1463-VLOOKUP(A1463,Symbols!A$1:D$1000,4,FALSE),N1463+VLOOKUP(A1463,Symbols!A$1:D$1000,4,FALSE))</f>
        <v>#DIV/0!</v>
      </c>
      <c r="P1463" s="29">
        <f>P1462</f>
        <v>0</v>
      </c>
      <c r="Q1463" s="29">
        <f>Q1462</f>
        <v>0</v>
      </c>
      <c r="R1463" s="29">
        <f>R1462</f>
        <v>0</v>
      </c>
      <c r="S1463" s="29">
        <f>S1462</f>
        <v>0</v>
      </c>
      <c r="T1463" s="29">
        <f>T1462</f>
        <v>0</v>
      </c>
      <c r="U1463" s="29" t="e">
        <f>DATEDIF(DATE(1970,1,1),U1462,"D")*86400</f>
        <v>#NUM!</v>
      </c>
      <c r="V1463" s="29">
        <f>HOUR(V1462)*3600+MINUTE(V1462)*60+SECOND(V1462)</f>
        <v>0</v>
      </c>
      <c r="W1463" s="29" t="e">
        <f>DATEDIF(DATE(1970,1,1),W1462,"D")*86400</f>
        <v>#NUM!</v>
      </c>
      <c r="X1463" s="29">
        <f>HOUR(X1462)*3600+MINUTE(X1462)*60+SECOND(X1462)</f>
        <v>0</v>
      </c>
      <c r="Y1463" s="31">
        <f>(Y1462*B1463)</f>
        <v>0</v>
      </c>
      <c r="Z1463" s="29">
        <f>Z1462</f>
        <v>0</v>
      </c>
      <c r="AA1463" s="29" t="e">
        <f>DATEDIF(DATE(1970,1,1),AA1462,"D")*86400</f>
        <v>#NUM!</v>
      </c>
      <c r="AB1463" s="29">
        <f>HOUR(AB1462)*3600+MINUTE(AB1462)*60+SECOND(AB1462)</f>
        <v>0</v>
      </c>
      <c r="AC1463" s="29">
        <f>AC1462</f>
        <v>0</v>
      </c>
    </row>
    <row r="1464" spans="1:29">
      <c r="A1464" s="23">
        <f>Parameters!A733</f>
        <v>0</v>
      </c>
      <c r="B1464" s="23">
        <f>Parameters!B733</f>
        <v>0</v>
      </c>
      <c r="C1464" s="24">
        <f>Parameters!C733</f>
        <v>0</v>
      </c>
      <c r="D1464" s="24">
        <f>Parameters!D733</f>
        <v>0</v>
      </c>
      <c r="E1464" s="23">
        <f>Parameters!E733</f>
        <v>0</v>
      </c>
      <c r="F1464" s="23">
        <f>Parameters!F733</f>
        <v>0</v>
      </c>
      <c r="G1464" s="25">
        <f>Parameters!G733</f>
        <v>0</v>
      </c>
      <c r="H1464" s="25">
        <f>Parameters!H733</f>
        <v>0</v>
      </c>
      <c r="I1464" s="25">
        <f>Parameters!I733</f>
        <v>0</v>
      </c>
      <c r="J1464" s="25">
        <f>Parameters!J733</f>
        <v>0</v>
      </c>
      <c r="K1464" s="25">
        <f>Parameters!K733</f>
        <v>0</v>
      </c>
      <c r="L1464" s="26" t="e">
        <f t="shared" ref="L1464" si="2190">L1465</f>
        <v>#DIV/0!</v>
      </c>
      <c r="M1464" s="25">
        <f>Parameters!L733</f>
        <v>0</v>
      </c>
      <c r="N1464" s="25">
        <f>Parameters!M733</f>
        <v>0</v>
      </c>
      <c r="O1464" s="26" t="e">
        <f t="shared" ref="O1464" si="2191">O1465</f>
        <v>#DIV/0!</v>
      </c>
      <c r="P1464" s="23">
        <f>Parameters!N733</f>
        <v>0</v>
      </c>
      <c r="Q1464" s="23">
        <f>Parameters!O733</f>
        <v>0</v>
      </c>
      <c r="R1464" s="23">
        <f>Parameters!P733</f>
        <v>0</v>
      </c>
      <c r="S1464" s="23">
        <f>Parameters!Q733</f>
        <v>0</v>
      </c>
      <c r="T1464" s="23">
        <f>Parameters!R733</f>
        <v>0</v>
      </c>
      <c r="U1464" s="27">
        <f>Parameters!S733</f>
        <v>0</v>
      </c>
      <c r="V1464" s="28">
        <f>Parameters!T733</f>
        <v>0</v>
      </c>
      <c r="W1464" s="27">
        <f>Parameters!U733</f>
        <v>0</v>
      </c>
      <c r="X1464" s="28">
        <f>Parameters!V733</f>
        <v>0</v>
      </c>
      <c r="Y1464" s="25">
        <f>Parameters!W733</f>
        <v>0</v>
      </c>
      <c r="Z1464" s="23">
        <f>Parameters!X733</f>
        <v>0</v>
      </c>
      <c r="AA1464" s="27">
        <f>Parameters!Y733</f>
        <v>0</v>
      </c>
      <c r="AB1464" s="28">
        <f>Parameters!Z733</f>
        <v>0</v>
      </c>
      <c r="AC1464" s="23">
        <f>Parameters!AA733</f>
        <v>0</v>
      </c>
    </row>
    <row r="1465" spans="1:29">
      <c r="A1465" s="29" t="str">
        <f>UPPER(A1464)</f>
        <v>0</v>
      </c>
      <c r="B1465" s="29">
        <f>B1464</f>
        <v>0</v>
      </c>
      <c r="C1465" s="30">
        <f>C1464</f>
        <v>0</v>
      </c>
      <c r="D1465" s="30">
        <f>D1464</f>
        <v>0</v>
      </c>
      <c r="E1465" s="29">
        <f>E1464</f>
        <v>0</v>
      </c>
      <c r="F1465" s="29">
        <f>F1464</f>
        <v>0</v>
      </c>
      <c r="G1465" s="29" t="e">
        <f>IF(C1464=1,IF(D1464="BUY",E1464+(ROUND(F1464*G1464/B1464,0)*B1464),E1464-(ROUND(F1464*G1464/B1464,0)*B1464)),IF(D1464="BUY",E1464-(ROUND(F1464*G1464/B1464,0)*B1464),E1464+(ROUND(F1464*G1464/B1464,0)*B1464)))</f>
        <v>#DIV/0!</v>
      </c>
      <c r="H1465" s="29" t="e">
        <f>IF(C1464=1,IF(D1464="BUY",G1465-(ROUND(F1464*H1464/B1464,0)*B1464),G1465+(ROUND(F1464*H1464/B1464,0)*B1464)),IF(D1464="BUY",G1465+(ROUND(F1464*H1464/B1464,0)*B1464),G1465-(ROUND(F1464*H1464/B1464,0)*B1464)))</f>
        <v>#DIV/0!</v>
      </c>
      <c r="I1465" s="29" t="e">
        <f>IF(D1464="BUY",G1465+(ROUND(F1464*I1464/(B1464*100),0)*B1464),G1465-(ROUND(F1464*I1464/(B1464*100),0)*B1464))</f>
        <v>#DIV/0!</v>
      </c>
      <c r="J1465" s="29" t="e">
        <f>IF(C1464=1,IF(D1464="BUY",E1464+(ROUND(F1464*J1464/B1464,0)*B1464),E1464-(ROUND(F1464*J1464/B1464,0)*B1464)),IF(D1464="BUY",E1464-(ROUND(F1464*J1464/B1464,0)*B1464),E1464+(ROUND(F1464*J1464/B1464,0)*B1464)))</f>
        <v>#DIV/0!</v>
      </c>
      <c r="K1465" s="29" t="e">
        <f>IF(C1464=1,IF(D1464="BUY",E1464-(ROUND(F1464*K1464/B1464,0)*B1464),E1464+(ROUND(F1464*K1464/B1464,0)*B1464)),IF(D1464="BUY",E1464-(ROUND(F1464*K1464/B1464,0)*B1464),E1464+(ROUND(F1464*K1464/B1464,0)*B1464)))</f>
        <v>#DIV/0!</v>
      </c>
      <c r="L1465" s="29" t="e">
        <f t="shared" ref="L1465" si="2192">IF(D1465="BUY",I1465+(R1465*B1465),I1465-(R1465*B1465))</f>
        <v>#DIV/0!</v>
      </c>
      <c r="M1465" s="29" t="e">
        <f>IF(D1464="BUY",E1464+(ROUND(F1464*M1464/B1464,0)*B1464),E1464-(ROUND(F1464*M1464/B1464,0)*B1464))</f>
        <v>#DIV/0!</v>
      </c>
      <c r="N1465" s="29" t="e">
        <f>IF(D1464="BUY",E1464-(ROUND(F1464*N1464/B1464,0)*B1464),E1464+(ROUND(F1464*N1464/B1464,0)*B1464))</f>
        <v>#DIV/0!</v>
      </c>
      <c r="O1465" s="31" t="e">
        <f>IF(D1465="BUY",N1465-VLOOKUP(A1465,Symbols!A$1:D$1000,4,FALSE),N1465+VLOOKUP(A1465,Symbols!A$1:D$1000,4,FALSE))</f>
        <v>#DIV/0!</v>
      </c>
      <c r="P1465" s="29">
        <f>P1464</f>
        <v>0</v>
      </c>
      <c r="Q1465" s="29">
        <f>Q1464</f>
        <v>0</v>
      </c>
      <c r="R1465" s="29">
        <f>R1464</f>
        <v>0</v>
      </c>
      <c r="S1465" s="29">
        <f>S1464</f>
        <v>0</v>
      </c>
      <c r="T1465" s="29">
        <f>T1464</f>
        <v>0</v>
      </c>
      <c r="U1465" s="29" t="e">
        <f>DATEDIF(DATE(1970,1,1),U1464,"D")*86400</f>
        <v>#NUM!</v>
      </c>
      <c r="V1465" s="29">
        <f>HOUR(V1464)*3600+MINUTE(V1464)*60+SECOND(V1464)</f>
        <v>0</v>
      </c>
      <c r="W1465" s="29" t="e">
        <f>DATEDIF(DATE(1970,1,1),W1464,"D")*86400</f>
        <v>#NUM!</v>
      </c>
      <c r="X1465" s="29">
        <f>HOUR(X1464)*3600+MINUTE(X1464)*60+SECOND(X1464)</f>
        <v>0</v>
      </c>
      <c r="Y1465" s="31">
        <f>(Y1464*B1465)</f>
        <v>0</v>
      </c>
      <c r="Z1465" s="29">
        <f>Z1464</f>
        <v>0</v>
      </c>
      <c r="AA1465" s="29" t="e">
        <f>DATEDIF(DATE(1970,1,1),AA1464,"D")*86400</f>
        <v>#NUM!</v>
      </c>
      <c r="AB1465" s="29">
        <f>HOUR(AB1464)*3600+MINUTE(AB1464)*60+SECOND(AB1464)</f>
        <v>0</v>
      </c>
      <c r="AC1465" s="29">
        <f>AC1464</f>
        <v>0</v>
      </c>
    </row>
    <row r="1466" spans="1:29">
      <c r="A1466" s="23">
        <f>Parameters!A734</f>
        <v>0</v>
      </c>
      <c r="B1466" s="23">
        <f>Parameters!B734</f>
        <v>0</v>
      </c>
      <c r="C1466" s="24">
        <f>Parameters!C734</f>
        <v>0</v>
      </c>
      <c r="D1466" s="24">
        <f>Parameters!D734</f>
        <v>0</v>
      </c>
      <c r="E1466" s="23">
        <f>Parameters!E734</f>
        <v>0</v>
      </c>
      <c r="F1466" s="23">
        <f>Parameters!F734</f>
        <v>0</v>
      </c>
      <c r="G1466" s="25">
        <f>Parameters!G734</f>
        <v>0</v>
      </c>
      <c r="H1466" s="25">
        <f>Parameters!H734</f>
        <v>0</v>
      </c>
      <c r="I1466" s="25">
        <f>Parameters!I734</f>
        <v>0</v>
      </c>
      <c r="J1466" s="25">
        <f>Parameters!J734</f>
        <v>0</v>
      </c>
      <c r="K1466" s="25">
        <f>Parameters!K734</f>
        <v>0</v>
      </c>
      <c r="L1466" s="26" t="e">
        <f t="shared" ref="L1466" si="2193">L1467</f>
        <v>#DIV/0!</v>
      </c>
      <c r="M1466" s="25">
        <f>Parameters!L734</f>
        <v>0</v>
      </c>
      <c r="N1466" s="25">
        <f>Parameters!M734</f>
        <v>0</v>
      </c>
      <c r="O1466" s="26" t="e">
        <f t="shared" ref="O1466" si="2194">O1467</f>
        <v>#DIV/0!</v>
      </c>
      <c r="P1466" s="23">
        <f>Parameters!N734</f>
        <v>0</v>
      </c>
      <c r="Q1466" s="23">
        <f>Parameters!O734</f>
        <v>0</v>
      </c>
      <c r="R1466" s="23">
        <f>Parameters!P734</f>
        <v>0</v>
      </c>
      <c r="S1466" s="23">
        <f>Parameters!Q734</f>
        <v>0</v>
      </c>
      <c r="T1466" s="23">
        <f>Parameters!R734</f>
        <v>0</v>
      </c>
      <c r="U1466" s="27">
        <f>Parameters!S734</f>
        <v>0</v>
      </c>
      <c r="V1466" s="28">
        <f>Parameters!T734</f>
        <v>0</v>
      </c>
      <c r="W1466" s="27">
        <f>Parameters!U734</f>
        <v>0</v>
      </c>
      <c r="X1466" s="28">
        <f>Parameters!V734</f>
        <v>0</v>
      </c>
      <c r="Y1466" s="25">
        <f>Parameters!W734</f>
        <v>0</v>
      </c>
      <c r="Z1466" s="23">
        <f>Parameters!X734</f>
        <v>0</v>
      </c>
      <c r="AA1466" s="27">
        <f>Parameters!Y734</f>
        <v>0</v>
      </c>
      <c r="AB1466" s="28">
        <f>Parameters!Z734</f>
        <v>0</v>
      </c>
      <c r="AC1466" s="23">
        <f>Parameters!AA734</f>
        <v>0</v>
      </c>
    </row>
    <row r="1467" spans="1:29">
      <c r="A1467" s="29" t="str">
        <f>UPPER(A1466)</f>
        <v>0</v>
      </c>
      <c r="B1467" s="29">
        <f>B1466</f>
        <v>0</v>
      </c>
      <c r="C1467" s="30">
        <f>C1466</f>
        <v>0</v>
      </c>
      <c r="D1467" s="30">
        <f>D1466</f>
        <v>0</v>
      </c>
      <c r="E1467" s="29">
        <f>E1466</f>
        <v>0</v>
      </c>
      <c r="F1467" s="29">
        <f>F1466</f>
        <v>0</v>
      </c>
      <c r="G1467" s="29" t="e">
        <f>IF(C1466=1,IF(D1466="BUY",E1466+(ROUND(F1466*G1466/B1466,0)*B1466),E1466-(ROUND(F1466*G1466/B1466,0)*B1466)),IF(D1466="BUY",E1466-(ROUND(F1466*G1466/B1466,0)*B1466),E1466+(ROUND(F1466*G1466/B1466,0)*B1466)))</f>
        <v>#DIV/0!</v>
      </c>
      <c r="H1467" s="29" t="e">
        <f>IF(C1466=1,IF(D1466="BUY",G1467-(ROUND(F1466*H1466/B1466,0)*B1466),G1467+(ROUND(F1466*H1466/B1466,0)*B1466)),IF(D1466="BUY",G1467+(ROUND(F1466*H1466/B1466,0)*B1466),G1467-(ROUND(F1466*H1466/B1466,0)*B1466)))</f>
        <v>#DIV/0!</v>
      </c>
      <c r="I1467" s="29" t="e">
        <f>IF(D1466="BUY",G1467+(ROUND(F1466*I1466/(B1466*100),0)*B1466),G1467-(ROUND(F1466*I1466/(B1466*100),0)*B1466))</f>
        <v>#DIV/0!</v>
      </c>
      <c r="J1467" s="29" t="e">
        <f>IF(C1466=1,IF(D1466="BUY",E1466+(ROUND(F1466*J1466/B1466,0)*B1466),E1466-(ROUND(F1466*J1466/B1466,0)*B1466)),IF(D1466="BUY",E1466-(ROUND(F1466*J1466/B1466,0)*B1466),E1466+(ROUND(F1466*J1466/B1466,0)*B1466)))</f>
        <v>#DIV/0!</v>
      </c>
      <c r="K1467" s="29" t="e">
        <f>IF(C1466=1,IF(D1466="BUY",E1466-(ROUND(F1466*K1466/B1466,0)*B1466),E1466+(ROUND(F1466*K1466/B1466,0)*B1466)),IF(D1466="BUY",E1466-(ROUND(F1466*K1466/B1466,0)*B1466),E1466+(ROUND(F1466*K1466/B1466,0)*B1466)))</f>
        <v>#DIV/0!</v>
      </c>
      <c r="L1467" s="29" t="e">
        <f t="shared" ref="L1467" si="2195">IF(D1467="BUY",I1467+(R1467*B1467),I1467-(R1467*B1467))</f>
        <v>#DIV/0!</v>
      </c>
      <c r="M1467" s="29" t="e">
        <f>IF(D1466="BUY",E1466+(ROUND(F1466*M1466/B1466,0)*B1466),E1466-(ROUND(F1466*M1466/B1466,0)*B1466))</f>
        <v>#DIV/0!</v>
      </c>
      <c r="N1467" s="29" t="e">
        <f>IF(D1466="BUY",E1466-(ROUND(F1466*N1466/B1466,0)*B1466),E1466+(ROUND(F1466*N1466/B1466,0)*B1466))</f>
        <v>#DIV/0!</v>
      </c>
      <c r="O1467" s="31" t="e">
        <f>IF(D1467="BUY",N1467-VLOOKUP(A1467,Symbols!A$1:D$1000,4,FALSE),N1467+VLOOKUP(A1467,Symbols!A$1:D$1000,4,FALSE))</f>
        <v>#DIV/0!</v>
      </c>
      <c r="P1467" s="29">
        <f>P1466</f>
        <v>0</v>
      </c>
      <c r="Q1467" s="29">
        <f>Q1466</f>
        <v>0</v>
      </c>
      <c r="R1467" s="29">
        <f>R1466</f>
        <v>0</v>
      </c>
      <c r="S1467" s="29">
        <f>S1466</f>
        <v>0</v>
      </c>
      <c r="T1467" s="29">
        <f>T1466</f>
        <v>0</v>
      </c>
      <c r="U1467" s="29" t="e">
        <f>DATEDIF(DATE(1970,1,1),U1466,"D")*86400</f>
        <v>#NUM!</v>
      </c>
      <c r="V1467" s="29">
        <f>HOUR(V1466)*3600+MINUTE(V1466)*60+SECOND(V1466)</f>
        <v>0</v>
      </c>
      <c r="W1467" s="29" t="e">
        <f>DATEDIF(DATE(1970,1,1),W1466,"D")*86400</f>
        <v>#NUM!</v>
      </c>
      <c r="X1467" s="29">
        <f>HOUR(X1466)*3600+MINUTE(X1466)*60+SECOND(X1466)</f>
        <v>0</v>
      </c>
      <c r="Y1467" s="31">
        <f>(Y1466*B1467)</f>
        <v>0</v>
      </c>
      <c r="Z1467" s="29">
        <f>Z1466</f>
        <v>0</v>
      </c>
      <c r="AA1467" s="29" t="e">
        <f>DATEDIF(DATE(1970,1,1),AA1466,"D")*86400</f>
        <v>#NUM!</v>
      </c>
      <c r="AB1467" s="29">
        <f>HOUR(AB1466)*3600+MINUTE(AB1466)*60+SECOND(AB1466)</f>
        <v>0</v>
      </c>
      <c r="AC1467" s="29">
        <f>AC1466</f>
        <v>0</v>
      </c>
    </row>
    <row r="1468" spans="1:29">
      <c r="A1468" s="23">
        <f>Parameters!A735</f>
        <v>0</v>
      </c>
      <c r="B1468" s="23">
        <f>Parameters!B735</f>
        <v>0</v>
      </c>
      <c r="C1468" s="24">
        <f>Parameters!C735</f>
        <v>0</v>
      </c>
      <c r="D1468" s="24">
        <f>Parameters!D735</f>
        <v>0</v>
      </c>
      <c r="E1468" s="23">
        <f>Parameters!E735</f>
        <v>0</v>
      </c>
      <c r="F1468" s="23">
        <f>Parameters!F735</f>
        <v>0</v>
      </c>
      <c r="G1468" s="25">
        <f>Parameters!G735</f>
        <v>0</v>
      </c>
      <c r="H1468" s="25">
        <f>Parameters!H735</f>
        <v>0</v>
      </c>
      <c r="I1468" s="25">
        <f>Parameters!I735</f>
        <v>0</v>
      </c>
      <c r="J1468" s="25">
        <f>Parameters!J735</f>
        <v>0</v>
      </c>
      <c r="K1468" s="25">
        <f>Parameters!K735</f>
        <v>0</v>
      </c>
      <c r="L1468" s="26" t="e">
        <f t="shared" ref="L1468" si="2196">L1469</f>
        <v>#DIV/0!</v>
      </c>
      <c r="M1468" s="25">
        <f>Parameters!L735</f>
        <v>0</v>
      </c>
      <c r="N1468" s="25">
        <f>Parameters!M735</f>
        <v>0</v>
      </c>
      <c r="O1468" s="26" t="e">
        <f t="shared" ref="O1468" si="2197">O1469</f>
        <v>#DIV/0!</v>
      </c>
      <c r="P1468" s="23">
        <f>Parameters!N735</f>
        <v>0</v>
      </c>
      <c r="Q1468" s="23">
        <f>Parameters!O735</f>
        <v>0</v>
      </c>
      <c r="R1468" s="23">
        <f>Parameters!P735</f>
        <v>0</v>
      </c>
      <c r="S1468" s="23">
        <f>Parameters!Q735</f>
        <v>0</v>
      </c>
      <c r="T1468" s="23">
        <f>Parameters!R735</f>
        <v>0</v>
      </c>
      <c r="U1468" s="27">
        <f>Parameters!S735</f>
        <v>0</v>
      </c>
      <c r="V1468" s="28">
        <f>Parameters!T735</f>
        <v>0</v>
      </c>
      <c r="W1468" s="27">
        <f>Parameters!U735</f>
        <v>0</v>
      </c>
      <c r="X1468" s="28">
        <f>Parameters!V735</f>
        <v>0</v>
      </c>
      <c r="Y1468" s="25">
        <f>Parameters!W735</f>
        <v>0</v>
      </c>
      <c r="Z1468" s="23">
        <f>Parameters!X735</f>
        <v>0</v>
      </c>
      <c r="AA1468" s="27">
        <f>Parameters!Y735</f>
        <v>0</v>
      </c>
      <c r="AB1468" s="28">
        <f>Parameters!Z735</f>
        <v>0</v>
      </c>
      <c r="AC1468" s="23">
        <f>Parameters!AA735</f>
        <v>0</v>
      </c>
    </row>
    <row r="1469" spans="1:29">
      <c r="A1469" s="29" t="str">
        <f>UPPER(A1468)</f>
        <v>0</v>
      </c>
      <c r="B1469" s="29">
        <f>B1468</f>
        <v>0</v>
      </c>
      <c r="C1469" s="30">
        <f>C1468</f>
        <v>0</v>
      </c>
      <c r="D1469" s="30">
        <f>D1468</f>
        <v>0</v>
      </c>
      <c r="E1469" s="29">
        <f>E1468</f>
        <v>0</v>
      </c>
      <c r="F1469" s="29">
        <f>F1468</f>
        <v>0</v>
      </c>
      <c r="G1469" s="29" t="e">
        <f>IF(C1468=1,IF(D1468="BUY",E1468+(ROUND(F1468*G1468/B1468,0)*B1468),E1468-(ROUND(F1468*G1468/B1468,0)*B1468)),IF(D1468="BUY",E1468-(ROUND(F1468*G1468/B1468,0)*B1468),E1468+(ROUND(F1468*G1468/B1468,0)*B1468)))</f>
        <v>#DIV/0!</v>
      </c>
      <c r="H1469" s="29" t="e">
        <f>IF(C1468=1,IF(D1468="BUY",G1469-(ROUND(F1468*H1468/B1468,0)*B1468),G1469+(ROUND(F1468*H1468/B1468,0)*B1468)),IF(D1468="BUY",G1469+(ROUND(F1468*H1468/B1468,0)*B1468),G1469-(ROUND(F1468*H1468/B1468,0)*B1468)))</f>
        <v>#DIV/0!</v>
      </c>
      <c r="I1469" s="29" t="e">
        <f>IF(D1468="BUY",G1469+(ROUND(F1468*I1468/(B1468*100),0)*B1468),G1469-(ROUND(F1468*I1468/(B1468*100),0)*B1468))</f>
        <v>#DIV/0!</v>
      </c>
      <c r="J1469" s="29" t="e">
        <f>IF(C1468=1,IF(D1468="BUY",E1468+(ROUND(F1468*J1468/B1468,0)*B1468),E1468-(ROUND(F1468*J1468/B1468,0)*B1468)),IF(D1468="BUY",E1468-(ROUND(F1468*J1468/B1468,0)*B1468),E1468+(ROUND(F1468*J1468/B1468,0)*B1468)))</f>
        <v>#DIV/0!</v>
      </c>
      <c r="K1469" s="29" t="e">
        <f>IF(C1468=1,IF(D1468="BUY",E1468-(ROUND(F1468*K1468/B1468,0)*B1468),E1468+(ROUND(F1468*K1468/B1468,0)*B1468)),IF(D1468="BUY",E1468-(ROUND(F1468*K1468/B1468,0)*B1468),E1468+(ROUND(F1468*K1468/B1468,0)*B1468)))</f>
        <v>#DIV/0!</v>
      </c>
      <c r="L1469" s="29" t="e">
        <f t="shared" ref="L1469" si="2198">IF(D1469="BUY",I1469+(R1469*B1469),I1469-(R1469*B1469))</f>
        <v>#DIV/0!</v>
      </c>
      <c r="M1469" s="29" t="e">
        <f>IF(D1468="BUY",E1468+(ROUND(F1468*M1468/B1468,0)*B1468),E1468-(ROUND(F1468*M1468/B1468,0)*B1468))</f>
        <v>#DIV/0!</v>
      </c>
      <c r="N1469" s="29" t="e">
        <f>IF(D1468="BUY",E1468-(ROUND(F1468*N1468/B1468,0)*B1468),E1468+(ROUND(F1468*N1468/B1468,0)*B1468))</f>
        <v>#DIV/0!</v>
      </c>
      <c r="O1469" s="31" t="e">
        <f>IF(D1469="BUY",N1469-VLOOKUP(A1469,Symbols!A$1:D$1000,4,FALSE),N1469+VLOOKUP(A1469,Symbols!A$1:D$1000,4,FALSE))</f>
        <v>#DIV/0!</v>
      </c>
      <c r="P1469" s="29">
        <f>P1468</f>
        <v>0</v>
      </c>
      <c r="Q1469" s="29">
        <f>Q1468</f>
        <v>0</v>
      </c>
      <c r="R1469" s="29">
        <f>R1468</f>
        <v>0</v>
      </c>
      <c r="S1469" s="29">
        <f>S1468</f>
        <v>0</v>
      </c>
      <c r="T1469" s="29">
        <f>T1468</f>
        <v>0</v>
      </c>
      <c r="U1469" s="29" t="e">
        <f>DATEDIF(DATE(1970,1,1),U1468,"D")*86400</f>
        <v>#NUM!</v>
      </c>
      <c r="V1469" s="29">
        <f>HOUR(V1468)*3600+MINUTE(V1468)*60+SECOND(V1468)</f>
        <v>0</v>
      </c>
      <c r="W1469" s="29" t="e">
        <f>DATEDIF(DATE(1970,1,1),W1468,"D")*86400</f>
        <v>#NUM!</v>
      </c>
      <c r="X1469" s="29">
        <f>HOUR(X1468)*3600+MINUTE(X1468)*60+SECOND(X1468)</f>
        <v>0</v>
      </c>
      <c r="Y1469" s="31">
        <f>(Y1468*B1469)</f>
        <v>0</v>
      </c>
      <c r="Z1469" s="29">
        <f>Z1468</f>
        <v>0</v>
      </c>
      <c r="AA1469" s="29" t="e">
        <f>DATEDIF(DATE(1970,1,1),AA1468,"D")*86400</f>
        <v>#NUM!</v>
      </c>
      <c r="AB1469" s="29">
        <f>HOUR(AB1468)*3600+MINUTE(AB1468)*60+SECOND(AB1468)</f>
        <v>0</v>
      </c>
      <c r="AC1469" s="29">
        <f>AC1468</f>
        <v>0</v>
      </c>
    </row>
    <row r="1470" spans="1:29">
      <c r="A1470" s="23">
        <f>Parameters!A736</f>
        <v>0</v>
      </c>
      <c r="B1470" s="23">
        <f>Parameters!B736</f>
        <v>0</v>
      </c>
      <c r="C1470" s="24">
        <f>Parameters!C736</f>
        <v>0</v>
      </c>
      <c r="D1470" s="24">
        <f>Parameters!D736</f>
        <v>0</v>
      </c>
      <c r="E1470" s="23">
        <f>Parameters!E736</f>
        <v>0</v>
      </c>
      <c r="F1470" s="23">
        <f>Parameters!F736</f>
        <v>0</v>
      </c>
      <c r="G1470" s="25">
        <f>Parameters!G736</f>
        <v>0</v>
      </c>
      <c r="H1470" s="25">
        <f>Parameters!H736</f>
        <v>0</v>
      </c>
      <c r="I1470" s="25">
        <f>Parameters!I736</f>
        <v>0</v>
      </c>
      <c r="J1470" s="25">
        <f>Parameters!J736</f>
        <v>0</v>
      </c>
      <c r="K1470" s="25">
        <f>Parameters!K736</f>
        <v>0</v>
      </c>
      <c r="L1470" s="26" t="e">
        <f t="shared" ref="L1470" si="2199">L1471</f>
        <v>#DIV/0!</v>
      </c>
      <c r="M1470" s="25">
        <f>Parameters!L736</f>
        <v>0</v>
      </c>
      <c r="N1470" s="25">
        <f>Parameters!M736</f>
        <v>0</v>
      </c>
      <c r="O1470" s="26" t="e">
        <f t="shared" ref="O1470" si="2200">O1471</f>
        <v>#DIV/0!</v>
      </c>
      <c r="P1470" s="23">
        <f>Parameters!N736</f>
        <v>0</v>
      </c>
      <c r="Q1470" s="23">
        <f>Parameters!O736</f>
        <v>0</v>
      </c>
      <c r="R1470" s="23">
        <f>Parameters!P736</f>
        <v>0</v>
      </c>
      <c r="S1470" s="23">
        <f>Parameters!Q736</f>
        <v>0</v>
      </c>
      <c r="T1470" s="23">
        <f>Parameters!R736</f>
        <v>0</v>
      </c>
      <c r="U1470" s="27">
        <f>Parameters!S736</f>
        <v>0</v>
      </c>
      <c r="V1470" s="28">
        <f>Parameters!T736</f>
        <v>0</v>
      </c>
      <c r="W1470" s="27">
        <f>Parameters!U736</f>
        <v>0</v>
      </c>
      <c r="X1470" s="28">
        <f>Parameters!V736</f>
        <v>0</v>
      </c>
      <c r="Y1470" s="25">
        <f>Parameters!W736</f>
        <v>0</v>
      </c>
      <c r="Z1470" s="23">
        <f>Parameters!X736</f>
        <v>0</v>
      </c>
      <c r="AA1470" s="27">
        <f>Parameters!Y736</f>
        <v>0</v>
      </c>
      <c r="AB1470" s="28">
        <f>Parameters!Z736</f>
        <v>0</v>
      </c>
      <c r="AC1470" s="23">
        <f>Parameters!AA736</f>
        <v>0</v>
      </c>
    </row>
    <row r="1471" spans="1:29">
      <c r="A1471" s="29" t="str">
        <f>UPPER(A1470)</f>
        <v>0</v>
      </c>
      <c r="B1471" s="29">
        <f>B1470</f>
        <v>0</v>
      </c>
      <c r="C1471" s="30">
        <f>C1470</f>
        <v>0</v>
      </c>
      <c r="D1471" s="30">
        <f>D1470</f>
        <v>0</v>
      </c>
      <c r="E1471" s="29">
        <f>E1470</f>
        <v>0</v>
      </c>
      <c r="F1471" s="29">
        <f>F1470</f>
        <v>0</v>
      </c>
      <c r="G1471" s="29" t="e">
        <f>IF(C1470=1,IF(D1470="BUY",E1470+(ROUND(F1470*G1470/B1470,0)*B1470),E1470-(ROUND(F1470*G1470/B1470,0)*B1470)),IF(D1470="BUY",E1470-(ROUND(F1470*G1470/B1470,0)*B1470),E1470+(ROUND(F1470*G1470/B1470,0)*B1470)))</f>
        <v>#DIV/0!</v>
      </c>
      <c r="H1471" s="29" t="e">
        <f>IF(C1470=1,IF(D1470="BUY",G1471-(ROUND(F1470*H1470/B1470,0)*B1470),G1471+(ROUND(F1470*H1470/B1470,0)*B1470)),IF(D1470="BUY",G1471+(ROUND(F1470*H1470/B1470,0)*B1470),G1471-(ROUND(F1470*H1470/B1470,0)*B1470)))</f>
        <v>#DIV/0!</v>
      </c>
      <c r="I1471" s="29" t="e">
        <f>IF(D1470="BUY",G1471+(ROUND(F1470*I1470/(B1470*100),0)*B1470),G1471-(ROUND(F1470*I1470/(B1470*100),0)*B1470))</f>
        <v>#DIV/0!</v>
      </c>
      <c r="J1471" s="29" t="e">
        <f>IF(C1470=1,IF(D1470="BUY",E1470+(ROUND(F1470*J1470/B1470,0)*B1470),E1470-(ROUND(F1470*J1470/B1470,0)*B1470)),IF(D1470="BUY",E1470-(ROUND(F1470*J1470/B1470,0)*B1470),E1470+(ROUND(F1470*J1470/B1470,0)*B1470)))</f>
        <v>#DIV/0!</v>
      </c>
      <c r="K1471" s="29" t="e">
        <f>IF(C1470=1,IF(D1470="BUY",E1470-(ROUND(F1470*K1470/B1470,0)*B1470),E1470+(ROUND(F1470*K1470/B1470,0)*B1470)),IF(D1470="BUY",E1470-(ROUND(F1470*K1470/B1470,0)*B1470),E1470+(ROUND(F1470*K1470/B1470,0)*B1470)))</f>
        <v>#DIV/0!</v>
      </c>
      <c r="L1471" s="29" t="e">
        <f t="shared" ref="L1471" si="2201">IF(D1471="BUY",I1471+(R1471*B1471),I1471-(R1471*B1471))</f>
        <v>#DIV/0!</v>
      </c>
      <c r="M1471" s="29" t="e">
        <f>IF(D1470="BUY",E1470+(ROUND(F1470*M1470/B1470,0)*B1470),E1470-(ROUND(F1470*M1470/B1470,0)*B1470))</f>
        <v>#DIV/0!</v>
      </c>
      <c r="N1471" s="29" t="e">
        <f>IF(D1470="BUY",E1470-(ROUND(F1470*N1470/B1470,0)*B1470),E1470+(ROUND(F1470*N1470/B1470,0)*B1470))</f>
        <v>#DIV/0!</v>
      </c>
      <c r="O1471" s="31" t="e">
        <f>IF(D1471="BUY",N1471-VLOOKUP(A1471,Symbols!A$1:D$1000,4,FALSE),N1471+VLOOKUP(A1471,Symbols!A$1:D$1000,4,FALSE))</f>
        <v>#DIV/0!</v>
      </c>
      <c r="P1471" s="29">
        <f>P1470</f>
        <v>0</v>
      </c>
      <c r="Q1471" s="29">
        <f>Q1470</f>
        <v>0</v>
      </c>
      <c r="R1471" s="29">
        <f>R1470</f>
        <v>0</v>
      </c>
      <c r="S1471" s="29">
        <f>S1470</f>
        <v>0</v>
      </c>
      <c r="T1471" s="29">
        <f>T1470</f>
        <v>0</v>
      </c>
      <c r="U1471" s="29" t="e">
        <f>DATEDIF(DATE(1970,1,1),U1470,"D")*86400</f>
        <v>#NUM!</v>
      </c>
      <c r="V1471" s="29">
        <f>HOUR(V1470)*3600+MINUTE(V1470)*60+SECOND(V1470)</f>
        <v>0</v>
      </c>
      <c r="W1471" s="29" t="e">
        <f>DATEDIF(DATE(1970,1,1),W1470,"D")*86400</f>
        <v>#NUM!</v>
      </c>
      <c r="X1471" s="29">
        <f>HOUR(X1470)*3600+MINUTE(X1470)*60+SECOND(X1470)</f>
        <v>0</v>
      </c>
      <c r="Y1471" s="31">
        <f>(Y1470*B1471)</f>
        <v>0</v>
      </c>
      <c r="Z1471" s="29">
        <f>Z1470</f>
        <v>0</v>
      </c>
      <c r="AA1471" s="29" t="e">
        <f>DATEDIF(DATE(1970,1,1),AA1470,"D")*86400</f>
        <v>#NUM!</v>
      </c>
      <c r="AB1471" s="29">
        <f>HOUR(AB1470)*3600+MINUTE(AB1470)*60+SECOND(AB1470)</f>
        <v>0</v>
      </c>
      <c r="AC1471" s="29">
        <f>AC1470</f>
        <v>0</v>
      </c>
    </row>
    <row r="1472" spans="1:29">
      <c r="A1472" s="23">
        <f>Parameters!A737</f>
        <v>0</v>
      </c>
      <c r="B1472" s="23">
        <f>Parameters!B737</f>
        <v>0</v>
      </c>
      <c r="C1472" s="24">
        <f>Parameters!C737</f>
        <v>0</v>
      </c>
      <c r="D1472" s="24">
        <f>Parameters!D737</f>
        <v>0</v>
      </c>
      <c r="E1472" s="23">
        <f>Parameters!E737</f>
        <v>0</v>
      </c>
      <c r="F1472" s="23">
        <f>Parameters!F737</f>
        <v>0</v>
      </c>
      <c r="G1472" s="25">
        <f>Parameters!G737</f>
        <v>0</v>
      </c>
      <c r="H1472" s="25">
        <f>Parameters!H737</f>
        <v>0</v>
      </c>
      <c r="I1472" s="25">
        <f>Parameters!I737</f>
        <v>0</v>
      </c>
      <c r="J1472" s="25">
        <f>Parameters!J737</f>
        <v>0</v>
      </c>
      <c r="K1472" s="25">
        <f>Parameters!K737</f>
        <v>0</v>
      </c>
      <c r="L1472" s="26" t="e">
        <f t="shared" ref="L1472" si="2202">L1473</f>
        <v>#DIV/0!</v>
      </c>
      <c r="M1472" s="25">
        <f>Parameters!L737</f>
        <v>0</v>
      </c>
      <c r="N1472" s="25">
        <f>Parameters!M737</f>
        <v>0</v>
      </c>
      <c r="O1472" s="26" t="e">
        <f t="shared" ref="O1472" si="2203">O1473</f>
        <v>#DIV/0!</v>
      </c>
      <c r="P1472" s="23">
        <f>Parameters!N737</f>
        <v>0</v>
      </c>
      <c r="Q1472" s="23">
        <f>Parameters!O737</f>
        <v>0</v>
      </c>
      <c r="R1472" s="23">
        <f>Parameters!P737</f>
        <v>0</v>
      </c>
      <c r="S1472" s="23">
        <f>Parameters!Q737</f>
        <v>0</v>
      </c>
      <c r="T1472" s="23">
        <f>Parameters!R737</f>
        <v>0</v>
      </c>
      <c r="U1472" s="27">
        <f>Parameters!S737</f>
        <v>0</v>
      </c>
      <c r="V1472" s="28">
        <f>Parameters!T737</f>
        <v>0</v>
      </c>
      <c r="W1472" s="27">
        <f>Parameters!U737</f>
        <v>0</v>
      </c>
      <c r="X1472" s="28">
        <f>Parameters!V737</f>
        <v>0</v>
      </c>
      <c r="Y1472" s="25">
        <f>Parameters!W737</f>
        <v>0</v>
      </c>
      <c r="Z1472" s="23">
        <f>Parameters!X737</f>
        <v>0</v>
      </c>
      <c r="AA1472" s="27">
        <f>Parameters!Y737</f>
        <v>0</v>
      </c>
      <c r="AB1472" s="28">
        <f>Parameters!Z737</f>
        <v>0</v>
      </c>
      <c r="AC1472" s="23">
        <f>Parameters!AA737</f>
        <v>0</v>
      </c>
    </row>
    <row r="1473" spans="1:29">
      <c r="A1473" s="29" t="str">
        <f>UPPER(A1472)</f>
        <v>0</v>
      </c>
      <c r="B1473" s="29">
        <f>B1472</f>
        <v>0</v>
      </c>
      <c r="C1473" s="30">
        <f>C1472</f>
        <v>0</v>
      </c>
      <c r="D1473" s="30">
        <f>D1472</f>
        <v>0</v>
      </c>
      <c r="E1473" s="29">
        <f>E1472</f>
        <v>0</v>
      </c>
      <c r="F1473" s="29">
        <f>F1472</f>
        <v>0</v>
      </c>
      <c r="G1473" s="29" t="e">
        <f>IF(C1472=1,IF(D1472="BUY",E1472+(ROUND(F1472*G1472/B1472,0)*B1472),E1472-(ROUND(F1472*G1472/B1472,0)*B1472)),IF(D1472="BUY",E1472-(ROUND(F1472*G1472/B1472,0)*B1472),E1472+(ROUND(F1472*G1472/B1472,0)*B1472)))</f>
        <v>#DIV/0!</v>
      </c>
      <c r="H1473" s="29" t="e">
        <f>IF(C1472=1,IF(D1472="BUY",G1473-(ROUND(F1472*H1472/B1472,0)*B1472),G1473+(ROUND(F1472*H1472/B1472,0)*B1472)),IF(D1472="BUY",G1473+(ROUND(F1472*H1472/B1472,0)*B1472),G1473-(ROUND(F1472*H1472/B1472,0)*B1472)))</f>
        <v>#DIV/0!</v>
      </c>
      <c r="I1473" s="29" t="e">
        <f>IF(D1472="BUY",G1473+(ROUND(F1472*I1472/(B1472*100),0)*B1472),G1473-(ROUND(F1472*I1472/(B1472*100),0)*B1472))</f>
        <v>#DIV/0!</v>
      </c>
      <c r="J1473" s="29" t="e">
        <f>IF(C1472=1,IF(D1472="BUY",E1472+(ROUND(F1472*J1472/B1472,0)*B1472),E1472-(ROUND(F1472*J1472/B1472,0)*B1472)),IF(D1472="BUY",E1472-(ROUND(F1472*J1472/B1472,0)*B1472),E1472+(ROUND(F1472*J1472/B1472,0)*B1472)))</f>
        <v>#DIV/0!</v>
      </c>
      <c r="K1473" s="29" t="e">
        <f>IF(C1472=1,IF(D1472="BUY",E1472-(ROUND(F1472*K1472/B1472,0)*B1472),E1472+(ROUND(F1472*K1472/B1472,0)*B1472)),IF(D1472="BUY",E1472-(ROUND(F1472*K1472/B1472,0)*B1472),E1472+(ROUND(F1472*K1472/B1472,0)*B1472)))</f>
        <v>#DIV/0!</v>
      </c>
      <c r="L1473" s="29" t="e">
        <f t="shared" ref="L1473" si="2204">IF(D1473="BUY",I1473+(R1473*B1473),I1473-(R1473*B1473))</f>
        <v>#DIV/0!</v>
      </c>
      <c r="M1473" s="29" t="e">
        <f>IF(D1472="BUY",E1472+(ROUND(F1472*M1472/B1472,0)*B1472),E1472-(ROUND(F1472*M1472/B1472,0)*B1472))</f>
        <v>#DIV/0!</v>
      </c>
      <c r="N1473" s="29" t="e">
        <f>IF(D1472="BUY",E1472-(ROUND(F1472*N1472/B1472,0)*B1472),E1472+(ROUND(F1472*N1472/B1472,0)*B1472))</f>
        <v>#DIV/0!</v>
      </c>
      <c r="O1473" s="31" t="e">
        <f>IF(D1473="BUY",N1473-VLOOKUP(A1473,Symbols!A$1:D$1000,4,FALSE),N1473+VLOOKUP(A1473,Symbols!A$1:D$1000,4,FALSE))</f>
        <v>#DIV/0!</v>
      </c>
      <c r="P1473" s="29">
        <f>P1472</f>
        <v>0</v>
      </c>
      <c r="Q1473" s="29">
        <f>Q1472</f>
        <v>0</v>
      </c>
      <c r="R1473" s="29">
        <f>R1472</f>
        <v>0</v>
      </c>
      <c r="S1473" s="29">
        <f>S1472</f>
        <v>0</v>
      </c>
      <c r="T1473" s="29">
        <f>T1472</f>
        <v>0</v>
      </c>
      <c r="U1473" s="29" t="e">
        <f>DATEDIF(DATE(1970,1,1),U1472,"D")*86400</f>
        <v>#NUM!</v>
      </c>
      <c r="V1473" s="29">
        <f>HOUR(V1472)*3600+MINUTE(V1472)*60+SECOND(V1472)</f>
        <v>0</v>
      </c>
      <c r="W1473" s="29" t="e">
        <f>DATEDIF(DATE(1970,1,1),W1472,"D")*86400</f>
        <v>#NUM!</v>
      </c>
      <c r="X1473" s="29">
        <f>HOUR(X1472)*3600+MINUTE(X1472)*60+SECOND(X1472)</f>
        <v>0</v>
      </c>
      <c r="Y1473" s="31">
        <f>(Y1472*B1473)</f>
        <v>0</v>
      </c>
      <c r="Z1473" s="29">
        <f>Z1472</f>
        <v>0</v>
      </c>
      <c r="AA1473" s="29" t="e">
        <f>DATEDIF(DATE(1970,1,1),AA1472,"D")*86400</f>
        <v>#NUM!</v>
      </c>
      <c r="AB1473" s="29">
        <f>HOUR(AB1472)*3600+MINUTE(AB1472)*60+SECOND(AB1472)</f>
        <v>0</v>
      </c>
      <c r="AC1473" s="29">
        <f>AC1472</f>
        <v>0</v>
      </c>
    </row>
    <row r="1474" spans="1:29">
      <c r="A1474" s="23">
        <f>Parameters!A738</f>
        <v>0</v>
      </c>
      <c r="B1474" s="23">
        <f>Parameters!B738</f>
        <v>0</v>
      </c>
      <c r="C1474" s="24">
        <f>Parameters!C738</f>
        <v>0</v>
      </c>
      <c r="D1474" s="24">
        <f>Parameters!D738</f>
        <v>0</v>
      </c>
      <c r="E1474" s="23">
        <f>Parameters!E738</f>
        <v>0</v>
      </c>
      <c r="F1474" s="23">
        <f>Parameters!F738</f>
        <v>0</v>
      </c>
      <c r="G1474" s="25">
        <f>Parameters!G738</f>
        <v>0</v>
      </c>
      <c r="H1474" s="25">
        <f>Parameters!H738</f>
        <v>0</v>
      </c>
      <c r="I1474" s="25">
        <f>Parameters!I738</f>
        <v>0</v>
      </c>
      <c r="J1474" s="25">
        <f>Parameters!J738</f>
        <v>0</v>
      </c>
      <c r="K1474" s="25">
        <f>Parameters!K738</f>
        <v>0</v>
      </c>
      <c r="L1474" s="26" t="e">
        <f t="shared" ref="L1474" si="2205">L1475</f>
        <v>#DIV/0!</v>
      </c>
      <c r="M1474" s="25">
        <f>Parameters!L738</f>
        <v>0</v>
      </c>
      <c r="N1474" s="25">
        <f>Parameters!M738</f>
        <v>0</v>
      </c>
      <c r="O1474" s="26" t="e">
        <f t="shared" ref="O1474" si="2206">O1475</f>
        <v>#DIV/0!</v>
      </c>
      <c r="P1474" s="23">
        <f>Parameters!N738</f>
        <v>0</v>
      </c>
      <c r="Q1474" s="23">
        <f>Parameters!O738</f>
        <v>0</v>
      </c>
      <c r="R1474" s="23">
        <f>Parameters!P738</f>
        <v>0</v>
      </c>
      <c r="S1474" s="23">
        <f>Parameters!Q738</f>
        <v>0</v>
      </c>
      <c r="T1474" s="23">
        <f>Parameters!R738</f>
        <v>0</v>
      </c>
      <c r="U1474" s="27">
        <f>Parameters!S738</f>
        <v>0</v>
      </c>
      <c r="V1474" s="28">
        <f>Parameters!T738</f>
        <v>0</v>
      </c>
      <c r="W1474" s="27">
        <f>Parameters!U738</f>
        <v>0</v>
      </c>
      <c r="X1474" s="28">
        <f>Parameters!V738</f>
        <v>0</v>
      </c>
      <c r="Y1474" s="25">
        <f>Parameters!W738</f>
        <v>0</v>
      </c>
      <c r="Z1474" s="23">
        <f>Parameters!X738</f>
        <v>0</v>
      </c>
      <c r="AA1474" s="27">
        <f>Parameters!Y738</f>
        <v>0</v>
      </c>
      <c r="AB1474" s="28">
        <f>Parameters!Z738</f>
        <v>0</v>
      </c>
      <c r="AC1474" s="23">
        <f>Parameters!AA738</f>
        <v>0</v>
      </c>
    </row>
    <row r="1475" spans="1:29">
      <c r="A1475" s="29" t="str">
        <f>UPPER(A1474)</f>
        <v>0</v>
      </c>
      <c r="B1475" s="29">
        <f>B1474</f>
        <v>0</v>
      </c>
      <c r="C1475" s="30">
        <f>C1474</f>
        <v>0</v>
      </c>
      <c r="D1475" s="30">
        <f>D1474</f>
        <v>0</v>
      </c>
      <c r="E1475" s="29">
        <f>E1474</f>
        <v>0</v>
      </c>
      <c r="F1475" s="29">
        <f>F1474</f>
        <v>0</v>
      </c>
      <c r="G1475" s="29" t="e">
        <f>IF(C1474=1,IF(D1474="BUY",E1474+(ROUND(F1474*G1474/B1474,0)*B1474),E1474-(ROUND(F1474*G1474/B1474,0)*B1474)),IF(D1474="BUY",E1474-(ROUND(F1474*G1474/B1474,0)*B1474),E1474+(ROUND(F1474*G1474/B1474,0)*B1474)))</f>
        <v>#DIV/0!</v>
      </c>
      <c r="H1475" s="29" t="e">
        <f>IF(C1474=1,IF(D1474="BUY",G1475-(ROUND(F1474*H1474/B1474,0)*B1474),G1475+(ROUND(F1474*H1474/B1474,0)*B1474)),IF(D1474="BUY",G1475+(ROUND(F1474*H1474/B1474,0)*B1474),G1475-(ROUND(F1474*H1474/B1474,0)*B1474)))</f>
        <v>#DIV/0!</v>
      </c>
      <c r="I1475" s="29" t="e">
        <f>IF(D1474="BUY",G1475+(ROUND(F1474*I1474/(B1474*100),0)*B1474),G1475-(ROUND(F1474*I1474/(B1474*100),0)*B1474))</f>
        <v>#DIV/0!</v>
      </c>
      <c r="J1475" s="29" t="e">
        <f>IF(C1474=1,IF(D1474="BUY",E1474+(ROUND(F1474*J1474/B1474,0)*B1474),E1474-(ROUND(F1474*J1474/B1474,0)*B1474)),IF(D1474="BUY",E1474-(ROUND(F1474*J1474/B1474,0)*B1474),E1474+(ROUND(F1474*J1474/B1474,0)*B1474)))</f>
        <v>#DIV/0!</v>
      </c>
      <c r="K1475" s="29" t="e">
        <f>IF(C1474=1,IF(D1474="BUY",E1474-(ROUND(F1474*K1474/B1474,0)*B1474),E1474+(ROUND(F1474*K1474/B1474,0)*B1474)),IF(D1474="BUY",E1474-(ROUND(F1474*K1474/B1474,0)*B1474),E1474+(ROUND(F1474*K1474/B1474,0)*B1474)))</f>
        <v>#DIV/0!</v>
      </c>
      <c r="L1475" s="29" t="e">
        <f t="shared" ref="L1475" si="2207">IF(D1475="BUY",I1475+(R1475*B1475),I1475-(R1475*B1475))</f>
        <v>#DIV/0!</v>
      </c>
      <c r="M1475" s="29" t="e">
        <f>IF(D1474="BUY",E1474+(ROUND(F1474*M1474/B1474,0)*B1474),E1474-(ROUND(F1474*M1474/B1474,0)*B1474))</f>
        <v>#DIV/0!</v>
      </c>
      <c r="N1475" s="29" t="e">
        <f>IF(D1474="BUY",E1474-(ROUND(F1474*N1474/B1474,0)*B1474),E1474+(ROUND(F1474*N1474/B1474,0)*B1474))</f>
        <v>#DIV/0!</v>
      </c>
      <c r="O1475" s="31" t="e">
        <f>IF(D1475="BUY",N1475-VLOOKUP(A1475,Symbols!A$1:D$1000,4,FALSE),N1475+VLOOKUP(A1475,Symbols!A$1:D$1000,4,FALSE))</f>
        <v>#DIV/0!</v>
      </c>
      <c r="P1475" s="29">
        <f>P1474</f>
        <v>0</v>
      </c>
      <c r="Q1475" s="29">
        <f>Q1474</f>
        <v>0</v>
      </c>
      <c r="R1475" s="29">
        <f>R1474</f>
        <v>0</v>
      </c>
      <c r="S1475" s="29">
        <f>S1474</f>
        <v>0</v>
      </c>
      <c r="T1475" s="29">
        <f>T1474</f>
        <v>0</v>
      </c>
      <c r="U1475" s="29" t="e">
        <f>DATEDIF(DATE(1970,1,1),U1474,"D")*86400</f>
        <v>#NUM!</v>
      </c>
      <c r="V1475" s="29">
        <f>HOUR(V1474)*3600+MINUTE(V1474)*60+SECOND(V1474)</f>
        <v>0</v>
      </c>
      <c r="W1475" s="29" t="e">
        <f>DATEDIF(DATE(1970,1,1),W1474,"D")*86400</f>
        <v>#NUM!</v>
      </c>
      <c r="X1475" s="29">
        <f>HOUR(X1474)*3600+MINUTE(X1474)*60+SECOND(X1474)</f>
        <v>0</v>
      </c>
      <c r="Y1475" s="31">
        <f>(Y1474*B1475)</f>
        <v>0</v>
      </c>
      <c r="Z1475" s="29">
        <f>Z1474</f>
        <v>0</v>
      </c>
      <c r="AA1475" s="29" t="e">
        <f>DATEDIF(DATE(1970,1,1),AA1474,"D")*86400</f>
        <v>#NUM!</v>
      </c>
      <c r="AB1475" s="29">
        <f>HOUR(AB1474)*3600+MINUTE(AB1474)*60+SECOND(AB1474)</f>
        <v>0</v>
      </c>
      <c r="AC1475" s="29">
        <f>AC1474</f>
        <v>0</v>
      </c>
    </row>
    <row r="1476" spans="1:29">
      <c r="A1476" s="23">
        <f>Parameters!A739</f>
        <v>0</v>
      </c>
      <c r="B1476" s="23">
        <f>Parameters!B739</f>
        <v>0</v>
      </c>
      <c r="C1476" s="24">
        <f>Parameters!C739</f>
        <v>0</v>
      </c>
      <c r="D1476" s="24">
        <f>Parameters!D739</f>
        <v>0</v>
      </c>
      <c r="E1476" s="23">
        <f>Parameters!E739</f>
        <v>0</v>
      </c>
      <c r="F1476" s="23">
        <f>Parameters!F739</f>
        <v>0</v>
      </c>
      <c r="G1476" s="25">
        <f>Parameters!G739</f>
        <v>0</v>
      </c>
      <c r="H1476" s="25">
        <f>Parameters!H739</f>
        <v>0</v>
      </c>
      <c r="I1476" s="25">
        <f>Parameters!I739</f>
        <v>0</v>
      </c>
      <c r="J1476" s="25">
        <f>Parameters!J739</f>
        <v>0</v>
      </c>
      <c r="K1476" s="25">
        <f>Parameters!K739</f>
        <v>0</v>
      </c>
      <c r="L1476" s="26" t="e">
        <f t="shared" ref="L1476" si="2208">L1477</f>
        <v>#DIV/0!</v>
      </c>
      <c r="M1476" s="25">
        <f>Parameters!L739</f>
        <v>0</v>
      </c>
      <c r="N1476" s="25">
        <f>Parameters!M739</f>
        <v>0</v>
      </c>
      <c r="O1476" s="26" t="e">
        <f t="shared" ref="O1476" si="2209">O1477</f>
        <v>#DIV/0!</v>
      </c>
      <c r="P1476" s="23">
        <f>Parameters!N739</f>
        <v>0</v>
      </c>
      <c r="Q1476" s="23">
        <f>Parameters!O739</f>
        <v>0</v>
      </c>
      <c r="R1476" s="23">
        <f>Parameters!P739</f>
        <v>0</v>
      </c>
      <c r="S1476" s="23">
        <f>Parameters!Q739</f>
        <v>0</v>
      </c>
      <c r="T1476" s="23">
        <f>Parameters!R739</f>
        <v>0</v>
      </c>
      <c r="U1476" s="27">
        <f>Parameters!S739</f>
        <v>0</v>
      </c>
      <c r="V1476" s="28">
        <f>Parameters!T739</f>
        <v>0</v>
      </c>
      <c r="W1476" s="27">
        <f>Parameters!U739</f>
        <v>0</v>
      </c>
      <c r="X1476" s="28">
        <f>Parameters!V739</f>
        <v>0</v>
      </c>
      <c r="Y1476" s="25">
        <f>Parameters!W739</f>
        <v>0</v>
      </c>
      <c r="Z1476" s="23">
        <f>Parameters!X739</f>
        <v>0</v>
      </c>
      <c r="AA1476" s="27">
        <f>Parameters!Y739</f>
        <v>0</v>
      </c>
      <c r="AB1476" s="28">
        <f>Parameters!Z739</f>
        <v>0</v>
      </c>
      <c r="AC1476" s="23">
        <f>Parameters!AA739</f>
        <v>0</v>
      </c>
    </row>
    <row r="1477" spans="1:29">
      <c r="A1477" s="29" t="str">
        <f>UPPER(A1476)</f>
        <v>0</v>
      </c>
      <c r="B1477" s="29">
        <f>B1476</f>
        <v>0</v>
      </c>
      <c r="C1477" s="30">
        <f>C1476</f>
        <v>0</v>
      </c>
      <c r="D1477" s="30">
        <f>D1476</f>
        <v>0</v>
      </c>
      <c r="E1477" s="29">
        <f>E1476</f>
        <v>0</v>
      </c>
      <c r="F1477" s="29">
        <f>F1476</f>
        <v>0</v>
      </c>
      <c r="G1477" s="29" t="e">
        <f>IF(C1476=1,IF(D1476="BUY",E1476+(ROUND(F1476*G1476/B1476,0)*B1476),E1476-(ROUND(F1476*G1476/B1476,0)*B1476)),IF(D1476="BUY",E1476-(ROUND(F1476*G1476/B1476,0)*B1476),E1476+(ROUND(F1476*G1476/B1476,0)*B1476)))</f>
        <v>#DIV/0!</v>
      </c>
      <c r="H1477" s="29" t="e">
        <f>IF(C1476=1,IF(D1476="BUY",G1477-(ROUND(F1476*H1476/B1476,0)*B1476),G1477+(ROUND(F1476*H1476/B1476,0)*B1476)),IF(D1476="BUY",G1477+(ROUND(F1476*H1476/B1476,0)*B1476),G1477-(ROUND(F1476*H1476/B1476,0)*B1476)))</f>
        <v>#DIV/0!</v>
      </c>
      <c r="I1477" s="29" t="e">
        <f>IF(D1476="BUY",G1477+(ROUND(F1476*I1476/(B1476*100),0)*B1476),G1477-(ROUND(F1476*I1476/(B1476*100),0)*B1476))</f>
        <v>#DIV/0!</v>
      </c>
      <c r="J1477" s="29" t="e">
        <f>IF(C1476=1,IF(D1476="BUY",E1476+(ROUND(F1476*J1476/B1476,0)*B1476),E1476-(ROUND(F1476*J1476/B1476,0)*B1476)),IF(D1476="BUY",E1476-(ROUND(F1476*J1476/B1476,0)*B1476),E1476+(ROUND(F1476*J1476/B1476,0)*B1476)))</f>
        <v>#DIV/0!</v>
      </c>
      <c r="K1477" s="29" t="e">
        <f>IF(C1476=1,IF(D1476="BUY",E1476-(ROUND(F1476*K1476/B1476,0)*B1476),E1476+(ROUND(F1476*K1476/B1476,0)*B1476)),IF(D1476="BUY",E1476-(ROUND(F1476*K1476/B1476,0)*B1476),E1476+(ROUND(F1476*K1476/B1476,0)*B1476)))</f>
        <v>#DIV/0!</v>
      </c>
      <c r="L1477" s="29" t="e">
        <f t="shared" ref="L1477" si="2210">IF(D1477="BUY",I1477+(R1477*B1477),I1477-(R1477*B1477))</f>
        <v>#DIV/0!</v>
      </c>
      <c r="M1477" s="29" t="e">
        <f>IF(D1476="BUY",E1476+(ROUND(F1476*M1476/B1476,0)*B1476),E1476-(ROUND(F1476*M1476/B1476,0)*B1476))</f>
        <v>#DIV/0!</v>
      </c>
      <c r="N1477" s="29" t="e">
        <f>IF(D1476="BUY",E1476-(ROUND(F1476*N1476/B1476,0)*B1476),E1476+(ROUND(F1476*N1476/B1476,0)*B1476))</f>
        <v>#DIV/0!</v>
      </c>
      <c r="O1477" s="31" t="e">
        <f>IF(D1477="BUY",N1477-VLOOKUP(A1477,Symbols!A$1:D$1000,4,FALSE),N1477+VLOOKUP(A1477,Symbols!A$1:D$1000,4,FALSE))</f>
        <v>#DIV/0!</v>
      </c>
      <c r="P1477" s="29">
        <f>P1476</f>
        <v>0</v>
      </c>
      <c r="Q1477" s="29">
        <f>Q1476</f>
        <v>0</v>
      </c>
      <c r="R1477" s="29">
        <f>R1476</f>
        <v>0</v>
      </c>
      <c r="S1477" s="29">
        <f>S1476</f>
        <v>0</v>
      </c>
      <c r="T1477" s="29">
        <f>T1476</f>
        <v>0</v>
      </c>
      <c r="U1477" s="29" t="e">
        <f>DATEDIF(DATE(1970,1,1),U1476,"D")*86400</f>
        <v>#NUM!</v>
      </c>
      <c r="V1477" s="29">
        <f>HOUR(V1476)*3600+MINUTE(V1476)*60+SECOND(V1476)</f>
        <v>0</v>
      </c>
      <c r="W1477" s="29" t="e">
        <f>DATEDIF(DATE(1970,1,1),W1476,"D")*86400</f>
        <v>#NUM!</v>
      </c>
      <c r="X1477" s="29">
        <f>HOUR(X1476)*3600+MINUTE(X1476)*60+SECOND(X1476)</f>
        <v>0</v>
      </c>
      <c r="Y1477" s="31">
        <f>(Y1476*B1477)</f>
        <v>0</v>
      </c>
      <c r="Z1477" s="29">
        <f>Z1476</f>
        <v>0</v>
      </c>
      <c r="AA1477" s="29" t="e">
        <f>DATEDIF(DATE(1970,1,1),AA1476,"D")*86400</f>
        <v>#NUM!</v>
      </c>
      <c r="AB1477" s="29">
        <f>HOUR(AB1476)*3600+MINUTE(AB1476)*60+SECOND(AB1476)</f>
        <v>0</v>
      </c>
      <c r="AC1477" s="29">
        <f>AC1476</f>
        <v>0</v>
      </c>
    </row>
    <row r="1478" spans="1:29">
      <c r="A1478" s="23">
        <f>Parameters!A740</f>
        <v>0</v>
      </c>
      <c r="B1478" s="23">
        <f>Parameters!B740</f>
        <v>0</v>
      </c>
      <c r="C1478" s="24">
        <f>Parameters!C740</f>
        <v>0</v>
      </c>
      <c r="D1478" s="24">
        <f>Parameters!D740</f>
        <v>0</v>
      </c>
      <c r="E1478" s="23">
        <f>Parameters!E740</f>
        <v>0</v>
      </c>
      <c r="F1478" s="23">
        <f>Parameters!F740</f>
        <v>0</v>
      </c>
      <c r="G1478" s="25">
        <f>Parameters!G740</f>
        <v>0</v>
      </c>
      <c r="H1478" s="25">
        <f>Parameters!H740</f>
        <v>0</v>
      </c>
      <c r="I1478" s="25">
        <f>Parameters!I740</f>
        <v>0</v>
      </c>
      <c r="J1478" s="25">
        <f>Parameters!J740</f>
        <v>0</v>
      </c>
      <c r="K1478" s="25">
        <f>Parameters!K740</f>
        <v>0</v>
      </c>
      <c r="L1478" s="26" t="e">
        <f t="shared" ref="L1478" si="2211">L1479</f>
        <v>#DIV/0!</v>
      </c>
      <c r="M1478" s="25">
        <f>Parameters!L740</f>
        <v>0</v>
      </c>
      <c r="N1478" s="25">
        <f>Parameters!M740</f>
        <v>0</v>
      </c>
      <c r="O1478" s="26" t="e">
        <f t="shared" ref="O1478" si="2212">O1479</f>
        <v>#DIV/0!</v>
      </c>
      <c r="P1478" s="23">
        <f>Parameters!N740</f>
        <v>0</v>
      </c>
      <c r="Q1478" s="23">
        <f>Parameters!O740</f>
        <v>0</v>
      </c>
      <c r="R1478" s="23">
        <f>Parameters!P740</f>
        <v>0</v>
      </c>
      <c r="S1478" s="23">
        <f>Parameters!Q740</f>
        <v>0</v>
      </c>
      <c r="T1478" s="23">
        <f>Parameters!R740</f>
        <v>0</v>
      </c>
      <c r="U1478" s="27">
        <f>Parameters!S740</f>
        <v>0</v>
      </c>
      <c r="V1478" s="28">
        <f>Parameters!T740</f>
        <v>0</v>
      </c>
      <c r="W1478" s="27">
        <f>Parameters!U740</f>
        <v>0</v>
      </c>
      <c r="X1478" s="28">
        <f>Parameters!V740</f>
        <v>0</v>
      </c>
      <c r="Y1478" s="25">
        <f>Parameters!W740</f>
        <v>0</v>
      </c>
      <c r="Z1478" s="23">
        <f>Parameters!X740</f>
        <v>0</v>
      </c>
      <c r="AA1478" s="27">
        <f>Parameters!Y740</f>
        <v>0</v>
      </c>
      <c r="AB1478" s="28">
        <f>Parameters!Z740</f>
        <v>0</v>
      </c>
      <c r="AC1478" s="23">
        <f>Parameters!AA740</f>
        <v>0</v>
      </c>
    </row>
    <row r="1479" spans="1:29">
      <c r="A1479" s="29" t="str">
        <f>UPPER(A1478)</f>
        <v>0</v>
      </c>
      <c r="B1479" s="29">
        <f>B1478</f>
        <v>0</v>
      </c>
      <c r="C1479" s="30">
        <f>C1478</f>
        <v>0</v>
      </c>
      <c r="D1479" s="30">
        <f>D1478</f>
        <v>0</v>
      </c>
      <c r="E1479" s="29">
        <f>E1478</f>
        <v>0</v>
      </c>
      <c r="F1479" s="29">
        <f>F1478</f>
        <v>0</v>
      </c>
      <c r="G1479" s="29" t="e">
        <f>IF(C1478=1,IF(D1478="BUY",E1478+(ROUND(F1478*G1478/B1478,0)*B1478),E1478-(ROUND(F1478*G1478/B1478,0)*B1478)),IF(D1478="BUY",E1478-(ROUND(F1478*G1478/B1478,0)*B1478),E1478+(ROUND(F1478*G1478/B1478,0)*B1478)))</f>
        <v>#DIV/0!</v>
      </c>
      <c r="H1479" s="29" t="e">
        <f>IF(C1478=1,IF(D1478="BUY",G1479-(ROUND(F1478*H1478/B1478,0)*B1478),G1479+(ROUND(F1478*H1478/B1478,0)*B1478)),IF(D1478="BUY",G1479+(ROUND(F1478*H1478/B1478,0)*B1478),G1479-(ROUND(F1478*H1478/B1478,0)*B1478)))</f>
        <v>#DIV/0!</v>
      </c>
      <c r="I1479" s="29" t="e">
        <f>IF(D1478="BUY",G1479+(ROUND(F1478*I1478/(B1478*100),0)*B1478),G1479-(ROUND(F1478*I1478/(B1478*100),0)*B1478))</f>
        <v>#DIV/0!</v>
      </c>
      <c r="J1479" s="29" t="e">
        <f>IF(C1478=1,IF(D1478="BUY",E1478+(ROUND(F1478*J1478/B1478,0)*B1478),E1478-(ROUND(F1478*J1478/B1478,0)*B1478)),IF(D1478="BUY",E1478-(ROUND(F1478*J1478/B1478,0)*B1478),E1478+(ROUND(F1478*J1478/B1478,0)*B1478)))</f>
        <v>#DIV/0!</v>
      </c>
      <c r="K1479" s="29" t="e">
        <f>IF(C1478=1,IF(D1478="BUY",E1478-(ROUND(F1478*K1478/B1478,0)*B1478),E1478+(ROUND(F1478*K1478/B1478,0)*B1478)),IF(D1478="BUY",E1478-(ROUND(F1478*K1478/B1478,0)*B1478),E1478+(ROUND(F1478*K1478/B1478,0)*B1478)))</f>
        <v>#DIV/0!</v>
      </c>
      <c r="L1479" s="29" t="e">
        <f t="shared" ref="L1479" si="2213">IF(D1479="BUY",I1479+(R1479*B1479),I1479-(R1479*B1479))</f>
        <v>#DIV/0!</v>
      </c>
      <c r="M1479" s="29" t="e">
        <f>IF(D1478="BUY",E1478+(ROUND(F1478*M1478/B1478,0)*B1478),E1478-(ROUND(F1478*M1478/B1478,0)*B1478))</f>
        <v>#DIV/0!</v>
      </c>
      <c r="N1479" s="29" t="e">
        <f>IF(D1478="BUY",E1478-(ROUND(F1478*N1478/B1478,0)*B1478),E1478+(ROUND(F1478*N1478/B1478,0)*B1478))</f>
        <v>#DIV/0!</v>
      </c>
      <c r="O1479" s="31" t="e">
        <f>IF(D1479="BUY",N1479-VLOOKUP(A1479,Symbols!A$1:D$1000,4,FALSE),N1479+VLOOKUP(A1479,Symbols!A$1:D$1000,4,FALSE))</f>
        <v>#DIV/0!</v>
      </c>
      <c r="P1479" s="29">
        <f>P1478</f>
        <v>0</v>
      </c>
      <c r="Q1479" s="29">
        <f>Q1478</f>
        <v>0</v>
      </c>
      <c r="R1479" s="29">
        <f>R1478</f>
        <v>0</v>
      </c>
      <c r="S1479" s="29">
        <f>S1478</f>
        <v>0</v>
      </c>
      <c r="T1479" s="29">
        <f>T1478</f>
        <v>0</v>
      </c>
      <c r="U1479" s="29" t="e">
        <f>DATEDIF(DATE(1970,1,1),U1478,"D")*86400</f>
        <v>#NUM!</v>
      </c>
      <c r="V1479" s="29">
        <f>HOUR(V1478)*3600+MINUTE(V1478)*60+SECOND(V1478)</f>
        <v>0</v>
      </c>
      <c r="W1479" s="29" t="e">
        <f>DATEDIF(DATE(1970,1,1),W1478,"D")*86400</f>
        <v>#NUM!</v>
      </c>
      <c r="X1479" s="29">
        <f>HOUR(X1478)*3600+MINUTE(X1478)*60+SECOND(X1478)</f>
        <v>0</v>
      </c>
      <c r="Y1479" s="31">
        <f>(Y1478*B1479)</f>
        <v>0</v>
      </c>
      <c r="Z1479" s="29">
        <f>Z1478</f>
        <v>0</v>
      </c>
      <c r="AA1479" s="29" t="e">
        <f>DATEDIF(DATE(1970,1,1),AA1478,"D")*86400</f>
        <v>#NUM!</v>
      </c>
      <c r="AB1479" s="29">
        <f>HOUR(AB1478)*3600+MINUTE(AB1478)*60+SECOND(AB1478)</f>
        <v>0</v>
      </c>
      <c r="AC1479" s="29">
        <f>AC1478</f>
        <v>0</v>
      </c>
    </row>
    <row r="1480" spans="1:29">
      <c r="A1480" s="23">
        <f>Parameters!A741</f>
        <v>0</v>
      </c>
      <c r="B1480" s="23">
        <f>Parameters!B741</f>
        <v>0</v>
      </c>
      <c r="C1480" s="24">
        <f>Parameters!C741</f>
        <v>0</v>
      </c>
      <c r="D1480" s="24">
        <f>Parameters!D741</f>
        <v>0</v>
      </c>
      <c r="E1480" s="23">
        <f>Parameters!E741</f>
        <v>0</v>
      </c>
      <c r="F1480" s="23">
        <f>Parameters!F741</f>
        <v>0</v>
      </c>
      <c r="G1480" s="25">
        <f>Parameters!G741</f>
        <v>0</v>
      </c>
      <c r="H1480" s="25">
        <f>Parameters!H741</f>
        <v>0</v>
      </c>
      <c r="I1480" s="25">
        <f>Parameters!I741</f>
        <v>0</v>
      </c>
      <c r="J1480" s="25">
        <f>Parameters!J741</f>
        <v>0</v>
      </c>
      <c r="K1480" s="25">
        <f>Parameters!K741</f>
        <v>0</v>
      </c>
      <c r="L1480" s="26" t="e">
        <f t="shared" ref="L1480" si="2214">L1481</f>
        <v>#DIV/0!</v>
      </c>
      <c r="M1480" s="25">
        <f>Parameters!L741</f>
        <v>0</v>
      </c>
      <c r="N1480" s="25">
        <f>Parameters!M741</f>
        <v>0</v>
      </c>
      <c r="O1480" s="26" t="e">
        <f t="shared" ref="O1480" si="2215">O1481</f>
        <v>#DIV/0!</v>
      </c>
      <c r="P1480" s="23">
        <f>Parameters!N741</f>
        <v>0</v>
      </c>
      <c r="Q1480" s="23">
        <f>Parameters!O741</f>
        <v>0</v>
      </c>
      <c r="R1480" s="23">
        <f>Parameters!P741</f>
        <v>0</v>
      </c>
      <c r="S1480" s="23">
        <f>Parameters!Q741</f>
        <v>0</v>
      </c>
      <c r="T1480" s="23">
        <f>Parameters!R741</f>
        <v>0</v>
      </c>
      <c r="U1480" s="27">
        <f>Parameters!S741</f>
        <v>0</v>
      </c>
      <c r="V1480" s="28">
        <f>Parameters!T741</f>
        <v>0</v>
      </c>
      <c r="W1480" s="27">
        <f>Parameters!U741</f>
        <v>0</v>
      </c>
      <c r="X1480" s="28">
        <f>Parameters!V741</f>
        <v>0</v>
      </c>
      <c r="Y1480" s="25">
        <f>Parameters!W741</f>
        <v>0</v>
      </c>
      <c r="Z1480" s="23">
        <f>Parameters!X741</f>
        <v>0</v>
      </c>
      <c r="AA1480" s="27">
        <f>Parameters!Y741</f>
        <v>0</v>
      </c>
      <c r="AB1480" s="28">
        <f>Parameters!Z741</f>
        <v>0</v>
      </c>
      <c r="AC1480" s="23">
        <f>Parameters!AA741</f>
        <v>0</v>
      </c>
    </row>
    <row r="1481" spans="1:29">
      <c r="A1481" s="29" t="str">
        <f>UPPER(A1480)</f>
        <v>0</v>
      </c>
      <c r="B1481" s="29">
        <f>B1480</f>
        <v>0</v>
      </c>
      <c r="C1481" s="30">
        <f>C1480</f>
        <v>0</v>
      </c>
      <c r="D1481" s="30">
        <f>D1480</f>
        <v>0</v>
      </c>
      <c r="E1481" s="29">
        <f>E1480</f>
        <v>0</v>
      </c>
      <c r="F1481" s="29">
        <f>F1480</f>
        <v>0</v>
      </c>
      <c r="G1481" s="29" t="e">
        <f>IF(C1480=1,IF(D1480="BUY",E1480+(ROUND(F1480*G1480/B1480,0)*B1480),E1480-(ROUND(F1480*G1480/B1480,0)*B1480)),IF(D1480="BUY",E1480-(ROUND(F1480*G1480/B1480,0)*B1480),E1480+(ROUND(F1480*G1480/B1480,0)*B1480)))</f>
        <v>#DIV/0!</v>
      </c>
      <c r="H1481" s="29" t="e">
        <f>IF(C1480=1,IF(D1480="BUY",G1481-(ROUND(F1480*H1480/B1480,0)*B1480),G1481+(ROUND(F1480*H1480/B1480,0)*B1480)),IF(D1480="BUY",G1481+(ROUND(F1480*H1480/B1480,0)*B1480),G1481-(ROUND(F1480*H1480/B1480,0)*B1480)))</f>
        <v>#DIV/0!</v>
      </c>
      <c r="I1481" s="29" t="e">
        <f>IF(D1480="BUY",G1481+(ROUND(F1480*I1480/(B1480*100),0)*B1480),G1481-(ROUND(F1480*I1480/(B1480*100),0)*B1480))</f>
        <v>#DIV/0!</v>
      </c>
      <c r="J1481" s="29" t="e">
        <f>IF(C1480=1,IF(D1480="BUY",E1480+(ROUND(F1480*J1480/B1480,0)*B1480),E1480-(ROUND(F1480*J1480/B1480,0)*B1480)),IF(D1480="BUY",E1480-(ROUND(F1480*J1480/B1480,0)*B1480),E1480+(ROUND(F1480*J1480/B1480,0)*B1480)))</f>
        <v>#DIV/0!</v>
      </c>
      <c r="K1481" s="29" t="e">
        <f>IF(C1480=1,IF(D1480="BUY",E1480-(ROUND(F1480*K1480/B1480,0)*B1480),E1480+(ROUND(F1480*K1480/B1480,0)*B1480)),IF(D1480="BUY",E1480-(ROUND(F1480*K1480/B1480,0)*B1480),E1480+(ROUND(F1480*K1480/B1480,0)*B1480)))</f>
        <v>#DIV/0!</v>
      </c>
      <c r="L1481" s="29" t="e">
        <f t="shared" ref="L1481" si="2216">IF(D1481="BUY",I1481+(R1481*B1481),I1481-(R1481*B1481))</f>
        <v>#DIV/0!</v>
      </c>
      <c r="M1481" s="29" t="e">
        <f>IF(D1480="BUY",E1480+(ROUND(F1480*M1480/B1480,0)*B1480),E1480-(ROUND(F1480*M1480/B1480,0)*B1480))</f>
        <v>#DIV/0!</v>
      </c>
      <c r="N1481" s="29" t="e">
        <f>IF(D1480="BUY",E1480-(ROUND(F1480*N1480/B1480,0)*B1480),E1480+(ROUND(F1480*N1480/B1480,0)*B1480))</f>
        <v>#DIV/0!</v>
      </c>
      <c r="O1481" s="31" t="e">
        <f>IF(D1481="BUY",N1481-VLOOKUP(A1481,Symbols!A$1:D$1000,4,FALSE),N1481+VLOOKUP(A1481,Symbols!A$1:D$1000,4,FALSE))</f>
        <v>#DIV/0!</v>
      </c>
      <c r="P1481" s="29">
        <f>P1480</f>
        <v>0</v>
      </c>
      <c r="Q1481" s="29">
        <f>Q1480</f>
        <v>0</v>
      </c>
      <c r="R1481" s="29">
        <f>R1480</f>
        <v>0</v>
      </c>
      <c r="S1481" s="29">
        <f>S1480</f>
        <v>0</v>
      </c>
      <c r="T1481" s="29">
        <f>T1480</f>
        <v>0</v>
      </c>
      <c r="U1481" s="29" t="e">
        <f>DATEDIF(DATE(1970,1,1),U1480,"D")*86400</f>
        <v>#NUM!</v>
      </c>
      <c r="V1481" s="29">
        <f>HOUR(V1480)*3600+MINUTE(V1480)*60+SECOND(V1480)</f>
        <v>0</v>
      </c>
      <c r="W1481" s="29" t="e">
        <f>DATEDIF(DATE(1970,1,1),W1480,"D")*86400</f>
        <v>#NUM!</v>
      </c>
      <c r="X1481" s="29">
        <f>HOUR(X1480)*3600+MINUTE(X1480)*60+SECOND(X1480)</f>
        <v>0</v>
      </c>
      <c r="Y1481" s="31">
        <f>(Y1480*B1481)</f>
        <v>0</v>
      </c>
      <c r="Z1481" s="29">
        <f>Z1480</f>
        <v>0</v>
      </c>
      <c r="AA1481" s="29" t="e">
        <f>DATEDIF(DATE(1970,1,1),AA1480,"D")*86400</f>
        <v>#NUM!</v>
      </c>
      <c r="AB1481" s="29">
        <f>HOUR(AB1480)*3600+MINUTE(AB1480)*60+SECOND(AB1480)</f>
        <v>0</v>
      </c>
      <c r="AC1481" s="29">
        <f>AC1480</f>
        <v>0</v>
      </c>
    </row>
    <row r="1482" spans="1:29">
      <c r="A1482" s="23">
        <f>Parameters!A742</f>
        <v>0</v>
      </c>
      <c r="B1482" s="23">
        <f>Parameters!B742</f>
        <v>0</v>
      </c>
      <c r="C1482" s="24">
        <f>Parameters!C742</f>
        <v>0</v>
      </c>
      <c r="D1482" s="24">
        <f>Parameters!D742</f>
        <v>0</v>
      </c>
      <c r="E1482" s="23">
        <f>Parameters!E742</f>
        <v>0</v>
      </c>
      <c r="F1482" s="23">
        <f>Parameters!F742</f>
        <v>0</v>
      </c>
      <c r="G1482" s="25">
        <f>Parameters!G742</f>
        <v>0</v>
      </c>
      <c r="H1482" s="25">
        <f>Parameters!H742</f>
        <v>0</v>
      </c>
      <c r="I1482" s="25">
        <f>Parameters!I742</f>
        <v>0</v>
      </c>
      <c r="J1482" s="25">
        <f>Parameters!J742</f>
        <v>0</v>
      </c>
      <c r="K1482" s="25">
        <f>Parameters!K742</f>
        <v>0</v>
      </c>
      <c r="L1482" s="26" t="e">
        <f t="shared" ref="L1482" si="2217">L1483</f>
        <v>#DIV/0!</v>
      </c>
      <c r="M1482" s="25">
        <f>Parameters!L742</f>
        <v>0</v>
      </c>
      <c r="N1482" s="25">
        <f>Parameters!M742</f>
        <v>0</v>
      </c>
      <c r="O1482" s="26" t="e">
        <f t="shared" ref="O1482" si="2218">O1483</f>
        <v>#DIV/0!</v>
      </c>
      <c r="P1482" s="23">
        <f>Parameters!N742</f>
        <v>0</v>
      </c>
      <c r="Q1482" s="23">
        <f>Parameters!O742</f>
        <v>0</v>
      </c>
      <c r="R1482" s="23">
        <f>Parameters!P742</f>
        <v>0</v>
      </c>
      <c r="S1482" s="23">
        <f>Parameters!Q742</f>
        <v>0</v>
      </c>
      <c r="T1482" s="23">
        <f>Parameters!R742</f>
        <v>0</v>
      </c>
      <c r="U1482" s="27">
        <f>Parameters!S742</f>
        <v>0</v>
      </c>
      <c r="V1482" s="28">
        <f>Parameters!T742</f>
        <v>0</v>
      </c>
      <c r="W1482" s="27">
        <f>Parameters!U742</f>
        <v>0</v>
      </c>
      <c r="X1482" s="28">
        <f>Parameters!V742</f>
        <v>0</v>
      </c>
      <c r="Y1482" s="25">
        <f>Parameters!W742</f>
        <v>0</v>
      </c>
      <c r="Z1482" s="23">
        <f>Parameters!X742</f>
        <v>0</v>
      </c>
      <c r="AA1482" s="27">
        <f>Parameters!Y742</f>
        <v>0</v>
      </c>
      <c r="AB1482" s="28">
        <f>Parameters!Z742</f>
        <v>0</v>
      </c>
      <c r="AC1482" s="23">
        <f>Parameters!AA742</f>
        <v>0</v>
      </c>
    </row>
    <row r="1483" spans="1:29">
      <c r="A1483" s="29" t="str">
        <f>UPPER(A1482)</f>
        <v>0</v>
      </c>
      <c r="B1483" s="29">
        <f>B1482</f>
        <v>0</v>
      </c>
      <c r="C1483" s="30">
        <f>C1482</f>
        <v>0</v>
      </c>
      <c r="D1483" s="30">
        <f>D1482</f>
        <v>0</v>
      </c>
      <c r="E1483" s="29">
        <f>E1482</f>
        <v>0</v>
      </c>
      <c r="F1483" s="29">
        <f>F1482</f>
        <v>0</v>
      </c>
      <c r="G1483" s="29" t="e">
        <f>IF(C1482=1,IF(D1482="BUY",E1482+(ROUND(F1482*G1482/B1482,0)*B1482),E1482-(ROUND(F1482*G1482/B1482,0)*B1482)),IF(D1482="BUY",E1482-(ROUND(F1482*G1482/B1482,0)*B1482),E1482+(ROUND(F1482*G1482/B1482,0)*B1482)))</f>
        <v>#DIV/0!</v>
      </c>
      <c r="H1483" s="29" t="e">
        <f>IF(C1482=1,IF(D1482="BUY",G1483-(ROUND(F1482*H1482/B1482,0)*B1482),G1483+(ROUND(F1482*H1482/B1482,0)*B1482)),IF(D1482="BUY",G1483+(ROUND(F1482*H1482/B1482,0)*B1482),G1483-(ROUND(F1482*H1482/B1482,0)*B1482)))</f>
        <v>#DIV/0!</v>
      </c>
      <c r="I1483" s="29" t="e">
        <f>IF(D1482="BUY",G1483+(ROUND(F1482*I1482/(B1482*100),0)*B1482),G1483-(ROUND(F1482*I1482/(B1482*100),0)*B1482))</f>
        <v>#DIV/0!</v>
      </c>
      <c r="J1483" s="29" t="e">
        <f>IF(C1482=1,IF(D1482="BUY",E1482+(ROUND(F1482*J1482/B1482,0)*B1482),E1482-(ROUND(F1482*J1482/B1482,0)*B1482)),IF(D1482="BUY",E1482-(ROUND(F1482*J1482/B1482,0)*B1482),E1482+(ROUND(F1482*J1482/B1482,0)*B1482)))</f>
        <v>#DIV/0!</v>
      </c>
      <c r="K1483" s="29" t="e">
        <f>IF(C1482=1,IF(D1482="BUY",E1482-(ROUND(F1482*K1482/B1482,0)*B1482),E1482+(ROUND(F1482*K1482/B1482,0)*B1482)),IF(D1482="BUY",E1482-(ROUND(F1482*K1482/B1482,0)*B1482),E1482+(ROUND(F1482*K1482/B1482,0)*B1482)))</f>
        <v>#DIV/0!</v>
      </c>
      <c r="L1483" s="29" t="e">
        <f t="shared" ref="L1483" si="2219">IF(D1483="BUY",I1483+(R1483*B1483),I1483-(R1483*B1483))</f>
        <v>#DIV/0!</v>
      </c>
      <c r="M1483" s="29" t="e">
        <f>IF(D1482="BUY",E1482+(ROUND(F1482*M1482/B1482,0)*B1482),E1482-(ROUND(F1482*M1482/B1482,0)*B1482))</f>
        <v>#DIV/0!</v>
      </c>
      <c r="N1483" s="29" t="e">
        <f>IF(D1482="BUY",E1482-(ROUND(F1482*N1482/B1482,0)*B1482),E1482+(ROUND(F1482*N1482/B1482,0)*B1482))</f>
        <v>#DIV/0!</v>
      </c>
      <c r="O1483" s="31" t="e">
        <f>IF(D1483="BUY",N1483-VLOOKUP(A1483,Symbols!A$1:D$1000,4,FALSE),N1483+VLOOKUP(A1483,Symbols!A$1:D$1000,4,FALSE))</f>
        <v>#DIV/0!</v>
      </c>
      <c r="P1483" s="29">
        <f>P1482</f>
        <v>0</v>
      </c>
      <c r="Q1483" s="29">
        <f>Q1482</f>
        <v>0</v>
      </c>
      <c r="R1483" s="29">
        <f>R1482</f>
        <v>0</v>
      </c>
      <c r="S1483" s="29">
        <f>S1482</f>
        <v>0</v>
      </c>
      <c r="T1483" s="29">
        <f>T1482</f>
        <v>0</v>
      </c>
      <c r="U1483" s="29" t="e">
        <f>DATEDIF(DATE(1970,1,1),U1482,"D")*86400</f>
        <v>#NUM!</v>
      </c>
      <c r="V1483" s="29">
        <f>HOUR(V1482)*3600+MINUTE(V1482)*60+SECOND(V1482)</f>
        <v>0</v>
      </c>
      <c r="W1483" s="29" t="e">
        <f>DATEDIF(DATE(1970,1,1),W1482,"D")*86400</f>
        <v>#NUM!</v>
      </c>
      <c r="X1483" s="29">
        <f>HOUR(X1482)*3600+MINUTE(X1482)*60+SECOND(X1482)</f>
        <v>0</v>
      </c>
      <c r="Y1483" s="31">
        <f>(Y1482*B1483)</f>
        <v>0</v>
      </c>
      <c r="Z1483" s="29">
        <f>Z1482</f>
        <v>0</v>
      </c>
      <c r="AA1483" s="29" t="e">
        <f>DATEDIF(DATE(1970,1,1),AA1482,"D")*86400</f>
        <v>#NUM!</v>
      </c>
      <c r="AB1483" s="29">
        <f>HOUR(AB1482)*3600+MINUTE(AB1482)*60+SECOND(AB1482)</f>
        <v>0</v>
      </c>
      <c r="AC1483" s="29">
        <f>AC1482</f>
        <v>0</v>
      </c>
    </row>
    <row r="1484" spans="1:29">
      <c r="A1484" s="23">
        <f>Parameters!A743</f>
        <v>0</v>
      </c>
      <c r="B1484" s="23">
        <f>Parameters!B743</f>
        <v>0</v>
      </c>
      <c r="C1484" s="24">
        <f>Parameters!C743</f>
        <v>0</v>
      </c>
      <c r="D1484" s="24">
        <f>Parameters!D743</f>
        <v>0</v>
      </c>
      <c r="E1484" s="23">
        <f>Parameters!E743</f>
        <v>0</v>
      </c>
      <c r="F1484" s="23">
        <f>Parameters!F743</f>
        <v>0</v>
      </c>
      <c r="G1484" s="25">
        <f>Parameters!G743</f>
        <v>0</v>
      </c>
      <c r="H1484" s="25">
        <f>Parameters!H743</f>
        <v>0</v>
      </c>
      <c r="I1484" s="25">
        <f>Parameters!I743</f>
        <v>0</v>
      </c>
      <c r="J1484" s="25">
        <f>Parameters!J743</f>
        <v>0</v>
      </c>
      <c r="K1484" s="25">
        <f>Parameters!K743</f>
        <v>0</v>
      </c>
      <c r="L1484" s="26" t="e">
        <f t="shared" ref="L1484" si="2220">L1485</f>
        <v>#DIV/0!</v>
      </c>
      <c r="M1484" s="25">
        <f>Parameters!L743</f>
        <v>0</v>
      </c>
      <c r="N1484" s="25">
        <f>Parameters!M743</f>
        <v>0</v>
      </c>
      <c r="O1484" s="26" t="e">
        <f t="shared" ref="O1484" si="2221">O1485</f>
        <v>#DIV/0!</v>
      </c>
      <c r="P1484" s="23">
        <f>Parameters!N743</f>
        <v>0</v>
      </c>
      <c r="Q1484" s="23">
        <f>Parameters!O743</f>
        <v>0</v>
      </c>
      <c r="R1484" s="23">
        <f>Parameters!P743</f>
        <v>0</v>
      </c>
      <c r="S1484" s="23">
        <f>Parameters!Q743</f>
        <v>0</v>
      </c>
      <c r="T1484" s="23">
        <f>Parameters!R743</f>
        <v>0</v>
      </c>
      <c r="U1484" s="27">
        <f>Parameters!S743</f>
        <v>0</v>
      </c>
      <c r="V1484" s="28">
        <f>Parameters!T743</f>
        <v>0</v>
      </c>
      <c r="W1484" s="27">
        <f>Parameters!U743</f>
        <v>0</v>
      </c>
      <c r="X1484" s="28">
        <f>Parameters!V743</f>
        <v>0</v>
      </c>
      <c r="Y1484" s="25">
        <f>Parameters!W743</f>
        <v>0</v>
      </c>
      <c r="Z1484" s="23">
        <f>Parameters!X743</f>
        <v>0</v>
      </c>
      <c r="AA1484" s="27">
        <f>Parameters!Y743</f>
        <v>0</v>
      </c>
      <c r="AB1484" s="28">
        <f>Parameters!Z743</f>
        <v>0</v>
      </c>
      <c r="AC1484" s="23">
        <f>Parameters!AA743</f>
        <v>0</v>
      </c>
    </row>
    <row r="1485" spans="1:29">
      <c r="A1485" s="29" t="str">
        <f>UPPER(A1484)</f>
        <v>0</v>
      </c>
      <c r="B1485" s="29">
        <f>B1484</f>
        <v>0</v>
      </c>
      <c r="C1485" s="30">
        <f>C1484</f>
        <v>0</v>
      </c>
      <c r="D1485" s="30">
        <f>D1484</f>
        <v>0</v>
      </c>
      <c r="E1485" s="29">
        <f>E1484</f>
        <v>0</v>
      </c>
      <c r="F1485" s="29">
        <f>F1484</f>
        <v>0</v>
      </c>
      <c r="G1485" s="29" t="e">
        <f>IF(C1484=1,IF(D1484="BUY",E1484+(ROUND(F1484*G1484/B1484,0)*B1484),E1484-(ROUND(F1484*G1484/B1484,0)*B1484)),IF(D1484="BUY",E1484-(ROUND(F1484*G1484/B1484,0)*B1484),E1484+(ROUND(F1484*G1484/B1484,0)*B1484)))</f>
        <v>#DIV/0!</v>
      </c>
      <c r="H1485" s="29" t="e">
        <f>IF(C1484=1,IF(D1484="BUY",G1485-(ROUND(F1484*H1484/B1484,0)*B1484),G1485+(ROUND(F1484*H1484/B1484,0)*B1484)),IF(D1484="BUY",G1485+(ROUND(F1484*H1484/B1484,0)*B1484),G1485-(ROUND(F1484*H1484/B1484,0)*B1484)))</f>
        <v>#DIV/0!</v>
      </c>
      <c r="I1485" s="29" t="e">
        <f>IF(D1484="BUY",G1485+(ROUND(F1484*I1484/(B1484*100),0)*B1484),G1485-(ROUND(F1484*I1484/(B1484*100),0)*B1484))</f>
        <v>#DIV/0!</v>
      </c>
      <c r="J1485" s="29" t="e">
        <f>IF(C1484=1,IF(D1484="BUY",E1484+(ROUND(F1484*J1484/B1484,0)*B1484),E1484-(ROUND(F1484*J1484/B1484,0)*B1484)),IF(D1484="BUY",E1484-(ROUND(F1484*J1484/B1484,0)*B1484),E1484+(ROUND(F1484*J1484/B1484,0)*B1484)))</f>
        <v>#DIV/0!</v>
      </c>
      <c r="K1485" s="29" t="e">
        <f>IF(C1484=1,IF(D1484="BUY",E1484-(ROUND(F1484*K1484/B1484,0)*B1484),E1484+(ROUND(F1484*K1484/B1484,0)*B1484)),IF(D1484="BUY",E1484-(ROUND(F1484*K1484/B1484,0)*B1484),E1484+(ROUND(F1484*K1484/B1484,0)*B1484)))</f>
        <v>#DIV/0!</v>
      </c>
      <c r="L1485" s="29" t="e">
        <f t="shared" ref="L1485" si="2222">IF(D1485="BUY",I1485+(R1485*B1485),I1485-(R1485*B1485))</f>
        <v>#DIV/0!</v>
      </c>
      <c r="M1485" s="29" t="e">
        <f>IF(D1484="BUY",E1484+(ROUND(F1484*M1484/B1484,0)*B1484),E1484-(ROUND(F1484*M1484/B1484,0)*B1484))</f>
        <v>#DIV/0!</v>
      </c>
      <c r="N1485" s="29" t="e">
        <f>IF(D1484="BUY",E1484-(ROUND(F1484*N1484/B1484,0)*B1484),E1484+(ROUND(F1484*N1484/B1484,0)*B1484))</f>
        <v>#DIV/0!</v>
      </c>
      <c r="O1485" s="31" t="e">
        <f>IF(D1485="BUY",N1485-VLOOKUP(A1485,Symbols!A$1:D$1000,4,FALSE),N1485+VLOOKUP(A1485,Symbols!A$1:D$1000,4,FALSE))</f>
        <v>#DIV/0!</v>
      </c>
      <c r="P1485" s="29">
        <f>P1484</f>
        <v>0</v>
      </c>
      <c r="Q1485" s="29">
        <f>Q1484</f>
        <v>0</v>
      </c>
      <c r="R1485" s="29">
        <f>R1484</f>
        <v>0</v>
      </c>
      <c r="S1485" s="29">
        <f>S1484</f>
        <v>0</v>
      </c>
      <c r="T1485" s="29">
        <f>T1484</f>
        <v>0</v>
      </c>
      <c r="U1485" s="29" t="e">
        <f>DATEDIF(DATE(1970,1,1),U1484,"D")*86400</f>
        <v>#NUM!</v>
      </c>
      <c r="V1485" s="29">
        <f>HOUR(V1484)*3600+MINUTE(V1484)*60+SECOND(V1484)</f>
        <v>0</v>
      </c>
      <c r="W1485" s="29" t="e">
        <f>DATEDIF(DATE(1970,1,1),W1484,"D")*86400</f>
        <v>#NUM!</v>
      </c>
      <c r="X1485" s="29">
        <f>HOUR(X1484)*3600+MINUTE(X1484)*60+SECOND(X1484)</f>
        <v>0</v>
      </c>
      <c r="Y1485" s="31">
        <f>(Y1484*B1485)</f>
        <v>0</v>
      </c>
      <c r="Z1485" s="29">
        <f>Z1484</f>
        <v>0</v>
      </c>
      <c r="AA1485" s="29" t="e">
        <f>DATEDIF(DATE(1970,1,1),AA1484,"D")*86400</f>
        <v>#NUM!</v>
      </c>
      <c r="AB1485" s="29">
        <f>HOUR(AB1484)*3600+MINUTE(AB1484)*60+SECOND(AB1484)</f>
        <v>0</v>
      </c>
      <c r="AC1485" s="29">
        <f>AC1484</f>
        <v>0</v>
      </c>
    </row>
    <row r="1486" spans="1:29">
      <c r="A1486" s="23">
        <f>Parameters!A744</f>
        <v>0</v>
      </c>
      <c r="B1486" s="23">
        <f>Parameters!B744</f>
        <v>0</v>
      </c>
      <c r="C1486" s="24">
        <f>Parameters!C744</f>
        <v>0</v>
      </c>
      <c r="D1486" s="24">
        <f>Parameters!D744</f>
        <v>0</v>
      </c>
      <c r="E1486" s="23">
        <f>Parameters!E744</f>
        <v>0</v>
      </c>
      <c r="F1486" s="23">
        <f>Parameters!F744</f>
        <v>0</v>
      </c>
      <c r="G1486" s="25">
        <f>Parameters!G744</f>
        <v>0</v>
      </c>
      <c r="H1486" s="25">
        <f>Parameters!H744</f>
        <v>0</v>
      </c>
      <c r="I1486" s="25">
        <f>Parameters!I744</f>
        <v>0</v>
      </c>
      <c r="J1486" s="25">
        <f>Parameters!J744</f>
        <v>0</v>
      </c>
      <c r="K1486" s="25">
        <f>Parameters!K744</f>
        <v>0</v>
      </c>
      <c r="L1486" s="26" t="e">
        <f t="shared" ref="L1486" si="2223">L1487</f>
        <v>#DIV/0!</v>
      </c>
      <c r="M1486" s="25">
        <f>Parameters!L744</f>
        <v>0</v>
      </c>
      <c r="N1486" s="25">
        <f>Parameters!M744</f>
        <v>0</v>
      </c>
      <c r="O1486" s="26" t="e">
        <f t="shared" ref="O1486" si="2224">O1487</f>
        <v>#DIV/0!</v>
      </c>
      <c r="P1486" s="23">
        <f>Parameters!N744</f>
        <v>0</v>
      </c>
      <c r="Q1486" s="23">
        <f>Parameters!O744</f>
        <v>0</v>
      </c>
      <c r="R1486" s="23">
        <f>Parameters!P744</f>
        <v>0</v>
      </c>
      <c r="S1486" s="23">
        <f>Parameters!Q744</f>
        <v>0</v>
      </c>
      <c r="T1486" s="23">
        <f>Parameters!R744</f>
        <v>0</v>
      </c>
      <c r="U1486" s="27">
        <f>Parameters!S744</f>
        <v>0</v>
      </c>
      <c r="V1486" s="28">
        <f>Parameters!T744</f>
        <v>0</v>
      </c>
      <c r="W1486" s="27">
        <f>Parameters!U744</f>
        <v>0</v>
      </c>
      <c r="X1486" s="28">
        <f>Parameters!V744</f>
        <v>0</v>
      </c>
      <c r="Y1486" s="25">
        <f>Parameters!W744</f>
        <v>0</v>
      </c>
      <c r="Z1486" s="23">
        <f>Parameters!X744</f>
        <v>0</v>
      </c>
      <c r="AA1486" s="27">
        <f>Parameters!Y744</f>
        <v>0</v>
      </c>
      <c r="AB1486" s="28">
        <f>Parameters!Z744</f>
        <v>0</v>
      </c>
      <c r="AC1486" s="23">
        <f>Parameters!AA744</f>
        <v>0</v>
      </c>
    </row>
    <row r="1487" spans="1:29">
      <c r="A1487" s="29" t="str">
        <f>UPPER(A1486)</f>
        <v>0</v>
      </c>
      <c r="B1487" s="29">
        <f>B1486</f>
        <v>0</v>
      </c>
      <c r="C1487" s="30">
        <f>C1486</f>
        <v>0</v>
      </c>
      <c r="D1487" s="30">
        <f>D1486</f>
        <v>0</v>
      </c>
      <c r="E1487" s="29">
        <f>E1486</f>
        <v>0</v>
      </c>
      <c r="F1487" s="29">
        <f>F1486</f>
        <v>0</v>
      </c>
      <c r="G1487" s="29" t="e">
        <f>IF(C1486=1,IF(D1486="BUY",E1486+(ROUND(F1486*G1486/B1486,0)*B1486),E1486-(ROUND(F1486*G1486/B1486,0)*B1486)),IF(D1486="BUY",E1486-(ROUND(F1486*G1486/B1486,0)*B1486),E1486+(ROUND(F1486*G1486/B1486,0)*B1486)))</f>
        <v>#DIV/0!</v>
      </c>
      <c r="H1487" s="29" t="e">
        <f>IF(C1486=1,IF(D1486="BUY",G1487-(ROUND(F1486*H1486/B1486,0)*B1486),G1487+(ROUND(F1486*H1486/B1486,0)*B1486)),IF(D1486="BUY",G1487+(ROUND(F1486*H1486/B1486,0)*B1486),G1487-(ROUND(F1486*H1486/B1486,0)*B1486)))</f>
        <v>#DIV/0!</v>
      </c>
      <c r="I1487" s="29" t="e">
        <f>IF(D1486="BUY",G1487+(ROUND(F1486*I1486/(B1486*100),0)*B1486),G1487-(ROUND(F1486*I1486/(B1486*100),0)*B1486))</f>
        <v>#DIV/0!</v>
      </c>
      <c r="J1487" s="29" t="e">
        <f>IF(C1486=1,IF(D1486="BUY",E1486+(ROUND(F1486*J1486/B1486,0)*B1486),E1486-(ROUND(F1486*J1486/B1486,0)*B1486)),IF(D1486="BUY",E1486-(ROUND(F1486*J1486/B1486,0)*B1486),E1486+(ROUND(F1486*J1486/B1486,0)*B1486)))</f>
        <v>#DIV/0!</v>
      </c>
      <c r="K1487" s="29" t="e">
        <f>IF(C1486=1,IF(D1486="BUY",E1486-(ROUND(F1486*K1486/B1486,0)*B1486),E1486+(ROUND(F1486*K1486/B1486,0)*B1486)),IF(D1486="BUY",E1486-(ROUND(F1486*K1486/B1486,0)*B1486),E1486+(ROUND(F1486*K1486/B1486,0)*B1486)))</f>
        <v>#DIV/0!</v>
      </c>
      <c r="L1487" s="29" t="e">
        <f t="shared" ref="L1487" si="2225">IF(D1487="BUY",I1487+(R1487*B1487),I1487-(R1487*B1487))</f>
        <v>#DIV/0!</v>
      </c>
      <c r="M1487" s="29" t="e">
        <f>IF(D1486="BUY",E1486+(ROUND(F1486*M1486/B1486,0)*B1486),E1486-(ROUND(F1486*M1486/B1486,0)*B1486))</f>
        <v>#DIV/0!</v>
      </c>
      <c r="N1487" s="29" t="e">
        <f>IF(D1486="BUY",E1486-(ROUND(F1486*N1486/B1486,0)*B1486),E1486+(ROUND(F1486*N1486/B1486,0)*B1486))</f>
        <v>#DIV/0!</v>
      </c>
      <c r="O1487" s="31" t="e">
        <f>IF(D1487="BUY",N1487-VLOOKUP(A1487,Symbols!A$1:D$1000,4,FALSE),N1487+VLOOKUP(A1487,Symbols!A$1:D$1000,4,FALSE))</f>
        <v>#DIV/0!</v>
      </c>
      <c r="P1487" s="29">
        <f>P1486</f>
        <v>0</v>
      </c>
      <c r="Q1487" s="29">
        <f>Q1486</f>
        <v>0</v>
      </c>
      <c r="R1487" s="29">
        <f>R1486</f>
        <v>0</v>
      </c>
      <c r="S1487" s="29">
        <f>S1486</f>
        <v>0</v>
      </c>
      <c r="T1487" s="29">
        <f>T1486</f>
        <v>0</v>
      </c>
      <c r="U1487" s="29" t="e">
        <f>DATEDIF(DATE(1970,1,1),U1486,"D")*86400</f>
        <v>#NUM!</v>
      </c>
      <c r="V1487" s="29">
        <f>HOUR(V1486)*3600+MINUTE(V1486)*60+SECOND(V1486)</f>
        <v>0</v>
      </c>
      <c r="W1487" s="29" t="e">
        <f>DATEDIF(DATE(1970,1,1),W1486,"D")*86400</f>
        <v>#NUM!</v>
      </c>
      <c r="X1487" s="29">
        <f>HOUR(X1486)*3600+MINUTE(X1486)*60+SECOND(X1486)</f>
        <v>0</v>
      </c>
      <c r="Y1487" s="31">
        <f>(Y1486*B1487)</f>
        <v>0</v>
      </c>
      <c r="Z1487" s="29">
        <f>Z1486</f>
        <v>0</v>
      </c>
      <c r="AA1487" s="29" t="e">
        <f>DATEDIF(DATE(1970,1,1),AA1486,"D")*86400</f>
        <v>#NUM!</v>
      </c>
      <c r="AB1487" s="29">
        <f>HOUR(AB1486)*3600+MINUTE(AB1486)*60+SECOND(AB1486)</f>
        <v>0</v>
      </c>
      <c r="AC1487" s="29">
        <f>AC1486</f>
        <v>0</v>
      </c>
    </row>
    <row r="1488" spans="1:29">
      <c r="A1488" s="23">
        <f>Parameters!A745</f>
        <v>0</v>
      </c>
      <c r="B1488" s="23">
        <f>Parameters!B745</f>
        <v>0</v>
      </c>
      <c r="C1488" s="24">
        <f>Parameters!C745</f>
        <v>0</v>
      </c>
      <c r="D1488" s="24">
        <f>Parameters!D745</f>
        <v>0</v>
      </c>
      <c r="E1488" s="23">
        <f>Parameters!E745</f>
        <v>0</v>
      </c>
      <c r="F1488" s="23">
        <f>Parameters!F745</f>
        <v>0</v>
      </c>
      <c r="G1488" s="25">
        <f>Parameters!G745</f>
        <v>0</v>
      </c>
      <c r="H1488" s="25">
        <f>Parameters!H745</f>
        <v>0</v>
      </c>
      <c r="I1488" s="25">
        <f>Parameters!I745</f>
        <v>0</v>
      </c>
      <c r="J1488" s="25">
        <f>Parameters!J745</f>
        <v>0</v>
      </c>
      <c r="K1488" s="25">
        <f>Parameters!K745</f>
        <v>0</v>
      </c>
      <c r="L1488" s="26" t="e">
        <f t="shared" ref="L1488" si="2226">L1489</f>
        <v>#DIV/0!</v>
      </c>
      <c r="M1488" s="25">
        <f>Parameters!L745</f>
        <v>0</v>
      </c>
      <c r="N1488" s="25">
        <f>Parameters!M745</f>
        <v>0</v>
      </c>
      <c r="O1488" s="26" t="e">
        <f t="shared" ref="O1488" si="2227">O1489</f>
        <v>#DIV/0!</v>
      </c>
      <c r="P1488" s="23">
        <f>Parameters!N745</f>
        <v>0</v>
      </c>
      <c r="Q1488" s="23">
        <f>Parameters!O745</f>
        <v>0</v>
      </c>
      <c r="R1488" s="23">
        <f>Parameters!P745</f>
        <v>0</v>
      </c>
      <c r="S1488" s="23">
        <f>Parameters!Q745</f>
        <v>0</v>
      </c>
      <c r="T1488" s="23">
        <f>Parameters!R745</f>
        <v>0</v>
      </c>
      <c r="U1488" s="27">
        <f>Parameters!S745</f>
        <v>0</v>
      </c>
      <c r="V1488" s="28">
        <f>Parameters!T745</f>
        <v>0</v>
      </c>
      <c r="W1488" s="27">
        <f>Parameters!U745</f>
        <v>0</v>
      </c>
      <c r="X1488" s="28">
        <f>Parameters!V745</f>
        <v>0</v>
      </c>
      <c r="Y1488" s="25">
        <f>Parameters!W745</f>
        <v>0</v>
      </c>
      <c r="Z1488" s="23">
        <f>Parameters!X745</f>
        <v>0</v>
      </c>
      <c r="AA1488" s="27">
        <f>Parameters!Y745</f>
        <v>0</v>
      </c>
      <c r="AB1488" s="28">
        <f>Parameters!Z745</f>
        <v>0</v>
      </c>
      <c r="AC1488" s="23">
        <f>Parameters!AA745</f>
        <v>0</v>
      </c>
    </row>
    <row r="1489" spans="1:29">
      <c r="A1489" s="29" t="str">
        <f>UPPER(A1488)</f>
        <v>0</v>
      </c>
      <c r="B1489" s="29">
        <f>B1488</f>
        <v>0</v>
      </c>
      <c r="C1489" s="30">
        <f>C1488</f>
        <v>0</v>
      </c>
      <c r="D1489" s="30">
        <f>D1488</f>
        <v>0</v>
      </c>
      <c r="E1489" s="29">
        <f>E1488</f>
        <v>0</v>
      </c>
      <c r="F1489" s="29">
        <f>F1488</f>
        <v>0</v>
      </c>
      <c r="G1489" s="29" t="e">
        <f>IF(C1488=1,IF(D1488="BUY",E1488+(ROUND(F1488*G1488/B1488,0)*B1488),E1488-(ROUND(F1488*G1488/B1488,0)*B1488)),IF(D1488="BUY",E1488-(ROUND(F1488*G1488/B1488,0)*B1488),E1488+(ROUND(F1488*G1488/B1488,0)*B1488)))</f>
        <v>#DIV/0!</v>
      </c>
      <c r="H1489" s="29" t="e">
        <f>IF(C1488=1,IF(D1488="BUY",G1489-(ROUND(F1488*H1488/B1488,0)*B1488),G1489+(ROUND(F1488*H1488/B1488,0)*B1488)),IF(D1488="BUY",G1489+(ROUND(F1488*H1488/B1488,0)*B1488),G1489-(ROUND(F1488*H1488/B1488,0)*B1488)))</f>
        <v>#DIV/0!</v>
      </c>
      <c r="I1489" s="29" t="e">
        <f>IF(D1488="BUY",G1489+(ROUND(F1488*I1488/(B1488*100),0)*B1488),G1489-(ROUND(F1488*I1488/(B1488*100),0)*B1488))</f>
        <v>#DIV/0!</v>
      </c>
      <c r="J1489" s="29" t="e">
        <f>IF(C1488=1,IF(D1488="BUY",E1488+(ROUND(F1488*J1488/B1488,0)*B1488),E1488-(ROUND(F1488*J1488/B1488,0)*B1488)),IF(D1488="BUY",E1488-(ROUND(F1488*J1488/B1488,0)*B1488),E1488+(ROUND(F1488*J1488/B1488,0)*B1488)))</f>
        <v>#DIV/0!</v>
      </c>
      <c r="K1489" s="29" t="e">
        <f>IF(C1488=1,IF(D1488="BUY",E1488-(ROUND(F1488*K1488/B1488,0)*B1488),E1488+(ROUND(F1488*K1488/B1488,0)*B1488)),IF(D1488="BUY",E1488-(ROUND(F1488*K1488/B1488,0)*B1488),E1488+(ROUND(F1488*K1488/B1488,0)*B1488)))</f>
        <v>#DIV/0!</v>
      </c>
      <c r="L1489" s="29" t="e">
        <f t="shared" ref="L1489" si="2228">IF(D1489="BUY",I1489+(R1489*B1489),I1489-(R1489*B1489))</f>
        <v>#DIV/0!</v>
      </c>
      <c r="M1489" s="29" t="e">
        <f>IF(D1488="BUY",E1488+(ROUND(F1488*M1488/B1488,0)*B1488),E1488-(ROUND(F1488*M1488/B1488,0)*B1488))</f>
        <v>#DIV/0!</v>
      </c>
      <c r="N1489" s="29" t="e">
        <f>IF(D1488="BUY",E1488-(ROUND(F1488*N1488/B1488,0)*B1488),E1488+(ROUND(F1488*N1488/B1488,0)*B1488))</f>
        <v>#DIV/0!</v>
      </c>
      <c r="O1489" s="31" t="e">
        <f>IF(D1489="BUY",N1489-VLOOKUP(A1489,Symbols!A$1:D$1000,4,FALSE),N1489+VLOOKUP(A1489,Symbols!A$1:D$1000,4,FALSE))</f>
        <v>#DIV/0!</v>
      </c>
      <c r="P1489" s="29">
        <f>P1488</f>
        <v>0</v>
      </c>
      <c r="Q1489" s="29">
        <f>Q1488</f>
        <v>0</v>
      </c>
      <c r="R1489" s="29">
        <f>R1488</f>
        <v>0</v>
      </c>
      <c r="S1489" s="29">
        <f>S1488</f>
        <v>0</v>
      </c>
      <c r="T1489" s="29">
        <f>T1488</f>
        <v>0</v>
      </c>
      <c r="U1489" s="29" t="e">
        <f>DATEDIF(DATE(1970,1,1),U1488,"D")*86400</f>
        <v>#NUM!</v>
      </c>
      <c r="V1489" s="29">
        <f>HOUR(V1488)*3600+MINUTE(V1488)*60+SECOND(V1488)</f>
        <v>0</v>
      </c>
      <c r="W1489" s="29" t="e">
        <f>DATEDIF(DATE(1970,1,1),W1488,"D")*86400</f>
        <v>#NUM!</v>
      </c>
      <c r="X1489" s="29">
        <f>HOUR(X1488)*3600+MINUTE(X1488)*60+SECOND(X1488)</f>
        <v>0</v>
      </c>
      <c r="Y1489" s="31">
        <f>(Y1488*B1489)</f>
        <v>0</v>
      </c>
      <c r="Z1489" s="29">
        <f>Z1488</f>
        <v>0</v>
      </c>
      <c r="AA1489" s="29" t="e">
        <f>DATEDIF(DATE(1970,1,1),AA1488,"D")*86400</f>
        <v>#NUM!</v>
      </c>
      <c r="AB1489" s="29">
        <f>HOUR(AB1488)*3600+MINUTE(AB1488)*60+SECOND(AB1488)</f>
        <v>0</v>
      </c>
      <c r="AC1489" s="29">
        <f>AC1488</f>
        <v>0</v>
      </c>
    </row>
    <row r="1490" spans="1:29">
      <c r="A1490" s="23">
        <f>Parameters!A746</f>
        <v>0</v>
      </c>
      <c r="B1490" s="23">
        <f>Parameters!B746</f>
        <v>0</v>
      </c>
      <c r="C1490" s="24">
        <f>Parameters!C746</f>
        <v>0</v>
      </c>
      <c r="D1490" s="24">
        <f>Parameters!D746</f>
        <v>0</v>
      </c>
      <c r="E1490" s="23">
        <f>Parameters!E746</f>
        <v>0</v>
      </c>
      <c r="F1490" s="23">
        <f>Parameters!F746</f>
        <v>0</v>
      </c>
      <c r="G1490" s="25">
        <f>Parameters!G746</f>
        <v>0</v>
      </c>
      <c r="H1490" s="25">
        <f>Parameters!H746</f>
        <v>0</v>
      </c>
      <c r="I1490" s="25">
        <f>Parameters!I746</f>
        <v>0</v>
      </c>
      <c r="J1490" s="25">
        <f>Parameters!J746</f>
        <v>0</v>
      </c>
      <c r="K1490" s="25">
        <f>Parameters!K746</f>
        <v>0</v>
      </c>
      <c r="L1490" s="26" t="e">
        <f t="shared" ref="L1490" si="2229">L1491</f>
        <v>#DIV/0!</v>
      </c>
      <c r="M1490" s="25">
        <f>Parameters!L746</f>
        <v>0</v>
      </c>
      <c r="N1490" s="25">
        <f>Parameters!M746</f>
        <v>0</v>
      </c>
      <c r="O1490" s="26" t="e">
        <f t="shared" ref="O1490" si="2230">O1491</f>
        <v>#DIV/0!</v>
      </c>
      <c r="P1490" s="23">
        <f>Parameters!N746</f>
        <v>0</v>
      </c>
      <c r="Q1490" s="23">
        <f>Parameters!O746</f>
        <v>0</v>
      </c>
      <c r="R1490" s="23">
        <f>Parameters!P746</f>
        <v>0</v>
      </c>
      <c r="S1490" s="23">
        <f>Parameters!Q746</f>
        <v>0</v>
      </c>
      <c r="T1490" s="23">
        <f>Parameters!R746</f>
        <v>0</v>
      </c>
      <c r="U1490" s="27">
        <f>Parameters!S746</f>
        <v>0</v>
      </c>
      <c r="V1490" s="28">
        <f>Parameters!T746</f>
        <v>0</v>
      </c>
      <c r="W1490" s="27">
        <f>Parameters!U746</f>
        <v>0</v>
      </c>
      <c r="X1490" s="28">
        <f>Parameters!V746</f>
        <v>0</v>
      </c>
      <c r="Y1490" s="25">
        <f>Parameters!W746</f>
        <v>0</v>
      </c>
      <c r="Z1490" s="23">
        <f>Parameters!X746</f>
        <v>0</v>
      </c>
      <c r="AA1490" s="27">
        <f>Parameters!Y746</f>
        <v>0</v>
      </c>
      <c r="AB1490" s="28">
        <f>Parameters!Z746</f>
        <v>0</v>
      </c>
      <c r="AC1490" s="23">
        <f>Parameters!AA746</f>
        <v>0</v>
      </c>
    </row>
    <row r="1491" spans="1:29">
      <c r="A1491" s="29" t="str">
        <f>UPPER(A1490)</f>
        <v>0</v>
      </c>
      <c r="B1491" s="29">
        <f>B1490</f>
        <v>0</v>
      </c>
      <c r="C1491" s="30">
        <f>C1490</f>
        <v>0</v>
      </c>
      <c r="D1491" s="30">
        <f>D1490</f>
        <v>0</v>
      </c>
      <c r="E1491" s="29">
        <f>E1490</f>
        <v>0</v>
      </c>
      <c r="F1491" s="29">
        <f>F1490</f>
        <v>0</v>
      </c>
      <c r="G1491" s="29" t="e">
        <f>IF(C1490=1,IF(D1490="BUY",E1490+(ROUND(F1490*G1490/B1490,0)*B1490),E1490-(ROUND(F1490*G1490/B1490,0)*B1490)),IF(D1490="BUY",E1490-(ROUND(F1490*G1490/B1490,0)*B1490),E1490+(ROUND(F1490*G1490/B1490,0)*B1490)))</f>
        <v>#DIV/0!</v>
      </c>
      <c r="H1491" s="29" t="e">
        <f>IF(C1490=1,IF(D1490="BUY",G1491-(ROUND(F1490*H1490/B1490,0)*B1490),G1491+(ROUND(F1490*H1490/B1490,0)*B1490)),IF(D1490="BUY",G1491+(ROUND(F1490*H1490/B1490,0)*B1490),G1491-(ROUND(F1490*H1490/B1490,0)*B1490)))</f>
        <v>#DIV/0!</v>
      </c>
      <c r="I1491" s="29" t="e">
        <f>IF(D1490="BUY",G1491+(ROUND(F1490*I1490/(B1490*100),0)*B1490),G1491-(ROUND(F1490*I1490/(B1490*100),0)*B1490))</f>
        <v>#DIV/0!</v>
      </c>
      <c r="J1491" s="29" t="e">
        <f>IF(C1490=1,IF(D1490="BUY",E1490+(ROUND(F1490*J1490/B1490,0)*B1490),E1490-(ROUND(F1490*J1490/B1490,0)*B1490)),IF(D1490="BUY",E1490-(ROUND(F1490*J1490/B1490,0)*B1490),E1490+(ROUND(F1490*J1490/B1490,0)*B1490)))</f>
        <v>#DIV/0!</v>
      </c>
      <c r="K1491" s="29" t="e">
        <f>IF(C1490=1,IF(D1490="BUY",E1490-(ROUND(F1490*K1490/B1490,0)*B1490),E1490+(ROUND(F1490*K1490/B1490,0)*B1490)),IF(D1490="BUY",E1490-(ROUND(F1490*K1490/B1490,0)*B1490),E1490+(ROUND(F1490*K1490/B1490,0)*B1490)))</f>
        <v>#DIV/0!</v>
      </c>
      <c r="L1491" s="29" t="e">
        <f t="shared" ref="L1491" si="2231">IF(D1491="BUY",I1491+(R1491*B1491),I1491-(R1491*B1491))</f>
        <v>#DIV/0!</v>
      </c>
      <c r="M1491" s="29" t="e">
        <f>IF(D1490="BUY",E1490+(ROUND(F1490*M1490/B1490,0)*B1490),E1490-(ROUND(F1490*M1490/B1490,0)*B1490))</f>
        <v>#DIV/0!</v>
      </c>
      <c r="N1491" s="29" t="e">
        <f>IF(D1490="BUY",E1490-(ROUND(F1490*N1490/B1490,0)*B1490),E1490+(ROUND(F1490*N1490/B1490,0)*B1490))</f>
        <v>#DIV/0!</v>
      </c>
      <c r="O1491" s="31" t="e">
        <f>IF(D1491="BUY",N1491-VLOOKUP(A1491,Symbols!A$1:D$1000,4,FALSE),N1491+VLOOKUP(A1491,Symbols!A$1:D$1000,4,FALSE))</f>
        <v>#DIV/0!</v>
      </c>
      <c r="P1491" s="29">
        <f>P1490</f>
        <v>0</v>
      </c>
      <c r="Q1491" s="29">
        <f>Q1490</f>
        <v>0</v>
      </c>
      <c r="R1491" s="29">
        <f>R1490</f>
        <v>0</v>
      </c>
      <c r="S1491" s="29">
        <f>S1490</f>
        <v>0</v>
      </c>
      <c r="T1491" s="29">
        <f>T1490</f>
        <v>0</v>
      </c>
      <c r="U1491" s="29" t="e">
        <f>DATEDIF(DATE(1970,1,1),U1490,"D")*86400</f>
        <v>#NUM!</v>
      </c>
      <c r="V1491" s="29">
        <f>HOUR(V1490)*3600+MINUTE(V1490)*60+SECOND(V1490)</f>
        <v>0</v>
      </c>
      <c r="W1491" s="29" t="e">
        <f>DATEDIF(DATE(1970,1,1),W1490,"D")*86400</f>
        <v>#NUM!</v>
      </c>
      <c r="X1491" s="29">
        <f>HOUR(X1490)*3600+MINUTE(X1490)*60+SECOND(X1490)</f>
        <v>0</v>
      </c>
      <c r="Y1491" s="31">
        <f>(Y1490*B1491)</f>
        <v>0</v>
      </c>
      <c r="Z1491" s="29">
        <f>Z1490</f>
        <v>0</v>
      </c>
      <c r="AA1491" s="29" t="e">
        <f>DATEDIF(DATE(1970,1,1),AA1490,"D")*86400</f>
        <v>#NUM!</v>
      </c>
      <c r="AB1491" s="29">
        <f>HOUR(AB1490)*3600+MINUTE(AB1490)*60+SECOND(AB1490)</f>
        <v>0</v>
      </c>
      <c r="AC1491" s="29">
        <f>AC1490</f>
        <v>0</v>
      </c>
    </row>
    <row r="1492" spans="1:29">
      <c r="A1492" s="23">
        <f>Parameters!A747</f>
        <v>0</v>
      </c>
      <c r="B1492" s="23">
        <f>Parameters!B747</f>
        <v>0</v>
      </c>
      <c r="C1492" s="24">
        <f>Parameters!C747</f>
        <v>0</v>
      </c>
      <c r="D1492" s="24">
        <f>Parameters!D747</f>
        <v>0</v>
      </c>
      <c r="E1492" s="23">
        <f>Parameters!E747</f>
        <v>0</v>
      </c>
      <c r="F1492" s="23">
        <f>Parameters!F747</f>
        <v>0</v>
      </c>
      <c r="G1492" s="25">
        <f>Parameters!G747</f>
        <v>0</v>
      </c>
      <c r="H1492" s="25">
        <f>Parameters!H747</f>
        <v>0</v>
      </c>
      <c r="I1492" s="25">
        <f>Parameters!I747</f>
        <v>0</v>
      </c>
      <c r="J1492" s="25">
        <f>Parameters!J747</f>
        <v>0</v>
      </c>
      <c r="K1492" s="25">
        <f>Parameters!K747</f>
        <v>0</v>
      </c>
      <c r="L1492" s="26" t="e">
        <f t="shared" ref="L1492" si="2232">L1493</f>
        <v>#DIV/0!</v>
      </c>
      <c r="M1492" s="25">
        <f>Parameters!L747</f>
        <v>0</v>
      </c>
      <c r="N1492" s="25">
        <f>Parameters!M747</f>
        <v>0</v>
      </c>
      <c r="O1492" s="26" t="e">
        <f t="shared" ref="O1492" si="2233">O1493</f>
        <v>#DIV/0!</v>
      </c>
      <c r="P1492" s="23">
        <f>Parameters!N747</f>
        <v>0</v>
      </c>
      <c r="Q1492" s="23">
        <f>Parameters!O747</f>
        <v>0</v>
      </c>
      <c r="R1492" s="23">
        <f>Parameters!P747</f>
        <v>0</v>
      </c>
      <c r="S1492" s="23">
        <f>Parameters!Q747</f>
        <v>0</v>
      </c>
      <c r="T1492" s="23">
        <f>Parameters!R747</f>
        <v>0</v>
      </c>
      <c r="U1492" s="27">
        <f>Parameters!S747</f>
        <v>0</v>
      </c>
      <c r="V1492" s="28">
        <f>Parameters!T747</f>
        <v>0</v>
      </c>
      <c r="W1492" s="27">
        <f>Parameters!U747</f>
        <v>0</v>
      </c>
      <c r="X1492" s="28">
        <f>Parameters!V747</f>
        <v>0</v>
      </c>
      <c r="Y1492" s="25">
        <f>Parameters!W747</f>
        <v>0</v>
      </c>
      <c r="Z1492" s="23">
        <f>Parameters!X747</f>
        <v>0</v>
      </c>
      <c r="AA1492" s="27">
        <f>Parameters!Y747</f>
        <v>0</v>
      </c>
      <c r="AB1492" s="28">
        <f>Parameters!Z747</f>
        <v>0</v>
      </c>
      <c r="AC1492" s="23">
        <f>Parameters!AA747</f>
        <v>0</v>
      </c>
    </row>
    <row r="1493" spans="1:29">
      <c r="A1493" s="29" t="str">
        <f>UPPER(A1492)</f>
        <v>0</v>
      </c>
      <c r="B1493" s="29">
        <f>B1492</f>
        <v>0</v>
      </c>
      <c r="C1493" s="30">
        <f>C1492</f>
        <v>0</v>
      </c>
      <c r="D1493" s="30">
        <f>D1492</f>
        <v>0</v>
      </c>
      <c r="E1493" s="29">
        <f>E1492</f>
        <v>0</v>
      </c>
      <c r="F1493" s="29">
        <f>F1492</f>
        <v>0</v>
      </c>
      <c r="G1493" s="29" t="e">
        <f>IF(C1492=1,IF(D1492="BUY",E1492+(ROUND(F1492*G1492/B1492,0)*B1492),E1492-(ROUND(F1492*G1492/B1492,0)*B1492)),IF(D1492="BUY",E1492-(ROUND(F1492*G1492/B1492,0)*B1492),E1492+(ROUND(F1492*G1492/B1492,0)*B1492)))</f>
        <v>#DIV/0!</v>
      </c>
      <c r="H1493" s="29" t="e">
        <f>IF(C1492=1,IF(D1492="BUY",G1493-(ROUND(F1492*H1492/B1492,0)*B1492),G1493+(ROUND(F1492*H1492/B1492,0)*B1492)),IF(D1492="BUY",G1493+(ROUND(F1492*H1492/B1492,0)*B1492),G1493-(ROUND(F1492*H1492/B1492,0)*B1492)))</f>
        <v>#DIV/0!</v>
      </c>
      <c r="I1493" s="29" t="e">
        <f>IF(D1492="BUY",G1493+(ROUND(F1492*I1492/(B1492*100),0)*B1492),G1493-(ROUND(F1492*I1492/(B1492*100),0)*B1492))</f>
        <v>#DIV/0!</v>
      </c>
      <c r="J1493" s="29" t="e">
        <f>IF(C1492=1,IF(D1492="BUY",E1492+(ROUND(F1492*J1492/B1492,0)*B1492),E1492-(ROUND(F1492*J1492/B1492,0)*B1492)),IF(D1492="BUY",E1492-(ROUND(F1492*J1492/B1492,0)*B1492),E1492+(ROUND(F1492*J1492/B1492,0)*B1492)))</f>
        <v>#DIV/0!</v>
      </c>
      <c r="K1493" s="29" t="e">
        <f>IF(C1492=1,IF(D1492="BUY",E1492-(ROUND(F1492*K1492/B1492,0)*B1492),E1492+(ROUND(F1492*K1492/B1492,0)*B1492)),IF(D1492="BUY",E1492-(ROUND(F1492*K1492/B1492,0)*B1492),E1492+(ROUND(F1492*K1492/B1492,0)*B1492)))</f>
        <v>#DIV/0!</v>
      </c>
      <c r="L1493" s="29" t="e">
        <f t="shared" ref="L1493" si="2234">IF(D1493="BUY",I1493+(R1493*B1493),I1493-(R1493*B1493))</f>
        <v>#DIV/0!</v>
      </c>
      <c r="M1493" s="29" t="e">
        <f>IF(D1492="BUY",E1492+(ROUND(F1492*M1492/B1492,0)*B1492),E1492-(ROUND(F1492*M1492/B1492,0)*B1492))</f>
        <v>#DIV/0!</v>
      </c>
      <c r="N1493" s="29" t="e">
        <f>IF(D1492="BUY",E1492-(ROUND(F1492*N1492/B1492,0)*B1492),E1492+(ROUND(F1492*N1492/B1492,0)*B1492))</f>
        <v>#DIV/0!</v>
      </c>
      <c r="O1493" s="31" t="e">
        <f>IF(D1493="BUY",N1493-VLOOKUP(A1493,Symbols!A$1:D$1000,4,FALSE),N1493+VLOOKUP(A1493,Symbols!A$1:D$1000,4,FALSE))</f>
        <v>#DIV/0!</v>
      </c>
      <c r="P1493" s="29">
        <f>P1492</f>
        <v>0</v>
      </c>
      <c r="Q1493" s="29">
        <f>Q1492</f>
        <v>0</v>
      </c>
      <c r="R1493" s="29">
        <f>R1492</f>
        <v>0</v>
      </c>
      <c r="S1493" s="29">
        <f>S1492</f>
        <v>0</v>
      </c>
      <c r="T1493" s="29">
        <f>T1492</f>
        <v>0</v>
      </c>
      <c r="U1493" s="29" t="e">
        <f>DATEDIF(DATE(1970,1,1),U1492,"D")*86400</f>
        <v>#NUM!</v>
      </c>
      <c r="V1493" s="29">
        <f>HOUR(V1492)*3600+MINUTE(V1492)*60+SECOND(V1492)</f>
        <v>0</v>
      </c>
      <c r="W1493" s="29" t="e">
        <f>DATEDIF(DATE(1970,1,1),W1492,"D")*86400</f>
        <v>#NUM!</v>
      </c>
      <c r="X1493" s="29">
        <f>HOUR(X1492)*3600+MINUTE(X1492)*60+SECOND(X1492)</f>
        <v>0</v>
      </c>
      <c r="Y1493" s="31">
        <f>(Y1492*B1493)</f>
        <v>0</v>
      </c>
      <c r="Z1493" s="29">
        <f>Z1492</f>
        <v>0</v>
      </c>
      <c r="AA1493" s="29" t="e">
        <f>DATEDIF(DATE(1970,1,1),AA1492,"D")*86400</f>
        <v>#NUM!</v>
      </c>
      <c r="AB1493" s="29">
        <f>HOUR(AB1492)*3600+MINUTE(AB1492)*60+SECOND(AB1492)</f>
        <v>0</v>
      </c>
      <c r="AC1493" s="29">
        <f>AC1492</f>
        <v>0</v>
      </c>
    </row>
    <row r="1494" spans="1:29">
      <c r="A1494" s="23">
        <f>Parameters!A748</f>
        <v>0</v>
      </c>
      <c r="B1494" s="23">
        <f>Parameters!B748</f>
        <v>0</v>
      </c>
      <c r="C1494" s="24">
        <f>Parameters!C748</f>
        <v>0</v>
      </c>
      <c r="D1494" s="24">
        <f>Parameters!D748</f>
        <v>0</v>
      </c>
      <c r="E1494" s="23">
        <f>Parameters!E748</f>
        <v>0</v>
      </c>
      <c r="F1494" s="23">
        <f>Parameters!F748</f>
        <v>0</v>
      </c>
      <c r="G1494" s="25">
        <f>Parameters!G748</f>
        <v>0</v>
      </c>
      <c r="H1494" s="25">
        <f>Parameters!H748</f>
        <v>0</v>
      </c>
      <c r="I1494" s="25">
        <f>Parameters!I748</f>
        <v>0</v>
      </c>
      <c r="J1494" s="25">
        <f>Parameters!J748</f>
        <v>0</v>
      </c>
      <c r="K1494" s="25">
        <f>Parameters!K748</f>
        <v>0</v>
      </c>
      <c r="L1494" s="26" t="e">
        <f t="shared" ref="L1494" si="2235">L1495</f>
        <v>#DIV/0!</v>
      </c>
      <c r="M1494" s="25">
        <f>Parameters!L748</f>
        <v>0</v>
      </c>
      <c r="N1494" s="25">
        <f>Parameters!M748</f>
        <v>0</v>
      </c>
      <c r="O1494" s="26" t="e">
        <f t="shared" ref="O1494" si="2236">O1495</f>
        <v>#DIV/0!</v>
      </c>
      <c r="P1494" s="23">
        <f>Parameters!N748</f>
        <v>0</v>
      </c>
      <c r="Q1494" s="23">
        <f>Parameters!O748</f>
        <v>0</v>
      </c>
      <c r="R1494" s="23">
        <f>Parameters!P748</f>
        <v>0</v>
      </c>
      <c r="S1494" s="23">
        <f>Parameters!Q748</f>
        <v>0</v>
      </c>
      <c r="T1494" s="23">
        <f>Parameters!R748</f>
        <v>0</v>
      </c>
      <c r="U1494" s="27">
        <f>Parameters!S748</f>
        <v>0</v>
      </c>
      <c r="V1494" s="28">
        <f>Parameters!T748</f>
        <v>0</v>
      </c>
      <c r="W1494" s="27">
        <f>Parameters!U748</f>
        <v>0</v>
      </c>
      <c r="X1494" s="28">
        <f>Parameters!V748</f>
        <v>0</v>
      </c>
      <c r="Y1494" s="25">
        <f>Parameters!W748</f>
        <v>0</v>
      </c>
      <c r="Z1494" s="23">
        <f>Parameters!X748</f>
        <v>0</v>
      </c>
      <c r="AA1494" s="27">
        <f>Parameters!Y748</f>
        <v>0</v>
      </c>
      <c r="AB1494" s="28">
        <f>Parameters!Z748</f>
        <v>0</v>
      </c>
      <c r="AC1494" s="23">
        <f>Parameters!AA748</f>
        <v>0</v>
      </c>
    </row>
    <row r="1495" spans="1:29">
      <c r="A1495" s="29" t="str">
        <f>UPPER(A1494)</f>
        <v>0</v>
      </c>
      <c r="B1495" s="29">
        <f>B1494</f>
        <v>0</v>
      </c>
      <c r="C1495" s="30">
        <f>C1494</f>
        <v>0</v>
      </c>
      <c r="D1495" s="30">
        <f>D1494</f>
        <v>0</v>
      </c>
      <c r="E1495" s="29">
        <f>E1494</f>
        <v>0</v>
      </c>
      <c r="F1495" s="29">
        <f>F1494</f>
        <v>0</v>
      </c>
      <c r="G1495" s="29" t="e">
        <f>IF(C1494=1,IF(D1494="BUY",E1494+(ROUND(F1494*G1494/B1494,0)*B1494),E1494-(ROUND(F1494*G1494/B1494,0)*B1494)),IF(D1494="BUY",E1494-(ROUND(F1494*G1494/B1494,0)*B1494),E1494+(ROUND(F1494*G1494/B1494,0)*B1494)))</f>
        <v>#DIV/0!</v>
      </c>
      <c r="H1495" s="29" t="e">
        <f>IF(C1494=1,IF(D1494="BUY",G1495-(ROUND(F1494*H1494/B1494,0)*B1494),G1495+(ROUND(F1494*H1494/B1494,0)*B1494)),IF(D1494="BUY",G1495+(ROUND(F1494*H1494/B1494,0)*B1494),G1495-(ROUND(F1494*H1494/B1494,0)*B1494)))</f>
        <v>#DIV/0!</v>
      </c>
      <c r="I1495" s="29" t="e">
        <f>IF(D1494="BUY",G1495+(ROUND(F1494*I1494/(B1494*100),0)*B1494),G1495-(ROUND(F1494*I1494/(B1494*100),0)*B1494))</f>
        <v>#DIV/0!</v>
      </c>
      <c r="J1495" s="29" t="e">
        <f>IF(C1494=1,IF(D1494="BUY",E1494+(ROUND(F1494*J1494/B1494,0)*B1494),E1494-(ROUND(F1494*J1494/B1494,0)*B1494)),IF(D1494="BUY",E1494-(ROUND(F1494*J1494/B1494,0)*B1494),E1494+(ROUND(F1494*J1494/B1494,0)*B1494)))</f>
        <v>#DIV/0!</v>
      </c>
      <c r="K1495" s="29" t="e">
        <f>IF(C1494=1,IF(D1494="BUY",E1494-(ROUND(F1494*K1494/B1494,0)*B1494),E1494+(ROUND(F1494*K1494/B1494,0)*B1494)),IF(D1494="BUY",E1494-(ROUND(F1494*K1494/B1494,0)*B1494),E1494+(ROUND(F1494*K1494/B1494,0)*B1494)))</f>
        <v>#DIV/0!</v>
      </c>
      <c r="L1495" s="29" t="e">
        <f t="shared" ref="L1495" si="2237">IF(D1495="BUY",I1495+(R1495*B1495),I1495-(R1495*B1495))</f>
        <v>#DIV/0!</v>
      </c>
      <c r="M1495" s="29" t="e">
        <f>IF(D1494="BUY",E1494+(ROUND(F1494*M1494/B1494,0)*B1494),E1494-(ROUND(F1494*M1494/B1494,0)*B1494))</f>
        <v>#DIV/0!</v>
      </c>
      <c r="N1495" s="29" t="e">
        <f>IF(D1494="BUY",E1494-(ROUND(F1494*N1494/B1494,0)*B1494),E1494+(ROUND(F1494*N1494/B1494,0)*B1494))</f>
        <v>#DIV/0!</v>
      </c>
      <c r="O1495" s="31" t="e">
        <f>IF(D1495="BUY",N1495-VLOOKUP(A1495,Symbols!A$1:D$1000,4,FALSE),N1495+VLOOKUP(A1495,Symbols!A$1:D$1000,4,FALSE))</f>
        <v>#DIV/0!</v>
      </c>
      <c r="P1495" s="29">
        <f>P1494</f>
        <v>0</v>
      </c>
      <c r="Q1495" s="29">
        <f>Q1494</f>
        <v>0</v>
      </c>
      <c r="R1495" s="29">
        <f>R1494</f>
        <v>0</v>
      </c>
      <c r="S1495" s="29">
        <f>S1494</f>
        <v>0</v>
      </c>
      <c r="T1495" s="29">
        <f>T1494</f>
        <v>0</v>
      </c>
      <c r="U1495" s="29" t="e">
        <f>DATEDIF(DATE(1970,1,1),U1494,"D")*86400</f>
        <v>#NUM!</v>
      </c>
      <c r="V1495" s="29">
        <f>HOUR(V1494)*3600+MINUTE(V1494)*60+SECOND(V1494)</f>
        <v>0</v>
      </c>
      <c r="W1495" s="29" t="e">
        <f>DATEDIF(DATE(1970,1,1),W1494,"D")*86400</f>
        <v>#NUM!</v>
      </c>
      <c r="X1495" s="29">
        <f>HOUR(X1494)*3600+MINUTE(X1494)*60+SECOND(X1494)</f>
        <v>0</v>
      </c>
      <c r="Y1495" s="31">
        <f>(Y1494*B1495)</f>
        <v>0</v>
      </c>
      <c r="Z1495" s="29">
        <f>Z1494</f>
        <v>0</v>
      </c>
      <c r="AA1495" s="29" t="e">
        <f>DATEDIF(DATE(1970,1,1),AA1494,"D")*86400</f>
        <v>#NUM!</v>
      </c>
      <c r="AB1495" s="29">
        <f>HOUR(AB1494)*3600+MINUTE(AB1494)*60+SECOND(AB1494)</f>
        <v>0</v>
      </c>
      <c r="AC1495" s="29">
        <f>AC1494</f>
        <v>0</v>
      </c>
    </row>
    <row r="1496" spans="1:29">
      <c r="A1496" s="23">
        <f>Parameters!A749</f>
        <v>0</v>
      </c>
      <c r="B1496" s="23">
        <f>Parameters!B749</f>
        <v>0</v>
      </c>
      <c r="C1496" s="24">
        <f>Parameters!C749</f>
        <v>0</v>
      </c>
      <c r="D1496" s="24">
        <f>Parameters!D749</f>
        <v>0</v>
      </c>
      <c r="E1496" s="23">
        <f>Parameters!E749</f>
        <v>0</v>
      </c>
      <c r="F1496" s="23">
        <f>Parameters!F749</f>
        <v>0</v>
      </c>
      <c r="G1496" s="25">
        <f>Parameters!G749</f>
        <v>0</v>
      </c>
      <c r="H1496" s="25">
        <f>Parameters!H749</f>
        <v>0</v>
      </c>
      <c r="I1496" s="25">
        <f>Parameters!I749</f>
        <v>0</v>
      </c>
      <c r="J1496" s="25">
        <f>Parameters!J749</f>
        <v>0</v>
      </c>
      <c r="K1496" s="25">
        <f>Parameters!K749</f>
        <v>0</v>
      </c>
      <c r="L1496" s="26" t="e">
        <f t="shared" ref="L1496" si="2238">L1497</f>
        <v>#DIV/0!</v>
      </c>
      <c r="M1496" s="25">
        <f>Parameters!L749</f>
        <v>0</v>
      </c>
      <c r="N1496" s="25">
        <f>Parameters!M749</f>
        <v>0</v>
      </c>
      <c r="O1496" s="26" t="e">
        <f t="shared" ref="O1496" si="2239">O1497</f>
        <v>#DIV/0!</v>
      </c>
      <c r="P1496" s="23">
        <f>Parameters!N749</f>
        <v>0</v>
      </c>
      <c r="Q1496" s="23">
        <f>Parameters!O749</f>
        <v>0</v>
      </c>
      <c r="R1496" s="23">
        <f>Parameters!P749</f>
        <v>0</v>
      </c>
      <c r="S1496" s="23">
        <f>Parameters!Q749</f>
        <v>0</v>
      </c>
      <c r="T1496" s="23">
        <f>Parameters!R749</f>
        <v>0</v>
      </c>
      <c r="U1496" s="27">
        <f>Parameters!S749</f>
        <v>0</v>
      </c>
      <c r="V1496" s="28">
        <f>Parameters!T749</f>
        <v>0</v>
      </c>
      <c r="W1496" s="27">
        <f>Parameters!U749</f>
        <v>0</v>
      </c>
      <c r="X1496" s="28">
        <f>Parameters!V749</f>
        <v>0</v>
      </c>
      <c r="Y1496" s="25">
        <f>Parameters!W749</f>
        <v>0</v>
      </c>
      <c r="Z1496" s="23">
        <f>Parameters!X749</f>
        <v>0</v>
      </c>
      <c r="AA1496" s="27">
        <f>Parameters!Y749</f>
        <v>0</v>
      </c>
      <c r="AB1496" s="28">
        <f>Parameters!Z749</f>
        <v>0</v>
      </c>
      <c r="AC1496" s="23">
        <f>Parameters!AA749</f>
        <v>0</v>
      </c>
    </row>
    <row r="1497" spans="1:29">
      <c r="A1497" s="29" t="str">
        <f>UPPER(A1496)</f>
        <v>0</v>
      </c>
      <c r="B1497" s="29">
        <f>B1496</f>
        <v>0</v>
      </c>
      <c r="C1497" s="30">
        <f>C1496</f>
        <v>0</v>
      </c>
      <c r="D1497" s="30">
        <f>D1496</f>
        <v>0</v>
      </c>
      <c r="E1497" s="29">
        <f>E1496</f>
        <v>0</v>
      </c>
      <c r="F1497" s="29">
        <f>F1496</f>
        <v>0</v>
      </c>
      <c r="G1497" s="29" t="e">
        <f>IF(C1496=1,IF(D1496="BUY",E1496+(ROUND(F1496*G1496/B1496,0)*B1496),E1496-(ROUND(F1496*G1496/B1496,0)*B1496)),IF(D1496="BUY",E1496-(ROUND(F1496*G1496/B1496,0)*B1496),E1496+(ROUND(F1496*G1496/B1496,0)*B1496)))</f>
        <v>#DIV/0!</v>
      </c>
      <c r="H1497" s="29" t="e">
        <f>IF(C1496=1,IF(D1496="BUY",G1497-(ROUND(F1496*H1496/B1496,0)*B1496),G1497+(ROUND(F1496*H1496/B1496,0)*B1496)),IF(D1496="BUY",G1497+(ROUND(F1496*H1496/B1496,0)*B1496),G1497-(ROUND(F1496*H1496/B1496,0)*B1496)))</f>
        <v>#DIV/0!</v>
      </c>
      <c r="I1497" s="29" t="e">
        <f>IF(D1496="BUY",G1497+(ROUND(F1496*I1496/(B1496*100),0)*B1496),G1497-(ROUND(F1496*I1496/(B1496*100),0)*B1496))</f>
        <v>#DIV/0!</v>
      </c>
      <c r="J1497" s="29" t="e">
        <f>IF(C1496=1,IF(D1496="BUY",E1496+(ROUND(F1496*J1496/B1496,0)*B1496),E1496-(ROUND(F1496*J1496/B1496,0)*B1496)),IF(D1496="BUY",E1496-(ROUND(F1496*J1496/B1496,0)*B1496),E1496+(ROUND(F1496*J1496/B1496,0)*B1496)))</f>
        <v>#DIV/0!</v>
      </c>
      <c r="K1497" s="29" t="e">
        <f>IF(C1496=1,IF(D1496="BUY",E1496-(ROUND(F1496*K1496/B1496,0)*B1496),E1496+(ROUND(F1496*K1496/B1496,0)*B1496)),IF(D1496="BUY",E1496-(ROUND(F1496*K1496/B1496,0)*B1496),E1496+(ROUND(F1496*K1496/B1496,0)*B1496)))</f>
        <v>#DIV/0!</v>
      </c>
      <c r="L1497" s="29" t="e">
        <f t="shared" ref="L1497" si="2240">IF(D1497="BUY",I1497+(R1497*B1497),I1497-(R1497*B1497))</f>
        <v>#DIV/0!</v>
      </c>
      <c r="M1497" s="29" t="e">
        <f>IF(D1496="BUY",E1496+(ROUND(F1496*M1496/B1496,0)*B1496),E1496-(ROUND(F1496*M1496/B1496,0)*B1496))</f>
        <v>#DIV/0!</v>
      </c>
      <c r="N1497" s="29" t="e">
        <f>IF(D1496="BUY",E1496-(ROUND(F1496*N1496/B1496,0)*B1496),E1496+(ROUND(F1496*N1496/B1496,0)*B1496))</f>
        <v>#DIV/0!</v>
      </c>
      <c r="O1497" s="31" t="e">
        <f>IF(D1497="BUY",N1497-VLOOKUP(A1497,Symbols!A$1:D$1000,4,FALSE),N1497+VLOOKUP(A1497,Symbols!A$1:D$1000,4,FALSE))</f>
        <v>#DIV/0!</v>
      </c>
      <c r="P1497" s="29">
        <f>P1496</f>
        <v>0</v>
      </c>
      <c r="Q1497" s="29">
        <f>Q1496</f>
        <v>0</v>
      </c>
      <c r="R1497" s="29">
        <f>R1496</f>
        <v>0</v>
      </c>
      <c r="S1497" s="29">
        <f>S1496</f>
        <v>0</v>
      </c>
      <c r="T1497" s="29">
        <f>T1496</f>
        <v>0</v>
      </c>
      <c r="U1497" s="29" t="e">
        <f>DATEDIF(DATE(1970,1,1),U1496,"D")*86400</f>
        <v>#NUM!</v>
      </c>
      <c r="V1497" s="29">
        <f>HOUR(V1496)*3600+MINUTE(V1496)*60+SECOND(V1496)</f>
        <v>0</v>
      </c>
      <c r="W1497" s="29" t="e">
        <f>DATEDIF(DATE(1970,1,1),W1496,"D")*86400</f>
        <v>#NUM!</v>
      </c>
      <c r="X1497" s="29">
        <f>HOUR(X1496)*3600+MINUTE(X1496)*60+SECOND(X1496)</f>
        <v>0</v>
      </c>
      <c r="Y1497" s="31">
        <f>(Y1496*B1497)</f>
        <v>0</v>
      </c>
      <c r="Z1497" s="29">
        <f>Z1496</f>
        <v>0</v>
      </c>
      <c r="AA1497" s="29" t="e">
        <f>DATEDIF(DATE(1970,1,1),AA1496,"D")*86400</f>
        <v>#NUM!</v>
      </c>
      <c r="AB1497" s="29">
        <f>HOUR(AB1496)*3600+MINUTE(AB1496)*60+SECOND(AB1496)</f>
        <v>0</v>
      </c>
      <c r="AC1497" s="29">
        <f>AC1496</f>
        <v>0</v>
      </c>
    </row>
    <row r="1498" spans="1:29">
      <c r="A1498" s="23">
        <f>Parameters!A750</f>
        <v>0</v>
      </c>
      <c r="B1498" s="23">
        <f>Parameters!B750</f>
        <v>0</v>
      </c>
      <c r="C1498" s="24">
        <f>Parameters!C750</f>
        <v>0</v>
      </c>
      <c r="D1498" s="24">
        <f>Parameters!D750</f>
        <v>0</v>
      </c>
      <c r="E1498" s="23">
        <f>Parameters!E750</f>
        <v>0</v>
      </c>
      <c r="F1498" s="23">
        <f>Parameters!F750</f>
        <v>0</v>
      </c>
      <c r="G1498" s="25">
        <f>Parameters!G750</f>
        <v>0</v>
      </c>
      <c r="H1498" s="25">
        <f>Parameters!H750</f>
        <v>0</v>
      </c>
      <c r="I1498" s="25">
        <f>Parameters!I750</f>
        <v>0</v>
      </c>
      <c r="J1498" s="25">
        <f>Parameters!J750</f>
        <v>0</v>
      </c>
      <c r="K1498" s="25">
        <f>Parameters!K750</f>
        <v>0</v>
      </c>
      <c r="L1498" s="26" t="e">
        <f t="shared" ref="L1498" si="2241">L1499</f>
        <v>#DIV/0!</v>
      </c>
      <c r="M1498" s="25">
        <f>Parameters!L750</f>
        <v>0</v>
      </c>
      <c r="N1498" s="25">
        <f>Parameters!M750</f>
        <v>0</v>
      </c>
      <c r="O1498" s="26" t="e">
        <f t="shared" ref="O1498" si="2242">O1499</f>
        <v>#DIV/0!</v>
      </c>
      <c r="P1498" s="23">
        <f>Parameters!N750</f>
        <v>0</v>
      </c>
      <c r="Q1498" s="23">
        <f>Parameters!O750</f>
        <v>0</v>
      </c>
      <c r="R1498" s="23">
        <f>Parameters!P750</f>
        <v>0</v>
      </c>
      <c r="S1498" s="23">
        <f>Parameters!Q750</f>
        <v>0</v>
      </c>
      <c r="T1498" s="23">
        <f>Parameters!R750</f>
        <v>0</v>
      </c>
      <c r="U1498" s="27">
        <f>Parameters!S750</f>
        <v>0</v>
      </c>
      <c r="V1498" s="28">
        <f>Parameters!T750</f>
        <v>0</v>
      </c>
      <c r="W1498" s="27">
        <f>Parameters!U750</f>
        <v>0</v>
      </c>
      <c r="X1498" s="28">
        <f>Parameters!V750</f>
        <v>0</v>
      </c>
      <c r="Y1498" s="25">
        <f>Parameters!W750</f>
        <v>0</v>
      </c>
      <c r="Z1498" s="23">
        <f>Parameters!X750</f>
        <v>0</v>
      </c>
      <c r="AA1498" s="27">
        <f>Parameters!Y750</f>
        <v>0</v>
      </c>
      <c r="AB1498" s="28">
        <f>Parameters!Z750</f>
        <v>0</v>
      </c>
      <c r="AC1498" s="23">
        <f>Parameters!AA750</f>
        <v>0</v>
      </c>
    </row>
    <row r="1499" spans="1:29">
      <c r="A1499" s="29" t="str">
        <f>UPPER(A1498)</f>
        <v>0</v>
      </c>
      <c r="B1499" s="29">
        <f>B1498</f>
        <v>0</v>
      </c>
      <c r="C1499" s="30">
        <f>C1498</f>
        <v>0</v>
      </c>
      <c r="D1499" s="30">
        <f>D1498</f>
        <v>0</v>
      </c>
      <c r="E1499" s="29">
        <f>E1498</f>
        <v>0</v>
      </c>
      <c r="F1499" s="29">
        <f>F1498</f>
        <v>0</v>
      </c>
      <c r="G1499" s="29" t="e">
        <f>IF(C1498=1,IF(D1498="BUY",E1498+(ROUND(F1498*G1498/B1498,0)*B1498),E1498-(ROUND(F1498*G1498/B1498,0)*B1498)),IF(D1498="BUY",E1498-(ROUND(F1498*G1498/B1498,0)*B1498),E1498+(ROUND(F1498*G1498/B1498,0)*B1498)))</f>
        <v>#DIV/0!</v>
      </c>
      <c r="H1499" s="29" t="e">
        <f>IF(C1498=1,IF(D1498="BUY",G1499-(ROUND(F1498*H1498/B1498,0)*B1498),G1499+(ROUND(F1498*H1498/B1498,0)*B1498)),IF(D1498="BUY",G1499+(ROUND(F1498*H1498/B1498,0)*B1498),G1499-(ROUND(F1498*H1498/B1498,0)*B1498)))</f>
        <v>#DIV/0!</v>
      </c>
      <c r="I1499" s="29" t="e">
        <f>IF(D1498="BUY",G1499+(ROUND(F1498*I1498/(B1498*100),0)*B1498),G1499-(ROUND(F1498*I1498/(B1498*100),0)*B1498))</f>
        <v>#DIV/0!</v>
      </c>
      <c r="J1499" s="29" t="e">
        <f>IF(C1498=1,IF(D1498="BUY",E1498+(ROUND(F1498*J1498/B1498,0)*B1498),E1498-(ROUND(F1498*J1498/B1498,0)*B1498)),IF(D1498="BUY",E1498-(ROUND(F1498*J1498/B1498,0)*B1498),E1498+(ROUND(F1498*J1498/B1498,0)*B1498)))</f>
        <v>#DIV/0!</v>
      </c>
      <c r="K1499" s="29" t="e">
        <f>IF(C1498=1,IF(D1498="BUY",E1498-(ROUND(F1498*K1498/B1498,0)*B1498),E1498+(ROUND(F1498*K1498/B1498,0)*B1498)),IF(D1498="BUY",E1498-(ROUND(F1498*K1498/B1498,0)*B1498),E1498+(ROUND(F1498*K1498/B1498,0)*B1498)))</f>
        <v>#DIV/0!</v>
      </c>
      <c r="L1499" s="29" t="e">
        <f t="shared" ref="L1499" si="2243">IF(D1499="BUY",I1499+(R1499*B1499),I1499-(R1499*B1499))</f>
        <v>#DIV/0!</v>
      </c>
      <c r="M1499" s="29" t="e">
        <f>IF(D1498="BUY",E1498+(ROUND(F1498*M1498/B1498,0)*B1498),E1498-(ROUND(F1498*M1498/B1498,0)*B1498))</f>
        <v>#DIV/0!</v>
      </c>
      <c r="N1499" s="29" t="e">
        <f>IF(D1498="BUY",E1498-(ROUND(F1498*N1498/B1498,0)*B1498),E1498+(ROUND(F1498*N1498/B1498,0)*B1498))</f>
        <v>#DIV/0!</v>
      </c>
      <c r="O1499" s="31" t="e">
        <f>IF(D1499="BUY",N1499-VLOOKUP(A1499,Symbols!A$1:D$1000,4,FALSE),N1499+VLOOKUP(A1499,Symbols!A$1:D$1000,4,FALSE))</f>
        <v>#DIV/0!</v>
      </c>
      <c r="P1499" s="29">
        <f>P1498</f>
        <v>0</v>
      </c>
      <c r="Q1499" s="29">
        <f>Q1498</f>
        <v>0</v>
      </c>
      <c r="R1499" s="29">
        <f>R1498</f>
        <v>0</v>
      </c>
      <c r="S1499" s="29">
        <f>S1498</f>
        <v>0</v>
      </c>
      <c r="T1499" s="29">
        <f>T1498</f>
        <v>0</v>
      </c>
      <c r="U1499" s="29" t="e">
        <f>DATEDIF(DATE(1970,1,1),U1498,"D")*86400</f>
        <v>#NUM!</v>
      </c>
      <c r="V1499" s="29">
        <f>HOUR(V1498)*3600+MINUTE(V1498)*60+SECOND(V1498)</f>
        <v>0</v>
      </c>
      <c r="W1499" s="29" t="e">
        <f>DATEDIF(DATE(1970,1,1),W1498,"D")*86400</f>
        <v>#NUM!</v>
      </c>
      <c r="X1499" s="29">
        <f>HOUR(X1498)*3600+MINUTE(X1498)*60+SECOND(X1498)</f>
        <v>0</v>
      </c>
      <c r="Y1499" s="31">
        <f>(Y1498*B1499)</f>
        <v>0</v>
      </c>
      <c r="Z1499" s="29">
        <f>Z1498</f>
        <v>0</v>
      </c>
      <c r="AA1499" s="29" t="e">
        <f>DATEDIF(DATE(1970,1,1),AA1498,"D")*86400</f>
        <v>#NUM!</v>
      </c>
      <c r="AB1499" s="29">
        <f>HOUR(AB1498)*3600+MINUTE(AB1498)*60+SECOND(AB1498)</f>
        <v>0</v>
      </c>
      <c r="AC1499" s="29">
        <f>AC1498</f>
        <v>0</v>
      </c>
    </row>
    <row r="1500" spans="1:29">
      <c r="A1500" s="23">
        <f>Parameters!A751</f>
        <v>0</v>
      </c>
      <c r="B1500" s="23">
        <f>Parameters!B751</f>
        <v>0</v>
      </c>
      <c r="C1500" s="24">
        <f>Parameters!C751</f>
        <v>0</v>
      </c>
      <c r="D1500" s="24">
        <f>Parameters!D751</f>
        <v>0</v>
      </c>
      <c r="E1500" s="23">
        <f>Parameters!E751</f>
        <v>0</v>
      </c>
      <c r="F1500" s="23">
        <f>Parameters!F751</f>
        <v>0</v>
      </c>
      <c r="G1500" s="25">
        <f>Parameters!G751</f>
        <v>0</v>
      </c>
      <c r="H1500" s="25">
        <f>Parameters!H751</f>
        <v>0</v>
      </c>
      <c r="I1500" s="25">
        <f>Parameters!I751</f>
        <v>0</v>
      </c>
      <c r="J1500" s="25">
        <f>Parameters!J751</f>
        <v>0</v>
      </c>
      <c r="K1500" s="25">
        <f>Parameters!K751</f>
        <v>0</v>
      </c>
      <c r="L1500" s="26" t="e">
        <f t="shared" ref="L1500" si="2244">L1501</f>
        <v>#DIV/0!</v>
      </c>
      <c r="M1500" s="25">
        <f>Parameters!L751</f>
        <v>0</v>
      </c>
      <c r="N1500" s="25">
        <f>Parameters!M751</f>
        <v>0</v>
      </c>
      <c r="O1500" s="26" t="e">
        <f t="shared" ref="O1500" si="2245">O1501</f>
        <v>#DIV/0!</v>
      </c>
      <c r="P1500" s="23">
        <f>Parameters!N751</f>
        <v>0</v>
      </c>
      <c r="Q1500" s="23">
        <f>Parameters!O751</f>
        <v>0</v>
      </c>
      <c r="R1500" s="23">
        <f>Parameters!P751</f>
        <v>0</v>
      </c>
      <c r="S1500" s="23">
        <f>Parameters!Q751</f>
        <v>0</v>
      </c>
      <c r="T1500" s="23">
        <f>Parameters!R751</f>
        <v>0</v>
      </c>
      <c r="U1500" s="27">
        <f>Parameters!S751</f>
        <v>0</v>
      </c>
      <c r="V1500" s="28">
        <f>Parameters!T751</f>
        <v>0</v>
      </c>
      <c r="W1500" s="27">
        <f>Parameters!U751</f>
        <v>0</v>
      </c>
      <c r="X1500" s="28">
        <f>Parameters!V751</f>
        <v>0</v>
      </c>
      <c r="Y1500" s="25">
        <f>Parameters!W751</f>
        <v>0</v>
      </c>
      <c r="Z1500" s="23">
        <f>Parameters!X751</f>
        <v>0</v>
      </c>
      <c r="AA1500" s="27">
        <f>Parameters!Y751</f>
        <v>0</v>
      </c>
      <c r="AB1500" s="28">
        <f>Parameters!Z751</f>
        <v>0</v>
      </c>
      <c r="AC1500" s="23">
        <f>Parameters!AA751</f>
        <v>0</v>
      </c>
    </row>
    <row r="1501" spans="1:29">
      <c r="A1501" s="29" t="str">
        <f>UPPER(A1500)</f>
        <v>0</v>
      </c>
      <c r="B1501" s="29">
        <f>B1500</f>
        <v>0</v>
      </c>
      <c r="C1501" s="30">
        <f>C1500</f>
        <v>0</v>
      </c>
      <c r="D1501" s="30">
        <f>D1500</f>
        <v>0</v>
      </c>
      <c r="E1501" s="29">
        <f>E1500</f>
        <v>0</v>
      </c>
      <c r="F1501" s="29">
        <f>F1500</f>
        <v>0</v>
      </c>
      <c r="G1501" s="29" t="e">
        <f>IF(C1500=1,IF(D1500="BUY",E1500+(ROUND(F1500*G1500/B1500,0)*B1500),E1500-(ROUND(F1500*G1500/B1500,0)*B1500)),IF(D1500="BUY",E1500-(ROUND(F1500*G1500/B1500,0)*B1500),E1500+(ROUND(F1500*G1500/B1500,0)*B1500)))</f>
        <v>#DIV/0!</v>
      </c>
      <c r="H1501" s="29" t="e">
        <f>IF(C1500=1,IF(D1500="BUY",G1501-(ROUND(F1500*H1500/B1500,0)*B1500),G1501+(ROUND(F1500*H1500/B1500,0)*B1500)),IF(D1500="BUY",G1501+(ROUND(F1500*H1500/B1500,0)*B1500),G1501-(ROUND(F1500*H1500/B1500,0)*B1500)))</f>
        <v>#DIV/0!</v>
      </c>
      <c r="I1501" s="29" t="e">
        <f>IF(D1500="BUY",G1501+(ROUND(F1500*I1500/(B1500*100),0)*B1500),G1501-(ROUND(F1500*I1500/(B1500*100),0)*B1500))</f>
        <v>#DIV/0!</v>
      </c>
      <c r="J1501" s="29" t="e">
        <f>IF(C1500=1,IF(D1500="BUY",E1500+(ROUND(F1500*J1500/B1500,0)*B1500),E1500-(ROUND(F1500*J1500/B1500,0)*B1500)),IF(D1500="BUY",E1500-(ROUND(F1500*J1500/B1500,0)*B1500),E1500+(ROUND(F1500*J1500/B1500,0)*B1500)))</f>
        <v>#DIV/0!</v>
      </c>
      <c r="K1501" s="29" t="e">
        <f>IF(C1500=1,IF(D1500="BUY",E1500-(ROUND(F1500*K1500/B1500,0)*B1500),E1500+(ROUND(F1500*K1500/B1500,0)*B1500)),IF(D1500="BUY",E1500-(ROUND(F1500*K1500/B1500,0)*B1500),E1500+(ROUND(F1500*K1500/B1500,0)*B1500)))</f>
        <v>#DIV/0!</v>
      </c>
      <c r="L1501" s="29" t="e">
        <f t="shared" ref="L1501" si="2246">IF(D1501="BUY",I1501+(R1501*B1501),I1501-(R1501*B1501))</f>
        <v>#DIV/0!</v>
      </c>
      <c r="M1501" s="29" t="e">
        <f>IF(D1500="BUY",E1500+(ROUND(F1500*M1500/B1500,0)*B1500),E1500-(ROUND(F1500*M1500/B1500,0)*B1500))</f>
        <v>#DIV/0!</v>
      </c>
      <c r="N1501" s="29" t="e">
        <f>IF(D1500="BUY",E1500-(ROUND(F1500*N1500/B1500,0)*B1500),E1500+(ROUND(F1500*N1500/B1500,0)*B1500))</f>
        <v>#DIV/0!</v>
      </c>
      <c r="O1501" s="31" t="e">
        <f>IF(D1501="BUY",N1501-VLOOKUP(A1501,Symbols!A$1:D$1000,4,FALSE),N1501+VLOOKUP(A1501,Symbols!A$1:D$1000,4,FALSE))</f>
        <v>#DIV/0!</v>
      </c>
      <c r="P1501" s="29">
        <f>P1500</f>
        <v>0</v>
      </c>
      <c r="Q1501" s="29">
        <f>Q1500</f>
        <v>0</v>
      </c>
      <c r="R1501" s="29">
        <f>R1500</f>
        <v>0</v>
      </c>
      <c r="S1501" s="29">
        <f>S1500</f>
        <v>0</v>
      </c>
      <c r="T1501" s="29">
        <f>T1500</f>
        <v>0</v>
      </c>
      <c r="U1501" s="29" t="e">
        <f>DATEDIF(DATE(1970,1,1),U1500,"D")*86400</f>
        <v>#NUM!</v>
      </c>
      <c r="V1501" s="29">
        <f>HOUR(V1500)*3600+MINUTE(V1500)*60+SECOND(V1500)</f>
        <v>0</v>
      </c>
      <c r="W1501" s="29" t="e">
        <f>DATEDIF(DATE(1970,1,1),W1500,"D")*86400</f>
        <v>#NUM!</v>
      </c>
      <c r="X1501" s="29">
        <f>HOUR(X1500)*3600+MINUTE(X1500)*60+SECOND(X1500)</f>
        <v>0</v>
      </c>
      <c r="Y1501" s="31">
        <f>(Y1500*B1501)</f>
        <v>0</v>
      </c>
      <c r="Z1501" s="29">
        <f>Z1500</f>
        <v>0</v>
      </c>
      <c r="AA1501" s="29" t="e">
        <f>DATEDIF(DATE(1970,1,1),AA1500,"D")*86400</f>
        <v>#NUM!</v>
      </c>
      <c r="AB1501" s="29">
        <f>HOUR(AB1500)*3600+MINUTE(AB1500)*60+SECOND(AB1500)</f>
        <v>0</v>
      </c>
      <c r="AC1501" s="29">
        <f>AC1500</f>
        <v>0</v>
      </c>
    </row>
    <row r="1502" spans="1:29">
      <c r="A1502" s="23">
        <f>Parameters!A752</f>
        <v>0</v>
      </c>
      <c r="B1502" s="23">
        <f>Parameters!B752</f>
        <v>0</v>
      </c>
      <c r="C1502" s="24">
        <f>Parameters!C752</f>
        <v>0</v>
      </c>
      <c r="D1502" s="24">
        <f>Parameters!D752</f>
        <v>0</v>
      </c>
      <c r="E1502" s="23">
        <f>Parameters!E752</f>
        <v>0</v>
      </c>
      <c r="F1502" s="23">
        <f>Parameters!F752</f>
        <v>0</v>
      </c>
      <c r="G1502" s="25">
        <f>Parameters!G752</f>
        <v>0</v>
      </c>
      <c r="H1502" s="25">
        <f>Parameters!H752</f>
        <v>0</v>
      </c>
      <c r="I1502" s="25">
        <f>Parameters!I752</f>
        <v>0</v>
      </c>
      <c r="J1502" s="25">
        <f>Parameters!J752</f>
        <v>0</v>
      </c>
      <c r="K1502" s="25">
        <f>Parameters!K752</f>
        <v>0</v>
      </c>
      <c r="L1502" s="26" t="e">
        <f t="shared" ref="L1502" si="2247">L1503</f>
        <v>#DIV/0!</v>
      </c>
      <c r="M1502" s="25">
        <f>Parameters!L752</f>
        <v>0</v>
      </c>
      <c r="N1502" s="25">
        <f>Parameters!M752</f>
        <v>0</v>
      </c>
      <c r="O1502" s="26" t="e">
        <f t="shared" ref="O1502" si="2248">O1503</f>
        <v>#DIV/0!</v>
      </c>
      <c r="P1502" s="23">
        <f>Parameters!N752</f>
        <v>0</v>
      </c>
      <c r="Q1502" s="23">
        <f>Parameters!O752</f>
        <v>0</v>
      </c>
      <c r="R1502" s="23">
        <f>Parameters!P752</f>
        <v>0</v>
      </c>
      <c r="S1502" s="23">
        <f>Parameters!Q752</f>
        <v>0</v>
      </c>
      <c r="T1502" s="23">
        <f>Parameters!R752</f>
        <v>0</v>
      </c>
      <c r="U1502" s="27">
        <f>Parameters!S752</f>
        <v>0</v>
      </c>
      <c r="V1502" s="28">
        <f>Parameters!T752</f>
        <v>0</v>
      </c>
      <c r="W1502" s="27">
        <f>Parameters!U752</f>
        <v>0</v>
      </c>
      <c r="X1502" s="28">
        <f>Parameters!V752</f>
        <v>0</v>
      </c>
      <c r="Y1502" s="25">
        <f>Parameters!W752</f>
        <v>0</v>
      </c>
      <c r="Z1502" s="23">
        <f>Parameters!X752</f>
        <v>0</v>
      </c>
      <c r="AA1502" s="27">
        <f>Parameters!Y752</f>
        <v>0</v>
      </c>
      <c r="AB1502" s="28">
        <f>Parameters!Z752</f>
        <v>0</v>
      </c>
      <c r="AC1502" s="23">
        <f>Parameters!AA752</f>
        <v>0</v>
      </c>
    </row>
    <row r="1503" spans="1:29">
      <c r="A1503" s="29" t="str">
        <f>UPPER(A1502)</f>
        <v>0</v>
      </c>
      <c r="B1503" s="29">
        <f>B1502</f>
        <v>0</v>
      </c>
      <c r="C1503" s="30">
        <f>C1502</f>
        <v>0</v>
      </c>
      <c r="D1503" s="30">
        <f>D1502</f>
        <v>0</v>
      </c>
      <c r="E1503" s="29">
        <f>E1502</f>
        <v>0</v>
      </c>
      <c r="F1503" s="29">
        <f>F1502</f>
        <v>0</v>
      </c>
      <c r="G1503" s="29" t="e">
        <f>IF(C1502=1,IF(D1502="BUY",E1502+(ROUND(F1502*G1502/B1502,0)*B1502),E1502-(ROUND(F1502*G1502/B1502,0)*B1502)),IF(D1502="BUY",E1502-(ROUND(F1502*G1502/B1502,0)*B1502),E1502+(ROUND(F1502*G1502/B1502,0)*B1502)))</f>
        <v>#DIV/0!</v>
      </c>
      <c r="H1503" s="29" t="e">
        <f>IF(C1502=1,IF(D1502="BUY",G1503-(ROUND(F1502*H1502/B1502,0)*B1502),G1503+(ROUND(F1502*H1502/B1502,0)*B1502)),IF(D1502="BUY",G1503+(ROUND(F1502*H1502/B1502,0)*B1502),G1503-(ROUND(F1502*H1502/B1502,0)*B1502)))</f>
        <v>#DIV/0!</v>
      </c>
      <c r="I1503" s="29" t="e">
        <f>IF(D1502="BUY",G1503+(ROUND(F1502*I1502/(B1502*100),0)*B1502),G1503-(ROUND(F1502*I1502/(B1502*100),0)*B1502))</f>
        <v>#DIV/0!</v>
      </c>
      <c r="J1503" s="29" t="e">
        <f>IF(C1502=1,IF(D1502="BUY",E1502+(ROUND(F1502*J1502/B1502,0)*B1502),E1502-(ROUND(F1502*J1502/B1502,0)*B1502)),IF(D1502="BUY",E1502-(ROUND(F1502*J1502/B1502,0)*B1502),E1502+(ROUND(F1502*J1502/B1502,0)*B1502)))</f>
        <v>#DIV/0!</v>
      </c>
      <c r="K1503" s="29" t="e">
        <f>IF(C1502=1,IF(D1502="BUY",E1502-(ROUND(F1502*K1502/B1502,0)*B1502),E1502+(ROUND(F1502*K1502/B1502,0)*B1502)),IF(D1502="BUY",E1502-(ROUND(F1502*K1502/B1502,0)*B1502),E1502+(ROUND(F1502*K1502/B1502,0)*B1502)))</f>
        <v>#DIV/0!</v>
      </c>
      <c r="L1503" s="29" t="e">
        <f t="shared" ref="L1503" si="2249">IF(D1503="BUY",I1503+(R1503*B1503),I1503-(R1503*B1503))</f>
        <v>#DIV/0!</v>
      </c>
      <c r="M1503" s="29" t="e">
        <f>IF(D1502="BUY",E1502+(ROUND(F1502*M1502/B1502,0)*B1502),E1502-(ROUND(F1502*M1502/B1502,0)*B1502))</f>
        <v>#DIV/0!</v>
      </c>
      <c r="N1503" s="29" t="e">
        <f>IF(D1502="BUY",E1502-(ROUND(F1502*N1502/B1502,0)*B1502),E1502+(ROUND(F1502*N1502/B1502,0)*B1502))</f>
        <v>#DIV/0!</v>
      </c>
      <c r="O1503" s="31" t="e">
        <f>IF(D1503="BUY",N1503-VLOOKUP(A1503,Symbols!A$1:D$1000,4,FALSE),N1503+VLOOKUP(A1503,Symbols!A$1:D$1000,4,FALSE))</f>
        <v>#DIV/0!</v>
      </c>
      <c r="P1503" s="29">
        <f>P1502</f>
        <v>0</v>
      </c>
      <c r="Q1503" s="29">
        <f>Q1502</f>
        <v>0</v>
      </c>
      <c r="R1503" s="29">
        <f>R1502</f>
        <v>0</v>
      </c>
      <c r="S1503" s="29">
        <f>S1502</f>
        <v>0</v>
      </c>
      <c r="T1503" s="29">
        <f>T1502</f>
        <v>0</v>
      </c>
      <c r="U1503" s="29" t="e">
        <f>DATEDIF(DATE(1970,1,1),U1502,"D")*86400</f>
        <v>#NUM!</v>
      </c>
      <c r="V1503" s="29">
        <f>HOUR(V1502)*3600+MINUTE(V1502)*60+SECOND(V1502)</f>
        <v>0</v>
      </c>
      <c r="W1503" s="29" t="e">
        <f>DATEDIF(DATE(1970,1,1),W1502,"D")*86400</f>
        <v>#NUM!</v>
      </c>
      <c r="X1503" s="29">
        <f>HOUR(X1502)*3600+MINUTE(X1502)*60+SECOND(X1502)</f>
        <v>0</v>
      </c>
      <c r="Y1503" s="31">
        <f>(Y1502*B1503)</f>
        <v>0</v>
      </c>
      <c r="Z1503" s="29">
        <f>Z1502</f>
        <v>0</v>
      </c>
      <c r="AA1503" s="29" t="e">
        <f>DATEDIF(DATE(1970,1,1),AA1502,"D")*86400</f>
        <v>#NUM!</v>
      </c>
      <c r="AB1503" s="29">
        <f>HOUR(AB1502)*3600+MINUTE(AB1502)*60+SECOND(AB1502)</f>
        <v>0</v>
      </c>
      <c r="AC1503" s="29">
        <f>AC1502</f>
        <v>0</v>
      </c>
    </row>
    <row r="1504" spans="1:29">
      <c r="A1504" s="23">
        <f>Parameters!A753</f>
        <v>0</v>
      </c>
      <c r="B1504" s="23">
        <f>Parameters!B753</f>
        <v>0</v>
      </c>
      <c r="C1504" s="24">
        <f>Parameters!C753</f>
        <v>0</v>
      </c>
      <c r="D1504" s="24">
        <f>Parameters!D753</f>
        <v>0</v>
      </c>
      <c r="E1504" s="23">
        <f>Parameters!E753</f>
        <v>0</v>
      </c>
      <c r="F1504" s="23">
        <f>Parameters!F753</f>
        <v>0</v>
      </c>
      <c r="G1504" s="25">
        <f>Parameters!G753</f>
        <v>0</v>
      </c>
      <c r="H1504" s="25">
        <f>Parameters!H753</f>
        <v>0</v>
      </c>
      <c r="I1504" s="25">
        <f>Parameters!I753</f>
        <v>0</v>
      </c>
      <c r="J1504" s="25">
        <f>Parameters!J753</f>
        <v>0</v>
      </c>
      <c r="K1504" s="25">
        <f>Parameters!K753</f>
        <v>0</v>
      </c>
      <c r="L1504" s="26" t="e">
        <f t="shared" ref="L1504" si="2250">L1505</f>
        <v>#DIV/0!</v>
      </c>
      <c r="M1504" s="25">
        <f>Parameters!L753</f>
        <v>0</v>
      </c>
      <c r="N1504" s="25">
        <f>Parameters!M753</f>
        <v>0</v>
      </c>
      <c r="O1504" s="26" t="e">
        <f t="shared" ref="O1504" si="2251">O1505</f>
        <v>#DIV/0!</v>
      </c>
      <c r="P1504" s="23">
        <f>Parameters!N753</f>
        <v>0</v>
      </c>
      <c r="Q1504" s="23">
        <f>Parameters!O753</f>
        <v>0</v>
      </c>
      <c r="R1504" s="23">
        <f>Parameters!P753</f>
        <v>0</v>
      </c>
      <c r="S1504" s="23">
        <f>Parameters!Q753</f>
        <v>0</v>
      </c>
      <c r="T1504" s="23">
        <f>Parameters!R753</f>
        <v>0</v>
      </c>
      <c r="U1504" s="27">
        <f>Parameters!S753</f>
        <v>0</v>
      </c>
      <c r="V1504" s="28">
        <f>Parameters!T753</f>
        <v>0</v>
      </c>
      <c r="W1504" s="27">
        <f>Parameters!U753</f>
        <v>0</v>
      </c>
      <c r="X1504" s="28">
        <f>Parameters!V753</f>
        <v>0</v>
      </c>
      <c r="Y1504" s="25">
        <f>Parameters!W753</f>
        <v>0</v>
      </c>
      <c r="Z1504" s="23">
        <f>Parameters!X753</f>
        <v>0</v>
      </c>
      <c r="AA1504" s="27">
        <f>Parameters!Y753</f>
        <v>0</v>
      </c>
      <c r="AB1504" s="28">
        <f>Parameters!Z753</f>
        <v>0</v>
      </c>
      <c r="AC1504" s="23">
        <f>Parameters!AA753</f>
        <v>0</v>
      </c>
    </row>
    <row r="1505" spans="1:29">
      <c r="A1505" s="29" t="str">
        <f>UPPER(A1504)</f>
        <v>0</v>
      </c>
      <c r="B1505" s="29">
        <f>B1504</f>
        <v>0</v>
      </c>
      <c r="C1505" s="30">
        <f>C1504</f>
        <v>0</v>
      </c>
      <c r="D1505" s="30">
        <f>D1504</f>
        <v>0</v>
      </c>
      <c r="E1505" s="29">
        <f>E1504</f>
        <v>0</v>
      </c>
      <c r="F1505" s="29">
        <f>F1504</f>
        <v>0</v>
      </c>
      <c r="G1505" s="29" t="e">
        <f>IF(C1504=1,IF(D1504="BUY",E1504+(ROUND(F1504*G1504/B1504,0)*B1504),E1504-(ROUND(F1504*G1504/B1504,0)*B1504)),IF(D1504="BUY",E1504-(ROUND(F1504*G1504/B1504,0)*B1504),E1504+(ROUND(F1504*G1504/B1504,0)*B1504)))</f>
        <v>#DIV/0!</v>
      </c>
      <c r="H1505" s="29" t="e">
        <f>IF(C1504=1,IF(D1504="BUY",G1505-(ROUND(F1504*H1504/B1504,0)*B1504),G1505+(ROUND(F1504*H1504/B1504,0)*B1504)),IF(D1504="BUY",G1505+(ROUND(F1504*H1504/B1504,0)*B1504),G1505-(ROUND(F1504*H1504/B1504,0)*B1504)))</f>
        <v>#DIV/0!</v>
      </c>
      <c r="I1505" s="29" t="e">
        <f>IF(D1504="BUY",G1505+(ROUND(F1504*I1504/(B1504*100),0)*B1504),G1505-(ROUND(F1504*I1504/(B1504*100),0)*B1504))</f>
        <v>#DIV/0!</v>
      </c>
      <c r="J1505" s="29" t="e">
        <f>IF(C1504=1,IF(D1504="BUY",E1504+(ROUND(F1504*J1504/B1504,0)*B1504),E1504-(ROUND(F1504*J1504/B1504,0)*B1504)),IF(D1504="BUY",E1504-(ROUND(F1504*J1504/B1504,0)*B1504),E1504+(ROUND(F1504*J1504/B1504,0)*B1504)))</f>
        <v>#DIV/0!</v>
      </c>
      <c r="K1505" s="29" t="e">
        <f>IF(C1504=1,IF(D1504="BUY",E1504-(ROUND(F1504*K1504/B1504,0)*B1504),E1504+(ROUND(F1504*K1504/B1504,0)*B1504)),IF(D1504="BUY",E1504-(ROUND(F1504*K1504/B1504,0)*B1504),E1504+(ROUND(F1504*K1504/B1504,0)*B1504)))</f>
        <v>#DIV/0!</v>
      </c>
      <c r="L1505" s="29" t="e">
        <f t="shared" ref="L1505" si="2252">IF(D1505="BUY",I1505+(R1505*B1505),I1505-(R1505*B1505))</f>
        <v>#DIV/0!</v>
      </c>
      <c r="M1505" s="29" t="e">
        <f>IF(D1504="BUY",E1504+(ROUND(F1504*M1504/B1504,0)*B1504),E1504-(ROUND(F1504*M1504/B1504,0)*B1504))</f>
        <v>#DIV/0!</v>
      </c>
      <c r="N1505" s="29" t="e">
        <f>IF(D1504="BUY",E1504-(ROUND(F1504*N1504/B1504,0)*B1504),E1504+(ROUND(F1504*N1504/B1504,0)*B1504))</f>
        <v>#DIV/0!</v>
      </c>
      <c r="O1505" s="31" t="e">
        <f>IF(D1505="BUY",N1505-VLOOKUP(A1505,Symbols!A$1:D$1000,4,FALSE),N1505+VLOOKUP(A1505,Symbols!A$1:D$1000,4,FALSE))</f>
        <v>#DIV/0!</v>
      </c>
      <c r="P1505" s="29">
        <f>P1504</f>
        <v>0</v>
      </c>
      <c r="Q1505" s="29">
        <f>Q1504</f>
        <v>0</v>
      </c>
      <c r="R1505" s="29">
        <f>R1504</f>
        <v>0</v>
      </c>
      <c r="S1505" s="29">
        <f>S1504</f>
        <v>0</v>
      </c>
      <c r="T1505" s="29">
        <f>T1504</f>
        <v>0</v>
      </c>
      <c r="U1505" s="29" t="e">
        <f>DATEDIF(DATE(1970,1,1),U1504,"D")*86400</f>
        <v>#NUM!</v>
      </c>
      <c r="V1505" s="29">
        <f>HOUR(V1504)*3600+MINUTE(V1504)*60+SECOND(V1504)</f>
        <v>0</v>
      </c>
      <c r="W1505" s="29" t="e">
        <f>DATEDIF(DATE(1970,1,1),W1504,"D")*86400</f>
        <v>#NUM!</v>
      </c>
      <c r="X1505" s="29">
        <f>HOUR(X1504)*3600+MINUTE(X1504)*60+SECOND(X1504)</f>
        <v>0</v>
      </c>
      <c r="Y1505" s="31">
        <f>(Y1504*B1505)</f>
        <v>0</v>
      </c>
      <c r="Z1505" s="29">
        <f>Z1504</f>
        <v>0</v>
      </c>
      <c r="AA1505" s="29" t="e">
        <f>DATEDIF(DATE(1970,1,1),AA1504,"D")*86400</f>
        <v>#NUM!</v>
      </c>
      <c r="AB1505" s="29">
        <f>HOUR(AB1504)*3600+MINUTE(AB1504)*60+SECOND(AB1504)</f>
        <v>0</v>
      </c>
      <c r="AC1505" s="29">
        <f>AC1504</f>
        <v>0</v>
      </c>
    </row>
    <row r="1506" spans="1:29">
      <c r="A1506" s="23">
        <f>Parameters!A754</f>
        <v>0</v>
      </c>
      <c r="B1506" s="23">
        <f>Parameters!B754</f>
        <v>0</v>
      </c>
      <c r="C1506" s="24">
        <f>Parameters!C754</f>
        <v>0</v>
      </c>
      <c r="D1506" s="24">
        <f>Parameters!D754</f>
        <v>0</v>
      </c>
      <c r="E1506" s="23">
        <f>Parameters!E754</f>
        <v>0</v>
      </c>
      <c r="F1506" s="23">
        <f>Parameters!F754</f>
        <v>0</v>
      </c>
      <c r="G1506" s="25">
        <f>Parameters!G754</f>
        <v>0</v>
      </c>
      <c r="H1506" s="25">
        <f>Parameters!H754</f>
        <v>0</v>
      </c>
      <c r="I1506" s="25">
        <f>Parameters!I754</f>
        <v>0</v>
      </c>
      <c r="J1506" s="25">
        <f>Parameters!J754</f>
        <v>0</v>
      </c>
      <c r="K1506" s="25">
        <f>Parameters!K754</f>
        <v>0</v>
      </c>
      <c r="L1506" s="26" t="e">
        <f t="shared" ref="L1506" si="2253">L1507</f>
        <v>#DIV/0!</v>
      </c>
      <c r="M1506" s="25">
        <f>Parameters!L754</f>
        <v>0</v>
      </c>
      <c r="N1506" s="25">
        <f>Parameters!M754</f>
        <v>0</v>
      </c>
      <c r="O1506" s="26" t="e">
        <f t="shared" ref="O1506" si="2254">O1507</f>
        <v>#DIV/0!</v>
      </c>
      <c r="P1506" s="23">
        <f>Parameters!N754</f>
        <v>0</v>
      </c>
      <c r="Q1506" s="23">
        <f>Parameters!O754</f>
        <v>0</v>
      </c>
      <c r="R1506" s="23">
        <f>Parameters!P754</f>
        <v>0</v>
      </c>
      <c r="S1506" s="23">
        <f>Parameters!Q754</f>
        <v>0</v>
      </c>
      <c r="T1506" s="23">
        <f>Parameters!R754</f>
        <v>0</v>
      </c>
      <c r="U1506" s="27">
        <f>Parameters!S754</f>
        <v>0</v>
      </c>
      <c r="V1506" s="28">
        <f>Parameters!T754</f>
        <v>0</v>
      </c>
      <c r="W1506" s="27">
        <f>Parameters!U754</f>
        <v>0</v>
      </c>
      <c r="X1506" s="28">
        <f>Parameters!V754</f>
        <v>0</v>
      </c>
      <c r="Y1506" s="25">
        <f>Parameters!W754</f>
        <v>0</v>
      </c>
      <c r="Z1506" s="23">
        <f>Parameters!X754</f>
        <v>0</v>
      </c>
      <c r="AA1506" s="27">
        <f>Parameters!Y754</f>
        <v>0</v>
      </c>
      <c r="AB1506" s="28">
        <f>Parameters!Z754</f>
        <v>0</v>
      </c>
      <c r="AC1506" s="23">
        <f>Parameters!AA754</f>
        <v>0</v>
      </c>
    </row>
    <row r="1507" spans="1:29">
      <c r="A1507" s="29" t="str">
        <f>UPPER(A1506)</f>
        <v>0</v>
      </c>
      <c r="B1507" s="29">
        <f>B1506</f>
        <v>0</v>
      </c>
      <c r="C1507" s="30">
        <f>C1506</f>
        <v>0</v>
      </c>
      <c r="D1507" s="30">
        <f>D1506</f>
        <v>0</v>
      </c>
      <c r="E1507" s="29">
        <f>E1506</f>
        <v>0</v>
      </c>
      <c r="F1507" s="29">
        <f>F1506</f>
        <v>0</v>
      </c>
      <c r="G1507" s="29" t="e">
        <f>IF(C1506=1,IF(D1506="BUY",E1506+(ROUND(F1506*G1506/B1506,0)*B1506),E1506-(ROUND(F1506*G1506/B1506,0)*B1506)),IF(D1506="BUY",E1506-(ROUND(F1506*G1506/B1506,0)*B1506),E1506+(ROUND(F1506*G1506/B1506,0)*B1506)))</f>
        <v>#DIV/0!</v>
      </c>
      <c r="H1507" s="29" t="e">
        <f>IF(C1506=1,IF(D1506="BUY",G1507-(ROUND(F1506*H1506/B1506,0)*B1506),G1507+(ROUND(F1506*H1506/B1506,0)*B1506)),IF(D1506="BUY",G1507+(ROUND(F1506*H1506/B1506,0)*B1506),G1507-(ROUND(F1506*H1506/B1506,0)*B1506)))</f>
        <v>#DIV/0!</v>
      </c>
      <c r="I1507" s="29" t="e">
        <f>IF(D1506="BUY",G1507+(ROUND(F1506*I1506/(B1506*100),0)*B1506),G1507-(ROUND(F1506*I1506/(B1506*100),0)*B1506))</f>
        <v>#DIV/0!</v>
      </c>
      <c r="J1507" s="29" t="e">
        <f>IF(C1506=1,IF(D1506="BUY",E1506+(ROUND(F1506*J1506/B1506,0)*B1506),E1506-(ROUND(F1506*J1506/B1506,0)*B1506)),IF(D1506="BUY",E1506-(ROUND(F1506*J1506/B1506,0)*B1506),E1506+(ROUND(F1506*J1506/B1506,0)*B1506)))</f>
        <v>#DIV/0!</v>
      </c>
      <c r="K1507" s="29" t="e">
        <f>IF(C1506=1,IF(D1506="BUY",E1506-(ROUND(F1506*K1506/B1506,0)*B1506),E1506+(ROUND(F1506*K1506/B1506,0)*B1506)),IF(D1506="BUY",E1506-(ROUND(F1506*K1506/B1506,0)*B1506),E1506+(ROUND(F1506*K1506/B1506,0)*B1506)))</f>
        <v>#DIV/0!</v>
      </c>
      <c r="L1507" s="29" t="e">
        <f t="shared" ref="L1507" si="2255">IF(D1507="BUY",I1507+(R1507*B1507),I1507-(R1507*B1507))</f>
        <v>#DIV/0!</v>
      </c>
      <c r="M1507" s="29" t="e">
        <f>IF(D1506="BUY",E1506+(ROUND(F1506*M1506/B1506,0)*B1506),E1506-(ROUND(F1506*M1506/B1506,0)*B1506))</f>
        <v>#DIV/0!</v>
      </c>
      <c r="N1507" s="29" t="e">
        <f>IF(D1506="BUY",E1506-(ROUND(F1506*N1506/B1506,0)*B1506),E1506+(ROUND(F1506*N1506/B1506,0)*B1506))</f>
        <v>#DIV/0!</v>
      </c>
      <c r="O1507" s="31" t="e">
        <f>IF(D1507="BUY",N1507-VLOOKUP(A1507,Symbols!A$1:D$1000,4,FALSE),N1507+VLOOKUP(A1507,Symbols!A$1:D$1000,4,FALSE))</f>
        <v>#DIV/0!</v>
      </c>
      <c r="P1507" s="29">
        <f>P1506</f>
        <v>0</v>
      </c>
      <c r="Q1507" s="29">
        <f>Q1506</f>
        <v>0</v>
      </c>
      <c r="R1507" s="29">
        <f>R1506</f>
        <v>0</v>
      </c>
      <c r="S1507" s="29">
        <f>S1506</f>
        <v>0</v>
      </c>
      <c r="T1507" s="29">
        <f>T1506</f>
        <v>0</v>
      </c>
      <c r="U1507" s="29" t="e">
        <f>DATEDIF(DATE(1970,1,1),U1506,"D")*86400</f>
        <v>#NUM!</v>
      </c>
      <c r="V1507" s="29">
        <f>HOUR(V1506)*3600+MINUTE(V1506)*60+SECOND(V1506)</f>
        <v>0</v>
      </c>
      <c r="W1507" s="29" t="e">
        <f>DATEDIF(DATE(1970,1,1),W1506,"D")*86400</f>
        <v>#NUM!</v>
      </c>
      <c r="X1507" s="29">
        <f>HOUR(X1506)*3600+MINUTE(X1506)*60+SECOND(X1506)</f>
        <v>0</v>
      </c>
      <c r="Y1507" s="31">
        <f>(Y1506*B1507)</f>
        <v>0</v>
      </c>
      <c r="Z1507" s="29">
        <f>Z1506</f>
        <v>0</v>
      </c>
      <c r="AA1507" s="29" t="e">
        <f>DATEDIF(DATE(1970,1,1),AA1506,"D")*86400</f>
        <v>#NUM!</v>
      </c>
      <c r="AB1507" s="29">
        <f>HOUR(AB1506)*3600+MINUTE(AB1506)*60+SECOND(AB1506)</f>
        <v>0</v>
      </c>
      <c r="AC1507" s="29">
        <f>AC1506</f>
        <v>0</v>
      </c>
    </row>
    <row r="1508" spans="1:29">
      <c r="A1508" s="23">
        <f>Parameters!A755</f>
        <v>0</v>
      </c>
      <c r="B1508" s="23">
        <f>Parameters!B755</f>
        <v>0</v>
      </c>
      <c r="C1508" s="24">
        <f>Parameters!C755</f>
        <v>0</v>
      </c>
      <c r="D1508" s="24">
        <f>Parameters!D755</f>
        <v>0</v>
      </c>
      <c r="E1508" s="23">
        <f>Parameters!E755</f>
        <v>0</v>
      </c>
      <c r="F1508" s="23">
        <f>Parameters!F755</f>
        <v>0</v>
      </c>
      <c r="G1508" s="25">
        <f>Parameters!G755</f>
        <v>0</v>
      </c>
      <c r="H1508" s="25">
        <f>Parameters!H755</f>
        <v>0</v>
      </c>
      <c r="I1508" s="25">
        <f>Parameters!I755</f>
        <v>0</v>
      </c>
      <c r="J1508" s="25">
        <f>Parameters!J755</f>
        <v>0</v>
      </c>
      <c r="K1508" s="25">
        <f>Parameters!K755</f>
        <v>0</v>
      </c>
      <c r="L1508" s="26" t="e">
        <f t="shared" ref="L1508" si="2256">L1509</f>
        <v>#DIV/0!</v>
      </c>
      <c r="M1508" s="25">
        <f>Parameters!L755</f>
        <v>0</v>
      </c>
      <c r="N1508" s="25">
        <f>Parameters!M755</f>
        <v>0</v>
      </c>
      <c r="O1508" s="26" t="e">
        <f t="shared" ref="O1508" si="2257">O1509</f>
        <v>#DIV/0!</v>
      </c>
      <c r="P1508" s="23">
        <f>Parameters!N755</f>
        <v>0</v>
      </c>
      <c r="Q1508" s="23">
        <f>Parameters!O755</f>
        <v>0</v>
      </c>
      <c r="R1508" s="23">
        <f>Parameters!P755</f>
        <v>0</v>
      </c>
      <c r="S1508" s="23">
        <f>Parameters!Q755</f>
        <v>0</v>
      </c>
      <c r="T1508" s="23">
        <f>Parameters!R755</f>
        <v>0</v>
      </c>
      <c r="U1508" s="27">
        <f>Parameters!S755</f>
        <v>0</v>
      </c>
      <c r="V1508" s="28">
        <f>Parameters!T755</f>
        <v>0</v>
      </c>
      <c r="W1508" s="27">
        <f>Parameters!U755</f>
        <v>0</v>
      </c>
      <c r="X1508" s="28">
        <f>Parameters!V755</f>
        <v>0</v>
      </c>
      <c r="Y1508" s="25">
        <f>Parameters!W755</f>
        <v>0</v>
      </c>
      <c r="Z1508" s="23">
        <f>Parameters!X755</f>
        <v>0</v>
      </c>
      <c r="AA1508" s="27">
        <f>Parameters!Y755</f>
        <v>0</v>
      </c>
      <c r="AB1508" s="28">
        <f>Parameters!Z755</f>
        <v>0</v>
      </c>
      <c r="AC1508" s="23">
        <f>Parameters!AA755</f>
        <v>0</v>
      </c>
    </row>
    <row r="1509" spans="1:29">
      <c r="A1509" s="29" t="str">
        <f>UPPER(A1508)</f>
        <v>0</v>
      </c>
      <c r="B1509" s="29">
        <f>B1508</f>
        <v>0</v>
      </c>
      <c r="C1509" s="30">
        <f>C1508</f>
        <v>0</v>
      </c>
      <c r="D1509" s="30">
        <f>D1508</f>
        <v>0</v>
      </c>
      <c r="E1509" s="29">
        <f>E1508</f>
        <v>0</v>
      </c>
      <c r="F1509" s="29">
        <f>F1508</f>
        <v>0</v>
      </c>
      <c r="G1509" s="29" t="e">
        <f>IF(C1508=1,IF(D1508="BUY",E1508+(ROUND(F1508*G1508/B1508,0)*B1508),E1508-(ROUND(F1508*G1508/B1508,0)*B1508)),IF(D1508="BUY",E1508-(ROUND(F1508*G1508/B1508,0)*B1508),E1508+(ROUND(F1508*G1508/B1508,0)*B1508)))</f>
        <v>#DIV/0!</v>
      </c>
      <c r="H1509" s="29" t="e">
        <f>IF(C1508=1,IF(D1508="BUY",G1509-(ROUND(F1508*H1508/B1508,0)*B1508),G1509+(ROUND(F1508*H1508/B1508,0)*B1508)),IF(D1508="BUY",G1509+(ROUND(F1508*H1508/B1508,0)*B1508),G1509-(ROUND(F1508*H1508/B1508,0)*B1508)))</f>
        <v>#DIV/0!</v>
      </c>
      <c r="I1509" s="29" t="e">
        <f>IF(D1508="BUY",G1509+(ROUND(F1508*I1508/(B1508*100),0)*B1508),G1509-(ROUND(F1508*I1508/(B1508*100),0)*B1508))</f>
        <v>#DIV/0!</v>
      </c>
      <c r="J1509" s="29" t="e">
        <f>IF(C1508=1,IF(D1508="BUY",E1508+(ROUND(F1508*J1508/B1508,0)*B1508),E1508-(ROUND(F1508*J1508/B1508,0)*B1508)),IF(D1508="BUY",E1508-(ROUND(F1508*J1508/B1508,0)*B1508),E1508+(ROUND(F1508*J1508/B1508,0)*B1508)))</f>
        <v>#DIV/0!</v>
      </c>
      <c r="K1509" s="29" t="e">
        <f>IF(C1508=1,IF(D1508="BUY",E1508-(ROUND(F1508*K1508/B1508,0)*B1508),E1508+(ROUND(F1508*K1508/B1508,0)*B1508)),IF(D1508="BUY",E1508-(ROUND(F1508*K1508/B1508,0)*B1508),E1508+(ROUND(F1508*K1508/B1508,0)*B1508)))</f>
        <v>#DIV/0!</v>
      </c>
      <c r="L1509" s="29" t="e">
        <f t="shared" ref="L1509" si="2258">IF(D1509="BUY",I1509+(R1509*B1509),I1509-(R1509*B1509))</f>
        <v>#DIV/0!</v>
      </c>
      <c r="M1509" s="29" t="e">
        <f>IF(D1508="BUY",E1508+(ROUND(F1508*M1508/B1508,0)*B1508),E1508-(ROUND(F1508*M1508/B1508,0)*B1508))</f>
        <v>#DIV/0!</v>
      </c>
      <c r="N1509" s="29" t="e">
        <f>IF(D1508="BUY",E1508-(ROUND(F1508*N1508/B1508,0)*B1508),E1508+(ROUND(F1508*N1508/B1508,0)*B1508))</f>
        <v>#DIV/0!</v>
      </c>
      <c r="O1509" s="31" t="e">
        <f>IF(D1509="BUY",N1509-VLOOKUP(A1509,Symbols!A$1:D$1000,4,FALSE),N1509+VLOOKUP(A1509,Symbols!A$1:D$1000,4,FALSE))</f>
        <v>#DIV/0!</v>
      </c>
      <c r="P1509" s="29">
        <f>P1508</f>
        <v>0</v>
      </c>
      <c r="Q1509" s="29">
        <f>Q1508</f>
        <v>0</v>
      </c>
      <c r="R1509" s="29">
        <f>R1508</f>
        <v>0</v>
      </c>
      <c r="S1509" s="29">
        <f>S1508</f>
        <v>0</v>
      </c>
      <c r="T1509" s="29">
        <f>T1508</f>
        <v>0</v>
      </c>
      <c r="U1509" s="29" t="e">
        <f>DATEDIF(DATE(1970,1,1),U1508,"D")*86400</f>
        <v>#NUM!</v>
      </c>
      <c r="V1509" s="29">
        <f>HOUR(V1508)*3600+MINUTE(V1508)*60+SECOND(V1508)</f>
        <v>0</v>
      </c>
      <c r="W1509" s="29" t="e">
        <f>DATEDIF(DATE(1970,1,1),W1508,"D")*86400</f>
        <v>#NUM!</v>
      </c>
      <c r="X1509" s="29">
        <f>HOUR(X1508)*3600+MINUTE(X1508)*60+SECOND(X1508)</f>
        <v>0</v>
      </c>
      <c r="Y1509" s="31">
        <f>(Y1508*B1509)</f>
        <v>0</v>
      </c>
      <c r="Z1509" s="29">
        <f>Z1508</f>
        <v>0</v>
      </c>
      <c r="AA1509" s="29" t="e">
        <f>DATEDIF(DATE(1970,1,1),AA1508,"D")*86400</f>
        <v>#NUM!</v>
      </c>
      <c r="AB1509" s="29">
        <f>HOUR(AB1508)*3600+MINUTE(AB1508)*60+SECOND(AB1508)</f>
        <v>0</v>
      </c>
      <c r="AC1509" s="29">
        <f>AC1508</f>
        <v>0</v>
      </c>
    </row>
    <row r="1510" spans="1:29">
      <c r="A1510" s="23">
        <f>Parameters!A756</f>
        <v>0</v>
      </c>
      <c r="B1510" s="23">
        <f>Parameters!B756</f>
        <v>0</v>
      </c>
      <c r="C1510" s="24">
        <f>Parameters!C756</f>
        <v>0</v>
      </c>
      <c r="D1510" s="24">
        <f>Parameters!D756</f>
        <v>0</v>
      </c>
      <c r="E1510" s="23">
        <f>Parameters!E756</f>
        <v>0</v>
      </c>
      <c r="F1510" s="23">
        <f>Parameters!F756</f>
        <v>0</v>
      </c>
      <c r="G1510" s="25">
        <f>Parameters!G756</f>
        <v>0</v>
      </c>
      <c r="H1510" s="25">
        <f>Parameters!H756</f>
        <v>0</v>
      </c>
      <c r="I1510" s="25">
        <f>Parameters!I756</f>
        <v>0</v>
      </c>
      <c r="J1510" s="25">
        <f>Parameters!J756</f>
        <v>0</v>
      </c>
      <c r="K1510" s="25">
        <f>Parameters!K756</f>
        <v>0</v>
      </c>
      <c r="L1510" s="26" t="e">
        <f t="shared" ref="L1510" si="2259">L1511</f>
        <v>#DIV/0!</v>
      </c>
      <c r="M1510" s="25">
        <f>Parameters!L756</f>
        <v>0</v>
      </c>
      <c r="N1510" s="25">
        <f>Parameters!M756</f>
        <v>0</v>
      </c>
      <c r="O1510" s="26" t="e">
        <f t="shared" ref="O1510" si="2260">O1511</f>
        <v>#DIV/0!</v>
      </c>
      <c r="P1510" s="23">
        <f>Parameters!N756</f>
        <v>0</v>
      </c>
      <c r="Q1510" s="23">
        <f>Parameters!O756</f>
        <v>0</v>
      </c>
      <c r="R1510" s="23">
        <f>Parameters!P756</f>
        <v>0</v>
      </c>
      <c r="S1510" s="23">
        <f>Parameters!Q756</f>
        <v>0</v>
      </c>
      <c r="T1510" s="23">
        <f>Parameters!R756</f>
        <v>0</v>
      </c>
      <c r="U1510" s="27">
        <f>Parameters!S756</f>
        <v>0</v>
      </c>
      <c r="V1510" s="28">
        <f>Parameters!T756</f>
        <v>0</v>
      </c>
      <c r="W1510" s="27">
        <f>Parameters!U756</f>
        <v>0</v>
      </c>
      <c r="X1510" s="28">
        <f>Parameters!V756</f>
        <v>0</v>
      </c>
      <c r="Y1510" s="25">
        <f>Parameters!W756</f>
        <v>0</v>
      </c>
      <c r="Z1510" s="23">
        <f>Parameters!X756</f>
        <v>0</v>
      </c>
      <c r="AA1510" s="27">
        <f>Parameters!Y756</f>
        <v>0</v>
      </c>
      <c r="AB1510" s="28">
        <f>Parameters!Z756</f>
        <v>0</v>
      </c>
      <c r="AC1510" s="23">
        <f>Parameters!AA756</f>
        <v>0</v>
      </c>
    </row>
    <row r="1511" spans="1:29">
      <c r="A1511" s="29" t="str">
        <f>UPPER(A1510)</f>
        <v>0</v>
      </c>
      <c r="B1511" s="29">
        <f>B1510</f>
        <v>0</v>
      </c>
      <c r="C1511" s="30">
        <f>C1510</f>
        <v>0</v>
      </c>
      <c r="D1511" s="30">
        <f>D1510</f>
        <v>0</v>
      </c>
      <c r="E1511" s="29">
        <f>E1510</f>
        <v>0</v>
      </c>
      <c r="F1511" s="29">
        <f>F1510</f>
        <v>0</v>
      </c>
      <c r="G1511" s="29" t="e">
        <f>IF(C1510=1,IF(D1510="BUY",E1510+(ROUND(F1510*G1510/B1510,0)*B1510),E1510-(ROUND(F1510*G1510/B1510,0)*B1510)),IF(D1510="BUY",E1510-(ROUND(F1510*G1510/B1510,0)*B1510),E1510+(ROUND(F1510*G1510/B1510,0)*B1510)))</f>
        <v>#DIV/0!</v>
      </c>
      <c r="H1511" s="29" t="e">
        <f>IF(C1510=1,IF(D1510="BUY",G1511-(ROUND(F1510*H1510/B1510,0)*B1510),G1511+(ROUND(F1510*H1510/B1510,0)*B1510)),IF(D1510="BUY",G1511+(ROUND(F1510*H1510/B1510,0)*B1510),G1511-(ROUND(F1510*H1510/B1510,0)*B1510)))</f>
        <v>#DIV/0!</v>
      </c>
      <c r="I1511" s="29" t="e">
        <f>IF(D1510="BUY",G1511+(ROUND(F1510*I1510/(B1510*100),0)*B1510),G1511-(ROUND(F1510*I1510/(B1510*100),0)*B1510))</f>
        <v>#DIV/0!</v>
      </c>
      <c r="J1511" s="29" t="e">
        <f>IF(C1510=1,IF(D1510="BUY",E1510+(ROUND(F1510*J1510/B1510,0)*B1510),E1510-(ROUND(F1510*J1510/B1510,0)*B1510)),IF(D1510="BUY",E1510-(ROUND(F1510*J1510/B1510,0)*B1510),E1510+(ROUND(F1510*J1510/B1510,0)*B1510)))</f>
        <v>#DIV/0!</v>
      </c>
      <c r="K1511" s="29" t="e">
        <f>IF(C1510=1,IF(D1510="BUY",E1510-(ROUND(F1510*K1510/B1510,0)*B1510),E1510+(ROUND(F1510*K1510/B1510,0)*B1510)),IF(D1510="BUY",E1510-(ROUND(F1510*K1510/B1510,0)*B1510),E1510+(ROUND(F1510*K1510/B1510,0)*B1510)))</f>
        <v>#DIV/0!</v>
      </c>
      <c r="L1511" s="29" t="e">
        <f t="shared" ref="L1511" si="2261">IF(D1511="BUY",I1511+(R1511*B1511),I1511-(R1511*B1511))</f>
        <v>#DIV/0!</v>
      </c>
      <c r="M1511" s="29" t="e">
        <f>IF(D1510="BUY",E1510+(ROUND(F1510*M1510/B1510,0)*B1510),E1510-(ROUND(F1510*M1510/B1510,0)*B1510))</f>
        <v>#DIV/0!</v>
      </c>
      <c r="N1511" s="29" t="e">
        <f>IF(D1510="BUY",E1510-(ROUND(F1510*N1510/B1510,0)*B1510),E1510+(ROUND(F1510*N1510/B1510,0)*B1510))</f>
        <v>#DIV/0!</v>
      </c>
      <c r="O1511" s="31" t="e">
        <f>IF(D1511="BUY",N1511-VLOOKUP(A1511,Symbols!A$1:D$1000,4,FALSE),N1511+VLOOKUP(A1511,Symbols!A$1:D$1000,4,FALSE))</f>
        <v>#DIV/0!</v>
      </c>
      <c r="P1511" s="29">
        <f>P1510</f>
        <v>0</v>
      </c>
      <c r="Q1511" s="29">
        <f>Q1510</f>
        <v>0</v>
      </c>
      <c r="R1511" s="29">
        <f>R1510</f>
        <v>0</v>
      </c>
      <c r="S1511" s="29">
        <f>S1510</f>
        <v>0</v>
      </c>
      <c r="T1511" s="29">
        <f>T1510</f>
        <v>0</v>
      </c>
      <c r="U1511" s="29" t="e">
        <f>DATEDIF(DATE(1970,1,1),U1510,"D")*86400</f>
        <v>#NUM!</v>
      </c>
      <c r="V1511" s="29">
        <f>HOUR(V1510)*3600+MINUTE(V1510)*60+SECOND(V1510)</f>
        <v>0</v>
      </c>
      <c r="W1511" s="29" t="e">
        <f>DATEDIF(DATE(1970,1,1),W1510,"D")*86400</f>
        <v>#NUM!</v>
      </c>
      <c r="X1511" s="29">
        <f>HOUR(X1510)*3600+MINUTE(X1510)*60+SECOND(X1510)</f>
        <v>0</v>
      </c>
      <c r="Y1511" s="31">
        <f>(Y1510*B1511)</f>
        <v>0</v>
      </c>
      <c r="Z1511" s="29">
        <f>Z1510</f>
        <v>0</v>
      </c>
      <c r="AA1511" s="29" t="e">
        <f>DATEDIF(DATE(1970,1,1),AA1510,"D")*86400</f>
        <v>#NUM!</v>
      </c>
      <c r="AB1511" s="29">
        <f>HOUR(AB1510)*3600+MINUTE(AB1510)*60+SECOND(AB1510)</f>
        <v>0</v>
      </c>
      <c r="AC1511" s="29">
        <f>AC1510</f>
        <v>0</v>
      </c>
    </row>
    <row r="1512" spans="1:29">
      <c r="A1512" s="23">
        <f>Parameters!A757</f>
        <v>0</v>
      </c>
      <c r="B1512" s="23">
        <f>Parameters!B757</f>
        <v>0</v>
      </c>
      <c r="C1512" s="24">
        <f>Parameters!C757</f>
        <v>0</v>
      </c>
      <c r="D1512" s="24">
        <f>Parameters!D757</f>
        <v>0</v>
      </c>
      <c r="E1512" s="23">
        <f>Parameters!E757</f>
        <v>0</v>
      </c>
      <c r="F1512" s="23">
        <f>Parameters!F757</f>
        <v>0</v>
      </c>
      <c r="G1512" s="25">
        <f>Parameters!G757</f>
        <v>0</v>
      </c>
      <c r="H1512" s="25">
        <f>Parameters!H757</f>
        <v>0</v>
      </c>
      <c r="I1512" s="25">
        <f>Parameters!I757</f>
        <v>0</v>
      </c>
      <c r="J1512" s="25">
        <f>Parameters!J757</f>
        <v>0</v>
      </c>
      <c r="K1512" s="25">
        <f>Parameters!K757</f>
        <v>0</v>
      </c>
      <c r="L1512" s="26" t="e">
        <f t="shared" ref="L1512" si="2262">L1513</f>
        <v>#DIV/0!</v>
      </c>
      <c r="M1512" s="25">
        <f>Parameters!L757</f>
        <v>0</v>
      </c>
      <c r="N1512" s="25">
        <f>Parameters!M757</f>
        <v>0</v>
      </c>
      <c r="O1512" s="26" t="e">
        <f t="shared" ref="O1512" si="2263">O1513</f>
        <v>#DIV/0!</v>
      </c>
      <c r="P1512" s="23">
        <f>Parameters!N757</f>
        <v>0</v>
      </c>
      <c r="Q1512" s="23">
        <f>Parameters!O757</f>
        <v>0</v>
      </c>
      <c r="R1512" s="23">
        <f>Parameters!P757</f>
        <v>0</v>
      </c>
      <c r="S1512" s="23">
        <f>Parameters!Q757</f>
        <v>0</v>
      </c>
      <c r="T1512" s="23">
        <f>Parameters!R757</f>
        <v>0</v>
      </c>
      <c r="U1512" s="27">
        <f>Parameters!S757</f>
        <v>0</v>
      </c>
      <c r="V1512" s="28">
        <f>Parameters!T757</f>
        <v>0</v>
      </c>
      <c r="W1512" s="27">
        <f>Parameters!U757</f>
        <v>0</v>
      </c>
      <c r="X1512" s="28">
        <f>Parameters!V757</f>
        <v>0</v>
      </c>
      <c r="Y1512" s="25">
        <f>Parameters!W757</f>
        <v>0</v>
      </c>
      <c r="Z1512" s="23">
        <f>Parameters!X757</f>
        <v>0</v>
      </c>
      <c r="AA1512" s="27">
        <f>Parameters!Y757</f>
        <v>0</v>
      </c>
      <c r="AB1512" s="28">
        <f>Parameters!Z757</f>
        <v>0</v>
      </c>
      <c r="AC1512" s="23">
        <f>Parameters!AA757</f>
        <v>0</v>
      </c>
    </row>
    <row r="1513" spans="1:29">
      <c r="A1513" s="29" t="str">
        <f>UPPER(A1512)</f>
        <v>0</v>
      </c>
      <c r="B1513" s="29">
        <f>B1512</f>
        <v>0</v>
      </c>
      <c r="C1513" s="30">
        <f>C1512</f>
        <v>0</v>
      </c>
      <c r="D1513" s="30">
        <f>D1512</f>
        <v>0</v>
      </c>
      <c r="E1513" s="29">
        <f>E1512</f>
        <v>0</v>
      </c>
      <c r="F1513" s="29">
        <f>F1512</f>
        <v>0</v>
      </c>
      <c r="G1513" s="29" t="e">
        <f>IF(C1512=1,IF(D1512="BUY",E1512+(ROUND(F1512*G1512/B1512,0)*B1512),E1512-(ROUND(F1512*G1512/B1512,0)*B1512)),IF(D1512="BUY",E1512-(ROUND(F1512*G1512/B1512,0)*B1512),E1512+(ROUND(F1512*G1512/B1512,0)*B1512)))</f>
        <v>#DIV/0!</v>
      </c>
      <c r="H1513" s="29" t="e">
        <f>IF(C1512=1,IF(D1512="BUY",G1513-(ROUND(F1512*H1512/B1512,0)*B1512),G1513+(ROUND(F1512*H1512/B1512,0)*B1512)),IF(D1512="BUY",G1513+(ROUND(F1512*H1512/B1512,0)*B1512),G1513-(ROUND(F1512*H1512/B1512,0)*B1512)))</f>
        <v>#DIV/0!</v>
      </c>
      <c r="I1513" s="29" t="e">
        <f>IF(D1512="BUY",G1513+(ROUND(F1512*I1512/(B1512*100),0)*B1512),G1513-(ROUND(F1512*I1512/(B1512*100),0)*B1512))</f>
        <v>#DIV/0!</v>
      </c>
      <c r="J1513" s="29" t="e">
        <f>IF(C1512=1,IF(D1512="BUY",E1512+(ROUND(F1512*J1512/B1512,0)*B1512),E1512-(ROUND(F1512*J1512/B1512,0)*B1512)),IF(D1512="BUY",E1512-(ROUND(F1512*J1512/B1512,0)*B1512),E1512+(ROUND(F1512*J1512/B1512,0)*B1512)))</f>
        <v>#DIV/0!</v>
      </c>
      <c r="K1513" s="29" t="e">
        <f>IF(C1512=1,IF(D1512="BUY",E1512-(ROUND(F1512*K1512/B1512,0)*B1512),E1512+(ROUND(F1512*K1512/B1512,0)*B1512)),IF(D1512="BUY",E1512-(ROUND(F1512*K1512/B1512,0)*B1512),E1512+(ROUND(F1512*K1512/B1512,0)*B1512)))</f>
        <v>#DIV/0!</v>
      </c>
      <c r="L1513" s="29" t="e">
        <f t="shared" ref="L1513" si="2264">IF(D1513="BUY",I1513+(R1513*B1513),I1513-(R1513*B1513))</f>
        <v>#DIV/0!</v>
      </c>
      <c r="M1513" s="29" t="e">
        <f>IF(D1512="BUY",E1512+(ROUND(F1512*M1512/B1512,0)*B1512),E1512-(ROUND(F1512*M1512/B1512,0)*B1512))</f>
        <v>#DIV/0!</v>
      </c>
      <c r="N1513" s="29" t="e">
        <f>IF(D1512="BUY",E1512-(ROUND(F1512*N1512/B1512,0)*B1512),E1512+(ROUND(F1512*N1512/B1512,0)*B1512))</f>
        <v>#DIV/0!</v>
      </c>
      <c r="O1513" s="31" t="e">
        <f>IF(D1513="BUY",N1513-VLOOKUP(A1513,Symbols!A$1:D$1000,4,FALSE),N1513+VLOOKUP(A1513,Symbols!A$1:D$1000,4,FALSE))</f>
        <v>#DIV/0!</v>
      </c>
      <c r="P1513" s="29">
        <f>P1512</f>
        <v>0</v>
      </c>
      <c r="Q1513" s="29">
        <f>Q1512</f>
        <v>0</v>
      </c>
      <c r="R1513" s="29">
        <f>R1512</f>
        <v>0</v>
      </c>
      <c r="S1513" s="29">
        <f>S1512</f>
        <v>0</v>
      </c>
      <c r="T1513" s="29">
        <f>T1512</f>
        <v>0</v>
      </c>
      <c r="U1513" s="29" t="e">
        <f>DATEDIF(DATE(1970,1,1),U1512,"D")*86400</f>
        <v>#NUM!</v>
      </c>
      <c r="V1513" s="29">
        <f>HOUR(V1512)*3600+MINUTE(V1512)*60+SECOND(V1512)</f>
        <v>0</v>
      </c>
      <c r="W1513" s="29" t="e">
        <f>DATEDIF(DATE(1970,1,1),W1512,"D")*86400</f>
        <v>#NUM!</v>
      </c>
      <c r="X1513" s="29">
        <f>HOUR(X1512)*3600+MINUTE(X1512)*60+SECOND(X1512)</f>
        <v>0</v>
      </c>
      <c r="Y1513" s="31">
        <f>(Y1512*B1513)</f>
        <v>0</v>
      </c>
      <c r="Z1513" s="29">
        <f>Z1512</f>
        <v>0</v>
      </c>
      <c r="AA1513" s="29" t="e">
        <f>DATEDIF(DATE(1970,1,1),AA1512,"D")*86400</f>
        <v>#NUM!</v>
      </c>
      <c r="AB1513" s="29">
        <f>HOUR(AB1512)*3600+MINUTE(AB1512)*60+SECOND(AB1512)</f>
        <v>0</v>
      </c>
      <c r="AC1513" s="29">
        <f>AC1512</f>
        <v>0</v>
      </c>
    </row>
    <row r="1514" spans="1:29">
      <c r="A1514" s="23">
        <f>Parameters!A758</f>
        <v>0</v>
      </c>
      <c r="B1514" s="23">
        <f>Parameters!B758</f>
        <v>0</v>
      </c>
      <c r="C1514" s="24">
        <f>Parameters!C758</f>
        <v>0</v>
      </c>
      <c r="D1514" s="24">
        <f>Parameters!D758</f>
        <v>0</v>
      </c>
      <c r="E1514" s="23">
        <f>Parameters!E758</f>
        <v>0</v>
      </c>
      <c r="F1514" s="23">
        <f>Parameters!F758</f>
        <v>0</v>
      </c>
      <c r="G1514" s="25">
        <f>Parameters!G758</f>
        <v>0</v>
      </c>
      <c r="H1514" s="25">
        <f>Parameters!H758</f>
        <v>0</v>
      </c>
      <c r="I1514" s="25">
        <f>Parameters!I758</f>
        <v>0</v>
      </c>
      <c r="J1514" s="25">
        <f>Parameters!J758</f>
        <v>0</v>
      </c>
      <c r="K1514" s="25">
        <f>Parameters!K758</f>
        <v>0</v>
      </c>
      <c r="L1514" s="26" t="e">
        <f t="shared" ref="L1514" si="2265">L1515</f>
        <v>#DIV/0!</v>
      </c>
      <c r="M1514" s="25">
        <f>Parameters!L758</f>
        <v>0</v>
      </c>
      <c r="N1514" s="25">
        <f>Parameters!M758</f>
        <v>0</v>
      </c>
      <c r="O1514" s="26" t="e">
        <f t="shared" ref="O1514" si="2266">O1515</f>
        <v>#DIV/0!</v>
      </c>
      <c r="P1514" s="23">
        <f>Parameters!N758</f>
        <v>0</v>
      </c>
      <c r="Q1514" s="23">
        <f>Parameters!O758</f>
        <v>0</v>
      </c>
      <c r="R1514" s="23">
        <f>Parameters!P758</f>
        <v>0</v>
      </c>
      <c r="S1514" s="23">
        <f>Parameters!Q758</f>
        <v>0</v>
      </c>
      <c r="T1514" s="23">
        <f>Parameters!R758</f>
        <v>0</v>
      </c>
      <c r="U1514" s="27">
        <f>Parameters!S758</f>
        <v>0</v>
      </c>
      <c r="V1514" s="28">
        <f>Parameters!T758</f>
        <v>0</v>
      </c>
      <c r="W1514" s="27">
        <f>Parameters!U758</f>
        <v>0</v>
      </c>
      <c r="X1514" s="28">
        <f>Parameters!V758</f>
        <v>0</v>
      </c>
      <c r="Y1514" s="25">
        <f>Parameters!W758</f>
        <v>0</v>
      </c>
      <c r="Z1514" s="23">
        <f>Parameters!X758</f>
        <v>0</v>
      </c>
      <c r="AA1514" s="27">
        <f>Parameters!Y758</f>
        <v>0</v>
      </c>
      <c r="AB1514" s="28">
        <f>Parameters!Z758</f>
        <v>0</v>
      </c>
      <c r="AC1514" s="23">
        <f>Parameters!AA758</f>
        <v>0</v>
      </c>
    </row>
    <row r="1515" spans="1:29">
      <c r="A1515" s="29" t="str">
        <f>UPPER(A1514)</f>
        <v>0</v>
      </c>
      <c r="B1515" s="29">
        <f>B1514</f>
        <v>0</v>
      </c>
      <c r="C1515" s="30">
        <f>C1514</f>
        <v>0</v>
      </c>
      <c r="D1515" s="30">
        <f>D1514</f>
        <v>0</v>
      </c>
      <c r="E1515" s="29">
        <f>E1514</f>
        <v>0</v>
      </c>
      <c r="F1515" s="29">
        <f>F1514</f>
        <v>0</v>
      </c>
      <c r="G1515" s="29" t="e">
        <f>IF(C1514=1,IF(D1514="BUY",E1514+(ROUND(F1514*G1514/B1514,0)*B1514),E1514-(ROUND(F1514*G1514/B1514,0)*B1514)),IF(D1514="BUY",E1514-(ROUND(F1514*G1514/B1514,0)*B1514),E1514+(ROUND(F1514*G1514/B1514,0)*B1514)))</f>
        <v>#DIV/0!</v>
      </c>
      <c r="H1515" s="29" t="e">
        <f>IF(C1514=1,IF(D1514="BUY",G1515-(ROUND(F1514*H1514/B1514,0)*B1514),G1515+(ROUND(F1514*H1514/B1514,0)*B1514)),IF(D1514="BUY",G1515+(ROUND(F1514*H1514/B1514,0)*B1514),G1515-(ROUND(F1514*H1514/B1514,0)*B1514)))</f>
        <v>#DIV/0!</v>
      </c>
      <c r="I1515" s="29" t="e">
        <f>IF(D1514="BUY",G1515+(ROUND(F1514*I1514/(B1514*100),0)*B1514),G1515-(ROUND(F1514*I1514/(B1514*100),0)*B1514))</f>
        <v>#DIV/0!</v>
      </c>
      <c r="J1515" s="29" t="e">
        <f>IF(C1514=1,IF(D1514="BUY",E1514+(ROUND(F1514*J1514/B1514,0)*B1514),E1514-(ROUND(F1514*J1514/B1514,0)*B1514)),IF(D1514="BUY",E1514-(ROUND(F1514*J1514/B1514,0)*B1514),E1514+(ROUND(F1514*J1514/B1514,0)*B1514)))</f>
        <v>#DIV/0!</v>
      </c>
      <c r="K1515" s="29" t="e">
        <f>IF(C1514=1,IF(D1514="BUY",E1514-(ROUND(F1514*K1514/B1514,0)*B1514),E1514+(ROUND(F1514*K1514/B1514,0)*B1514)),IF(D1514="BUY",E1514-(ROUND(F1514*K1514/B1514,0)*B1514),E1514+(ROUND(F1514*K1514/B1514,0)*B1514)))</f>
        <v>#DIV/0!</v>
      </c>
      <c r="L1515" s="29" t="e">
        <f t="shared" ref="L1515" si="2267">IF(D1515="BUY",I1515+(R1515*B1515),I1515-(R1515*B1515))</f>
        <v>#DIV/0!</v>
      </c>
      <c r="M1515" s="29" t="e">
        <f>IF(D1514="BUY",E1514+(ROUND(F1514*M1514/B1514,0)*B1514),E1514-(ROUND(F1514*M1514/B1514,0)*B1514))</f>
        <v>#DIV/0!</v>
      </c>
      <c r="N1515" s="29" t="e">
        <f>IF(D1514="BUY",E1514-(ROUND(F1514*N1514/B1514,0)*B1514),E1514+(ROUND(F1514*N1514/B1514,0)*B1514))</f>
        <v>#DIV/0!</v>
      </c>
      <c r="O1515" s="31" t="e">
        <f>IF(D1515="BUY",N1515-VLOOKUP(A1515,Symbols!A$1:D$1000,4,FALSE),N1515+VLOOKUP(A1515,Symbols!A$1:D$1000,4,FALSE))</f>
        <v>#DIV/0!</v>
      </c>
      <c r="P1515" s="29">
        <f>P1514</f>
        <v>0</v>
      </c>
      <c r="Q1515" s="29">
        <f>Q1514</f>
        <v>0</v>
      </c>
      <c r="R1515" s="29">
        <f>R1514</f>
        <v>0</v>
      </c>
      <c r="S1515" s="29">
        <f>S1514</f>
        <v>0</v>
      </c>
      <c r="T1515" s="29">
        <f>T1514</f>
        <v>0</v>
      </c>
      <c r="U1515" s="29" t="e">
        <f>DATEDIF(DATE(1970,1,1),U1514,"D")*86400</f>
        <v>#NUM!</v>
      </c>
      <c r="V1515" s="29">
        <f>HOUR(V1514)*3600+MINUTE(V1514)*60+SECOND(V1514)</f>
        <v>0</v>
      </c>
      <c r="W1515" s="29" t="e">
        <f>DATEDIF(DATE(1970,1,1),W1514,"D")*86400</f>
        <v>#NUM!</v>
      </c>
      <c r="X1515" s="29">
        <f>HOUR(X1514)*3600+MINUTE(X1514)*60+SECOND(X1514)</f>
        <v>0</v>
      </c>
      <c r="Y1515" s="31">
        <f>(Y1514*B1515)</f>
        <v>0</v>
      </c>
      <c r="Z1515" s="29">
        <f>Z1514</f>
        <v>0</v>
      </c>
      <c r="AA1515" s="29" t="e">
        <f>DATEDIF(DATE(1970,1,1),AA1514,"D")*86400</f>
        <v>#NUM!</v>
      </c>
      <c r="AB1515" s="29">
        <f>HOUR(AB1514)*3600+MINUTE(AB1514)*60+SECOND(AB1514)</f>
        <v>0</v>
      </c>
      <c r="AC1515" s="29">
        <f>AC1514</f>
        <v>0</v>
      </c>
    </row>
    <row r="1516" spans="1:29">
      <c r="A1516" s="23">
        <f>Parameters!A759</f>
        <v>0</v>
      </c>
      <c r="B1516" s="23">
        <f>Parameters!B759</f>
        <v>0</v>
      </c>
      <c r="C1516" s="24">
        <f>Parameters!C759</f>
        <v>0</v>
      </c>
      <c r="D1516" s="24">
        <f>Parameters!D759</f>
        <v>0</v>
      </c>
      <c r="E1516" s="23">
        <f>Parameters!E759</f>
        <v>0</v>
      </c>
      <c r="F1516" s="23">
        <f>Parameters!F759</f>
        <v>0</v>
      </c>
      <c r="G1516" s="25">
        <f>Parameters!G759</f>
        <v>0</v>
      </c>
      <c r="H1516" s="25">
        <f>Parameters!H759</f>
        <v>0</v>
      </c>
      <c r="I1516" s="25">
        <f>Parameters!I759</f>
        <v>0</v>
      </c>
      <c r="J1516" s="25">
        <f>Parameters!J759</f>
        <v>0</v>
      </c>
      <c r="K1516" s="25">
        <f>Parameters!K759</f>
        <v>0</v>
      </c>
      <c r="L1516" s="26" t="e">
        <f t="shared" ref="L1516" si="2268">L1517</f>
        <v>#DIV/0!</v>
      </c>
      <c r="M1516" s="25">
        <f>Parameters!L759</f>
        <v>0</v>
      </c>
      <c r="N1516" s="25">
        <f>Parameters!M759</f>
        <v>0</v>
      </c>
      <c r="O1516" s="26" t="e">
        <f t="shared" ref="O1516" si="2269">O1517</f>
        <v>#DIV/0!</v>
      </c>
      <c r="P1516" s="23">
        <f>Parameters!N759</f>
        <v>0</v>
      </c>
      <c r="Q1516" s="23">
        <f>Parameters!O759</f>
        <v>0</v>
      </c>
      <c r="R1516" s="23">
        <f>Parameters!P759</f>
        <v>0</v>
      </c>
      <c r="S1516" s="23">
        <f>Parameters!Q759</f>
        <v>0</v>
      </c>
      <c r="T1516" s="23">
        <f>Parameters!R759</f>
        <v>0</v>
      </c>
      <c r="U1516" s="27">
        <f>Parameters!S759</f>
        <v>0</v>
      </c>
      <c r="V1516" s="28">
        <f>Parameters!T759</f>
        <v>0</v>
      </c>
      <c r="W1516" s="27">
        <f>Parameters!U759</f>
        <v>0</v>
      </c>
      <c r="X1516" s="28">
        <f>Parameters!V759</f>
        <v>0</v>
      </c>
      <c r="Y1516" s="25">
        <f>Parameters!W759</f>
        <v>0</v>
      </c>
      <c r="Z1516" s="23">
        <f>Parameters!X759</f>
        <v>0</v>
      </c>
      <c r="AA1516" s="27">
        <f>Parameters!Y759</f>
        <v>0</v>
      </c>
      <c r="AB1516" s="28">
        <f>Parameters!Z759</f>
        <v>0</v>
      </c>
      <c r="AC1516" s="23">
        <f>Parameters!AA759</f>
        <v>0</v>
      </c>
    </row>
    <row r="1517" spans="1:29">
      <c r="A1517" s="29" t="str">
        <f>UPPER(A1516)</f>
        <v>0</v>
      </c>
      <c r="B1517" s="29">
        <f>B1516</f>
        <v>0</v>
      </c>
      <c r="C1517" s="30">
        <f>C1516</f>
        <v>0</v>
      </c>
      <c r="D1517" s="30">
        <f>D1516</f>
        <v>0</v>
      </c>
      <c r="E1517" s="29">
        <f>E1516</f>
        <v>0</v>
      </c>
      <c r="F1517" s="29">
        <f>F1516</f>
        <v>0</v>
      </c>
      <c r="G1517" s="29" t="e">
        <f>IF(C1516=1,IF(D1516="BUY",E1516+(ROUND(F1516*G1516/B1516,0)*B1516),E1516-(ROUND(F1516*G1516/B1516,0)*B1516)),IF(D1516="BUY",E1516-(ROUND(F1516*G1516/B1516,0)*B1516),E1516+(ROUND(F1516*G1516/B1516,0)*B1516)))</f>
        <v>#DIV/0!</v>
      </c>
      <c r="H1517" s="29" t="e">
        <f>IF(C1516=1,IF(D1516="BUY",G1517-(ROUND(F1516*H1516/B1516,0)*B1516),G1517+(ROUND(F1516*H1516/B1516,0)*B1516)),IF(D1516="BUY",G1517+(ROUND(F1516*H1516/B1516,0)*B1516),G1517-(ROUND(F1516*H1516/B1516,0)*B1516)))</f>
        <v>#DIV/0!</v>
      </c>
      <c r="I1517" s="29" t="e">
        <f>IF(D1516="BUY",G1517+(ROUND(F1516*I1516/(B1516*100),0)*B1516),G1517-(ROUND(F1516*I1516/(B1516*100),0)*B1516))</f>
        <v>#DIV/0!</v>
      </c>
      <c r="J1517" s="29" t="e">
        <f>IF(C1516=1,IF(D1516="BUY",E1516+(ROUND(F1516*J1516/B1516,0)*B1516),E1516-(ROUND(F1516*J1516/B1516,0)*B1516)),IF(D1516="BUY",E1516-(ROUND(F1516*J1516/B1516,0)*B1516),E1516+(ROUND(F1516*J1516/B1516,0)*B1516)))</f>
        <v>#DIV/0!</v>
      </c>
      <c r="K1517" s="29" t="e">
        <f>IF(C1516=1,IF(D1516="BUY",E1516-(ROUND(F1516*K1516/B1516,0)*B1516),E1516+(ROUND(F1516*K1516/B1516,0)*B1516)),IF(D1516="BUY",E1516-(ROUND(F1516*K1516/B1516,0)*B1516),E1516+(ROUND(F1516*K1516/B1516,0)*B1516)))</f>
        <v>#DIV/0!</v>
      </c>
      <c r="L1517" s="29" t="e">
        <f t="shared" ref="L1517" si="2270">IF(D1517="BUY",I1517+(R1517*B1517),I1517-(R1517*B1517))</f>
        <v>#DIV/0!</v>
      </c>
      <c r="M1517" s="29" t="e">
        <f>IF(D1516="BUY",E1516+(ROUND(F1516*M1516/B1516,0)*B1516),E1516-(ROUND(F1516*M1516/B1516,0)*B1516))</f>
        <v>#DIV/0!</v>
      </c>
      <c r="N1517" s="29" t="e">
        <f>IF(D1516="BUY",E1516-(ROUND(F1516*N1516/B1516,0)*B1516),E1516+(ROUND(F1516*N1516/B1516,0)*B1516))</f>
        <v>#DIV/0!</v>
      </c>
      <c r="O1517" s="31" t="e">
        <f>IF(D1517="BUY",N1517-VLOOKUP(A1517,Symbols!A$1:D$1000,4,FALSE),N1517+VLOOKUP(A1517,Symbols!A$1:D$1000,4,FALSE))</f>
        <v>#DIV/0!</v>
      </c>
      <c r="P1517" s="29">
        <f>P1516</f>
        <v>0</v>
      </c>
      <c r="Q1517" s="29">
        <f>Q1516</f>
        <v>0</v>
      </c>
      <c r="R1517" s="29">
        <f>R1516</f>
        <v>0</v>
      </c>
      <c r="S1517" s="29">
        <f>S1516</f>
        <v>0</v>
      </c>
      <c r="T1517" s="29">
        <f>T1516</f>
        <v>0</v>
      </c>
      <c r="U1517" s="29" t="e">
        <f>DATEDIF(DATE(1970,1,1),U1516,"D")*86400</f>
        <v>#NUM!</v>
      </c>
      <c r="V1517" s="29">
        <f>HOUR(V1516)*3600+MINUTE(V1516)*60+SECOND(V1516)</f>
        <v>0</v>
      </c>
      <c r="W1517" s="29" t="e">
        <f>DATEDIF(DATE(1970,1,1),W1516,"D")*86400</f>
        <v>#NUM!</v>
      </c>
      <c r="X1517" s="29">
        <f>HOUR(X1516)*3600+MINUTE(X1516)*60+SECOND(X1516)</f>
        <v>0</v>
      </c>
      <c r="Y1517" s="31">
        <f>(Y1516*B1517)</f>
        <v>0</v>
      </c>
      <c r="Z1517" s="29">
        <f>Z1516</f>
        <v>0</v>
      </c>
      <c r="AA1517" s="29" t="e">
        <f>DATEDIF(DATE(1970,1,1),AA1516,"D")*86400</f>
        <v>#NUM!</v>
      </c>
      <c r="AB1517" s="29">
        <f>HOUR(AB1516)*3600+MINUTE(AB1516)*60+SECOND(AB1516)</f>
        <v>0</v>
      </c>
      <c r="AC1517" s="29">
        <f>AC1516</f>
        <v>0</v>
      </c>
    </row>
    <row r="1518" spans="1:29">
      <c r="A1518" s="23">
        <f>Parameters!A760</f>
        <v>0</v>
      </c>
      <c r="B1518" s="23">
        <f>Parameters!B760</f>
        <v>0</v>
      </c>
      <c r="C1518" s="24">
        <f>Parameters!C760</f>
        <v>0</v>
      </c>
      <c r="D1518" s="24">
        <f>Parameters!D760</f>
        <v>0</v>
      </c>
      <c r="E1518" s="23">
        <f>Parameters!E760</f>
        <v>0</v>
      </c>
      <c r="F1518" s="23">
        <f>Parameters!F760</f>
        <v>0</v>
      </c>
      <c r="G1518" s="25">
        <f>Parameters!G760</f>
        <v>0</v>
      </c>
      <c r="H1518" s="25">
        <f>Parameters!H760</f>
        <v>0</v>
      </c>
      <c r="I1518" s="25">
        <f>Parameters!I760</f>
        <v>0</v>
      </c>
      <c r="J1518" s="25">
        <f>Parameters!J760</f>
        <v>0</v>
      </c>
      <c r="K1518" s="25">
        <f>Parameters!K760</f>
        <v>0</v>
      </c>
      <c r="L1518" s="26" t="e">
        <f t="shared" ref="L1518" si="2271">L1519</f>
        <v>#DIV/0!</v>
      </c>
      <c r="M1518" s="25">
        <f>Parameters!L760</f>
        <v>0</v>
      </c>
      <c r="N1518" s="25">
        <f>Parameters!M760</f>
        <v>0</v>
      </c>
      <c r="O1518" s="26" t="e">
        <f t="shared" ref="O1518" si="2272">O1519</f>
        <v>#DIV/0!</v>
      </c>
      <c r="P1518" s="23">
        <f>Parameters!N760</f>
        <v>0</v>
      </c>
      <c r="Q1518" s="23">
        <f>Parameters!O760</f>
        <v>0</v>
      </c>
      <c r="R1518" s="23">
        <f>Parameters!P760</f>
        <v>0</v>
      </c>
      <c r="S1518" s="23">
        <f>Parameters!Q760</f>
        <v>0</v>
      </c>
      <c r="T1518" s="23">
        <f>Parameters!R760</f>
        <v>0</v>
      </c>
      <c r="U1518" s="27">
        <f>Parameters!S760</f>
        <v>0</v>
      </c>
      <c r="V1518" s="28">
        <f>Parameters!T760</f>
        <v>0</v>
      </c>
      <c r="W1518" s="27">
        <f>Parameters!U760</f>
        <v>0</v>
      </c>
      <c r="X1518" s="28">
        <f>Parameters!V760</f>
        <v>0</v>
      </c>
      <c r="Y1518" s="25">
        <f>Parameters!W760</f>
        <v>0</v>
      </c>
      <c r="Z1518" s="23">
        <f>Parameters!X760</f>
        <v>0</v>
      </c>
      <c r="AA1518" s="27">
        <f>Parameters!Y760</f>
        <v>0</v>
      </c>
      <c r="AB1518" s="28">
        <f>Parameters!Z760</f>
        <v>0</v>
      </c>
      <c r="AC1518" s="23">
        <f>Parameters!AA760</f>
        <v>0</v>
      </c>
    </row>
    <row r="1519" spans="1:29">
      <c r="A1519" s="29" t="str">
        <f>UPPER(A1518)</f>
        <v>0</v>
      </c>
      <c r="B1519" s="29">
        <f>B1518</f>
        <v>0</v>
      </c>
      <c r="C1519" s="30">
        <f>C1518</f>
        <v>0</v>
      </c>
      <c r="D1519" s="30">
        <f>D1518</f>
        <v>0</v>
      </c>
      <c r="E1519" s="29">
        <f>E1518</f>
        <v>0</v>
      </c>
      <c r="F1519" s="29">
        <f>F1518</f>
        <v>0</v>
      </c>
      <c r="G1519" s="29" t="e">
        <f>IF(C1518=1,IF(D1518="BUY",E1518+(ROUND(F1518*G1518/B1518,0)*B1518),E1518-(ROUND(F1518*G1518/B1518,0)*B1518)),IF(D1518="BUY",E1518-(ROUND(F1518*G1518/B1518,0)*B1518),E1518+(ROUND(F1518*G1518/B1518,0)*B1518)))</f>
        <v>#DIV/0!</v>
      </c>
      <c r="H1519" s="29" t="e">
        <f>IF(C1518=1,IF(D1518="BUY",G1519-(ROUND(F1518*H1518/B1518,0)*B1518),G1519+(ROUND(F1518*H1518/B1518,0)*B1518)),IF(D1518="BUY",G1519+(ROUND(F1518*H1518/B1518,0)*B1518),G1519-(ROUND(F1518*H1518/B1518,0)*B1518)))</f>
        <v>#DIV/0!</v>
      </c>
      <c r="I1519" s="29" t="e">
        <f>IF(D1518="BUY",G1519+(ROUND(F1518*I1518/(B1518*100),0)*B1518),G1519-(ROUND(F1518*I1518/(B1518*100),0)*B1518))</f>
        <v>#DIV/0!</v>
      </c>
      <c r="J1519" s="29" t="e">
        <f>IF(C1518=1,IF(D1518="BUY",E1518+(ROUND(F1518*J1518/B1518,0)*B1518),E1518-(ROUND(F1518*J1518/B1518,0)*B1518)),IF(D1518="BUY",E1518-(ROUND(F1518*J1518/B1518,0)*B1518),E1518+(ROUND(F1518*J1518/B1518,0)*B1518)))</f>
        <v>#DIV/0!</v>
      </c>
      <c r="K1519" s="29" t="e">
        <f>IF(C1518=1,IF(D1518="BUY",E1518-(ROUND(F1518*K1518/B1518,0)*B1518),E1518+(ROUND(F1518*K1518/B1518,0)*B1518)),IF(D1518="BUY",E1518-(ROUND(F1518*K1518/B1518,0)*B1518),E1518+(ROUND(F1518*K1518/B1518,0)*B1518)))</f>
        <v>#DIV/0!</v>
      </c>
      <c r="L1519" s="29" t="e">
        <f t="shared" ref="L1519" si="2273">IF(D1519="BUY",I1519+(R1519*B1519),I1519-(R1519*B1519))</f>
        <v>#DIV/0!</v>
      </c>
      <c r="M1519" s="29" t="e">
        <f>IF(D1518="BUY",E1518+(ROUND(F1518*M1518/B1518,0)*B1518),E1518-(ROUND(F1518*M1518/B1518,0)*B1518))</f>
        <v>#DIV/0!</v>
      </c>
      <c r="N1519" s="29" t="e">
        <f>IF(D1518="BUY",E1518-(ROUND(F1518*N1518/B1518,0)*B1518),E1518+(ROUND(F1518*N1518/B1518,0)*B1518))</f>
        <v>#DIV/0!</v>
      </c>
      <c r="O1519" s="31" t="e">
        <f>IF(D1519="BUY",N1519-VLOOKUP(A1519,Symbols!A$1:D$1000,4,FALSE),N1519+VLOOKUP(A1519,Symbols!A$1:D$1000,4,FALSE))</f>
        <v>#DIV/0!</v>
      </c>
      <c r="P1519" s="29">
        <f>P1518</f>
        <v>0</v>
      </c>
      <c r="Q1519" s="29">
        <f>Q1518</f>
        <v>0</v>
      </c>
      <c r="R1519" s="29">
        <f>R1518</f>
        <v>0</v>
      </c>
      <c r="S1519" s="29">
        <f>S1518</f>
        <v>0</v>
      </c>
      <c r="T1519" s="29">
        <f>T1518</f>
        <v>0</v>
      </c>
      <c r="U1519" s="29" t="e">
        <f>DATEDIF(DATE(1970,1,1),U1518,"D")*86400</f>
        <v>#NUM!</v>
      </c>
      <c r="V1519" s="29">
        <f>HOUR(V1518)*3600+MINUTE(V1518)*60+SECOND(V1518)</f>
        <v>0</v>
      </c>
      <c r="W1519" s="29" t="e">
        <f>DATEDIF(DATE(1970,1,1),W1518,"D")*86400</f>
        <v>#NUM!</v>
      </c>
      <c r="X1519" s="29">
        <f>HOUR(X1518)*3600+MINUTE(X1518)*60+SECOND(X1518)</f>
        <v>0</v>
      </c>
      <c r="Y1519" s="31">
        <f>(Y1518*B1519)</f>
        <v>0</v>
      </c>
      <c r="Z1519" s="29">
        <f>Z1518</f>
        <v>0</v>
      </c>
      <c r="AA1519" s="29" t="e">
        <f>DATEDIF(DATE(1970,1,1),AA1518,"D")*86400</f>
        <v>#NUM!</v>
      </c>
      <c r="AB1519" s="29">
        <f>HOUR(AB1518)*3600+MINUTE(AB1518)*60+SECOND(AB1518)</f>
        <v>0</v>
      </c>
      <c r="AC1519" s="29">
        <f>AC1518</f>
        <v>0</v>
      </c>
    </row>
    <row r="1520" spans="1:29">
      <c r="A1520" s="23">
        <f>Parameters!A761</f>
        <v>0</v>
      </c>
      <c r="B1520" s="23">
        <f>Parameters!B761</f>
        <v>0</v>
      </c>
      <c r="C1520" s="24">
        <f>Parameters!C761</f>
        <v>0</v>
      </c>
      <c r="D1520" s="24">
        <f>Parameters!D761</f>
        <v>0</v>
      </c>
      <c r="E1520" s="23">
        <f>Parameters!E761</f>
        <v>0</v>
      </c>
      <c r="F1520" s="23">
        <f>Parameters!F761</f>
        <v>0</v>
      </c>
      <c r="G1520" s="25">
        <f>Parameters!G761</f>
        <v>0</v>
      </c>
      <c r="H1520" s="25">
        <f>Parameters!H761</f>
        <v>0</v>
      </c>
      <c r="I1520" s="25">
        <f>Parameters!I761</f>
        <v>0</v>
      </c>
      <c r="J1520" s="25">
        <f>Parameters!J761</f>
        <v>0</v>
      </c>
      <c r="K1520" s="25">
        <f>Parameters!K761</f>
        <v>0</v>
      </c>
      <c r="L1520" s="26" t="e">
        <f t="shared" ref="L1520" si="2274">L1521</f>
        <v>#DIV/0!</v>
      </c>
      <c r="M1520" s="25">
        <f>Parameters!L761</f>
        <v>0</v>
      </c>
      <c r="N1520" s="25">
        <f>Parameters!M761</f>
        <v>0</v>
      </c>
      <c r="O1520" s="26" t="e">
        <f t="shared" ref="O1520" si="2275">O1521</f>
        <v>#DIV/0!</v>
      </c>
      <c r="P1520" s="23">
        <f>Parameters!N761</f>
        <v>0</v>
      </c>
      <c r="Q1520" s="23">
        <f>Parameters!O761</f>
        <v>0</v>
      </c>
      <c r="R1520" s="23">
        <f>Parameters!P761</f>
        <v>0</v>
      </c>
      <c r="S1520" s="23">
        <f>Parameters!Q761</f>
        <v>0</v>
      </c>
      <c r="T1520" s="23">
        <f>Parameters!R761</f>
        <v>0</v>
      </c>
      <c r="U1520" s="27">
        <f>Parameters!S761</f>
        <v>0</v>
      </c>
      <c r="V1520" s="28">
        <f>Parameters!T761</f>
        <v>0</v>
      </c>
      <c r="W1520" s="27">
        <f>Parameters!U761</f>
        <v>0</v>
      </c>
      <c r="X1520" s="28">
        <f>Parameters!V761</f>
        <v>0</v>
      </c>
      <c r="Y1520" s="25">
        <f>Parameters!W761</f>
        <v>0</v>
      </c>
      <c r="Z1520" s="23">
        <f>Parameters!X761</f>
        <v>0</v>
      </c>
      <c r="AA1520" s="27">
        <f>Parameters!Y761</f>
        <v>0</v>
      </c>
      <c r="AB1520" s="28">
        <f>Parameters!Z761</f>
        <v>0</v>
      </c>
      <c r="AC1520" s="23">
        <f>Parameters!AA761</f>
        <v>0</v>
      </c>
    </row>
    <row r="1521" spans="1:29">
      <c r="A1521" s="29" t="str">
        <f>UPPER(A1520)</f>
        <v>0</v>
      </c>
      <c r="B1521" s="29">
        <f>B1520</f>
        <v>0</v>
      </c>
      <c r="C1521" s="30">
        <f>C1520</f>
        <v>0</v>
      </c>
      <c r="D1521" s="30">
        <f>D1520</f>
        <v>0</v>
      </c>
      <c r="E1521" s="29">
        <f>E1520</f>
        <v>0</v>
      </c>
      <c r="F1521" s="29">
        <f>F1520</f>
        <v>0</v>
      </c>
      <c r="G1521" s="29" t="e">
        <f>IF(C1520=1,IF(D1520="BUY",E1520+(ROUND(F1520*G1520/B1520,0)*B1520),E1520-(ROUND(F1520*G1520/B1520,0)*B1520)),IF(D1520="BUY",E1520-(ROUND(F1520*G1520/B1520,0)*B1520),E1520+(ROUND(F1520*G1520/B1520,0)*B1520)))</f>
        <v>#DIV/0!</v>
      </c>
      <c r="H1521" s="29" t="e">
        <f>IF(C1520=1,IF(D1520="BUY",G1521-(ROUND(F1520*H1520/B1520,0)*B1520),G1521+(ROUND(F1520*H1520/B1520,0)*B1520)),IF(D1520="BUY",G1521+(ROUND(F1520*H1520/B1520,0)*B1520),G1521-(ROUND(F1520*H1520/B1520,0)*B1520)))</f>
        <v>#DIV/0!</v>
      </c>
      <c r="I1521" s="29" t="e">
        <f>IF(D1520="BUY",G1521+(ROUND(F1520*I1520/(B1520*100),0)*B1520),G1521-(ROUND(F1520*I1520/(B1520*100),0)*B1520))</f>
        <v>#DIV/0!</v>
      </c>
      <c r="J1521" s="29" t="e">
        <f>IF(C1520=1,IF(D1520="BUY",E1520+(ROUND(F1520*J1520/B1520,0)*B1520),E1520-(ROUND(F1520*J1520/B1520,0)*B1520)),IF(D1520="BUY",E1520-(ROUND(F1520*J1520/B1520,0)*B1520),E1520+(ROUND(F1520*J1520/B1520,0)*B1520)))</f>
        <v>#DIV/0!</v>
      </c>
      <c r="K1521" s="29" t="e">
        <f>IF(C1520=1,IF(D1520="BUY",E1520-(ROUND(F1520*K1520/B1520,0)*B1520),E1520+(ROUND(F1520*K1520/B1520,0)*B1520)),IF(D1520="BUY",E1520-(ROUND(F1520*K1520/B1520,0)*B1520),E1520+(ROUND(F1520*K1520/B1520,0)*B1520)))</f>
        <v>#DIV/0!</v>
      </c>
      <c r="L1521" s="29" t="e">
        <f t="shared" ref="L1521" si="2276">IF(D1521="BUY",I1521+(R1521*B1521),I1521-(R1521*B1521))</f>
        <v>#DIV/0!</v>
      </c>
      <c r="M1521" s="29" t="e">
        <f>IF(D1520="BUY",E1520+(ROUND(F1520*M1520/B1520,0)*B1520),E1520-(ROUND(F1520*M1520/B1520,0)*B1520))</f>
        <v>#DIV/0!</v>
      </c>
      <c r="N1521" s="29" t="e">
        <f>IF(D1520="BUY",E1520-(ROUND(F1520*N1520/B1520,0)*B1520),E1520+(ROUND(F1520*N1520/B1520,0)*B1520))</f>
        <v>#DIV/0!</v>
      </c>
      <c r="O1521" s="31" t="e">
        <f>IF(D1521="BUY",N1521-VLOOKUP(A1521,Symbols!A$1:D$1000,4,FALSE),N1521+VLOOKUP(A1521,Symbols!A$1:D$1000,4,FALSE))</f>
        <v>#DIV/0!</v>
      </c>
      <c r="P1521" s="29">
        <f>P1520</f>
        <v>0</v>
      </c>
      <c r="Q1521" s="29">
        <f>Q1520</f>
        <v>0</v>
      </c>
      <c r="R1521" s="29">
        <f>R1520</f>
        <v>0</v>
      </c>
      <c r="S1521" s="29">
        <f>S1520</f>
        <v>0</v>
      </c>
      <c r="T1521" s="29">
        <f>T1520</f>
        <v>0</v>
      </c>
      <c r="U1521" s="29" t="e">
        <f>DATEDIF(DATE(1970,1,1),U1520,"D")*86400</f>
        <v>#NUM!</v>
      </c>
      <c r="V1521" s="29">
        <f>HOUR(V1520)*3600+MINUTE(V1520)*60+SECOND(V1520)</f>
        <v>0</v>
      </c>
      <c r="W1521" s="29" t="e">
        <f>DATEDIF(DATE(1970,1,1),W1520,"D")*86400</f>
        <v>#NUM!</v>
      </c>
      <c r="X1521" s="29">
        <f>HOUR(X1520)*3600+MINUTE(X1520)*60+SECOND(X1520)</f>
        <v>0</v>
      </c>
      <c r="Y1521" s="31">
        <f>(Y1520*B1521)</f>
        <v>0</v>
      </c>
      <c r="Z1521" s="29">
        <f>Z1520</f>
        <v>0</v>
      </c>
      <c r="AA1521" s="29" t="e">
        <f>DATEDIF(DATE(1970,1,1),AA1520,"D")*86400</f>
        <v>#NUM!</v>
      </c>
      <c r="AB1521" s="29">
        <f>HOUR(AB1520)*3600+MINUTE(AB1520)*60+SECOND(AB1520)</f>
        <v>0</v>
      </c>
      <c r="AC1521" s="29">
        <f>AC1520</f>
        <v>0</v>
      </c>
    </row>
    <row r="1522" spans="1:29">
      <c r="A1522" s="23">
        <f>Parameters!A762</f>
        <v>0</v>
      </c>
      <c r="B1522" s="23">
        <f>Parameters!B762</f>
        <v>0</v>
      </c>
      <c r="C1522" s="24">
        <f>Parameters!C762</f>
        <v>0</v>
      </c>
      <c r="D1522" s="24">
        <f>Parameters!D762</f>
        <v>0</v>
      </c>
      <c r="E1522" s="23">
        <f>Parameters!E762</f>
        <v>0</v>
      </c>
      <c r="F1522" s="23">
        <f>Parameters!F762</f>
        <v>0</v>
      </c>
      <c r="G1522" s="25">
        <f>Parameters!G762</f>
        <v>0</v>
      </c>
      <c r="H1522" s="25">
        <f>Parameters!H762</f>
        <v>0</v>
      </c>
      <c r="I1522" s="25">
        <f>Parameters!I762</f>
        <v>0</v>
      </c>
      <c r="J1522" s="25">
        <f>Parameters!J762</f>
        <v>0</v>
      </c>
      <c r="K1522" s="25">
        <f>Parameters!K762</f>
        <v>0</v>
      </c>
      <c r="L1522" s="26" t="e">
        <f t="shared" ref="L1522" si="2277">L1523</f>
        <v>#DIV/0!</v>
      </c>
      <c r="M1522" s="25">
        <f>Parameters!L762</f>
        <v>0</v>
      </c>
      <c r="N1522" s="25">
        <f>Parameters!M762</f>
        <v>0</v>
      </c>
      <c r="O1522" s="26" t="e">
        <f t="shared" ref="O1522" si="2278">O1523</f>
        <v>#DIV/0!</v>
      </c>
      <c r="P1522" s="23">
        <f>Parameters!N762</f>
        <v>0</v>
      </c>
      <c r="Q1522" s="23">
        <f>Parameters!O762</f>
        <v>0</v>
      </c>
      <c r="R1522" s="23">
        <f>Parameters!P762</f>
        <v>0</v>
      </c>
      <c r="S1522" s="23">
        <f>Parameters!Q762</f>
        <v>0</v>
      </c>
      <c r="T1522" s="23">
        <f>Parameters!R762</f>
        <v>0</v>
      </c>
      <c r="U1522" s="27">
        <f>Parameters!S762</f>
        <v>0</v>
      </c>
      <c r="V1522" s="28">
        <f>Parameters!T762</f>
        <v>0</v>
      </c>
      <c r="W1522" s="27">
        <f>Parameters!U762</f>
        <v>0</v>
      </c>
      <c r="X1522" s="28">
        <f>Parameters!V762</f>
        <v>0</v>
      </c>
      <c r="Y1522" s="25">
        <f>Parameters!W762</f>
        <v>0</v>
      </c>
      <c r="Z1522" s="23">
        <f>Parameters!X762</f>
        <v>0</v>
      </c>
      <c r="AA1522" s="27">
        <f>Parameters!Y762</f>
        <v>0</v>
      </c>
      <c r="AB1522" s="28">
        <f>Parameters!Z762</f>
        <v>0</v>
      </c>
      <c r="AC1522" s="23">
        <f>Parameters!AA762</f>
        <v>0</v>
      </c>
    </row>
    <row r="1523" spans="1:29">
      <c r="A1523" s="29" t="str">
        <f>UPPER(A1522)</f>
        <v>0</v>
      </c>
      <c r="B1523" s="29">
        <f>B1522</f>
        <v>0</v>
      </c>
      <c r="C1523" s="30">
        <f>C1522</f>
        <v>0</v>
      </c>
      <c r="D1523" s="30">
        <f>D1522</f>
        <v>0</v>
      </c>
      <c r="E1523" s="29">
        <f>E1522</f>
        <v>0</v>
      </c>
      <c r="F1523" s="29">
        <f>F1522</f>
        <v>0</v>
      </c>
      <c r="G1523" s="29" t="e">
        <f>IF(C1522=1,IF(D1522="BUY",E1522+(ROUND(F1522*G1522/B1522,0)*B1522),E1522-(ROUND(F1522*G1522/B1522,0)*B1522)),IF(D1522="BUY",E1522-(ROUND(F1522*G1522/B1522,0)*B1522),E1522+(ROUND(F1522*G1522/B1522,0)*B1522)))</f>
        <v>#DIV/0!</v>
      </c>
      <c r="H1523" s="29" t="e">
        <f>IF(C1522=1,IF(D1522="BUY",G1523-(ROUND(F1522*H1522/B1522,0)*B1522),G1523+(ROUND(F1522*H1522/B1522,0)*B1522)),IF(D1522="BUY",G1523+(ROUND(F1522*H1522/B1522,0)*B1522),G1523-(ROUND(F1522*H1522/B1522,0)*B1522)))</f>
        <v>#DIV/0!</v>
      </c>
      <c r="I1523" s="29" t="e">
        <f>IF(D1522="BUY",G1523+(ROUND(F1522*I1522/(B1522*100),0)*B1522),G1523-(ROUND(F1522*I1522/(B1522*100),0)*B1522))</f>
        <v>#DIV/0!</v>
      </c>
      <c r="J1523" s="29" t="e">
        <f>IF(C1522=1,IF(D1522="BUY",E1522+(ROUND(F1522*J1522/B1522,0)*B1522),E1522-(ROUND(F1522*J1522/B1522,0)*B1522)),IF(D1522="BUY",E1522-(ROUND(F1522*J1522/B1522,0)*B1522),E1522+(ROUND(F1522*J1522/B1522,0)*B1522)))</f>
        <v>#DIV/0!</v>
      </c>
      <c r="K1523" s="29" t="e">
        <f>IF(C1522=1,IF(D1522="BUY",E1522-(ROUND(F1522*K1522/B1522,0)*B1522),E1522+(ROUND(F1522*K1522/B1522,0)*B1522)),IF(D1522="BUY",E1522-(ROUND(F1522*K1522/B1522,0)*B1522),E1522+(ROUND(F1522*K1522/B1522,0)*B1522)))</f>
        <v>#DIV/0!</v>
      </c>
      <c r="L1523" s="29" t="e">
        <f t="shared" ref="L1523" si="2279">IF(D1523="BUY",I1523+(R1523*B1523),I1523-(R1523*B1523))</f>
        <v>#DIV/0!</v>
      </c>
      <c r="M1523" s="29" t="e">
        <f>IF(D1522="BUY",E1522+(ROUND(F1522*M1522/B1522,0)*B1522),E1522-(ROUND(F1522*M1522/B1522,0)*B1522))</f>
        <v>#DIV/0!</v>
      </c>
      <c r="N1523" s="29" t="e">
        <f>IF(D1522="BUY",E1522-(ROUND(F1522*N1522/B1522,0)*B1522),E1522+(ROUND(F1522*N1522/B1522,0)*B1522))</f>
        <v>#DIV/0!</v>
      </c>
      <c r="O1523" s="31" t="e">
        <f>IF(D1523="BUY",N1523-VLOOKUP(A1523,Symbols!A$1:D$1000,4,FALSE),N1523+VLOOKUP(A1523,Symbols!A$1:D$1000,4,FALSE))</f>
        <v>#DIV/0!</v>
      </c>
      <c r="P1523" s="29">
        <f>P1522</f>
        <v>0</v>
      </c>
      <c r="Q1523" s="29">
        <f>Q1522</f>
        <v>0</v>
      </c>
      <c r="R1523" s="29">
        <f>R1522</f>
        <v>0</v>
      </c>
      <c r="S1523" s="29">
        <f>S1522</f>
        <v>0</v>
      </c>
      <c r="T1523" s="29">
        <f>T1522</f>
        <v>0</v>
      </c>
      <c r="U1523" s="29" t="e">
        <f>DATEDIF(DATE(1970,1,1),U1522,"D")*86400</f>
        <v>#NUM!</v>
      </c>
      <c r="V1523" s="29">
        <f>HOUR(V1522)*3600+MINUTE(V1522)*60+SECOND(V1522)</f>
        <v>0</v>
      </c>
      <c r="W1523" s="29" t="e">
        <f>DATEDIF(DATE(1970,1,1),W1522,"D")*86400</f>
        <v>#NUM!</v>
      </c>
      <c r="X1523" s="29">
        <f>HOUR(X1522)*3600+MINUTE(X1522)*60+SECOND(X1522)</f>
        <v>0</v>
      </c>
      <c r="Y1523" s="31">
        <f>(Y1522*B1523)</f>
        <v>0</v>
      </c>
      <c r="Z1523" s="29">
        <f>Z1522</f>
        <v>0</v>
      </c>
      <c r="AA1523" s="29" t="e">
        <f>DATEDIF(DATE(1970,1,1),AA1522,"D")*86400</f>
        <v>#NUM!</v>
      </c>
      <c r="AB1523" s="29">
        <f>HOUR(AB1522)*3600+MINUTE(AB1522)*60+SECOND(AB1522)</f>
        <v>0</v>
      </c>
      <c r="AC1523" s="29">
        <f>AC1522</f>
        <v>0</v>
      </c>
    </row>
    <row r="1524" spans="1:29">
      <c r="A1524" s="23">
        <f>Parameters!A763</f>
        <v>0</v>
      </c>
      <c r="B1524" s="23">
        <f>Parameters!B763</f>
        <v>0</v>
      </c>
      <c r="C1524" s="24">
        <f>Parameters!C763</f>
        <v>0</v>
      </c>
      <c r="D1524" s="24">
        <f>Parameters!D763</f>
        <v>0</v>
      </c>
      <c r="E1524" s="23">
        <f>Parameters!E763</f>
        <v>0</v>
      </c>
      <c r="F1524" s="23">
        <f>Parameters!F763</f>
        <v>0</v>
      </c>
      <c r="G1524" s="25">
        <f>Parameters!G763</f>
        <v>0</v>
      </c>
      <c r="H1524" s="25">
        <f>Parameters!H763</f>
        <v>0</v>
      </c>
      <c r="I1524" s="25">
        <f>Parameters!I763</f>
        <v>0</v>
      </c>
      <c r="J1524" s="25">
        <f>Parameters!J763</f>
        <v>0</v>
      </c>
      <c r="K1524" s="25">
        <f>Parameters!K763</f>
        <v>0</v>
      </c>
      <c r="L1524" s="26" t="e">
        <f t="shared" ref="L1524" si="2280">L1525</f>
        <v>#DIV/0!</v>
      </c>
      <c r="M1524" s="25">
        <f>Parameters!L763</f>
        <v>0</v>
      </c>
      <c r="N1524" s="25">
        <f>Parameters!M763</f>
        <v>0</v>
      </c>
      <c r="O1524" s="26" t="e">
        <f t="shared" ref="O1524" si="2281">O1525</f>
        <v>#DIV/0!</v>
      </c>
      <c r="P1524" s="23">
        <f>Parameters!N763</f>
        <v>0</v>
      </c>
      <c r="Q1524" s="23">
        <f>Parameters!O763</f>
        <v>0</v>
      </c>
      <c r="R1524" s="23">
        <f>Parameters!P763</f>
        <v>0</v>
      </c>
      <c r="S1524" s="23">
        <f>Parameters!Q763</f>
        <v>0</v>
      </c>
      <c r="T1524" s="23">
        <f>Parameters!R763</f>
        <v>0</v>
      </c>
      <c r="U1524" s="27">
        <f>Parameters!S763</f>
        <v>0</v>
      </c>
      <c r="V1524" s="28">
        <f>Parameters!T763</f>
        <v>0</v>
      </c>
      <c r="W1524" s="27">
        <f>Parameters!U763</f>
        <v>0</v>
      </c>
      <c r="X1524" s="28">
        <f>Parameters!V763</f>
        <v>0</v>
      </c>
      <c r="Y1524" s="25">
        <f>Parameters!W763</f>
        <v>0</v>
      </c>
      <c r="Z1524" s="23">
        <f>Parameters!X763</f>
        <v>0</v>
      </c>
      <c r="AA1524" s="27">
        <f>Parameters!Y763</f>
        <v>0</v>
      </c>
      <c r="AB1524" s="28">
        <f>Parameters!Z763</f>
        <v>0</v>
      </c>
      <c r="AC1524" s="23">
        <f>Parameters!AA763</f>
        <v>0</v>
      </c>
    </row>
    <row r="1525" spans="1:29">
      <c r="A1525" s="29" t="str">
        <f>UPPER(A1524)</f>
        <v>0</v>
      </c>
      <c r="B1525" s="29">
        <f>B1524</f>
        <v>0</v>
      </c>
      <c r="C1525" s="30">
        <f>C1524</f>
        <v>0</v>
      </c>
      <c r="D1525" s="30">
        <f>D1524</f>
        <v>0</v>
      </c>
      <c r="E1525" s="29">
        <f>E1524</f>
        <v>0</v>
      </c>
      <c r="F1525" s="29">
        <f>F1524</f>
        <v>0</v>
      </c>
      <c r="G1525" s="29" t="e">
        <f>IF(C1524=1,IF(D1524="BUY",E1524+(ROUND(F1524*G1524/B1524,0)*B1524),E1524-(ROUND(F1524*G1524/B1524,0)*B1524)),IF(D1524="BUY",E1524-(ROUND(F1524*G1524/B1524,0)*B1524),E1524+(ROUND(F1524*G1524/B1524,0)*B1524)))</f>
        <v>#DIV/0!</v>
      </c>
      <c r="H1525" s="29" t="e">
        <f>IF(C1524=1,IF(D1524="BUY",G1525-(ROUND(F1524*H1524/B1524,0)*B1524),G1525+(ROUND(F1524*H1524/B1524,0)*B1524)),IF(D1524="BUY",G1525+(ROUND(F1524*H1524/B1524,0)*B1524),G1525-(ROUND(F1524*H1524/B1524,0)*B1524)))</f>
        <v>#DIV/0!</v>
      </c>
      <c r="I1525" s="29" t="e">
        <f>IF(D1524="BUY",G1525+(ROUND(F1524*I1524/(B1524*100),0)*B1524),G1525-(ROUND(F1524*I1524/(B1524*100),0)*B1524))</f>
        <v>#DIV/0!</v>
      </c>
      <c r="J1525" s="29" t="e">
        <f>IF(C1524=1,IF(D1524="BUY",E1524+(ROUND(F1524*J1524/B1524,0)*B1524),E1524-(ROUND(F1524*J1524/B1524,0)*B1524)),IF(D1524="BUY",E1524-(ROUND(F1524*J1524/B1524,0)*B1524),E1524+(ROUND(F1524*J1524/B1524,0)*B1524)))</f>
        <v>#DIV/0!</v>
      </c>
      <c r="K1525" s="29" t="e">
        <f>IF(C1524=1,IF(D1524="BUY",E1524-(ROUND(F1524*K1524/B1524,0)*B1524),E1524+(ROUND(F1524*K1524/B1524,0)*B1524)),IF(D1524="BUY",E1524-(ROUND(F1524*K1524/B1524,0)*B1524),E1524+(ROUND(F1524*K1524/B1524,0)*B1524)))</f>
        <v>#DIV/0!</v>
      </c>
      <c r="L1525" s="29" t="e">
        <f t="shared" ref="L1525" si="2282">IF(D1525="BUY",I1525+(R1525*B1525),I1525-(R1525*B1525))</f>
        <v>#DIV/0!</v>
      </c>
      <c r="M1525" s="29" t="e">
        <f>IF(D1524="BUY",E1524+(ROUND(F1524*M1524/B1524,0)*B1524),E1524-(ROUND(F1524*M1524/B1524,0)*B1524))</f>
        <v>#DIV/0!</v>
      </c>
      <c r="N1525" s="29" t="e">
        <f>IF(D1524="BUY",E1524-(ROUND(F1524*N1524/B1524,0)*B1524),E1524+(ROUND(F1524*N1524/B1524,0)*B1524))</f>
        <v>#DIV/0!</v>
      </c>
      <c r="O1525" s="31" t="e">
        <f>IF(D1525="BUY",N1525-VLOOKUP(A1525,Symbols!A$1:D$1000,4,FALSE),N1525+VLOOKUP(A1525,Symbols!A$1:D$1000,4,FALSE))</f>
        <v>#DIV/0!</v>
      </c>
      <c r="P1525" s="29">
        <f>P1524</f>
        <v>0</v>
      </c>
      <c r="Q1525" s="29">
        <f>Q1524</f>
        <v>0</v>
      </c>
      <c r="R1525" s="29">
        <f>R1524</f>
        <v>0</v>
      </c>
      <c r="S1525" s="29">
        <f>S1524</f>
        <v>0</v>
      </c>
      <c r="T1525" s="29">
        <f>T1524</f>
        <v>0</v>
      </c>
      <c r="U1525" s="29" t="e">
        <f>DATEDIF(DATE(1970,1,1),U1524,"D")*86400</f>
        <v>#NUM!</v>
      </c>
      <c r="V1525" s="29">
        <f>HOUR(V1524)*3600+MINUTE(V1524)*60+SECOND(V1524)</f>
        <v>0</v>
      </c>
      <c r="W1525" s="29" t="e">
        <f>DATEDIF(DATE(1970,1,1),W1524,"D")*86400</f>
        <v>#NUM!</v>
      </c>
      <c r="X1525" s="29">
        <f>HOUR(X1524)*3600+MINUTE(X1524)*60+SECOND(X1524)</f>
        <v>0</v>
      </c>
      <c r="Y1525" s="31">
        <f>(Y1524*B1525)</f>
        <v>0</v>
      </c>
      <c r="Z1525" s="29">
        <f>Z1524</f>
        <v>0</v>
      </c>
      <c r="AA1525" s="29" t="e">
        <f>DATEDIF(DATE(1970,1,1),AA1524,"D")*86400</f>
        <v>#NUM!</v>
      </c>
      <c r="AB1525" s="29">
        <f>HOUR(AB1524)*3600+MINUTE(AB1524)*60+SECOND(AB1524)</f>
        <v>0</v>
      </c>
      <c r="AC1525" s="29">
        <f>AC1524</f>
        <v>0</v>
      </c>
    </row>
    <row r="1526" spans="1:29">
      <c r="A1526" s="23">
        <f>Parameters!A764</f>
        <v>0</v>
      </c>
      <c r="B1526" s="23">
        <f>Parameters!B764</f>
        <v>0</v>
      </c>
      <c r="C1526" s="24">
        <f>Parameters!C764</f>
        <v>0</v>
      </c>
      <c r="D1526" s="24">
        <f>Parameters!D764</f>
        <v>0</v>
      </c>
      <c r="E1526" s="23">
        <f>Parameters!E764</f>
        <v>0</v>
      </c>
      <c r="F1526" s="23">
        <f>Parameters!F764</f>
        <v>0</v>
      </c>
      <c r="G1526" s="25">
        <f>Parameters!G764</f>
        <v>0</v>
      </c>
      <c r="H1526" s="25">
        <f>Parameters!H764</f>
        <v>0</v>
      </c>
      <c r="I1526" s="25">
        <f>Parameters!I764</f>
        <v>0</v>
      </c>
      <c r="J1526" s="25">
        <f>Parameters!J764</f>
        <v>0</v>
      </c>
      <c r="K1526" s="25">
        <f>Parameters!K764</f>
        <v>0</v>
      </c>
      <c r="L1526" s="26" t="e">
        <f t="shared" ref="L1526" si="2283">L1527</f>
        <v>#DIV/0!</v>
      </c>
      <c r="M1526" s="25">
        <f>Parameters!L764</f>
        <v>0</v>
      </c>
      <c r="N1526" s="25">
        <f>Parameters!M764</f>
        <v>0</v>
      </c>
      <c r="O1526" s="26" t="e">
        <f t="shared" ref="O1526" si="2284">O1527</f>
        <v>#DIV/0!</v>
      </c>
      <c r="P1526" s="23">
        <f>Parameters!N764</f>
        <v>0</v>
      </c>
      <c r="Q1526" s="23">
        <f>Parameters!O764</f>
        <v>0</v>
      </c>
      <c r="R1526" s="23">
        <f>Parameters!P764</f>
        <v>0</v>
      </c>
      <c r="S1526" s="23">
        <f>Parameters!Q764</f>
        <v>0</v>
      </c>
      <c r="T1526" s="23">
        <f>Parameters!R764</f>
        <v>0</v>
      </c>
      <c r="U1526" s="27">
        <f>Parameters!S764</f>
        <v>0</v>
      </c>
      <c r="V1526" s="28">
        <f>Parameters!T764</f>
        <v>0</v>
      </c>
      <c r="W1526" s="27">
        <f>Parameters!U764</f>
        <v>0</v>
      </c>
      <c r="X1526" s="28">
        <f>Parameters!V764</f>
        <v>0</v>
      </c>
      <c r="Y1526" s="25">
        <f>Parameters!W764</f>
        <v>0</v>
      </c>
      <c r="Z1526" s="23">
        <f>Parameters!X764</f>
        <v>0</v>
      </c>
      <c r="AA1526" s="27">
        <f>Parameters!Y764</f>
        <v>0</v>
      </c>
      <c r="AB1526" s="28">
        <f>Parameters!Z764</f>
        <v>0</v>
      </c>
      <c r="AC1526" s="23">
        <f>Parameters!AA764</f>
        <v>0</v>
      </c>
    </row>
    <row r="1527" spans="1:29">
      <c r="A1527" s="29" t="str">
        <f>UPPER(A1526)</f>
        <v>0</v>
      </c>
      <c r="B1527" s="29">
        <f>B1526</f>
        <v>0</v>
      </c>
      <c r="C1527" s="30">
        <f>C1526</f>
        <v>0</v>
      </c>
      <c r="D1527" s="30">
        <f>D1526</f>
        <v>0</v>
      </c>
      <c r="E1527" s="29">
        <f>E1526</f>
        <v>0</v>
      </c>
      <c r="F1527" s="29">
        <f>F1526</f>
        <v>0</v>
      </c>
      <c r="G1527" s="29" t="e">
        <f>IF(C1526=1,IF(D1526="BUY",E1526+(ROUND(F1526*G1526/B1526,0)*B1526),E1526-(ROUND(F1526*G1526/B1526,0)*B1526)),IF(D1526="BUY",E1526-(ROUND(F1526*G1526/B1526,0)*B1526),E1526+(ROUND(F1526*G1526/B1526,0)*B1526)))</f>
        <v>#DIV/0!</v>
      </c>
      <c r="H1527" s="29" t="e">
        <f>IF(C1526=1,IF(D1526="BUY",G1527-(ROUND(F1526*H1526/B1526,0)*B1526),G1527+(ROUND(F1526*H1526/B1526,0)*B1526)),IF(D1526="BUY",G1527+(ROUND(F1526*H1526/B1526,0)*B1526),G1527-(ROUND(F1526*H1526/B1526,0)*B1526)))</f>
        <v>#DIV/0!</v>
      </c>
      <c r="I1527" s="29" t="e">
        <f>IF(D1526="BUY",G1527+(ROUND(F1526*I1526/(B1526*100),0)*B1526),G1527-(ROUND(F1526*I1526/(B1526*100),0)*B1526))</f>
        <v>#DIV/0!</v>
      </c>
      <c r="J1527" s="29" t="e">
        <f>IF(C1526=1,IF(D1526="BUY",E1526+(ROUND(F1526*J1526/B1526,0)*B1526),E1526-(ROUND(F1526*J1526/B1526,0)*B1526)),IF(D1526="BUY",E1526-(ROUND(F1526*J1526/B1526,0)*B1526),E1526+(ROUND(F1526*J1526/B1526,0)*B1526)))</f>
        <v>#DIV/0!</v>
      </c>
      <c r="K1527" s="29" t="e">
        <f>IF(C1526=1,IF(D1526="BUY",E1526-(ROUND(F1526*K1526/B1526,0)*B1526),E1526+(ROUND(F1526*K1526/B1526,0)*B1526)),IF(D1526="BUY",E1526-(ROUND(F1526*K1526/B1526,0)*B1526),E1526+(ROUND(F1526*K1526/B1526,0)*B1526)))</f>
        <v>#DIV/0!</v>
      </c>
      <c r="L1527" s="29" t="e">
        <f t="shared" ref="L1527" si="2285">IF(D1527="BUY",I1527+(R1527*B1527),I1527-(R1527*B1527))</f>
        <v>#DIV/0!</v>
      </c>
      <c r="M1527" s="29" t="e">
        <f>IF(D1526="BUY",E1526+(ROUND(F1526*M1526/B1526,0)*B1526),E1526-(ROUND(F1526*M1526/B1526,0)*B1526))</f>
        <v>#DIV/0!</v>
      </c>
      <c r="N1527" s="29" t="e">
        <f>IF(D1526="BUY",E1526-(ROUND(F1526*N1526/B1526,0)*B1526),E1526+(ROUND(F1526*N1526/B1526,0)*B1526))</f>
        <v>#DIV/0!</v>
      </c>
      <c r="O1527" s="31" t="e">
        <f>IF(D1527="BUY",N1527-VLOOKUP(A1527,Symbols!A$1:D$1000,4,FALSE),N1527+VLOOKUP(A1527,Symbols!A$1:D$1000,4,FALSE))</f>
        <v>#DIV/0!</v>
      </c>
      <c r="P1527" s="29">
        <f>P1526</f>
        <v>0</v>
      </c>
      <c r="Q1527" s="29">
        <f>Q1526</f>
        <v>0</v>
      </c>
      <c r="R1527" s="29">
        <f>R1526</f>
        <v>0</v>
      </c>
      <c r="S1527" s="29">
        <f>S1526</f>
        <v>0</v>
      </c>
      <c r="T1527" s="29">
        <f>T1526</f>
        <v>0</v>
      </c>
      <c r="U1527" s="29" t="e">
        <f>DATEDIF(DATE(1970,1,1),U1526,"D")*86400</f>
        <v>#NUM!</v>
      </c>
      <c r="V1527" s="29">
        <f>HOUR(V1526)*3600+MINUTE(V1526)*60+SECOND(V1526)</f>
        <v>0</v>
      </c>
      <c r="W1527" s="29" t="e">
        <f>DATEDIF(DATE(1970,1,1),W1526,"D")*86400</f>
        <v>#NUM!</v>
      </c>
      <c r="X1527" s="29">
        <f>HOUR(X1526)*3600+MINUTE(X1526)*60+SECOND(X1526)</f>
        <v>0</v>
      </c>
      <c r="Y1527" s="31">
        <f>(Y1526*B1527)</f>
        <v>0</v>
      </c>
      <c r="Z1527" s="29">
        <f>Z1526</f>
        <v>0</v>
      </c>
      <c r="AA1527" s="29" t="e">
        <f>DATEDIF(DATE(1970,1,1),AA1526,"D")*86400</f>
        <v>#NUM!</v>
      </c>
      <c r="AB1527" s="29">
        <f>HOUR(AB1526)*3600+MINUTE(AB1526)*60+SECOND(AB1526)</f>
        <v>0</v>
      </c>
      <c r="AC1527" s="29">
        <f>AC1526</f>
        <v>0</v>
      </c>
    </row>
    <row r="1528" spans="1:29">
      <c r="A1528" s="23">
        <f>Parameters!A765</f>
        <v>0</v>
      </c>
      <c r="B1528" s="23">
        <f>Parameters!B765</f>
        <v>0</v>
      </c>
      <c r="C1528" s="24">
        <f>Parameters!C765</f>
        <v>0</v>
      </c>
      <c r="D1528" s="24">
        <f>Parameters!D765</f>
        <v>0</v>
      </c>
      <c r="E1528" s="23">
        <f>Parameters!E765</f>
        <v>0</v>
      </c>
      <c r="F1528" s="23">
        <f>Parameters!F765</f>
        <v>0</v>
      </c>
      <c r="G1528" s="25">
        <f>Parameters!G765</f>
        <v>0</v>
      </c>
      <c r="H1528" s="25">
        <f>Parameters!H765</f>
        <v>0</v>
      </c>
      <c r="I1528" s="25">
        <f>Parameters!I765</f>
        <v>0</v>
      </c>
      <c r="J1528" s="25">
        <f>Parameters!J765</f>
        <v>0</v>
      </c>
      <c r="K1528" s="25">
        <f>Parameters!K765</f>
        <v>0</v>
      </c>
      <c r="L1528" s="26" t="e">
        <f t="shared" ref="L1528" si="2286">L1529</f>
        <v>#DIV/0!</v>
      </c>
      <c r="M1528" s="25">
        <f>Parameters!L765</f>
        <v>0</v>
      </c>
      <c r="N1528" s="25">
        <f>Parameters!M765</f>
        <v>0</v>
      </c>
      <c r="O1528" s="26" t="e">
        <f t="shared" ref="O1528" si="2287">O1529</f>
        <v>#DIV/0!</v>
      </c>
      <c r="P1528" s="23">
        <f>Parameters!N765</f>
        <v>0</v>
      </c>
      <c r="Q1528" s="23">
        <f>Parameters!O765</f>
        <v>0</v>
      </c>
      <c r="R1528" s="23">
        <f>Parameters!P765</f>
        <v>0</v>
      </c>
      <c r="S1528" s="23">
        <f>Parameters!Q765</f>
        <v>0</v>
      </c>
      <c r="T1528" s="23">
        <f>Parameters!R765</f>
        <v>0</v>
      </c>
      <c r="U1528" s="27">
        <f>Parameters!S765</f>
        <v>0</v>
      </c>
      <c r="V1528" s="28">
        <f>Parameters!T765</f>
        <v>0</v>
      </c>
      <c r="W1528" s="27">
        <f>Parameters!U765</f>
        <v>0</v>
      </c>
      <c r="X1528" s="28">
        <f>Parameters!V765</f>
        <v>0</v>
      </c>
      <c r="Y1528" s="25">
        <f>Parameters!W765</f>
        <v>0</v>
      </c>
      <c r="Z1528" s="23">
        <f>Parameters!X765</f>
        <v>0</v>
      </c>
      <c r="AA1528" s="27">
        <f>Parameters!Y765</f>
        <v>0</v>
      </c>
      <c r="AB1528" s="28">
        <f>Parameters!Z765</f>
        <v>0</v>
      </c>
      <c r="AC1528" s="23">
        <f>Parameters!AA765</f>
        <v>0</v>
      </c>
    </row>
    <row r="1529" spans="1:29">
      <c r="A1529" s="29" t="str">
        <f>UPPER(A1528)</f>
        <v>0</v>
      </c>
      <c r="B1529" s="29">
        <f>B1528</f>
        <v>0</v>
      </c>
      <c r="C1529" s="30">
        <f>C1528</f>
        <v>0</v>
      </c>
      <c r="D1529" s="30">
        <f>D1528</f>
        <v>0</v>
      </c>
      <c r="E1529" s="29">
        <f>E1528</f>
        <v>0</v>
      </c>
      <c r="F1529" s="29">
        <f>F1528</f>
        <v>0</v>
      </c>
      <c r="G1529" s="29" t="e">
        <f>IF(C1528=1,IF(D1528="BUY",E1528+(ROUND(F1528*G1528/B1528,0)*B1528),E1528-(ROUND(F1528*G1528/B1528,0)*B1528)),IF(D1528="BUY",E1528-(ROUND(F1528*G1528/B1528,0)*B1528),E1528+(ROUND(F1528*G1528/B1528,0)*B1528)))</f>
        <v>#DIV/0!</v>
      </c>
      <c r="H1529" s="29" t="e">
        <f>IF(C1528=1,IF(D1528="BUY",G1529-(ROUND(F1528*H1528/B1528,0)*B1528),G1529+(ROUND(F1528*H1528/B1528,0)*B1528)),IF(D1528="BUY",G1529+(ROUND(F1528*H1528/B1528,0)*B1528),G1529-(ROUND(F1528*H1528/B1528,0)*B1528)))</f>
        <v>#DIV/0!</v>
      </c>
      <c r="I1529" s="29" t="e">
        <f>IF(D1528="BUY",G1529+(ROUND(F1528*I1528/(B1528*100),0)*B1528),G1529-(ROUND(F1528*I1528/(B1528*100),0)*B1528))</f>
        <v>#DIV/0!</v>
      </c>
      <c r="J1529" s="29" t="e">
        <f>IF(C1528=1,IF(D1528="BUY",E1528+(ROUND(F1528*J1528/B1528,0)*B1528),E1528-(ROUND(F1528*J1528/B1528,0)*B1528)),IF(D1528="BUY",E1528-(ROUND(F1528*J1528/B1528,0)*B1528),E1528+(ROUND(F1528*J1528/B1528,0)*B1528)))</f>
        <v>#DIV/0!</v>
      </c>
      <c r="K1529" s="29" t="e">
        <f>IF(C1528=1,IF(D1528="BUY",E1528-(ROUND(F1528*K1528/B1528,0)*B1528),E1528+(ROUND(F1528*K1528/B1528,0)*B1528)),IF(D1528="BUY",E1528-(ROUND(F1528*K1528/B1528,0)*B1528),E1528+(ROUND(F1528*K1528/B1528,0)*B1528)))</f>
        <v>#DIV/0!</v>
      </c>
      <c r="L1529" s="29" t="e">
        <f t="shared" ref="L1529" si="2288">IF(D1529="BUY",I1529+(R1529*B1529),I1529-(R1529*B1529))</f>
        <v>#DIV/0!</v>
      </c>
      <c r="M1529" s="29" t="e">
        <f>IF(D1528="BUY",E1528+(ROUND(F1528*M1528/B1528,0)*B1528),E1528-(ROUND(F1528*M1528/B1528,0)*B1528))</f>
        <v>#DIV/0!</v>
      </c>
      <c r="N1529" s="29" t="e">
        <f>IF(D1528="BUY",E1528-(ROUND(F1528*N1528/B1528,0)*B1528),E1528+(ROUND(F1528*N1528/B1528,0)*B1528))</f>
        <v>#DIV/0!</v>
      </c>
      <c r="O1529" s="31" t="e">
        <f>IF(D1529="BUY",N1529-VLOOKUP(A1529,Symbols!A$1:D$1000,4,FALSE),N1529+VLOOKUP(A1529,Symbols!A$1:D$1000,4,FALSE))</f>
        <v>#DIV/0!</v>
      </c>
      <c r="P1529" s="29">
        <f>P1528</f>
        <v>0</v>
      </c>
      <c r="Q1529" s="29">
        <f>Q1528</f>
        <v>0</v>
      </c>
      <c r="R1529" s="29">
        <f>R1528</f>
        <v>0</v>
      </c>
      <c r="S1529" s="29">
        <f>S1528</f>
        <v>0</v>
      </c>
      <c r="T1529" s="29">
        <f>T1528</f>
        <v>0</v>
      </c>
      <c r="U1529" s="29" t="e">
        <f>DATEDIF(DATE(1970,1,1),U1528,"D")*86400</f>
        <v>#NUM!</v>
      </c>
      <c r="V1529" s="29">
        <f>HOUR(V1528)*3600+MINUTE(V1528)*60+SECOND(V1528)</f>
        <v>0</v>
      </c>
      <c r="W1529" s="29" t="e">
        <f>DATEDIF(DATE(1970,1,1),W1528,"D")*86400</f>
        <v>#NUM!</v>
      </c>
      <c r="X1529" s="29">
        <f>HOUR(X1528)*3600+MINUTE(X1528)*60+SECOND(X1528)</f>
        <v>0</v>
      </c>
      <c r="Y1529" s="31">
        <f>(Y1528*B1529)</f>
        <v>0</v>
      </c>
      <c r="Z1529" s="29">
        <f>Z1528</f>
        <v>0</v>
      </c>
      <c r="AA1529" s="29" t="e">
        <f>DATEDIF(DATE(1970,1,1),AA1528,"D")*86400</f>
        <v>#NUM!</v>
      </c>
      <c r="AB1529" s="29">
        <f>HOUR(AB1528)*3600+MINUTE(AB1528)*60+SECOND(AB1528)</f>
        <v>0</v>
      </c>
      <c r="AC1529" s="29">
        <f>AC1528</f>
        <v>0</v>
      </c>
    </row>
    <row r="1530" spans="1:29">
      <c r="A1530" s="23">
        <f>Parameters!A766</f>
        <v>0</v>
      </c>
      <c r="B1530" s="23">
        <f>Parameters!B766</f>
        <v>0</v>
      </c>
      <c r="C1530" s="24">
        <f>Parameters!C766</f>
        <v>0</v>
      </c>
      <c r="D1530" s="24">
        <f>Parameters!D766</f>
        <v>0</v>
      </c>
      <c r="E1530" s="23">
        <f>Parameters!E766</f>
        <v>0</v>
      </c>
      <c r="F1530" s="23">
        <f>Parameters!F766</f>
        <v>0</v>
      </c>
      <c r="G1530" s="25">
        <f>Parameters!G766</f>
        <v>0</v>
      </c>
      <c r="H1530" s="25">
        <f>Parameters!H766</f>
        <v>0</v>
      </c>
      <c r="I1530" s="25">
        <f>Parameters!I766</f>
        <v>0</v>
      </c>
      <c r="J1530" s="25">
        <f>Parameters!J766</f>
        <v>0</v>
      </c>
      <c r="K1530" s="25">
        <f>Parameters!K766</f>
        <v>0</v>
      </c>
      <c r="L1530" s="26" t="e">
        <f t="shared" ref="L1530" si="2289">L1531</f>
        <v>#DIV/0!</v>
      </c>
      <c r="M1530" s="25">
        <f>Parameters!L766</f>
        <v>0</v>
      </c>
      <c r="N1530" s="25">
        <f>Parameters!M766</f>
        <v>0</v>
      </c>
      <c r="O1530" s="26" t="e">
        <f t="shared" ref="O1530" si="2290">O1531</f>
        <v>#DIV/0!</v>
      </c>
      <c r="P1530" s="23">
        <f>Parameters!N766</f>
        <v>0</v>
      </c>
      <c r="Q1530" s="23">
        <f>Parameters!O766</f>
        <v>0</v>
      </c>
      <c r="R1530" s="23">
        <f>Parameters!P766</f>
        <v>0</v>
      </c>
      <c r="S1530" s="23">
        <f>Parameters!Q766</f>
        <v>0</v>
      </c>
      <c r="T1530" s="23">
        <f>Parameters!R766</f>
        <v>0</v>
      </c>
      <c r="U1530" s="27">
        <f>Parameters!S766</f>
        <v>0</v>
      </c>
      <c r="V1530" s="28">
        <f>Parameters!T766</f>
        <v>0</v>
      </c>
      <c r="W1530" s="27">
        <f>Parameters!U766</f>
        <v>0</v>
      </c>
      <c r="X1530" s="28">
        <f>Parameters!V766</f>
        <v>0</v>
      </c>
      <c r="Y1530" s="25">
        <f>Parameters!W766</f>
        <v>0</v>
      </c>
      <c r="Z1530" s="23">
        <f>Parameters!X766</f>
        <v>0</v>
      </c>
      <c r="AA1530" s="27">
        <f>Parameters!Y766</f>
        <v>0</v>
      </c>
      <c r="AB1530" s="28">
        <f>Parameters!Z766</f>
        <v>0</v>
      </c>
      <c r="AC1530" s="23">
        <f>Parameters!AA766</f>
        <v>0</v>
      </c>
    </row>
    <row r="1531" spans="1:29">
      <c r="A1531" s="29" t="str">
        <f>UPPER(A1530)</f>
        <v>0</v>
      </c>
      <c r="B1531" s="29">
        <f>B1530</f>
        <v>0</v>
      </c>
      <c r="C1531" s="30">
        <f>C1530</f>
        <v>0</v>
      </c>
      <c r="D1531" s="30">
        <f>D1530</f>
        <v>0</v>
      </c>
      <c r="E1531" s="29">
        <f>E1530</f>
        <v>0</v>
      </c>
      <c r="F1531" s="29">
        <f>F1530</f>
        <v>0</v>
      </c>
      <c r="G1531" s="29" t="e">
        <f>IF(C1530=1,IF(D1530="BUY",E1530+(ROUND(F1530*G1530/B1530,0)*B1530),E1530-(ROUND(F1530*G1530/B1530,0)*B1530)),IF(D1530="BUY",E1530-(ROUND(F1530*G1530/B1530,0)*B1530),E1530+(ROUND(F1530*G1530/B1530,0)*B1530)))</f>
        <v>#DIV/0!</v>
      </c>
      <c r="H1531" s="29" t="e">
        <f>IF(C1530=1,IF(D1530="BUY",G1531-(ROUND(F1530*H1530/B1530,0)*B1530),G1531+(ROUND(F1530*H1530/B1530,0)*B1530)),IF(D1530="BUY",G1531+(ROUND(F1530*H1530/B1530,0)*B1530),G1531-(ROUND(F1530*H1530/B1530,0)*B1530)))</f>
        <v>#DIV/0!</v>
      </c>
      <c r="I1531" s="29" t="e">
        <f>IF(D1530="BUY",G1531+(ROUND(F1530*I1530/(B1530*100),0)*B1530),G1531-(ROUND(F1530*I1530/(B1530*100),0)*B1530))</f>
        <v>#DIV/0!</v>
      </c>
      <c r="J1531" s="29" t="e">
        <f>IF(C1530=1,IF(D1530="BUY",E1530+(ROUND(F1530*J1530/B1530,0)*B1530),E1530-(ROUND(F1530*J1530/B1530,0)*B1530)),IF(D1530="BUY",E1530-(ROUND(F1530*J1530/B1530,0)*B1530),E1530+(ROUND(F1530*J1530/B1530,0)*B1530)))</f>
        <v>#DIV/0!</v>
      </c>
      <c r="K1531" s="29" t="e">
        <f>IF(C1530=1,IF(D1530="BUY",E1530-(ROUND(F1530*K1530/B1530,0)*B1530),E1530+(ROUND(F1530*K1530/B1530,0)*B1530)),IF(D1530="BUY",E1530-(ROUND(F1530*K1530/B1530,0)*B1530),E1530+(ROUND(F1530*K1530/B1530,0)*B1530)))</f>
        <v>#DIV/0!</v>
      </c>
      <c r="L1531" s="29" t="e">
        <f t="shared" ref="L1531" si="2291">IF(D1531="BUY",I1531+(R1531*B1531),I1531-(R1531*B1531))</f>
        <v>#DIV/0!</v>
      </c>
      <c r="M1531" s="29" t="e">
        <f>IF(D1530="BUY",E1530+(ROUND(F1530*M1530/B1530,0)*B1530),E1530-(ROUND(F1530*M1530/B1530,0)*B1530))</f>
        <v>#DIV/0!</v>
      </c>
      <c r="N1531" s="29" t="e">
        <f>IF(D1530="BUY",E1530-(ROUND(F1530*N1530/B1530,0)*B1530),E1530+(ROUND(F1530*N1530/B1530,0)*B1530))</f>
        <v>#DIV/0!</v>
      </c>
      <c r="O1531" s="31" t="e">
        <f>IF(D1531="BUY",N1531-VLOOKUP(A1531,Symbols!A$1:D$1000,4,FALSE),N1531+VLOOKUP(A1531,Symbols!A$1:D$1000,4,FALSE))</f>
        <v>#DIV/0!</v>
      </c>
      <c r="P1531" s="29">
        <f>P1530</f>
        <v>0</v>
      </c>
      <c r="Q1531" s="29">
        <f>Q1530</f>
        <v>0</v>
      </c>
      <c r="R1531" s="29">
        <f>R1530</f>
        <v>0</v>
      </c>
      <c r="S1531" s="29">
        <f>S1530</f>
        <v>0</v>
      </c>
      <c r="T1531" s="29">
        <f>T1530</f>
        <v>0</v>
      </c>
      <c r="U1531" s="29" t="e">
        <f>DATEDIF(DATE(1970,1,1),U1530,"D")*86400</f>
        <v>#NUM!</v>
      </c>
      <c r="V1531" s="29">
        <f>HOUR(V1530)*3600+MINUTE(V1530)*60+SECOND(V1530)</f>
        <v>0</v>
      </c>
      <c r="W1531" s="29" t="e">
        <f>DATEDIF(DATE(1970,1,1),W1530,"D")*86400</f>
        <v>#NUM!</v>
      </c>
      <c r="X1531" s="29">
        <f>HOUR(X1530)*3600+MINUTE(X1530)*60+SECOND(X1530)</f>
        <v>0</v>
      </c>
      <c r="Y1531" s="31">
        <f>(Y1530*B1531)</f>
        <v>0</v>
      </c>
      <c r="Z1531" s="29">
        <f>Z1530</f>
        <v>0</v>
      </c>
      <c r="AA1531" s="29" t="e">
        <f>DATEDIF(DATE(1970,1,1),AA1530,"D")*86400</f>
        <v>#NUM!</v>
      </c>
      <c r="AB1531" s="29">
        <f>HOUR(AB1530)*3600+MINUTE(AB1530)*60+SECOND(AB1530)</f>
        <v>0</v>
      </c>
      <c r="AC1531" s="29">
        <f>AC1530</f>
        <v>0</v>
      </c>
    </row>
    <row r="1532" spans="1:29">
      <c r="A1532" s="23">
        <f>Parameters!A767</f>
        <v>0</v>
      </c>
      <c r="B1532" s="23">
        <f>Parameters!B767</f>
        <v>0</v>
      </c>
      <c r="C1532" s="24">
        <f>Parameters!C767</f>
        <v>0</v>
      </c>
      <c r="D1532" s="24">
        <f>Parameters!D767</f>
        <v>0</v>
      </c>
      <c r="E1532" s="23">
        <f>Parameters!E767</f>
        <v>0</v>
      </c>
      <c r="F1532" s="23">
        <f>Parameters!F767</f>
        <v>0</v>
      </c>
      <c r="G1532" s="25">
        <f>Parameters!G767</f>
        <v>0</v>
      </c>
      <c r="H1532" s="25">
        <f>Parameters!H767</f>
        <v>0</v>
      </c>
      <c r="I1532" s="25">
        <f>Parameters!I767</f>
        <v>0</v>
      </c>
      <c r="J1532" s="25">
        <f>Parameters!J767</f>
        <v>0</v>
      </c>
      <c r="K1532" s="25">
        <f>Parameters!K767</f>
        <v>0</v>
      </c>
      <c r="L1532" s="26" t="e">
        <f t="shared" ref="L1532" si="2292">L1533</f>
        <v>#DIV/0!</v>
      </c>
      <c r="M1532" s="25">
        <f>Parameters!L767</f>
        <v>0</v>
      </c>
      <c r="N1532" s="25">
        <f>Parameters!M767</f>
        <v>0</v>
      </c>
      <c r="O1532" s="26" t="e">
        <f t="shared" ref="O1532" si="2293">O1533</f>
        <v>#DIV/0!</v>
      </c>
      <c r="P1532" s="23">
        <f>Parameters!N767</f>
        <v>0</v>
      </c>
      <c r="Q1532" s="23">
        <f>Parameters!O767</f>
        <v>0</v>
      </c>
      <c r="R1532" s="23">
        <f>Parameters!P767</f>
        <v>0</v>
      </c>
      <c r="S1532" s="23">
        <f>Parameters!Q767</f>
        <v>0</v>
      </c>
      <c r="T1532" s="23">
        <f>Parameters!R767</f>
        <v>0</v>
      </c>
      <c r="U1532" s="27">
        <f>Parameters!S767</f>
        <v>0</v>
      </c>
      <c r="V1532" s="28">
        <f>Parameters!T767</f>
        <v>0</v>
      </c>
      <c r="W1532" s="27">
        <f>Parameters!U767</f>
        <v>0</v>
      </c>
      <c r="X1532" s="28">
        <f>Parameters!V767</f>
        <v>0</v>
      </c>
      <c r="Y1532" s="25">
        <f>Parameters!W767</f>
        <v>0</v>
      </c>
      <c r="Z1532" s="23">
        <f>Parameters!X767</f>
        <v>0</v>
      </c>
      <c r="AA1532" s="27">
        <f>Parameters!Y767</f>
        <v>0</v>
      </c>
      <c r="AB1532" s="28">
        <f>Parameters!Z767</f>
        <v>0</v>
      </c>
      <c r="AC1532" s="23">
        <f>Parameters!AA767</f>
        <v>0</v>
      </c>
    </row>
    <row r="1533" spans="1:29">
      <c r="A1533" s="29" t="str">
        <f>UPPER(A1532)</f>
        <v>0</v>
      </c>
      <c r="B1533" s="29">
        <f>B1532</f>
        <v>0</v>
      </c>
      <c r="C1533" s="30">
        <f>C1532</f>
        <v>0</v>
      </c>
      <c r="D1533" s="30">
        <f>D1532</f>
        <v>0</v>
      </c>
      <c r="E1533" s="29">
        <f>E1532</f>
        <v>0</v>
      </c>
      <c r="F1533" s="29">
        <f>F1532</f>
        <v>0</v>
      </c>
      <c r="G1533" s="29" t="e">
        <f>IF(C1532=1,IF(D1532="BUY",E1532+(ROUND(F1532*G1532/B1532,0)*B1532),E1532-(ROUND(F1532*G1532/B1532,0)*B1532)),IF(D1532="BUY",E1532-(ROUND(F1532*G1532/B1532,0)*B1532),E1532+(ROUND(F1532*G1532/B1532,0)*B1532)))</f>
        <v>#DIV/0!</v>
      </c>
      <c r="H1533" s="29" t="e">
        <f>IF(C1532=1,IF(D1532="BUY",G1533-(ROUND(F1532*H1532/B1532,0)*B1532),G1533+(ROUND(F1532*H1532/B1532,0)*B1532)),IF(D1532="BUY",G1533+(ROUND(F1532*H1532/B1532,0)*B1532),G1533-(ROUND(F1532*H1532/B1532,0)*B1532)))</f>
        <v>#DIV/0!</v>
      </c>
      <c r="I1533" s="29" t="e">
        <f>IF(D1532="BUY",G1533+(ROUND(F1532*I1532/(B1532*100),0)*B1532),G1533-(ROUND(F1532*I1532/(B1532*100),0)*B1532))</f>
        <v>#DIV/0!</v>
      </c>
      <c r="J1533" s="29" t="e">
        <f>IF(C1532=1,IF(D1532="BUY",E1532+(ROUND(F1532*J1532/B1532,0)*B1532),E1532-(ROUND(F1532*J1532/B1532,0)*B1532)),IF(D1532="BUY",E1532-(ROUND(F1532*J1532/B1532,0)*B1532),E1532+(ROUND(F1532*J1532/B1532,0)*B1532)))</f>
        <v>#DIV/0!</v>
      </c>
      <c r="K1533" s="29" t="e">
        <f>IF(C1532=1,IF(D1532="BUY",E1532-(ROUND(F1532*K1532/B1532,0)*B1532),E1532+(ROUND(F1532*K1532/B1532,0)*B1532)),IF(D1532="BUY",E1532-(ROUND(F1532*K1532/B1532,0)*B1532),E1532+(ROUND(F1532*K1532/B1532,0)*B1532)))</f>
        <v>#DIV/0!</v>
      </c>
      <c r="L1533" s="29" t="e">
        <f t="shared" ref="L1533" si="2294">IF(D1533="BUY",I1533+(R1533*B1533),I1533-(R1533*B1533))</f>
        <v>#DIV/0!</v>
      </c>
      <c r="M1533" s="29" t="e">
        <f>IF(D1532="BUY",E1532+(ROUND(F1532*M1532/B1532,0)*B1532),E1532-(ROUND(F1532*M1532/B1532,0)*B1532))</f>
        <v>#DIV/0!</v>
      </c>
      <c r="N1533" s="29" t="e">
        <f>IF(D1532="BUY",E1532-(ROUND(F1532*N1532/B1532,0)*B1532),E1532+(ROUND(F1532*N1532/B1532,0)*B1532))</f>
        <v>#DIV/0!</v>
      </c>
      <c r="O1533" s="31" t="e">
        <f>IF(D1533="BUY",N1533-VLOOKUP(A1533,Symbols!A$1:D$1000,4,FALSE),N1533+VLOOKUP(A1533,Symbols!A$1:D$1000,4,FALSE))</f>
        <v>#DIV/0!</v>
      </c>
      <c r="P1533" s="29">
        <f>P1532</f>
        <v>0</v>
      </c>
      <c r="Q1533" s="29">
        <f>Q1532</f>
        <v>0</v>
      </c>
      <c r="R1533" s="29">
        <f>R1532</f>
        <v>0</v>
      </c>
      <c r="S1533" s="29">
        <f>S1532</f>
        <v>0</v>
      </c>
      <c r="T1533" s="29">
        <f>T1532</f>
        <v>0</v>
      </c>
      <c r="U1533" s="29" t="e">
        <f>DATEDIF(DATE(1970,1,1),U1532,"D")*86400</f>
        <v>#NUM!</v>
      </c>
      <c r="V1533" s="29">
        <f>HOUR(V1532)*3600+MINUTE(V1532)*60+SECOND(V1532)</f>
        <v>0</v>
      </c>
      <c r="W1533" s="29" t="e">
        <f>DATEDIF(DATE(1970,1,1),W1532,"D")*86400</f>
        <v>#NUM!</v>
      </c>
      <c r="X1533" s="29">
        <f>HOUR(X1532)*3600+MINUTE(X1532)*60+SECOND(X1532)</f>
        <v>0</v>
      </c>
      <c r="Y1533" s="31">
        <f>(Y1532*B1533)</f>
        <v>0</v>
      </c>
      <c r="Z1533" s="29">
        <f>Z1532</f>
        <v>0</v>
      </c>
      <c r="AA1533" s="29" t="e">
        <f>DATEDIF(DATE(1970,1,1),AA1532,"D")*86400</f>
        <v>#NUM!</v>
      </c>
      <c r="AB1533" s="29">
        <f>HOUR(AB1532)*3600+MINUTE(AB1532)*60+SECOND(AB1532)</f>
        <v>0</v>
      </c>
      <c r="AC1533" s="29">
        <f>AC1532</f>
        <v>0</v>
      </c>
    </row>
    <row r="1534" spans="1:29">
      <c r="A1534" s="23">
        <f>Parameters!A768</f>
        <v>0</v>
      </c>
      <c r="B1534" s="23">
        <f>Parameters!B768</f>
        <v>0</v>
      </c>
      <c r="C1534" s="24">
        <f>Parameters!C768</f>
        <v>0</v>
      </c>
      <c r="D1534" s="24">
        <f>Parameters!D768</f>
        <v>0</v>
      </c>
      <c r="E1534" s="23">
        <f>Parameters!E768</f>
        <v>0</v>
      </c>
      <c r="F1534" s="23">
        <f>Parameters!F768</f>
        <v>0</v>
      </c>
      <c r="G1534" s="25">
        <f>Parameters!G768</f>
        <v>0</v>
      </c>
      <c r="H1534" s="25">
        <f>Parameters!H768</f>
        <v>0</v>
      </c>
      <c r="I1534" s="25">
        <f>Parameters!I768</f>
        <v>0</v>
      </c>
      <c r="J1534" s="25">
        <f>Parameters!J768</f>
        <v>0</v>
      </c>
      <c r="K1534" s="25">
        <f>Parameters!K768</f>
        <v>0</v>
      </c>
      <c r="L1534" s="26" t="e">
        <f t="shared" ref="L1534" si="2295">L1535</f>
        <v>#DIV/0!</v>
      </c>
      <c r="M1534" s="25">
        <f>Parameters!L768</f>
        <v>0</v>
      </c>
      <c r="N1534" s="25">
        <f>Parameters!M768</f>
        <v>0</v>
      </c>
      <c r="O1534" s="26" t="e">
        <f t="shared" ref="O1534" si="2296">O1535</f>
        <v>#DIV/0!</v>
      </c>
      <c r="P1534" s="23">
        <f>Parameters!N768</f>
        <v>0</v>
      </c>
      <c r="Q1534" s="23">
        <f>Parameters!O768</f>
        <v>0</v>
      </c>
      <c r="R1534" s="23">
        <f>Parameters!P768</f>
        <v>0</v>
      </c>
      <c r="S1534" s="23">
        <f>Parameters!Q768</f>
        <v>0</v>
      </c>
      <c r="T1534" s="23">
        <f>Parameters!R768</f>
        <v>0</v>
      </c>
      <c r="U1534" s="27">
        <f>Parameters!S768</f>
        <v>0</v>
      </c>
      <c r="V1534" s="28">
        <f>Parameters!T768</f>
        <v>0</v>
      </c>
      <c r="W1534" s="27">
        <f>Parameters!U768</f>
        <v>0</v>
      </c>
      <c r="X1534" s="28">
        <f>Parameters!V768</f>
        <v>0</v>
      </c>
      <c r="Y1534" s="25">
        <f>Parameters!W768</f>
        <v>0</v>
      </c>
      <c r="Z1534" s="23">
        <f>Parameters!X768</f>
        <v>0</v>
      </c>
      <c r="AA1534" s="27">
        <f>Parameters!Y768</f>
        <v>0</v>
      </c>
      <c r="AB1534" s="28">
        <f>Parameters!Z768</f>
        <v>0</v>
      </c>
      <c r="AC1534" s="23">
        <f>Parameters!AA768</f>
        <v>0</v>
      </c>
    </row>
    <row r="1535" spans="1:29">
      <c r="A1535" s="29" t="str">
        <f>UPPER(A1534)</f>
        <v>0</v>
      </c>
      <c r="B1535" s="29">
        <f>B1534</f>
        <v>0</v>
      </c>
      <c r="C1535" s="30">
        <f>C1534</f>
        <v>0</v>
      </c>
      <c r="D1535" s="30">
        <f>D1534</f>
        <v>0</v>
      </c>
      <c r="E1535" s="29">
        <f>E1534</f>
        <v>0</v>
      </c>
      <c r="F1535" s="29">
        <f>F1534</f>
        <v>0</v>
      </c>
      <c r="G1535" s="29" t="e">
        <f>IF(C1534=1,IF(D1534="BUY",E1534+(ROUND(F1534*G1534/B1534,0)*B1534),E1534-(ROUND(F1534*G1534/B1534,0)*B1534)),IF(D1534="BUY",E1534-(ROUND(F1534*G1534/B1534,0)*B1534),E1534+(ROUND(F1534*G1534/B1534,0)*B1534)))</f>
        <v>#DIV/0!</v>
      </c>
      <c r="H1535" s="29" t="e">
        <f>IF(C1534=1,IF(D1534="BUY",G1535-(ROUND(F1534*H1534/B1534,0)*B1534),G1535+(ROUND(F1534*H1534/B1534,0)*B1534)),IF(D1534="BUY",G1535+(ROUND(F1534*H1534/B1534,0)*B1534),G1535-(ROUND(F1534*H1534/B1534,0)*B1534)))</f>
        <v>#DIV/0!</v>
      </c>
      <c r="I1535" s="29" t="e">
        <f>IF(D1534="BUY",G1535+(ROUND(F1534*I1534/(B1534*100),0)*B1534),G1535-(ROUND(F1534*I1534/(B1534*100),0)*B1534))</f>
        <v>#DIV/0!</v>
      </c>
      <c r="J1535" s="29" t="e">
        <f>IF(C1534=1,IF(D1534="BUY",E1534+(ROUND(F1534*J1534/B1534,0)*B1534),E1534-(ROUND(F1534*J1534/B1534,0)*B1534)),IF(D1534="BUY",E1534-(ROUND(F1534*J1534/B1534,0)*B1534),E1534+(ROUND(F1534*J1534/B1534,0)*B1534)))</f>
        <v>#DIV/0!</v>
      </c>
      <c r="K1535" s="29" t="e">
        <f>IF(C1534=1,IF(D1534="BUY",E1534-(ROUND(F1534*K1534/B1534,0)*B1534),E1534+(ROUND(F1534*K1534/B1534,0)*B1534)),IF(D1534="BUY",E1534-(ROUND(F1534*K1534/B1534,0)*B1534),E1534+(ROUND(F1534*K1534/B1534,0)*B1534)))</f>
        <v>#DIV/0!</v>
      </c>
      <c r="L1535" s="29" t="e">
        <f t="shared" ref="L1535" si="2297">IF(D1535="BUY",I1535+(R1535*B1535),I1535-(R1535*B1535))</f>
        <v>#DIV/0!</v>
      </c>
      <c r="M1535" s="29" t="e">
        <f>IF(D1534="BUY",E1534+(ROUND(F1534*M1534/B1534,0)*B1534),E1534-(ROUND(F1534*M1534/B1534,0)*B1534))</f>
        <v>#DIV/0!</v>
      </c>
      <c r="N1535" s="29" t="e">
        <f>IF(D1534="BUY",E1534-(ROUND(F1534*N1534/B1534,0)*B1534),E1534+(ROUND(F1534*N1534/B1534,0)*B1534))</f>
        <v>#DIV/0!</v>
      </c>
      <c r="O1535" s="31" t="e">
        <f>IF(D1535="BUY",N1535-VLOOKUP(A1535,Symbols!A$1:D$1000,4,FALSE),N1535+VLOOKUP(A1535,Symbols!A$1:D$1000,4,FALSE))</f>
        <v>#DIV/0!</v>
      </c>
      <c r="P1535" s="29">
        <f>P1534</f>
        <v>0</v>
      </c>
      <c r="Q1535" s="29">
        <f>Q1534</f>
        <v>0</v>
      </c>
      <c r="R1535" s="29">
        <f>R1534</f>
        <v>0</v>
      </c>
      <c r="S1535" s="29">
        <f>S1534</f>
        <v>0</v>
      </c>
      <c r="T1535" s="29">
        <f>T1534</f>
        <v>0</v>
      </c>
      <c r="U1535" s="29" t="e">
        <f>DATEDIF(DATE(1970,1,1),U1534,"D")*86400</f>
        <v>#NUM!</v>
      </c>
      <c r="V1535" s="29">
        <f>HOUR(V1534)*3600+MINUTE(V1534)*60+SECOND(V1534)</f>
        <v>0</v>
      </c>
      <c r="W1535" s="29" t="e">
        <f>DATEDIF(DATE(1970,1,1),W1534,"D")*86400</f>
        <v>#NUM!</v>
      </c>
      <c r="X1535" s="29">
        <f>HOUR(X1534)*3600+MINUTE(X1534)*60+SECOND(X1534)</f>
        <v>0</v>
      </c>
      <c r="Y1535" s="31">
        <f>(Y1534*B1535)</f>
        <v>0</v>
      </c>
      <c r="Z1535" s="29">
        <f>Z1534</f>
        <v>0</v>
      </c>
      <c r="AA1535" s="29" t="e">
        <f>DATEDIF(DATE(1970,1,1),AA1534,"D")*86400</f>
        <v>#NUM!</v>
      </c>
      <c r="AB1535" s="29">
        <f>HOUR(AB1534)*3600+MINUTE(AB1534)*60+SECOND(AB1534)</f>
        <v>0</v>
      </c>
      <c r="AC1535" s="29">
        <f>AC1534</f>
        <v>0</v>
      </c>
    </row>
    <row r="1536" spans="1:29">
      <c r="A1536" s="23">
        <f>Parameters!A769</f>
        <v>0</v>
      </c>
      <c r="B1536" s="23">
        <f>Parameters!B769</f>
        <v>0</v>
      </c>
      <c r="C1536" s="24">
        <f>Parameters!C769</f>
        <v>0</v>
      </c>
      <c r="D1536" s="24">
        <f>Parameters!D769</f>
        <v>0</v>
      </c>
      <c r="E1536" s="23">
        <f>Parameters!E769</f>
        <v>0</v>
      </c>
      <c r="F1536" s="23">
        <f>Parameters!F769</f>
        <v>0</v>
      </c>
      <c r="G1536" s="25">
        <f>Parameters!G769</f>
        <v>0</v>
      </c>
      <c r="H1536" s="25">
        <f>Parameters!H769</f>
        <v>0</v>
      </c>
      <c r="I1536" s="25">
        <f>Parameters!I769</f>
        <v>0</v>
      </c>
      <c r="J1536" s="25">
        <f>Parameters!J769</f>
        <v>0</v>
      </c>
      <c r="K1536" s="25">
        <f>Parameters!K769</f>
        <v>0</v>
      </c>
      <c r="L1536" s="26" t="e">
        <f t="shared" ref="L1536" si="2298">L1537</f>
        <v>#DIV/0!</v>
      </c>
      <c r="M1536" s="25">
        <f>Parameters!L769</f>
        <v>0</v>
      </c>
      <c r="N1536" s="25">
        <f>Parameters!M769</f>
        <v>0</v>
      </c>
      <c r="O1536" s="26" t="e">
        <f t="shared" ref="O1536" si="2299">O1537</f>
        <v>#DIV/0!</v>
      </c>
      <c r="P1536" s="23">
        <f>Parameters!N769</f>
        <v>0</v>
      </c>
      <c r="Q1536" s="23">
        <f>Parameters!O769</f>
        <v>0</v>
      </c>
      <c r="R1536" s="23">
        <f>Parameters!P769</f>
        <v>0</v>
      </c>
      <c r="S1536" s="23">
        <f>Parameters!Q769</f>
        <v>0</v>
      </c>
      <c r="T1536" s="23">
        <f>Parameters!R769</f>
        <v>0</v>
      </c>
      <c r="U1536" s="27">
        <f>Parameters!S769</f>
        <v>0</v>
      </c>
      <c r="V1536" s="28">
        <f>Parameters!T769</f>
        <v>0</v>
      </c>
      <c r="W1536" s="27">
        <f>Parameters!U769</f>
        <v>0</v>
      </c>
      <c r="X1536" s="28">
        <f>Parameters!V769</f>
        <v>0</v>
      </c>
      <c r="Y1536" s="25">
        <f>Parameters!W769</f>
        <v>0</v>
      </c>
      <c r="Z1536" s="23">
        <f>Parameters!X769</f>
        <v>0</v>
      </c>
      <c r="AA1536" s="27">
        <f>Parameters!Y769</f>
        <v>0</v>
      </c>
      <c r="AB1536" s="28">
        <f>Parameters!Z769</f>
        <v>0</v>
      </c>
      <c r="AC1536" s="23">
        <f>Parameters!AA769</f>
        <v>0</v>
      </c>
    </row>
    <row r="1537" spans="1:29">
      <c r="A1537" s="29" t="str">
        <f>UPPER(A1536)</f>
        <v>0</v>
      </c>
      <c r="B1537" s="29">
        <f>B1536</f>
        <v>0</v>
      </c>
      <c r="C1537" s="30">
        <f>C1536</f>
        <v>0</v>
      </c>
      <c r="D1537" s="30">
        <f>D1536</f>
        <v>0</v>
      </c>
      <c r="E1537" s="29">
        <f>E1536</f>
        <v>0</v>
      </c>
      <c r="F1537" s="29">
        <f>F1536</f>
        <v>0</v>
      </c>
      <c r="G1537" s="29" t="e">
        <f>IF(C1536=1,IF(D1536="BUY",E1536+(ROUND(F1536*G1536/B1536,0)*B1536),E1536-(ROUND(F1536*G1536/B1536,0)*B1536)),IF(D1536="BUY",E1536-(ROUND(F1536*G1536/B1536,0)*B1536),E1536+(ROUND(F1536*G1536/B1536,0)*B1536)))</f>
        <v>#DIV/0!</v>
      </c>
      <c r="H1537" s="29" t="e">
        <f>IF(C1536=1,IF(D1536="BUY",G1537-(ROUND(F1536*H1536/B1536,0)*B1536),G1537+(ROUND(F1536*H1536/B1536,0)*B1536)),IF(D1536="BUY",G1537+(ROUND(F1536*H1536/B1536,0)*B1536),G1537-(ROUND(F1536*H1536/B1536,0)*B1536)))</f>
        <v>#DIV/0!</v>
      </c>
      <c r="I1537" s="29" t="e">
        <f>IF(D1536="BUY",G1537+(ROUND(F1536*I1536/(B1536*100),0)*B1536),G1537-(ROUND(F1536*I1536/(B1536*100),0)*B1536))</f>
        <v>#DIV/0!</v>
      </c>
      <c r="J1537" s="29" t="e">
        <f>IF(C1536=1,IF(D1536="BUY",E1536+(ROUND(F1536*J1536/B1536,0)*B1536),E1536-(ROUND(F1536*J1536/B1536,0)*B1536)),IF(D1536="BUY",E1536-(ROUND(F1536*J1536/B1536,0)*B1536),E1536+(ROUND(F1536*J1536/B1536,0)*B1536)))</f>
        <v>#DIV/0!</v>
      </c>
      <c r="K1537" s="29" t="e">
        <f>IF(C1536=1,IF(D1536="BUY",E1536-(ROUND(F1536*K1536/B1536,0)*B1536),E1536+(ROUND(F1536*K1536/B1536,0)*B1536)),IF(D1536="BUY",E1536-(ROUND(F1536*K1536/B1536,0)*B1536),E1536+(ROUND(F1536*K1536/B1536,0)*B1536)))</f>
        <v>#DIV/0!</v>
      </c>
      <c r="L1537" s="29" t="e">
        <f t="shared" ref="L1537" si="2300">IF(D1537="BUY",I1537+(R1537*B1537),I1537-(R1537*B1537))</f>
        <v>#DIV/0!</v>
      </c>
      <c r="M1537" s="29" t="e">
        <f>IF(D1536="BUY",E1536+(ROUND(F1536*M1536/B1536,0)*B1536),E1536-(ROUND(F1536*M1536/B1536,0)*B1536))</f>
        <v>#DIV/0!</v>
      </c>
      <c r="N1537" s="29" t="e">
        <f>IF(D1536="BUY",E1536-(ROUND(F1536*N1536/B1536,0)*B1536),E1536+(ROUND(F1536*N1536/B1536,0)*B1536))</f>
        <v>#DIV/0!</v>
      </c>
      <c r="O1537" s="31" t="e">
        <f>IF(D1537="BUY",N1537-VLOOKUP(A1537,Symbols!A$1:D$1000,4,FALSE),N1537+VLOOKUP(A1537,Symbols!A$1:D$1000,4,FALSE))</f>
        <v>#DIV/0!</v>
      </c>
      <c r="P1537" s="29">
        <f>P1536</f>
        <v>0</v>
      </c>
      <c r="Q1537" s="29">
        <f>Q1536</f>
        <v>0</v>
      </c>
      <c r="R1537" s="29">
        <f>R1536</f>
        <v>0</v>
      </c>
      <c r="S1537" s="29">
        <f>S1536</f>
        <v>0</v>
      </c>
      <c r="T1537" s="29">
        <f>T1536</f>
        <v>0</v>
      </c>
      <c r="U1537" s="29" t="e">
        <f>DATEDIF(DATE(1970,1,1),U1536,"D")*86400</f>
        <v>#NUM!</v>
      </c>
      <c r="V1537" s="29">
        <f>HOUR(V1536)*3600+MINUTE(V1536)*60+SECOND(V1536)</f>
        <v>0</v>
      </c>
      <c r="W1537" s="29" t="e">
        <f>DATEDIF(DATE(1970,1,1),W1536,"D")*86400</f>
        <v>#NUM!</v>
      </c>
      <c r="X1537" s="29">
        <f>HOUR(X1536)*3600+MINUTE(X1536)*60+SECOND(X1536)</f>
        <v>0</v>
      </c>
      <c r="Y1537" s="31">
        <f>(Y1536*B1537)</f>
        <v>0</v>
      </c>
      <c r="Z1537" s="29">
        <f>Z1536</f>
        <v>0</v>
      </c>
      <c r="AA1537" s="29" t="e">
        <f>DATEDIF(DATE(1970,1,1),AA1536,"D")*86400</f>
        <v>#NUM!</v>
      </c>
      <c r="AB1537" s="29">
        <f>HOUR(AB1536)*3600+MINUTE(AB1536)*60+SECOND(AB1536)</f>
        <v>0</v>
      </c>
      <c r="AC1537" s="29">
        <f>AC1536</f>
        <v>0</v>
      </c>
    </row>
    <row r="1538" spans="1:29">
      <c r="A1538" s="23">
        <f>Parameters!A770</f>
        <v>0</v>
      </c>
      <c r="B1538" s="23">
        <f>Parameters!B770</f>
        <v>0</v>
      </c>
      <c r="C1538" s="24">
        <f>Parameters!C770</f>
        <v>0</v>
      </c>
      <c r="D1538" s="24">
        <f>Parameters!D770</f>
        <v>0</v>
      </c>
      <c r="E1538" s="23">
        <f>Parameters!E770</f>
        <v>0</v>
      </c>
      <c r="F1538" s="23">
        <f>Parameters!F770</f>
        <v>0</v>
      </c>
      <c r="G1538" s="25">
        <f>Parameters!G770</f>
        <v>0</v>
      </c>
      <c r="H1538" s="25">
        <f>Parameters!H770</f>
        <v>0</v>
      </c>
      <c r="I1538" s="25">
        <f>Parameters!I770</f>
        <v>0</v>
      </c>
      <c r="J1538" s="25">
        <f>Parameters!J770</f>
        <v>0</v>
      </c>
      <c r="K1538" s="25">
        <f>Parameters!K770</f>
        <v>0</v>
      </c>
      <c r="L1538" s="26" t="e">
        <f t="shared" ref="L1538" si="2301">L1539</f>
        <v>#DIV/0!</v>
      </c>
      <c r="M1538" s="25">
        <f>Parameters!L770</f>
        <v>0</v>
      </c>
      <c r="N1538" s="25">
        <f>Parameters!M770</f>
        <v>0</v>
      </c>
      <c r="O1538" s="26" t="e">
        <f t="shared" ref="O1538" si="2302">O1539</f>
        <v>#DIV/0!</v>
      </c>
      <c r="P1538" s="23">
        <f>Parameters!N770</f>
        <v>0</v>
      </c>
      <c r="Q1538" s="23">
        <f>Parameters!O770</f>
        <v>0</v>
      </c>
      <c r="R1538" s="23">
        <f>Parameters!P770</f>
        <v>0</v>
      </c>
      <c r="S1538" s="23">
        <f>Parameters!Q770</f>
        <v>0</v>
      </c>
      <c r="T1538" s="23">
        <f>Parameters!R770</f>
        <v>0</v>
      </c>
      <c r="U1538" s="27">
        <f>Parameters!S770</f>
        <v>0</v>
      </c>
      <c r="V1538" s="28">
        <f>Parameters!T770</f>
        <v>0</v>
      </c>
      <c r="W1538" s="27">
        <f>Parameters!U770</f>
        <v>0</v>
      </c>
      <c r="X1538" s="28">
        <f>Parameters!V770</f>
        <v>0</v>
      </c>
      <c r="Y1538" s="25">
        <f>Parameters!W770</f>
        <v>0</v>
      </c>
      <c r="Z1538" s="23">
        <f>Parameters!X770</f>
        <v>0</v>
      </c>
      <c r="AA1538" s="27">
        <f>Parameters!Y770</f>
        <v>0</v>
      </c>
      <c r="AB1538" s="28">
        <f>Parameters!Z770</f>
        <v>0</v>
      </c>
      <c r="AC1538" s="23">
        <f>Parameters!AA770</f>
        <v>0</v>
      </c>
    </row>
    <row r="1539" spans="1:29">
      <c r="A1539" s="29" t="str">
        <f>UPPER(A1538)</f>
        <v>0</v>
      </c>
      <c r="B1539" s="29">
        <f>B1538</f>
        <v>0</v>
      </c>
      <c r="C1539" s="30">
        <f>C1538</f>
        <v>0</v>
      </c>
      <c r="D1539" s="30">
        <f>D1538</f>
        <v>0</v>
      </c>
      <c r="E1539" s="29">
        <f>E1538</f>
        <v>0</v>
      </c>
      <c r="F1539" s="29">
        <f>F1538</f>
        <v>0</v>
      </c>
      <c r="G1539" s="29" t="e">
        <f>IF(C1538=1,IF(D1538="BUY",E1538+(ROUND(F1538*G1538/B1538,0)*B1538),E1538-(ROUND(F1538*G1538/B1538,0)*B1538)),IF(D1538="BUY",E1538-(ROUND(F1538*G1538/B1538,0)*B1538),E1538+(ROUND(F1538*G1538/B1538,0)*B1538)))</f>
        <v>#DIV/0!</v>
      </c>
      <c r="H1539" s="29" t="e">
        <f>IF(C1538=1,IF(D1538="BUY",G1539-(ROUND(F1538*H1538/B1538,0)*B1538),G1539+(ROUND(F1538*H1538/B1538,0)*B1538)),IF(D1538="BUY",G1539+(ROUND(F1538*H1538/B1538,0)*B1538),G1539-(ROUND(F1538*H1538/B1538,0)*B1538)))</f>
        <v>#DIV/0!</v>
      </c>
      <c r="I1539" s="29" t="e">
        <f>IF(D1538="BUY",G1539+(ROUND(F1538*I1538/(B1538*100),0)*B1538),G1539-(ROUND(F1538*I1538/(B1538*100),0)*B1538))</f>
        <v>#DIV/0!</v>
      </c>
      <c r="J1539" s="29" t="e">
        <f>IF(C1538=1,IF(D1538="BUY",E1538+(ROUND(F1538*J1538/B1538,0)*B1538),E1538-(ROUND(F1538*J1538/B1538,0)*B1538)),IF(D1538="BUY",E1538-(ROUND(F1538*J1538/B1538,0)*B1538),E1538+(ROUND(F1538*J1538/B1538,0)*B1538)))</f>
        <v>#DIV/0!</v>
      </c>
      <c r="K1539" s="29" t="e">
        <f>IF(C1538=1,IF(D1538="BUY",E1538-(ROUND(F1538*K1538/B1538,0)*B1538),E1538+(ROUND(F1538*K1538/B1538,0)*B1538)),IF(D1538="BUY",E1538-(ROUND(F1538*K1538/B1538,0)*B1538),E1538+(ROUND(F1538*K1538/B1538,0)*B1538)))</f>
        <v>#DIV/0!</v>
      </c>
      <c r="L1539" s="29" t="e">
        <f t="shared" ref="L1539" si="2303">IF(D1539="BUY",I1539+(R1539*B1539),I1539-(R1539*B1539))</f>
        <v>#DIV/0!</v>
      </c>
      <c r="M1539" s="29" t="e">
        <f>IF(D1538="BUY",E1538+(ROUND(F1538*M1538/B1538,0)*B1538),E1538-(ROUND(F1538*M1538/B1538,0)*B1538))</f>
        <v>#DIV/0!</v>
      </c>
      <c r="N1539" s="29" t="e">
        <f>IF(D1538="BUY",E1538-(ROUND(F1538*N1538/B1538,0)*B1538),E1538+(ROUND(F1538*N1538/B1538,0)*B1538))</f>
        <v>#DIV/0!</v>
      </c>
      <c r="O1539" s="31" t="e">
        <f>IF(D1539="BUY",N1539-VLOOKUP(A1539,Symbols!A$1:D$1000,4,FALSE),N1539+VLOOKUP(A1539,Symbols!A$1:D$1000,4,FALSE))</f>
        <v>#DIV/0!</v>
      </c>
      <c r="P1539" s="29">
        <f>P1538</f>
        <v>0</v>
      </c>
      <c r="Q1539" s="29">
        <f>Q1538</f>
        <v>0</v>
      </c>
      <c r="R1539" s="29">
        <f>R1538</f>
        <v>0</v>
      </c>
      <c r="S1539" s="29">
        <f>S1538</f>
        <v>0</v>
      </c>
      <c r="T1539" s="29">
        <f>T1538</f>
        <v>0</v>
      </c>
      <c r="U1539" s="29" t="e">
        <f>DATEDIF(DATE(1970,1,1),U1538,"D")*86400</f>
        <v>#NUM!</v>
      </c>
      <c r="V1539" s="29">
        <f>HOUR(V1538)*3600+MINUTE(V1538)*60+SECOND(V1538)</f>
        <v>0</v>
      </c>
      <c r="W1539" s="29" t="e">
        <f>DATEDIF(DATE(1970,1,1),W1538,"D")*86400</f>
        <v>#NUM!</v>
      </c>
      <c r="X1539" s="29">
        <f>HOUR(X1538)*3600+MINUTE(X1538)*60+SECOND(X1538)</f>
        <v>0</v>
      </c>
      <c r="Y1539" s="31">
        <f>(Y1538*B1539)</f>
        <v>0</v>
      </c>
      <c r="Z1539" s="29">
        <f>Z1538</f>
        <v>0</v>
      </c>
      <c r="AA1539" s="29" t="e">
        <f>DATEDIF(DATE(1970,1,1),AA1538,"D")*86400</f>
        <v>#NUM!</v>
      </c>
      <c r="AB1539" s="29">
        <f>HOUR(AB1538)*3600+MINUTE(AB1538)*60+SECOND(AB1538)</f>
        <v>0</v>
      </c>
      <c r="AC1539" s="29">
        <f>AC1538</f>
        <v>0</v>
      </c>
    </row>
    <row r="1540" spans="1:29">
      <c r="A1540" s="23">
        <f>Parameters!A771</f>
        <v>0</v>
      </c>
      <c r="B1540" s="23">
        <f>Parameters!B771</f>
        <v>0</v>
      </c>
      <c r="C1540" s="24">
        <f>Parameters!C771</f>
        <v>0</v>
      </c>
      <c r="D1540" s="24">
        <f>Parameters!D771</f>
        <v>0</v>
      </c>
      <c r="E1540" s="23">
        <f>Parameters!E771</f>
        <v>0</v>
      </c>
      <c r="F1540" s="23">
        <f>Parameters!F771</f>
        <v>0</v>
      </c>
      <c r="G1540" s="25">
        <f>Parameters!G771</f>
        <v>0</v>
      </c>
      <c r="H1540" s="25">
        <f>Parameters!H771</f>
        <v>0</v>
      </c>
      <c r="I1540" s="25">
        <f>Parameters!I771</f>
        <v>0</v>
      </c>
      <c r="J1540" s="25">
        <f>Parameters!J771</f>
        <v>0</v>
      </c>
      <c r="K1540" s="25">
        <f>Parameters!K771</f>
        <v>0</v>
      </c>
      <c r="L1540" s="26" t="e">
        <f t="shared" ref="L1540" si="2304">L1541</f>
        <v>#DIV/0!</v>
      </c>
      <c r="M1540" s="25">
        <f>Parameters!L771</f>
        <v>0</v>
      </c>
      <c r="N1540" s="25">
        <f>Parameters!M771</f>
        <v>0</v>
      </c>
      <c r="O1540" s="26" t="e">
        <f t="shared" ref="O1540" si="2305">O1541</f>
        <v>#DIV/0!</v>
      </c>
      <c r="P1540" s="23">
        <f>Parameters!N771</f>
        <v>0</v>
      </c>
      <c r="Q1540" s="23">
        <f>Parameters!O771</f>
        <v>0</v>
      </c>
      <c r="R1540" s="23">
        <f>Parameters!P771</f>
        <v>0</v>
      </c>
      <c r="S1540" s="23">
        <f>Parameters!Q771</f>
        <v>0</v>
      </c>
      <c r="T1540" s="23">
        <f>Parameters!R771</f>
        <v>0</v>
      </c>
      <c r="U1540" s="27">
        <f>Parameters!S771</f>
        <v>0</v>
      </c>
      <c r="V1540" s="28">
        <f>Parameters!T771</f>
        <v>0</v>
      </c>
      <c r="W1540" s="27">
        <f>Parameters!U771</f>
        <v>0</v>
      </c>
      <c r="X1540" s="28">
        <f>Parameters!V771</f>
        <v>0</v>
      </c>
      <c r="Y1540" s="25">
        <f>Parameters!W771</f>
        <v>0</v>
      </c>
      <c r="Z1540" s="23">
        <f>Parameters!X771</f>
        <v>0</v>
      </c>
      <c r="AA1540" s="27">
        <f>Parameters!Y771</f>
        <v>0</v>
      </c>
      <c r="AB1540" s="28">
        <f>Parameters!Z771</f>
        <v>0</v>
      </c>
      <c r="AC1540" s="23">
        <f>Parameters!AA771</f>
        <v>0</v>
      </c>
    </row>
    <row r="1541" spans="1:29">
      <c r="A1541" s="29" t="str">
        <f>UPPER(A1540)</f>
        <v>0</v>
      </c>
      <c r="B1541" s="29">
        <f>B1540</f>
        <v>0</v>
      </c>
      <c r="C1541" s="30">
        <f>C1540</f>
        <v>0</v>
      </c>
      <c r="D1541" s="30">
        <f>D1540</f>
        <v>0</v>
      </c>
      <c r="E1541" s="29">
        <f>E1540</f>
        <v>0</v>
      </c>
      <c r="F1541" s="29">
        <f>F1540</f>
        <v>0</v>
      </c>
      <c r="G1541" s="29" t="e">
        <f>IF(C1540=1,IF(D1540="BUY",E1540+(ROUND(F1540*G1540/B1540,0)*B1540),E1540-(ROUND(F1540*G1540/B1540,0)*B1540)),IF(D1540="BUY",E1540-(ROUND(F1540*G1540/B1540,0)*B1540),E1540+(ROUND(F1540*G1540/B1540,0)*B1540)))</f>
        <v>#DIV/0!</v>
      </c>
      <c r="H1541" s="29" t="e">
        <f>IF(C1540=1,IF(D1540="BUY",G1541-(ROUND(F1540*H1540/B1540,0)*B1540),G1541+(ROUND(F1540*H1540/B1540,0)*B1540)),IF(D1540="BUY",G1541+(ROUND(F1540*H1540/B1540,0)*B1540),G1541-(ROUND(F1540*H1540/B1540,0)*B1540)))</f>
        <v>#DIV/0!</v>
      </c>
      <c r="I1541" s="29" t="e">
        <f>IF(D1540="BUY",G1541+(ROUND(F1540*I1540/(B1540*100),0)*B1540),G1541-(ROUND(F1540*I1540/(B1540*100),0)*B1540))</f>
        <v>#DIV/0!</v>
      </c>
      <c r="J1541" s="29" t="e">
        <f>IF(C1540=1,IF(D1540="BUY",E1540+(ROUND(F1540*J1540/B1540,0)*B1540),E1540-(ROUND(F1540*J1540/B1540,0)*B1540)),IF(D1540="BUY",E1540-(ROUND(F1540*J1540/B1540,0)*B1540),E1540+(ROUND(F1540*J1540/B1540,0)*B1540)))</f>
        <v>#DIV/0!</v>
      </c>
      <c r="K1541" s="29" t="e">
        <f>IF(C1540=1,IF(D1540="BUY",E1540-(ROUND(F1540*K1540/B1540,0)*B1540),E1540+(ROUND(F1540*K1540/B1540,0)*B1540)),IF(D1540="BUY",E1540-(ROUND(F1540*K1540/B1540,0)*B1540),E1540+(ROUND(F1540*K1540/B1540,0)*B1540)))</f>
        <v>#DIV/0!</v>
      </c>
      <c r="L1541" s="29" t="e">
        <f t="shared" ref="L1541" si="2306">IF(D1541="BUY",I1541+(R1541*B1541),I1541-(R1541*B1541))</f>
        <v>#DIV/0!</v>
      </c>
      <c r="M1541" s="29" t="e">
        <f>IF(D1540="BUY",E1540+(ROUND(F1540*M1540/B1540,0)*B1540),E1540-(ROUND(F1540*M1540/B1540,0)*B1540))</f>
        <v>#DIV/0!</v>
      </c>
      <c r="N1541" s="29" t="e">
        <f>IF(D1540="BUY",E1540-(ROUND(F1540*N1540/B1540,0)*B1540),E1540+(ROUND(F1540*N1540/B1540,0)*B1540))</f>
        <v>#DIV/0!</v>
      </c>
      <c r="O1541" s="31" t="e">
        <f>IF(D1541="BUY",N1541-VLOOKUP(A1541,Symbols!A$1:D$1000,4,FALSE),N1541+VLOOKUP(A1541,Symbols!A$1:D$1000,4,FALSE))</f>
        <v>#DIV/0!</v>
      </c>
      <c r="P1541" s="29">
        <f>P1540</f>
        <v>0</v>
      </c>
      <c r="Q1541" s="29">
        <f>Q1540</f>
        <v>0</v>
      </c>
      <c r="R1541" s="29">
        <f>R1540</f>
        <v>0</v>
      </c>
      <c r="S1541" s="29">
        <f>S1540</f>
        <v>0</v>
      </c>
      <c r="T1541" s="29">
        <f>T1540</f>
        <v>0</v>
      </c>
      <c r="U1541" s="29" t="e">
        <f>DATEDIF(DATE(1970,1,1),U1540,"D")*86400</f>
        <v>#NUM!</v>
      </c>
      <c r="V1541" s="29">
        <f>HOUR(V1540)*3600+MINUTE(V1540)*60+SECOND(V1540)</f>
        <v>0</v>
      </c>
      <c r="W1541" s="29" t="e">
        <f>DATEDIF(DATE(1970,1,1),W1540,"D")*86400</f>
        <v>#NUM!</v>
      </c>
      <c r="X1541" s="29">
        <f>HOUR(X1540)*3600+MINUTE(X1540)*60+SECOND(X1540)</f>
        <v>0</v>
      </c>
      <c r="Y1541" s="31">
        <f>(Y1540*B1541)</f>
        <v>0</v>
      </c>
      <c r="Z1541" s="29">
        <f>Z1540</f>
        <v>0</v>
      </c>
      <c r="AA1541" s="29" t="e">
        <f>DATEDIF(DATE(1970,1,1),AA1540,"D")*86400</f>
        <v>#NUM!</v>
      </c>
      <c r="AB1541" s="29">
        <f>HOUR(AB1540)*3600+MINUTE(AB1540)*60+SECOND(AB1540)</f>
        <v>0</v>
      </c>
      <c r="AC1541" s="29">
        <f>AC1540</f>
        <v>0</v>
      </c>
    </row>
    <row r="1542" spans="1:29">
      <c r="A1542" s="23">
        <f>Parameters!A772</f>
        <v>0</v>
      </c>
      <c r="B1542" s="23">
        <f>Parameters!B772</f>
        <v>0</v>
      </c>
      <c r="C1542" s="24">
        <f>Parameters!C772</f>
        <v>0</v>
      </c>
      <c r="D1542" s="24">
        <f>Parameters!D772</f>
        <v>0</v>
      </c>
      <c r="E1542" s="23">
        <f>Parameters!E772</f>
        <v>0</v>
      </c>
      <c r="F1542" s="23">
        <f>Parameters!F772</f>
        <v>0</v>
      </c>
      <c r="G1542" s="25">
        <f>Parameters!G772</f>
        <v>0</v>
      </c>
      <c r="H1542" s="25">
        <f>Parameters!H772</f>
        <v>0</v>
      </c>
      <c r="I1542" s="25">
        <f>Parameters!I772</f>
        <v>0</v>
      </c>
      <c r="J1542" s="25">
        <f>Parameters!J772</f>
        <v>0</v>
      </c>
      <c r="K1542" s="25">
        <f>Parameters!K772</f>
        <v>0</v>
      </c>
      <c r="L1542" s="26" t="e">
        <f t="shared" ref="L1542" si="2307">L1543</f>
        <v>#DIV/0!</v>
      </c>
      <c r="M1542" s="25">
        <f>Parameters!L772</f>
        <v>0</v>
      </c>
      <c r="N1542" s="25">
        <f>Parameters!M772</f>
        <v>0</v>
      </c>
      <c r="O1542" s="26" t="e">
        <f t="shared" ref="O1542" si="2308">O1543</f>
        <v>#DIV/0!</v>
      </c>
      <c r="P1542" s="23">
        <f>Parameters!N772</f>
        <v>0</v>
      </c>
      <c r="Q1542" s="23">
        <f>Parameters!O772</f>
        <v>0</v>
      </c>
      <c r="R1542" s="23">
        <f>Parameters!P772</f>
        <v>0</v>
      </c>
      <c r="S1542" s="23">
        <f>Parameters!Q772</f>
        <v>0</v>
      </c>
      <c r="T1542" s="23">
        <f>Parameters!R772</f>
        <v>0</v>
      </c>
      <c r="U1542" s="27">
        <f>Parameters!S772</f>
        <v>0</v>
      </c>
      <c r="V1542" s="28">
        <f>Parameters!T772</f>
        <v>0</v>
      </c>
      <c r="W1542" s="27">
        <f>Parameters!U772</f>
        <v>0</v>
      </c>
      <c r="X1542" s="28">
        <f>Parameters!V772</f>
        <v>0</v>
      </c>
      <c r="Y1542" s="25">
        <f>Parameters!W772</f>
        <v>0</v>
      </c>
      <c r="Z1542" s="23">
        <f>Parameters!X772</f>
        <v>0</v>
      </c>
      <c r="AA1542" s="27">
        <f>Parameters!Y772</f>
        <v>0</v>
      </c>
      <c r="AB1542" s="28">
        <f>Parameters!Z772</f>
        <v>0</v>
      </c>
      <c r="AC1542" s="23">
        <f>Parameters!AA772</f>
        <v>0</v>
      </c>
    </row>
    <row r="1543" spans="1:29">
      <c r="A1543" s="29" t="str">
        <f>UPPER(A1542)</f>
        <v>0</v>
      </c>
      <c r="B1543" s="29">
        <f>B1542</f>
        <v>0</v>
      </c>
      <c r="C1543" s="30">
        <f>C1542</f>
        <v>0</v>
      </c>
      <c r="D1543" s="30">
        <f>D1542</f>
        <v>0</v>
      </c>
      <c r="E1543" s="29">
        <f>E1542</f>
        <v>0</v>
      </c>
      <c r="F1543" s="29">
        <f>F1542</f>
        <v>0</v>
      </c>
      <c r="G1543" s="29" t="e">
        <f>IF(C1542=1,IF(D1542="BUY",E1542+(ROUND(F1542*G1542/B1542,0)*B1542),E1542-(ROUND(F1542*G1542/B1542,0)*B1542)),IF(D1542="BUY",E1542-(ROUND(F1542*G1542/B1542,0)*B1542),E1542+(ROUND(F1542*G1542/B1542,0)*B1542)))</f>
        <v>#DIV/0!</v>
      </c>
      <c r="H1543" s="29" t="e">
        <f>IF(C1542=1,IF(D1542="BUY",G1543-(ROUND(F1542*H1542/B1542,0)*B1542),G1543+(ROUND(F1542*H1542/B1542,0)*B1542)),IF(D1542="BUY",G1543+(ROUND(F1542*H1542/B1542,0)*B1542),G1543-(ROUND(F1542*H1542/B1542,0)*B1542)))</f>
        <v>#DIV/0!</v>
      </c>
      <c r="I1543" s="29" t="e">
        <f>IF(D1542="BUY",G1543+(ROUND(F1542*I1542/(B1542*100),0)*B1542),G1543-(ROUND(F1542*I1542/(B1542*100),0)*B1542))</f>
        <v>#DIV/0!</v>
      </c>
      <c r="J1543" s="29" t="e">
        <f>IF(C1542=1,IF(D1542="BUY",E1542+(ROUND(F1542*J1542/B1542,0)*B1542),E1542-(ROUND(F1542*J1542/B1542,0)*B1542)),IF(D1542="BUY",E1542-(ROUND(F1542*J1542/B1542,0)*B1542),E1542+(ROUND(F1542*J1542/B1542,0)*B1542)))</f>
        <v>#DIV/0!</v>
      </c>
      <c r="K1543" s="29" t="e">
        <f>IF(C1542=1,IF(D1542="BUY",E1542-(ROUND(F1542*K1542/B1542,0)*B1542),E1542+(ROUND(F1542*K1542/B1542,0)*B1542)),IF(D1542="BUY",E1542-(ROUND(F1542*K1542/B1542,0)*B1542),E1542+(ROUND(F1542*K1542/B1542,0)*B1542)))</f>
        <v>#DIV/0!</v>
      </c>
      <c r="L1543" s="29" t="e">
        <f t="shared" ref="L1543" si="2309">IF(D1543="BUY",I1543+(R1543*B1543),I1543-(R1543*B1543))</f>
        <v>#DIV/0!</v>
      </c>
      <c r="M1543" s="29" t="e">
        <f>IF(D1542="BUY",E1542+(ROUND(F1542*M1542/B1542,0)*B1542),E1542-(ROUND(F1542*M1542/B1542,0)*B1542))</f>
        <v>#DIV/0!</v>
      </c>
      <c r="N1543" s="29" t="e">
        <f>IF(D1542="BUY",E1542-(ROUND(F1542*N1542/B1542,0)*B1542),E1542+(ROUND(F1542*N1542/B1542,0)*B1542))</f>
        <v>#DIV/0!</v>
      </c>
      <c r="O1543" s="31" t="e">
        <f>IF(D1543="BUY",N1543-VLOOKUP(A1543,Symbols!A$1:D$1000,4,FALSE),N1543+VLOOKUP(A1543,Symbols!A$1:D$1000,4,FALSE))</f>
        <v>#DIV/0!</v>
      </c>
      <c r="P1543" s="29">
        <f>P1542</f>
        <v>0</v>
      </c>
      <c r="Q1543" s="29">
        <f>Q1542</f>
        <v>0</v>
      </c>
      <c r="R1543" s="29">
        <f>R1542</f>
        <v>0</v>
      </c>
      <c r="S1543" s="29">
        <f>S1542</f>
        <v>0</v>
      </c>
      <c r="T1543" s="29">
        <f>T1542</f>
        <v>0</v>
      </c>
      <c r="U1543" s="29" t="e">
        <f>DATEDIF(DATE(1970,1,1),U1542,"D")*86400</f>
        <v>#NUM!</v>
      </c>
      <c r="V1543" s="29">
        <f>HOUR(V1542)*3600+MINUTE(V1542)*60+SECOND(V1542)</f>
        <v>0</v>
      </c>
      <c r="W1543" s="29" t="e">
        <f>DATEDIF(DATE(1970,1,1),W1542,"D")*86400</f>
        <v>#NUM!</v>
      </c>
      <c r="X1543" s="29">
        <f>HOUR(X1542)*3600+MINUTE(X1542)*60+SECOND(X1542)</f>
        <v>0</v>
      </c>
      <c r="Y1543" s="31">
        <f>(Y1542*B1543)</f>
        <v>0</v>
      </c>
      <c r="Z1543" s="29">
        <f>Z1542</f>
        <v>0</v>
      </c>
      <c r="AA1543" s="29" t="e">
        <f>DATEDIF(DATE(1970,1,1),AA1542,"D")*86400</f>
        <v>#NUM!</v>
      </c>
      <c r="AB1543" s="29">
        <f>HOUR(AB1542)*3600+MINUTE(AB1542)*60+SECOND(AB1542)</f>
        <v>0</v>
      </c>
      <c r="AC1543" s="29">
        <f>AC1542</f>
        <v>0</v>
      </c>
    </row>
    <row r="1544" spans="1:29">
      <c r="A1544" s="23">
        <f>Parameters!A773</f>
        <v>0</v>
      </c>
      <c r="B1544" s="23">
        <f>Parameters!B773</f>
        <v>0</v>
      </c>
      <c r="C1544" s="24">
        <f>Parameters!C773</f>
        <v>0</v>
      </c>
      <c r="D1544" s="24">
        <f>Parameters!D773</f>
        <v>0</v>
      </c>
      <c r="E1544" s="23">
        <f>Parameters!E773</f>
        <v>0</v>
      </c>
      <c r="F1544" s="23">
        <f>Parameters!F773</f>
        <v>0</v>
      </c>
      <c r="G1544" s="25">
        <f>Parameters!G773</f>
        <v>0</v>
      </c>
      <c r="H1544" s="25">
        <f>Parameters!H773</f>
        <v>0</v>
      </c>
      <c r="I1544" s="25">
        <f>Parameters!I773</f>
        <v>0</v>
      </c>
      <c r="J1544" s="25">
        <f>Parameters!J773</f>
        <v>0</v>
      </c>
      <c r="K1544" s="25">
        <f>Parameters!K773</f>
        <v>0</v>
      </c>
      <c r="L1544" s="26" t="e">
        <f t="shared" ref="L1544" si="2310">L1545</f>
        <v>#DIV/0!</v>
      </c>
      <c r="M1544" s="25">
        <f>Parameters!L773</f>
        <v>0</v>
      </c>
      <c r="N1544" s="25">
        <f>Parameters!M773</f>
        <v>0</v>
      </c>
      <c r="O1544" s="26" t="e">
        <f t="shared" ref="O1544" si="2311">O1545</f>
        <v>#DIV/0!</v>
      </c>
      <c r="P1544" s="23">
        <f>Parameters!N773</f>
        <v>0</v>
      </c>
      <c r="Q1544" s="23">
        <f>Parameters!O773</f>
        <v>0</v>
      </c>
      <c r="R1544" s="23">
        <f>Parameters!P773</f>
        <v>0</v>
      </c>
      <c r="S1544" s="23">
        <f>Parameters!Q773</f>
        <v>0</v>
      </c>
      <c r="T1544" s="23">
        <f>Parameters!R773</f>
        <v>0</v>
      </c>
      <c r="U1544" s="27">
        <f>Parameters!S773</f>
        <v>0</v>
      </c>
      <c r="V1544" s="28">
        <f>Parameters!T773</f>
        <v>0</v>
      </c>
      <c r="W1544" s="27">
        <f>Parameters!U773</f>
        <v>0</v>
      </c>
      <c r="X1544" s="28">
        <f>Parameters!V773</f>
        <v>0</v>
      </c>
      <c r="Y1544" s="25">
        <f>Parameters!W773</f>
        <v>0</v>
      </c>
      <c r="Z1544" s="23">
        <f>Parameters!X773</f>
        <v>0</v>
      </c>
      <c r="AA1544" s="27">
        <f>Parameters!Y773</f>
        <v>0</v>
      </c>
      <c r="AB1544" s="28">
        <f>Parameters!Z773</f>
        <v>0</v>
      </c>
      <c r="AC1544" s="23">
        <f>Parameters!AA773</f>
        <v>0</v>
      </c>
    </row>
    <row r="1545" spans="1:29">
      <c r="A1545" s="29" t="str">
        <f>UPPER(A1544)</f>
        <v>0</v>
      </c>
      <c r="B1545" s="29">
        <f>B1544</f>
        <v>0</v>
      </c>
      <c r="C1545" s="30">
        <f>C1544</f>
        <v>0</v>
      </c>
      <c r="D1545" s="30">
        <f>D1544</f>
        <v>0</v>
      </c>
      <c r="E1545" s="29">
        <f>E1544</f>
        <v>0</v>
      </c>
      <c r="F1545" s="29">
        <f>F1544</f>
        <v>0</v>
      </c>
      <c r="G1545" s="29" t="e">
        <f>IF(C1544=1,IF(D1544="BUY",E1544+(ROUND(F1544*G1544/B1544,0)*B1544),E1544-(ROUND(F1544*G1544/B1544,0)*B1544)),IF(D1544="BUY",E1544-(ROUND(F1544*G1544/B1544,0)*B1544),E1544+(ROUND(F1544*G1544/B1544,0)*B1544)))</f>
        <v>#DIV/0!</v>
      </c>
      <c r="H1545" s="29" t="e">
        <f>IF(C1544=1,IF(D1544="BUY",G1545-(ROUND(F1544*H1544/B1544,0)*B1544),G1545+(ROUND(F1544*H1544/B1544,0)*B1544)),IF(D1544="BUY",G1545+(ROUND(F1544*H1544/B1544,0)*B1544),G1545-(ROUND(F1544*H1544/B1544,0)*B1544)))</f>
        <v>#DIV/0!</v>
      </c>
      <c r="I1545" s="29" t="e">
        <f>IF(D1544="BUY",G1545+(ROUND(F1544*I1544/(B1544*100),0)*B1544),G1545-(ROUND(F1544*I1544/(B1544*100),0)*B1544))</f>
        <v>#DIV/0!</v>
      </c>
      <c r="J1545" s="29" t="e">
        <f>IF(C1544=1,IF(D1544="BUY",E1544+(ROUND(F1544*J1544/B1544,0)*B1544),E1544-(ROUND(F1544*J1544/B1544,0)*B1544)),IF(D1544="BUY",E1544-(ROUND(F1544*J1544/B1544,0)*B1544),E1544+(ROUND(F1544*J1544/B1544,0)*B1544)))</f>
        <v>#DIV/0!</v>
      </c>
      <c r="K1545" s="29" t="e">
        <f>IF(C1544=1,IF(D1544="BUY",E1544-(ROUND(F1544*K1544/B1544,0)*B1544),E1544+(ROUND(F1544*K1544/B1544,0)*B1544)),IF(D1544="BUY",E1544-(ROUND(F1544*K1544/B1544,0)*B1544),E1544+(ROUND(F1544*K1544/B1544,0)*B1544)))</f>
        <v>#DIV/0!</v>
      </c>
      <c r="L1545" s="29" t="e">
        <f t="shared" ref="L1545" si="2312">IF(D1545="BUY",I1545+(R1545*B1545),I1545-(R1545*B1545))</f>
        <v>#DIV/0!</v>
      </c>
      <c r="M1545" s="29" t="e">
        <f>IF(D1544="BUY",E1544+(ROUND(F1544*M1544/B1544,0)*B1544),E1544-(ROUND(F1544*M1544/B1544,0)*B1544))</f>
        <v>#DIV/0!</v>
      </c>
      <c r="N1545" s="29" t="e">
        <f>IF(D1544="BUY",E1544-(ROUND(F1544*N1544/B1544,0)*B1544),E1544+(ROUND(F1544*N1544/B1544,0)*B1544))</f>
        <v>#DIV/0!</v>
      </c>
      <c r="O1545" s="31" t="e">
        <f>IF(D1545="BUY",N1545-VLOOKUP(A1545,Symbols!A$1:D$1000,4,FALSE),N1545+VLOOKUP(A1545,Symbols!A$1:D$1000,4,FALSE))</f>
        <v>#DIV/0!</v>
      </c>
      <c r="P1545" s="29">
        <f>P1544</f>
        <v>0</v>
      </c>
      <c r="Q1545" s="29">
        <f>Q1544</f>
        <v>0</v>
      </c>
      <c r="R1545" s="29">
        <f>R1544</f>
        <v>0</v>
      </c>
      <c r="S1545" s="29">
        <f>S1544</f>
        <v>0</v>
      </c>
      <c r="T1545" s="29">
        <f>T1544</f>
        <v>0</v>
      </c>
      <c r="U1545" s="29" t="e">
        <f>DATEDIF(DATE(1970,1,1),U1544,"D")*86400</f>
        <v>#NUM!</v>
      </c>
      <c r="V1545" s="29">
        <f>HOUR(V1544)*3600+MINUTE(V1544)*60+SECOND(V1544)</f>
        <v>0</v>
      </c>
      <c r="W1545" s="29" t="e">
        <f>DATEDIF(DATE(1970,1,1),W1544,"D")*86400</f>
        <v>#NUM!</v>
      </c>
      <c r="X1545" s="29">
        <f>HOUR(X1544)*3600+MINUTE(X1544)*60+SECOND(X1544)</f>
        <v>0</v>
      </c>
      <c r="Y1545" s="31">
        <f>(Y1544*B1545)</f>
        <v>0</v>
      </c>
      <c r="Z1545" s="29">
        <f>Z1544</f>
        <v>0</v>
      </c>
      <c r="AA1545" s="29" t="e">
        <f>DATEDIF(DATE(1970,1,1),AA1544,"D")*86400</f>
        <v>#NUM!</v>
      </c>
      <c r="AB1545" s="29">
        <f>HOUR(AB1544)*3600+MINUTE(AB1544)*60+SECOND(AB1544)</f>
        <v>0</v>
      </c>
      <c r="AC1545" s="29">
        <f>AC1544</f>
        <v>0</v>
      </c>
    </row>
    <row r="1546" spans="1:29">
      <c r="A1546" s="23">
        <f>Parameters!A774</f>
        <v>0</v>
      </c>
      <c r="B1546" s="23">
        <f>Parameters!B774</f>
        <v>0</v>
      </c>
      <c r="C1546" s="24">
        <f>Parameters!C774</f>
        <v>0</v>
      </c>
      <c r="D1546" s="24">
        <f>Parameters!D774</f>
        <v>0</v>
      </c>
      <c r="E1546" s="23">
        <f>Parameters!E774</f>
        <v>0</v>
      </c>
      <c r="F1546" s="23">
        <f>Parameters!F774</f>
        <v>0</v>
      </c>
      <c r="G1546" s="25">
        <f>Parameters!G774</f>
        <v>0</v>
      </c>
      <c r="H1546" s="25">
        <f>Parameters!H774</f>
        <v>0</v>
      </c>
      <c r="I1546" s="25">
        <f>Parameters!I774</f>
        <v>0</v>
      </c>
      <c r="J1546" s="25">
        <f>Parameters!J774</f>
        <v>0</v>
      </c>
      <c r="K1546" s="25">
        <f>Parameters!K774</f>
        <v>0</v>
      </c>
      <c r="L1546" s="26" t="e">
        <f t="shared" ref="L1546" si="2313">L1547</f>
        <v>#DIV/0!</v>
      </c>
      <c r="M1546" s="25">
        <f>Parameters!L774</f>
        <v>0</v>
      </c>
      <c r="N1546" s="25">
        <f>Parameters!M774</f>
        <v>0</v>
      </c>
      <c r="O1546" s="26" t="e">
        <f t="shared" ref="O1546" si="2314">O1547</f>
        <v>#DIV/0!</v>
      </c>
      <c r="P1546" s="23">
        <f>Parameters!N774</f>
        <v>0</v>
      </c>
      <c r="Q1546" s="23">
        <f>Parameters!O774</f>
        <v>0</v>
      </c>
      <c r="R1546" s="23">
        <f>Parameters!P774</f>
        <v>0</v>
      </c>
      <c r="S1546" s="23">
        <f>Parameters!Q774</f>
        <v>0</v>
      </c>
      <c r="T1546" s="23">
        <f>Parameters!R774</f>
        <v>0</v>
      </c>
      <c r="U1546" s="27">
        <f>Parameters!S774</f>
        <v>0</v>
      </c>
      <c r="V1546" s="28">
        <f>Parameters!T774</f>
        <v>0</v>
      </c>
      <c r="W1546" s="27">
        <f>Parameters!U774</f>
        <v>0</v>
      </c>
      <c r="X1546" s="28">
        <f>Parameters!V774</f>
        <v>0</v>
      </c>
      <c r="Y1546" s="25">
        <f>Parameters!W774</f>
        <v>0</v>
      </c>
      <c r="Z1546" s="23">
        <f>Parameters!X774</f>
        <v>0</v>
      </c>
      <c r="AA1546" s="27">
        <f>Parameters!Y774</f>
        <v>0</v>
      </c>
      <c r="AB1546" s="28">
        <f>Parameters!Z774</f>
        <v>0</v>
      </c>
      <c r="AC1546" s="23">
        <f>Parameters!AA774</f>
        <v>0</v>
      </c>
    </row>
    <row r="1547" spans="1:29">
      <c r="A1547" s="29" t="str">
        <f>UPPER(A1546)</f>
        <v>0</v>
      </c>
      <c r="B1547" s="29">
        <f>B1546</f>
        <v>0</v>
      </c>
      <c r="C1547" s="30">
        <f>C1546</f>
        <v>0</v>
      </c>
      <c r="D1547" s="30">
        <f>D1546</f>
        <v>0</v>
      </c>
      <c r="E1547" s="29">
        <f>E1546</f>
        <v>0</v>
      </c>
      <c r="F1547" s="29">
        <f>F1546</f>
        <v>0</v>
      </c>
      <c r="G1547" s="29" t="e">
        <f>IF(C1546=1,IF(D1546="BUY",E1546+(ROUND(F1546*G1546/B1546,0)*B1546),E1546-(ROUND(F1546*G1546/B1546,0)*B1546)),IF(D1546="BUY",E1546-(ROUND(F1546*G1546/B1546,0)*B1546),E1546+(ROUND(F1546*G1546/B1546,0)*B1546)))</f>
        <v>#DIV/0!</v>
      </c>
      <c r="H1547" s="29" t="e">
        <f>IF(C1546=1,IF(D1546="BUY",G1547-(ROUND(F1546*H1546/B1546,0)*B1546),G1547+(ROUND(F1546*H1546/B1546,0)*B1546)),IF(D1546="BUY",G1547+(ROUND(F1546*H1546/B1546,0)*B1546),G1547-(ROUND(F1546*H1546/B1546,0)*B1546)))</f>
        <v>#DIV/0!</v>
      </c>
      <c r="I1547" s="29" t="e">
        <f>IF(D1546="BUY",G1547+(ROUND(F1546*I1546/(B1546*100),0)*B1546),G1547-(ROUND(F1546*I1546/(B1546*100),0)*B1546))</f>
        <v>#DIV/0!</v>
      </c>
      <c r="J1547" s="29" t="e">
        <f>IF(C1546=1,IF(D1546="BUY",E1546+(ROUND(F1546*J1546/B1546,0)*B1546),E1546-(ROUND(F1546*J1546/B1546,0)*B1546)),IF(D1546="BUY",E1546-(ROUND(F1546*J1546/B1546,0)*B1546),E1546+(ROUND(F1546*J1546/B1546,0)*B1546)))</f>
        <v>#DIV/0!</v>
      </c>
      <c r="K1547" s="29" t="e">
        <f>IF(C1546=1,IF(D1546="BUY",E1546-(ROUND(F1546*K1546/B1546,0)*B1546),E1546+(ROUND(F1546*K1546/B1546,0)*B1546)),IF(D1546="BUY",E1546-(ROUND(F1546*K1546/B1546,0)*B1546),E1546+(ROUND(F1546*K1546/B1546,0)*B1546)))</f>
        <v>#DIV/0!</v>
      </c>
      <c r="L1547" s="29" t="e">
        <f t="shared" ref="L1547" si="2315">IF(D1547="BUY",I1547+(R1547*B1547),I1547-(R1547*B1547))</f>
        <v>#DIV/0!</v>
      </c>
      <c r="M1547" s="29" t="e">
        <f>IF(D1546="BUY",E1546+(ROUND(F1546*M1546/B1546,0)*B1546),E1546-(ROUND(F1546*M1546/B1546,0)*B1546))</f>
        <v>#DIV/0!</v>
      </c>
      <c r="N1547" s="29" t="e">
        <f>IF(D1546="BUY",E1546-(ROUND(F1546*N1546/B1546,0)*B1546),E1546+(ROUND(F1546*N1546/B1546,0)*B1546))</f>
        <v>#DIV/0!</v>
      </c>
      <c r="O1547" s="31" t="e">
        <f>IF(D1547="BUY",N1547-VLOOKUP(A1547,Symbols!A$1:D$1000,4,FALSE),N1547+VLOOKUP(A1547,Symbols!A$1:D$1000,4,FALSE))</f>
        <v>#DIV/0!</v>
      </c>
      <c r="P1547" s="29">
        <f>P1546</f>
        <v>0</v>
      </c>
      <c r="Q1547" s="29">
        <f>Q1546</f>
        <v>0</v>
      </c>
      <c r="R1547" s="29">
        <f>R1546</f>
        <v>0</v>
      </c>
      <c r="S1547" s="29">
        <f>S1546</f>
        <v>0</v>
      </c>
      <c r="T1547" s="29">
        <f>T1546</f>
        <v>0</v>
      </c>
      <c r="U1547" s="29" t="e">
        <f>DATEDIF(DATE(1970,1,1),U1546,"D")*86400</f>
        <v>#NUM!</v>
      </c>
      <c r="V1547" s="29">
        <f>HOUR(V1546)*3600+MINUTE(V1546)*60+SECOND(V1546)</f>
        <v>0</v>
      </c>
      <c r="W1547" s="29" t="e">
        <f>DATEDIF(DATE(1970,1,1),W1546,"D")*86400</f>
        <v>#NUM!</v>
      </c>
      <c r="X1547" s="29">
        <f>HOUR(X1546)*3600+MINUTE(X1546)*60+SECOND(X1546)</f>
        <v>0</v>
      </c>
      <c r="Y1547" s="31">
        <f>(Y1546*B1547)</f>
        <v>0</v>
      </c>
      <c r="Z1547" s="29">
        <f>Z1546</f>
        <v>0</v>
      </c>
      <c r="AA1547" s="29" t="e">
        <f>DATEDIF(DATE(1970,1,1),AA1546,"D")*86400</f>
        <v>#NUM!</v>
      </c>
      <c r="AB1547" s="29">
        <f>HOUR(AB1546)*3600+MINUTE(AB1546)*60+SECOND(AB1546)</f>
        <v>0</v>
      </c>
      <c r="AC1547" s="29">
        <f>AC1546</f>
        <v>0</v>
      </c>
    </row>
    <row r="1548" spans="1:29">
      <c r="A1548" s="23">
        <f>Parameters!A775</f>
        <v>0</v>
      </c>
      <c r="B1548" s="23">
        <f>Parameters!B775</f>
        <v>0</v>
      </c>
      <c r="C1548" s="24">
        <f>Parameters!C775</f>
        <v>0</v>
      </c>
      <c r="D1548" s="24">
        <f>Parameters!D775</f>
        <v>0</v>
      </c>
      <c r="E1548" s="23">
        <f>Parameters!E775</f>
        <v>0</v>
      </c>
      <c r="F1548" s="23">
        <f>Parameters!F775</f>
        <v>0</v>
      </c>
      <c r="G1548" s="25">
        <f>Parameters!G775</f>
        <v>0</v>
      </c>
      <c r="H1548" s="25">
        <f>Parameters!H775</f>
        <v>0</v>
      </c>
      <c r="I1548" s="25">
        <f>Parameters!I775</f>
        <v>0</v>
      </c>
      <c r="J1548" s="25">
        <f>Parameters!J775</f>
        <v>0</v>
      </c>
      <c r="K1548" s="25">
        <f>Parameters!K775</f>
        <v>0</v>
      </c>
      <c r="L1548" s="26" t="e">
        <f t="shared" ref="L1548" si="2316">L1549</f>
        <v>#DIV/0!</v>
      </c>
      <c r="M1548" s="25">
        <f>Parameters!L775</f>
        <v>0</v>
      </c>
      <c r="N1548" s="25">
        <f>Parameters!M775</f>
        <v>0</v>
      </c>
      <c r="O1548" s="26" t="e">
        <f t="shared" ref="O1548" si="2317">O1549</f>
        <v>#DIV/0!</v>
      </c>
      <c r="P1548" s="23">
        <f>Parameters!N775</f>
        <v>0</v>
      </c>
      <c r="Q1548" s="23">
        <f>Parameters!O775</f>
        <v>0</v>
      </c>
      <c r="R1548" s="23">
        <f>Parameters!P775</f>
        <v>0</v>
      </c>
      <c r="S1548" s="23">
        <f>Parameters!Q775</f>
        <v>0</v>
      </c>
      <c r="T1548" s="23">
        <f>Parameters!R775</f>
        <v>0</v>
      </c>
      <c r="U1548" s="27">
        <f>Parameters!S775</f>
        <v>0</v>
      </c>
      <c r="V1548" s="28">
        <f>Parameters!T775</f>
        <v>0</v>
      </c>
      <c r="W1548" s="27">
        <f>Parameters!U775</f>
        <v>0</v>
      </c>
      <c r="X1548" s="28">
        <f>Parameters!V775</f>
        <v>0</v>
      </c>
      <c r="Y1548" s="25">
        <f>Parameters!W775</f>
        <v>0</v>
      </c>
      <c r="Z1548" s="23">
        <f>Parameters!X775</f>
        <v>0</v>
      </c>
      <c r="AA1548" s="27">
        <f>Parameters!Y775</f>
        <v>0</v>
      </c>
      <c r="AB1548" s="28">
        <f>Parameters!Z775</f>
        <v>0</v>
      </c>
      <c r="AC1548" s="23">
        <f>Parameters!AA775</f>
        <v>0</v>
      </c>
    </row>
    <row r="1549" spans="1:29">
      <c r="A1549" s="29" t="str">
        <f>UPPER(A1548)</f>
        <v>0</v>
      </c>
      <c r="B1549" s="29">
        <f>B1548</f>
        <v>0</v>
      </c>
      <c r="C1549" s="30">
        <f>C1548</f>
        <v>0</v>
      </c>
      <c r="D1549" s="30">
        <f>D1548</f>
        <v>0</v>
      </c>
      <c r="E1549" s="29">
        <f>E1548</f>
        <v>0</v>
      </c>
      <c r="F1549" s="29">
        <f>F1548</f>
        <v>0</v>
      </c>
      <c r="G1549" s="29" t="e">
        <f>IF(C1548=1,IF(D1548="BUY",E1548+(ROUND(F1548*G1548/B1548,0)*B1548),E1548-(ROUND(F1548*G1548/B1548,0)*B1548)),IF(D1548="BUY",E1548-(ROUND(F1548*G1548/B1548,0)*B1548),E1548+(ROUND(F1548*G1548/B1548,0)*B1548)))</f>
        <v>#DIV/0!</v>
      </c>
      <c r="H1549" s="29" t="e">
        <f>IF(C1548=1,IF(D1548="BUY",G1549-(ROUND(F1548*H1548/B1548,0)*B1548),G1549+(ROUND(F1548*H1548/B1548,0)*B1548)),IF(D1548="BUY",G1549+(ROUND(F1548*H1548/B1548,0)*B1548),G1549-(ROUND(F1548*H1548/B1548,0)*B1548)))</f>
        <v>#DIV/0!</v>
      </c>
      <c r="I1549" s="29" t="e">
        <f>IF(D1548="BUY",G1549+(ROUND(F1548*I1548/(B1548*100),0)*B1548),G1549-(ROUND(F1548*I1548/(B1548*100),0)*B1548))</f>
        <v>#DIV/0!</v>
      </c>
      <c r="J1549" s="29" t="e">
        <f>IF(C1548=1,IF(D1548="BUY",E1548+(ROUND(F1548*J1548/B1548,0)*B1548),E1548-(ROUND(F1548*J1548/B1548,0)*B1548)),IF(D1548="BUY",E1548-(ROUND(F1548*J1548/B1548,0)*B1548),E1548+(ROUND(F1548*J1548/B1548,0)*B1548)))</f>
        <v>#DIV/0!</v>
      </c>
      <c r="K1549" s="29" t="e">
        <f>IF(C1548=1,IF(D1548="BUY",E1548-(ROUND(F1548*K1548/B1548,0)*B1548),E1548+(ROUND(F1548*K1548/B1548,0)*B1548)),IF(D1548="BUY",E1548-(ROUND(F1548*K1548/B1548,0)*B1548),E1548+(ROUND(F1548*K1548/B1548,0)*B1548)))</f>
        <v>#DIV/0!</v>
      </c>
      <c r="L1549" s="29" t="e">
        <f t="shared" ref="L1549" si="2318">IF(D1549="BUY",I1549+(R1549*B1549),I1549-(R1549*B1549))</f>
        <v>#DIV/0!</v>
      </c>
      <c r="M1549" s="29" t="e">
        <f>IF(D1548="BUY",E1548+(ROUND(F1548*M1548/B1548,0)*B1548),E1548-(ROUND(F1548*M1548/B1548,0)*B1548))</f>
        <v>#DIV/0!</v>
      </c>
      <c r="N1549" s="29" t="e">
        <f>IF(D1548="BUY",E1548-(ROUND(F1548*N1548/B1548,0)*B1548),E1548+(ROUND(F1548*N1548/B1548,0)*B1548))</f>
        <v>#DIV/0!</v>
      </c>
      <c r="O1549" s="31" t="e">
        <f>IF(D1549="BUY",N1549-VLOOKUP(A1549,Symbols!A$1:D$1000,4,FALSE),N1549+VLOOKUP(A1549,Symbols!A$1:D$1000,4,FALSE))</f>
        <v>#DIV/0!</v>
      </c>
      <c r="P1549" s="29">
        <f>P1548</f>
        <v>0</v>
      </c>
      <c r="Q1549" s="29">
        <f>Q1548</f>
        <v>0</v>
      </c>
      <c r="R1549" s="29">
        <f>R1548</f>
        <v>0</v>
      </c>
      <c r="S1549" s="29">
        <f>S1548</f>
        <v>0</v>
      </c>
      <c r="T1549" s="29">
        <f>T1548</f>
        <v>0</v>
      </c>
      <c r="U1549" s="29" t="e">
        <f>DATEDIF(DATE(1970,1,1),U1548,"D")*86400</f>
        <v>#NUM!</v>
      </c>
      <c r="V1549" s="29">
        <f>HOUR(V1548)*3600+MINUTE(V1548)*60+SECOND(V1548)</f>
        <v>0</v>
      </c>
      <c r="W1549" s="29" t="e">
        <f>DATEDIF(DATE(1970,1,1),W1548,"D")*86400</f>
        <v>#NUM!</v>
      </c>
      <c r="X1549" s="29">
        <f>HOUR(X1548)*3600+MINUTE(X1548)*60+SECOND(X1548)</f>
        <v>0</v>
      </c>
      <c r="Y1549" s="31">
        <f>(Y1548*B1549)</f>
        <v>0</v>
      </c>
      <c r="Z1549" s="29">
        <f>Z1548</f>
        <v>0</v>
      </c>
      <c r="AA1549" s="29" t="e">
        <f>DATEDIF(DATE(1970,1,1),AA1548,"D")*86400</f>
        <v>#NUM!</v>
      </c>
      <c r="AB1549" s="29">
        <f>HOUR(AB1548)*3600+MINUTE(AB1548)*60+SECOND(AB1548)</f>
        <v>0</v>
      </c>
      <c r="AC1549" s="29">
        <f>AC1548</f>
        <v>0</v>
      </c>
    </row>
    <row r="1550" spans="1:29">
      <c r="A1550" s="23">
        <f>Parameters!A776</f>
        <v>0</v>
      </c>
      <c r="B1550" s="23">
        <f>Parameters!B776</f>
        <v>0</v>
      </c>
      <c r="C1550" s="24">
        <f>Parameters!C776</f>
        <v>0</v>
      </c>
      <c r="D1550" s="24">
        <f>Parameters!D776</f>
        <v>0</v>
      </c>
      <c r="E1550" s="23">
        <f>Parameters!E776</f>
        <v>0</v>
      </c>
      <c r="F1550" s="23">
        <f>Parameters!F776</f>
        <v>0</v>
      </c>
      <c r="G1550" s="25">
        <f>Parameters!G776</f>
        <v>0</v>
      </c>
      <c r="H1550" s="25">
        <f>Parameters!H776</f>
        <v>0</v>
      </c>
      <c r="I1550" s="25">
        <f>Parameters!I776</f>
        <v>0</v>
      </c>
      <c r="J1550" s="25">
        <f>Parameters!J776</f>
        <v>0</v>
      </c>
      <c r="K1550" s="25">
        <f>Parameters!K776</f>
        <v>0</v>
      </c>
      <c r="L1550" s="26" t="e">
        <f t="shared" ref="L1550" si="2319">L1551</f>
        <v>#DIV/0!</v>
      </c>
      <c r="M1550" s="25">
        <f>Parameters!L776</f>
        <v>0</v>
      </c>
      <c r="N1550" s="25">
        <f>Parameters!M776</f>
        <v>0</v>
      </c>
      <c r="O1550" s="26" t="e">
        <f t="shared" ref="O1550" si="2320">O1551</f>
        <v>#DIV/0!</v>
      </c>
      <c r="P1550" s="23">
        <f>Parameters!N776</f>
        <v>0</v>
      </c>
      <c r="Q1550" s="23">
        <f>Parameters!O776</f>
        <v>0</v>
      </c>
      <c r="R1550" s="23">
        <f>Parameters!P776</f>
        <v>0</v>
      </c>
      <c r="S1550" s="23">
        <f>Parameters!Q776</f>
        <v>0</v>
      </c>
      <c r="T1550" s="23">
        <f>Parameters!R776</f>
        <v>0</v>
      </c>
      <c r="U1550" s="27">
        <f>Parameters!S776</f>
        <v>0</v>
      </c>
      <c r="V1550" s="28">
        <f>Parameters!T776</f>
        <v>0</v>
      </c>
      <c r="W1550" s="27">
        <f>Parameters!U776</f>
        <v>0</v>
      </c>
      <c r="X1550" s="28">
        <f>Parameters!V776</f>
        <v>0</v>
      </c>
      <c r="Y1550" s="25">
        <f>Parameters!W776</f>
        <v>0</v>
      </c>
      <c r="Z1550" s="23">
        <f>Parameters!X776</f>
        <v>0</v>
      </c>
      <c r="AA1550" s="27">
        <f>Parameters!Y776</f>
        <v>0</v>
      </c>
      <c r="AB1550" s="28">
        <f>Parameters!Z776</f>
        <v>0</v>
      </c>
      <c r="AC1550" s="23">
        <f>Parameters!AA776</f>
        <v>0</v>
      </c>
    </row>
    <row r="1551" spans="1:29">
      <c r="A1551" s="29" t="str">
        <f>UPPER(A1550)</f>
        <v>0</v>
      </c>
      <c r="B1551" s="29">
        <f>B1550</f>
        <v>0</v>
      </c>
      <c r="C1551" s="30">
        <f>C1550</f>
        <v>0</v>
      </c>
      <c r="D1551" s="30">
        <f>D1550</f>
        <v>0</v>
      </c>
      <c r="E1551" s="29">
        <f>E1550</f>
        <v>0</v>
      </c>
      <c r="F1551" s="29">
        <f>F1550</f>
        <v>0</v>
      </c>
      <c r="G1551" s="29" t="e">
        <f>IF(C1550=1,IF(D1550="BUY",E1550+(ROUND(F1550*G1550/B1550,0)*B1550),E1550-(ROUND(F1550*G1550/B1550,0)*B1550)),IF(D1550="BUY",E1550-(ROUND(F1550*G1550/B1550,0)*B1550),E1550+(ROUND(F1550*G1550/B1550,0)*B1550)))</f>
        <v>#DIV/0!</v>
      </c>
      <c r="H1551" s="29" t="e">
        <f>IF(C1550=1,IF(D1550="BUY",G1551-(ROUND(F1550*H1550/B1550,0)*B1550),G1551+(ROUND(F1550*H1550/B1550,0)*B1550)),IF(D1550="BUY",G1551+(ROUND(F1550*H1550/B1550,0)*B1550),G1551-(ROUND(F1550*H1550/B1550,0)*B1550)))</f>
        <v>#DIV/0!</v>
      </c>
      <c r="I1551" s="29" t="e">
        <f>IF(D1550="BUY",G1551+(ROUND(F1550*I1550/(B1550*100),0)*B1550),G1551-(ROUND(F1550*I1550/(B1550*100),0)*B1550))</f>
        <v>#DIV/0!</v>
      </c>
      <c r="J1551" s="29" t="e">
        <f>IF(C1550=1,IF(D1550="BUY",E1550+(ROUND(F1550*J1550/B1550,0)*B1550),E1550-(ROUND(F1550*J1550/B1550,0)*B1550)),IF(D1550="BUY",E1550-(ROUND(F1550*J1550/B1550,0)*B1550),E1550+(ROUND(F1550*J1550/B1550,0)*B1550)))</f>
        <v>#DIV/0!</v>
      </c>
      <c r="K1551" s="29" t="e">
        <f>IF(C1550=1,IF(D1550="BUY",E1550-(ROUND(F1550*K1550/B1550,0)*B1550),E1550+(ROUND(F1550*K1550/B1550,0)*B1550)),IF(D1550="BUY",E1550-(ROUND(F1550*K1550/B1550,0)*B1550),E1550+(ROUND(F1550*K1550/B1550,0)*B1550)))</f>
        <v>#DIV/0!</v>
      </c>
      <c r="L1551" s="29" t="e">
        <f t="shared" ref="L1551" si="2321">IF(D1551="BUY",I1551+(R1551*B1551),I1551-(R1551*B1551))</f>
        <v>#DIV/0!</v>
      </c>
      <c r="M1551" s="29" t="e">
        <f>IF(D1550="BUY",E1550+(ROUND(F1550*M1550/B1550,0)*B1550),E1550-(ROUND(F1550*M1550/B1550,0)*B1550))</f>
        <v>#DIV/0!</v>
      </c>
      <c r="N1551" s="29" t="e">
        <f>IF(D1550="BUY",E1550-(ROUND(F1550*N1550/B1550,0)*B1550),E1550+(ROUND(F1550*N1550/B1550,0)*B1550))</f>
        <v>#DIV/0!</v>
      </c>
      <c r="O1551" s="31" t="e">
        <f>IF(D1551="BUY",N1551-VLOOKUP(A1551,Symbols!A$1:D$1000,4,FALSE),N1551+VLOOKUP(A1551,Symbols!A$1:D$1000,4,FALSE))</f>
        <v>#DIV/0!</v>
      </c>
      <c r="P1551" s="29">
        <f>P1550</f>
        <v>0</v>
      </c>
      <c r="Q1551" s="29">
        <f>Q1550</f>
        <v>0</v>
      </c>
      <c r="R1551" s="29">
        <f>R1550</f>
        <v>0</v>
      </c>
      <c r="S1551" s="29">
        <f>S1550</f>
        <v>0</v>
      </c>
      <c r="T1551" s="29">
        <f>T1550</f>
        <v>0</v>
      </c>
      <c r="U1551" s="29" t="e">
        <f>DATEDIF(DATE(1970,1,1),U1550,"D")*86400</f>
        <v>#NUM!</v>
      </c>
      <c r="V1551" s="29">
        <f>HOUR(V1550)*3600+MINUTE(V1550)*60+SECOND(V1550)</f>
        <v>0</v>
      </c>
      <c r="W1551" s="29" t="e">
        <f>DATEDIF(DATE(1970,1,1),W1550,"D")*86400</f>
        <v>#NUM!</v>
      </c>
      <c r="X1551" s="29">
        <f>HOUR(X1550)*3600+MINUTE(X1550)*60+SECOND(X1550)</f>
        <v>0</v>
      </c>
      <c r="Y1551" s="31">
        <f>(Y1550*B1551)</f>
        <v>0</v>
      </c>
      <c r="Z1551" s="29">
        <f>Z1550</f>
        <v>0</v>
      </c>
      <c r="AA1551" s="29" t="e">
        <f>DATEDIF(DATE(1970,1,1),AA1550,"D")*86400</f>
        <v>#NUM!</v>
      </c>
      <c r="AB1551" s="29">
        <f>HOUR(AB1550)*3600+MINUTE(AB1550)*60+SECOND(AB1550)</f>
        <v>0</v>
      </c>
      <c r="AC1551" s="29">
        <f>AC1550</f>
        <v>0</v>
      </c>
    </row>
    <row r="1552" spans="1:29">
      <c r="A1552" s="23">
        <f>Parameters!A777</f>
        <v>0</v>
      </c>
      <c r="B1552" s="23">
        <f>Parameters!B777</f>
        <v>0</v>
      </c>
      <c r="C1552" s="24">
        <f>Parameters!C777</f>
        <v>0</v>
      </c>
      <c r="D1552" s="24">
        <f>Parameters!D777</f>
        <v>0</v>
      </c>
      <c r="E1552" s="23">
        <f>Parameters!E777</f>
        <v>0</v>
      </c>
      <c r="F1552" s="23">
        <f>Parameters!F777</f>
        <v>0</v>
      </c>
      <c r="G1552" s="25">
        <f>Parameters!G777</f>
        <v>0</v>
      </c>
      <c r="H1552" s="25">
        <f>Parameters!H777</f>
        <v>0</v>
      </c>
      <c r="I1552" s="25">
        <f>Parameters!I777</f>
        <v>0</v>
      </c>
      <c r="J1552" s="25">
        <f>Parameters!J777</f>
        <v>0</v>
      </c>
      <c r="K1552" s="25">
        <f>Parameters!K777</f>
        <v>0</v>
      </c>
      <c r="L1552" s="26" t="e">
        <f t="shared" ref="L1552" si="2322">L1553</f>
        <v>#DIV/0!</v>
      </c>
      <c r="M1552" s="25">
        <f>Parameters!L777</f>
        <v>0</v>
      </c>
      <c r="N1552" s="25">
        <f>Parameters!M777</f>
        <v>0</v>
      </c>
      <c r="O1552" s="26" t="e">
        <f t="shared" ref="O1552" si="2323">O1553</f>
        <v>#DIV/0!</v>
      </c>
      <c r="P1552" s="23">
        <f>Parameters!N777</f>
        <v>0</v>
      </c>
      <c r="Q1552" s="23">
        <f>Parameters!O777</f>
        <v>0</v>
      </c>
      <c r="R1552" s="23">
        <f>Parameters!P777</f>
        <v>0</v>
      </c>
      <c r="S1552" s="23">
        <f>Parameters!Q777</f>
        <v>0</v>
      </c>
      <c r="T1552" s="23">
        <f>Parameters!R777</f>
        <v>0</v>
      </c>
      <c r="U1552" s="27">
        <f>Parameters!S777</f>
        <v>0</v>
      </c>
      <c r="V1552" s="28">
        <f>Parameters!T777</f>
        <v>0</v>
      </c>
      <c r="W1552" s="27">
        <f>Parameters!U777</f>
        <v>0</v>
      </c>
      <c r="X1552" s="28">
        <f>Parameters!V777</f>
        <v>0</v>
      </c>
      <c r="Y1552" s="25">
        <f>Parameters!W777</f>
        <v>0</v>
      </c>
      <c r="Z1552" s="23">
        <f>Parameters!X777</f>
        <v>0</v>
      </c>
      <c r="AA1552" s="27">
        <f>Parameters!Y777</f>
        <v>0</v>
      </c>
      <c r="AB1552" s="28">
        <f>Parameters!Z777</f>
        <v>0</v>
      </c>
      <c r="AC1552" s="23">
        <f>Parameters!AA777</f>
        <v>0</v>
      </c>
    </row>
    <row r="1553" spans="1:29">
      <c r="A1553" s="29" t="str">
        <f>UPPER(A1552)</f>
        <v>0</v>
      </c>
      <c r="B1553" s="29">
        <f>B1552</f>
        <v>0</v>
      </c>
      <c r="C1553" s="30">
        <f>C1552</f>
        <v>0</v>
      </c>
      <c r="D1553" s="30">
        <f>D1552</f>
        <v>0</v>
      </c>
      <c r="E1553" s="29">
        <f>E1552</f>
        <v>0</v>
      </c>
      <c r="F1553" s="29">
        <f>F1552</f>
        <v>0</v>
      </c>
      <c r="G1553" s="29" t="e">
        <f>IF(C1552=1,IF(D1552="BUY",E1552+(ROUND(F1552*G1552/B1552,0)*B1552),E1552-(ROUND(F1552*G1552/B1552,0)*B1552)),IF(D1552="BUY",E1552-(ROUND(F1552*G1552/B1552,0)*B1552),E1552+(ROUND(F1552*G1552/B1552,0)*B1552)))</f>
        <v>#DIV/0!</v>
      </c>
      <c r="H1553" s="29" t="e">
        <f>IF(C1552=1,IF(D1552="BUY",G1553-(ROUND(F1552*H1552/B1552,0)*B1552),G1553+(ROUND(F1552*H1552/B1552,0)*B1552)),IF(D1552="BUY",G1553+(ROUND(F1552*H1552/B1552,0)*B1552),G1553-(ROUND(F1552*H1552/B1552,0)*B1552)))</f>
        <v>#DIV/0!</v>
      </c>
      <c r="I1553" s="29" t="e">
        <f>IF(D1552="BUY",G1553+(ROUND(F1552*I1552/(B1552*100),0)*B1552),G1553-(ROUND(F1552*I1552/(B1552*100),0)*B1552))</f>
        <v>#DIV/0!</v>
      </c>
      <c r="J1553" s="29" t="e">
        <f>IF(C1552=1,IF(D1552="BUY",E1552+(ROUND(F1552*J1552/B1552,0)*B1552),E1552-(ROUND(F1552*J1552/B1552,0)*B1552)),IF(D1552="BUY",E1552-(ROUND(F1552*J1552/B1552,0)*B1552),E1552+(ROUND(F1552*J1552/B1552,0)*B1552)))</f>
        <v>#DIV/0!</v>
      </c>
      <c r="K1553" s="29" t="e">
        <f>IF(C1552=1,IF(D1552="BUY",E1552-(ROUND(F1552*K1552/B1552,0)*B1552),E1552+(ROUND(F1552*K1552/B1552,0)*B1552)),IF(D1552="BUY",E1552-(ROUND(F1552*K1552/B1552,0)*B1552),E1552+(ROUND(F1552*K1552/B1552,0)*B1552)))</f>
        <v>#DIV/0!</v>
      </c>
      <c r="L1553" s="29" t="e">
        <f t="shared" ref="L1553" si="2324">IF(D1553="BUY",I1553+(R1553*B1553),I1553-(R1553*B1553))</f>
        <v>#DIV/0!</v>
      </c>
      <c r="M1553" s="29" t="e">
        <f>IF(D1552="BUY",E1552+(ROUND(F1552*M1552/B1552,0)*B1552),E1552-(ROUND(F1552*M1552/B1552,0)*B1552))</f>
        <v>#DIV/0!</v>
      </c>
      <c r="N1553" s="29" t="e">
        <f>IF(D1552="BUY",E1552-(ROUND(F1552*N1552/B1552,0)*B1552),E1552+(ROUND(F1552*N1552/B1552,0)*B1552))</f>
        <v>#DIV/0!</v>
      </c>
      <c r="O1553" s="31" t="e">
        <f>IF(D1553="BUY",N1553-VLOOKUP(A1553,Symbols!A$1:D$1000,4,FALSE),N1553+VLOOKUP(A1553,Symbols!A$1:D$1000,4,FALSE))</f>
        <v>#DIV/0!</v>
      </c>
      <c r="P1553" s="29">
        <f>P1552</f>
        <v>0</v>
      </c>
      <c r="Q1553" s="29">
        <f>Q1552</f>
        <v>0</v>
      </c>
      <c r="R1553" s="29">
        <f>R1552</f>
        <v>0</v>
      </c>
      <c r="S1553" s="29">
        <f>S1552</f>
        <v>0</v>
      </c>
      <c r="T1553" s="29">
        <f>T1552</f>
        <v>0</v>
      </c>
      <c r="U1553" s="29" t="e">
        <f>DATEDIF(DATE(1970,1,1),U1552,"D")*86400</f>
        <v>#NUM!</v>
      </c>
      <c r="V1553" s="29">
        <f>HOUR(V1552)*3600+MINUTE(V1552)*60+SECOND(V1552)</f>
        <v>0</v>
      </c>
      <c r="W1553" s="29" t="e">
        <f>DATEDIF(DATE(1970,1,1),W1552,"D")*86400</f>
        <v>#NUM!</v>
      </c>
      <c r="X1553" s="29">
        <f>HOUR(X1552)*3600+MINUTE(X1552)*60+SECOND(X1552)</f>
        <v>0</v>
      </c>
      <c r="Y1553" s="31">
        <f>(Y1552*B1553)</f>
        <v>0</v>
      </c>
      <c r="Z1553" s="29">
        <f>Z1552</f>
        <v>0</v>
      </c>
      <c r="AA1553" s="29" t="e">
        <f>DATEDIF(DATE(1970,1,1),AA1552,"D")*86400</f>
        <v>#NUM!</v>
      </c>
      <c r="AB1553" s="29">
        <f>HOUR(AB1552)*3600+MINUTE(AB1552)*60+SECOND(AB1552)</f>
        <v>0</v>
      </c>
      <c r="AC1553" s="29">
        <f>AC1552</f>
        <v>0</v>
      </c>
    </row>
    <row r="1554" spans="1:29">
      <c r="A1554" s="23">
        <f>Parameters!A778</f>
        <v>0</v>
      </c>
      <c r="B1554" s="23">
        <f>Parameters!B778</f>
        <v>0</v>
      </c>
      <c r="C1554" s="24">
        <f>Parameters!C778</f>
        <v>0</v>
      </c>
      <c r="D1554" s="24">
        <f>Parameters!D778</f>
        <v>0</v>
      </c>
      <c r="E1554" s="23">
        <f>Parameters!E778</f>
        <v>0</v>
      </c>
      <c r="F1554" s="23">
        <f>Parameters!F778</f>
        <v>0</v>
      </c>
      <c r="G1554" s="25">
        <f>Parameters!G778</f>
        <v>0</v>
      </c>
      <c r="H1554" s="25">
        <f>Parameters!H778</f>
        <v>0</v>
      </c>
      <c r="I1554" s="25">
        <f>Parameters!I778</f>
        <v>0</v>
      </c>
      <c r="J1554" s="25">
        <f>Parameters!J778</f>
        <v>0</v>
      </c>
      <c r="K1554" s="25">
        <f>Parameters!K778</f>
        <v>0</v>
      </c>
      <c r="L1554" s="26" t="e">
        <f t="shared" ref="L1554" si="2325">L1555</f>
        <v>#DIV/0!</v>
      </c>
      <c r="M1554" s="25">
        <f>Parameters!L778</f>
        <v>0</v>
      </c>
      <c r="N1554" s="25">
        <f>Parameters!M778</f>
        <v>0</v>
      </c>
      <c r="O1554" s="26" t="e">
        <f t="shared" ref="O1554" si="2326">O1555</f>
        <v>#DIV/0!</v>
      </c>
      <c r="P1554" s="23">
        <f>Parameters!N778</f>
        <v>0</v>
      </c>
      <c r="Q1554" s="23">
        <f>Parameters!O778</f>
        <v>0</v>
      </c>
      <c r="R1554" s="23">
        <f>Parameters!P778</f>
        <v>0</v>
      </c>
      <c r="S1554" s="23">
        <f>Parameters!Q778</f>
        <v>0</v>
      </c>
      <c r="T1554" s="23">
        <f>Parameters!R778</f>
        <v>0</v>
      </c>
      <c r="U1554" s="27">
        <f>Parameters!S778</f>
        <v>0</v>
      </c>
      <c r="V1554" s="28">
        <f>Parameters!T778</f>
        <v>0</v>
      </c>
      <c r="W1554" s="27">
        <f>Parameters!U778</f>
        <v>0</v>
      </c>
      <c r="X1554" s="28">
        <f>Parameters!V778</f>
        <v>0</v>
      </c>
      <c r="Y1554" s="25">
        <f>Parameters!W778</f>
        <v>0</v>
      </c>
      <c r="Z1554" s="23">
        <f>Parameters!X778</f>
        <v>0</v>
      </c>
      <c r="AA1554" s="27">
        <f>Parameters!Y778</f>
        <v>0</v>
      </c>
      <c r="AB1554" s="28">
        <f>Parameters!Z778</f>
        <v>0</v>
      </c>
      <c r="AC1554" s="23">
        <f>Parameters!AA778</f>
        <v>0</v>
      </c>
    </row>
    <row r="1555" spans="1:29">
      <c r="A1555" s="29" t="str">
        <f>UPPER(A1554)</f>
        <v>0</v>
      </c>
      <c r="B1555" s="29">
        <f>B1554</f>
        <v>0</v>
      </c>
      <c r="C1555" s="30">
        <f>C1554</f>
        <v>0</v>
      </c>
      <c r="D1555" s="30">
        <f>D1554</f>
        <v>0</v>
      </c>
      <c r="E1555" s="29">
        <f>E1554</f>
        <v>0</v>
      </c>
      <c r="F1555" s="29">
        <f>F1554</f>
        <v>0</v>
      </c>
      <c r="G1555" s="29" t="e">
        <f>IF(C1554=1,IF(D1554="BUY",E1554+(ROUND(F1554*G1554/B1554,0)*B1554),E1554-(ROUND(F1554*G1554/B1554,0)*B1554)),IF(D1554="BUY",E1554-(ROUND(F1554*G1554/B1554,0)*B1554),E1554+(ROUND(F1554*G1554/B1554,0)*B1554)))</f>
        <v>#DIV/0!</v>
      </c>
      <c r="H1555" s="29" t="e">
        <f>IF(C1554=1,IF(D1554="BUY",G1555-(ROUND(F1554*H1554/B1554,0)*B1554),G1555+(ROUND(F1554*H1554/B1554,0)*B1554)),IF(D1554="BUY",G1555+(ROUND(F1554*H1554/B1554,0)*B1554),G1555-(ROUND(F1554*H1554/B1554,0)*B1554)))</f>
        <v>#DIV/0!</v>
      </c>
      <c r="I1555" s="29" t="e">
        <f>IF(D1554="BUY",G1555+(ROUND(F1554*I1554/(B1554*100),0)*B1554),G1555-(ROUND(F1554*I1554/(B1554*100),0)*B1554))</f>
        <v>#DIV/0!</v>
      </c>
      <c r="J1555" s="29" t="e">
        <f>IF(C1554=1,IF(D1554="BUY",E1554+(ROUND(F1554*J1554/B1554,0)*B1554),E1554-(ROUND(F1554*J1554/B1554,0)*B1554)),IF(D1554="BUY",E1554-(ROUND(F1554*J1554/B1554,0)*B1554),E1554+(ROUND(F1554*J1554/B1554,0)*B1554)))</f>
        <v>#DIV/0!</v>
      </c>
      <c r="K1555" s="29" t="e">
        <f>IF(C1554=1,IF(D1554="BUY",E1554-(ROUND(F1554*K1554/B1554,0)*B1554),E1554+(ROUND(F1554*K1554/B1554,0)*B1554)),IF(D1554="BUY",E1554-(ROUND(F1554*K1554/B1554,0)*B1554),E1554+(ROUND(F1554*K1554/B1554,0)*B1554)))</f>
        <v>#DIV/0!</v>
      </c>
      <c r="L1555" s="29" t="e">
        <f t="shared" ref="L1555" si="2327">IF(D1555="BUY",I1555+(R1555*B1555),I1555-(R1555*B1555))</f>
        <v>#DIV/0!</v>
      </c>
      <c r="M1555" s="29" t="e">
        <f>IF(D1554="BUY",E1554+(ROUND(F1554*M1554/B1554,0)*B1554),E1554-(ROUND(F1554*M1554/B1554,0)*B1554))</f>
        <v>#DIV/0!</v>
      </c>
      <c r="N1555" s="29" t="e">
        <f>IF(D1554="BUY",E1554-(ROUND(F1554*N1554/B1554,0)*B1554),E1554+(ROUND(F1554*N1554/B1554,0)*B1554))</f>
        <v>#DIV/0!</v>
      </c>
      <c r="O1555" s="31" t="e">
        <f>IF(D1555="BUY",N1555-VLOOKUP(A1555,Symbols!A$1:D$1000,4,FALSE),N1555+VLOOKUP(A1555,Symbols!A$1:D$1000,4,FALSE))</f>
        <v>#DIV/0!</v>
      </c>
      <c r="P1555" s="29">
        <f>P1554</f>
        <v>0</v>
      </c>
      <c r="Q1555" s="29">
        <f>Q1554</f>
        <v>0</v>
      </c>
      <c r="R1555" s="29">
        <f>R1554</f>
        <v>0</v>
      </c>
      <c r="S1555" s="29">
        <f>S1554</f>
        <v>0</v>
      </c>
      <c r="T1555" s="29">
        <f>T1554</f>
        <v>0</v>
      </c>
      <c r="U1555" s="29" t="e">
        <f>DATEDIF(DATE(1970,1,1),U1554,"D")*86400</f>
        <v>#NUM!</v>
      </c>
      <c r="V1555" s="29">
        <f>HOUR(V1554)*3600+MINUTE(V1554)*60+SECOND(V1554)</f>
        <v>0</v>
      </c>
      <c r="W1555" s="29" t="e">
        <f>DATEDIF(DATE(1970,1,1),W1554,"D")*86400</f>
        <v>#NUM!</v>
      </c>
      <c r="X1555" s="29">
        <f>HOUR(X1554)*3600+MINUTE(X1554)*60+SECOND(X1554)</f>
        <v>0</v>
      </c>
      <c r="Y1555" s="31">
        <f>(Y1554*B1555)</f>
        <v>0</v>
      </c>
      <c r="Z1555" s="29">
        <f>Z1554</f>
        <v>0</v>
      </c>
      <c r="AA1555" s="29" t="e">
        <f>DATEDIF(DATE(1970,1,1),AA1554,"D")*86400</f>
        <v>#NUM!</v>
      </c>
      <c r="AB1555" s="29">
        <f>HOUR(AB1554)*3600+MINUTE(AB1554)*60+SECOND(AB1554)</f>
        <v>0</v>
      </c>
      <c r="AC1555" s="29">
        <f>AC1554</f>
        <v>0</v>
      </c>
    </row>
    <row r="1556" spans="1:29">
      <c r="A1556" s="23">
        <f>Parameters!A779</f>
        <v>0</v>
      </c>
      <c r="B1556" s="23">
        <f>Parameters!B779</f>
        <v>0</v>
      </c>
      <c r="C1556" s="24">
        <f>Parameters!C779</f>
        <v>0</v>
      </c>
      <c r="D1556" s="24">
        <f>Parameters!D779</f>
        <v>0</v>
      </c>
      <c r="E1556" s="23">
        <f>Parameters!E779</f>
        <v>0</v>
      </c>
      <c r="F1556" s="23">
        <f>Parameters!F779</f>
        <v>0</v>
      </c>
      <c r="G1556" s="25">
        <f>Parameters!G779</f>
        <v>0</v>
      </c>
      <c r="H1556" s="25">
        <f>Parameters!H779</f>
        <v>0</v>
      </c>
      <c r="I1556" s="25">
        <f>Parameters!I779</f>
        <v>0</v>
      </c>
      <c r="J1556" s="25">
        <f>Parameters!J779</f>
        <v>0</v>
      </c>
      <c r="K1556" s="25">
        <f>Parameters!K779</f>
        <v>0</v>
      </c>
      <c r="L1556" s="26" t="e">
        <f t="shared" ref="L1556" si="2328">L1557</f>
        <v>#DIV/0!</v>
      </c>
      <c r="M1556" s="25">
        <f>Parameters!L779</f>
        <v>0</v>
      </c>
      <c r="N1556" s="25">
        <f>Parameters!M779</f>
        <v>0</v>
      </c>
      <c r="O1556" s="26" t="e">
        <f t="shared" ref="O1556" si="2329">O1557</f>
        <v>#DIV/0!</v>
      </c>
      <c r="P1556" s="23">
        <f>Parameters!N779</f>
        <v>0</v>
      </c>
      <c r="Q1556" s="23">
        <f>Parameters!O779</f>
        <v>0</v>
      </c>
      <c r="R1556" s="23">
        <f>Parameters!P779</f>
        <v>0</v>
      </c>
      <c r="S1556" s="23">
        <f>Parameters!Q779</f>
        <v>0</v>
      </c>
      <c r="T1556" s="23">
        <f>Parameters!R779</f>
        <v>0</v>
      </c>
      <c r="U1556" s="27">
        <f>Parameters!S779</f>
        <v>0</v>
      </c>
      <c r="V1556" s="28">
        <f>Parameters!T779</f>
        <v>0</v>
      </c>
      <c r="W1556" s="27">
        <f>Parameters!U779</f>
        <v>0</v>
      </c>
      <c r="X1556" s="28">
        <f>Parameters!V779</f>
        <v>0</v>
      </c>
      <c r="Y1556" s="25">
        <f>Parameters!W779</f>
        <v>0</v>
      </c>
      <c r="Z1556" s="23">
        <f>Parameters!X779</f>
        <v>0</v>
      </c>
      <c r="AA1556" s="27">
        <f>Parameters!Y779</f>
        <v>0</v>
      </c>
      <c r="AB1556" s="28">
        <f>Parameters!Z779</f>
        <v>0</v>
      </c>
      <c r="AC1556" s="23">
        <f>Parameters!AA779</f>
        <v>0</v>
      </c>
    </row>
    <row r="1557" spans="1:29">
      <c r="A1557" s="29" t="str">
        <f>UPPER(A1556)</f>
        <v>0</v>
      </c>
      <c r="B1557" s="29">
        <f>B1556</f>
        <v>0</v>
      </c>
      <c r="C1557" s="30">
        <f>C1556</f>
        <v>0</v>
      </c>
      <c r="D1557" s="30">
        <f>D1556</f>
        <v>0</v>
      </c>
      <c r="E1557" s="29">
        <f>E1556</f>
        <v>0</v>
      </c>
      <c r="F1557" s="29">
        <f>F1556</f>
        <v>0</v>
      </c>
      <c r="G1557" s="29" t="e">
        <f>IF(C1556=1,IF(D1556="BUY",E1556+(ROUND(F1556*G1556/B1556,0)*B1556),E1556-(ROUND(F1556*G1556/B1556,0)*B1556)),IF(D1556="BUY",E1556-(ROUND(F1556*G1556/B1556,0)*B1556),E1556+(ROUND(F1556*G1556/B1556,0)*B1556)))</f>
        <v>#DIV/0!</v>
      </c>
      <c r="H1557" s="29" t="e">
        <f>IF(C1556=1,IF(D1556="BUY",G1557-(ROUND(F1556*H1556/B1556,0)*B1556),G1557+(ROUND(F1556*H1556/B1556,0)*B1556)),IF(D1556="BUY",G1557+(ROUND(F1556*H1556/B1556,0)*B1556),G1557-(ROUND(F1556*H1556/B1556,0)*B1556)))</f>
        <v>#DIV/0!</v>
      </c>
      <c r="I1557" s="29" t="e">
        <f>IF(D1556="BUY",G1557+(ROUND(F1556*I1556/(B1556*100),0)*B1556),G1557-(ROUND(F1556*I1556/(B1556*100),0)*B1556))</f>
        <v>#DIV/0!</v>
      </c>
      <c r="J1557" s="29" t="e">
        <f>IF(C1556=1,IF(D1556="BUY",E1556+(ROUND(F1556*J1556/B1556,0)*B1556),E1556-(ROUND(F1556*J1556/B1556,0)*B1556)),IF(D1556="BUY",E1556-(ROUND(F1556*J1556/B1556,0)*B1556),E1556+(ROUND(F1556*J1556/B1556,0)*B1556)))</f>
        <v>#DIV/0!</v>
      </c>
      <c r="K1557" s="29" t="e">
        <f>IF(C1556=1,IF(D1556="BUY",E1556-(ROUND(F1556*K1556/B1556,0)*B1556),E1556+(ROUND(F1556*K1556/B1556,0)*B1556)),IF(D1556="BUY",E1556-(ROUND(F1556*K1556/B1556,0)*B1556),E1556+(ROUND(F1556*K1556/B1556,0)*B1556)))</f>
        <v>#DIV/0!</v>
      </c>
      <c r="L1557" s="29" t="e">
        <f t="shared" ref="L1557" si="2330">IF(D1557="BUY",I1557+(R1557*B1557),I1557-(R1557*B1557))</f>
        <v>#DIV/0!</v>
      </c>
      <c r="M1557" s="29" t="e">
        <f>IF(D1556="BUY",E1556+(ROUND(F1556*M1556/B1556,0)*B1556),E1556-(ROUND(F1556*M1556/B1556,0)*B1556))</f>
        <v>#DIV/0!</v>
      </c>
      <c r="N1557" s="29" t="e">
        <f>IF(D1556="BUY",E1556-(ROUND(F1556*N1556/B1556,0)*B1556),E1556+(ROUND(F1556*N1556/B1556,0)*B1556))</f>
        <v>#DIV/0!</v>
      </c>
      <c r="O1557" s="31" t="e">
        <f>IF(D1557="BUY",N1557-VLOOKUP(A1557,Symbols!A$1:D$1000,4,FALSE),N1557+VLOOKUP(A1557,Symbols!A$1:D$1000,4,FALSE))</f>
        <v>#DIV/0!</v>
      </c>
      <c r="P1557" s="29">
        <f>P1556</f>
        <v>0</v>
      </c>
      <c r="Q1557" s="29">
        <f>Q1556</f>
        <v>0</v>
      </c>
      <c r="R1557" s="29">
        <f>R1556</f>
        <v>0</v>
      </c>
      <c r="S1557" s="29">
        <f>S1556</f>
        <v>0</v>
      </c>
      <c r="T1557" s="29">
        <f>T1556</f>
        <v>0</v>
      </c>
      <c r="U1557" s="29" t="e">
        <f>DATEDIF(DATE(1970,1,1),U1556,"D")*86400</f>
        <v>#NUM!</v>
      </c>
      <c r="V1557" s="29">
        <f>HOUR(V1556)*3600+MINUTE(V1556)*60+SECOND(V1556)</f>
        <v>0</v>
      </c>
      <c r="W1557" s="29" t="e">
        <f>DATEDIF(DATE(1970,1,1),W1556,"D")*86400</f>
        <v>#NUM!</v>
      </c>
      <c r="X1557" s="29">
        <f>HOUR(X1556)*3600+MINUTE(X1556)*60+SECOND(X1556)</f>
        <v>0</v>
      </c>
      <c r="Y1557" s="31">
        <f>(Y1556*B1557)</f>
        <v>0</v>
      </c>
      <c r="Z1557" s="29">
        <f>Z1556</f>
        <v>0</v>
      </c>
      <c r="AA1557" s="29" t="e">
        <f>DATEDIF(DATE(1970,1,1),AA1556,"D")*86400</f>
        <v>#NUM!</v>
      </c>
      <c r="AB1557" s="29">
        <f>HOUR(AB1556)*3600+MINUTE(AB1556)*60+SECOND(AB1556)</f>
        <v>0</v>
      </c>
      <c r="AC1557" s="29">
        <f>AC1556</f>
        <v>0</v>
      </c>
    </row>
    <row r="1558" spans="1:29">
      <c r="A1558" s="23">
        <f>Parameters!A780</f>
        <v>0</v>
      </c>
      <c r="B1558" s="23">
        <f>Parameters!B780</f>
        <v>0</v>
      </c>
      <c r="C1558" s="24">
        <f>Parameters!C780</f>
        <v>0</v>
      </c>
      <c r="D1558" s="24">
        <f>Parameters!D780</f>
        <v>0</v>
      </c>
      <c r="E1558" s="23">
        <f>Parameters!E780</f>
        <v>0</v>
      </c>
      <c r="F1558" s="23">
        <f>Parameters!F780</f>
        <v>0</v>
      </c>
      <c r="G1558" s="25">
        <f>Parameters!G780</f>
        <v>0</v>
      </c>
      <c r="H1558" s="25">
        <f>Parameters!H780</f>
        <v>0</v>
      </c>
      <c r="I1558" s="25">
        <f>Parameters!I780</f>
        <v>0</v>
      </c>
      <c r="J1558" s="25">
        <f>Parameters!J780</f>
        <v>0</v>
      </c>
      <c r="K1558" s="25">
        <f>Parameters!K780</f>
        <v>0</v>
      </c>
      <c r="L1558" s="26" t="e">
        <f t="shared" ref="L1558" si="2331">L1559</f>
        <v>#DIV/0!</v>
      </c>
      <c r="M1558" s="25">
        <f>Parameters!L780</f>
        <v>0</v>
      </c>
      <c r="N1558" s="25">
        <f>Parameters!M780</f>
        <v>0</v>
      </c>
      <c r="O1558" s="26" t="e">
        <f t="shared" ref="O1558" si="2332">O1559</f>
        <v>#DIV/0!</v>
      </c>
      <c r="P1558" s="23">
        <f>Parameters!N780</f>
        <v>0</v>
      </c>
      <c r="Q1558" s="23">
        <f>Parameters!O780</f>
        <v>0</v>
      </c>
      <c r="R1558" s="23">
        <f>Parameters!P780</f>
        <v>0</v>
      </c>
      <c r="S1558" s="23">
        <f>Parameters!Q780</f>
        <v>0</v>
      </c>
      <c r="T1558" s="23">
        <f>Parameters!R780</f>
        <v>0</v>
      </c>
      <c r="U1558" s="27">
        <f>Parameters!S780</f>
        <v>0</v>
      </c>
      <c r="V1558" s="28">
        <f>Parameters!T780</f>
        <v>0</v>
      </c>
      <c r="W1558" s="27">
        <f>Parameters!U780</f>
        <v>0</v>
      </c>
      <c r="X1558" s="28">
        <f>Parameters!V780</f>
        <v>0</v>
      </c>
      <c r="Y1558" s="25">
        <f>Parameters!W780</f>
        <v>0</v>
      </c>
      <c r="Z1558" s="23">
        <f>Parameters!X780</f>
        <v>0</v>
      </c>
      <c r="AA1558" s="27">
        <f>Parameters!Y780</f>
        <v>0</v>
      </c>
      <c r="AB1558" s="28">
        <f>Parameters!Z780</f>
        <v>0</v>
      </c>
      <c r="AC1558" s="23">
        <f>Parameters!AA780</f>
        <v>0</v>
      </c>
    </row>
    <row r="1559" spans="1:29">
      <c r="A1559" s="29" t="str">
        <f>UPPER(A1558)</f>
        <v>0</v>
      </c>
      <c r="B1559" s="29">
        <f>B1558</f>
        <v>0</v>
      </c>
      <c r="C1559" s="30">
        <f>C1558</f>
        <v>0</v>
      </c>
      <c r="D1559" s="30">
        <f>D1558</f>
        <v>0</v>
      </c>
      <c r="E1559" s="29">
        <f>E1558</f>
        <v>0</v>
      </c>
      <c r="F1559" s="29">
        <f>F1558</f>
        <v>0</v>
      </c>
      <c r="G1559" s="29" t="e">
        <f>IF(C1558=1,IF(D1558="BUY",E1558+(ROUND(F1558*G1558/B1558,0)*B1558),E1558-(ROUND(F1558*G1558/B1558,0)*B1558)),IF(D1558="BUY",E1558-(ROUND(F1558*G1558/B1558,0)*B1558),E1558+(ROUND(F1558*G1558/B1558,0)*B1558)))</f>
        <v>#DIV/0!</v>
      </c>
      <c r="H1559" s="29" t="e">
        <f>IF(C1558=1,IF(D1558="BUY",G1559-(ROUND(F1558*H1558/B1558,0)*B1558),G1559+(ROUND(F1558*H1558/B1558,0)*B1558)),IF(D1558="BUY",G1559+(ROUND(F1558*H1558/B1558,0)*B1558),G1559-(ROUND(F1558*H1558/B1558,0)*B1558)))</f>
        <v>#DIV/0!</v>
      </c>
      <c r="I1559" s="29" t="e">
        <f>IF(D1558="BUY",G1559+(ROUND(F1558*I1558/(B1558*100),0)*B1558),G1559-(ROUND(F1558*I1558/(B1558*100),0)*B1558))</f>
        <v>#DIV/0!</v>
      </c>
      <c r="J1559" s="29" t="e">
        <f>IF(C1558=1,IF(D1558="BUY",E1558+(ROUND(F1558*J1558/B1558,0)*B1558),E1558-(ROUND(F1558*J1558/B1558,0)*B1558)),IF(D1558="BUY",E1558-(ROUND(F1558*J1558/B1558,0)*B1558),E1558+(ROUND(F1558*J1558/B1558,0)*B1558)))</f>
        <v>#DIV/0!</v>
      </c>
      <c r="K1559" s="29" t="e">
        <f>IF(C1558=1,IF(D1558="BUY",E1558-(ROUND(F1558*K1558/B1558,0)*B1558),E1558+(ROUND(F1558*K1558/B1558,0)*B1558)),IF(D1558="BUY",E1558-(ROUND(F1558*K1558/B1558,0)*B1558),E1558+(ROUND(F1558*K1558/B1558,0)*B1558)))</f>
        <v>#DIV/0!</v>
      </c>
      <c r="L1559" s="29" t="e">
        <f t="shared" ref="L1559" si="2333">IF(D1559="BUY",I1559+(R1559*B1559),I1559-(R1559*B1559))</f>
        <v>#DIV/0!</v>
      </c>
      <c r="M1559" s="29" t="e">
        <f>IF(D1558="BUY",E1558+(ROUND(F1558*M1558/B1558,0)*B1558),E1558-(ROUND(F1558*M1558/B1558,0)*B1558))</f>
        <v>#DIV/0!</v>
      </c>
      <c r="N1559" s="29" t="e">
        <f>IF(D1558="BUY",E1558-(ROUND(F1558*N1558/B1558,0)*B1558),E1558+(ROUND(F1558*N1558/B1558,0)*B1558))</f>
        <v>#DIV/0!</v>
      </c>
      <c r="O1559" s="31" t="e">
        <f>IF(D1559="BUY",N1559-VLOOKUP(A1559,Symbols!A$1:D$1000,4,FALSE),N1559+VLOOKUP(A1559,Symbols!A$1:D$1000,4,FALSE))</f>
        <v>#DIV/0!</v>
      </c>
      <c r="P1559" s="29">
        <f>P1558</f>
        <v>0</v>
      </c>
      <c r="Q1559" s="29">
        <f>Q1558</f>
        <v>0</v>
      </c>
      <c r="R1559" s="29">
        <f>R1558</f>
        <v>0</v>
      </c>
      <c r="S1559" s="29">
        <f>S1558</f>
        <v>0</v>
      </c>
      <c r="T1559" s="29">
        <f>T1558</f>
        <v>0</v>
      </c>
      <c r="U1559" s="29" t="e">
        <f>DATEDIF(DATE(1970,1,1),U1558,"D")*86400</f>
        <v>#NUM!</v>
      </c>
      <c r="V1559" s="29">
        <f>HOUR(V1558)*3600+MINUTE(V1558)*60+SECOND(V1558)</f>
        <v>0</v>
      </c>
      <c r="W1559" s="29" t="e">
        <f>DATEDIF(DATE(1970,1,1),W1558,"D")*86400</f>
        <v>#NUM!</v>
      </c>
      <c r="X1559" s="29">
        <f>HOUR(X1558)*3600+MINUTE(X1558)*60+SECOND(X1558)</f>
        <v>0</v>
      </c>
      <c r="Y1559" s="31">
        <f>(Y1558*B1559)</f>
        <v>0</v>
      </c>
      <c r="Z1559" s="29">
        <f>Z1558</f>
        <v>0</v>
      </c>
      <c r="AA1559" s="29" t="e">
        <f>DATEDIF(DATE(1970,1,1),AA1558,"D")*86400</f>
        <v>#NUM!</v>
      </c>
      <c r="AB1559" s="29">
        <f>HOUR(AB1558)*3600+MINUTE(AB1558)*60+SECOND(AB1558)</f>
        <v>0</v>
      </c>
      <c r="AC1559" s="29">
        <f>AC1558</f>
        <v>0</v>
      </c>
    </row>
    <row r="1560" spans="1:29">
      <c r="A1560" s="23">
        <f>Parameters!A781</f>
        <v>0</v>
      </c>
      <c r="B1560" s="23">
        <f>Parameters!B781</f>
        <v>0</v>
      </c>
      <c r="C1560" s="24">
        <f>Parameters!C781</f>
        <v>0</v>
      </c>
      <c r="D1560" s="24">
        <f>Parameters!D781</f>
        <v>0</v>
      </c>
      <c r="E1560" s="23">
        <f>Parameters!E781</f>
        <v>0</v>
      </c>
      <c r="F1560" s="23">
        <f>Parameters!F781</f>
        <v>0</v>
      </c>
      <c r="G1560" s="25">
        <f>Parameters!G781</f>
        <v>0</v>
      </c>
      <c r="H1560" s="25">
        <f>Parameters!H781</f>
        <v>0</v>
      </c>
      <c r="I1560" s="25">
        <f>Parameters!I781</f>
        <v>0</v>
      </c>
      <c r="J1560" s="25">
        <f>Parameters!J781</f>
        <v>0</v>
      </c>
      <c r="K1560" s="25">
        <f>Parameters!K781</f>
        <v>0</v>
      </c>
      <c r="L1560" s="26" t="e">
        <f t="shared" ref="L1560" si="2334">L1561</f>
        <v>#DIV/0!</v>
      </c>
      <c r="M1560" s="25">
        <f>Parameters!L781</f>
        <v>0</v>
      </c>
      <c r="N1560" s="25">
        <f>Parameters!M781</f>
        <v>0</v>
      </c>
      <c r="O1560" s="26" t="e">
        <f t="shared" ref="O1560" si="2335">O1561</f>
        <v>#DIV/0!</v>
      </c>
      <c r="P1560" s="23">
        <f>Parameters!N781</f>
        <v>0</v>
      </c>
      <c r="Q1560" s="23">
        <f>Parameters!O781</f>
        <v>0</v>
      </c>
      <c r="R1560" s="23">
        <f>Parameters!P781</f>
        <v>0</v>
      </c>
      <c r="S1560" s="23">
        <f>Parameters!Q781</f>
        <v>0</v>
      </c>
      <c r="T1560" s="23">
        <f>Parameters!R781</f>
        <v>0</v>
      </c>
      <c r="U1560" s="27">
        <f>Parameters!S781</f>
        <v>0</v>
      </c>
      <c r="V1560" s="28">
        <f>Parameters!T781</f>
        <v>0</v>
      </c>
      <c r="W1560" s="27">
        <f>Parameters!U781</f>
        <v>0</v>
      </c>
      <c r="X1560" s="28">
        <f>Parameters!V781</f>
        <v>0</v>
      </c>
      <c r="Y1560" s="25">
        <f>Parameters!W781</f>
        <v>0</v>
      </c>
      <c r="Z1560" s="23">
        <f>Parameters!X781</f>
        <v>0</v>
      </c>
      <c r="AA1560" s="27">
        <f>Parameters!Y781</f>
        <v>0</v>
      </c>
      <c r="AB1560" s="28">
        <f>Parameters!Z781</f>
        <v>0</v>
      </c>
      <c r="AC1560" s="23">
        <f>Parameters!AA781</f>
        <v>0</v>
      </c>
    </row>
    <row r="1561" spans="1:29">
      <c r="A1561" s="29" t="str">
        <f>UPPER(A1560)</f>
        <v>0</v>
      </c>
      <c r="B1561" s="29">
        <f>B1560</f>
        <v>0</v>
      </c>
      <c r="C1561" s="30">
        <f>C1560</f>
        <v>0</v>
      </c>
      <c r="D1561" s="30">
        <f>D1560</f>
        <v>0</v>
      </c>
      <c r="E1561" s="29">
        <f>E1560</f>
        <v>0</v>
      </c>
      <c r="F1561" s="29">
        <f>F1560</f>
        <v>0</v>
      </c>
      <c r="G1561" s="29" t="e">
        <f>IF(C1560=1,IF(D1560="BUY",E1560+(ROUND(F1560*G1560/B1560,0)*B1560),E1560-(ROUND(F1560*G1560/B1560,0)*B1560)),IF(D1560="BUY",E1560-(ROUND(F1560*G1560/B1560,0)*B1560),E1560+(ROUND(F1560*G1560/B1560,0)*B1560)))</f>
        <v>#DIV/0!</v>
      </c>
      <c r="H1561" s="29" t="e">
        <f>IF(C1560=1,IF(D1560="BUY",G1561-(ROUND(F1560*H1560/B1560,0)*B1560),G1561+(ROUND(F1560*H1560/B1560,0)*B1560)),IF(D1560="BUY",G1561+(ROUND(F1560*H1560/B1560,0)*B1560),G1561-(ROUND(F1560*H1560/B1560,0)*B1560)))</f>
        <v>#DIV/0!</v>
      </c>
      <c r="I1561" s="29" t="e">
        <f>IF(D1560="BUY",G1561+(ROUND(F1560*I1560/(B1560*100),0)*B1560),G1561-(ROUND(F1560*I1560/(B1560*100),0)*B1560))</f>
        <v>#DIV/0!</v>
      </c>
      <c r="J1561" s="29" t="e">
        <f>IF(C1560=1,IF(D1560="BUY",E1560+(ROUND(F1560*J1560/B1560,0)*B1560),E1560-(ROUND(F1560*J1560/B1560,0)*B1560)),IF(D1560="BUY",E1560-(ROUND(F1560*J1560/B1560,0)*B1560),E1560+(ROUND(F1560*J1560/B1560,0)*B1560)))</f>
        <v>#DIV/0!</v>
      </c>
      <c r="K1561" s="29" t="e">
        <f>IF(C1560=1,IF(D1560="BUY",E1560-(ROUND(F1560*K1560/B1560,0)*B1560),E1560+(ROUND(F1560*K1560/B1560,0)*B1560)),IF(D1560="BUY",E1560-(ROUND(F1560*K1560/B1560,0)*B1560),E1560+(ROUND(F1560*K1560/B1560,0)*B1560)))</f>
        <v>#DIV/0!</v>
      </c>
      <c r="L1561" s="29" t="e">
        <f t="shared" ref="L1561" si="2336">IF(D1561="BUY",I1561+(R1561*B1561),I1561-(R1561*B1561))</f>
        <v>#DIV/0!</v>
      </c>
      <c r="M1561" s="29" t="e">
        <f>IF(D1560="BUY",E1560+(ROUND(F1560*M1560/B1560,0)*B1560),E1560-(ROUND(F1560*M1560/B1560,0)*B1560))</f>
        <v>#DIV/0!</v>
      </c>
      <c r="N1561" s="29" t="e">
        <f>IF(D1560="BUY",E1560-(ROUND(F1560*N1560/B1560,0)*B1560),E1560+(ROUND(F1560*N1560/B1560,0)*B1560))</f>
        <v>#DIV/0!</v>
      </c>
      <c r="O1561" s="31" t="e">
        <f>IF(D1561="BUY",N1561-VLOOKUP(A1561,Symbols!A$1:D$1000,4,FALSE),N1561+VLOOKUP(A1561,Symbols!A$1:D$1000,4,FALSE))</f>
        <v>#DIV/0!</v>
      </c>
      <c r="P1561" s="29">
        <f>P1560</f>
        <v>0</v>
      </c>
      <c r="Q1561" s="29">
        <f>Q1560</f>
        <v>0</v>
      </c>
      <c r="R1561" s="29">
        <f>R1560</f>
        <v>0</v>
      </c>
      <c r="S1561" s="29">
        <f>S1560</f>
        <v>0</v>
      </c>
      <c r="T1561" s="29">
        <f>T1560</f>
        <v>0</v>
      </c>
      <c r="U1561" s="29" t="e">
        <f>DATEDIF(DATE(1970,1,1),U1560,"D")*86400</f>
        <v>#NUM!</v>
      </c>
      <c r="V1561" s="29">
        <f>HOUR(V1560)*3600+MINUTE(V1560)*60+SECOND(V1560)</f>
        <v>0</v>
      </c>
      <c r="W1561" s="29" t="e">
        <f>DATEDIF(DATE(1970,1,1),W1560,"D")*86400</f>
        <v>#NUM!</v>
      </c>
      <c r="X1561" s="29">
        <f>HOUR(X1560)*3600+MINUTE(X1560)*60+SECOND(X1560)</f>
        <v>0</v>
      </c>
      <c r="Y1561" s="31">
        <f>(Y1560*B1561)</f>
        <v>0</v>
      </c>
      <c r="Z1561" s="29">
        <f>Z1560</f>
        <v>0</v>
      </c>
      <c r="AA1561" s="29" t="e">
        <f>DATEDIF(DATE(1970,1,1),AA1560,"D")*86400</f>
        <v>#NUM!</v>
      </c>
      <c r="AB1561" s="29">
        <f>HOUR(AB1560)*3600+MINUTE(AB1560)*60+SECOND(AB1560)</f>
        <v>0</v>
      </c>
      <c r="AC1561" s="29">
        <f>AC1560</f>
        <v>0</v>
      </c>
    </row>
    <row r="1562" spans="1:29">
      <c r="A1562" s="23">
        <f>Parameters!A782</f>
        <v>0</v>
      </c>
      <c r="B1562" s="23">
        <f>Parameters!B782</f>
        <v>0</v>
      </c>
      <c r="C1562" s="24">
        <f>Parameters!C782</f>
        <v>0</v>
      </c>
      <c r="D1562" s="24">
        <f>Parameters!D782</f>
        <v>0</v>
      </c>
      <c r="E1562" s="23">
        <f>Parameters!E782</f>
        <v>0</v>
      </c>
      <c r="F1562" s="23">
        <f>Parameters!F782</f>
        <v>0</v>
      </c>
      <c r="G1562" s="25">
        <f>Parameters!G782</f>
        <v>0</v>
      </c>
      <c r="H1562" s="25">
        <f>Parameters!H782</f>
        <v>0</v>
      </c>
      <c r="I1562" s="25">
        <f>Parameters!I782</f>
        <v>0</v>
      </c>
      <c r="J1562" s="25">
        <f>Parameters!J782</f>
        <v>0</v>
      </c>
      <c r="K1562" s="25">
        <f>Parameters!K782</f>
        <v>0</v>
      </c>
      <c r="L1562" s="26" t="e">
        <f t="shared" ref="L1562" si="2337">L1563</f>
        <v>#DIV/0!</v>
      </c>
      <c r="M1562" s="25">
        <f>Parameters!L782</f>
        <v>0</v>
      </c>
      <c r="N1562" s="25">
        <f>Parameters!M782</f>
        <v>0</v>
      </c>
      <c r="O1562" s="26" t="e">
        <f t="shared" ref="O1562" si="2338">O1563</f>
        <v>#DIV/0!</v>
      </c>
      <c r="P1562" s="23">
        <f>Parameters!N782</f>
        <v>0</v>
      </c>
      <c r="Q1562" s="23">
        <f>Parameters!O782</f>
        <v>0</v>
      </c>
      <c r="R1562" s="23">
        <f>Parameters!P782</f>
        <v>0</v>
      </c>
      <c r="S1562" s="23">
        <f>Parameters!Q782</f>
        <v>0</v>
      </c>
      <c r="T1562" s="23">
        <f>Parameters!R782</f>
        <v>0</v>
      </c>
      <c r="U1562" s="27">
        <f>Parameters!S782</f>
        <v>0</v>
      </c>
      <c r="V1562" s="28">
        <f>Parameters!T782</f>
        <v>0</v>
      </c>
      <c r="W1562" s="27">
        <f>Parameters!U782</f>
        <v>0</v>
      </c>
      <c r="X1562" s="28">
        <f>Parameters!V782</f>
        <v>0</v>
      </c>
      <c r="Y1562" s="25">
        <f>Parameters!W782</f>
        <v>0</v>
      </c>
      <c r="Z1562" s="23">
        <f>Parameters!X782</f>
        <v>0</v>
      </c>
      <c r="AA1562" s="27">
        <f>Parameters!Y782</f>
        <v>0</v>
      </c>
      <c r="AB1562" s="28">
        <f>Parameters!Z782</f>
        <v>0</v>
      </c>
      <c r="AC1562" s="23">
        <f>Parameters!AA782</f>
        <v>0</v>
      </c>
    </row>
    <row r="1563" spans="1:29">
      <c r="A1563" s="29" t="str">
        <f>UPPER(A1562)</f>
        <v>0</v>
      </c>
      <c r="B1563" s="29">
        <f>B1562</f>
        <v>0</v>
      </c>
      <c r="C1563" s="30">
        <f>C1562</f>
        <v>0</v>
      </c>
      <c r="D1563" s="30">
        <f>D1562</f>
        <v>0</v>
      </c>
      <c r="E1563" s="29">
        <f>E1562</f>
        <v>0</v>
      </c>
      <c r="F1563" s="29">
        <f>F1562</f>
        <v>0</v>
      </c>
      <c r="G1563" s="29" t="e">
        <f>IF(C1562=1,IF(D1562="BUY",E1562+(ROUND(F1562*G1562/B1562,0)*B1562),E1562-(ROUND(F1562*G1562/B1562,0)*B1562)),IF(D1562="BUY",E1562-(ROUND(F1562*G1562/B1562,0)*B1562),E1562+(ROUND(F1562*G1562/B1562,0)*B1562)))</f>
        <v>#DIV/0!</v>
      </c>
      <c r="H1563" s="29" t="e">
        <f>IF(C1562=1,IF(D1562="BUY",G1563-(ROUND(F1562*H1562/B1562,0)*B1562),G1563+(ROUND(F1562*H1562/B1562,0)*B1562)),IF(D1562="BUY",G1563+(ROUND(F1562*H1562/B1562,0)*B1562),G1563-(ROUND(F1562*H1562/B1562,0)*B1562)))</f>
        <v>#DIV/0!</v>
      </c>
      <c r="I1563" s="29" t="e">
        <f>IF(D1562="BUY",G1563+(ROUND(F1562*I1562/(B1562*100),0)*B1562),G1563-(ROUND(F1562*I1562/(B1562*100),0)*B1562))</f>
        <v>#DIV/0!</v>
      </c>
      <c r="J1563" s="29" t="e">
        <f>IF(C1562=1,IF(D1562="BUY",E1562+(ROUND(F1562*J1562/B1562,0)*B1562),E1562-(ROUND(F1562*J1562/B1562,0)*B1562)),IF(D1562="BUY",E1562-(ROUND(F1562*J1562/B1562,0)*B1562),E1562+(ROUND(F1562*J1562/B1562,0)*B1562)))</f>
        <v>#DIV/0!</v>
      </c>
      <c r="K1563" s="29" t="e">
        <f>IF(C1562=1,IF(D1562="BUY",E1562-(ROUND(F1562*K1562/B1562,0)*B1562),E1562+(ROUND(F1562*K1562/B1562,0)*B1562)),IF(D1562="BUY",E1562-(ROUND(F1562*K1562/B1562,0)*B1562),E1562+(ROUND(F1562*K1562/B1562,0)*B1562)))</f>
        <v>#DIV/0!</v>
      </c>
      <c r="L1563" s="29" t="e">
        <f t="shared" ref="L1563" si="2339">IF(D1563="BUY",I1563+(R1563*B1563),I1563-(R1563*B1563))</f>
        <v>#DIV/0!</v>
      </c>
      <c r="M1563" s="29" t="e">
        <f>IF(D1562="BUY",E1562+(ROUND(F1562*M1562/B1562,0)*B1562),E1562-(ROUND(F1562*M1562/B1562,0)*B1562))</f>
        <v>#DIV/0!</v>
      </c>
      <c r="N1563" s="29" t="e">
        <f>IF(D1562="BUY",E1562-(ROUND(F1562*N1562/B1562,0)*B1562),E1562+(ROUND(F1562*N1562/B1562,0)*B1562))</f>
        <v>#DIV/0!</v>
      </c>
      <c r="O1563" s="31" t="e">
        <f>IF(D1563="BUY",N1563-VLOOKUP(A1563,Symbols!A$1:D$1000,4,FALSE),N1563+VLOOKUP(A1563,Symbols!A$1:D$1000,4,FALSE))</f>
        <v>#DIV/0!</v>
      </c>
      <c r="P1563" s="29">
        <f>P1562</f>
        <v>0</v>
      </c>
      <c r="Q1563" s="29">
        <f>Q1562</f>
        <v>0</v>
      </c>
      <c r="R1563" s="29">
        <f>R1562</f>
        <v>0</v>
      </c>
      <c r="S1563" s="29">
        <f>S1562</f>
        <v>0</v>
      </c>
      <c r="T1563" s="29">
        <f>T1562</f>
        <v>0</v>
      </c>
      <c r="U1563" s="29" t="e">
        <f>DATEDIF(DATE(1970,1,1),U1562,"D")*86400</f>
        <v>#NUM!</v>
      </c>
      <c r="V1563" s="29">
        <f>HOUR(V1562)*3600+MINUTE(V1562)*60+SECOND(V1562)</f>
        <v>0</v>
      </c>
      <c r="W1563" s="29" t="e">
        <f>DATEDIF(DATE(1970,1,1),W1562,"D")*86400</f>
        <v>#NUM!</v>
      </c>
      <c r="X1563" s="29">
        <f>HOUR(X1562)*3600+MINUTE(X1562)*60+SECOND(X1562)</f>
        <v>0</v>
      </c>
      <c r="Y1563" s="31">
        <f>(Y1562*B1563)</f>
        <v>0</v>
      </c>
      <c r="Z1563" s="29">
        <f>Z1562</f>
        <v>0</v>
      </c>
      <c r="AA1563" s="29" t="e">
        <f>DATEDIF(DATE(1970,1,1),AA1562,"D")*86400</f>
        <v>#NUM!</v>
      </c>
      <c r="AB1563" s="29">
        <f>HOUR(AB1562)*3600+MINUTE(AB1562)*60+SECOND(AB1562)</f>
        <v>0</v>
      </c>
      <c r="AC1563" s="29">
        <f>AC1562</f>
        <v>0</v>
      </c>
    </row>
    <row r="1564" spans="1:29">
      <c r="A1564" s="23">
        <f>Parameters!A783</f>
        <v>0</v>
      </c>
      <c r="B1564" s="23">
        <f>Parameters!B783</f>
        <v>0</v>
      </c>
      <c r="C1564" s="24">
        <f>Parameters!C783</f>
        <v>0</v>
      </c>
      <c r="D1564" s="24">
        <f>Parameters!D783</f>
        <v>0</v>
      </c>
      <c r="E1564" s="23">
        <f>Parameters!E783</f>
        <v>0</v>
      </c>
      <c r="F1564" s="23">
        <f>Parameters!F783</f>
        <v>0</v>
      </c>
      <c r="G1564" s="25">
        <f>Parameters!G783</f>
        <v>0</v>
      </c>
      <c r="H1564" s="25">
        <f>Parameters!H783</f>
        <v>0</v>
      </c>
      <c r="I1564" s="25">
        <f>Parameters!I783</f>
        <v>0</v>
      </c>
      <c r="J1564" s="25">
        <f>Parameters!J783</f>
        <v>0</v>
      </c>
      <c r="K1564" s="25">
        <f>Parameters!K783</f>
        <v>0</v>
      </c>
      <c r="L1564" s="26" t="e">
        <f t="shared" ref="L1564" si="2340">L1565</f>
        <v>#DIV/0!</v>
      </c>
      <c r="M1564" s="25">
        <f>Parameters!L783</f>
        <v>0</v>
      </c>
      <c r="N1564" s="25">
        <f>Parameters!M783</f>
        <v>0</v>
      </c>
      <c r="O1564" s="26" t="e">
        <f t="shared" ref="O1564" si="2341">O1565</f>
        <v>#DIV/0!</v>
      </c>
      <c r="P1564" s="23">
        <f>Parameters!N783</f>
        <v>0</v>
      </c>
      <c r="Q1564" s="23">
        <f>Parameters!O783</f>
        <v>0</v>
      </c>
      <c r="R1564" s="23">
        <f>Parameters!P783</f>
        <v>0</v>
      </c>
      <c r="S1564" s="23">
        <f>Parameters!Q783</f>
        <v>0</v>
      </c>
      <c r="T1564" s="23">
        <f>Parameters!R783</f>
        <v>0</v>
      </c>
      <c r="U1564" s="27">
        <f>Parameters!S783</f>
        <v>0</v>
      </c>
      <c r="V1564" s="28">
        <f>Parameters!T783</f>
        <v>0</v>
      </c>
      <c r="W1564" s="27">
        <f>Parameters!U783</f>
        <v>0</v>
      </c>
      <c r="X1564" s="28">
        <f>Parameters!V783</f>
        <v>0</v>
      </c>
      <c r="Y1564" s="25">
        <f>Parameters!W783</f>
        <v>0</v>
      </c>
      <c r="Z1564" s="23">
        <f>Parameters!X783</f>
        <v>0</v>
      </c>
      <c r="AA1564" s="27">
        <f>Parameters!Y783</f>
        <v>0</v>
      </c>
      <c r="AB1564" s="28">
        <f>Parameters!Z783</f>
        <v>0</v>
      </c>
      <c r="AC1564" s="23">
        <f>Parameters!AA783</f>
        <v>0</v>
      </c>
    </row>
    <row r="1565" spans="1:29">
      <c r="A1565" s="29" t="str">
        <f>UPPER(A1564)</f>
        <v>0</v>
      </c>
      <c r="B1565" s="29">
        <f>B1564</f>
        <v>0</v>
      </c>
      <c r="C1565" s="30">
        <f>C1564</f>
        <v>0</v>
      </c>
      <c r="D1565" s="30">
        <f>D1564</f>
        <v>0</v>
      </c>
      <c r="E1565" s="29">
        <f>E1564</f>
        <v>0</v>
      </c>
      <c r="F1565" s="29">
        <f>F1564</f>
        <v>0</v>
      </c>
      <c r="G1565" s="29" t="e">
        <f>IF(C1564=1,IF(D1564="BUY",E1564+(ROUND(F1564*G1564/B1564,0)*B1564),E1564-(ROUND(F1564*G1564/B1564,0)*B1564)),IF(D1564="BUY",E1564-(ROUND(F1564*G1564/B1564,0)*B1564),E1564+(ROUND(F1564*G1564/B1564,0)*B1564)))</f>
        <v>#DIV/0!</v>
      </c>
      <c r="H1565" s="29" t="e">
        <f>IF(C1564=1,IF(D1564="BUY",G1565-(ROUND(F1564*H1564/B1564,0)*B1564),G1565+(ROUND(F1564*H1564/B1564,0)*B1564)),IF(D1564="BUY",G1565+(ROUND(F1564*H1564/B1564,0)*B1564),G1565-(ROUND(F1564*H1564/B1564,0)*B1564)))</f>
        <v>#DIV/0!</v>
      </c>
      <c r="I1565" s="29" t="e">
        <f>IF(D1564="BUY",G1565+(ROUND(F1564*I1564/(B1564*100),0)*B1564),G1565-(ROUND(F1564*I1564/(B1564*100),0)*B1564))</f>
        <v>#DIV/0!</v>
      </c>
      <c r="J1565" s="29" t="e">
        <f>IF(C1564=1,IF(D1564="BUY",E1564+(ROUND(F1564*J1564/B1564,0)*B1564),E1564-(ROUND(F1564*J1564/B1564,0)*B1564)),IF(D1564="BUY",E1564-(ROUND(F1564*J1564/B1564,0)*B1564),E1564+(ROUND(F1564*J1564/B1564,0)*B1564)))</f>
        <v>#DIV/0!</v>
      </c>
      <c r="K1565" s="29" t="e">
        <f>IF(C1564=1,IF(D1564="BUY",E1564-(ROUND(F1564*K1564/B1564,0)*B1564),E1564+(ROUND(F1564*K1564/B1564,0)*B1564)),IF(D1564="BUY",E1564-(ROUND(F1564*K1564/B1564,0)*B1564),E1564+(ROUND(F1564*K1564/B1564,0)*B1564)))</f>
        <v>#DIV/0!</v>
      </c>
      <c r="L1565" s="29" t="e">
        <f t="shared" ref="L1565" si="2342">IF(D1565="BUY",I1565+(R1565*B1565),I1565-(R1565*B1565))</f>
        <v>#DIV/0!</v>
      </c>
      <c r="M1565" s="29" t="e">
        <f>IF(D1564="BUY",E1564+(ROUND(F1564*M1564/B1564,0)*B1564),E1564-(ROUND(F1564*M1564/B1564,0)*B1564))</f>
        <v>#DIV/0!</v>
      </c>
      <c r="N1565" s="29" t="e">
        <f>IF(D1564="BUY",E1564-(ROUND(F1564*N1564/B1564,0)*B1564),E1564+(ROUND(F1564*N1564/B1564,0)*B1564))</f>
        <v>#DIV/0!</v>
      </c>
      <c r="O1565" s="31" t="e">
        <f>IF(D1565="BUY",N1565-VLOOKUP(A1565,Symbols!A$1:D$1000,4,FALSE),N1565+VLOOKUP(A1565,Symbols!A$1:D$1000,4,FALSE))</f>
        <v>#DIV/0!</v>
      </c>
      <c r="P1565" s="29">
        <f>P1564</f>
        <v>0</v>
      </c>
      <c r="Q1565" s="29">
        <f>Q1564</f>
        <v>0</v>
      </c>
      <c r="R1565" s="29">
        <f>R1564</f>
        <v>0</v>
      </c>
      <c r="S1565" s="29">
        <f>S1564</f>
        <v>0</v>
      </c>
      <c r="T1565" s="29">
        <f>T1564</f>
        <v>0</v>
      </c>
      <c r="U1565" s="29" t="e">
        <f>DATEDIF(DATE(1970,1,1),U1564,"D")*86400</f>
        <v>#NUM!</v>
      </c>
      <c r="V1565" s="29">
        <f>HOUR(V1564)*3600+MINUTE(V1564)*60+SECOND(V1564)</f>
        <v>0</v>
      </c>
      <c r="W1565" s="29" t="e">
        <f>DATEDIF(DATE(1970,1,1),W1564,"D")*86400</f>
        <v>#NUM!</v>
      </c>
      <c r="X1565" s="29">
        <f>HOUR(X1564)*3600+MINUTE(X1564)*60+SECOND(X1564)</f>
        <v>0</v>
      </c>
      <c r="Y1565" s="31">
        <f>(Y1564*B1565)</f>
        <v>0</v>
      </c>
      <c r="Z1565" s="29">
        <f>Z1564</f>
        <v>0</v>
      </c>
      <c r="AA1565" s="29" t="e">
        <f>DATEDIF(DATE(1970,1,1),AA1564,"D")*86400</f>
        <v>#NUM!</v>
      </c>
      <c r="AB1565" s="29">
        <f>HOUR(AB1564)*3600+MINUTE(AB1564)*60+SECOND(AB1564)</f>
        <v>0</v>
      </c>
      <c r="AC1565" s="29">
        <f>AC1564</f>
        <v>0</v>
      </c>
    </row>
    <row r="1566" spans="1:29">
      <c r="A1566" s="23">
        <f>Parameters!A784</f>
        <v>0</v>
      </c>
      <c r="B1566" s="23">
        <f>Parameters!B784</f>
        <v>0</v>
      </c>
      <c r="C1566" s="24">
        <f>Parameters!C784</f>
        <v>0</v>
      </c>
      <c r="D1566" s="24">
        <f>Parameters!D784</f>
        <v>0</v>
      </c>
      <c r="E1566" s="23">
        <f>Parameters!E784</f>
        <v>0</v>
      </c>
      <c r="F1566" s="23">
        <f>Parameters!F784</f>
        <v>0</v>
      </c>
      <c r="G1566" s="25">
        <f>Parameters!G784</f>
        <v>0</v>
      </c>
      <c r="H1566" s="25">
        <f>Parameters!H784</f>
        <v>0</v>
      </c>
      <c r="I1566" s="25">
        <f>Parameters!I784</f>
        <v>0</v>
      </c>
      <c r="J1566" s="25">
        <f>Parameters!J784</f>
        <v>0</v>
      </c>
      <c r="K1566" s="25">
        <f>Parameters!K784</f>
        <v>0</v>
      </c>
      <c r="L1566" s="26" t="e">
        <f t="shared" ref="L1566" si="2343">L1567</f>
        <v>#DIV/0!</v>
      </c>
      <c r="M1566" s="25">
        <f>Parameters!L784</f>
        <v>0</v>
      </c>
      <c r="N1566" s="25">
        <f>Parameters!M784</f>
        <v>0</v>
      </c>
      <c r="O1566" s="26" t="e">
        <f t="shared" ref="O1566" si="2344">O1567</f>
        <v>#DIV/0!</v>
      </c>
      <c r="P1566" s="23">
        <f>Parameters!N784</f>
        <v>0</v>
      </c>
      <c r="Q1566" s="23">
        <f>Parameters!O784</f>
        <v>0</v>
      </c>
      <c r="R1566" s="23">
        <f>Parameters!P784</f>
        <v>0</v>
      </c>
      <c r="S1566" s="23">
        <f>Parameters!Q784</f>
        <v>0</v>
      </c>
      <c r="T1566" s="23">
        <f>Parameters!R784</f>
        <v>0</v>
      </c>
      <c r="U1566" s="27">
        <f>Parameters!S784</f>
        <v>0</v>
      </c>
      <c r="V1566" s="28">
        <f>Parameters!T784</f>
        <v>0</v>
      </c>
      <c r="W1566" s="27">
        <f>Parameters!U784</f>
        <v>0</v>
      </c>
      <c r="X1566" s="28">
        <f>Parameters!V784</f>
        <v>0</v>
      </c>
      <c r="Y1566" s="25">
        <f>Parameters!W784</f>
        <v>0</v>
      </c>
      <c r="Z1566" s="23">
        <f>Parameters!X784</f>
        <v>0</v>
      </c>
      <c r="AA1566" s="27">
        <f>Parameters!Y784</f>
        <v>0</v>
      </c>
      <c r="AB1566" s="28">
        <f>Parameters!Z784</f>
        <v>0</v>
      </c>
      <c r="AC1566" s="23">
        <f>Parameters!AA784</f>
        <v>0</v>
      </c>
    </row>
    <row r="1567" spans="1:29">
      <c r="A1567" s="29" t="str">
        <f>UPPER(A1566)</f>
        <v>0</v>
      </c>
      <c r="B1567" s="29">
        <f>B1566</f>
        <v>0</v>
      </c>
      <c r="C1567" s="30">
        <f>C1566</f>
        <v>0</v>
      </c>
      <c r="D1567" s="30">
        <f>D1566</f>
        <v>0</v>
      </c>
      <c r="E1567" s="29">
        <f>E1566</f>
        <v>0</v>
      </c>
      <c r="F1567" s="29">
        <f>F1566</f>
        <v>0</v>
      </c>
      <c r="G1567" s="29" t="e">
        <f>IF(C1566=1,IF(D1566="BUY",E1566+(ROUND(F1566*G1566/B1566,0)*B1566),E1566-(ROUND(F1566*G1566/B1566,0)*B1566)),IF(D1566="BUY",E1566-(ROUND(F1566*G1566/B1566,0)*B1566),E1566+(ROUND(F1566*G1566/B1566,0)*B1566)))</f>
        <v>#DIV/0!</v>
      </c>
      <c r="H1567" s="29" t="e">
        <f>IF(C1566=1,IF(D1566="BUY",G1567-(ROUND(F1566*H1566/B1566,0)*B1566),G1567+(ROUND(F1566*H1566/B1566,0)*B1566)),IF(D1566="BUY",G1567+(ROUND(F1566*H1566/B1566,0)*B1566),G1567-(ROUND(F1566*H1566/B1566,0)*B1566)))</f>
        <v>#DIV/0!</v>
      </c>
      <c r="I1567" s="29" t="e">
        <f>IF(D1566="BUY",G1567+(ROUND(F1566*I1566/(B1566*100),0)*B1566),G1567-(ROUND(F1566*I1566/(B1566*100),0)*B1566))</f>
        <v>#DIV/0!</v>
      </c>
      <c r="J1567" s="29" t="e">
        <f>IF(C1566=1,IF(D1566="BUY",E1566+(ROUND(F1566*J1566/B1566,0)*B1566),E1566-(ROUND(F1566*J1566/B1566,0)*B1566)),IF(D1566="BUY",E1566-(ROUND(F1566*J1566/B1566,0)*B1566),E1566+(ROUND(F1566*J1566/B1566,0)*B1566)))</f>
        <v>#DIV/0!</v>
      </c>
      <c r="K1567" s="29" t="e">
        <f>IF(C1566=1,IF(D1566="BUY",E1566-(ROUND(F1566*K1566/B1566,0)*B1566),E1566+(ROUND(F1566*K1566/B1566,0)*B1566)),IF(D1566="BUY",E1566-(ROUND(F1566*K1566/B1566,0)*B1566),E1566+(ROUND(F1566*K1566/B1566,0)*B1566)))</f>
        <v>#DIV/0!</v>
      </c>
      <c r="L1567" s="29" t="e">
        <f t="shared" ref="L1567" si="2345">IF(D1567="BUY",I1567+(R1567*B1567),I1567-(R1567*B1567))</f>
        <v>#DIV/0!</v>
      </c>
      <c r="M1567" s="29" t="e">
        <f>IF(D1566="BUY",E1566+(ROUND(F1566*M1566/B1566,0)*B1566),E1566-(ROUND(F1566*M1566/B1566,0)*B1566))</f>
        <v>#DIV/0!</v>
      </c>
      <c r="N1567" s="29" t="e">
        <f>IF(D1566="BUY",E1566-(ROUND(F1566*N1566/B1566,0)*B1566),E1566+(ROUND(F1566*N1566/B1566,0)*B1566))</f>
        <v>#DIV/0!</v>
      </c>
      <c r="O1567" s="31" t="e">
        <f>IF(D1567="BUY",N1567-VLOOKUP(A1567,Symbols!A$1:D$1000,4,FALSE),N1567+VLOOKUP(A1567,Symbols!A$1:D$1000,4,FALSE))</f>
        <v>#DIV/0!</v>
      </c>
      <c r="P1567" s="29">
        <f>P1566</f>
        <v>0</v>
      </c>
      <c r="Q1567" s="29">
        <f>Q1566</f>
        <v>0</v>
      </c>
      <c r="R1567" s="29">
        <f>R1566</f>
        <v>0</v>
      </c>
      <c r="S1567" s="29">
        <f>S1566</f>
        <v>0</v>
      </c>
      <c r="T1567" s="29">
        <f>T1566</f>
        <v>0</v>
      </c>
      <c r="U1567" s="29" t="e">
        <f>DATEDIF(DATE(1970,1,1),U1566,"D")*86400</f>
        <v>#NUM!</v>
      </c>
      <c r="V1567" s="29">
        <f>HOUR(V1566)*3600+MINUTE(V1566)*60+SECOND(V1566)</f>
        <v>0</v>
      </c>
      <c r="W1567" s="29" t="e">
        <f>DATEDIF(DATE(1970,1,1),W1566,"D")*86400</f>
        <v>#NUM!</v>
      </c>
      <c r="X1567" s="29">
        <f>HOUR(X1566)*3600+MINUTE(X1566)*60+SECOND(X1566)</f>
        <v>0</v>
      </c>
      <c r="Y1567" s="31">
        <f>(Y1566*B1567)</f>
        <v>0</v>
      </c>
      <c r="Z1567" s="29">
        <f>Z1566</f>
        <v>0</v>
      </c>
      <c r="AA1567" s="29" t="e">
        <f>DATEDIF(DATE(1970,1,1),AA1566,"D")*86400</f>
        <v>#NUM!</v>
      </c>
      <c r="AB1567" s="29">
        <f>HOUR(AB1566)*3600+MINUTE(AB1566)*60+SECOND(AB1566)</f>
        <v>0</v>
      </c>
      <c r="AC1567" s="29">
        <f>AC1566</f>
        <v>0</v>
      </c>
    </row>
    <row r="1568" spans="1:29">
      <c r="A1568" s="23">
        <f>Parameters!A785</f>
        <v>0</v>
      </c>
      <c r="B1568" s="23">
        <f>Parameters!B785</f>
        <v>0</v>
      </c>
      <c r="C1568" s="24">
        <f>Parameters!C785</f>
        <v>0</v>
      </c>
      <c r="D1568" s="24">
        <f>Parameters!D785</f>
        <v>0</v>
      </c>
      <c r="E1568" s="23">
        <f>Parameters!E785</f>
        <v>0</v>
      </c>
      <c r="F1568" s="23">
        <f>Parameters!F785</f>
        <v>0</v>
      </c>
      <c r="G1568" s="25">
        <f>Parameters!G785</f>
        <v>0</v>
      </c>
      <c r="H1568" s="25">
        <f>Parameters!H785</f>
        <v>0</v>
      </c>
      <c r="I1568" s="25">
        <f>Parameters!I785</f>
        <v>0</v>
      </c>
      <c r="J1568" s="25">
        <f>Parameters!J785</f>
        <v>0</v>
      </c>
      <c r="K1568" s="25">
        <f>Parameters!K785</f>
        <v>0</v>
      </c>
      <c r="L1568" s="26" t="e">
        <f t="shared" ref="L1568" si="2346">L1569</f>
        <v>#DIV/0!</v>
      </c>
      <c r="M1568" s="25">
        <f>Parameters!L785</f>
        <v>0</v>
      </c>
      <c r="N1568" s="25">
        <f>Parameters!M785</f>
        <v>0</v>
      </c>
      <c r="O1568" s="26" t="e">
        <f t="shared" ref="O1568" si="2347">O1569</f>
        <v>#DIV/0!</v>
      </c>
      <c r="P1568" s="23">
        <f>Parameters!N785</f>
        <v>0</v>
      </c>
      <c r="Q1568" s="23">
        <f>Parameters!O785</f>
        <v>0</v>
      </c>
      <c r="R1568" s="23">
        <f>Parameters!P785</f>
        <v>0</v>
      </c>
      <c r="S1568" s="23">
        <f>Parameters!Q785</f>
        <v>0</v>
      </c>
      <c r="T1568" s="23">
        <f>Parameters!R785</f>
        <v>0</v>
      </c>
      <c r="U1568" s="27">
        <f>Parameters!S785</f>
        <v>0</v>
      </c>
      <c r="V1568" s="28">
        <f>Parameters!T785</f>
        <v>0</v>
      </c>
      <c r="W1568" s="27">
        <f>Parameters!U785</f>
        <v>0</v>
      </c>
      <c r="X1568" s="28">
        <f>Parameters!V785</f>
        <v>0</v>
      </c>
      <c r="Y1568" s="25">
        <f>Parameters!W785</f>
        <v>0</v>
      </c>
      <c r="Z1568" s="23">
        <f>Parameters!X785</f>
        <v>0</v>
      </c>
      <c r="AA1568" s="27">
        <f>Parameters!Y785</f>
        <v>0</v>
      </c>
      <c r="AB1568" s="28">
        <f>Parameters!Z785</f>
        <v>0</v>
      </c>
      <c r="AC1568" s="23">
        <f>Parameters!AA785</f>
        <v>0</v>
      </c>
    </row>
    <row r="1569" spans="1:29">
      <c r="A1569" s="29" t="str">
        <f>UPPER(A1568)</f>
        <v>0</v>
      </c>
      <c r="B1569" s="29">
        <f>B1568</f>
        <v>0</v>
      </c>
      <c r="C1569" s="30">
        <f>C1568</f>
        <v>0</v>
      </c>
      <c r="D1569" s="30">
        <f>D1568</f>
        <v>0</v>
      </c>
      <c r="E1569" s="29">
        <f>E1568</f>
        <v>0</v>
      </c>
      <c r="F1569" s="29">
        <f>F1568</f>
        <v>0</v>
      </c>
      <c r="G1569" s="29" t="e">
        <f>IF(C1568=1,IF(D1568="BUY",E1568+(ROUND(F1568*G1568/B1568,0)*B1568),E1568-(ROUND(F1568*G1568/B1568,0)*B1568)),IF(D1568="BUY",E1568-(ROUND(F1568*G1568/B1568,0)*B1568),E1568+(ROUND(F1568*G1568/B1568,0)*B1568)))</f>
        <v>#DIV/0!</v>
      </c>
      <c r="H1569" s="29" t="e">
        <f>IF(C1568=1,IF(D1568="BUY",G1569-(ROUND(F1568*H1568/B1568,0)*B1568),G1569+(ROUND(F1568*H1568/B1568,0)*B1568)),IF(D1568="BUY",G1569+(ROUND(F1568*H1568/B1568,0)*B1568),G1569-(ROUND(F1568*H1568/B1568,0)*B1568)))</f>
        <v>#DIV/0!</v>
      </c>
      <c r="I1569" s="29" t="e">
        <f>IF(D1568="BUY",G1569+(ROUND(F1568*I1568/(B1568*100),0)*B1568),G1569-(ROUND(F1568*I1568/(B1568*100),0)*B1568))</f>
        <v>#DIV/0!</v>
      </c>
      <c r="J1569" s="29" t="e">
        <f>IF(C1568=1,IF(D1568="BUY",E1568+(ROUND(F1568*J1568/B1568,0)*B1568),E1568-(ROUND(F1568*J1568/B1568,0)*B1568)),IF(D1568="BUY",E1568-(ROUND(F1568*J1568/B1568,0)*B1568),E1568+(ROUND(F1568*J1568/B1568,0)*B1568)))</f>
        <v>#DIV/0!</v>
      </c>
      <c r="K1569" s="29" t="e">
        <f>IF(C1568=1,IF(D1568="BUY",E1568-(ROUND(F1568*K1568/B1568,0)*B1568),E1568+(ROUND(F1568*K1568/B1568,0)*B1568)),IF(D1568="BUY",E1568-(ROUND(F1568*K1568/B1568,0)*B1568),E1568+(ROUND(F1568*K1568/B1568,0)*B1568)))</f>
        <v>#DIV/0!</v>
      </c>
      <c r="L1569" s="29" t="e">
        <f t="shared" ref="L1569" si="2348">IF(D1569="BUY",I1569+(R1569*B1569),I1569-(R1569*B1569))</f>
        <v>#DIV/0!</v>
      </c>
      <c r="M1569" s="29" t="e">
        <f>IF(D1568="BUY",E1568+(ROUND(F1568*M1568/B1568,0)*B1568),E1568-(ROUND(F1568*M1568/B1568,0)*B1568))</f>
        <v>#DIV/0!</v>
      </c>
      <c r="N1569" s="29" t="e">
        <f>IF(D1568="BUY",E1568-(ROUND(F1568*N1568/B1568,0)*B1568),E1568+(ROUND(F1568*N1568/B1568,0)*B1568))</f>
        <v>#DIV/0!</v>
      </c>
      <c r="O1569" s="31" t="e">
        <f>IF(D1569="BUY",N1569-VLOOKUP(A1569,Symbols!A$1:D$1000,4,FALSE),N1569+VLOOKUP(A1569,Symbols!A$1:D$1000,4,FALSE))</f>
        <v>#DIV/0!</v>
      </c>
      <c r="P1569" s="29">
        <f>P1568</f>
        <v>0</v>
      </c>
      <c r="Q1569" s="29">
        <f>Q1568</f>
        <v>0</v>
      </c>
      <c r="R1569" s="29">
        <f>R1568</f>
        <v>0</v>
      </c>
      <c r="S1569" s="29">
        <f>S1568</f>
        <v>0</v>
      </c>
      <c r="T1569" s="29">
        <f>T1568</f>
        <v>0</v>
      </c>
      <c r="U1569" s="29" t="e">
        <f>DATEDIF(DATE(1970,1,1),U1568,"D")*86400</f>
        <v>#NUM!</v>
      </c>
      <c r="V1569" s="29">
        <f>HOUR(V1568)*3600+MINUTE(V1568)*60+SECOND(V1568)</f>
        <v>0</v>
      </c>
      <c r="W1569" s="29" t="e">
        <f>DATEDIF(DATE(1970,1,1),W1568,"D")*86400</f>
        <v>#NUM!</v>
      </c>
      <c r="X1569" s="29">
        <f>HOUR(X1568)*3600+MINUTE(X1568)*60+SECOND(X1568)</f>
        <v>0</v>
      </c>
      <c r="Y1569" s="31">
        <f>(Y1568*B1569)</f>
        <v>0</v>
      </c>
      <c r="Z1569" s="29">
        <f>Z1568</f>
        <v>0</v>
      </c>
      <c r="AA1569" s="29" t="e">
        <f>DATEDIF(DATE(1970,1,1),AA1568,"D")*86400</f>
        <v>#NUM!</v>
      </c>
      <c r="AB1569" s="29">
        <f>HOUR(AB1568)*3600+MINUTE(AB1568)*60+SECOND(AB1568)</f>
        <v>0</v>
      </c>
      <c r="AC1569" s="29">
        <f>AC1568</f>
        <v>0</v>
      </c>
    </row>
    <row r="1570" spans="1:29">
      <c r="A1570" s="23">
        <f>Parameters!A786</f>
        <v>0</v>
      </c>
      <c r="B1570" s="23">
        <f>Parameters!B786</f>
        <v>0</v>
      </c>
      <c r="C1570" s="24">
        <f>Parameters!C786</f>
        <v>0</v>
      </c>
      <c r="D1570" s="24">
        <f>Parameters!D786</f>
        <v>0</v>
      </c>
      <c r="E1570" s="23">
        <f>Parameters!E786</f>
        <v>0</v>
      </c>
      <c r="F1570" s="23">
        <f>Parameters!F786</f>
        <v>0</v>
      </c>
      <c r="G1570" s="25">
        <f>Parameters!G786</f>
        <v>0</v>
      </c>
      <c r="H1570" s="25">
        <f>Parameters!H786</f>
        <v>0</v>
      </c>
      <c r="I1570" s="25">
        <f>Parameters!I786</f>
        <v>0</v>
      </c>
      <c r="J1570" s="25">
        <f>Parameters!J786</f>
        <v>0</v>
      </c>
      <c r="K1570" s="25">
        <f>Parameters!K786</f>
        <v>0</v>
      </c>
      <c r="L1570" s="26" t="e">
        <f t="shared" ref="L1570" si="2349">L1571</f>
        <v>#DIV/0!</v>
      </c>
      <c r="M1570" s="25">
        <f>Parameters!L786</f>
        <v>0</v>
      </c>
      <c r="N1570" s="25">
        <f>Parameters!M786</f>
        <v>0</v>
      </c>
      <c r="O1570" s="26" t="e">
        <f t="shared" ref="O1570" si="2350">O1571</f>
        <v>#DIV/0!</v>
      </c>
      <c r="P1570" s="23">
        <f>Parameters!N786</f>
        <v>0</v>
      </c>
      <c r="Q1570" s="23">
        <f>Parameters!O786</f>
        <v>0</v>
      </c>
      <c r="R1570" s="23">
        <f>Parameters!P786</f>
        <v>0</v>
      </c>
      <c r="S1570" s="23">
        <f>Parameters!Q786</f>
        <v>0</v>
      </c>
      <c r="T1570" s="23">
        <f>Parameters!R786</f>
        <v>0</v>
      </c>
      <c r="U1570" s="27">
        <f>Parameters!S786</f>
        <v>0</v>
      </c>
      <c r="V1570" s="28">
        <f>Parameters!T786</f>
        <v>0</v>
      </c>
      <c r="W1570" s="27">
        <f>Parameters!U786</f>
        <v>0</v>
      </c>
      <c r="X1570" s="28">
        <f>Parameters!V786</f>
        <v>0</v>
      </c>
      <c r="Y1570" s="25">
        <f>Parameters!W786</f>
        <v>0</v>
      </c>
      <c r="Z1570" s="23">
        <f>Parameters!X786</f>
        <v>0</v>
      </c>
      <c r="AA1570" s="27">
        <f>Parameters!Y786</f>
        <v>0</v>
      </c>
      <c r="AB1570" s="28">
        <f>Parameters!Z786</f>
        <v>0</v>
      </c>
      <c r="AC1570" s="23">
        <f>Parameters!AA786</f>
        <v>0</v>
      </c>
    </row>
    <row r="1571" spans="1:29">
      <c r="A1571" s="29" t="str">
        <f>UPPER(A1570)</f>
        <v>0</v>
      </c>
      <c r="B1571" s="29">
        <f>B1570</f>
        <v>0</v>
      </c>
      <c r="C1571" s="30">
        <f>C1570</f>
        <v>0</v>
      </c>
      <c r="D1571" s="30">
        <f>D1570</f>
        <v>0</v>
      </c>
      <c r="E1571" s="29">
        <f>E1570</f>
        <v>0</v>
      </c>
      <c r="F1571" s="29">
        <f>F1570</f>
        <v>0</v>
      </c>
      <c r="G1571" s="29" t="e">
        <f>IF(C1570=1,IF(D1570="BUY",E1570+(ROUND(F1570*G1570/B1570,0)*B1570),E1570-(ROUND(F1570*G1570/B1570,0)*B1570)),IF(D1570="BUY",E1570-(ROUND(F1570*G1570/B1570,0)*B1570),E1570+(ROUND(F1570*G1570/B1570,0)*B1570)))</f>
        <v>#DIV/0!</v>
      </c>
      <c r="H1571" s="29" t="e">
        <f>IF(C1570=1,IF(D1570="BUY",G1571-(ROUND(F1570*H1570/B1570,0)*B1570),G1571+(ROUND(F1570*H1570/B1570,0)*B1570)),IF(D1570="BUY",G1571+(ROUND(F1570*H1570/B1570,0)*B1570),G1571-(ROUND(F1570*H1570/B1570,0)*B1570)))</f>
        <v>#DIV/0!</v>
      </c>
      <c r="I1571" s="29" t="e">
        <f>IF(D1570="BUY",G1571+(ROUND(F1570*I1570/(B1570*100),0)*B1570),G1571-(ROUND(F1570*I1570/(B1570*100),0)*B1570))</f>
        <v>#DIV/0!</v>
      </c>
      <c r="J1571" s="29" t="e">
        <f>IF(C1570=1,IF(D1570="BUY",E1570+(ROUND(F1570*J1570/B1570,0)*B1570),E1570-(ROUND(F1570*J1570/B1570,0)*B1570)),IF(D1570="BUY",E1570-(ROUND(F1570*J1570/B1570,0)*B1570),E1570+(ROUND(F1570*J1570/B1570,0)*B1570)))</f>
        <v>#DIV/0!</v>
      </c>
      <c r="K1571" s="29" t="e">
        <f>IF(C1570=1,IF(D1570="BUY",E1570-(ROUND(F1570*K1570/B1570,0)*B1570),E1570+(ROUND(F1570*K1570/B1570,0)*B1570)),IF(D1570="BUY",E1570-(ROUND(F1570*K1570/B1570,0)*B1570),E1570+(ROUND(F1570*K1570/B1570,0)*B1570)))</f>
        <v>#DIV/0!</v>
      </c>
      <c r="L1571" s="29" t="e">
        <f t="shared" ref="L1571" si="2351">IF(D1571="BUY",I1571+(R1571*B1571),I1571-(R1571*B1571))</f>
        <v>#DIV/0!</v>
      </c>
      <c r="M1571" s="29" t="e">
        <f>IF(D1570="BUY",E1570+(ROUND(F1570*M1570/B1570,0)*B1570),E1570-(ROUND(F1570*M1570/B1570,0)*B1570))</f>
        <v>#DIV/0!</v>
      </c>
      <c r="N1571" s="29" t="e">
        <f>IF(D1570="BUY",E1570-(ROUND(F1570*N1570/B1570,0)*B1570),E1570+(ROUND(F1570*N1570/B1570,0)*B1570))</f>
        <v>#DIV/0!</v>
      </c>
      <c r="O1571" s="31" t="e">
        <f>IF(D1571="BUY",N1571-VLOOKUP(A1571,Symbols!A$1:D$1000,4,FALSE),N1571+VLOOKUP(A1571,Symbols!A$1:D$1000,4,FALSE))</f>
        <v>#DIV/0!</v>
      </c>
      <c r="P1571" s="29">
        <f>P1570</f>
        <v>0</v>
      </c>
      <c r="Q1571" s="29">
        <f>Q1570</f>
        <v>0</v>
      </c>
      <c r="R1571" s="29">
        <f>R1570</f>
        <v>0</v>
      </c>
      <c r="S1571" s="29">
        <f>S1570</f>
        <v>0</v>
      </c>
      <c r="T1571" s="29">
        <f>T1570</f>
        <v>0</v>
      </c>
      <c r="U1571" s="29" t="e">
        <f>DATEDIF(DATE(1970,1,1),U1570,"D")*86400</f>
        <v>#NUM!</v>
      </c>
      <c r="V1571" s="29">
        <f>HOUR(V1570)*3600+MINUTE(V1570)*60+SECOND(V1570)</f>
        <v>0</v>
      </c>
      <c r="W1571" s="29" t="e">
        <f>DATEDIF(DATE(1970,1,1),W1570,"D")*86400</f>
        <v>#NUM!</v>
      </c>
      <c r="X1571" s="29">
        <f>HOUR(X1570)*3600+MINUTE(X1570)*60+SECOND(X1570)</f>
        <v>0</v>
      </c>
      <c r="Y1571" s="31">
        <f>(Y1570*B1571)</f>
        <v>0</v>
      </c>
      <c r="Z1571" s="29">
        <f>Z1570</f>
        <v>0</v>
      </c>
      <c r="AA1571" s="29" t="e">
        <f>DATEDIF(DATE(1970,1,1),AA1570,"D")*86400</f>
        <v>#NUM!</v>
      </c>
      <c r="AB1571" s="29">
        <f>HOUR(AB1570)*3600+MINUTE(AB1570)*60+SECOND(AB1570)</f>
        <v>0</v>
      </c>
      <c r="AC1571" s="29">
        <f>AC1570</f>
        <v>0</v>
      </c>
    </row>
    <row r="1572" spans="1:29">
      <c r="A1572" s="23">
        <f>Parameters!A787</f>
        <v>0</v>
      </c>
      <c r="B1572" s="23">
        <f>Parameters!B787</f>
        <v>0</v>
      </c>
      <c r="C1572" s="24">
        <f>Parameters!C787</f>
        <v>0</v>
      </c>
      <c r="D1572" s="24">
        <f>Parameters!D787</f>
        <v>0</v>
      </c>
      <c r="E1572" s="23">
        <f>Parameters!E787</f>
        <v>0</v>
      </c>
      <c r="F1572" s="23">
        <f>Parameters!F787</f>
        <v>0</v>
      </c>
      <c r="G1572" s="25">
        <f>Parameters!G787</f>
        <v>0</v>
      </c>
      <c r="H1572" s="25">
        <f>Parameters!H787</f>
        <v>0</v>
      </c>
      <c r="I1572" s="25">
        <f>Parameters!I787</f>
        <v>0</v>
      </c>
      <c r="J1572" s="25">
        <f>Parameters!J787</f>
        <v>0</v>
      </c>
      <c r="K1572" s="25">
        <f>Parameters!K787</f>
        <v>0</v>
      </c>
      <c r="L1572" s="26" t="e">
        <f t="shared" ref="L1572" si="2352">L1573</f>
        <v>#DIV/0!</v>
      </c>
      <c r="M1572" s="25">
        <f>Parameters!L787</f>
        <v>0</v>
      </c>
      <c r="N1572" s="25">
        <f>Parameters!M787</f>
        <v>0</v>
      </c>
      <c r="O1572" s="26" t="e">
        <f t="shared" ref="O1572" si="2353">O1573</f>
        <v>#DIV/0!</v>
      </c>
      <c r="P1572" s="23">
        <f>Parameters!N787</f>
        <v>0</v>
      </c>
      <c r="Q1572" s="23">
        <f>Parameters!O787</f>
        <v>0</v>
      </c>
      <c r="R1572" s="23">
        <f>Parameters!P787</f>
        <v>0</v>
      </c>
      <c r="S1572" s="23">
        <f>Parameters!Q787</f>
        <v>0</v>
      </c>
      <c r="T1572" s="23">
        <f>Parameters!R787</f>
        <v>0</v>
      </c>
      <c r="U1572" s="27">
        <f>Parameters!S787</f>
        <v>0</v>
      </c>
      <c r="V1572" s="28">
        <f>Parameters!T787</f>
        <v>0</v>
      </c>
      <c r="W1572" s="27">
        <f>Parameters!U787</f>
        <v>0</v>
      </c>
      <c r="X1572" s="28">
        <f>Parameters!V787</f>
        <v>0</v>
      </c>
      <c r="Y1572" s="25">
        <f>Parameters!W787</f>
        <v>0</v>
      </c>
      <c r="Z1572" s="23">
        <f>Parameters!X787</f>
        <v>0</v>
      </c>
      <c r="AA1572" s="27">
        <f>Parameters!Y787</f>
        <v>0</v>
      </c>
      <c r="AB1572" s="28">
        <f>Parameters!Z787</f>
        <v>0</v>
      </c>
      <c r="AC1572" s="23">
        <f>Parameters!AA787</f>
        <v>0</v>
      </c>
    </row>
    <row r="1573" spans="1:29">
      <c r="A1573" s="29" t="str">
        <f>UPPER(A1572)</f>
        <v>0</v>
      </c>
      <c r="B1573" s="29">
        <f>B1572</f>
        <v>0</v>
      </c>
      <c r="C1573" s="30">
        <f>C1572</f>
        <v>0</v>
      </c>
      <c r="D1573" s="30">
        <f>D1572</f>
        <v>0</v>
      </c>
      <c r="E1573" s="29">
        <f>E1572</f>
        <v>0</v>
      </c>
      <c r="F1573" s="29">
        <f>F1572</f>
        <v>0</v>
      </c>
      <c r="G1573" s="29" t="e">
        <f>IF(C1572=1,IF(D1572="BUY",E1572+(ROUND(F1572*G1572/B1572,0)*B1572),E1572-(ROUND(F1572*G1572/B1572,0)*B1572)),IF(D1572="BUY",E1572-(ROUND(F1572*G1572/B1572,0)*B1572),E1572+(ROUND(F1572*G1572/B1572,0)*B1572)))</f>
        <v>#DIV/0!</v>
      </c>
      <c r="H1573" s="29" t="e">
        <f>IF(C1572=1,IF(D1572="BUY",G1573-(ROUND(F1572*H1572/B1572,0)*B1572),G1573+(ROUND(F1572*H1572/B1572,0)*B1572)),IF(D1572="BUY",G1573+(ROUND(F1572*H1572/B1572,0)*B1572),G1573-(ROUND(F1572*H1572/B1572,0)*B1572)))</f>
        <v>#DIV/0!</v>
      </c>
      <c r="I1573" s="29" t="e">
        <f>IF(D1572="BUY",G1573+(ROUND(F1572*I1572/(B1572*100),0)*B1572),G1573-(ROUND(F1572*I1572/(B1572*100),0)*B1572))</f>
        <v>#DIV/0!</v>
      </c>
      <c r="J1573" s="29" t="e">
        <f>IF(C1572=1,IF(D1572="BUY",E1572+(ROUND(F1572*J1572/B1572,0)*B1572),E1572-(ROUND(F1572*J1572/B1572,0)*B1572)),IF(D1572="BUY",E1572-(ROUND(F1572*J1572/B1572,0)*B1572),E1572+(ROUND(F1572*J1572/B1572,0)*B1572)))</f>
        <v>#DIV/0!</v>
      </c>
      <c r="K1573" s="29" t="e">
        <f>IF(C1572=1,IF(D1572="BUY",E1572-(ROUND(F1572*K1572/B1572,0)*B1572),E1572+(ROUND(F1572*K1572/B1572,0)*B1572)),IF(D1572="BUY",E1572-(ROUND(F1572*K1572/B1572,0)*B1572),E1572+(ROUND(F1572*K1572/B1572,0)*B1572)))</f>
        <v>#DIV/0!</v>
      </c>
      <c r="L1573" s="29" t="e">
        <f t="shared" ref="L1573" si="2354">IF(D1573="BUY",I1573+(R1573*B1573),I1573-(R1573*B1573))</f>
        <v>#DIV/0!</v>
      </c>
      <c r="M1573" s="29" t="e">
        <f>IF(D1572="BUY",E1572+(ROUND(F1572*M1572/B1572,0)*B1572),E1572-(ROUND(F1572*M1572/B1572,0)*B1572))</f>
        <v>#DIV/0!</v>
      </c>
      <c r="N1573" s="29" t="e">
        <f>IF(D1572="BUY",E1572-(ROUND(F1572*N1572/B1572,0)*B1572),E1572+(ROUND(F1572*N1572/B1572,0)*B1572))</f>
        <v>#DIV/0!</v>
      </c>
      <c r="O1573" s="31" t="e">
        <f>IF(D1573="BUY",N1573-VLOOKUP(A1573,Symbols!A$1:D$1000,4,FALSE),N1573+VLOOKUP(A1573,Symbols!A$1:D$1000,4,FALSE))</f>
        <v>#DIV/0!</v>
      </c>
      <c r="P1573" s="29">
        <f>P1572</f>
        <v>0</v>
      </c>
      <c r="Q1573" s="29">
        <f>Q1572</f>
        <v>0</v>
      </c>
      <c r="R1573" s="29">
        <f>R1572</f>
        <v>0</v>
      </c>
      <c r="S1573" s="29">
        <f>S1572</f>
        <v>0</v>
      </c>
      <c r="T1573" s="29">
        <f>T1572</f>
        <v>0</v>
      </c>
      <c r="U1573" s="29" t="e">
        <f>DATEDIF(DATE(1970,1,1),U1572,"D")*86400</f>
        <v>#NUM!</v>
      </c>
      <c r="V1573" s="29">
        <f>HOUR(V1572)*3600+MINUTE(V1572)*60+SECOND(V1572)</f>
        <v>0</v>
      </c>
      <c r="W1573" s="29" t="e">
        <f>DATEDIF(DATE(1970,1,1),W1572,"D")*86400</f>
        <v>#NUM!</v>
      </c>
      <c r="X1573" s="29">
        <f>HOUR(X1572)*3600+MINUTE(X1572)*60+SECOND(X1572)</f>
        <v>0</v>
      </c>
      <c r="Y1573" s="31">
        <f>(Y1572*B1573)</f>
        <v>0</v>
      </c>
      <c r="Z1573" s="29">
        <f>Z1572</f>
        <v>0</v>
      </c>
      <c r="AA1573" s="29" t="e">
        <f>DATEDIF(DATE(1970,1,1),AA1572,"D")*86400</f>
        <v>#NUM!</v>
      </c>
      <c r="AB1573" s="29">
        <f>HOUR(AB1572)*3600+MINUTE(AB1572)*60+SECOND(AB1572)</f>
        <v>0</v>
      </c>
      <c r="AC1573" s="29">
        <f>AC1572</f>
        <v>0</v>
      </c>
    </row>
    <row r="1574" spans="1:29">
      <c r="A1574" s="23">
        <f>Parameters!A788</f>
        <v>0</v>
      </c>
      <c r="B1574" s="23">
        <f>Parameters!B788</f>
        <v>0</v>
      </c>
      <c r="C1574" s="24">
        <f>Parameters!C788</f>
        <v>0</v>
      </c>
      <c r="D1574" s="24">
        <f>Parameters!D788</f>
        <v>0</v>
      </c>
      <c r="E1574" s="23">
        <f>Parameters!E788</f>
        <v>0</v>
      </c>
      <c r="F1574" s="23">
        <f>Parameters!F788</f>
        <v>0</v>
      </c>
      <c r="G1574" s="25">
        <f>Parameters!G788</f>
        <v>0</v>
      </c>
      <c r="H1574" s="25">
        <f>Parameters!H788</f>
        <v>0</v>
      </c>
      <c r="I1574" s="25">
        <f>Parameters!I788</f>
        <v>0</v>
      </c>
      <c r="J1574" s="25">
        <f>Parameters!J788</f>
        <v>0</v>
      </c>
      <c r="K1574" s="25">
        <f>Parameters!K788</f>
        <v>0</v>
      </c>
      <c r="L1574" s="26" t="e">
        <f t="shared" ref="L1574" si="2355">L1575</f>
        <v>#DIV/0!</v>
      </c>
      <c r="M1574" s="25">
        <f>Parameters!L788</f>
        <v>0</v>
      </c>
      <c r="N1574" s="25">
        <f>Parameters!M788</f>
        <v>0</v>
      </c>
      <c r="O1574" s="26" t="e">
        <f t="shared" ref="O1574" si="2356">O1575</f>
        <v>#DIV/0!</v>
      </c>
      <c r="P1574" s="23">
        <f>Parameters!N788</f>
        <v>0</v>
      </c>
      <c r="Q1574" s="23">
        <f>Parameters!O788</f>
        <v>0</v>
      </c>
      <c r="R1574" s="23">
        <f>Parameters!P788</f>
        <v>0</v>
      </c>
      <c r="S1574" s="23">
        <f>Parameters!Q788</f>
        <v>0</v>
      </c>
      <c r="T1574" s="23">
        <f>Parameters!R788</f>
        <v>0</v>
      </c>
      <c r="U1574" s="27">
        <f>Parameters!S788</f>
        <v>0</v>
      </c>
      <c r="V1574" s="28">
        <f>Parameters!T788</f>
        <v>0</v>
      </c>
      <c r="W1574" s="27">
        <f>Parameters!U788</f>
        <v>0</v>
      </c>
      <c r="X1574" s="28">
        <f>Parameters!V788</f>
        <v>0</v>
      </c>
      <c r="Y1574" s="25">
        <f>Parameters!W788</f>
        <v>0</v>
      </c>
      <c r="Z1574" s="23">
        <f>Parameters!X788</f>
        <v>0</v>
      </c>
      <c r="AA1574" s="27">
        <f>Parameters!Y788</f>
        <v>0</v>
      </c>
      <c r="AB1574" s="28">
        <f>Parameters!Z788</f>
        <v>0</v>
      </c>
      <c r="AC1574" s="23">
        <f>Parameters!AA788</f>
        <v>0</v>
      </c>
    </row>
    <row r="1575" spans="1:29">
      <c r="A1575" s="29" t="str">
        <f>UPPER(A1574)</f>
        <v>0</v>
      </c>
      <c r="B1575" s="29">
        <f>B1574</f>
        <v>0</v>
      </c>
      <c r="C1575" s="30">
        <f>C1574</f>
        <v>0</v>
      </c>
      <c r="D1575" s="30">
        <f>D1574</f>
        <v>0</v>
      </c>
      <c r="E1575" s="29">
        <f>E1574</f>
        <v>0</v>
      </c>
      <c r="F1575" s="29">
        <f>F1574</f>
        <v>0</v>
      </c>
      <c r="G1575" s="29" t="e">
        <f>IF(C1574=1,IF(D1574="BUY",E1574+(ROUND(F1574*G1574/B1574,0)*B1574),E1574-(ROUND(F1574*G1574/B1574,0)*B1574)),IF(D1574="BUY",E1574-(ROUND(F1574*G1574/B1574,0)*B1574),E1574+(ROUND(F1574*G1574/B1574,0)*B1574)))</f>
        <v>#DIV/0!</v>
      </c>
      <c r="H1575" s="29" t="e">
        <f>IF(C1574=1,IF(D1574="BUY",G1575-(ROUND(F1574*H1574/B1574,0)*B1574),G1575+(ROUND(F1574*H1574/B1574,0)*B1574)),IF(D1574="BUY",G1575+(ROUND(F1574*H1574/B1574,0)*B1574),G1575-(ROUND(F1574*H1574/B1574,0)*B1574)))</f>
        <v>#DIV/0!</v>
      </c>
      <c r="I1575" s="29" t="e">
        <f>IF(D1574="BUY",G1575+(ROUND(F1574*I1574/(B1574*100),0)*B1574),G1575-(ROUND(F1574*I1574/(B1574*100),0)*B1574))</f>
        <v>#DIV/0!</v>
      </c>
      <c r="J1575" s="29" t="e">
        <f>IF(C1574=1,IF(D1574="BUY",E1574+(ROUND(F1574*J1574/B1574,0)*B1574),E1574-(ROUND(F1574*J1574/B1574,0)*B1574)),IF(D1574="BUY",E1574-(ROUND(F1574*J1574/B1574,0)*B1574),E1574+(ROUND(F1574*J1574/B1574,0)*B1574)))</f>
        <v>#DIV/0!</v>
      </c>
      <c r="K1575" s="29" t="e">
        <f>IF(C1574=1,IF(D1574="BUY",E1574-(ROUND(F1574*K1574/B1574,0)*B1574),E1574+(ROUND(F1574*K1574/B1574,0)*B1574)),IF(D1574="BUY",E1574-(ROUND(F1574*K1574/B1574,0)*B1574),E1574+(ROUND(F1574*K1574/B1574,0)*B1574)))</f>
        <v>#DIV/0!</v>
      </c>
      <c r="L1575" s="29" t="e">
        <f t="shared" ref="L1575" si="2357">IF(D1575="BUY",I1575+(R1575*B1575),I1575-(R1575*B1575))</f>
        <v>#DIV/0!</v>
      </c>
      <c r="M1575" s="29" t="e">
        <f>IF(D1574="BUY",E1574+(ROUND(F1574*M1574/B1574,0)*B1574),E1574-(ROUND(F1574*M1574/B1574,0)*B1574))</f>
        <v>#DIV/0!</v>
      </c>
      <c r="N1575" s="29" t="e">
        <f>IF(D1574="BUY",E1574-(ROUND(F1574*N1574/B1574,0)*B1574),E1574+(ROUND(F1574*N1574/B1574,0)*B1574))</f>
        <v>#DIV/0!</v>
      </c>
      <c r="O1575" s="31" t="e">
        <f>IF(D1575="BUY",N1575-VLOOKUP(A1575,Symbols!A$1:D$1000,4,FALSE),N1575+VLOOKUP(A1575,Symbols!A$1:D$1000,4,FALSE))</f>
        <v>#DIV/0!</v>
      </c>
      <c r="P1575" s="29">
        <f>P1574</f>
        <v>0</v>
      </c>
      <c r="Q1575" s="29">
        <f>Q1574</f>
        <v>0</v>
      </c>
      <c r="R1575" s="29">
        <f>R1574</f>
        <v>0</v>
      </c>
      <c r="S1575" s="29">
        <f>S1574</f>
        <v>0</v>
      </c>
      <c r="T1575" s="29">
        <f>T1574</f>
        <v>0</v>
      </c>
      <c r="U1575" s="29" t="e">
        <f>DATEDIF(DATE(1970,1,1),U1574,"D")*86400</f>
        <v>#NUM!</v>
      </c>
      <c r="V1575" s="29">
        <f>HOUR(V1574)*3600+MINUTE(V1574)*60+SECOND(V1574)</f>
        <v>0</v>
      </c>
      <c r="W1575" s="29" t="e">
        <f>DATEDIF(DATE(1970,1,1),W1574,"D")*86400</f>
        <v>#NUM!</v>
      </c>
      <c r="X1575" s="29">
        <f>HOUR(X1574)*3600+MINUTE(X1574)*60+SECOND(X1574)</f>
        <v>0</v>
      </c>
      <c r="Y1575" s="31">
        <f>(Y1574*B1575)</f>
        <v>0</v>
      </c>
      <c r="Z1575" s="29">
        <f>Z1574</f>
        <v>0</v>
      </c>
      <c r="AA1575" s="29" t="e">
        <f>DATEDIF(DATE(1970,1,1),AA1574,"D")*86400</f>
        <v>#NUM!</v>
      </c>
      <c r="AB1575" s="29">
        <f>HOUR(AB1574)*3600+MINUTE(AB1574)*60+SECOND(AB1574)</f>
        <v>0</v>
      </c>
      <c r="AC1575" s="29">
        <f>AC1574</f>
        <v>0</v>
      </c>
    </row>
    <row r="1576" spans="1:29">
      <c r="A1576" s="23">
        <f>Parameters!A789</f>
        <v>0</v>
      </c>
      <c r="B1576" s="23">
        <f>Parameters!B789</f>
        <v>0</v>
      </c>
      <c r="C1576" s="24">
        <f>Parameters!C789</f>
        <v>0</v>
      </c>
      <c r="D1576" s="24">
        <f>Parameters!D789</f>
        <v>0</v>
      </c>
      <c r="E1576" s="23">
        <f>Parameters!E789</f>
        <v>0</v>
      </c>
      <c r="F1576" s="23">
        <f>Parameters!F789</f>
        <v>0</v>
      </c>
      <c r="G1576" s="25">
        <f>Parameters!G789</f>
        <v>0</v>
      </c>
      <c r="H1576" s="25">
        <f>Parameters!H789</f>
        <v>0</v>
      </c>
      <c r="I1576" s="25">
        <f>Parameters!I789</f>
        <v>0</v>
      </c>
      <c r="J1576" s="25">
        <f>Parameters!J789</f>
        <v>0</v>
      </c>
      <c r="K1576" s="25">
        <f>Parameters!K789</f>
        <v>0</v>
      </c>
      <c r="L1576" s="26" t="e">
        <f t="shared" ref="L1576" si="2358">L1577</f>
        <v>#DIV/0!</v>
      </c>
      <c r="M1576" s="25">
        <f>Parameters!L789</f>
        <v>0</v>
      </c>
      <c r="N1576" s="25">
        <f>Parameters!M789</f>
        <v>0</v>
      </c>
      <c r="O1576" s="26" t="e">
        <f t="shared" ref="O1576" si="2359">O1577</f>
        <v>#DIV/0!</v>
      </c>
      <c r="P1576" s="23">
        <f>Parameters!N789</f>
        <v>0</v>
      </c>
      <c r="Q1576" s="23">
        <f>Parameters!O789</f>
        <v>0</v>
      </c>
      <c r="R1576" s="23">
        <f>Parameters!P789</f>
        <v>0</v>
      </c>
      <c r="S1576" s="23">
        <f>Parameters!Q789</f>
        <v>0</v>
      </c>
      <c r="T1576" s="23">
        <f>Parameters!R789</f>
        <v>0</v>
      </c>
      <c r="U1576" s="27">
        <f>Parameters!S789</f>
        <v>0</v>
      </c>
      <c r="V1576" s="28">
        <f>Parameters!T789</f>
        <v>0</v>
      </c>
      <c r="W1576" s="27">
        <f>Parameters!U789</f>
        <v>0</v>
      </c>
      <c r="X1576" s="28">
        <f>Parameters!V789</f>
        <v>0</v>
      </c>
      <c r="Y1576" s="25">
        <f>Parameters!W789</f>
        <v>0</v>
      </c>
      <c r="Z1576" s="23">
        <f>Parameters!X789</f>
        <v>0</v>
      </c>
      <c r="AA1576" s="27">
        <f>Parameters!Y789</f>
        <v>0</v>
      </c>
      <c r="AB1576" s="28">
        <f>Parameters!Z789</f>
        <v>0</v>
      </c>
      <c r="AC1576" s="23">
        <f>Parameters!AA789</f>
        <v>0</v>
      </c>
    </row>
    <row r="1577" spans="1:29">
      <c r="A1577" s="29" t="str">
        <f>UPPER(A1576)</f>
        <v>0</v>
      </c>
      <c r="B1577" s="29">
        <f>B1576</f>
        <v>0</v>
      </c>
      <c r="C1577" s="30">
        <f>C1576</f>
        <v>0</v>
      </c>
      <c r="D1577" s="30">
        <f>D1576</f>
        <v>0</v>
      </c>
      <c r="E1577" s="29">
        <f>E1576</f>
        <v>0</v>
      </c>
      <c r="F1577" s="29">
        <f>F1576</f>
        <v>0</v>
      </c>
      <c r="G1577" s="29" t="e">
        <f>IF(C1576=1,IF(D1576="BUY",E1576+(ROUND(F1576*G1576/B1576,0)*B1576),E1576-(ROUND(F1576*G1576/B1576,0)*B1576)),IF(D1576="BUY",E1576-(ROUND(F1576*G1576/B1576,0)*B1576),E1576+(ROUND(F1576*G1576/B1576,0)*B1576)))</f>
        <v>#DIV/0!</v>
      </c>
      <c r="H1577" s="29" t="e">
        <f>IF(C1576=1,IF(D1576="BUY",G1577-(ROUND(F1576*H1576/B1576,0)*B1576),G1577+(ROUND(F1576*H1576/B1576,0)*B1576)),IF(D1576="BUY",G1577+(ROUND(F1576*H1576/B1576,0)*B1576),G1577-(ROUND(F1576*H1576/B1576,0)*B1576)))</f>
        <v>#DIV/0!</v>
      </c>
      <c r="I1577" s="29" t="e">
        <f>IF(D1576="BUY",G1577+(ROUND(F1576*I1576/(B1576*100),0)*B1576),G1577-(ROUND(F1576*I1576/(B1576*100),0)*B1576))</f>
        <v>#DIV/0!</v>
      </c>
      <c r="J1577" s="29" t="e">
        <f>IF(C1576=1,IF(D1576="BUY",E1576+(ROUND(F1576*J1576/B1576,0)*B1576),E1576-(ROUND(F1576*J1576/B1576,0)*B1576)),IF(D1576="BUY",E1576-(ROUND(F1576*J1576/B1576,0)*B1576),E1576+(ROUND(F1576*J1576/B1576,0)*B1576)))</f>
        <v>#DIV/0!</v>
      </c>
      <c r="K1577" s="29" t="e">
        <f>IF(C1576=1,IF(D1576="BUY",E1576-(ROUND(F1576*K1576/B1576,0)*B1576),E1576+(ROUND(F1576*K1576/B1576,0)*B1576)),IF(D1576="BUY",E1576-(ROUND(F1576*K1576/B1576,0)*B1576),E1576+(ROUND(F1576*K1576/B1576,0)*B1576)))</f>
        <v>#DIV/0!</v>
      </c>
      <c r="L1577" s="29" t="e">
        <f t="shared" ref="L1577" si="2360">IF(D1577="BUY",I1577+(R1577*B1577),I1577-(R1577*B1577))</f>
        <v>#DIV/0!</v>
      </c>
      <c r="M1577" s="29" t="e">
        <f>IF(D1576="BUY",E1576+(ROUND(F1576*M1576/B1576,0)*B1576),E1576-(ROUND(F1576*M1576/B1576,0)*B1576))</f>
        <v>#DIV/0!</v>
      </c>
      <c r="N1577" s="29" t="e">
        <f>IF(D1576="BUY",E1576-(ROUND(F1576*N1576/B1576,0)*B1576),E1576+(ROUND(F1576*N1576/B1576,0)*B1576))</f>
        <v>#DIV/0!</v>
      </c>
      <c r="O1577" s="31" t="e">
        <f>IF(D1577="BUY",N1577-VLOOKUP(A1577,Symbols!A$1:D$1000,4,FALSE),N1577+VLOOKUP(A1577,Symbols!A$1:D$1000,4,FALSE))</f>
        <v>#DIV/0!</v>
      </c>
      <c r="P1577" s="29">
        <f>P1576</f>
        <v>0</v>
      </c>
      <c r="Q1577" s="29">
        <f>Q1576</f>
        <v>0</v>
      </c>
      <c r="R1577" s="29">
        <f>R1576</f>
        <v>0</v>
      </c>
      <c r="S1577" s="29">
        <f>S1576</f>
        <v>0</v>
      </c>
      <c r="T1577" s="29">
        <f>T1576</f>
        <v>0</v>
      </c>
      <c r="U1577" s="29" t="e">
        <f>DATEDIF(DATE(1970,1,1),U1576,"D")*86400</f>
        <v>#NUM!</v>
      </c>
      <c r="V1577" s="29">
        <f>HOUR(V1576)*3600+MINUTE(V1576)*60+SECOND(V1576)</f>
        <v>0</v>
      </c>
      <c r="W1577" s="29" t="e">
        <f>DATEDIF(DATE(1970,1,1),W1576,"D")*86400</f>
        <v>#NUM!</v>
      </c>
      <c r="X1577" s="29">
        <f>HOUR(X1576)*3600+MINUTE(X1576)*60+SECOND(X1576)</f>
        <v>0</v>
      </c>
      <c r="Y1577" s="31">
        <f>(Y1576*B1577)</f>
        <v>0</v>
      </c>
      <c r="Z1577" s="29">
        <f>Z1576</f>
        <v>0</v>
      </c>
      <c r="AA1577" s="29" t="e">
        <f>DATEDIF(DATE(1970,1,1),AA1576,"D")*86400</f>
        <v>#NUM!</v>
      </c>
      <c r="AB1577" s="29">
        <f>HOUR(AB1576)*3600+MINUTE(AB1576)*60+SECOND(AB1576)</f>
        <v>0</v>
      </c>
      <c r="AC1577" s="29">
        <f>AC1576</f>
        <v>0</v>
      </c>
    </row>
    <row r="1578" spans="1:29">
      <c r="A1578" s="23">
        <f>Parameters!A790</f>
        <v>0</v>
      </c>
      <c r="B1578" s="23">
        <f>Parameters!B790</f>
        <v>0</v>
      </c>
      <c r="C1578" s="24">
        <f>Parameters!C790</f>
        <v>0</v>
      </c>
      <c r="D1578" s="24">
        <f>Parameters!D790</f>
        <v>0</v>
      </c>
      <c r="E1578" s="23">
        <f>Parameters!E790</f>
        <v>0</v>
      </c>
      <c r="F1578" s="23">
        <f>Parameters!F790</f>
        <v>0</v>
      </c>
      <c r="G1578" s="25">
        <f>Parameters!G790</f>
        <v>0</v>
      </c>
      <c r="H1578" s="25">
        <f>Parameters!H790</f>
        <v>0</v>
      </c>
      <c r="I1578" s="25">
        <f>Parameters!I790</f>
        <v>0</v>
      </c>
      <c r="J1578" s="25">
        <f>Parameters!J790</f>
        <v>0</v>
      </c>
      <c r="K1578" s="25">
        <f>Parameters!K790</f>
        <v>0</v>
      </c>
      <c r="L1578" s="26" t="e">
        <f t="shared" ref="L1578" si="2361">L1579</f>
        <v>#DIV/0!</v>
      </c>
      <c r="M1578" s="25">
        <f>Parameters!L790</f>
        <v>0</v>
      </c>
      <c r="N1578" s="25">
        <f>Parameters!M790</f>
        <v>0</v>
      </c>
      <c r="O1578" s="26" t="e">
        <f t="shared" ref="O1578" si="2362">O1579</f>
        <v>#DIV/0!</v>
      </c>
      <c r="P1578" s="23">
        <f>Parameters!N790</f>
        <v>0</v>
      </c>
      <c r="Q1578" s="23">
        <f>Parameters!O790</f>
        <v>0</v>
      </c>
      <c r="R1578" s="23">
        <f>Parameters!P790</f>
        <v>0</v>
      </c>
      <c r="S1578" s="23">
        <f>Parameters!Q790</f>
        <v>0</v>
      </c>
      <c r="T1578" s="23">
        <f>Parameters!R790</f>
        <v>0</v>
      </c>
      <c r="U1578" s="27">
        <f>Parameters!S790</f>
        <v>0</v>
      </c>
      <c r="V1578" s="28">
        <f>Parameters!T790</f>
        <v>0</v>
      </c>
      <c r="W1578" s="27">
        <f>Parameters!U790</f>
        <v>0</v>
      </c>
      <c r="X1578" s="28">
        <f>Parameters!V790</f>
        <v>0</v>
      </c>
      <c r="Y1578" s="25">
        <f>Parameters!W790</f>
        <v>0</v>
      </c>
      <c r="Z1578" s="23">
        <f>Parameters!X790</f>
        <v>0</v>
      </c>
      <c r="AA1578" s="27">
        <f>Parameters!Y790</f>
        <v>0</v>
      </c>
      <c r="AB1578" s="28">
        <f>Parameters!Z790</f>
        <v>0</v>
      </c>
      <c r="AC1578" s="23">
        <f>Parameters!AA790</f>
        <v>0</v>
      </c>
    </row>
    <row r="1579" spans="1:29">
      <c r="A1579" s="29" t="str">
        <f>UPPER(A1578)</f>
        <v>0</v>
      </c>
      <c r="B1579" s="29">
        <f>B1578</f>
        <v>0</v>
      </c>
      <c r="C1579" s="30">
        <f>C1578</f>
        <v>0</v>
      </c>
      <c r="D1579" s="30">
        <f>D1578</f>
        <v>0</v>
      </c>
      <c r="E1579" s="29">
        <f>E1578</f>
        <v>0</v>
      </c>
      <c r="F1579" s="29">
        <f>F1578</f>
        <v>0</v>
      </c>
      <c r="G1579" s="29" t="e">
        <f>IF(C1578=1,IF(D1578="BUY",E1578+(ROUND(F1578*G1578/B1578,0)*B1578),E1578-(ROUND(F1578*G1578/B1578,0)*B1578)),IF(D1578="BUY",E1578-(ROUND(F1578*G1578/B1578,0)*B1578),E1578+(ROUND(F1578*G1578/B1578,0)*B1578)))</f>
        <v>#DIV/0!</v>
      </c>
      <c r="H1579" s="29" t="e">
        <f>IF(C1578=1,IF(D1578="BUY",G1579-(ROUND(F1578*H1578/B1578,0)*B1578),G1579+(ROUND(F1578*H1578/B1578,0)*B1578)),IF(D1578="BUY",G1579+(ROUND(F1578*H1578/B1578,0)*B1578),G1579-(ROUND(F1578*H1578/B1578,0)*B1578)))</f>
        <v>#DIV/0!</v>
      </c>
      <c r="I1579" s="29" t="e">
        <f>IF(D1578="BUY",G1579+(ROUND(F1578*I1578/(B1578*100),0)*B1578),G1579-(ROUND(F1578*I1578/(B1578*100),0)*B1578))</f>
        <v>#DIV/0!</v>
      </c>
      <c r="J1579" s="29" t="e">
        <f>IF(C1578=1,IF(D1578="BUY",E1578+(ROUND(F1578*J1578/B1578,0)*B1578),E1578-(ROUND(F1578*J1578/B1578,0)*B1578)),IF(D1578="BUY",E1578-(ROUND(F1578*J1578/B1578,0)*B1578),E1578+(ROUND(F1578*J1578/B1578,0)*B1578)))</f>
        <v>#DIV/0!</v>
      </c>
      <c r="K1579" s="29" t="e">
        <f>IF(C1578=1,IF(D1578="BUY",E1578-(ROUND(F1578*K1578/B1578,0)*B1578),E1578+(ROUND(F1578*K1578/B1578,0)*B1578)),IF(D1578="BUY",E1578-(ROUND(F1578*K1578/B1578,0)*B1578),E1578+(ROUND(F1578*K1578/B1578,0)*B1578)))</f>
        <v>#DIV/0!</v>
      </c>
      <c r="L1579" s="29" t="e">
        <f t="shared" ref="L1579" si="2363">IF(D1579="BUY",I1579+(R1579*B1579),I1579-(R1579*B1579))</f>
        <v>#DIV/0!</v>
      </c>
      <c r="M1579" s="29" t="e">
        <f>IF(D1578="BUY",E1578+(ROUND(F1578*M1578/B1578,0)*B1578),E1578-(ROUND(F1578*M1578/B1578,0)*B1578))</f>
        <v>#DIV/0!</v>
      </c>
      <c r="N1579" s="29" t="e">
        <f>IF(D1578="BUY",E1578-(ROUND(F1578*N1578/B1578,0)*B1578),E1578+(ROUND(F1578*N1578/B1578,0)*B1578))</f>
        <v>#DIV/0!</v>
      </c>
      <c r="O1579" s="31" t="e">
        <f>IF(D1579="BUY",N1579-VLOOKUP(A1579,Symbols!A$1:D$1000,4,FALSE),N1579+VLOOKUP(A1579,Symbols!A$1:D$1000,4,FALSE))</f>
        <v>#DIV/0!</v>
      </c>
      <c r="P1579" s="29">
        <f>P1578</f>
        <v>0</v>
      </c>
      <c r="Q1579" s="29">
        <f>Q1578</f>
        <v>0</v>
      </c>
      <c r="R1579" s="29">
        <f>R1578</f>
        <v>0</v>
      </c>
      <c r="S1579" s="29">
        <f>S1578</f>
        <v>0</v>
      </c>
      <c r="T1579" s="29">
        <f>T1578</f>
        <v>0</v>
      </c>
      <c r="U1579" s="29" t="e">
        <f>DATEDIF(DATE(1970,1,1),U1578,"D")*86400</f>
        <v>#NUM!</v>
      </c>
      <c r="V1579" s="29">
        <f>HOUR(V1578)*3600+MINUTE(V1578)*60+SECOND(V1578)</f>
        <v>0</v>
      </c>
      <c r="W1579" s="29" t="e">
        <f>DATEDIF(DATE(1970,1,1),W1578,"D")*86400</f>
        <v>#NUM!</v>
      </c>
      <c r="X1579" s="29">
        <f>HOUR(X1578)*3600+MINUTE(X1578)*60+SECOND(X1578)</f>
        <v>0</v>
      </c>
      <c r="Y1579" s="31">
        <f>(Y1578*B1579)</f>
        <v>0</v>
      </c>
      <c r="Z1579" s="29">
        <f>Z1578</f>
        <v>0</v>
      </c>
      <c r="AA1579" s="29" t="e">
        <f>DATEDIF(DATE(1970,1,1),AA1578,"D")*86400</f>
        <v>#NUM!</v>
      </c>
      <c r="AB1579" s="29">
        <f>HOUR(AB1578)*3600+MINUTE(AB1578)*60+SECOND(AB1578)</f>
        <v>0</v>
      </c>
      <c r="AC1579" s="29">
        <f>AC1578</f>
        <v>0</v>
      </c>
    </row>
    <row r="1580" spans="1:29">
      <c r="A1580" s="23">
        <f>Parameters!A791</f>
        <v>0</v>
      </c>
      <c r="B1580" s="23">
        <f>Parameters!B791</f>
        <v>0</v>
      </c>
      <c r="C1580" s="24">
        <f>Parameters!C791</f>
        <v>0</v>
      </c>
      <c r="D1580" s="24">
        <f>Parameters!D791</f>
        <v>0</v>
      </c>
      <c r="E1580" s="23">
        <f>Parameters!E791</f>
        <v>0</v>
      </c>
      <c r="F1580" s="23">
        <f>Parameters!F791</f>
        <v>0</v>
      </c>
      <c r="G1580" s="25">
        <f>Parameters!G791</f>
        <v>0</v>
      </c>
      <c r="H1580" s="25">
        <f>Parameters!H791</f>
        <v>0</v>
      </c>
      <c r="I1580" s="25">
        <f>Parameters!I791</f>
        <v>0</v>
      </c>
      <c r="J1580" s="25">
        <f>Parameters!J791</f>
        <v>0</v>
      </c>
      <c r="K1580" s="25">
        <f>Parameters!K791</f>
        <v>0</v>
      </c>
      <c r="L1580" s="26" t="e">
        <f t="shared" ref="L1580" si="2364">L1581</f>
        <v>#DIV/0!</v>
      </c>
      <c r="M1580" s="25">
        <f>Parameters!L791</f>
        <v>0</v>
      </c>
      <c r="N1580" s="25">
        <f>Parameters!M791</f>
        <v>0</v>
      </c>
      <c r="O1580" s="26" t="e">
        <f t="shared" ref="O1580" si="2365">O1581</f>
        <v>#DIV/0!</v>
      </c>
      <c r="P1580" s="23">
        <f>Parameters!N791</f>
        <v>0</v>
      </c>
      <c r="Q1580" s="23">
        <f>Parameters!O791</f>
        <v>0</v>
      </c>
      <c r="R1580" s="23">
        <f>Parameters!P791</f>
        <v>0</v>
      </c>
      <c r="S1580" s="23">
        <f>Parameters!Q791</f>
        <v>0</v>
      </c>
      <c r="T1580" s="23">
        <f>Parameters!R791</f>
        <v>0</v>
      </c>
      <c r="U1580" s="27">
        <f>Parameters!S791</f>
        <v>0</v>
      </c>
      <c r="V1580" s="28">
        <f>Parameters!T791</f>
        <v>0</v>
      </c>
      <c r="W1580" s="27">
        <f>Parameters!U791</f>
        <v>0</v>
      </c>
      <c r="X1580" s="28">
        <f>Parameters!V791</f>
        <v>0</v>
      </c>
      <c r="Y1580" s="25">
        <f>Parameters!W791</f>
        <v>0</v>
      </c>
      <c r="Z1580" s="23">
        <f>Parameters!X791</f>
        <v>0</v>
      </c>
      <c r="AA1580" s="27">
        <f>Parameters!Y791</f>
        <v>0</v>
      </c>
      <c r="AB1580" s="28">
        <f>Parameters!Z791</f>
        <v>0</v>
      </c>
      <c r="AC1580" s="23">
        <f>Parameters!AA791</f>
        <v>0</v>
      </c>
    </row>
    <row r="1581" spans="1:29">
      <c r="A1581" s="29" t="str">
        <f>UPPER(A1580)</f>
        <v>0</v>
      </c>
      <c r="B1581" s="29">
        <f>B1580</f>
        <v>0</v>
      </c>
      <c r="C1581" s="30">
        <f>C1580</f>
        <v>0</v>
      </c>
      <c r="D1581" s="30">
        <f>D1580</f>
        <v>0</v>
      </c>
      <c r="E1581" s="29">
        <f>E1580</f>
        <v>0</v>
      </c>
      <c r="F1581" s="29">
        <f>F1580</f>
        <v>0</v>
      </c>
      <c r="G1581" s="29" t="e">
        <f>IF(C1580=1,IF(D1580="BUY",E1580+(ROUND(F1580*G1580/B1580,0)*B1580),E1580-(ROUND(F1580*G1580/B1580,0)*B1580)),IF(D1580="BUY",E1580-(ROUND(F1580*G1580/B1580,0)*B1580),E1580+(ROUND(F1580*G1580/B1580,0)*B1580)))</f>
        <v>#DIV/0!</v>
      </c>
      <c r="H1581" s="29" t="e">
        <f>IF(C1580=1,IF(D1580="BUY",G1581-(ROUND(F1580*H1580/B1580,0)*B1580),G1581+(ROUND(F1580*H1580/B1580,0)*B1580)),IF(D1580="BUY",G1581+(ROUND(F1580*H1580/B1580,0)*B1580),G1581-(ROUND(F1580*H1580/B1580,0)*B1580)))</f>
        <v>#DIV/0!</v>
      </c>
      <c r="I1581" s="29" t="e">
        <f>IF(D1580="BUY",G1581+(ROUND(F1580*I1580/(B1580*100),0)*B1580),G1581-(ROUND(F1580*I1580/(B1580*100),0)*B1580))</f>
        <v>#DIV/0!</v>
      </c>
      <c r="J1581" s="29" t="e">
        <f>IF(C1580=1,IF(D1580="BUY",E1580+(ROUND(F1580*J1580/B1580,0)*B1580),E1580-(ROUND(F1580*J1580/B1580,0)*B1580)),IF(D1580="BUY",E1580-(ROUND(F1580*J1580/B1580,0)*B1580),E1580+(ROUND(F1580*J1580/B1580,0)*B1580)))</f>
        <v>#DIV/0!</v>
      </c>
      <c r="K1581" s="29" t="e">
        <f>IF(C1580=1,IF(D1580="BUY",E1580-(ROUND(F1580*K1580/B1580,0)*B1580),E1580+(ROUND(F1580*K1580/B1580,0)*B1580)),IF(D1580="BUY",E1580-(ROUND(F1580*K1580/B1580,0)*B1580),E1580+(ROUND(F1580*K1580/B1580,0)*B1580)))</f>
        <v>#DIV/0!</v>
      </c>
      <c r="L1581" s="29" t="e">
        <f t="shared" ref="L1581" si="2366">IF(D1581="BUY",I1581+(R1581*B1581),I1581-(R1581*B1581))</f>
        <v>#DIV/0!</v>
      </c>
      <c r="M1581" s="29" t="e">
        <f>IF(D1580="BUY",E1580+(ROUND(F1580*M1580/B1580,0)*B1580),E1580-(ROUND(F1580*M1580/B1580,0)*B1580))</f>
        <v>#DIV/0!</v>
      </c>
      <c r="N1581" s="29" t="e">
        <f>IF(D1580="BUY",E1580-(ROUND(F1580*N1580/B1580,0)*B1580),E1580+(ROUND(F1580*N1580/B1580,0)*B1580))</f>
        <v>#DIV/0!</v>
      </c>
      <c r="O1581" s="31" t="e">
        <f>IF(D1581="BUY",N1581-VLOOKUP(A1581,Symbols!A$1:D$1000,4,FALSE),N1581+VLOOKUP(A1581,Symbols!A$1:D$1000,4,FALSE))</f>
        <v>#DIV/0!</v>
      </c>
      <c r="P1581" s="29">
        <f>P1580</f>
        <v>0</v>
      </c>
      <c r="Q1581" s="29">
        <f>Q1580</f>
        <v>0</v>
      </c>
      <c r="R1581" s="29">
        <f>R1580</f>
        <v>0</v>
      </c>
      <c r="S1581" s="29">
        <f>S1580</f>
        <v>0</v>
      </c>
      <c r="T1581" s="29">
        <f>T1580</f>
        <v>0</v>
      </c>
      <c r="U1581" s="29" t="e">
        <f>DATEDIF(DATE(1970,1,1),U1580,"D")*86400</f>
        <v>#NUM!</v>
      </c>
      <c r="V1581" s="29">
        <f>HOUR(V1580)*3600+MINUTE(V1580)*60+SECOND(V1580)</f>
        <v>0</v>
      </c>
      <c r="W1581" s="29" t="e">
        <f>DATEDIF(DATE(1970,1,1),W1580,"D")*86400</f>
        <v>#NUM!</v>
      </c>
      <c r="X1581" s="29">
        <f>HOUR(X1580)*3600+MINUTE(X1580)*60+SECOND(X1580)</f>
        <v>0</v>
      </c>
      <c r="Y1581" s="31">
        <f>(Y1580*B1581)</f>
        <v>0</v>
      </c>
      <c r="Z1581" s="29">
        <f>Z1580</f>
        <v>0</v>
      </c>
      <c r="AA1581" s="29" t="e">
        <f>DATEDIF(DATE(1970,1,1),AA1580,"D")*86400</f>
        <v>#NUM!</v>
      </c>
      <c r="AB1581" s="29">
        <f>HOUR(AB1580)*3600+MINUTE(AB1580)*60+SECOND(AB1580)</f>
        <v>0</v>
      </c>
      <c r="AC1581" s="29">
        <f>AC1580</f>
        <v>0</v>
      </c>
    </row>
    <row r="1582" spans="1:29">
      <c r="A1582" s="23">
        <f>Parameters!A792</f>
        <v>0</v>
      </c>
      <c r="B1582" s="23">
        <f>Parameters!B792</f>
        <v>0</v>
      </c>
      <c r="C1582" s="24">
        <f>Parameters!C792</f>
        <v>0</v>
      </c>
      <c r="D1582" s="24">
        <f>Parameters!D792</f>
        <v>0</v>
      </c>
      <c r="E1582" s="23">
        <f>Parameters!E792</f>
        <v>0</v>
      </c>
      <c r="F1582" s="23">
        <f>Parameters!F792</f>
        <v>0</v>
      </c>
      <c r="G1582" s="25">
        <f>Parameters!G792</f>
        <v>0</v>
      </c>
      <c r="H1582" s="25">
        <f>Parameters!H792</f>
        <v>0</v>
      </c>
      <c r="I1582" s="25">
        <f>Parameters!I792</f>
        <v>0</v>
      </c>
      <c r="J1582" s="25">
        <f>Parameters!J792</f>
        <v>0</v>
      </c>
      <c r="K1582" s="25">
        <f>Parameters!K792</f>
        <v>0</v>
      </c>
      <c r="L1582" s="26" t="e">
        <f t="shared" ref="L1582" si="2367">L1583</f>
        <v>#DIV/0!</v>
      </c>
      <c r="M1582" s="25">
        <f>Parameters!L792</f>
        <v>0</v>
      </c>
      <c r="N1582" s="25">
        <f>Parameters!M792</f>
        <v>0</v>
      </c>
      <c r="O1582" s="26" t="e">
        <f t="shared" ref="O1582" si="2368">O1583</f>
        <v>#DIV/0!</v>
      </c>
      <c r="P1582" s="23">
        <f>Parameters!N792</f>
        <v>0</v>
      </c>
      <c r="Q1582" s="23">
        <f>Parameters!O792</f>
        <v>0</v>
      </c>
      <c r="R1582" s="23">
        <f>Parameters!P792</f>
        <v>0</v>
      </c>
      <c r="S1582" s="23">
        <f>Parameters!Q792</f>
        <v>0</v>
      </c>
      <c r="T1582" s="23">
        <f>Parameters!R792</f>
        <v>0</v>
      </c>
      <c r="U1582" s="27">
        <f>Parameters!S792</f>
        <v>0</v>
      </c>
      <c r="V1582" s="28">
        <f>Parameters!T792</f>
        <v>0</v>
      </c>
      <c r="W1582" s="27">
        <f>Parameters!U792</f>
        <v>0</v>
      </c>
      <c r="X1582" s="28">
        <f>Parameters!V792</f>
        <v>0</v>
      </c>
      <c r="Y1582" s="25">
        <f>Parameters!W792</f>
        <v>0</v>
      </c>
      <c r="Z1582" s="23">
        <f>Parameters!X792</f>
        <v>0</v>
      </c>
      <c r="AA1582" s="27">
        <f>Parameters!Y792</f>
        <v>0</v>
      </c>
      <c r="AB1582" s="28">
        <f>Parameters!Z792</f>
        <v>0</v>
      </c>
      <c r="AC1582" s="23">
        <f>Parameters!AA792</f>
        <v>0</v>
      </c>
    </row>
    <row r="1583" spans="1:29">
      <c r="A1583" s="29" t="str">
        <f>UPPER(A1582)</f>
        <v>0</v>
      </c>
      <c r="B1583" s="29">
        <f>B1582</f>
        <v>0</v>
      </c>
      <c r="C1583" s="30">
        <f>C1582</f>
        <v>0</v>
      </c>
      <c r="D1583" s="30">
        <f>D1582</f>
        <v>0</v>
      </c>
      <c r="E1583" s="29">
        <f>E1582</f>
        <v>0</v>
      </c>
      <c r="F1583" s="29">
        <f>F1582</f>
        <v>0</v>
      </c>
      <c r="G1583" s="29" t="e">
        <f>IF(C1582=1,IF(D1582="BUY",E1582+(ROUND(F1582*G1582/B1582,0)*B1582),E1582-(ROUND(F1582*G1582/B1582,0)*B1582)),IF(D1582="BUY",E1582-(ROUND(F1582*G1582/B1582,0)*B1582),E1582+(ROUND(F1582*G1582/B1582,0)*B1582)))</f>
        <v>#DIV/0!</v>
      </c>
      <c r="H1583" s="29" t="e">
        <f>IF(C1582=1,IF(D1582="BUY",G1583-(ROUND(F1582*H1582/B1582,0)*B1582),G1583+(ROUND(F1582*H1582/B1582,0)*B1582)),IF(D1582="BUY",G1583+(ROUND(F1582*H1582/B1582,0)*B1582),G1583-(ROUND(F1582*H1582/B1582,0)*B1582)))</f>
        <v>#DIV/0!</v>
      </c>
      <c r="I1583" s="29" t="e">
        <f>IF(D1582="BUY",G1583+(ROUND(F1582*I1582/(B1582*100),0)*B1582),G1583-(ROUND(F1582*I1582/(B1582*100),0)*B1582))</f>
        <v>#DIV/0!</v>
      </c>
      <c r="J1583" s="29" t="e">
        <f>IF(C1582=1,IF(D1582="BUY",E1582+(ROUND(F1582*J1582/B1582,0)*B1582),E1582-(ROUND(F1582*J1582/B1582,0)*B1582)),IF(D1582="BUY",E1582-(ROUND(F1582*J1582/B1582,0)*B1582),E1582+(ROUND(F1582*J1582/B1582,0)*B1582)))</f>
        <v>#DIV/0!</v>
      </c>
      <c r="K1583" s="29" t="e">
        <f>IF(C1582=1,IF(D1582="BUY",E1582-(ROUND(F1582*K1582/B1582,0)*B1582),E1582+(ROUND(F1582*K1582/B1582,0)*B1582)),IF(D1582="BUY",E1582-(ROUND(F1582*K1582/B1582,0)*B1582),E1582+(ROUND(F1582*K1582/B1582,0)*B1582)))</f>
        <v>#DIV/0!</v>
      </c>
      <c r="L1583" s="29" t="e">
        <f t="shared" ref="L1583" si="2369">IF(D1583="BUY",I1583+(R1583*B1583),I1583-(R1583*B1583))</f>
        <v>#DIV/0!</v>
      </c>
      <c r="M1583" s="29" t="e">
        <f>IF(D1582="BUY",E1582+(ROUND(F1582*M1582/B1582,0)*B1582),E1582-(ROUND(F1582*M1582/B1582,0)*B1582))</f>
        <v>#DIV/0!</v>
      </c>
      <c r="N1583" s="29" t="e">
        <f>IF(D1582="BUY",E1582-(ROUND(F1582*N1582/B1582,0)*B1582),E1582+(ROUND(F1582*N1582/B1582,0)*B1582))</f>
        <v>#DIV/0!</v>
      </c>
      <c r="O1583" s="31" t="e">
        <f>IF(D1583="BUY",N1583-VLOOKUP(A1583,Symbols!A$1:D$1000,4,FALSE),N1583+VLOOKUP(A1583,Symbols!A$1:D$1000,4,FALSE))</f>
        <v>#DIV/0!</v>
      </c>
      <c r="P1583" s="29">
        <f>P1582</f>
        <v>0</v>
      </c>
      <c r="Q1583" s="29">
        <f>Q1582</f>
        <v>0</v>
      </c>
      <c r="R1583" s="29">
        <f>R1582</f>
        <v>0</v>
      </c>
      <c r="S1583" s="29">
        <f>S1582</f>
        <v>0</v>
      </c>
      <c r="T1583" s="29">
        <f>T1582</f>
        <v>0</v>
      </c>
      <c r="U1583" s="29" t="e">
        <f>DATEDIF(DATE(1970,1,1),U1582,"D")*86400</f>
        <v>#NUM!</v>
      </c>
      <c r="V1583" s="29">
        <f>HOUR(V1582)*3600+MINUTE(V1582)*60+SECOND(V1582)</f>
        <v>0</v>
      </c>
      <c r="W1583" s="29" t="e">
        <f>DATEDIF(DATE(1970,1,1),W1582,"D")*86400</f>
        <v>#NUM!</v>
      </c>
      <c r="X1583" s="29">
        <f>HOUR(X1582)*3600+MINUTE(X1582)*60+SECOND(X1582)</f>
        <v>0</v>
      </c>
      <c r="Y1583" s="31">
        <f>(Y1582*B1583)</f>
        <v>0</v>
      </c>
      <c r="Z1583" s="29">
        <f>Z1582</f>
        <v>0</v>
      </c>
      <c r="AA1583" s="29" t="e">
        <f>DATEDIF(DATE(1970,1,1),AA1582,"D")*86400</f>
        <v>#NUM!</v>
      </c>
      <c r="AB1583" s="29">
        <f>HOUR(AB1582)*3600+MINUTE(AB1582)*60+SECOND(AB1582)</f>
        <v>0</v>
      </c>
      <c r="AC1583" s="29">
        <f>AC1582</f>
        <v>0</v>
      </c>
    </row>
    <row r="1584" spans="1:29">
      <c r="A1584" s="23">
        <f>Parameters!A793</f>
        <v>0</v>
      </c>
      <c r="B1584" s="23">
        <f>Parameters!B793</f>
        <v>0</v>
      </c>
      <c r="C1584" s="24">
        <f>Parameters!C793</f>
        <v>0</v>
      </c>
      <c r="D1584" s="24">
        <f>Parameters!D793</f>
        <v>0</v>
      </c>
      <c r="E1584" s="23">
        <f>Parameters!E793</f>
        <v>0</v>
      </c>
      <c r="F1584" s="23">
        <f>Parameters!F793</f>
        <v>0</v>
      </c>
      <c r="G1584" s="25">
        <f>Parameters!G793</f>
        <v>0</v>
      </c>
      <c r="H1584" s="25">
        <f>Parameters!H793</f>
        <v>0</v>
      </c>
      <c r="I1584" s="25">
        <f>Parameters!I793</f>
        <v>0</v>
      </c>
      <c r="J1584" s="25">
        <f>Parameters!J793</f>
        <v>0</v>
      </c>
      <c r="K1584" s="25">
        <f>Parameters!K793</f>
        <v>0</v>
      </c>
      <c r="L1584" s="26" t="e">
        <f t="shared" ref="L1584" si="2370">L1585</f>
        <v>#DIV/0!</v>
      </c>
      <c r="M1584" s="25">
        <f>Parameters!L793</f>
        <v>0</v>
      </c>
      <c r="N1584" s="25">
        <f>Parameters!M793</f>
        <v>0</v>
      </c>
      <c r="O1584" s="26" t="e">
        <f t="shared" ref="O1584" si="2371">O1585</f>
        <v>#DIV/0!</v>
      </c>
      <c r="P1584" s="23">
        <f>Parameters!N793</f>
        <v>0</v>
      </c>
      <c r="Q1584" s="23">
        <f>Parameters!O793</f>
        <v>0</v>
      </c>
      <c r="R1584" s="23">
        <f>Parameters!P793</f>
        <v>0</v>
      </c>
      <c r="S1584" s="23">
        <f>Parameters!Q793</f>
        <v>0</v>
      </c>
      <c r="T1584" s="23">
        <f>Parameters!R793</f>
        <v>0</v>
      </c>
      <c r="U1584" s="27">
        <f>Parameters!S793</f>
        <v>0</v>
      </c>
      <c r="V1584" s="28">
        <f>Parameters!T793</f>
        <v>0</v>
      </c>
      <c r="W1584" s="27">
        <f>Parameters!U793</f>
        <v>0</v>
      </c>
      <c r="X1584" s="28">
        <f>Parameters!V793</f>
        <v>0</v>
      </c>
      <c r="Y1584" s="25">
        <f>Parameters!W793</f>
        <v>0</v>
      </c>
      <c r="Z1584" s="23">
        <f>Parameters!X793</f>
        <v>0</v>
      </c>
      <c r="AA1584" s="27">
        <f>Parameters!Y793</f>
        <v>0</v>
      </c>
      <c r="AB1584" s="28">
        <f>Parameters!Z793</f>
        <v>0</v>
      </c>
      <c r="AC1584" s="23">
        <f>Parameters!AA793</f>
        <v>0</v>
      </c>
    </row>
    <row r="1585" spans="1:29">
      <c r="A1585" s="29" t="str">
        <f>UPPER(A1584)</f>
        <v>0</v>
      </c>
      <c r="B1585" s="29">
        <f>B1584</f>
        <v>0</v>
      </c>
      <c r="C1585" s="30">
        <f>C1584</f>
        <v>0</v>
      </c>
      <c r="D1585" s="30">
        <f>D1584</f>
        <v>0</v>
      </c>
      <c r="E1585" s="29">
        <f>E1584</f>
        <v>0</v>
      </c>
      <c r="F1585" s="29">
        <f>F1584</f>
        <v>0</v>
      </c>
      <c r="G1585" s="29" t="e">
        <f>IF(C1584=1,IF(D1584="BUY",E1584+(ROUND(F1584*G1584/B1584,0)*B1584),E1584-(ROUND(F1584*G1584/B1584,0)*B1584)),IF(D1584="BUY",E1584-(ROUND(F1584*G1584/B1584,0)*B1584),E1584+(ROUND(F1584*G1584/B1584,0)*B1584)))</f>
        <v>#DIV/0!</v>
      </c>
      <c r="H1585" s="29" t="e">
        <f>IF(C1584=1,IF(D1584="BUY",G1585-(ROUND(F1584*H1584/B1584,0)*B1584),G1585+(ROUND(F1584*H1584/B1584,0)*B1584)),IF(D1584="BUY",G1585+(ROUND(F1584*H1584/B1584,0)*B1584),G1585-(ROUND(F1584*H1584/B1584,0)*B1584)))</f>
        <v>#DIV/0!</v>
      </c>
      <c r="I1585" s="29" t="e">
        <f>IF(D1584="BUY",G1585+(ROUND(F1584*I1584/(B1584*100),0)*B1584),G1585-(ROUND(F1584*I1584/(B1584*100),0)*B1584))</f>
        <v>#DIV/0!</v>
      </c>
      <c r="J1585" s="29" t="e">
        <f>IF(C1584=1,IF(D1584="BUY",E1584+(ROUND(F1584*J1584/B1584,0)*B1584),E1584-(ROUND(F1584*J1584/B1584,0)*B1584)),IF(D1584="BUY",E1584-(ROUND(F1584*J1584/B1584,0)*B1584),E1584+(ROUND(F1584*J1584/B1584,0)*B1584)))</f>
        <v>#DIV/0!</v>
      </c>
      <c r="K1585" s="29" t="e">
        <f>IF(C1584=1,IF(D1584="BUY",E1584-(ROUND(F1584*K1584/B1584,0)*B1584),E1584+(ROUND(F1584*K1584/B1584,0)*B1584)),IF(D1584="BUY",E1584-(ROUND(F1584*K1584/B1584,0)*B1584),E1584+(ROUND(F1584*K1584/B1584,0)*B1584)))</f>
        <v>#DIV/0!</v>
      </c>
      <c r="L1585" s="29" t="e">
        <f t="shared" ref="L1585" si="2372">IF(D1585="BUY",I1585+(R1585*B1585),I1585-(R1585*B1585))</f>
        <v>#DIV/0!</v>
      </c>
      <c r="M1585" s="29" t="e">
        <f>IF(D1584="BUY",E1584+(ROUND(F1584*M1584/B1584,0)*B1584),E1584-(ROUND(F1584*M1584/B1584,0)*B1584))</f>
        <v>#DIV/0!</v>
      </c>
      <c r="N1585" s="29" t="e">
        <f>IF(D1584="BUY",E1584-(ROUND(F1584*N1584/B1584,0)*B1584),E1584+(ROUND(F1584*N1584/B1584,0)*B1584))</f>
        <v>#DIV/0!</v>
      </c>
      <c r="O1585" s="31" t="e">
        <f>IF(D1585="BUY",N1585-VLOOKUP(A1585,Symbols!A$1:D$1000,4,FALSE),N1585+VLOOKUP(A1585,Symbols!A$1:D$1000,4,FALSE))</f>
        <v>#DIV/0!</v>
      </c>
      <c r="P1585" s="29">
        <f>P1584</f>
        <v>0</v>
      </c>
      <c r="Q1585" s="29">
        <f>Q1584</f>
        <v>0</v>
      </c>
      <c r="R1585" s="29">
        <f>R1584</f>
        <v>0</v>
      </c>
      <c r="S1585" s="29">
        <f>S1584</f>
        <v>0</v>
      </c>
      <c r="T1585" s="29">
        <f>T1584</f>
        <v>0</v>
      </c>
      <c r="U1585" s="29" t="e">
        <f>DATEDIF(DATE(1970,1,1),U1584,"D")*86400</f>
        <v>#NUM!</v>
      </c>
      <c r="V1585" s="29">
        <f>HOUR(V1584)*3600+MINUTE(V1584)*60+SECOND(V1584)</f>
        <v>0</v>
      </c>
      <c r="W1585" s="29" t="e">
        <f>DATEDIF(DATE(1970,1,1),W1584,"D")*86400</f>
        <v>#NUM!</v>
      </c>
      <c r="X1585" s="29">
        <f>HOUR(X1584)*3600+MINUTE(X1584)*60+SECOND(X1584)</f>
        <v>0</v>
      </c>
      <c r="Y1585" s="31">
        <f>(Y1584*B1585)</f>
        <v>0</v>
      </c>
      <c r="Z1585" s="29">
        <f>Z1584</f>
        <v>0</v>
      </c>
      <c r="AA1585" s="29" t="e">
        <f>DATEDIF(DATE(1970,1,1),AA1584,"D")*86400</f>
        <v>#NUM!</v>
      </c>
      <c r="AB1585" s="29">
        <f>HOUR(AB1584)*3600+MINUTE(AB1584)*60+SECOND(AB1584)</f>
        <v>0</v>
      </c>
      <c r="AC1585" s="29">
        <f>AC1584</f>
        <v>0</v>
      </c>
    </row>
    <row r="1586" spans="1:29">
      <c r="A1586" s="23">
        <f>Parameters!A794</f>
        <v>0</v>
      </c>
      <c r="B1586" s="23">
        <f>Parameters!B794</f>
        <v>0</v>
      </c>
      <c r="C1586" s="24">
        <f>Parameters!C794</f>
        <v>0</v>
      </c>
      <c r="D1586" s="24">
        <f>Parameters!D794</f>
        <v>0</v>
      </c>
      <c r="E1586" s="23">
        <f>Parameters!E794</f>
        <v>0</v>
      </c>
      <c r="F1586" s="23">
        <f>Parameters!F794</f>
        <v>0</v>
      </c>
      <c r="G1586" s="25">
        <f>Parameters!G794</f>
        <v>0</v>
      </c>
      <c r="H1586" s="25">
        <f>Parameters!H794</f>
        <v>0</v>
      </c>
      <c r="I1586" s="25">
        <f>Parameters!I794</f>
        <v>0</v>
      </c>
      <c r="J1586" s="25">
        <f>Parameters!J794</f>
        <v>0</v>
      </c>
      <c r="K1586" s="25">
        <f>Parameters!K794</f>
        <v>0</v>
      </c>
      <c r="L1586" s="26" t="e">
        <f t="shared" ref="L1586" si="2373">L1587</f>
        <v>#DIV/0!</v>
      </c>
      <c r="M1586" s="25">
        <f>Parameters!L794</f>
        <v>0</v>
      </c>
      <c r="N1586" s="25">
        <f>Parameters!M794</f>
        <v>0</v>
      </c>
      <c r="O1586" s="26" t="e">
        <f t="shared" ref="O1586" si="2374">O1587</f>
        <v>#DIV/0!</v>
      </c>
      <c r="P1586" s="23">
        <f>Parameters!N794</f>
        <v>0</v>
      </c>
      <c r="Q1586" s="23">
        <f>Parameters!O794</f>
        <v>0</v>
      </c>
      <c r="R1586" s="23">
        <f>Parameters!P794</f>
        <v>0</v>
      </c>
      <c r="S1586" s="23">
        <f>Parameters!Q794</f>
        <v>0</v>
      </c>
      <c r="T1586" s="23">
        <f>Parameters!R794</f>
        <v>0</v>
      </c>
      <c r="U1586" s="27">
        <f>Parameters!S794</f>
        <v>0</v>
      </c>
      <c r="V1586" s="28">
        <f>Parameters!T794</f>
        <v>0</v>
      </c>
      <c r="W1586" s="27">
        <f>Parameters!U794</f>
        <v>0</v>
      </c>
      <c r="X1586" s="28">
        <f>Parameters!V794</f>
        <v>0</v>
      </c>
      <c r="Y1586" s="25">
        <f>Parameters!W794</f>
        <v>0</v>
      </c>
      <c r="Z1586" s="23">
        <f>Parameters!X794</f>
        <v>0</v>
      </c>
      <c r="AA1586" s="27">
        <f>Parameters!Y794</f>
        <v>0</v>
      </c>
      <c r="AB1586" s="28">
        <f>Parameters!Z794</f>
        <v>0</v>
      </c>
      <c r="AC1586" s="23">
        <f>Parameters!AA794</f>
        <v>0</v>
      </c>
    </row>
    <row r="1587" spans="1:29">
      <c r="A1587" s="29" t="str">
        <f>UPPER(A1586)</f>
        <v>0</v>
      </c>
      <c r="B1587" s="29">
        <f>B1586</f>
        <v>0</v>
      </c>
      <c r="C1587" s="30">
        <f>C1586</f>
        <v>0</v>
      </c>
      <c r="D1587" s="30">
        <f>D1586</f>
        <v>0</v>
      </c>
      <c r="E1587" s="29">
        <f>E1586</f>
        <v>0</v>
      </c>
      <c r="F1587" s="29">
        <f>F1586</f>
        <v>0</v>
      </c>
      <c r="G1587" s="29" t="e">
        <f>IF(C1586=1,IF(D1586="BUY",E1586+(ROUND(F1586*G1586/B1586,0)*B1586),E1586-(ROUND(F1586*G1586/B1586,0)*B1586)),IF(D1586="BUY",E1586-(ROUND(F1586*G1586/B1586,0)*B1586),E1586+(ROUND(F1586*G1586/B1586,0)*B1586)))</f>
        <v>#DIV/0!</v>
      </c>
      <c r="H1587" s="29" t="e">
        <f>IF(C1586=1,IF(D1586="BUY",G1587-(ROUND(F1586*H1586/B1586,0)*B1586),G1587+(ROUND(F1586*H1586/B1586,0)*B1586)),IF(D1586="BUY",G1587+(ROUND(F1586*H1586/B1586,0)*B1586),G1587-(ROUND(F1586*H1586/B1586,0)*B1586)))</f>
        <v>#DIV/0!</v>
      </c>
      <c r="I1587" s="29" t="e">
        <f>IF(D1586="BUY",G1587+(ROUND(F1586*I1586/(B1586*100),0)*B1586),G1587-(ROUND(F1586*I1586/(B1586*100),0)*B1586))</f>
        <v>#DIV/0!</v>
      </c>
      <c r="J1587" s="29" t="e">
        <f>IF(C1586=1,IF(D1586="BUY",E1586+(ROUND(F1586*J1586/B1586,0)*B1586),E1586-(ROUND(F1586*J1586/B1586,0)*B1586)),IF(D1586="BUY",E1586-(ROUND(F1586*J1586/B1586,0)*B1586),E1586+(ROUND(F1586*J1586/B1586,0)*B1586)))</f>
        <v>#DIV/0!</v>
      </c>
      <c r="K1587" s="29" t="e">
        <f>IF(C1586=1,IF(D1586="BUY",E1586-(ROUND(F1586*K1586/B1586,0)*B1586),E1586+(ROUND(F1586*K1586/B1586,0)*B1586)),IF(D1586="BUY",E1586-(ROUND(F1586*K1586/B1586,0)*B1586),E1586+(ROUND(F1586*K1586/B1586,0)*B1586)))</f>
        <v>#DIV/0!</v>
      </c>
      <c r="L1587" s="29" t="e">
        <f t="shared" ref="L1587" si="2375">IF(D1587="BUY",I1587+(R1587*B1587),I1587-(R1587*B1587))</f>
        <v>#DIV/0!</v>
      </c>
      <c r="M1587" s="29" t="e">
        <f>IF(D1586="BUY",E1586+(ROUND(F1586*M1586/B1586,0)*B1586),E1586-(ROUND(F1586*M1586/B1586,0)*B1586))</f>
        <v>#DIV/0!</v>
      </c>
      <c r="N1587" s="29" t="e">
        <f>IF(D1586="BUY",E1586-(ROUND(F1586*N1586/B1586,0)*B1586),E1586+(ROUND(F1586*N1586/B1586,0)*B1586))</f>
        <v>#DIV/0!</v>
      </c>
      <c r="O1587" s="31" t="e">
        <f>IF(D1587="BUY",N1587-VLOOKUP(A1587,Symbols!A$1:D$1000,4,FALSE),N1587+VLOOKUP(A1587,Symbols!A$1:D$1000,4,FALSE))</f>
        <v>#DIV/0!</v>
      </c>
      <c r="P1587" s="29">
        <f>P1586</f>
        <v>0</v>
      </c>
      <c r="Q1587" s="29">
        <f>Q1586</f>
        <v>0</v>
      </c>
      <c r="R1587" s="29">
        <f>R1586</f>
        <v>0</v>
      </c>
      <c r="S1587" s="29">
        <f>S1586</f>
        <v>0</v>
      </c>
      <c r="T1587" s="29">
        <f>T1586</f>
        <v>0</v>
      </c>
      <c r="U1587" s="29" t="e">
        <f>DATEDIF(DATE(1970,1,1),U1586,"D")*86400</f>
        <v>#NUM!</v>
      </c>
      <c r="V1587" s="29">
        <f>HOUR(V1586)*3600+MINUTE(V1586)*60+SECOND(V1586)</f>
        <v>0</v>
      </c>
      <c r="W1587" s="29" t="e">
        <f>DATEDIF(DATE(1970,1,1),W1586,"D")*86400</f>
        <v>#NUM!</v>
      </c>
      <c r="X1587" s="29">
        <f>HOUR(X1586)*3600+MINUTE(X1586)*60+SECOND(X1586)</f>
        <v>0</v>
      </c>
      <c r="Y1587" s="31">
        <f>(Y1586*B1587)</f>
        <v>0</v>
      </c>
      <c r="Z1587" s="29">
        <f>Z1586</f>
        <v>0</v>
      </c>
      <c r="AA1587" s="29" t="e">
        <f>DATEDIF(DATE(1970,1,1),AA1586,"D")*86400</f>
        <v>#NUM!</v>
      </c>
      <c r="AB1587" s="29">
        <f>HOUR(AB1586)*3600+MINUTE(AB1586)*60+SECOND(AB1586)</f>
        <v>0</v>
      </c>
      <c r="AC1587" s="29">
        <f>AC1586</f>
        <v>0</v>
      </c>
    </row>
    <row r="1588" spans="1:29">
      <c r="A1588" s="23">
        <f>Parameters!A795</f>
        <v>0</v>
      </c>
      <c r="B1588" s="23">
        <f>Parameters!B795</f>
        <v>0</v>
      </c>
      <c r="C1588" s="24">
        <f>Parameters!C795</f>
        <v>0</v>
      </c>
      <c r="D1588" s="24">
        <f>Parameters!D795</f>
        <v>0</v>
      </c>
      <c r="E1588" s="23">
        <f>Parameters!E795</f>
        <v>0</v>
      </c>
      <c r="F1588" s="23">
        <f>Parameters!F795</f>
        <v>0</v>
      </c>
      <c r="G1588" s="25">
        <f>Parameters!G795</f>
        <v>0</v>
      </c>
      <c r="H1588" s="25">
        <f>Parameters!H795</f>
        <v>0</v>
      </c>
      <c r="I1588" s="25">
        <f>Parameters!I795</f>
        <v>0</v>
      </c>
      <c r="J1588" s="25">
        <f>Parameters!J795</f>
        <v>0</v>
      </c>
      <c r="K1588" s="25">
        <f>Parameters!K795</f>
        <v>0</v>
      </c>
      <c r="L1588" s="26" t="e">
        <f t="shared" ref="L1588" si="2376">L1589</f>
        <v>#DIV/0!</v>
      </c>
      <c r="M1588" s="25">
        <f>Parameters!L795</f>
        <v>0</v>
      </c>
      <c r="N1588" s="25">
        <f>Parameters!M795</f>
        <v>0</v>
      </c>
      <c r="O1588" s="26" t="e">
        <f t="shared" ref="O1588" si="2377">O1589</f>
        <v>#DIV/0!</v>
      </c>
      <c r="P1588" s="23">
        <f>Parameters!N795</f>
        <v>0</v>
      </c>
      <c r="Q1588" s="23">
        <f>Parameters!O795</f>
        <v>0</v>
      </c>
      <c r="R1588" s="23">
        <f>Parameters!P795</f>
        <v>0</v>
      </c>
      <c r="S1588" s="23">
        <f>Parameters!Q795</f>
        <v>0</v>
      </c>
      <c r="T1588" s="23">
        <f>Parameters!R795</f>
        <v>0</v>
      </c>
      <c r="U1588" s="27">
        <f>Parameters!S795</f>
        <v>0</v>
      </c>
      <c r="V1588" s="28">
        <f>Parameters!T795</f>
        <v>0</v>
      </c>
      <c r="W1588" s="27">
        <f>Parameters!U795</f>
        <v>0</v>
      </c>
      <c r="X1588" s="28">
        <f>Parameters!V795</f>
        <v>0</v>
      </c>
      <c r="Y1588" s="25">
        <f>Parameters!W795</f>
        <v>0</v>
      </c>
      <c r="Z1588" s="23">
        <f>Parameters!X795</f>
        <v>0</v>
      </c>
      <c r="AA1588" s="27">
        <f>Parameters!Y795</f>
        <v>0</v>
      </c>
      <c r="AB1588" s="28">
        <f>Parameters!Z795</f>
        <v>0</v>
      </c>
      <c r="AC1588" s="23">
        <f>Parameters!AA795</f>
        <v>0</v>
      </c>
    </row>
    <row r="1589" spans="1:29">
      <c r="A1589" s="29" t="str">
        <f>UPPER(A1588)</f>
        <v>0</v>
      </c>
      <c r="B1589" s="29">
        <f>B1588</f>
        <v>0</v>
      </c>
      <c r="C1589" s="30">
        <f>C1588</f>
        <v>0</v>
      </c>
      <c r="D1589" s="30">
        <f>D1588</f>
        <v>0</v>
      </c>
      <c r="E1589" s="29">
        <f>E1588</f>
        <v>0</v>
      </c>
      <c r="F1589" s="29">
        <f>F1588</f>
        <v>0</v>
      </c>
      <c r="G1589" s="29" t="e">
        <f>IF(C1588=1,IF(D1588="BUY",E1588+(ROUND(F1588*G1588/B1588,0)*B1588),E1588-(ROUND(F1588*G1588/B1588,0)*B1588)),IF(D1588="BUY",E1588-(ROUND(F1588*G1588/B1588,0)*B1588),E1588+(ROUND(F1588*G1588/B1588,0)*B1588)))</f>
        <v>#DIV/0!</v>
      </c>
      <c r="H1589" s="29" t="e">
        <f>IF(C1588=1,IF(D1588="BUY",G1589-(ROUND(F1588*H1588/B1588,0)*B1588),G1589+(ROUND(F1588*H1588/B1588,0)*B1588)),IF(D1588="BUY",G1589+(ROUND(F1588*H1588/B1588,0)*B1588),G1589-(ROUND(F1588*H1588/B1588,0)*B1588)))</f>
        <v>#DIV/0!</v>
      </c>
      <c r="I1589" s="29" t="e">
        <f>IF(D1588="BUY",G1589+(ROUND(F1588*I1588/(B1588*100),0)*B1588),G1589-(ROUND(F1588*I1588/(B1588*100),0)*B1588))</f>
        <v>#DIV/0!</v>
      </c>
      <c r="J1589" s="29" t="e">
        <f>IF(C1588=1,IF(D1588="BUY",E1588+(ROUND(F1588*J1588/B1588,0)*B1588),E1588-(ROUND(F1588*J1588/B1588,0)*B1588)),IF(D1588="BUY",E1588-(ROUND(F1588*J1588/B1588,0)*B1588),E1588+(ROUND(F1588*J1588/B1588,0)*B1588)))</f>
        <v>#DIV/0!</v>
      </c>
      <c r="K1589" s="29" t="e">
        <f>IF(C1588=1,IF(D1588="BUY",E1588-(ROUND(F1588*K1588/B1588,0)*B1588),E1588+(ROUND(F1588*K1588/B1588,0)*B1588)),IF(D1588="BUY",E1588-(ROUND(F1588*K1588/B1588,0)*B1588),E1588+(ROUND(F1588*K1588/B1588,0)*B1588)))</f>
        <v>#DIV/0!</v>
      </c>
      <c r="L1589" s="29" t="e">
        <f t="shared" ref="L1589" si="2378">IF(D1589="BUY",I1589+(R1589*B1589),I1589-(R1589*B1589))</f>
        <v>#DIV/0!</v>
      </c>
      <c r="M1589" s="29" t="e">
        <f>IF(D1588="BUY",E1588+(ROUND(F1588*M1588/B1588,0)*B1588),E1588-(ROUND(F1588*M1588/B1588,0)*B1588))</f>
        <v>#DIV/0!</v>
      </c>
      <c r="N1589" s="29" t="e">
        <f>IF(D1588="BUY",E1588-(ROUND(F1588*N1588/B1588,0)*B1588),E1588+(ROUND(F1588*N1588/B1588,0)*B1588))</f>
        <v>#DIV/0!</v>
      </c>
      <c r="O1589" s="31" t="e">
        <f>IF(D1589="BUY",N1589-VLOOKUP(A1589,Symbols!A$1:D$1000,4,FALSE),N1589+VLOOKUP(A1589,Symbols!A$1:D$1000,4,FALSE))</f>
        <v>#DIV/0!</v>
      </c>
      <c r="P1589" s="29">
        <f>P1588</f>
        <v>0</v>
      </c>
      <c r="Q1589" s="29">
        <f>Q1588</f>
        <v>0</v>
      </c>
      <c r="R1589" s="29">
        <f>R1588</f>
        <v>0</v>
      </c>
      <c r="S1589" s="29">
        <f>S1588</f>
        <v>0</v>
      </c>
      <c r="T1589" s="29">
        <f>T1588</f>
        <v>0</v>
      </c>
      <c r="U1589" s="29" t="e">
        <f>DATEDIF(DATE(1970,1,1),U1588,"D")*86400</f>
        <v>#NUM!</v>
      </c>
      <c r="V1589" s="29">
        <f>HOUR(V1588)*3600+MINUTE(V1588)*60+SECOND(V1588)</f>
        <v>0</v>
      </c>
      <c r="W1589" s="29" t="e">
        <f>DATEDIF(DATE(1970,1,1),W1588,"D")*86400</f>
        <v>#NUM!</v>
      </c>
      <c r="X1589" s="29">
        <f>HOUR(X1588)*3600+MINUTE(X1588)*60+SECOND(X1588)</f>
        <v>0</v>
      </c>
      <c r="Y1589" s="31">
        <f>(Y1588*B1589)</f>
        <v>0</v>
      </c>
      <c r="Z1589" s="29">
        <f>Z1588</f>
        <v>0</v>
      </c>
      <c r="AA1589" s="29" t="e">
        <f>DATEDIF(DATE(1970,1,1),AA1588,"D")*86400</f>
        <v>#NUM!</v>
      </c>
      <c r="AB1589" s="29">
        <f>HOUR(AB1588)*3600+MINUTE(AB1588)*60+SECOND(AB1588)</f>
        <v>0</v>
      </c>
      <c r="AC1589" s="29">
        <f>AC1588</f>
        <v>0</v>
      </c>
    </row>
    <row r="1590" spans="1:29">
      <c r="A1590" s="23">
        <f>Parameters!A796</f>
        <v>0</v>
      </c>
      <c r="B1590" s="23">
        <f>Parameters!B796</f>
        <v>0</v>
      </c>
      <c r="C1590" s="24">
        <f>Parameters!C796</f>
        <v>0</v>
      </c>
      <c r="D1590" s="24">
        <f>Parameters!D796</f>
        <v>0</v>
      </c>
      <c r="E1590" s="23">
        <f>Parameters!E796</f>
        <v>0</v>
      </c>
      <c r="F1590" s="23">
        <f>Parameters!F796</f>
        <v>0</v>
      </c>
      <c r="G1590" s="25">
        <f>Parameters!G796</f>
        <v>0</v>
      </c>
      <c r="H1590" s="25">
        <f>Parameters!H796</f>
        <v>0</v>
      </c>
      <c r="I1590" s="25">
        <f>Parameters!I796</f>
        <v>0</v>
      </c>
      <c r="J1590" s="25">
        <f>Parameters!J796</f>
        <v>0</v>
      </c>
      <c r="K1590" s="25">
        <f>Parameters!K796</f>
        <v>0</v>
      </c>
      <c r="L1590" s="26" t="e">
        <f t="shared" ref="L1590" si="2379">L1591</f>
        <v>#DIV/0!</v>
      </c>
      <c r="M1590" s="25">
        <f>Parameters!L796</f>
        <v>0</v>
      </c>
      <c r="N1590" s="25">
        <f>Parameters!M796</f>
        <v>0</v>
      </c>
      <c r="O1590" s="26" t="e">
        <f t="shared" ref="O1590" si="2380">O1591</f>
        <v>#DIV/0!</v>
      </c>
      <c r="P1590" s="23">
        <f>Parameters!N796</f>
        <v>0</v>
      </c>
      <c r="Q1590" s="23">
        <f>Parameters!O796</f>
        <v>0</v>
      </c>
      <c r="R1590" s="23">
        <f>Parameters!P796</f>
        <v>0</v>
      </c>
      <c r="S1590" s="23">
        <f>Parameters!Q796</f>
        <v>0</v>
      </c>
      <c r="T1590" s="23">
        <f>Parameters!R796</f>
        <v>0</v>
      </c>
      <c r="U1590" s="27">
        <f>Parameters!S796</f>
        <v>0</v>
      </c>
      <c r="V1590" s="28">
        <f>Parameters!T796</f>
        <v>0</v>
      </c>
      <c r="W1590" s="27">
        <f>Parameters!U796</f>
        <v>0</v>
      </c>
      <c r="X1590" s="28">
        <f>Parameters!V796</f>
        <v>0</v>
      </c>
      <c r="Y1590" s="25">
        <f>Parameters!W796</f>
        <v>0</v>
      </c>
      <c r="Z1590" s="23">
        <f>Parameters!X796</f>
        <v>0</v>
      </c>
      <c r="AA1590" s="27">
        <f>Parameters!Y796</f>
        <v>0</v>
      </c>
      <c r="AB1590" s="28">
        <f>Parameters!Z796</f>
        <v>0</v>
      </c>
      <c r="AC1590" s="23">
        <f>Parameters!AA796</f>
        <v>0</v>
      </c>
    </row>
    <row r="1591" spans="1:29">
      <c r="A1591" s="29" t="str">
        <f>UPPER(A1590)</f>
        <v>0</v>
      </c>
      <c r="B1591" s="29">
        <f>B1590</f>
        <v>0</v>
      </c>
      <c r="C1591" s="30">
        <f>C1590</f>
        <v>0</v>
      </c>
      <c r="D1591" s="30">
        <f>D1590</f>
        <v>0</v>
      </c>
      <c r="E1591" s="29">
        <f>E1590</f>
        <v>0</v>
      </c>
      <c r="F1591" s="29">
        <f>F1590</f>
        <v>0</v>
      </c>
      <c r="G1591" s="29" t="e">
        <f>IF(C1590=1,IF(D1590="BUY",E1590+(ROUND(F1590*G1590/B1590,0)*B1590),E1590-(ROUND(F1590*G1590/B1590,0)*B1590)),IF(D1590="BUY",E1590-(ROUND(F1590*G1590/B1590,0)*B1590),E1590+(ROUND(F1590*G1590/B1590,0)*B1590)))</f>
        <v>#DIV/0!</v>
      </c>
      <c r="H1591" s="29" t="e">
        <f>IF(C1590=1,IF(D1590="BUY",G1591-(ROUND(F1590*H1590/B1590,0)*B1590),G1591+(ROUND(F1590*H1590/B1590,0)*B1590)),IF(D1590="BUY",G1591+(ROUND(F1590*H1590/B1590,0)*B1590),G1591-(ROUND(F1590*H1590/B1590,0)*B1590)))</f>
        <v>#DIV/0!</v>
      </c>
      <c r="I1591" s="29" t="e">
        <f>IF(D1590="BUY",G1591+(ROUND(F1590*I1590/(B1590*100),0)*B1590),G1591-(ROUND(F1590*I1590/(B1590*100),0)*B1590))</f>
        <v>#DIV/0!</v>
      </c>
      <c r="J1591" s="29" t="e">
        <f>IF(C1590=1,IF(D1590="BUY",E1590+(ROUND(F1590*J1590/B1590,0)*B1590),E1590-(ROUND(F1590*J1590/B1590,0)*B1590)),IF(D1590="BUY",E1590-(ROUND(F1590*J1590/B1590,0)*B1590),E1590+(ROUND(F1590*J1590/B1590,0)*B1590)))</f>
        <v>#DIV/0!</v>
      </c>
      <c r="K1591" s="29" t="e">
        <f>IF(C1590=1,IF(D1590="BUY",E1590-(ROUND(F1590*K1590/B1590,0)*B1590),E1590+(ROUND(F1590*K1590/B1590,0)*B1590)),IF(D1590="BUY",E1590-(ROUND(F1590*K1590/B1590,0)*B1590),E1590+(ROUND(F1590*K1590/B1590,0)*B1590)))</f>
        <v>#DIV/0!</v>
      </c>
      <c r="L1591" s="29" t="e">
        <f t="shared" ref="L1591" si="2381">IF(D1591="BUY",I1591+(R1591*B1591),I1591-(R1591*B1591))</f>
        <v>#DIV/0!</v>
      </c>
      <c r="M1591" s="29" t="e">
        <f>IF(D1590="BUY",E1590+(ROUND(F1590*M1590/B1590,0)*B1590),E1590-(ROUND(F1590*M1590/B1590,0)*B1590))</f>
        <v>#DIV/0!</v>
      </c>
      <c r="N1591" s="29" t="e">
        <f>IF(D1590="BUY",E1590-(ROUND(F1590*N1590/B1590,0)*B1590),E1590+(ROUND(F1590*N1590/B1590,0)*B1590))</f>
        <v>#DIV/0!</v>
      </c>
      <c r="O1591" s="31" t="e">
        <f>IF(D1591="BUY",N1591-VLOOKUP(A1591,Symbols!A$1:D$1000,4,FALSE),N1591+VLOOKUP(A1591,Symbols!A$1:D$1000,4,FALSE))</f>
        <v>#DIV/0!</v>
      </c>
      <c r="P1591" s="29">
        <f>P1590</f>
        <v>0</v>
      </c>
      <c r="Q1591" s="29">
        <f>Q1590</f>
        <v>0</v>
      </c>
      <c r="R1591" s="29">
        <f>R1590</f>
        <v>0</v>
      </c>
      <c r="S1591" s="29">
        <f>S1590</f>
        <v>0</v>
      </c>
      <c r="T1591" s="29">
        <f>T1590</f>
        <v>0</v>
      </c>
      <c r="U1591" s="29" t="e">
        <f>DATEDIF(DATE(1970,1,1),U1590,"D")*86400</f>
        <v>#NUM!</v>
      </c>
      <c r="V1591" s="29">
        <f>HOUR(V1590)*3600+MINUTE(V1590)*60+SECOND(V1590)</f>
        <v>0</v>
      </c>
      <c r="W1591" s="29" t="e">
        <f>DATEDIF(DATE(1970,1,1),W1590,"D")*86400</f>
        <v>#NUM!</v>
      </c>
      <c r="X1591" s="29">
        <f>HOUR(X1590)*3600+MINUTE(X1590)*60+SECOND(X1590)</f>
        <v>0</v>
      </c>
      <c r="Y1591" s="31">
        <f>(Y1590*B1591)</f>
        <v>0</v>
      </c>
      <c r="Z1591" s="29">
        <f>Z1590</f>
        <v>0</v>
      </c>
      <c r="AA1591" s="29" t="e">
        <f>DATEDIF(DATE(1970,1,1),AA1590,"D")*86400</f>
        <v>#NUM!</v>
      </c>
      <c r="AB1591" s="29">
        <f>HOUR(AB1590)*3600+MINUTE(AB1590)*60+SECOND(AB1590)</f>
        <v>0</v>
      </c>
      <c r="AC1591" s="29">
        <f>AC1590</f>
        <v>0</v>
      </c>
    </row>
    <row r="1592" spans="1:29">
      <c r="A1592" s="23">
        <f>Parameters!A797</f>
        <v>0</v>
      </c>
      <c r="B1592" s="23">
        <f>Parameters!B797</f>
        <v>0</v>
      </c>
      <c r="C1592" s="24">
        <f>Parameters!C797</f>
        <v>0</v>
      </c>
      <c r="D1592" s="24">
        <f>Parameters!D797</f>
        <v>0</v>
      </c>
      <c r="E1592" s="23">
        <f>Parameters!E797</f>
        <v>0</v>
      </c>
      <c r="F1592" s="23">
        <f>Parameters!F797</f>
        <v>0</v>
      </c>
      <c r="G1592" s="25">
        <f>Parameters!G797</f>
        <v>0</v>
      </c>
      <c r="H1592" s="25">
        <f>Parameters!H797</f>
        <v>0</v>
      </c>
      <c r="I1592" s="25">
        <f>Parameters!I797</f>
        <v>0</v>
      </c>
      <c r="J1592" s="25">
        <f>Parameters!J797</f>
        <v>0</v>
      </c>
      <c r="K1592" s="25">
        <f>Parameters!K797</f>
        <v>0</v>
      </c>
      <c r="L1592" s="26" t="e">
        <f t="shared" ref="L1592" si="2382">L1593</f>
        <v>#DIV/0!</v>
      </c>
      <c r="M1592" s="25">
        <f>Parameters!L797</f>
        <v>0</v>
      </c>
      <c r="N1592" s="25">
        <f>Parameters!M797</f>
        <v>0</v>
      </c>
      <c r="O1592" s="26" t="e">
        <f t="shared" ref="O1592" si="2383">O1593</f>
        <v>#DIV/0!</v>
      </c>
      <c r="P1592" s="23">
        <f>Parameters!N797</f>
        <v>0</v>
      </c>
      <c r="Q1592" s="23">
        <f>Parameters!O797</f>
        <v>0</v>
      </c>
      <c r="R1592" s="23">
        <f>Parameters!P797</f>
        <v>0</v>
      </c>
      <c r="S1592" s="23">
        <f>Parameters!Q797</f>
        <v>0</v>
      </c>
      <c r="T1592" s="23">
        <f>Parameters!R797</f>
        <v>0</v>
      </c>
      <c r="U1592" s="27">
        <f>Parameters!S797</f>
        <v>0</v>
      </c>
      <c r="V1592" s="28">
        <f>Parameters!T797</f>
        <v>0</v>
      </c>
      <c r="W1592" s="27">
        <f>Parameters!U797</f>
        <v>0</v>
      </c>
      <c r="X1592" s="28">
        <f>Parameters!V797</f>
        <v>0</v>
      </c>
      <c r="Y1592" s="25">
        <f>Parameters!W797</f>
        <v>0</v>
      </c>
      <c r="Z1592" s="23">
        <f>Parameters!X797</f>
        <v>0</v>
      </c>
      <c r="AA1592" s="27">
        <f>Parameters!Y797</f>
        <v>0</v>
      </c>
      <c r="AB1592" s="28">
        <f>Parameters!Z797</f>
        <v>0</v>
      </c>
      <c r="AC1592" s="23">
        <f>Parameters!AA797</f>
        <v>0</v>
      </c>
    </row>
    <row r="1593" spans="1:29">
      <c r="A1593" s="29" t="str">
        <f>UPPER(A1592)</f>
        <v>0</v>
      </c>
      <c r="B1593" s="29">
        <f>B1592</f>
        <v>0</v>
      </c>
      <c r="C1593" s="30">
        <f>C1592</f>
        <v>0</v>
      </c>
      <c r="D1593" s="30">
        <f>D1592</f>
        <v>0</v>
      </c>
      <c r="E1593" s="29">
        <f>E1592</f>
        <v>0</v>
      </c>
      <c r="F1593" s="29">
        <f>F1592</f>
        <v>0</v>
      </c>
      <c r="G1593" s="29" t="e">
        <f>IF(C1592=1,IF(D1592="BUY",E1592+(ROUND(F1592*G1592/B1592,0)*B1592),E1592-(ROUND(F1592*G1592/B1592,0)*B1592)),IF(D1592="BUY",E1592-(ROUND(F1592*G1592/B1592,0)*B1592),E1592+(ROUND(F1592*G1592/B1592,0)*B1592)))</f>
        <v>#DIV/0!</v>
      </c>
      <c r="H1593" s="29" t="e">
        <f>IF(C1592=1,IF(D1592="BUY",G1593-(ROUND(F1592*H1592/B1592,0)*B1592),G1593+(ROUND(F1592*H1592/B1592,0)*B1592)),IF(D1592="BUY",G1593+(ROUND(F1592*H1592/B1592,0)*B1592),G1593-(ROUND(F1592*H1592/B1592,0)*B1592)))</f>
        <v>#DIV/0!</v>
      </c>
      <c r="I1593" s="29" t="e">
        <f>IF(D1592="BUY",G1593+(ROUND(F1592*I1592/(B1592*100),0)*B1592),G1593-(ROUND(F1592*I1592/(B1592*100),0)*B1592))</f>
        <v>#DIV/0!</v>
      </c>
      <c r="J1593" s="29" t="e">
        <f>IF(C1592=1,IF(D1592="BUY",E1592+(ROUND(F1592*J1592/B1592,0)*B1592),E1592-(ROUND(F1592*J1592/B1592,0)*B1592)),IF(D1592="BUY",E1592-(ROUND(F1592*J1592/B1592,0)*B1592),E1592+(ROUND(F1592*J1592/B1592,0)*B1592)))</f>
        <v>#DIV/0!</v>
      </c>
      <c r="K1593" s="29" t="e">
        <f>IF(C1592=1,IF(D1592="BUY",E1592-(ROUND(F1592*K1592/B1592,0)*B1592),E1592+(ROUND(F1592*K1592/B1592,0)*B1592)),IF(D1592="BUY",E1592-(ROUND(F1592*K1592/B1592,0)*B1592),E1592+(ROUND(F1592*K1592/B1592,0)*B1592)))</f>
        <v>#DIV/0!</v>
      </c>
      <c r="L1593" s="29" t="e">
        <f t="shared" ref="L1593" si="2384">IF(D1593="BUY",I1593+(R1593*B1593),I1593-(R1593*B1593))</f>
        <v>#DIV/0!</v>
      </c>
      <c r="M1593" s="29" t="e">
        <f>IF(D1592="BUY",E1592+(ROUND(F1592*M1592/B1592,0)*B1592),E1592-(ROUND(F1592*M1592/B1592,0)*B1592))</f>
        <v>#DIV/0!</v>
      </c>
      <c r="N1593" s="29" t="e">
        <f>IF(D1592="BUY",E1592-(ROUND(F1592*N1592/B1592,0)*B1592),E1592+(ROUND(F1592*N1592/B1592,0)*B1592))</f>
        <v>#DIV/0!</v>
      </c>
      <c r="O1593" s="31" t="e">
        <f>IF(D1593="BUY",N1593-VLOOKUP(A1593,Symbols!A$1:D$1000,4,FALSE),N1593+VLOOKUP(A1593,Symbols!A$1:D$1000,4,FALSE))</f>
        <v>#DIV/0!</v>
      </c>
      <c r="P1593" s="29">
        <f>P1592</f>
        <v>0</v>
      </c>
      <c r="Q1593" s="29">
        <f>Q1592</f>
        <v>0</v>
      </c>
      <c r="R1593" s="29">
        <f>R1592</f>
        <v>0</v>
      </c>
      <c r="S1593" s="29">
        <f>S1592</f>
        <v>0</v>
      </c>
      <c r="T1593" s="29">
        <f>T1592</f>
        <v>0</v>
      </c>
      <c r="U1593" s="29" t="e">
        <f>DATEDIF(DATE(1970,1,1),U1592,"D")*86400</f>
        <v>#NUM!</v>
      </c>
      <c r="V1593" s="29">
        <f>HOUR(V1592)*3600+MINUTE(V1592)*60+SECOND(V1592)</f>
        <v>0</v>
      </c>
      <c r="W1593" s="29" t="e">
        <f>DATEDIF(DATE(1970,1,1),W1592,"D")*86400</f>
        <v>#NUM!</v>
      </c>
      <c r="X1593" s="29">
        <f>HOUR(X1592)*3600+MINUTE(X1592)*60+SECOND(X1592)</f>
        <v>0</v>
      </c>
      <c r="Y1593" s="31">
        <f>(Y1592*B1593)</f>
        <v>0</v>
      </c>
      <c r="Z1593" s="29">
        <f>Z1592</f>
        <v>0</v>
      </c>
      <c r="AA1593" s="29" t="e">
        <f>DATEDIF(DATE(1970,1,1),AA1592,"D")*86400</f>
        <v>#NUM!</v>
      </c>
      <c r="AB1593" s="29">
        <f>HOUR(AB1592)*3600+MINUTE(AB1592)*60+SECOND(AB1592)</f>
        <v>0</v>
      </c>
      <c r="AC1593" s="29">
        <f>AC1592</f>
        <v>0</v>
      </c>
    </row>
    <row r="1594" spans="1:29">
      <c r="A1594" s="23">
        <f>Parameters!A798</f>
        <v>0</v>
      </c>
      <c r="B1594" s="23">
        <f>Parameters!B798</f>
        <v>0</v>
      </c>
      <c r="C1594" s="24">
        <f>Parameters!C798</f>
        <v>0</v>
      </c>
      <c r="D1594" s="24">
        <f>Parameters!D798</f>
        <v>0</v>
      </c>
      <c r="E1594" s="23">
        <f>Parameters!E798</f>
        <v>0</v>
      </c>
      <c r="F1594" s="23">
        <f>Parameters!F798</f>
        <v>0</v>
      </c>
      <c r="G1594" s="25">
        <f>Parameters!G798</f>
        <v>0</v>
      </c>
      <c r="H1594" s="25">
        <f>Parameters!H798</f>
        <v>0</v>
      </c>
      <c r="I1594" s="25">
        <f>Parameters!I798</f>
        <v>0</v>
      </c>
      <c r="J1594" s="25">
        <f>Parameters!J798</f>
        <v>0</v>
      </c>
      <c r="K1594" s="25">
        <f>Parameters!K798</f>
        <v>0</v>
      </c>
      <c r="L1594" s="26" t="e">
        <f t="shared" ref="L1594" si="2385">L1595</f>
        <v>#DIV/0!</v>
      </c>
      <c r="M1594" s="25">
        <f>Parameters!L798</f>
        <v>0</v>
      </c>
      <c r="N1594" s="25">
        <f>Parameters!M798</f>
        <v>0</v>
      </c>
      <c r="O1594" s="26" t="e">
        <f t="shared" ref="O1594" si="2386">O1595</f>
        <v>#DIV/0!</v>
      </c>
      <c r="P1594" s="23">
        <f>Parameters!N798</f>
        <v>0</v>
      </c>
      <c r="Q1594" s="23">
        <f>Parameters!O798</f>
        <v>0</v>
      </c>
      <c r="R1594" s="23">
        <f>Parameters!P798</f>
        <v>0</v>
      </c>
      <c r="S1594" s="23">
        <f>Parameters!Q798</f>
        <v>0</v>
      </c>
      <c r="T1594" s="23">
        <f>Parameters!R798</f>
        <v>0</v>
      </c>
      <c r="U1594" s="27">
        <f>Parameters!S798</f>
        <v>0</v>
      </c>
      <c r="V1594" s="28">
        <f>Parameters!T798</f>
        <v>0</v>
      </c>
      <c r="W1594" s="27">
        <f>Parameters!U798</f>
        <v>0</v>
      </c>
      <c r="X1594" s="28">
        <f>Parameters!V798</f>
        <v>0</v>
      </c>
      <c r="Y1594" s="25">
        <f>Parameters!W798</f>
        <v>0</v>
      </c>
      <c r="Z1594" s="23">
        <f>Parameters!X798</f>
        <v>0</v>
      </c>
      <c r="AA1594" s="27">
        <f>Parameters!Y798</f>
        <v>0</v>
      </c>
      <c r="AB1594" s="28">
        <f>Parameters!Z798</f>
        <v>0</v>
      </c>
      <c r="AC1594" s="23">
        <f>Parameters!AA798</f>
        <v>0</v>
      </c>
    </row>
    <row r="1595" spans="1:29">
      <c r="A1595" s="29" t="str">
        <f>UPPER(A1594)</f>
        <v>0</v>
      </c>
      <c r="B1595" s="29">
        <f>B1594</f>
        <v>0</v>
      </c>
      <c r="C1595" s="30">
        <f>C1594</f>
        <v>0</v>
      </c>
      <c r="D1595" s="30">
        <f>D1594</f>
        <v>0</v>
      </c>
      <c r="E1595" s="29">
        <f>E1594</f>
        <v>0</v>
      </c>
      <c r="F1595" s="29">
        <f>F1594</f>
        <v>0</v>
      </c>
      <c r="G1595" s="29" t="e">
        <f>IF(C1594=1,IF(D1594="BUY",E1594+(ROUND(F1594*G1594/B1594,0)*B1594),E1594-(ROUND(F1594*G1594/B1594,0)*B1594)),IF(D1594="BUY",E1594-(ROUND(F1594*G1594/B1594,0)*B1594),E1594+(ROUND(F1594*G1594/B1594,0)*B1594)))</f>
        <v>#DIV/0!</v>
      </c>
      <c r="H1595" s="29" t="e">
        <f>IF(C1594=1,IF(D1594="BUY",G1595-(ROUND(F1594*H1594/B1594,0)*B1594),G1595+(ROUND(F1594*H1594/B1594,0)*B1594)),IF(D1594="BUY",G1595+(ROUND(F1594*H1594/B1594,0)*B1594),G1595-(ROUND(F1594*H1594/B1594,0)*B1594)))</f>
        <v>#DIV/0!</v>
      </c>
      <c r="I1595" s="29" t="e">
        <f>IF(D1594="BUY",G1595+(ROUND(F1594*I1594/(B1594*100),0)*B1594),G1595-(ROUND(F1594*I1594/(B1594*100),0)*B1594))</f>
        <v>#DIV/0!</v>
      </c>
      <c r="J1595" s="29" t="e">
        <f>IF(C1594=1,IF(D1594="BUY",E1594+(ROUND(F1594*J1594/B1594,0)*B1594),E1594-(ROUND(F1594*J1594/B1594,0)*B1594)),IF(D1594="BUY",E1594-(ROUND(F1594*J1594/B1594,0)*B1594),E1594+(ROUND(F1594*J1594/B1594,0)*B1594)))</f>
        <v>#DIV/0!</v>
      </c>
      <c r="K1595" s="29" t="e">
        <f>IF(C1594=1,IF(D1594="BUY",E1594-(ROUND(F1594*K1594/B1594,0)*B1594),E1594+(ROUND(F1594*K1594/B1594,0)*B1594)),IF(D1594="BUY",E1594-(ROUND(F1594*K1594/B1594,0)*B1594),E1594+(ROUND(F1594*K1594/B1594,0)*B1594)))</f>
        <v>#DIV/0!</v>
      </c>
      <c r="L1595" s="29" t="e">
        <f t="shared" ref="L1595" si="2387">IF(D1595="BUY",I1595+(R1595*B1595),I1595-(R1595*B1595))</f>
        <v>#DIV/0!</v>
      </c>
      <c r="M1595" s="29" t="e">
        <f>IF(D1594="BUY",E1594+(ROUND(F1594*M1594/B1594,0)*B1594),E1594-(ROUND(F1594*M1594/B1594,0)*B1594))</f>
        <v>#DIV/0!</v>
      </c>
      <c r="N1595" s="29" t="e">
        <f>IF(D1594="BUY",E1594-(ROUND(F1594*N1594/B1594,0)*B1594),E1594+(ROUND(F1594*N1594/B1594,0)*B1594))</f>
        <v>#DIV/0!</v>
      </c>
      <c r="O1595" s="31" t="e">
        <f>IF(D1595="BUY",N1595-VLOOKUP(A1595,Symbols!A$1:D$1000,4,FALSE),N1595+VLOOKUP(A1595,Symbols!A$1:D$1000,4,FALSE))</f>
        <v>#DIV/0!</v>
      </c>
      <c r="P1595" s="29">
        <f>P1594</f>
        <v>0</v>
      </c>
      <c r="Q1595" s="29">
        <f>Q1594</f>
        <v>0</v>
      </c>
      <c r="R1595" s="29">
        <f>R1594</f>
        <v>0</v>
      </c>
      <c r="S1595" s="29">
        <f>S1594</f>
        <v>0</v>
      </c>
      <c r="T1595" s="29">
        <f>T1594</f>
        <v>0</v>
      </c>
      <c r="U1595" s="29" t="e">
        <f>DATEDIF(DATE(1970,1,1),U1594,"D")*86400</f>
        <v>#NUM!</v>
      </c>
      <c r="V1595" s="29">
        <f>HOUR(V1594)*3600+MINUTE(V1594)*60+SECOND(V1594)</f>
        <v>0</v>
      </c>
      <c r="W1595" s="29" t="e">
        <f>DATEDIF(DATE(1970,1,1),W1594,"D")*86400</f>
        <v>#NUM!</v>
      </c>
      <c r="X1595" s="29">
        <f>HOUR(X1594)*3600+MINUTE(X1594)*60+SECOND(X1594)</f>
        <v>0</v>
      </c>
      <c r="Y1595" s="31">
        <f>(Y1594*B1595)</f>
        <v>0</v>
      </c>
      <c r="Z1595" s="29">
        <f>Z1594</f>
        <v>0</v>
      </c>
      <c r="AA1595" s="29" t="e">
        <f>DATEDIF(DATE(1970,1,1),AA1594,"D")*86400</f>
        <v>#NUM!</v>
      </c>
      <c r="AB1595" s="29">
        <f>HOUR(AB1594)*3600+MINUTE(AB1594)*60+SECOND(AB1594)</f>
        <v>0</v>
      </c>
      <c r="AC1595" s="29">
        <f>AC1594</f>
        <v>0</v>
      </c>
    </row>
    <row r="1596" spans="1:29">
      <c r="A1596" s="23">
        <f>Parameters!A799</f>
        <v>0</v>
      </c>
      <c r="B1596" s="23">
        <f>Parameters!B799</f>
        <v>0</v>
      </c>
      <c r="C1596" s="24">
        <f>Parameters!C799</f>
        <v>0</v>
      </c>
      <c r="D1596" s="24">
        <f>Parameters!D799</f>
        <v>0</v>
      </c>
      <c r="E1596" s="23">
        <f>Parameters!E799</f>
        <v>0</v>
      </c>
      <c r="F1596" s="23">
        <f>Parameters!F799</f>
        <v>0</v>
      </c>
      <c r="G1596" s="25">
        <f>Parameters!G799</f>
        <v>0</v>
      </c>
      <c r="H1596" s="25">
        <f>Parameters!H799</f>
        <v>0</v>
      </c>
      <c r="I1596" s="25">
        <f>Parameters!I799</f>
        <v>0</v>
      </c>
      <c r="J1596" s="25">
        <f>Parameters!J799</f>
        <v>0</v>
      </c>
      <c r="K1596" s="25">
        <f>Parameters!K799</f>
        <v>0</v>
      </c>
      <c r="L1596" s="26" t="e">
        <f t="shared" ref="L1596" si="2388">L1597</f>
        <v>#DIV/0!</v>
      </c>
      <c r="M1596" s="25">
        <f>Parameters!L799</f>
        <v>0</v>
      </c>
      <c r="N1596" s="25">
        <f>Parameters!M799</f>
        <v>0</v>
      </c>
      <c r="O1596" s="26" t="e">
        <f t="shared" ref="O1596" si="2389">O1597</f>
        <v>#DIV/0!</v>
      </c>
      <c r="P1596" s="23">
        <f>Parameters!N799</f>
        <v>0</v>
      </c>
      <c r="Q1596" s="23">
        <f>Parameters!O799</f>
        <v>0</v>
      </c>
      <c r="R1596" s="23">
        <f>Parameters!P799</f>
        <v>0</v>
      </c>
      <c r="S1596" s="23">
        <f>Parameters!Q799</f>
        <v>0</v>
      </c>
      <c r="T1596" s="23">
        <f>Parameters!R799</f>
        <v>0</v>
      </c>
      <c r="U1596" s="27">
        <f>Parameters!S799</f>
        <v>0</v>
      </c>
      <c r="V1596" s="28">
        <f>Parameters!T799</f>
        <v>0</v>
      </c>
      <c r="W1596" s="27">
        <f>Parameters!U799</f>
        <v>0</v>
      </c>
      <c r="X1596" s="28">
        <f>Parameters!V799</f>
        <v>0</v>
      </c>
      <c r="Y1596" s="25">
        <f>Parameters!W799</f>
        <v>0</v>
      </c>
      <c r="Z1596" s="23">
        <f>Parameters!X799</f>
        <v>0</v>
      </c>
      <c r="AA1596" s="27">
        <f>Parameters!Y799</f>
        <v>0</v>
      </c>
      <c r="AB1596" s="28">
        <f>Parameters!Z799</f>
        <v>0</v>
      </c>
      <c r="AC1596" s="23">
        <f>Parameters!AA799</f>
        <v>0</v>
      </c>
    </row>
    <row r="1597" spans="1:29">
      <c r="A1597" s="29" t="str">
        <f>UPPER(A1596)</f>
        <v>0</v>
      </c>
      <c r="B1597" s="29">
        <f>B1596</f>
        <v>0</v>
      </c>
      <c r="C1597" s="30">
        <f>C1596</f>
        <v>0</v>
      </c>
      <c r="D1597" s="30">
        <f>D1596</f>
        <v>0</v>
      </c>
      <c r="E1597" s="29">
        <f>E1596</f>
        <v>0</v>
      </c>
      <c r="F1597" s="29">
        <f>F1596</f>
        <v>0</v>
      </c>
      <c r="G1597" s="29" t="e">
        <f>IF(C1596=1,IF(D1596="BUY",E1596+(ROUND(F1596*G1596/B1596,0)*B1596),E1596-(ROUND(F1596*G1596/B1596,0)*B1596)),IF(D1596="BUY",E1596-(ROUND(F1596*G1596/B1596,0)*B1596),E1596+(ROUND(F1596*G1596/B1596,0)*B1596)))</f>
        <v>#DIV/0!</v>
      </c>
      <c r="H1597" s="29" t="e">
        <f>IF(C1596=1,IF(D1596="BUY",G1597-(ROUND(F1596*H1596/B1596,0)*B1596),G1597+(ROUND(F1596*H1596/B1596,0)*B1596)),IF(D1596="BUY",G1597+(ROUND(F1596*H1596/B1596,0)*B1596),G1597-(ROUND(F1596*H1596/B1596,0)*B1596)))</f>
        <v>#DIV/0!</v>
      </c>
      <c r="I1597" s="29" t="e">
        <f>IF(D1596="BUY",G1597+(ROUND(F1596*I1596/(B1596*100),0)*B1596),G1597-(ROUND(F1596*I1596/(B1596*100),0)*B1596))</f>
        <v>#DIV/0!</v>
      </c>
      <c r="J1597" s="29" t="e">
        <f>IF(C1596=1,IF(D1596="BUY",E1596+(ROUND(F1596*J1596/B1596,0)*B1596),E1596-(ROUND(F1596*J1596/B1596,0)*B1596)),IF(D1596="BUY",E1596-(ROUND(F1596*J1596/B1596,0)*B1596),E1596+(ROUND(F1596*J1596/B1596,0)*B1596)))</f>
        <v>#DIV/0!</v>
      </c>
      <c r="K1597" s="29" t="e">
        <f>IF(C1596=1,IF(D1596="BUY",E1596-(ROUND(F1596*K1596/B1596,0)*B1596),E1596+(ROUND(F1596*K1596/B1596,0)*B1596)),IF(D1596="BUY",E1596-(ROUND(F1596*K1596/B1596,0)*B1596),E1596+(ROUND(F1596*K1596/B1596,0)*B1596)))</f>
        <v>#DIV/0!</v>
      </c>
      <c r="L1597" s="29" t="e">
        <f t="shared" ref="L1597" si="2390">IF(D1597="BUY",I1597+(R1597*B1597),I1597-(R1597*B1597))</f>
        <v>#DIV/0!</v>
      </c>
      <c r="M1597" s="29" t="e">
        <f>IF(D1596="BUY",E1596+(ROUND(F1596*M1596/B1596,0)*B1596),E1596-(ROUND(F1596*M1596/B1596,0)*B1596))</f>
        <v>#DIV/0!</v>
      </c>
      <c r="N1597" s="29" t="e">
        <f>IF(D1596="BUY",E1596-(ROUND(F1596*N1596/B1596,0)*B1596),E1596+(ROUND(F1596*N1596/B1596,0)*B1596))</f>
        <v>#DIV/0!</v>
      </c>
      <c r="O1597" s="31" t="e">
        <f>IF(D1597="BUY",N1597-VLOOKUP(A1597,Symbols!A$1:D$1000,4,FALSE),N1597+VLOOKUP(A1597,Symbols!A$1:D$1000,4,FALSE))</f>
        <v>#DIV/0!</v>
      </c>
      <c r="P1597" s="29">
        <f>P1596</f>
        <v>0</v>
      </c>
      <c r="Q1597" s="29">
        <f>Q1596</f>
        <v>0</v>
      </c>
      <c r="R1597" s="29">
        <f>R1596</f>
        <v>0</v>
      </c>
      <c r="S1597" s="29">
        <f>S1596</f>
        <v>0</v>
      </c>
      <c r="T1597" s="29">
        <f>T1596</f>
        <v>0</v>
      </c>
      <c r="U1597" s="29" t="e">
        <f>DATEDIF(DATE(1970,1,1),U1596,"D")*86400</f>
        <v>#NUM!</v>
      </c>
      <c r="V1597" s="29">
        <f>HOUR(V1596)*3600+MINUTE(V1596)*60+SECOND(V1596)</f>
        <v>0</v>
      </c>
      <c r="W1597" s="29" t="e">
        <f>DATEDIF(DATE(1970,1,1),W1596,"D")*86400</f>
        <v>#NUM!</v>
      </c>
      <c r="X1597" s="29">
        <f>HOUR(X1596)*3600+MINUTE(X1596)*60+SECOND(X1596)</f>
        <v>0</v>
      </c>
      <c r="Y1597" s="31">
        <f>(Y1596*B1597)</f>
        <v>0</v>
      </c>
      <c r="Z1597" s="29">
        <f>Z1596</f>
        <v>0</v>
      </c>
      <c r="AA1597" s="29" t="e">
        <f>DATEDIF(DATE(1970,1,1),AA1596,"D")*86400</f>
        <v>#NUM!</v>
      </c>
      <c r="AB1597" s="29">
        <f>HOUR(AB1596)*3600+MINUTE(AB1596)*60+SECOND(AB1596)</f>
        <v>0</v>
      </c>
      <c r="AC1597" s="29">
        <f>AC1596</f>
        <v>0</v>
      </c>
    </row>
    <row r="1598" spans="1:29">
      <c r="A1598" s="23">
        <f>Parameters!A800</f>
        <v>0</v>
      </c>
      <c r="B1598" s="23">
        <f>Parameters!B800</f>
        <v>0</v>
      </c>
      <c r="C1598" s="24">
        <f>Parameters!C800</f>
        <v>0</v>
      </c>
      <c r="D1598" s="24">
        <f>Parameters!D800</f>
        <v>0</v>
      </c>
      <c r="E1598" s="23">
        <f>Parameters!E800</f>
        <v>0</v>
      </c>
      <c r="F1598" s="23">
        <f>Parameters!F800</f>
        <v>0</v>
      </c>
      <c r="G1598" s="25">
        <f>Parameters!G800</f>
        <v>0</v>
      </c>
      <c r="H1598" s="25">
        <f>Parameters!H800</f>
        <v>0</v>
      </c>
      <c r="I1598" s="25">
        <f>Parameters!I800</f>
        <v>0</v>
      </c>
      <c r="J1598" s="25">
        <f>Parameters!J800</f>
        <v>0</v>
      </c>
      <c r="K1598" s="25">
        <f>Parameters!K800</f>
        <v>0</v>
      </c>
      <c r="L1598" s="26" t="e">
        <f t="shared" ref="L1598" si="2391">L1599</f>
        <v>#DIV/0!</v>
      </c>
      <c r="M1598" s="25">
        <f>Parameters!L800</f>
        <v>0</v>
      </c>
      <c r="N1598" s="25">
        <f>Parameters!M800</f>
        <v>0</v>
      </c>
      <c r="O1598" s="26" t="e">
        <f t="shared" ref="O1598" si="2392">O1599</f>
        <v>#DIV/0!</v>
      </c>
      <c r="P1598" s="23">
        <f>Parameters!N800</f>
        <v>0</v>
      </c>
      <c r="Q1598" s="23">
        <f>Parameters!O800</f>
        <v>0</v>
      </c>
      <c r="R1598" s="23">
        <f>Parameters!P800</f>
        <v>0</v>
      </c>
      <c r="S1598" s="23">
        <f>Parameters!Q800</f>
        <v>0</v>
      </c>
      <c r="T1598" s="23">
        <f>Parameters!R800</f>
        <v>0</v>
      </c>
      <c r="U1598" s="27">
        <f>Parameters!S800</f>
        <v>0</v>
      </c>
      <c r="V1598" s="28">
        <f>Parameters!T800</f>
        <v>0</v>
      </c>
      <c r="W1598" s="27">
        <f>Parameters!U800</f>
        <v>0</v>
      </c>
      <c r="X1598" s="28">
        <f>Parameters!V800</f>
        <v>0</v>
      </c>
      <c r="Y1598" s="25">
        <f>Parameters!W800</f>
        <v>0</v>
      </c>
      <c r="Z1598" s="23">
        <f>Parameters!X800</f>
        <v>0</v>
      </c>
      <c r="AA1598" s="27">
        <f>Parameters!Y800</f>
        <v>0</v>
      </c>
      <c r="AB1598" s="28">
        <f>Parameters!Z800</f>
        <v>0</v>
      </c>
      <c r="AC1598" s="23">
        <f>Parameters!AA800</f>
        <v>0</v>
      </c>
    </row>
    <row r="1599" spans="1:29">
      <c r="A1599" s="29" t="str">
        <f>UPPER(A1598)</f>
        <v>0</v>
      </c>
      <c r="B1599" s="29">
        <f>B1598</f>
        <v>0</v>
      </c>
      <c r="C1599" s="30">
        <f>C1598</f>
        <v>0</v>
      </c>
      <c r="D1599" s="30">
        <f>D1598</f>
        <v>0</v>
      </c>
      <c r="E1599" s="29">
        <f>E1598</f>
        <v>0</v>
      </c>
      <c r="F1599" s="29">
        <f>F1598</f>
        <v>0</v>
      </c>
      <c r="G1599" s="29" t="e">
        <f>IF(C1598=1,IF(D1598="BUY",E1598+(ROUND(F1598*G1598/B1598,0)*B1598),E1598-(ROUND(F1598*G1598/B1598,0)*B1598)),IF(D1598="BUY",E1598-(ROUND(F1598*G1598/B1598,0)*B1598),E1598+(ROUND(F1598*G1598/B1598,0)*B1598)))</f>
        <v>#DIV/0!</v>
      </c>
      <c r="H1599" s="29" t="e">
        <f>IF(C1598=1,IF(D1598="BUY",G1599-(ROUND(F1598*H1598/B1598,0)*B1598),G1599+(ROUND(F1598*H1598/B1598,0)*B1598)),IF(D1598="BUY",G1599+(ROUND(F1598*H1598/B1598,0)*B1598),G1599-(ROUND(F1598*H1598/B1598,0)*B1598)))</f>
        <v>#DIV/0!</v>
      </c>
      <c r="I1599" s="29" t="e">
        <f>IF(D1598="BUY",G1599+(ROUND(F1598*I1598/(B1598*100),0)*B1598),G1599-(ROUND(F1598*I1598/(B1598*100),0)*B1598))</f>
        <v>#DIV/0!</v>
      </c>
      <c r="J1599" s="29" t="e">
        <f>IF(C1598=1,IF(D1598="BUY",E1598+(ROUND(F1598*J1598/B1598,0)*B1598),E1598-(ROUND(F1598*J1598/B1598,0)*B1598)),IF(D1598="BUY",E1598-(ROUND(F1598*J1598/B1598,0)*B1598),E1598+(ROUND(F1598*J1598/B1598,0)*B1598)))</f>
        <v>#DIV/0!</v>
      </c>
      <c r="K1599" s="29" t="e">
        <f>IF(C1598=1,IF(D1598="BUY",E1598-(ROUND(F1598*K1598/B1598,0)*B1598),E1598+(ROUND(F1598*K1598/B1598,0)*B1598)),IF(D1598="BUY",E1598-(ROUND(F1598*K1598/B1598,0)*B1598),E1598+(ROUND(F1598*K1598/B1598,0)*B1598)))</f>
        <v>#DIV/0!</v>
      </c>
      <c r="L1599" s="29" t="e">
        <f t="shared" ref="L1599" si="2393">IF(D1599="BUY",I1599+(R1599*B1599),I1599-(R1599*B1599))</f>
        <v>#DIV/0!</v>
      </c>
      <c r="M1599" s="29" t="e">
        <f>IF(D1598="BUY",E1598+(ROUND(F1598*M1598/B1598,0)*B1598),E1598-(ROUND(F1598*M1598/B1598,0)*B1598))</f>
        <v>#DIV/0!</v>
      </c>
      <c r="N1599" s="29" t="e">
        <f>IF(D1598="BUY",E1598-(ROUND(F1598*N1598/B1598,0)*B1598),E1598+(ROUND(F1598*N1598/B1598,0)*B1598))</f>
        <v>#DIV/0!</v>
      </c>
      <c r="O1599" s="31" t="e">
        <f>IF(D1599="BUY",N1599-VLOOKUP(A1599,Symbols!A$1:D$1000,4,FALSE),N1599+VLOOKUP(A1599,Symbols!A$1:D$1000,4,FALSE))</f>
        <v>#DIV/0!</v>
      </c>
      <c r="P1599" s="29">
        <f>P1598</f>
        <v>0</v>
      </c>
      <c r="Q1599" s="29">
        <f>Q1598</f>
        <v>0</v>
      </c>
      <c r="R1599" s="29">
        <f>R1598</f>
        <v>0</v>
      </c>
      <c r="S1599" s="29">
        <f>S1598</f>
        <v>0</v>
      </c>
      <c r="T1599" s="29">
        <f>T1598</f>
        <v>0</v>
      </c>
      <c r="U1599" s="29" t="e">
        <f>DATEDIF(DATE(1970,1,1),U1598,"D")*86400</f>
        <v>#NUM!</v>
      </c>
      <c r="V1599" s="29">
        <f>HOUR(V1598)*3600+MINUTE(V1598)*60+SECOND(V1598)</f>
        <v>0</v>
      </c>
      <c r="W1599" s="29" t="e">
        <f>DATEDIF(DATE(1970,1,1),W1598,"D")*86400</f>
        <v>#NUM!</v>
      </c>
      <c r="X1599" s="29">
        <f>HOUR(X1598)*3600+MINUTE(X1598)*60+SECOND(X1598)</f>
        <v>0</v>
      </c>
      <c r="Y1599" s="31">
        <f>(Y1598*B1599)</f>
        <v>0</v>
      </c>
      <c r="Z1599" s="29">
        <f>Z1598</f>
        <v>0</v>
      </c>
      <c r="AA1599" s="29" t="e">
        <f>DATEDIF(DATE(1970,1,1),AA1598,"D")*86400</f>
        <v>#NUM!</v>
      </c>
      <c r="AB1599" s="29">
        <f>HOUR(AB1598)*3600+MINUTE(AB1598)*60+SECOND(AB1598)</f>
        <v>0</v>
      </c>
      <c r="AC1599" s="29">
        <f>AC1598</f>
        <v>0</v>
      </c>
    </row>
    <row r="1600" spans="1:29">
      <c r="A1600" s="23">
        <f>Parameters!A801</f>
        <v>0</v>
      </c>
      <c r="B1600" s="23">
        <f>Parameters!B801</f>
        <v>0</v>
      </c>
      <c r="C1600" s="24">
        <f>Parameters!C801</f>
        <v>0</v>
      </c>
      <c r="D1600" s="24">
        <f>Parameters!D801</f>
        <v>0</v>
      </c>
      <c r="E1600" s="23">
        <f>Parameters!E801</f>
        <v>0</v>
      </c>
      <c r="F1600" s="23">
        <f>Parameters!F801</f>
        <v>0</v>
      </c>
      <c r="G1600" s="25">
        <f>Parameters!G801</f>
        <v>0</v>
      </c>
      <c r="H1600" s="25">
        <f>Parameters!H801</f>
        <v>0</v>
      </c>
      <c r="I1600" s="25">
        <f>Parameters!I801</f>
        <v>0</v>
      </c>
      <c r="J1600" s="25">
        <f>Parameters!J801</f>
        <v>0</v>
      </c>
      <c r="K1600" s="25">
        <f>Parameters!K801</f>
        <v>0</v>
      </c>
      <c r="L1600" s="26" t="e">
        <f t="shared" ref="L1600" si="2394">L1601</f>
        <v>#DIV/0!</v>
      </c>
      <c r="M1600" s="25">
        <f>Parameters!L801</f>
        <v>0</v>
      </c>
      <c r="N1600" s="25">
        <f>Parameters!M801</f>
        <v>0</v>
      </c>
      <c r="O1600" s="26" t="e">
        <f t="shared" ref="O1600" si="2395">O1601</f>
        <v>#DIV/0!</v>
      </c>
      <c r="P1600" s="23">
        <f>Parameters!N801</f>
        <v>0</v>
      </c>
      <c r="Q1600" s="23">
        <f>Parameters!O801</f>
        <v>0</v>
      </c>
      <c r="R1600" s="23">
        <f>Parameters!P801</f>
        <v>0</v>
      </c>
      <c r="S1600" s="23">
        <f>Parameters!Q801</f>
        <v>0</v>
      </c>
      <c r="T1600" s="23">
        <f>Parameters!R801</f>
        <v>0</v>
      </c>
      <c r="U1600" s="27">
        <f>Parameters!S801</f>
        <v>0</v>
      </c>
      <c r="V1600" s="28">
        <f>Parameters!T801</f>
        <v>0</v>
      </c>
      <c r="W1600" s="27">
        <f>Parameters!U801</f>
        <v>0</v>
      </c>
      <c r="X1600" s="28">
        <f>Parameters!V801</f>
        <v>0</v>
      </c>
      <c r="Y1600" s="25">
        <f>Parameters!W801</f>
        <v>0</v>
      </c>
      <c r="Z1600" s="23">
        <f>Parameters!X801</f>
        <v>0</v>
      </c>
      <c r="AA1600" s="27">
        <f>Parameters!Y801</f>
        <v>0</v>
      </c>
      <c r="AB1600" s="28">
        <f>Parameters!Z801</f>
        <v>0</v>
      </c>
      <c r="AC1600" s="23">
        <f>Parameters!AA801</f>
        <v>0</v>
      </c>
    </row>
    <row r="1601" spans="1:29">
      <c r="A1601" s="29" t="str">
        <f>UPPER(A1600)</f>
        <v>0</v>
      </c>
      <c r="B1601" s="29">
        <f>B1600</f>
        <v>0</v>
      </c>
      <c r="C1601" s="30">
        <f>C1600</f>
        <v>0</v>
      </c>
      <c r="D1601" s="30">
        <f>D1600</f>
        <v>0</v>
      </c>
      <c r="E1601" s="29">
        <f>E1600</f>
        <v>0</v>
      </c>
      <c r="F1601" s="29">
        <f>F1600</f>
        <v>0</v>
      </c>
      <c r="G1601" s="29" t="e">
        <f>IF(C1600=1,IF(D1600="BUY",E1600+(ROUND(F1600*G1600/B1600,0)*B1600),E1600-(ROUND(F1600*G1600/B1600,0)*B1600)),IF(D1600="BUY",E1600-(ROUND(F1600*G1600/B1600,0)*B1600),E1600+(ROUND(F1600*G1600/B1600,0)*B1600)))</f>
        <v>#DIV/0!</v>
      </c>
      <c r="H1601" s="29" t="e">
        <f>IF(C1600=1,IF(D1600="BUY",G1601-(ROUND(F1600*H1600/B1600,0)*B1600),G1601+(ROUND(F1600*H1600/B1600,0)*B1600)),IF(D1600="BUY",G1601+(ROUND(F1600*H1600/B1600,0)*B1600),G1601-(ROUND(F1600*H1600/B1600,0)*B1600)))</f>
        <v>#DIV/0!</v>
      </c>
      <c r="I1601" s="29" t="e">
        <f>IF(D1600="BUY",G1601+(ROUND(F1600*I1600/(B1600*100),0)*B1600),G1601-(ROUND(F1600*I1600/(B1600*100),0)*B1600))</f>
        <v>#DIV/0!</v>
      </c>
      <c r="J1601" s="29" t="e">
        <f>IF(C1600=1,IF(D1600="BUY",E1600+(ROUND(F1600*J1600/B1600,0)*B1600),E1600-(ROUND(F1600*J1600/B1600,0)*B1600)),IF(D1600="BUY",E1600-(ROUND(F1600*J1600/B1600,0)*B1600),E1600+(ROUND(F1600*J1600/B1600,0)*B1600)))</f>
        <v>#DIV/0!</v>
      </c>
      <c r="K1601" s="29" t="e">
        <f>IF(C1600=1,IF(D1600="BUY",E1600-(ROUND(F1600*K1600/B1600,0)*B1600),E1600+(ROUND(F1600*K1600/B1600,0)*B1600)),IF(D1600="BUY",E1600-(ROUND(F1600*K1600/B1600,0)*B1600),E1600+(ROUND(F1600*K1600/B1600,0)*B1600)))</f>
        <v>#DIV/0!</v>
      </c>
      <c r="L1601" s="29" t="e">
        <f t="shared" ref="L1601" si="2396">IF(D1601="BUY",I1601+(R1601*B1601),I1601-(R1601*B1601))</f>
        <v>#DIV/0!</v>
      </c>
      <c r="M1601" s="29" t="e">
        <f>IF(D1600="BUY",E1600+(ROUND(F1600*M1600/B1600,0)*B1600),E1600-(ROUND(F1600*M1600/B1600,0)*B1600))</f>
        <v>#DIV/0!</v>
      </c>
      <c r="N1601" s="29" t="e">
        <f>IF(D1600="BUY",E1600-(ROUND(F1600*N1600/B1600,0)*B1600),E1600+(ROUND(F1600*N1600/B1600,0)*B1600))</f>
        <v>#DIV/0!</v>
      </c>
      <c r="O1601" s="31" t="e">
        <f>IF(D1601="BUY",N1601-VLOOKUP(A1601,Symbols!A$1:D$1000,4,FALSE),N1601+VLOOKUP(A1601,Symbols!A$1:D$1000,4,FALSE))</f>
        <v>#DIV/0!</v>
      </c>
      <c r="P1601" s="29">
        <f>P1600</f>
        <v>0</v>
      </c>
      <c r="Q1601" s="29">
        <f>Q1600</f>
        <v>0</v>
      </c>
      <c r="R1601" s="29">
        <f>R1600</f>
        <v>0</v>
      </c>
      <c r="S1601" s="29">
        <f>S1600</f>
        <v>0</v>
      </c>
      <c r="T1601" s="29">
        <f>T1600</f>
        <v>0</v>
      </c>
      <c r="U1601" s="29" t="e">
        <f>DATEDIF(DATE(1970,1,1),U1600,"D")*86400</f>
        <v>#NUM!</v>
      </c>
      <c r="V1601" s="29">
        <f>HOUR(V1600)*3600+MINUTE(V1600)*60+SECOND(V1600)</f>
        <v>0</v>
      </c>
      <c r="W1601" s="29" t="e">
        <f>DATEDIF(DATE(1970,1,1),W1600,"D")*86400</f>
        <v>#NUM!</v>
      </c>
      <c r="X1601" s="29">
        <f>HOUR(X1600)*3600+MINUTE(X1600)*60+SECOND(X1600)</f>
        <v>0</v>
      </c>
      <c r="Y1601" s="31">
        <f>(Y1600*B1601)</f>
        <v>0</v>
      </c>
      <c r="Z1601" s="29">
        <f>Z1600</f>
        <v>0</v>
      </c>
      <c r="AA1601" s="29" t="e">
        <f>DATEDIF(DATE(1970,1,1),AA1600,"D")*86400</f>
        <v>#NUM!</v>
      </c>
      <c r="AB1601" s="29">
        <f>HOUR(AB1600)*3600+MINUTE(AB1600)*60+SECOND(AB1600)</f>
        <v>0</v>
      </c>
      <c r="AC1601" s="29">
        <f>AC1600</f>
        <v>0</v>
      </c>
    </row>
    <row r="1602" spans="1:29">
      <c r="A1602" s="23">
        <f>Parameters!A802</f>
        <v>0</v>
      </c>
      <c r="B1602" s="23">
        <f>Parameters!B802</f>
        <v>0</v>
      </c>
      <c r="C1602" s="24">
        <f>Parameters!C802</f>
        <v>0</v>
      </c>
      <c r="D1602" s="24">
        <f>Parameters!D802</f>
        <v>0</v>
      </c>
      <c r="E1602" s="23">
        <f>Parameters!E802</f>
        <v>0</v>
      </c>
      <c r="F1602" s="23">
        <f>Parameters!F802</f>
        <v>0</v>
      </c>
      <c r="G1602" s="25">
        <f>Parameters!G802</f>
        <v>0</v>
      </c>
      <c r="H1602" s="25">
        <f>Parameters!H802</f>
        <v>0</v>
      </c>
      <c r="I1602" s="25">
        <f>Parameters!I802</f>
        <v>0</v>
      </c>
      <c r="J1602" s="25">
        <f>Parameters!J802</f>
        <v>0</v>
      </c>
      <c r="K1602" s="25">
        <f>Parameters!K802</f>
        <v>0</v>
      </c>
      <c r="L1602" s="26" t="e">
        <f t="shared" ref="L1602" si="2397">L1603</f>
        <v>#DIV/0!</v>
      </c>
      <c r="M1602" s="25">
        <f>Parameters!L802</f>
        <v>0</v>
      </c>
      <c r="N1602" s="25">
        <f>Parameters!M802</f>
        <v>0</v>
      </c>
      <c r="O1602" s="26" t="e">
        <f t="shared" ref="O1602" si="2398">O1603</f>
        <v>#DIV/0!</v>
      </c>
      <c r="P1602" s="23">
        <f>Parameters!N802</f>
        <v>0</v>
      </c>
      <c r="Q1602" s="23">
        <f>Parameters!O802</f>
        <v>0</v>
      </c>
      <c r="R1602" s="23">
        <f>Parameters!P802</f>
        <v>0</v>
      </c>
      <c r="S1602" s="23">
        <f>Parameters!Q802</f>
        <v>0</v>
      </c>
      <c r="T1602" s="23">
        <f>Parameters!R802</f>
        <v>0</v>
      </c>
      <c r="U1602" s="27">
        <f>Parameters!S802</f>
        <v>0</v>
      </c>
      <c r="V1602" s="28">
        <f>Parameters!T802</f>
        <v>0</v>
      </c>
      <c r="W1602" s="27">
        <f>Parameters!U802</f>
        <v>0</v>
      </c>
      <c r="X1602" s="28">
        <f>Parameters!V802</f>
        <v>0</v>
      </c>
      <c r="Y1602" s="25">
        <f>Parameters!W802</f>
        <v>0</v>
      </c>
      <c r="Z1602" s="23">
        <f>Parameters!X802</f>
        <v>0</v>
      </c>
      <c r="AA1602" s="27">
        <f>Parameters!Y802</f>
        <v>0</v>
      </c>
      <c r="AB1602" s="28">
        <f>Parameters!Z802</f>
        <v>0</v>
      </c>
      <c r="AC1602" s="23">
        <f>Parameters!AA802</f>
        <v>0</v>
      </c>
    </row>
    <row r="1603" spans="1:29">
      <c r="A1603" s="29" t="str">
        <f>UPPER(A1602)</f>
        <v>0</v>
      </c>
      <c r="B1603" s="29">
        <f>B1602</f>
        <v>0</v>
      </c>
      <c r="C1603" s="30">
        <f>C1602</f>
        <v>0</v>
      </c>
      <c r="D1603" s="30">
        <f>D1602</f>
        <v>0</v>
      </c>
      <c r="E1603" s="29">
        <f>E1602</f>
        <v>0</v>
      </c>
      <c r="F1603" s="29">
        <f>F1602</f>
        <v>0</v>
      </c>
      <c r="G1603" s="29" t="e">
        <f>IF(C1602=1,IF(D1602="BUY",E1602+(ROUND(F1602*G1602/B1602,0)*B1602),E1602-(ROUND(F1602*G1602/B1602,0)*B1602)),IF(D1602="BUY",E1602-(ROUND(F1602*G1602/B1602,0)*B1602),E1602+(ROUND(F1602*G1602/B1602,0)*B1602)))</f>
        <v>#DIV/0!</v>
      </c>
      <c r="H1603" s="29" t="e">
        <f>IF(C1602=1,IF(D1602="BUY",G1603-(ROUND(F1602*H1602/B1602,0)*B1602),G1603+(ROUND(F1602*H1602/B1602,0)*B1602)),IF(D1602="BUY",G1603+(ROUND(F1602*H1602/B1602,0)*B1602),G1603-(ROUND(F1602*H1602/B1602,0)*B1602)))</f>
        <v>#DIV/0!</v>
      </c>
      <c r="I1603" s="29" t="e">
        <f>IF(D1602="BUY",G1603+(ROUND(F1602*I1602/(B1602*100),0)*B1602),G1603-(ROUND(F1602*I1602/(B1602*100),0)*B1602))</f>
        <v>#DIV/0!</v>
      </c>
      <c r="J1603" s="29" t="e">
        <f>IF(C1602=1,IF(D1602="BUY",E1602+(ROUND(F1602*J1602/B1602,0)*B1602),E1602-(ROUND(F1602*J1602/B1602,0)*B1602)),IF(D1602="BUY",E1602-(ROUND(F1602*J1602/B1602,0)*B1602),E1602+(ROUND(F1602*J1602/B1602,0)*B1602)))</f>
        <v>#DIV/0!</v>
      </c>
      <c r="K1603" s="29" t="e">
        <f>IF(C1602=1,IF(D1602="BUY",E1602-(ROUND(F1602*K1602/B1602,0)*B1602),E1602+(ROUND(F1602*K1602/B1602,0)*B1602)),IF(D1602="BUY",E1602-(ROUND(F1602*K1602/B1602,0)*B1602),E1602+(ROUND(F1602*K1602/B1602,0)*B1602)))</f>
        <v>#DIV/0!</v>
      </c>
      <c r="L1603" s="29" t="e">
        <f t="shared" ref="L1603" si="2399">IF(D1603="BUY",I1603+(R1603*B1603),I1603-(R1603*B1603))</f>
        <v>#DIV/0!</v>
      </c>
      <c r="M1603" s="29" t="e">
        <f>IF(D1602="BUY",E1602+(ROUND(F1602*M1602/B1602,0)*B1602),E1602-(ROUND(F1602*M1602/B1602,0)*B1602))</f>
        <v>#DIV/0!</v>
      </c>
      <c r="N1603" s="29" t="e">
        <f>IF(D1602="BUY",E1602-(ROUND(F1602*N1602/B1602,0)*B1602),E1602+(ROUND(F1602*N1602/B1602,0)*B1602))</f>
        <v>#DIV/0!</v>
      </c>
      <c r="O1603" s="31" t="e">
        <f>IF(D1603="BUY",N1603-VLOOKUP(A1603,Symbols!A$1:D$1000,4,FALSE),N1603+VLOOKUP(A1603,Symbols!A$1:D$1000,4,FALSE))</f>
        <v>#DIV/0!</v>
      </c>
      <c r="P1603" s="29">
        <f>P1602</f>
        <v>0</v>
      </c>
      <c r="Q1603" s="29">
        <f>Q1602</f>
        <v>0</v>
      </c>
      <c r="R1603" s="29">
        <f>R1602</f>
        <v>0</v>
      </c>
      <c r="S1603" s="29">
        <f>S1602</f>
        <v>0</v>
      </c>
      <c r="T1603" s="29">
        <f>T1602</f>
        <v>0</v>
      </c>
      <c r="U1603" s="29" t="e">
        <f>DATEDIF(DATE(1970,1,1),U1602,"D")*86400</f>
        <v>#NUM!</v>
      </c>
      <c r="V1603" s="29">
        <f>HOUR(V1602)*3600+MINUTE(V1602)*60+SECOND(V1602)</f>
        <v>0</v>
      </c>
      <c r="W1603" s="29" t="e">
        <f>DATEDIF(DATE(1970,1,1),W1602,"D")*86400</f>
        <v>#NUM!</v>
      </c>
      <c r="X1603" s="29">
        <f>HOUR(X1602)*3600+MINUTE(X1602)*60+SECOND(X1602)</f>
        <v>0</v>
      </c>
      <c r="Y1603" s="31">
        <f>(Y1602*B1603)</f>
        <v>0</v>
      </c>
      <c r="Z1603" s="29">
        <f>Z1602</f>
        <v>0</v>
      </c>
      <c r="AA1603" s="29" t="e">
        <f>DATEDIF(DATE(1970,1,1),AA1602,"D")*86400</f>
        <v>#NUM!</v>
      </c>
      <c r="AB1603" s="29">
        <f>HOUR(AB1602)*3600+MINUTE(AB1602)*60+SECOND(AB1602)</f>
        <v>0</v>
      </c>
      <c r="AC1603" s="29">
        <f>AC1602</f>
        <v>0</v>
      </c>
    </row>
    <row r="1604" spans="1:29">
      <c r="A1604" s="23">
        <f>Parameters!A803</f>
        <v>0</v>
      </c>
      <c r="B1604" s="23">
        <f>Parameters!B803</f>
        <v>0</v>
      </c>
      <c r="C1604" s="24">
        <f>Parameters!C803</f>
        <v>0</v>
      </c>
      <c r="D1604" s="24">
        <f>Parameters!D803</f>
        <v>0</v>
      </c>
      <c r="E1604" s="23">
        <f>Parameters!E803</f>
        <v>0</v>
      </c>
      <c r="F1604" s="23">
        <f>Parameters!F803</f>
        <v>0</v>
      </c>
      <c r="G1604" s="25">
        <f>Parameters!G803</f>
        <v>0</v>
      </c>
      <c r="H1604" s="25">
        <f>Parameters!H803</f>
        <v>0</v>
      </c>
      <c r="I1604" s="25">
        <f>Parameters!I803</f>
        <v>0</v>
      </c>
      <c r="J1604" s="25">
        <f>Parameters!J803</f>
        <v>0</v>
      </c>
      <c r="K1604" s="25">
        <f>Parameters!K803</f>
        <v>0</v>
      </c>
      <c r="L1604" s="26" t="e">
        <f t="shared" ref="L1604" si="2400">L1605</f>
        <v>#DIV/0!</v>
      </c>
      <c r="M1604" s="25">
        <f>Parameters!L803</f>
        <v>0</v>
      </c>
      <c r="N1604" s="25">
        <f>Parameters!M803</f>
        <v>0</v>
      </c>
      <c r="O1604" s="26" t="e">
        <f t="shared" ref="O1604" si="2401">O1605</f>
        <v>#DIV/0!</v>
      </c>
      <c r="P1604" s="23">
        <f>Parameters!N803</f>
        <v>0</v>
      </c>
      <c r="Q1604" s="23">
        <f>Parameters!O803</f>
        <v>0</v>
      </c>
      <c r="R1604" s="23">
        <f>Parameters!P803</f>
        <v>0</v>
      </c>
      <c r="S1604" s="23">
        <f>Parameters!Q803</f>
        <v>0</v>
      </c>
      <c r="T1604" s="23">
        <f>Parameters!R803</f>
        <v>0</v>
      </c>
      <c r="U1604" s="27">
        <f>Parameters!S803</f>
        <v>0</v>
      </c>
      <c r="V1604" s="28">
        <f>Parameters!T803</f>
        <v>0</v>
      </c>
      <c r="W1604" s="27">
        <f>Parameters!U803</f>
        <v>0</v>
      </c>
      <c r="X1604" s="28">
        <f>Parameters!V803</f>
        <v>0</v>
      </c>
      <c r="Y1604" s="25">
        <f>Parameters!W803</f>
        <v>0</v>
      </c>
      <c r="Z1604" s="23">
        <f>Parameters!X803</f>
        <v>0</v>
      </c>
      <c r="AA1604" s="27">
        <f>Parameters!Y803</f>
        <v>0</v>
      </c>
      <c r="AB1604" s="28">
        <f>Parameters!Z803</f>
        <v>0</v>
      </c>
      <c r="AC1604" s="23">
        <f>Parameters!AA803</f>
        <v>0</v>
      </c>
    </row>
    <row r="1605" spans="1:29">
      <c r="A1605" s="29" t="str">
        <f>UPPER(A1604)</f>
        <v>0</v>
      </c>
      <c r="B1605" s="29">
        <f>B1604</f>
        <v>0</v>
      </c>
      <c r="C1605" s="30">
        <f>C1604</f>
        <v>0</v>
      </c>
      <c r="D1605" s="30">
        <f>D1604</f>
        <v>0</v>
      </c>
      <c r="E1605" s="29">
        <f>E1604</f>
        <v>0</v>
      </c>
      <c r="F1605" s="29">
        <f>F1604</f>
        <v>0</v>
      </c>
      <c r="G1605" s="29" t="e">
        <f>IF(C1604=1,IF(D1604="BUY",E1604+(ROUND(F1604*G1604/B1604,0)*B1604),E1604-(ROUND(F1604*G1604/B1604,0)*B1604)),IF(D1604="BUY",E1604-(ROUND(F1604*G1604/B1604,0)*B1604),E1604+(ROUND(F1604*G1604/B1604,0)*B1604)))</f>
        <v>#DIV/0!</v>
      </c>
      <c r="H1605" s="29" t="e">
        <f>IF(C1604=1,IF(D1604="BUY",G1605-(ROUND(F1604*H1604/B1604,0)*B1604),G1605+(ROUND(F1604*H1604/B1604,0)*B1604)),IF(D1604="BUY",G1605+(ROUND(F1604*H1604/B1604,0)*B1604),G1605-(ROUND(F1604*H1604/B1604,0)*B1604)))</f>
        <v>#DIV/0!</v>
      </c>
      <c r="I1605" s="29" t="e">
        <f>IF(D1604="BUY",G1605+(ROUND(F1604*I1604/(B1604*100),0)*B1604),G1605-(ROUND(F1604*I1604/(B1604*100),0)*B1604))</f>
        <v>#DIV/0!</v>
      </c>
      <c r="J1605" s="29" t="e">
        <f>IF(C1604=1,IF(D1604="BUY",E1604+(ROUND(F1604*J1604/B1604,0)*B1604),E1604-(ROUND(F1604*J1604/B1604,0)*B1604)),IF(D1604="BUY",E1604-(ROUND(F1604*J1604/B1604,0)*B1604),E1604+(ROUND(F1604*J1604/B1604,0)*B1604)))</f>
        <v>#DIV/0!</v>
      </c>
      <c r="K1605" s="29" t="e">
        <f>IF(C1604=1,IF(D1604="BUY",E1604-(ROUND(F1604*K1604/B1604,0)*B1604),E1604+(ROUND(F1604*K1604/B1604,0)*B1604)),IF(D1604="BUY",E1604-(ROUND(F1604*K1604/B1604,0)*B1604),E1604+(ROUND(F1604*K1604/B1604,0)*B1604)))</f>
        <v>#DIV/0!</v>
      </c>
      <c r="L1605" s="29" t="e">
        <f t="shared" ref="L1605" si="2402">IF(D1605="BUY",I1605+(R1605*B1605),I1605-(R1605*B1605))</f>
        <v>#DIV/0!</v>
      </c>
      <c r="M1605" s="29" t="e">
        <f>IF(D1604="BUY",E1604+(ROUND(F1604*M1604/B1604,0)*B1604),E1604-(ROUND(F1604*M1604/B1604,0)*B1604))</f>
        <v>#DIV/0!</v>
      </c>
      <c r="N1605" s="29" t="e">
        <f>IF(D1604="BUY",E1604-(ROUND(F1604*N1604/B1604,0)*B1604),E1604+(ROUND(F1604*N1604/B1604,0)*B1604))</f>
        <v>#DIV/0!</v>
      </c>
      <c r="O1605" s="31" t="e">
        <f>IF(D1605="BUY",N1605-VLOOKUP(A1605,Symbols!A$1:D$1000,4,FALSE),N1605+VLOOKUP(A1605,Symbols!A$1:D$1000,4,FALSE))</f>
        <v>#DIV/0!</v>
      </c>
      <c r="P1605" s="29">
        <f>P1604</f>
        <v>0</v>
      </c>
      <c r="Q1605" s="29">
        <f>Q1604</f>
        <v>0</v>
      </c>
      <c r="R1605" s="29">
        <f>R1604</f>
        <v>0</v>
      </c>
      <c r="S1605" s="29">
        <f>S1604</f>
        <v>0</v>
      </c>
      <c r="T1605" s="29">
        <f>T1604</f>
        <v>0</v>
      </c>
      <c r="U1605" s="29" t="e">
        <f>DATEDIF(DATE(1970,1,1),U1604,"D")*86400</f>
        <v>#NUM!</v>
      </c>
      <c r="V1605" s="29">
        <f>HOUR(V1604)*3600+MINUTE(V1604)*60+SECOND(V1604)</f>
        <v>0</v>
      </c>
      <c r="W1605" s="29" t="e">
        <f>DATEDIF(DATE(1970,1,1),W1604,"D")*86400</f>
        <v>#NUM!</v>
      </c>
      <c r="X1605" s="29">
        <f>HOUR(X1604)*3600+MINUTE(X1604)*60+SECOND(X1604)</f>
        <v>0</v>
      </c>
      <c r="Y1605" s="31">
        <f>(Y1604*B1605)</f>
        <v>0</v>
      </c>
      <c r="Z1605" s="29">
        <f>Z1604</f>
        <v>0</v>
      </c>
      <c r="AA1605" s="29" t="e">
        <f>DATEDIF(DATE(1970,1,1),AA1604,"D")*86400</f>
        <v>#NUM!</v>
      </c>
      <c r="AB1605" s="29">
        <f>HOUR(AB1604)*3600+MINUTE(AB1604)*60+SECOND(AB1604)</f>
        <v>0</v>
      </c>
      <c r="AC1605" s="29">
        <f>AC1604</f>
        <v>0</v>
      </c>
    </row>
    <row r="1606" spans="1:29">
      <c r="A1606" s="23">
        <f>Parameters!A804</f>
        <v>0</v>
      </c>
      <c r="B1606" s="23">
        <f>Parameters!B804</f>
        <v>0</v>
      </c>
      <c r="C1606" s="24">
        <f>Parameters!C804</f>
        <v>0</v>
      </c>
      <c r="D1606" s="24">
        <f>Parameters!D804</f>
        <v>0</v>
      </c>
      <c r="E1606" s="23">
        <f>Parameters!E804</f>
        <v>0</v>
      </c>
      <c r="F1606" s="23">
        <f>Parameters!F804</f>
        <v>0</v>
      </c>
      <c r="G1606" s="25">
        <f>Parameters!G804</f>
        <v>0</v>
      </c>
      <c r="H1606" s="25">
        <f>Parameters!H804</f>
        <v>0</v>
      </c>
      <c r="I1606" s="25">
        <f>Parameters!I804</f>
        <v>0</v>
      </c>
      <c r="J1606" s="25">
        <f>Parameters!J804</f>
        <v>0</v>
      </c>
      <c r="K1606" s="25">
        <f>Parameters!K804</f>
        <v>0</v>
      </c>
      <c r="L1606" s="26" t="e">
        <f t="shared" ref="L1606" si="2403">L1607</f>
        <v>#DIV/0!</v>
      </c>
      <c r="M1606" s="25">
        <f>Parameters!L804</f>
        <v>0</v>
      </c>
      <c r="N1606" s="25">
        <f>Parameters!M804</f>
        <v>0</v>
      </c>
      <c r="O1606" s="26" t="e">
        <f t="shared" ref="O1606" si="2404">O1607</f>
        <v>#DIV/0!</v>
      </c>
      <c r="P1606" s="23">
        <f>Parameters!N804</f>
        <v>0</v>
      </c>
      <c r="Q1606" s="23">
        <f>Parameters!O804</f>
        <v>0</v>
      </c>
      <c r="R1606" s="23">
        <f>Parameters!P804</f>
        <v>0</v>
      </c>
      <c r="S1606" s="23">
        <f>Parameters!Q804</f>
        <v>0</v>
      </c>
      <c r="T1606" s="23">
        <f>Parameters!R804</f>
        <v>0</v>
      </c>
      <c r="U1606" s="27">
        <f>Parameters!S804</f>
        <v>0</v>
      </c>
      <c r="V1606" s="28">
        <f>Parameters!T804</f>
        <v>0</v>
      </c>
      <c r="W1606" s="27">
        <f>Parameters!U804</f>
        <v>0</v>
      </c>
      <c r="X1606" s="28">
        <f>Parameters!V804</f>
        <v>0</v>
      </c>
      <c r="Y1606" s="25">
        <f>Parameters!W804</f>
        <v>0</v>
      </c>
      <c r="Z1606" s="23">
        <f>Parameters!X804</f>
        <v>0</v>
      </c>
      <c r="AA1606" s="27">
        <f>Parameters!Y804</f>
        <v>0</v>
      </c>
      <c r="AB1606" s="28">
        <f>Parameters!Z804</f>
        <v>0</v>
      </c>
      <c r="AC1606" s="23">
        <f>Parameters!AA804</f>
        <v>0</v>
      </c>
    </row>
    <row r="1607" spans="1:29">
      <c r="A1607" s="29" t="str">
        <f>UPPER(A1606)</f>
        <v>0</v>
      </c>
      <c r="B1607" s="29">
        <f>B1606</f>
        <v>0</v>
      </c>
      <c r="C1607" s="30">
        <f>C1606</f>
        <v>0</v>
      </c>
      <c r="D1607" s="30">
        <f>D1606</f>
        <v>0</v>
      </c>
      <c r="E1607" s="29">
        <f>E1606</f>
        <v>0</v>
      </c>
      <c r="F1607" s="29">
        <f>F1606</f>
        <v>0</v>
      </c>
      <c r="G1607" s="29" t="e">
        <f>IF(C1606=1,IF(D1606="BUY",E1606+(ROUND(F1606*G1606/B1606,0)*B1606),E1606-(ROUND(F1606*G1606/B1606,0)*B1606)),IF(D1606="BUY",E1606-(ROUND(F1606*G1606/B1606,0)*B1606),E1606+(ROUND(F1606*G1606/B1606,0)*B1606)))</f>
        <v>#DIV/0!</v>
      </c>
      <c r="H1607" s="29" t="e">
        <f>IF(C1606=1,IF(D1606="BUY",G1607-(ROUND(F1606*H1606/B1606,0)*B1606),G1607+(ROUND(F1606*H1606/B1606,0)*B1606)),IF(D1606="BUY",G1607+(ROUND(F1606*H1606/B1606,0)*B1606),G1607-(ROUND(F1606*H1606/B1606,0)*B1606)))</f>
        <v>#DIV/0!</v>
      </c>
      <c r="I1607" s="29" t="e">
        <f>IF(D1606="BUY",G1607+(ROUND(F1606*I1606/(B1606*100),0)*B1606),G1607-(ROUND(F1606*I1606/(B1606*100),0)*B1606))</f>
        <v>#DIV/0!</v>
      </c>
      <c r="J1607" s="29" t="e">
        <f>IF(C1606=1,IF(D1606="BUY",E1606+(ROUND(F1606*J1606/B1606,0)*B1606),E1606-(ROUND(F1606*J1606/B1606,0)*B1606)),IF(D1606="BUY",E1606-(ROUND(F1606*J1606/B1606,0)*B1606),E1606+(ROUND(F1606*J1606/B1606,0)*B1606)))</f>
        <v>#DIV/0!</v>
      </c>
      <c r="K1607" s="29" t="e">
        <f>IF(C1606=1,IF(D1606="BUY",E1606-(ROUND(F1606*K1606/B1606,0)*B1606),E1606+(ROUND(F1606*K1606/B1606,0)*B1606)),IF(D1606="BUY",E1606-(ROUND(F1606*K1606/B1606,0)*B1606),E1606+(ROUND(F1606*K1606/B1606,0)*B1606)))</f>
        <v>#DIV/0!</v>
      </c>
      <c r="L1607" s="29" t="e">
        <f t="shared" ref="L1607" si="2405">IF(D1607="BUY",I1607+(R1607*B1607),I1607-(R1607*B1607))</f>
        <v>#DIV/0!</v>
      </c>
      <c r="M1607" s="29" t="e">
        <f>IF(D1606="BUY",E1606+(ROUND(F1606*M1606/B1606,0)*B1606),E1606-(ROUND(F1606*M1606/B1606,0)*B1606))</f>
        <v>#DIV/0!</v>
      </c>
      <c r="N1607" s="29" t="e">
        <f>IF(D1606="BUY",E1606-(ROUND(F1606*N1606/B1606,0)*B1606),E1606+(ROUND(F1606*N1606/B1606,0)*B1606))</f>
        <v>#DIV/0!</v>
      </c>
      <c r="O1607" s="31" t="e">
        <f>IF(D1607="BUY",N1607-VLOOKUP(A1607,Symbols!A$1:D$1000,4,FALSE),N1607+VLOOKUP(A1607,Symbols!A$1:D$1000,4,FALSE))</f>
        <v>#DIV/0!</v>
      </c>
      <c r="P1607" s="29">
        <f>P1606</f>
        <v>0</v>
      </c>
      <c r="Q1607" s="29">
        <f>Q1606</f>
        <v>0</v>
      </c>
      <c r="R1607" s="29">
        <f>R1606</f>
        <v>0</v>
      </c>
      <c r="S1607" s="29">
        <f>S1606</f>
        <v>0</v>
      </c>
      <c r="T1607" s="29">
        <f>T1606</f>
        <v>0</v>
      </c>
      <c r="U1607" s="29" t="e">
        <f>DATEDIF(DATE(1970,1,1),U1606,"D")*86400</f>
        <v>#NUM!</v>
      </c>
      <c r="V1607" s="29">
        <f>HOUR(V1606)*3600+MINUTE(V1606)*60+SECOND(V1606)</f>
        <v>0</v>
      </c>
      <c r="W1607" s="29" t="e">
        <f>DATEDIF(DATE(1970,1,1),W1606,"D")*86400</f>
        <v>#NUM!</v>
      </c>
      <c r="X1607" s="29">
        <f>HOUR(X1606)*3600+MINUTE(X1606)*60+SECOND(X1606)</f>
        <v>0</v>
      </c>
      <c r="Y1607" s="31">
        <f>(Y1606*B1607)</f>
        <v>0</v>
      </c>
      <c r="Z1607" s="29">
        <f>Z1606</f>
        <v>0</v>
      </c>
      <c r="AA1607" s="29" t="e">
        <f>DATEDIF(DATE(1970,1,1),AA1606,"D")*86400</f>
        <v>#NUM!</v>
      </c>
      <c r="AB1607" s="29">
        <f>HOUR(AB1606)*3600+MINUTE(AB1606)*60+SECOND(AB1606)</f>
        <v>0</v>
      </c>
      <c r="AC1607" s="29">
        <f>AC1606</f>
        <v>0</v>
      </c>
    </row>
    <row r="1608" spans="1:29">
      <c r="A1608" s="23">
        <f>Parameters!A805</f>
        <v>0</v>
      </c>
      <c r="B1608" s="23">
        <f>Parameters!B805</f>
        <v>0</v>
      </c>
      <c r="C1608" s="24">
        <f>Parameters!C805</f>
        <v>0</v>
      </c>
      <c r="D1608" s="24">
        <f>Parameters!D805</f>
        <v>0</v>
      </c>
      <c r="E1608" s="23">
        <f>Parameters!E805</f>
        <v>0</v>
      </c>
      <c r="F1608" s="23">
        <f>Parameters!F805</f>
        <v>0</v>
      </c>
      <c r="G1608" s="25">
        <f>Parameters!G805</f>
        <v>0</v>
      </c>
      <c r="H1608" s="25">
        <f>Parameters!H805</f>
        <v>0</v>
      </c>
      <c r="I1608" s="25">
        <f>Parameters!I805</f>
        <v>0</v>
      </c>
      <c r="J1608" s="25">
        <f>Parameters!J805</f>
        <v>0</v>
      </c>
      <c r="K1608" s="25">
        <f>Parameters!K805</f>
        <v>0</v>
      </c>
      <c r="L1608" s="26" t="e">
        <f t="shared" ref="L1608" si="2406">L1609</f>
        <v>#DIV/0!</v>
      </c>
      <c r="M1608" s="25">
        <f>Parameters!L805</f>
        <v>0</v>
      </c>
      <c r="N1608" s="25">
        <f>Parameters!M805</f>
        <v>0</v>
      </c>
      <c r="O1608" s="26" t="e">
        <f t="shared" ref="O1608" si="2407">O1609</f>
        <v>#DIV/0!</v>
      </c>
      <c r="P1608" s="23">
        <f>Parameters!N805</f>
        <v>0</v>
      </c>
      <c r="Q1608" s="23">
        <f>Parameters!O805</f>
        <v>0</v>
      </c>
      <c r="R1608" s="23">
        <f>Parameters!P805</f>
        <v>0</v>
      </c>
      <c r="S1608" s="23">
        <f>Parameters!Q805</f>
        <v>0</v>
      </c>
      <c r="T1608" s="23">
        <f>Parameters!R805</f>
        <v>0</v>
      </c>
      <c r="U1608" s="27">
        <f>Parameters!S805</f>
        <v>0</v>
      </c>
      <c r="V1608" s="28">
        <f>Parameters!T805</f>
        <v>0</v>
      </c>
      <c r="W1608" s="27">
        <f>Parameters!U805</f>
        <v>0</v>
      </c>
      <c r="X1608" s="28">
        <f>Parameters!V805</f>
        <v>0</v>
      </c>
      <c r="Y1608" s="25">
        <f>Parameters!W805</f>
        <v>0</v>
      </c>
      <c r="Z1608" s="23">
        <f>Parameters!X805</f>
        <v>0</v>
      </c>
      <c r="AA1608" s="27">
        <f>Parameters!Y805</f>
        <v>0</v>
      </c>
      <c r="AB1608" s="28">
        <f>Parameters!Z805</f>
        <v>0</v>
      </c>
      <c r="AC1608" s="23">
        <f>Parameters!AA805</f>
        <v>0</v>
      </c>
    </row>
    <row r="1609" spans="1:29">
      <c r="A1609" s="29" t="str">
        <f>UPPER(A1608)</f>
        <v>0</v>
      </c>
      <c r="B1609" s="29">
        <f>B1608</f>
        <v>0</v>
      </c>
      <c r="C1609" s="30">
        <f>C1608</f>
        <v>0</v>
      </c>
      <c r="D1609" s="30">
        <f>D1608</f>
        <v>0</v>
      </c>
      <c r="E1609" s="29">
        <f>E1608</f>
        <v>0</v>
      </c>
      <c r="F1609" s="29">
        <f>F1608</f>
        <v>0</v>
      </c>
      <c r="G1609" s="29" t="e">
        <f>IF(C1608=1,IF(D1608="BUY",E1608+(ROUND(F1608*G1608/B1608,0)*B1608),E1608-(ROUND(F1608*G1608/B1608,0)*B1608)),IF(D1608="BUY",E1608-(ROUND(F1608*G1608/B1608,0)*B1608),E1608+(ROUND(F1608*G1608/B1608,0)*B1608)))</f>
        <v>#DIV/0!</v>
      </c>
      <c r="H1609" s="29" t="e">
        <f>IF(C1608=1,IF(D1608="BUY",G1609-(ROUND(F1608*H1608/B1608,0)*B1608),G1609+(ROUND(F1608*H1608/B1608,0)*B1608)),IF(D1608="BUY",G1609+(ROUND(F1608*H1608/B1608,0)*B1608),G1609-(ROUND(F1608*H1608/B1608,0)*B1608)))</f>
        <v>#DIV/0!</v>
      </c>
      <c r="I1609" s="29" t="e">
        <f>IF(D1608="BUY",G1609+(ROUND(F1608*I1608/(B1608*100),0)*B1608),G1609-(ROUND(F1608*I1608/(B1608*100),0)*B1608))</f>
        <v>#DIV/0!</v>
      </c>
      <c r="J1609" s="29" t="e">
        <f>IF(C1608=1,IF(D1608="BUY",E1608+(ROUND(F1608*J1608/B1608,0)*B1608),E1608-(ROUND(F1608*J1608/B1608,0)*B1608)),IF(D1608="BUY",E1608-(ROUND(F1608*J1608/B1608,0)*B1608),E1608+(ROUND(F1608*J1608/B1608,0)*B1608)))</f>
        <v>#DIV/0!</v>
      </c>
      <c r="K1609" s="29" t="e">
        <f>IF(C1608=1,IF(D1608="BUY",E1608-(ROUND(F1608*K1608/B1608,0)*B1608),E1608+(ROUND(F1608*K1608/B1608,0)*B1608)),IF(D1608="BUY",E1608-(ROUND(F1608*K1608/B1608,0)*B1608),E1608+(ROUND(F1608*K1608/B1608,0)*B1608)))</f>
        <v>#DIV/0!</v>
      </c>
      <c r="L1609" s="29" t="e">
        <f t="shared" ref="L1609" si="2408">IF(D1609="BUY",I1609+(R1609*B1609),I1609-(R1609*B1609))</f>
        <v>#DIV/0!</v>
      </c>
      <c r="M1609" s="29" t="e">
        <f>IF(D1608="BUY",E1608+(ROUND(F1608*M1608/B1608,0)*B1608),E1608-(ROUND(F1608*M1608/B1608,0)*B1608))</f>
        <v>#DIV/0!</v>
      </c>
      <c r="N1609" s="29" t="e">
        <f>IF(D1608="BUY",E1608-(ROUND(F1608*N1608/B1608,0)*B1608),E1608+(ROUND(F1608*N1608/B1608,0)*B1608))</f>
        <v>#DIV/0!</v>
      </c>
      <c r="O1609" s="31" t="e">
        <f>IF(D1609="BUY",N1609-VLOOKUP(A1609,Symbols!A$1:D$1000,4,FALSE),N1609+VLOOKUP(A1609,Symbols!A$1:D$1000,4,FALSE))</f>
        <v>#DIV/0!</v>
      </c>
      <c r="P1609" s="29">
        <f>P1608</f>
        <v>0</v>
      </c>
      <c r="Q1609" s="29">
        <f>Q1608</f>
        <v>0</v>
      </c>
      <c r="R1609" s="29">
        <f>R1608</f>
        <v>0</v>
      </c>
      <c r="S1609" s="29">
        <f>S1608</f>
        <v>0</v>
      </c>
      <c r="T1609" s="29">
        <f>T1608</f>
        <v>0</v>
      </c>
      <c r="U1609" s="29" t="e">
        <f>DATEDIF(DATE(1970,1,1),U1608,"D")*86400</f>
        <v>#NUM!</v>
      </c>
      <c r="V1609" s="29">
        <f>HOUR(V1608)*3600+MINUTE(V1608)*60+SECOND(V1608)</f>
        <v>0</v>
      </c>
      <c r="W1609" s="29" t="e">
        <f>DATEDIF(DATE(1970,1,1),W1608,"D")*86400</f>
        <v>#NUM!</v>
      </c>
      <c r="X1609" s="29">
        <f>HOUR(X1608)*3600+MINUTE(X1608)*60+SECOND(X1608)</f>
        <v>0</v>
      </c>
      <c r="Y1609" s="31">
        <f>(Y1608*B1609)</f>
        <v>0</v>
      </c>
      <c r="Z1609" s="29">
        <f>Z1608</f>
        <v>0</v>
      </c>
      <c r="AA1609" s="29" t="e">
        <f>DATEDIF(DATE(1970,1,1),AA1608,"D")*86400</f>
        <v>#NUM!</v>
      </c>
      <c r="AB1609" s="29">
        <f>HOUR(AB1608)*3600+MINUTE(AB1608)*60+SECOND(AB1608)</f>
        <v>0</v>
      </c>
      <c r="AC1609" s="29">
        <f>AC1608</f>
        <v>0</v>
      </c>
    </row>
    <row r="1610" spans="1:29">
      <c r="A1610" s="23">
        <f>Parameters!A806</f>
        <v>0</v>
      </c>
      <c r="B1610" s="23">
        <f>Parameters!B806</f>
        <v>0</v>
      </c>
      <c r="C1610" s="24">
        <f>Parameters!C806</f>
        <v>0</v>
      </c>
      <c r="D1610" s="24">
        <f>Parameters!D806</f>
        <v>0</v>
      </c>
      <c r="E1610" s="23">
        <f>Parameters!E806</f>
        <v>0</v>
      </c>
      <c r="F1610" s="23">
        <f>Parameters!F806</f>
        <v>0</v>
      </c>
      <c r="G1610" s="25">
        <f>Parameters!G806</f>
        <v>0</v>
      </c>
      <c r="H1610" s="25">
        <f>Parameters!H806</f>
        <v>0</v>
      </c>
      <c r="I1610" s="25">
        <f>Parameters!I806</f>
        <v>0</v>
      </c>
      <c r="J1610" s="25">
        <f>Parameters!J806</f>
        <v>0</v>
      </c>
      <c r="K1610" s="25">
        <f>Parameters!K806</f>
        <v>0</v>
      </c>
      <c r="L1610" s="26" t="e">
        <f t="shared" ref="L1610" si="2409">L1611</f>
        <v>#DIV/0!</v>
      </c>
      <c r="M1610" s="25">
        <f>Parameters!L806</f>
        <v>0</v>
      </c>
      <c r="N1610" s="25">
        <f>Parameters!M806</f>
        <v>0</v>
      </c>
      <c r="O1610" s="26" t="e">
        <f t="shared" ref="O1610" si="2410">O1611</f>
        <v>#DIV/0!</v>
      </c>
      <c r="P1610" s="23">
        <f>Parameters!N806</f>
        <v>0</v>
      </c>
      <c r="Q1610" s="23">
        <f>Parameters!O806</f>
        <v>0</v>
      </c>
      <c r="R1610" s="23">
        <f>Parameters!P806</f>
        <v>0</v>
      </c>
      <c r="S1610" s="23">
        <f>Parameters!Q806</f>
        <v>0</v>
      </c>
      <c r="T1610" s="23">
        <f>Parameters!R806</f>
        <v>0</v>
      </c>
      <c r="U1610" s="27">
        <f>Parameters!S806</f>
        <v>0</v>
      </c>
      <c r="V1610" s="28">
        <f>Parameters!T806</f>
        <v>0</v>
      </c>
      <c r="W1610" s="27">
        <f>Parameters!U806</f>
        <v>0</v>
      </c>
      <c r="X1610" s="28">
        <f>Parameters!V806</f>
        <v>0</v>
      </c>
      <c r="Y1610" s="25">
        <f>Parameters!W806</f>
        <v>0</v>
      </c>
      <c r="Z1610" s="23">
        <f>Parameters!X806</f>
        <v>0</v>
      </c>
      <c r="AA1610" s="27">
        <f>Parameters!Y806</f>
        <v>0</v>
      </c>
      <c r="AB1610" s="28">
        <f>Parameters!Z806</f>
        <v>0</v>
      </c>
      <c r="AC1610" s="23">
        <f>Parameters!AA806</f>
        <v>0</v>
      </c>
    </row>
    <row r="1611" spans="1:29">
      <c r="A1611" s="29" t="str">
        <f>UPPER(A1610)</f>
        <v>0</v>
      </c>
      <c r="B1611" s="29">
        <f>B1610</f>
        <v>0</v>
      </c>
      <c r="C1611" s="30">
        <f>C1610</f>
        <v>0</v>
      </c>
      <c r="D1611" s="30">
        <f>D1610</f>
        <v>0</v>
      </c>
      <c r="E1611" s="29">
        <f>E1610</f>
        <v>0</v>
      </c>
      <c r="F1611" s="29">
        <f>F1610</f>
        <v>0</v>
      </c>
      <c r="G1611" s="29" t="e">
        <f>IF(C1610=1,IF(D1610="BUY",E1610+(ROUND(F1610*G1610/B1610,0)*B1610),E1610-(ROUND(F1610*G1610/B1610,0)*B1610)),IF(D1610="BUY",E1610-(ROUND(F1610*G1610/B1610,0)*B1610),E1610+(ROUND(F1610*G1610/B1610,0)*B1610)))</f>
        <v>#DIV/0!</v>
      </c>
      <c r="H1611" s="29" t="e">
        <f>IF(C1610=1,IF(D1610="BUY",G1611-(ROUND(F1610*H1610/B1610,0)*B1610),G1611+(ROUND(F1610*H1610/B1610,0)*B1610)),IF(D1610="BUY",G1611+(ROUND(F1610*H1610/B1610,0)*B1610),G1611-(ROUND(F1610*H1610/B1610,0)*B1610)))</f>
        <v>#DIV/0!</v>
      </c>
      <c r="I1611" s="29" t="e">
        <f>IF(D1610="BUY",G1611+(ROUND(F1610*I1610/(B1610*100),0)*B1610),G1611-(ROUND(F1610*I1610/(B1610*100),0)*B1610))</f>
        <v>#DIV/0!</v>
      </c>
      <c r="J1611" s="29" t="e">
        <f>IF(C1610=1,IF(D1610="BUY",E1610+(ROUND(F1610*J1610/B1610,0)*B1610),E1610-(ROUND(F1610*J1610/B1610,0)*B1610)),IF(D1610="BUY",E1610-(ROUND(F1610*J1610/B1610,0)*B1610),E1610+(ROUND(F1610*J1610/B1610,0)*B1610)))</f>
        <v>#DIV/0!</v>
      </c>
      <c r="K1611" s="29" t="e">
        <f>IF(C1610=1,IF(D1610="BUY",E1610-(ROUND(F1610*K1610/B1610,0)*B1610),E1610+(ROUND(F1610*K1610/B1610,0)*B1610)),IF(D1610="BUY",E1610-(ROUND(F1610*K1610/B1610,0)*B1610),E1610+(ROUND(F1610*K1610/B1610,0)*B1610)))</f>
        <v>#DIV/0!</v>
      </c>
      <c r="L1611" s="29" t="e">
        <f t="shared" ref="L1611" si="2411">IF(D1611="BUY",I1611+(R1611*B1611),I1611-(R1611*B1611))</f>
        <v>#DIV/0!</v>
      </c>
      <c r="M1611" s="29" t="e">
        <f>IF(D1610="BUY",E1610+(ROUND(F1610*M1610/B1610,0)*B1610),E1610-(ROUND(F1610*M1610/B1610,0)*B1610))</f>
        <v>#DIV/0!</v>
      </c>
      <c r="N1611" s="29" t="e">
        <f>IF(D1610="BUY",E1610-(ROUND(F1610*N1610/B1610,0)*B1610),E1610+(ROUND(F1610*N1610/B1610,0)*B1610))</f>
        <v>#DIV/0!</v>
      </c>
      <c r="O1611" s="31" t="e">
        <f>IF(D1611="BUY",N1611-VLOOKUP(A1611,Symbols!A$1:D$1000,4,FALSE),N1611+VLOOKUP(A1611,Symbols!A$1:D$1000,4,FALSE))</f>
        <v>#DIV/0!</v>
      </c>
      <c r="P1611" s="29">
        <f>P1610</f>
        <v>0</v>
      </c>
      <c r="Q1611" s="29">
        <f>Q1610</f>
        <v>0</v>
      </c>
      <c r="R1611" s="29">
        <f>R1610</f>
        <v>0</v>
      </c>
      <c r="S1611" s="29">
        <f>S1610</f>
        <v>0</v>
      </c>
      <c r="T1611" s="29">
        <f>T1610</f>
        <v>0</v>
      </c>
      <c r="U1611" s="29" t="e">
        <f>DATEDIF(DATE(1970,1,1),U1610,"D")*86400</f>
        <v>#NUM!</v>
      </c>
      <c r="V1611" s="29">
        <f>HOUR(V1610)*3600+MINUTE(V1610)*60+SECOND(V1610)</f>
        <v>0</v>
      </c>
      <c r="W1611" s="29" t="e">
        <f>DATEDIF(DATE(1970,1,1),W1610,"D")*86400</f>
        <v>#NUM!</v>
      </c>
      <c r="X1611" s="29">
        <f>HOUR(X1610)*3600+MINUTE(X1610)*60+SECOND(X1610)</f>
        <v>0</v>
      </c>
      <c r="Y1611" s="31">
        <f>(Y1610*B1611)</f>
        <v>0</v>
      </c>
      <c r="Z1611" s="29">
        <f>Z1610</f>
        <v>0</v>
      </c>
      <c r="AA1611" s="29" t="e">
        <f>DATEDIF(DATE(1970,1,1),AA1610,"D")*86400</f>
        <v>#NUM!</v>
      </c>
      <c r="AB1611" s="29">
        <f>HOUR(AB1610)*3600+MINUTE(AB1610)*60+SECOND(AB1610)</f>
        <v>0</v>
      </c>
      <c r="AC1611" s="29">
        <f>AC1610</f>
        <v>0</v>
      </c>
    </row>
    <row r="1612" spans="1:29">
      <c r="A1612" s="23">
        <f>Parameters!A807</f>
        <v>0</v>
      </c>
      <c r="B1612" s="23">
        <f>Parameters!B807</f>
        <v>0</v>
      </c>
      <c r="C1612" s="24">
        <f>Parameters!C807</f>
        <v>0</v>
      </c>
      <c r="D1612" s="24">
        <f>Parameters!D807</f>
        <v>0</v>
      </c>
      <c r="E1612" s="23">
        <f>Parameters!E807</f>
        <v>0</v>
      </c>
      <c r="F1612" s="23">
        <f>Parameters!F807</f>
        <v>0</v>
      </c>
      <c r="G1612" s="25">
        <f>Parameters!G807</f>
        <v>0</v>
      </c>
      <c r="H1612" s="25">
        <f>Parameters!H807</f>
        <v>0</v>
      </c>
      <c r="I1612" s="25">
        <f>Parameters!I807</f>
        <v>0</v>
      </c>
      <c r="J1612" s="25">
        <f>Parameters!J807</f>
        <v>0</v>
      </c>
      <c r="K1612" s="25">
        <f>Parameters!K807</f>
        <v>0</v>
      </c>
      <c r="L1612" s="26" t="e">
        <f t="shared" ref="L1612" si="2412">L1613</f>
        <v>#DIV/0!</v>
      </c>
      <c r="M1612" s="25">
        <f>Parameters!L807</f>
        <v>0</v>
      </c>
      <c r="N1612" s="25">
        <f>Parameters!M807</f>
        <v>0</v>
      </c>
      <c r="O1612" s="26" t="e">
        <f t="shared" ref="O1612" si="2413">O1613</f>
        <v>#DIV/0!</v>
      </c>
      <c r="P1612" s="23">
        <f>Parameters!N807</f>
        <v>0</v>
      </c>
      <c r="Q1612" s="23">
        <f>Parameters!O807</f>
        <v>0</v>
      </c>
      <c r="R1612" s="23">
        <f>Parameters!P807</f>
        <v>0</v>
      </c>
      <c r="S1612" s="23">
        <f>Parameters!Q807</f>
        <v>0</v>
      </c>
      <c r="T1612" s="23">
        <f>Parameters!R807</f>
        <v>0</v>
      </c>
      <c r="U1612" s="27">
        <f>Parameters!S807</f>
        <v>0</v>
      </c>
      <c r="V1612" s="28">
        <f>Parameters!T807</f>
        <v>0</v>
      </c>
      <c r="W1612" s="27">
        <f>Parameters!U807</f>
        <v>0</v>
      </c>
      <c r="X1612" s="28">
        <f>Parameters!V807</f>
        <v>0</v>
      </c>
      <c r="Y1612" s="25">
        <f>Parameters!W807</f>
        <v>0</v>
      </c>
      <c r="Z1612" s="23">
        <f>Parameters!X807</f>
        <v>0</v>
      </c>
      <c r="AA1612" s="27">
        <f>Parameters!Y807</f>
        <v>0</v>
      </c>
      <c r="AB1612" s="28">
        <f>Parameters!Z807</f>
        <v>0</v>
      </c>
      <c r="AC1612" s="23">
        <f>Parameters!AA807</f>
        <v>0</v>
      </c>
    </row>
    <row r="1613" spans="1:29">
      <c r="A1613" s="29" t="str">
        <f>UPPER(A1612)</f>
        <v>0</v>
      </c>
      <c r="B1613" s="29">
        <f>B1612</f>
        <v>0</v>
      </c>
      <c r="C1613" s="30">
        <f>C1612</f>
        <v>0</v>
      </c>
      <c r="D1613" s="30">
        <f>D1612</f>
        <v>0</v>
      </c>
      <c r="E1613" s="29">
        <f>E1612</f>
        <v>0</v>
      </c>
      <c r="F1613" s="29">
        <f>F1612</f>
        <v>0</v>
      </c>
      <c r="G1613" s="29" t="e">
        <f>IF(C1612=1,IF(D1612="BUY",E1612+(ROUND(F1612*G1612/B1612,0)*B1612),E1612-(ROUND(F1612*G1612/B1612,0)*B1612)),IF(D1612="BUY",E1612-(ROUND(F1612*G1612/B1612,0)*B1612),E1612+(ROUND(F1612*G1612/B1612,0)*B1612)))</f>
        <v>#DIV/0!</v>
      </c>
      <c r="H1613" s="29" t="e">
        <f>IF(C1612=1,IF(D1612="BUY",G1613-(ROUND(F1612*H1612/B1612,0)*B1612),G1613+(ROUND(F1612*H1612/B1612,0)*B1612)),IF(D1612="BUY",G1613+(ROUND(F1612*H1612/B1612,0)*B1612),G1613-(ROUND(F1612*H1612/B1612,0)*B1612)))</f>
        <v>#DIV/0!</v>
      </c>
      <c r="I1613" s="29" t="e">
        <f>IF(D1612="BUY",G1613+(ROUND(F1612*I1612/(B1612*100),0)*B1612),G1613-(ROUND(F1612*I1612/(B1612*100),0)*B1612))</f>
        <v>#DIV/0!</v>
      </c>
      <c r="J1613" s="29" t="e">
        <f>IF(C1612=1,IF(D1612="BUY",E1612+(ROUND(F1612*J1612/B1612,0)*B1612),E1612-(ROUND(F1612*J1612/B1612,0)*B1612)),IF(D1612="BUY",E1612-(ROUND(F1612*J1612/B1612,0)*B1612),E1612+(ROUND(F1612*J1612/B1612,0)*B1612)))</f>
        <v>#DIV/0!</v>
      </c>
      <c r="K1613" s="29" t="e">
        <f>IF(C1612=1,IF(D1612="BUY",E1612-(ROUND(F1612*K1612/B1612,0)*B1612),E1612+(ROUND(F1612*K1612/B1612,0)*B1612)),IF(D1612="BUY",E1612-(ROUND(F1612*K1612/B1612,0)*B1612),E1612+(ROUND(F1612*K1612/B1612,0)*B1612)))</f>
        <v>#DIV/0!</v>
      </c>
      <c r="L1613" s="29" t="e">
        <f t="shared" ref="L1613" si="2414">IF(D1613="BUY",I1613+(R1613*B1613),I1613-(R1613*B1613))</f>
        <v>#DIV/0!</v>
      </c>
      <c r="M1613" s="29" t="e">
        <f>IF(D1612="BUY",E1612+(ROUND(F1612*M1612/B1612,0)*B1612),E1612-(ROUND(F1612*M1612/B1612,0)*B1612))</f>
        <v>#DIV/0!</v>
      </c>
      <c r="N1613" s="29" t="e">
        <f>IF(D1612="BUY",E1612-(ROUND(F1612*N1612/B1612,0)*B1612),E1612+(ROUND(F1612*N1612/B1612,0)*B1612))</f>
        <v>#DIV/0!</v>
      </c>
      <c r="O1613" s="31" t="e">
        <f>IF(D1613="BUY",N1613-VLOOKUP(A1613,Symbols!A$1:D$1000,4,FALSE),N1613+VLOOKUP(A1613,Symbols!A$1:D$1000,4,FALSE))</f>
        <v>#DIV/0!</v>
      </c>
      <c r="P1613" s="29">
        <f>P1612</f>
        <v>0</v>
      </c>
      <c r="Q1613" s="29">
        <f>Q1612</f>
        <v>0</v>
      </c>
      <c r="R1613" s="29">
        <f>R1612</f>
        <v>0</v>
      </c>
      <c r="S1613" s="29">
        <f>S1612</f>
        <v>0</v>
      </c>
      <c r="T1613" s="29">
        <f>T1612</f>
        <v>0</v>
      </c>
      <c r="U1613" s="29" t="e">
        <f>DATEDIF(DATE(1970,1,1),U1612,"D")*86400</f>
        <v>#NUM!</v>
      </c>
      <c r="V1613" s="29">
        <f>HOUR(V1612)*3600+MINUTE(V1612)*60+SECOND(V1612)</f>
        <v>0</v>
      </c>
      <c r="W1613" s="29" t="e">
        <f>DATEDIF(DATE(1970,1,1),W1612,"D")*86400</f>
        <v>#NUM!</v>
      </c>
      <c r="X1613" s="29">
        <f>HOUR(X1612)*3600+MINUTE(X1612)*60+SECOND(X1612)</f>
        <v>0</v>
      </c>
      <c r="Y1613" s="31">
        <f>(Y1612*B1613)</f>
        <v>0</v>
      </c>
      <c r="Z1613" s="29">
        <f>Z1612</f>
        <v>0</v>
      </c>
      <c r="AA1613" s="29" t="e">
        <f>DATEDIF(DATE(1970,1,1),AA1612,"D")*86400</f>
        <v>#NUM!</v>
      </c>
      <c r="AB1613" s="29">
        <f>HOUR(AB1612)*3600+MINUTE(AB1612)*60+SECOND(AB1612)</f>
        <v>0</v>
      </c>
      <c r="AC1613" s="29">
        <f>AC1612</f>
        <v>0</v>
      </c>
    </row>
    <row r="1614" spans="1:29">
      <c r="A1614" s="23">
        <f>Parameters!A808</f>
        <v>0</v>
      </c>
      <c r="B1614" s="23">
        <f>Parameters!B808</f>
        <v>0</v>
      </c>
      <c r="C1614" s="24">
        <f>Parameters!C808</f>
        <v>0</v>
      </c>
      <c r="D1614" s="24">
        <f>Parameters!D808</f>
        <v>0</v>
      </c>
      <c r="E1614" s="23">
        <f>Parameters!E808</f>
        <v>0</v>
      </c>
      <c r="F1614" s="23">
        <f>Parameters!F808</f>
        <v>0</v>
      </c>
      <c r="G1614" s="25">
        <f>Parameters!G808</f>
        <v>0</v>
      </c>
      <c r="H1614" s="25">
        <f>Parameters!H808</f>
        <v>0</v>
      </c>
      <c r="I1614" s="25">
        <f>Parameters!I808</f>
        <v>0</v>
      </c>
      <c r="J1614" s="25">
        <f>Parameters!J808</f>
        <v>0</v>
      </c>
      <c r="K1614" s="25">
        <f>Parameters!K808</f>
        <v>0</v>
      </c>
      <c r="L1614" s="26" t="e">
        <f t="shared" ref="L1614" si="2415">L1615</f>
        <v>#DIV/0!</v>
      </c>
      <c r="M1614" s="25">
        <f>Parameters!L808</f>
        <v>0</v>
      </c>
      <c r="N1614" s="25">
        <f>Parameters!M808</f>
        <v>0</v>
      </c>
      <c r="O1614" s="26" t="e">
        <f t="shared" ref="O1614" si="2416">O1615</f>
        <v>#DIV/0!</v>
      </c>
      <c r="P1614" s="23">
        <f>Parameters!N808</f>
        <v>0</v>
      </c>
      <c r="Q1614" s="23">
        <f>Parameters!O808</f>
        <v>0</v>
      </c>
      <c r="R1614" s="23">
        <f>Parameters!P808</f>
        <v>0</v>
      </c>
      <c r="S1614" s="23">
        <f>Parameters!Q808</f>
        <v>0</v>
      </c>
      <c r="T1614" s="23">
        <f>Parameters!R808</f>
        <v>0</v>
      </c>
      <c r="U1614" s="27">
        <f>Parameters!S808</f>
        <v>0</v>
      </c>
      <c r="V1614" s="28">
        <f>Parameters!T808</f>
        <v>0</v>
      </c>
      <c r="W1614" s="27">
        <f>Parameters!U808</f>
        <v>0</v>
      </c>
      <c r="X1614" s="28">
        <f>Parameters!V808</f>
        <v>0</v>
      </c>
      <c r="Y1614" s="25">
        <f>Parameters!W808</f>
        <v>0</v>
      </c>
      <c r="Z1614" s="23">
        <f>Parameters!X808</f>
        <v>0</v>
      </c>
      <c r="AA1614" s="27">
        <f>Parameters!Y808</f>
        <v>0</v>
      </c>
      <c r="AB1614" s="28">
        <f>Parameters!Z808</f>
        <v>0</v>
      </c>
      <c r="AC1614" s="23">
        <f>Parameters!AA808</f>
        <v>0</v>
      </c>
    </row>
    <row r="1615" spans="1:29">
      <c r="A1615" s="29" t="str">
        <f>UPPER(A1614)</f>
        <v>0</v>
      </c>
      <c r="B1615" s="29">
        <f>B1614</f>
        <v>0</v>
      </c>
      <c r="C1615" s="30">
        <f>C1614</f>
        <v>0</v>
      </c>
      <c r="D1615" s="30">
        <f>D1614</f>
        <v>0</v>
      </c>
      <c r="E1615" s="29">
        <f>E1614</f>
        <v>0</v>
      </c>
      <c r="F1615" s="29">
        <f>F1614</f>
        <v>0</v>
      </c>
      <c r="G1615" s="29" t="e">
        <f>IF(C1614=1,IF(D1614="BUY",E1614+(ROUND(F1614*G1614/B1614,0)*B1614),E1614-(ROUND(F1614*G1614/B1614,0)*B1614)),IF(D1614="BUY",E1614-(ROUND(F1614*G1614/B1614,0)*B1614),E1614+(ROUND(F1614*G1614/B1614,0)*B1614)))</f>
        <v>#DIV/0!</v>
      </c>
      <c r="H1615" s="29" t="e">
        <f>IF(C1614=1,IF(D1614="BUY",G1615-(ROUND(F1614*H1614/B1614,0)*B1614),G1615+(ROUND(F1614*H1614/B1614,0)*B1614)),IF(D1614="BUY",G1615+(ROUND(F1614*H1614/B1614,0)*B1614),G1615-(ROUND(F1614*H1614/B1614,0)*B1614)))</f>
        <v>#DIV/0!</v>
      </c>
      <c r="I1615" s="29" t="e">
        <f>IF(D1614="BUY",G1615+(ROUND(F1614*I1614/(B1614*100),0)*B1614),G1615-(ROUND(F1614*I1614/(B1614*100),0)*B1614))</f>
        <v>#DIV/0!</v>
      </c>
      <c r="J1615" s="29" t="e">
        <f>IF(C1614=1,IF(D1614="BUY",E1614+(ROUND(F1614*J1614/B1614,0)*B1614),E1614-(ROUND(F1614*J1614/B1614,0)*B1614)),IF(D1614="BUY",E1614-(ROUND(F1614*J1614/B1614,0)*B1614),E1614+(ROUND(F1614*J1614/B1614,0)*B1614)))</f>
        <v>#DIV/0!</v>
      </c>
      <c r="K1615" s="29" t="e">
        <f>IF(C1614=1,IF(D1614="BUY",E1614-(ROUND(F1614*K1614/B1614,0)*B1614),E1614+(ROUND(F1614*K1614/B1614,0)*B1614)),IF(D1614="BUY",E1614-(ROUND(F1614*K1614/B1614,0)*B1614),E1614+(ROUND(F1614*K1614/B1614,0)*B1614)))</f>
        <v>#DIV/0!</v>
      </c>
      <c r="L1615" s="29" t="e">
        <f t="shared" ref="L1615" si="2417">IF(D1615="BUY",I1615+(R1615*B1615),I1615-(R1615*B1615))</f>
        <v>#DIV/0!</v>
      </c>
      <c r="M1615" s="29" t="e">
        <f>IF(D1614="BUY",E1614+(ROUND(F1614*M1614/B1614,0)*B1614),E1614-(ROUND(F1614*M1614/B1614,0)*B1614))</f>
        <v>#DIV/0!</v>
      </c>
      <c r="N1615" s="29" t="e">
        <f>IF(D1614="BUY",E1614-(ROUND(F1614*N1614/B1614,0)*B1614),E1614+(ROUND(F1614*N1614/B1614,0)*B1614))</f>
        <v>#DIV/0!</v>
      </c>
      <c r="O1615" s="31" t="e">
        <f>IF(D1615="BUY",N1615-VLOOKUP(A1615,Symbols!A$1:D$1000,4,FALSE),N1615+VLOOKUP(A1615,Symbols!A$1:D$1000,4,FALSE))</f>
        <v>#DIV/0!</v>
      </c>
      <c r="P1615" s="29">
        <f>P1614</f>
        <v>0</v>
      </c>
      <c r="Q1615" s="29">
        <f>Q1614</f>
        <v>0</v>
      </c>
      <c r="R1615" s="29">
        <f>R1614</f>
        <v>0</v>
      </c>
      <c r="S1615" s="29">
        <f>S1614</f>
        <v>0</v>
      </c>
      <c r="T1615" s="29">
        <f>T1614</f>
        <v>0</v>
      </c>
      <c r="U1615" s="29" t="e">
        <f>DATEDIF(DATE(1970,1,1),U1614,"D")*86400</f>
        <v>#NUM!</v>
      </c>
      <c r="V1615" s="29">
        <f>HOUR(V1614)*3600+MINUTE(V1614)*60+SECOND(V1614)</f>
        <v>0</v>
      </c>
      <c r="W1615" s="29" t="e">
        <f>DATEDIF(DATE(1970,1,1),W1614,"D")*86400</f>
        <v>#NUM!</v>
      </c>
      <c r="X1615" s="29">
        <f>HOUR(X1614)*3600+MINUTE(X1614)*60+SECOND(X1614)</f>
        <v>0</v>
      </c>
      <c r="Y1615" s="31">
        <f>(Y1614*B1615)</f>
        <v>0</v>
      </c>
      <c r="Z1615" s="29">
        <f>Z1614</f>
        <v>0</v>
      </c>
      <c r="AA1615" s="29" t="e">
        <f>DATEDIF(DATE(1970,1,1),AA1614,"D")*86400</f>
        <v>#NUM!</v>
      </c>
      <c r="AB1615" s="29">
        <f>HOUR(AB1614)*3600+MINUTE(AB1614)*60+SECOND(AB1614)</f>
        <v>0</v>
      </c>
      <c r="AC1615" s="29">
        <f>AC1614</f>
        <v>0</v>
      </c>
    </row>
    <row r="1616" spans="1:29">
      <c r="A1616" s="23">
        <f>Parameters!A809</f>
        <v>0</v>
      </c>
      <c r="B1616" s="23">
        <f>Parameters!B809</f>
        <v>0</v>
      </c>
      <c r="C1616" s="24">
        <f>Parameters!C809</f>
        <v>0</v>
      </c>
      <c r="D1616" s="24">
        <f>Parameters!D809</f>
        <v>0</v>
      </c>
      <c r="E1616" s="23">
        <f>Parameters!E809</f>
        <v>0</v>
      </c>
      <c r="F1616" s="23">
        <f>Parameters!F809</f>
        <v>0</v>
      </c>
      <c r="G1616" s="25">
        <f>Parameters!G809</f>
        <v>0</v>
      </c>
      <c r="H1616" s="25">
        <f>Parameters!H809</f>
        <v>0</v>
      </c>
      <c r="I1616" s="25">
        <f>Parameters!I809</f>
        <v>0</v>
      </c>
      <c r="J1616" s="25">
        <f>Parameters!J809</f>
        <v>0</v>
      </c>
      <c r="K1616" s="25">
        <f>Parameters!K809</f>
        <v>0</v>
      </c>
      <c r="L1616" s="26" t="e">
        <f t="shared" ref="L1616" si="2418">L1617</f>
        <v>#DIV/0!</v>
      </c>
      <c r="M1616" s="25">
        <f>Parameters!L809</f>
        <v>0</v>
      </c>
      <c r="N1616" s="25">
        <f>Parameters!M809</f>
        <v>0</v>
      </c>
      <c r="O1616" s="26" t="e">
        <f t="shared" ref="O1616" si="2419">O1617</f>
        <v>#DIV/0!</v>
      </c>
      <c r="P1616" s="23">
        <f>Parameters!N809</f>
        <v>0</v>
      </c>
      <c r="Q1616" s="23">
        <f>Parameters!O809</f>
        <v>0</v>
      </c>
      <c r="R1616" s="23">
        <f>Parameters!P809</f>
        <v>0</v>
      </c>
      <c r="S1616" s="23">
        <f>Parameters!Q809</f>
        <v>0</v>
      </c>
      <c r="T1616" s="23">
        <f>Parameters!R809</f>
        <v>0</v>
      </c>
      <c r="U1616" s="27">
        <f>Parameters!S809</f>
        <v>0</v>
      </c>
      <c r="V1616" s="28">
        <f>Parameters!T809</f>
        <v>0</v>
      </c>
      <c r="W1616" s="27">
        <f>Parameters!U809</f>
        <v>0</v>
      </c>
      <c r="X1616" s="28">
        <f>Parameters!V809</f>
        <v>0</v>
      </c>
      <c r="Y1616" s="25">
        <f>Parameters!W809</f>
        <v>0</v>
      </c>
      <c r="Z1616" s="23">
        <f>Parameters!X809</f>
        <v>0</v>
      </c>
      <c r="AA1616" s="27">
        <f>Parameters!Y809</f>
        <v>0</v>
      </c>
      <c r="AB1616" s="28">
        <f>Parameters!Z809</f>
        <v>0</v>
      </c>
      <c r="AC1616" s="23">
        <f>Parameters!AA809</f>
        <v>0</v>
      </c>
    </row>
    <row r="1617" spans="1:29">
      <c r="A1617" s="29" t="str">
        <f>UPPER(A1616)</f>
        <v>0</v>
      </c>
      <c r="B1617" s="29">
        <f>B1616</f>
        <v>0</v>
      </c>
      <c r="C1617" s="30">
        <f>C1616</f>
        <v>0</v>
      </c>
      <c r="D1617" s="30">
        <f>D1616</f>
        <v>0</v>
      </c>
      <c r="E1617" s="29">
        <f>E1616</f>
        <v>0</v>
      </c>
      <c r="F1617" s="29">
        <f>F1616</f>
        <v>0</v>
      </c>
      <c r="G1617" s="29" t="e">
        <f>IF(C1616=1,IF(D1616="BUY",E1616+(ROUND(F1616*G1616/B1616,0)*B1616),E1616-(ROUND(F1616*G1616/B1616,0)*B1616)),IF(D1616="BUY",E1616-(ROUND(F1616*G1616/B1616,0)*B1616),E1616+(ROUND(F1616*G1616/B1616,0)*B1616)))</f>
        <v>#DIV/0!</v>
      </c>
      <c r="H1617" s="29" t="e">
        <f>IF(C1616=1,IF(D1616="BUY",G1617-(ROUND(F1616*H1616/B1616,0)*B1616),G1617+(ROUND(F1616*H1616/B1616,0)*B1616)),IF(D1616="BUY",G1617+(ROUND(F1616*H1616/B1616,0)*B1616),G1617-(ROUND(F1616*H1616/B1616,0)*B1616)))</f>
        <v>#DIV/0!</v>
      </c>
      <c r="I1617" s="29" t="e">
        <f>IF(D1616="BUY",G1617+(ROUND(F1616*I1616/(B1616*100),0)*B1616),G1617-(ROUND(F1616*I1616/(B1616*100),0)*B1616))</f>
        <v>#DIV/0!</v>
      </c>
      <c r="J1617" s="29" t="e">
        <f>IF(C1616=1,IF(D1616="BUY",E1616+(ROUND(F1616*J1616/B1616,0)*B1616),E1616-(ROUND(F1616*J1616/B1616,0)*B1616)),IF(D1616="BUY",E1616-(ROUND(F1616*J1616/B1616,0)*B1616),E1616+(ROUND(F1616*J1616/B1616,0)*B1616)))</f>
        <v>#DIV/0!</v>
      </c>
      <c r="K1617" s="29" t="e">
        <f>IF(C1616=1,IF(D1616="BUY",E1616-(ROUND(F1616*K1616/B1616,0)*B1616),E1616+(ROUND(F1616*K1616/B1616,0)*B1616)),IF(D1616="BUY",E1616-(ROUND(F1616*K1616/B1616,0)*B1616),E1616+(ROUND(F1616*K1616/B1616,0)*B1616)))</f>
        <v>#DIV/0!</v>
      </c>
      <c r="L1617" s="29" t="e">
        <f t="shared" ref="L1617" si="2420">IF(D1617="BUY",I1617+(R1617*B1617),I1617-(R1617*B1617))</f>
        <v>#DIV/0!</v>
      </c>
      <c r="M1617" s="29" t="e">
        <f>IF(D1616="BUY",E1616+(ROUND(F1616*M1616/B1616,0)*B1616),E1616-(ROUND(F1616*M1616/B1616,0)*B1616))</f>
        <v>#DIV/0!</v>
      </c>
      <c r="N1617" s="29" t="e">
        <f>IF(D1616="BUY",E1616-(ROUND(F1616*N1616/B1616,0)*B1616),E1616+(ROUND(F1616*N1616/B1616,0)*B1616))</f>
        <v>#DIV/0!</v>
      </c>
      <c r="O1617" s="31" t="e">
        <f>IF(D1617="BUY",N1617-VLOOKUP(A1617,Symbols!A$1:D$1000,4,FALSE),N1617+VLOOKUP(A1617,Symbols!A$1:D$1000,4,FALSE))</f>
        <v>#DIV/0!</v>
      </c>
      <c r="P1617" s="29">
        <f>P1616</f>
        <v>0</v>
      </c>
      <c r="Q1617" s="29">
        <f>Q1616</f>
        <v>0</v>
      </c>
      <c r="R1617" s="29">
        <f>R1616</f>
        <v>0</v>
      </c>
      <c r="S1617" s="29">
        <f>S1616</f>
        <v>0</v>
      </c>
      <c r="T1617" s="29">
        <f>T1616</f>
        <v>0</v>
      </c>
      <c r="U1617" s="29" t="e">
        <f>DATEDIF(DATE(1970,1,1),U1616,"D")*86400</f>
        <v>#NUM!</v>
      </c>
      <c r="V1617" s="29">
        <f>HOUR(V1616)*3600+MINUTE(V1616)*60+SECOND(V1616)</f>
        <v>0</v>
      </c>
      <c r="W1617" s="29" t="e">
        <f>DATEDIF(DATE(1970,1,1),W1616,"D")*86400</f>
        <v>#NUM!</v>
      </c>
      <c r="X1617" s="29">
        <f>HOUR(X1616)*3600+MINUTE(X1616)*60+SECOND(X1616)</f>
        <v>0</v>
      </c>
      <c r="Y1617" s="31">
        <f>(Y1616*B1617)</f>
        <v>0</v>
      </c>
      <c r="Z1617" s="29">
        <f>Z1616</f>
        <v>0</v>
      </c>
      <c r="AA1617" s="29" t="e">
        <f>DATEDIF(DATE(1970,1,1),AA1616,"D")*86400</f>
        <v>#NUM!</v>
      </c>
      <c r="AB1617" s="29">
        <f>HOUR(AB1616)*3600+MINUTE(AB1616)*60+SECOND(AB1616)</f>
        <v>0</v>
      </c>
      <c r="AC1617" s="29">
        <f>AC1616</f>
        <v>0</v>
      </c>
    </row>
    <row r="1618" spans="1:29">
      <c r="A1618" s="23">
        <f>Parameters!A810</f>
        <v>0</v>
      </c>
      <c r="B1618" s="23">
        <f>Parameters!B810</f>
        <v>0</v>
      </c>
      <c r="C1618" s="24">
        <f>Parameters!C810</f>
        <v>0</v>
      </c>
      <c r="D1618" s="24">
        <f>Parameters!D810</f>
        <v>0</v>
      </c>
      <c r="E1618" s="23">
        <f>Parameters!E810</f>
        <v>0</v>
      </c>
      <c r="F1618" s="23">
        <f>Parameters!F810</f>
        <v>0</v>
      </c>
      <c r="G1618" s="25">
        <f>Parameters!G810</f>
        <v>0</v>
      </c>
      <c r="H1618" s="25">
        <f>Parameters!H810</f>
        <v>0</v>
      </c>
      <c r="I1618" s="25">
        <f>Parameters!I810</f>
        <v>0</v>
      </c>
      <c r="J1618" s="25">
        <f>Parameters!J810</f>
        <v>0</v>
      </c>
      <c r="K1618" s="25">
        <f>Parameters!K810</f>
        <v>0</v>
      </c>
      <c r="L1618" s="26" t="e">
        <f t="shared" ref="L1618" si="2421">L1619</f>
        <v>#DIV/0!</v>
      </c>
      <c r="M1618" s="25">
        <f>Parameters!L810</f>
        <v>0</v>
      </c>
      <c r="N1618" s="25">
        <f>Parameters!M810</f>
        <v>0</v>
      </c>
      <c r="O1618" s="26" t="e">
        <f t="shared" ref="O1618" si="2422">O1619</f>
        <v>#DIV/0!</v>
      </c>
      <c r="P1618" s="23">
        <f>Parameters!N810</f>
        <v>0</v>
      </c>
      <c r="Q1618" s="23">
        <f>Parameters!O810</f>
        <v>0</v>
      </c>
      <c r="R1618" s="23">
        <f>Parameters!P810</f>
        <v>0</v>
      </c>
      <c r="S1618" s="23">
        <f>Parameters!Q810</f>
        <v>0</v>
      </c>
      <c r="T1618" s="23">
        <f>Parameters!R810</f>
        <v>0</v>
      </c>
      <c r="U1618" s="27">
        <f>Parameters!S810</f>
        <v>0</v>
      </c>
      <c r="V1618" s="28">
        <f>Parameters!T810</f>
        <v>0</v>
      </c>
      <c r="W1618" s="27">
        <f>Parameters!U810</f>
        <v>0</v>
      </c>
      <c r="X1618" s="28">
        <f>Parameters!V810</f>
        <v>0</v>
      </c>
      <c r="Y1618" s="25">
        <f>Parameters!W810</f>
        <v>0</v>
      </c>
      <c r="Z1618" s="23">
        <f>Parameters!X810</f>
        <v>0</v>
      </c>
      <c r="AA1618" s="27">
        <f>Parameters!Y810</f>
        <v>0</v>
      </c>
      <c r="AB1618" s="28">
        <f>Parameters!Z810</f>
        <v>0</v>
      </c>
      <c r="AC1618" s="23">
        <f>Parameters!AA810</f>
        <v>0</v>
      </c>
    </row>
    <row r="1619" spans="1:29">
      <c r="A1619" s="29" t="str">
        <f>UPPER(A1618)</f>
        <v>0</v>
      </c>
      <c r="B1619" s="29">
        <f>B1618</f>
        <v>0</v>
      </c>
      <c r="C1619" s="30">
        <f>C1618</f>
        <v>0</v>
      </c>
      <c r="D1619" s="30">
        <f>D1618</f>
        <v>0</v>
      </c>
      <c r="E1619" s="29">
        <f>E1618</f>
        <v>0</v>
      </c>
      <c r="F1619" s="29">
        <f>F1618</f>
        <v>0</v>
      </c>
      <c r="G1619" s="29" t="e">
        <f>IF(C1618=1,IF(D1618="BUY",E1618+(ROUND(F1618*G1618/B1618,0)*B1618),E1618-(ROUND(F1618*G1618/B1618,0)*B1618)),IF(D1618="BUY",E1618-(ROUND(F1618*G1618/B1618,0)*B1618),E1618+(ROUND(F1618*G1618/B1618,0)*B1618)))</f>
        <v>#DIV/0!</v>
      </c>
      <c r="H1619" s="29" t="e">
        <f>IF(C1618=1,IF(D1618="BUY",G1619-(ROUND(F1618*H1618/B1618,0)*B1618),G1619+(ROUND(F1618*H1618/B1618,0)*B1618)),IF(D1618="BUY",G1619+(ROUND(F1618*H1618/B1618,0)*B1618),G1619-(ROUND(F1618*H1618/B1618,0)*B1618)))</f>
        <v>#DIV/0!</v>
      </c>
      <c r="I1619" s="29" t="e">
        <f>IF(D1618="BUY",G1619+(ROUND(F1618*I1618/(B1618*100),0)*B1618),G1619-(ROUND(F1618*I1618/(B1618*100),0)*B1618))</f>
        <v>#DIV/0!</v>
      </c>
      <c r="J1619" s="29" t="e">
        <f>IF(C1618=1,IF(D1618="BUY",E1618+(ROUND(F1618*J1618/B1618,0)*B1618),E1618-(ROUND(F1618*J1618/B1618,0)*B1618)),IF(D1618="BUY",E1618-(ROUND(F1618*J1618/B1618,0)*B1618),E1618+(ROUND(F1618*J1618/B1618,0)*B1618)))</f>
        <v>#DIV/0!</v>
      </c>
      <c r="K1619" s="29" t="e">
        <f>IF(C1618=1,IF(D1618="BUY",E1618-(ROUND(F1618*K1618/B1618,0)*B1618),E1618+(ROUND(F1618*K1618/B1618,0)*B1618)),IF(D1618="BUY",E1618-(ROUND(F1618*K1618/B1618,0)*B1618),E1618+(ROUND(F1618*K1618/B1618,0)*B1618)))</f>
        <v>#DIV/0!</v>
      </c>
      <c r="L1619" s="29" t="e">
        <f t="shared" ref="L1619" si="2423">IF(D1619="BUY",I1619+(R1619*B1619),I1619-(R1619*B1619))</f>
        <v>#DIV/0!</v>
      </c>
      <c r="M1619" s="29" t="e">
        <f>IF(D1618="BUY",E1618+(ROUND(F1618*M1618/B1618,0)*B1618),E1618-(ROUND(F1618*M1618/B1618,0)*B1618))</f>
        <v>#DIV/0!</v>
      </c>
      <c r="N1619" s="29" t="e">
        <f>IF(D1618="BUY",E1618-(ROUND(F1618*N1618/B1618,0)*B1618),E1618+(ROUND(F1618*N1618/B1618,0)*B1618))</f>
        <v>#DIV/0!</v>
      </c>
      <c r="O1619" s="31" t="e">
        <f>IF(D1619="BUY",N1619-VLOOKUP(A1619,Symbols!A$1:D$1000,4,FALSE),N1619+VLOOKUP(A1619,Symbols!A$1:D$1000,4,FALSE))</f>
        <v>#DIV/0!</v>
      </c>
      <c r="P1619" s="29">
        <f>P1618</f>
        <v>0</v>
      </c>
      <c r="Q1619" s="29">
        <f>Q1618</f>
        <v>0</v>
      </c>
      <c r="R1619" s="29">
        <f>R1618</f>
        <v>0</v>
      </c>
      <c r="S1619" s="29">
        <f>S1618</f>
        <v>0</v>
      </c>
      <c r="T1619" s="29">
        <f>T1618</f>
        <v>0</v>
      </c>
      <c r="U1619" s="29" t="e">
        <f>DATEDIF(DATE(1970,1,1),U1618,"D")*86400</f>
        <v>#NUM!</v>
      </c>
      <c r="V1619" s="29">
        <f>HOUR(V1618)*3600+MINUTE(V1618)*60+SECOND(V1618)</f>
        <v>0</v>
      </c>
      <c r="W1619" s="29" t="e">
        <f>DATEDIF(DATE(1970,1,1),W1618,"D")*86400</f>
        <v>#NUM!</v>
      </c>
      <c r="X1619" s="29">
        <f>HOUR(X1618)*3600+MINUTE(X1618)*60+SECOND(X1618)</f>
        <v>0</v>
      </c>
      <c r="Y1619" s="31">
        <f>(Y1618*B1619)</f>
        <v>0</v>
      </c>
      <c r="Z1619" s="29">
        <f>Z1618</f>
        <v>0</v>
      </c>
      <c r="AA1619" s="29" t="e">
        <f>DATEDIF(DATE(1970,1,1),AA1618,"D")*86400</f>
        <v>#NUM!</v>
      </c>
      <c r="AB1619" s="29">
        <f>HOUR(AB1618)*3600+MINUTE(AB1618)*60+SECOND(AB1618)</f>
        <v>0</v>
      </c>
      <c r="AC1619" s="29">
        <f>AC1618</f>
        <v>0</v>
      </c>
    </row>
    <row r="1620" spans="1:29">
      <c r="A1620" s="23">
        <f>Parameters!A811</f>
        <v>0</v>
      </c>
      <c r="B1620" s="23">
        <f>Parameters!B811</f>
        <v>0</v>
      </c>
      <c r="C1620" s="24">
        <f>Parameters!C811</f>
        <v>0</v>
      </c>
      <c r="D1620" s="24">
        <f>Parameters!D811</f>
        <v>0</v>
      </c>
      <c r="E1620" s="23">
        <f>Parameters!E811</f>
        <v>0</v>
      </c>
      <c r="F1620" s="23">
        <f>Parameters!F811</f>
        <v>0</v>
      </c>
      <c r="G1620" s="25">
        <f>Parameters!G811</f>
        <v>0</v>
      </c>
      <c r="H1620" s="25">
        <f>Parameters!H811</f>
        <v>0</v>
      </c>
      <c r="I1620" s="25">
        <f>Parameters!I811</f>
        <v>0</v>
      </c>
      <c r="J1620" s="25">
        <f>Parameters!J811</f>
        <v>0</v>
      </c>
      <c r="K1620" s="25">
        <f>Parameters!K811</f>
        <v>0</v>
      </c>
      <c r="L1620" s="26" t="e">
        <f t="shared" ref="L1620" si="2424">L1621</f>
        <v>#DIV/0!</v>
      </c>
      <c r="M1620" s="25">
        <f>Parameters!L811</f>
        <v>0</v>
      </c>
      <c r="N1620" s="25">
        <f>Parameters!M811</f>
        <v>0</v>
      </c>
      <c r="O1620" s="26" t="e">
        <f t="shared" ref="O1620" si="2425">O1621</f>
        <v>#DIV/0!</v>
      </c>
      <c r="P1620" s="23">
        <f>Parameters!N811</f>
        <v>0</v>
      </c>
      <c r="Q1620" s="23">
        <f>Parameters!O811</f>
        <v>0</v>
      </c>
      <c r="R1620" s="23">
        <f>Parameters!P811</f>
        <v>0</v>
      </c>
      <c r="S1620" s="23">
        <f>Parameters!Q811</f>
        <v>0</v>
      </c>
      <c r="T1620" s="23">
        <f>Parameters!R811</f>
        <v>0</v>
      </c>
      <c r="U1620" s="27">
        <f>Parameters!S811</f>
        <v>0</v>
      </c>
      <c r="V1620" s="28">
        <f>Parameters!T811</f>
        <v>0</v>
      </c>
      <c r="W1620" s="27">
        <f>Parameters!U811</f>
        <v>0</v>
      </c>
      <c r="X1620" s="28">
        <f>Parameters!V811</f>
        <v>0</v>
      </c>
      <c r="Y1620" s="25">
        <f>Parameters!W811</f>
        <v>0</v>
      </c>
      <c r="Z1620" s="23">
        <f>Parameters!X811</f>
        <v>0</v>
      </c>
      <c r="AA1620" s="27">
        <f>Parameters!Y811</f>
        <v>0</v>
      </c>
      <c r="AB1620" s="28">
        <f>Parameters!Z811</f>
        <v>0</v>
      </c>
      <c r="AC1620" s="23">
        <f>Parameters!AA811</f>
        <v>0</v>
      </c>
    </row>
    <row r="1621" spans="1:29">
      <c r="A1621" s="29" t="str">
        <f>UPPER(A1620)</f>
        <v>0</v>
      </c>
      <c r="B1621" s="29">
        <f>B1620</f>
        <v>0</v>
      </c>
      <c r="C1621" s="30">
        <f>C1620</f>
        <v>0</v>
      </c>
      <c r="D1621" s="30">
        <f>D1620</f>
        <v>0</v>
      </c>
      <c r="E1621" s="29">
        <f>E1620</f>
        <v>0</v>
      </c>
      <c r="F1621" s="29">
        <f>F1620</f>
        <v>0</v>
      </c>
      <c r="G1621" s="29" t="e">
        <f>IF(C1620=1,IF(D1620="BUY",E1620+(ROUND(F1620*G1620/B1620,0)*B1620),E1620-(ROUND(F1620*G1620/B1620,0)*B1620)),IF(D1620="BUY",E1620-(ROUND(F1620*G1620/B1620,0)*B1620),E1620+(ROUND(F1620*G1620/B1620,0)*B1620)))</f>
        <v>#DIV/0!</v>
      </c>
      <c r="H1621" s="29" t="e">
        <f>IF(C1620=1,IF(D1620="BUY",G1621-(ROUND(F1620*H1620/B1620,0)*B1620),G1621+(ROUND(F1620*H1620/B1620,0)*B1620)),IF(D1620="BUY",G1621+(ROUND(F1620*H1620/B1620,0)*B1620),G1621-(ROUND(F1620*H1620/B1620,0)*B1620)))</f>
        <v>#DIV/0!</v>
      </c>
      <c r="I1621" s="29" t="e">
        <f>IF(D1620="BUY",G1621+(ROUND(F1620*I1620/(B1620*100),0)*B1620),G1621-(ROUND(F1620*I1620/(B1620*100),0)*B1620))</f>
        <v>#DIV/0!</v>
      </c>
      <c r="J1621" s="29" t="e">
        <f>IF(C1620=1,IF(D1620="BUY",E1620+(ROUND(F1620*J1620/B1620,0)*B1620),E1620-(ROUND(F1620*J1620/B1620,0)*B1620)),IF(D1620="BUY",E1620-(ROUND(F1620*J1620/B1620,0)*B1620),E1620+(ROUND(F1620*J1620/B1620,0)*B1620)))</f>
        <v>#DIV/0!</v>
      </c>
      <c r="K1621" s="29" t="e">
        <f>IF(C1620=1,IF(D1620="BUY",E1620-(ROUND(F1620*K1620/B1620,0)*B1620),E1620+(ROUND(F1620*K1620/B1620,0)*B1620)),IF(D1620="BUY",E1620-(ROUND(F1620*K1620/B1620,0)*B1620),E1620+(ROUND(F1620*K1620/B1620,0)*B1620)))</f>
        <v>#DIV/0!</v>
      </c>
      <c r="L1621" s="29" t="e">
        <f t="shared" ref="L1621" si="2426">IF(D1621="BUY",I1621+(R1621*B1621),I1621-(R1621*B1621))</f>
        <v>#DIV/0!</v>
      </c>
      <c r="M1621" s="29" t="e">
        <f>IF(D1620="BUY",E1620+(ROUND(F1620*M1620/B1620,0)*B1620),E1620-(ROUND(F1620*M1620/B1620,0)*B1620))</f>
        <v>#DIV/0!</v>
      </c>
      <c r="N1621" s="29" t="e">
        <f>IF(D1620="BUY",E1620-(ROUND(F1620*N1620/B1620,0)*B1620),E1620+(ROUND(F1620*N1620/B1620,0)*B1620))</f>
        <v>#DIV/0!</v>
      </c>
      <c r="O1621" s="31" t="e">
        <f>IF(D1621="BUY",N1621-VLOOKUP(A1621,Symbols!A$1:D$1000,4,FALSE),N1621+VLOOKUP(A1621,Symbols!A$1:D$1000,4,FALSE))</f>
        <v>#DIV/0!</v>
      </c>
      <c r="P1621" s="29">
        <f>P1620</f>
        <v>0</v>
      </c>
      <c r="Q1621" s="29">
        <f>Q1620</f>
        <v>0</v>
      </c>
      <c r="R1621" s="29">
        <f>R1620</f>
        <v>0</v>
      </c>
      <c r="S1621" s="29">
        <f>S1620</f>
        <v>0</v>
      </c>
      <c r="T1621" s="29">
        <f>T1620</f>
        <v>0</v>
      </c>
      <c r="U1621" s="29" t="e">
        <f>DATEDIF(DATE(1970,1,1),U1620,"D")*86400</f>
        <v>#NUM!</v>
      </c>
      <c r="V1621" s="29">
        <f>HOUR(V1620)*3600+MINUTE(V1620)*60+SECOND(V1620)</f>
        <v>0</v>
      </c>
      <c r="W1621" s="29" t="e">
        <f>DATEDIF(DATE(1970,1,1),W1620,"D")*86400</f>
        <v>#NUM!</v>
      </c>
      <c r="X1621" s="29">
        <f>HOUR(X1620)*3600+MINUTE(X1620)*60+SECOND(X1620)</f>
        <v>0</v>
      </c>
      <c r="Y1621" s="31">
        <f>(Y1620*B1621)</f>
        <v>0</v>
      </c>
      <c r="Z1621" s="29">
        <f>Z1620</f>
        <v>0</v>
      </c>
      <c r="AA1621" s="29" t="e">
        <f>DATEDIF(DATE(1970,1,1),AA1620,"D")*86400</f>
        <v>#NUM!</v>
      </c>
      <c r="AB1621" s="29">
        <f>HOUR(AB1620)*3600+MINUTE(AB1620)*60+SECOND(AB1620)</f>
        <v>0</v>
      </c>
      <c r="AC1621" s="29">
        <f>AC1620</f>
        <v>0</v>
      </c>
    </row>
    <row r="1622" spans="1:29">
      <c r="A1622" s="23">
        <f>Parameters!A812</f>
        <v>0</v>
      </c>
      <c r="B1622" s="23">
        <f>Parameters!B812</f>
        <v>0</v>
      </c>
      <c r="C1622" s="24">
        <f>Parameters!C812</f>
        <v>0</v>
      </c>
      <c r="D1622" s="24">
        <f>Parameters!D812</f>
        <v>0</v>
      </c>
      <c r="E1622" s="23">
        <f>Parameters!E812</f>
        <v>0</v>
      </c>
      <c r="F1622" s="23">
        <f>Parameters!F812</f>
        <v>0</v>
      </c>
      <c r="G1622" s="25">
        <f>Parameters!G812</f>
        <v>0</v>
      </c>
      <c r="H1622" s="25">
        <f>Parameters!H812</f>
        <v>0</v>
      </c>
      <c r="I1622" s="25">
        <f>Parameters!I812</f>
        <v>0</v>
      </c>
      <c r="J1622" s="25">
        <f>Parameters!J812</f>
        <v>0</v>
      </c>
      <c r="K1622" s="25">
        <f>Parameters!K812</f>
        <v>0</v>
      </c>
      <c r="L1622" s="26" t="e">
        <f t="shared" ref="L1622" si="2427">L1623</f>
        <v>#DIV/0!</v>
      </c>
      <c r="M1622" s="25">
        <f>Parameters!L812</f>
        <v>0</v>
      </c>
      <c r="N1622" s="25">
        <f>Parameters!M812</f>
        <v>0</v>
      </c>
      <c r="O1622" s="26" t="e">
        <f t="shared" ref="O1622" si="2428">O1623</f>
        <v>#DIV/0!</v>
      </c>
      <c r="P1622" s="23">
        <f>Parameters!N812</f>
        <v>0</v>
      </c>
      <c r="Q1622" s="23">
        <f>Parameters!O812</f>
        <v>0</v>
      </c>
      <c r="R1622" s="23">
        <f>Parameters!P812</f>
        <v>0</v>
      </c>
      <c r="S1622" s="23">
        <f>Parameters!Q812</f>
        <v>0</v>
      </c>
      <c r="T1622" s="23">
        <f>Parameters!R812</f>
        <v>0</v>
      </c>
      <c r="U1622" s="27">
        <f>Parameters!S812</f>
        <v>0</v>
      </c>
      <c r="V1622" s="28">
        <f>Parameters!T812</f>
        <v>0</v>
      </c>
      <c r="W1622" s="27">
        <f>Parameters!U812</f>
        <v>0</v>
      </c>
      <c r="X1622" s="28">
        <f>Parameters!V812</f>
        <v>0</v>
      </c>
      <c r="Y1622" s="25">
        <f>Parameters!W812</f>
        <v>0</v>
      </c>
      <c r="Z1622" s="23">
        <f>Parameters!X812</f>
        <v>0</v>
      </c>
      <c r="AA1622" s="27">
        <f>Parameters!Y812</f>
        <v>0</v>
      </c>
      <c r="AB1622" s="28">
        <f>Parameters!Z812</f>
        <v>0</v>
      </c>
      <c r="AC1622" s="23">
        <f>Parameters!AA812</f>
        <v>0</v>
      </c>
    </row>
    <row r="1623" spans="1:29">
      <c r="A1623" s="29" t="str">
        <f>UPPER(A1622)</f>
        <v>0</v>
      </c>
      <c r="B1623" s="29">
        <f>B1622</f>
        <v>0</v>
      </c>
      <c r="C1623" s="30">
        <f>C1622</f>
        <v>0</v>
      </c>
      <c r="D1623" s="30">
        <f>D1622</f>
        <v>0</v>
      </c>
      <c r="E1623" s="29">
        <f>E1622</f>
        <v>0</v>
      </c>
      <c r="F1623" s="29">
        <f>F1622</f>
        <v>0</v>
      </c>
      <c r="G1623" s="29" t="e">
        <f>IF(C1622=1,IF(D1622="BUY",E1622+(ROUND(F1622*G1622/B1622,0)*B1622),E1622-(ROUND(F1622*G1622/B1622,0)*B1622)),IF(D1622="BUY",E1622-(ROUND(F1622*G1622/B1622,0)*B1622),E1622+(ROUND(F1622*G1622/B1622,0)*B1622)))</f>
        <v>#DIV/0!</v>
      </c>
      <c r="H1623" s="29" t="e">
        <f>IF(C1622=1,IF(D1622="BUY",G1623-(ROUND(F1622*H1622/B1622,0)*B1622),G1623+(ROUND(F1622*H1622/B1622,0)*B1622)),IF(D1622="BUY",G1623+(ROUND(F1622*H1622/B1622,0)*B1622),G1623-(ROUND(F1622*H1622/B1622,0)*B1622)))</f>
        <v>#DIV/0!</v>
      </c>
      <c r="I1623" s="29" t="e">
        <f>IF(D1622="BUY",G1623+(ROUND(F1622*I1622/(B1622*100),0)*B1622),G1623-(ROUND(F1622*I1622/(B1622*100),0)*B1622))</f>
        <v>#DIV/0!</v>
      </c>
      <c r="J1623" s="29" t="e">
        <f>IF(C1622=1,IF(D1622="BUY",E1622+(ROUND(F1622*J1622/B1622,0)*B1622),E1622-(ROUND(F1622*J1622/B1622,0)*B1622)),IF(D1622="BUY",E1622-(ROUND(F1622*J1622/B1622,0)*B1622),E1622+(ROUND(F1622*J1622/B1622,0)*B1622)))</f>
        <v>#DIV/0!</v>
      </c>
      <c r="K1623" s="29" t="e">
        <f>IF(C1622=1,IF(D1622="BUY",E1622-(ROUND(F1622*K1622/B1622,0)*B1622),E1622+(ROUND(F1622*K1622/B1622,0)*B1622)),IF(D1622="BUY",E1622-(ROUND(F1622*K1622/B1622,0)*B1622),E1622+(ROUND(F1622*K1622/B1622,0)*B1622)))</f>
        <v>#DIV/0!</v>
      </c>
      <c r="L1623" s="29" t="e">
        <f t="shared" ref="L1623" si="2429">IF(D1623="BUY",I1623+(R1623*B1623),I1623-(R1623*B1623))</f>
        <v>#DIV/0!</v>
      </c>
      <c r="M1623" s="29" t="e">
        <f>IF(D1622="BUY",E1622+(ROUND(F1622*M1622/B1622,0)*B1622),E1622-(ROUND(F1622*M1622/B1622,0)*B1622))</f>
        <v>#DIV/0!</v>
      </c>
      <c r="N1623" s="29" t="e">
        <f>IF(D1622="BUY",E1622-(ROUND(F1622*N1622/B1622,0)*B1622),E1622+(ROUND(F1622*N1622/B1622,0)*B1622))</f>
        <v>#DIV/0!</v>
      </c>
      <c r="O1623" s="31" t="e">
        <f>IF(D1623="BUY",N1623-VLOOKUP(A1623,Symbols!A$1:D$1000,4,FALSE),N1623+VLOOKUP(A1623,Symbols!A$1:D$1000,4,FALSE))</f>
        <v>#DIV/0!</v>
      </c>
      <c r="P1623" s="29">
        <f>P1622</f>
        <v>0</v>
      </c>
      <c r="Q1623" s="29">
        <f>Q1622</f>
        <v>0</v>
      </c>
      <c r="R1623" s="29">
        <f>R1622</f>
        <v>0</v>
      </c>
      <c r="S1623" s="29">
        <f>S1622</f>
        <v>0</v>
      </c>
      <c r="T1623" s="29">
        <f>T1622</f>
        <v>0</v>
      </c>
      <c r="U1623" s="29" t="e">
        <f>DATEDIF(DATE(1970,1,1),U1622,"D")*86400</f>
        <v>#NUM!</v>
      </c>
      <c r="V1623" s="29">
        <f>HOUR(V1622)*3600+MINUTE(V1622)*60+SECOND(V1622)</f>
        <v>0</v>
      </c>
      <c r="W1623" s="29" t="e">
        <f>DATEDIF(DATE(1970,1,1),W1622,"D")*86400</f>
        <v>#NUM!</v>
      </c>
      <c r="X1623" s="29">
        <f>HOUR(X1622)*3600+MINUTE(X1622)*60+SECOND(X1622)</f>
        <v>0</v>
      </c>
      <c r="Y1623" s="31">
        <f>(Y1622*B1623)</f>
        <v>0</v>
      </c>
      <c r="Z1623" s="29">
        <f>Z1622</f>
        <v>0</v>
      </c>
      <c r="AA1623" s="29" t="e">
        <f>DATEDIF(DATE(1970,1,1),AA1622,"D")*86400</f>
        <v>#NUM!</v>
      </c>
      <c r="AB1623" s="29">
        <f>HOUR(AB1622)*3600+MINUTE(AB1622)*60+SECOND(AB1622)</f>
        <v>0</v>
      </c>
      <c r="AC1623" s="29">
        <f>AC1622</f>
        <v>0</v>
      </c>
    </row>
    <row r="1624" spans="1:29">
      <c r="A1624" s="23">
        <f>Parameters!A813</f>
        <v>0</v>
      </c>
      <c r="B1624" s="23">
        <f>Parameters!B813</f>
        <v>0</v>
      </c>
      <c r="C1624" s="24">
        <f>Parameters!C813</f>
        <v>0</v>
      </c>
      <c r="D1624" s="24">
        <f>Parameters!D813</f>
        <v>0</v>
      </c>
      <c r="E1624" s="23">
        <f>Parameters!E813</f>
        <v>0</v>
      </c>
      <c r="F1624" s="23">
        <f>Parameters!F813</f>
        <v>0</v>
      </c>
      <c r="G1624" s="25">
        <f>Parameters!G813</f>
        <v>0</v>
      </c>
      <c r="H1624" s="25">
        <f>Parameters!H813</f>
        <v>0</v>
      </c>
      <c r="I1624" s="25">
        <f>Parameters!I813</f>
        <v>0</v>
      </c>
      <c r="J1624" s="25">
        <f>Parameters!J813</f>
        <v>0</v>
      </c>
      <c r="K1624" s="25">
        <f>Parameters!K813</f>
        <v>0</v>
      </c>
      <c r="L1624" s="26" t="e">
        <f t="shared" ref="L1624" si="2430">L1625</f>
        <v>#DIV/0!</v>
      </c>
      <c r="M1624" s="25">
        <f>Parameters!L813</f>
        <v>0</v>
      </c>
      <c r="N1624" s="25">
        <f>Parameters!M813</f>
        <v>0</v>
      </c>
      <c r="O1624" s="26" t="e">
        <f t="shared" ref="O1624" si="2431">O1625</f>
        <v>#DIV/0!</v>
      </c>
      <c r="P1624" s="23">
        <f>Parameters!N813</f>
        <v>0</v>
      </c>
      <c r="Q1624" s="23">
        <f>Parameters!O813</f>
        <v>0</v>
      </c>
      <c r="R1624" s="23">
        <f>Parameters!P813</f>
        <v>0</v>
      </c>
      <c r="S1624" s="23">
        <f>Parameters!Q813</f>
        <v>0</v>
      </c>
      <c r="T1624" s="23">
        <f>Parameters!R813</f>
        <v>0</v>
      </c>
      <c r="U1624" s="27">
        <f>Parameters!S813</f>
        <v>0</v>
      </c>
      <c r="V1624" s="28">
        <f>Parameters!T813</f>
        <v>0</v>
      </c>
      <c r="W1624" s="27">
        <f>Parameters!U813</f>
        <v>0</v>
      </c>
      <c r="X1624" s="28">
        <f>Parameters!V813</f>
        <v>0</v>
      </c>
      <c r="Y1624" s="25">
        <f>Parameters!W813</f>
        <v>0</v>
      </c>
      <c r="Z1624" s="23">
        <f>Parameters!X813</f>
        <v>0</v>
      </c>
      <c r="AA1624" s="27">
        <f>Parameters!Y813</f>
        <v>0</v>
      </c>
      <c r="AB1624" s="28">
        <f>Parameters!Z813</f>
        <v>0</v>
      </c>
      <c r="AC1624" s="23">
        <f>Parameters!AA813</f>
        <v>0</v>
      </c>
    </row>
    <row r="1625" spans="1:29">
      <c r="A1625" s="29" t="str">
        <f>UPPER(A1624)</f>
        <v>0</v>
      </c>
      <c r="B1625" s="29">
        <f>B1624</f>
        <v>0</v>
      </c>
      <c r="C1625" s="30">
        <f>C1624</f>
        <v>0</v>
      </c>
      <c r="D1625" s="30">
        <f>D1624</f>
        <v>0</v>
      </c>
      <c r="E1625" s="29">
        <f>E1624</f>
        <v>0</v>
      </c>
      <c r="F1625" s="29">
        <f>F1624</f>
        <v>0</v>
      </c>
      <c r="G1625" s="29" t="e">
        <f>IF(C1624=1,IF(D1624="BUY",E1624+(ROUND(F1624*G1624/B1624,0)*B1624),E1624-(ROUND(F1624*G1624/B1624,0)*B1624)),IF(D1624="BUY",E1624-(ROUND(F1624*G1624/B1624,0)*B1624),E1624+(ROUND(F1624*G1624/B1624,0)*B1624)))</f>
        <v>#DIV/0!</v>
      </c>
      <c r="H1625" s="29" t="e">
        <f>IF(C1624=1,IF(D1624="BUY",G1625-(ROUND(F1624*H1624/B1624,0)*B1624),G1625+(ROUND(F1624*H1624/B1624,0)*B1624)),IF(D1624="BUY",G1625+(ROUND(F1624*H1624/B1624,0)*B1624),G1625-(ROUND(F1624*H1624/B1624,0)*B1624)))</f>
        <v>#DIV/0!</v>
      </c>
      <c r="I1625" s="29" t="e">
        <f>IF(D1624="BUY",G1625+(ROUND(F1624*I1624/(B1624*100),0)*B1624),G1625-(ROUND(F1624*I1624/(B1624*100),0)*B1624))</f>
        <v>#DIV/0!</v>
      </c>
      <c r="J1625" s="29" t="e">
        <f>IF(C1624=1,IF(D1624="BUY",E1624+(ROUND(F1624*J1624/B1624,0)*B1624),E1624-(ROUND(F1624*J1624/B1624,0)*B1624)),IF(D1624="BUY",E1624-(ROUND(F1624*J1624/B1624,0)*B1624),E1624+(ROUND(F1624*J1624/B1624,0)*B1624)))</f>
        <v>#DIV/0!</v>
      </c>
      <c r="K1625" s="29" t="e">
        <f>IF(C1624=1,IF(D1624="BUY",E1624-(ROUND(F1624*K1624/B1624,0)*B1624),E1624+(ROUND(F1624*K1624/B1624,0)*B1624)),IF(D1624="BUY",E1624-(ROUND(F1624*K1624/B1624,0)*B1624),E1624+(ROUND(F1624*K1624/B1624,0)*B1624)))</f>
        <v>#DIV/0!</v>
      </c>
      <c r="L1625" s="29" t="e">
        <f t="shared" ref="L1625" si="2432">IF(D1625="BUY",I1625+(R1625*B1625),I1625-(R1625*B1625))</f>
        <v>#DIV/0!</v>
      </c>
      <c r="M1625" s="29" t="e">
        <f>IF(D1624="BUY",E1624+(ROUND(F1624*M1624/B1624,0)*B1624),E1624-(ROUND(F1624*M1624/B1624,0)*B1624))</f>
        <v>#DIV/0!</v>
      </c>
      <c r="N1625" s="29" t="e">
        <f>IF(D1624="BUY",E1624-(ROUND(F1624*N1624/B1624,0)*B1624),E1624+(ROUND(F1624*N1624/B1624,0)*B1624))</f>
        <v>#DIV/0!</v>
      </c>
      <c r="O1625" s="31" t="e">
        <f>IF(D1625="BUY",N1625-VLOOKUP(A1625,Symbols!A$1:D$1000,4,FALSE),N1625+VLOOKUP(A1625,Symbols!A$1:D$1000,4,FALSE))</f>
        <v>#DIV/0!</v>
      </c>
      <c r="P1625" s="29">
        <f>P1624</f>
        <v>0</v>
      </c>
      <c r="Q1625" s="29">
        <f>Q1624</f>
        <v>0</v>
      </c>
      <c r="R1625" s="29">
        <f>R1624</f>
        <v>0</v>
      </c>
      <c r="S1625" s="29">
        <f>S1624</f>
        <v>0</v>
      </c>
      <c r="T1625" s="29">
        <f>T1624</f>
        <v>0</v>
      </c>
      <c r="U1625" s="29" t="e">
        <f>DATEDIF(DATE(1970,1,1),U1624,"D")*86400</f>
        <v>#NUM!</v>
      </c>
      <c r="V1625" s="29">
        <f>HOUR(V1624)*3600+MINUTE(V1624)*60+SECOND(V1624)</f>
        <v>0</v>
      </c>
      <c r="W1625" s="29" t="e">
        <f>DATEDIF(DATE(1970,1,1),W1624,"D")*86400</f>
        <v>#NUM!</v>
      </c>
      <c r="X1625" s="29">
        <f>HOUR(X1624)*3600+MINUTE(X1624)*60+SECOND(X1624)</f>
        <v>0</v>
      </c>
      <c r="Y1625" s="31">
        <f>(Y1624*B1625)</f>
        <v>0</v>
      </c>
      <c r="Z1625" s="29">
        <f>Z1624</f>
        <v>0</v>
      </c>
      <c r="AA1625" s="29" t="e">
        <f>DATEDIF(DATE(1970,1,1),AA1624,"D")*86400</f>
        <v>#NUM!</v>
      </c>
      <c r="AB1625" s="29">
        <f>HOUR(AB1624)*3600+MINUTE(AB1624)*60+SECOND(AB1624)</f>
        <v>0</v>
      </c>
      <c r="AC1625" s="29">
        <f>AC1624</f>
        <v>0</v>
      </c>
    </row>
    <row r="1626" spans="1:29">
      <c r="A1626" s="23">
        <f>Parameters!A814</f>
        <v>0</v>
      </c>
      <c r="B1626" s="23">
        <f>Parameters!B814</f>
        <v>0</v>
      </c>
      <c r="C1626" s="24">
        <f>Parameters!C814</f>
        <v>0</v>
      </c>
      <c r="D1626" s="24">
        <f>Parameters!D814</f>
        <v>0</v>
      </c>
      <c r="E1626" s="23">
        <f>Parameters!E814</f>
        <v>0</v>
      </c>
      <c r="F1626" s="23">
        <f>Parameters!F814</f>
        <v>0</v>
      </c>
      <c r="G1626" s="25">
        <f>Parameters!G814</f>
        <v>0</v>
      </c>
      <c r="H1626" s="25">
        <f>Parameters!H814</f>
        <v>0</v>
      </c>
      <c r="I1626" s="25">
        <f>Parameters!I814</f>
        <v>0</v>
      </c>
      <c r="J1626" s="25">
        <f>Parameters!J814</f>
        <v>0</v>
      </c>
      <c r="K1626" s="25">
        <f>Parameters!K814</f>
        <v>0</v>
      </c>
      <c r="L1626" s="26" t="e">
        <f t="shared" ref="L1626" si="2433">L1627</f>
        <v>#DIV/0!</v>
      </c>
      <c r="M1626" s="25">
        <f>Parameters!L814</f>
        <v>0</v>
      </c>
      <c r="N1626" s="25">
        <f>Parameters!M814</f>
        <v>0</v>
      </c>
      <c r="O1626" s="26" t="e">
        <f t="shared" ref="O1626" si="2434">O1627</f>
        <v>#DIV/0!</v>
      </c>
      <c r="P1626" s="23">
        <f>Parameters!N814</f>
        <v>0</v>
      </c>
      <c r="Q1626" s="23">
        <f>Parameters!O814</f>
        <v>0</v>
      </c>
      <c r="R1626" s="23">
        <f>Parameters!P814</f>
        <v>0</v>
      </c>
      <c r="S1626" s="23">
        <f>Parameters!Q814</f>
        <v>0</v>
      </c>
      <c r="T1626" s="23">
        <f>Parameters!R814</f>
        <v>0</v>
      </c>
      <c r="U1626" s="27">
        <f>Parameters!S814</f>
        <v>0</v>
      </c>
      <c r="V1626" s="28">
        <f>Parameters!T814</f>
        <v>0</v>
      </c>
      <c r="W1626" s="27">
        <f>Parameters!U814</f>
        <v>0</v>
      </c>
      <c r="X1626" s="28">
        <f>Parameters!V814</f>
        <v>0</v>
      </c>
      <c r="Y1626" s="25">
        <f>Parameters!W814</f>
        <v>0</v>
      </c>
      <c r="Z1626" s="23">
        <f>Parameters!X814</f>
        <v>0</v>
      </c>
      <c r="AA1626" s="27">
        <f>Parameters!Y814</f>
        <v>0</v>
      </c>
      <c r="AB1626" s="28">
        <f>Parameters!Z814</f>
        <v>0</v>
      </c>
      <c r="AC1626" s="23">
        <f>Parameters!AA814</f>
        <v>0</v>
      </c>
    </row>
    <row r="1627" spans="1:29">
      <c r="A1627" s="29" t="str">
        <f>UPPER(A1626)</f>
        <v>0</v>
      </c>
      <c r="B1627" s="29">
        <f>B1626</f>
        <v>0</v>
      </c>
      <c r="C1627" s="30">
        <f>C1626</f>
        <v>0</v>
      </c>
      <c r="D1627" s="30">
        <f>D1626</f>
        <v>0</v>
      </c>
      <c r="E1627" s="29">
        <f>E1626</f>
        <v>0</v>
      </c>
      <c r="F1627" s="29">
        <f>F1626</f>
        <v>0</v>
      </c>
      <c r="G1627" s="29" t="e">
        <f>IF(C1626=1,IF(D1626="BUY",E1626+(ROUND(F1626*G1626/B1626,0)*B1626),E1626-(ROUND(F1626*G1626/B1626,0)*B1626)),IF(D1626="BUY",E1626-(ROUND(F1626*G1626/B1626,0)*B1626),E1626+(ROUND(F1626*G1626/B1626,0)*B1626)))</f>
        <v>#DIV/0!</v>
      </c>
      <c r="H1627" s="29" t="e">
        <f>IF(C1626=1,IF(D1626="BUY",G1627-(ROUND(F1626*H1626/B1626,0)*B1626),G1627+(ROUND(F1626*H1626/B1626,0)*B1626)),IF(D1626="BUY",G1627+(ROUND(F1626*H1626/B1626,0)*B1626),G1627-(ROUND(F1626*H1626/B1626,0)*B1626)))</f>
        <v>#DIV/0!</v>
      </c>
      <c r="I1627" s="29" t="e">
        <f>IF(D1626="BUY",G1627+(ROUND(F1626*I1626/(B1626*100),0)*B1626),G1627-(ROUND(F1626*I1626/(B1626*100),0)*B1626))</f>
        <v>#DIV/0!</v>
      </c>
      <c r="J1627" s="29" t="e">
        <f>IF(C1626=1,IF(D1626="BUY",E1626+(ROUND(F1626*J1626/B1626,0)*B1626),E1626-(ROUND(F1626*J1626/B1626,0)*B1626)),IF(D1626="BUY",E1626-(ROUND(F1626*J1626/B1626,0)*B1626),E1626+(ROUND(F1626*J1626/B1626,0)*B1626)))</f>
        <v>#DIV/0!</v>
      </c>
      <c r="K1627" s="29" t="e">
        <f>IF(C1626=1,IF(D1626="BUY",E1626-(ROUND(F1626*K1626/B1626,0)*B1626),E1626+(ROUND(F1626*K1626/B1626,0)*B1626)),IF(D1626="BUY",E1626-(ROUND(F1626*K1626/B1626,0)*B1626),E1626+(ROUND(F1626*K1626/B1626,0)*B1626)))</f>
        <v>#DIV/0!</v>
      </c>
      <c r="L1627" s="29" t="e">
        <f t="shared" ref="L1627" si="2435">IF(D1627="BUY",I1627+(R1627*B1627),I1627-(R1627*B1627))</f>
        <v>#DIV/0!</v>
      </c>
      <c r="M1627" s="29" t="e">
        <f>IF(D1626="BUY",E1626+(ROUND(F1626*M1626/B1626,0)*B1626),E1626-(ROUND(F1626*M1626/B1626,0)*B1626))</f>
        <v>#DIV/0!</v>
      </c>
      <c r="N1627" s="29" t="e">
        <f>IF(D1626="BUY",E1626-(ROUND(F1626*N1626/B1626,0)*B1626),E1626+(ROUND(F1626*N1626/B1626,0)*B1626))</f>
        <v>#DIV/0!</v>
      </c>
      <c r="O1627" s="31" t="e">
        <f>IF(D1627="BUY",N1627-VLOOKUP(A1627,Symbols!A$1:D$1000,4,FALSE),N1627+VLOOKUP(A1627,Symbols!A$1:D$1000,4,FALSE))</f>
        <v>#DIV/0!</v>
      </c>
      <c r="P1627" s="29">
        <f>P1626</f>
        <v>0</v>
      </c>
      <c r="Q1627" s="29">
        <f>Q1626</f>
        <v>0</v>
      </c>
      <c r="R1627" s="29">
        <f>R1626</f>
        <v>0</v>
      </c>
      <c r="S1627" s="29">
        <f>S1626</f>
        <v>0</v>
      </c>
      <c r="T1627" s="29">
        <f>T1626</f>
        <v>0</v>
      </c>
      <c r="U1627" s="29" t="e">
        <f>DATEDIF(DATE(1970,1,1),U1626,"D")*86400</f>
        <v>#NUM!</v>
      </c>
      <c r="V1627" s="29">
        <f>HOUR(V1626)*3600+MINUTE(V1626)*60+SECOND(V1626)</f>
        <v>0</v>
      </c>
      <c r="W1627" s="29" t="e">
        <f>DATEDIF(DATE(1970,1,1),W1626,"D")*86400</f>
        <v>#NUM!</v>
      </c>
      <c r="X1627" s="29">
        <f>HOUR(X1626)*3600+MINUTE(X1626)*60+SECOND(X1626)</f>
        <v>0</v>
      </c>
      <c r="Y1627" s="31">
        <f>(Y1626*B1627)</f>
        <v>0</v>
      </c>
      <c r="Z1627" s="29">
        <f>Z1626</f>
        <v>0</v>
      </c>
      <c r="AA1627" s="29" t="e">
        <f>DATEDIF(DATE(1970,1,1),AA1626,"D")*86400</f>
        <v>#NUM!</v>
      </c>
      <c r="AB1627" s="29">
        <f>HOUR(AB1626)*3600+MINUTE(AB1626)*60+SECOND(AB1626)</f>
        <v>0</v>
      </c>
      <c r="AC1627" s="29">
        <f>AC1626</f>
        <v>0</v>
      </c>
    </row>
    <row r="1628" spans="1:29">
      <c r="A1628" s="23">
        <f>Parameters!A815</f>
        <v>0</v>
      </c>
      <c r="B1628" s="23">
        <f>Parameters!B815</f>
        <v>0</v>
      </c>
      <c r="C1628" s="24">
        <f>Parameters!C815</f>
        <v>0</v>
      </c>
      <c r="D1628" s="24">
        <f>Parameters!D815</f>
        <v>0</v>
      </c>
      <c r="E1628" s="23">
        <f>Parameters!E815</f>
        <v>0</v>
      </c>
      <c r="F1628" s="23">
        <f>Parameters!F815</f>
        <v>0</v>
      </c>
      <c r="G1628" s="25">
        <f>Parameters!G815</f>
        <v>0</v>
      </c>
      <c r="H1628" s="25">
        <f>Parameters!H815</f>
        <v>0</v>
      </c>
      <c r="I1628" s="25">
        <f>Parameters!I815</f>
        <v>0</v>
      </c>
      <c r="J1628" s="25">
        <f>Parameters!J815</f>
        <v>0</v>
      </c>
      <c r="K1628" s="25">
        <f>Parameters!K815</f>
        <v>0</v>
      </c>
      <c r="L1628" s="26" t="e">
        <f t="shared" ref="L1628" si="2436">L1629</f>
        <v>#DIV/0!</v>
      </c>
      <c r="M1628" s="25">
        <f>Parameters!L815</f>
        <v>0</v>
      </c>
      <c r="N1628" s="25">
        <f>Parameters!M815</f>
        <v>0</v>
      </c>
      <c r="O1628" s="26" t="e">
        <f t="shared" ref="O1628" si="2437">O1629</f>
        <v>#DIV/0!</v>
      </c>
      <c r="P1628" s="23">
        <f>Parameters!N815</f>
        <v>0</v>
      </c>
      <c r="Q1628" s="23">
        <f>Parameters!O815</f>
        <v>0</v>
      </c>
      <c r="R1628" s="23">
        <f>Parameters!P815</f>
        <v>0</v>
      </c>
      <c r="S1628" s="23">
        <f>Parameters!Q815</f>
        <v>0</v>
      </c>
      <c r="T1628" s="23">
        <f>Parameters!R815</f>
        <v>0</v>
      </c>
      <c r="U1628" s="27">
        <f>Parameters!S815</f>
        <v>0</v>
      </c>
      <c r="V1628" s="28">
        <f>Parameters!T815</f>
        <v>0</v>
      </c>
      <c r="W1628" s="27">
        <f>Parameters!U815</f>
        <v>0</v>
      </c>
      <c r="X1628" s="28">
        <f>Parameters!V815</f>
        <v>0</v>
      </c>
      <c r="Y1628" s="25">
        <f>Parameters!W815</f>
        <v>0</v>
      </c>
      <c r="Z1628" s="23">
        <f>Parameters!X815</f>
        <v>0</v>
      </c>
      <c r="AA1628" s="27">
        <f>Parameters!Y815</f>
        <v>0</v>
      </c>
      <c r="AB1628" s="28">
        <f>Parameters!Z815</f>
        <v>0</v>
      </c>
      <c r="AC1628" s="23">
        <f>Parameters!AA815</f>
        <v>0</v>
      </c>
    </row>
    <row r="1629" spans="1:29">
      <c r="A1629" s="29" t="str">
        <f>UPPER(A1628)</f>
        <v>0</v>
      </c>
      <c r="B1629" s="29">
        <f>B1628</f>
        <v>0</v>
      </c>
      <c r="C1629" s="30">
        <f>C1628</f>
        <v>0</v>
      </c>
      <c r="D1629" s="30">
        <f>D1628</f>
        <v>0</v>
      </c>
      <c r="E1629" s="29">
        <f>E1628</f>
        <v>0</v>
      </c>
      <c r="F1629" s="29">
        <f>F1628</f>
        <v>0</v>
      </c>
      <c r="G1629" s="29" t="e">
        <f>IF(C1628=1,IF(D1628="BUY",E1628+(ROUND(F1628*G1628/B1628,0)*B1628),E1628-(ROUND(F1628*G1628/B1628,0)*B1628)),IF(D1628="BUY",E1628-(ROUND(F1628*G1628/B1628,0)*B1628),E1628+(ROUND(F1628*G1628/B1628,0)*B1628)))</f>
        <v>#DIV/0!</v>
      </c>
      <c r="H1629" s="29" t="e">
        <f>IF(C1628=1,IF(D1628="BUY",G1629-(ROUND(F1628*H1628/B1628,0)*B1628),G1629+(ROUND(F1628*H1628/B1628,0)*B1628)),IF(D1628="BUY",G1629+(ROUND(F1628*H1628/B1628,0)*B1628),G1629-(ROUND(F1628*H1628/B1628,0)*B1628)))</f>
        <v>#DIV/0!</v>
      </c>
      <c r="I1629" s="29" t="e">
        <f>IF(D1628="BUY",G1629+(ROUND(F1628*I1628/(B1628*100),0)*B1628),G1629-(ROUND(F1628*I1628/(B1628*100),0)*B1628))</f>
        <v>#DIV/0!</v>
      </c>
      <c r="J1629" s="29" t="e">
        <f>IF(C1628=1,IF(D1628="BUY",E1628+(ROUND(F1628*J1628/B1628,0)*B1628),E1628-(ROUND(F1628*J1628/B1628,0)*B1628)),IF(D1628="BUY",E1628-(ROUND(F1628*J1628/B1628,0)*B1628),E1628+(ROUND(F1628*J1628/B1628,0)*B1628)))</f>
        <v>#DIV/0!</v>
      </c>
      <c r="K1629" s="29" t="e">
        <f>IF(C1628=1,IF(D1628="BUY",E1628-(ROUND(F1628*K1628/B1628,0)*B1628),E1628+(ROUND(F1628*K1628/B1628,0)*B1628)),IF(D1628="BUY",E1628-(ROUND(F1628*K1628/B1628,0)*B1628),E1628+(ROUND(F1628*K1628/B1628,0)*B1628)))</f>
        <v>#DIV/0!</v>
      </c>
      <c r="L1629" s="29" t="e">
        <f t="shared" ref="L1629" si="2438">IF(D1629="BUY",I1629+(R1629*B1629),I1629-(R1629*B1629))</f>
        <v>#DIV/0!</v>
      </c>
      <c r="M1629" s="29" t="e">
        <f>IF(D1628="BUY",E1628+(ROUND(F1628*M1628/B1628,0)*B1628),E1628-(ROUND(F1628*M1628/B1628,0)*B1628))</f>
        <v>#DIV/0!</v>
      </c>
      <c r="N1629" s="29" t="e">
        <f>IF(D1628="BUY",E1628-(ROUND(F1628*N1628/B1628,0)*B1628),E1628+(ROUND(F1628*N1628/B1628,0)*B1628))</f>
        <v>#DIV/0!</v>
      </c>
      <c r="O1629" s="31" t="e">
        <f>IF(D1629="BUY",N1629-VLOOKUP(A1629,Symbols!A$1:D$1000,4,FALSE),N1629+VLOOKUP(A1629,Symbols!A$1:D$1000,4,FALSE))</f>
        <v>#DIV/0!</v>
      </c>
      <c r="P1629" s="29">
        <f>P1628</f>
        <v>0</v>
      </c>
      <c r="Q1629" s="29">
        <f>Q1628</f>
        <v>0</v>
      </c>
      <c r="R1629" s="29">
        <f>R1628</f>
        <v>0</v>
      </c>
      <c r="S1629" s="29">
        <f>S1628</f>
        <v>0</v>
      </c>
      <c r="T1629" s="29">
        <f>T1628</f>
        <v>0</v>
      </c>
      <c r="U1629" s="29" t="e">
        <f>DATEDIF(DATE(1970,1,1),U1628,"D")*86400</f>
        <v>#NUM!</v>
      </c>
      <c r="V1629" s="29">
        <f>HOUR(V1628)*3600+MINUTE(V1628)*60+SECOND(V1628)</f>
        <v>0</v>
      </c>
      <c r="W1629" s="29" t="e">
        <f>DATEDIF(DATE(1970,1,1),W1628,"D")*86400</f>
        <v>#NUM!</v>
      </c>
      <c r="X1629" s="29">
        <f>HOUR(X1628)*3600+MINUTE(X1628)*60+SECOND(X1628)</f>
        <v>0</v>
      </c>
      <c r="Y1629" s="31">
        <f>(Y1628*B1629)</f>
        <v>0</v>
      </c>
      <c r="Z1629" s="29">
        <f>Z1628</f>
        <v>0</v>
      </c>
      <c r="AA1629" s="29" t="e">
        <f>DATEDIF(DATE(1970,1,1),AA1628,"D")*86400</f>
        <v>#NUM!</v>
      </c>
      <c r="AB1629" s="29">
        <f>HOUR(AB1628)*3600+MINUTE(AB1628)*60+SECOND(AB1628)</f>
        <v>0</v>
      </c>
      <c r="AC1629" s="29">
        <f>AC1628</f>
        <v>0</v>
      </c>
    </row>
    <row r="1630" spans="1:29">
      <c r="A1630" s="23">
        <f>Parameters!A816</f>
        <v>0</v>
      </c>
      <c r="B1630" s="23">
        <f>Parameters!B816</f>
        <v>0</v>
      </c>
      <c r="C1630" s="24">
        <f>Parameters!C816</f>
        <v>0</v>
      </c>
      <c r="D1630" s="24">
        <f>Parameters!D816</f>
        <v>0</v>
      </c>
      <c r="E1630" s="23">
        <f>Parameters!E816</f>
        <v>0</v>
      </c>
      <c r="F1630" s="23">
        <f>Parameters!F816</f>
        <v>0</v>
      </c>
      <c r="G1630" s="25">
        <f>Parameters!G816</f>
        <v>0</v>
      </c>
      <c r="H1630" s="25">
        <f>Parameters!H816</f>
        <v>0</v>
      </c>
      <c r="I1630" s="25">
        <f>Parameters!I816</f>
        <v>0</v>
      </c>
      <c r="J1630" s="25">
        <f>Parameters!J816</f>
        <v>0</v>
      </c>
      <c r="K1630" s="25">
        <f>Parameters!K816</f>
        <v>0</v>
      </c>
      <c r="L1630" s="26" t="e">
        <f t="shared" ref="L1630" si="2439">L1631</f>
        <v>#DIV/0!</v>
      </c>
      <c r="M1630" s="25">
        <f>Parameters!L816</f>
        <v>0</v>
      </c>
      <c r="N1630" s="25">
        <f>Parameters!M816</f>
        <v>0</v>
      </c>
      <c r="O1630" s="26" t="e">
        <f t="shared" ref="O1630" si="2440">O1631</f>
        <v>#DIV/0!</v>
      </c>
      <c r="P1630" s="23">
        <f>Parameters!N816</f>
        <v>0</v>
      </c>
      <c r="Q1630" s="23">
        <f>Parameters!O816</f>
        <v>0</v>
      </c>
      <c r="R1630" s="23">
        <f>Parameters!P816</f>
        <v>0</v>
      </c>
      <c r="S1630" s="23">
        <f>Parameters!Q816</f>
        <v>0</v>
      </c>
      <c r="T1630" s="23">
        <f>Parameters!R816</f>
        <v>0</v>
      </c>
      <c r="U1630" s="27">
        <f>Parameters!S816</f>
        <v>0</v>
      </c>
      <c r="V1630" s="28">
        <f>Parameters!T816</f>
        <v>0</v>
      </c>
      <c r="W1630" s="27">
        <f>Parameters!U816</f>
        <v>0</v>
      </c>
      <c r="X1630" s="28">
        <f>Parameters!V816</f>
        <v>0</v>
      </c>
      <c r="Y1630" s="25">
        <f>Parameters!W816</f>
        <v>0</v>
      </c>
      <c r="Z1630" s="23">
        <f>Parameters!X816</f>
        <v>0</v>
      </c>
      <c r="AA1630" s="27">
        <f>Parameters!Y816</f>
        <v>0</v>
      </c>
      <c r="AB1630" s="28">
        <f>Parameters!Z816</f>
        <v>0</v>
      </c>
      <c r="AC1630" s="23">
        <f>Parameters!AA816</f>
        <v>0</v>
      </c>
    </row>
    <row r="1631" spans="1:29">
      <c r="A1631" s="29" t="str">
        <f>UPPER(A1630)</f>
        <v>0</v>
      </c>
      <c r="B1631" s="29">
        <f>B1630</f>
        <v>0</v>
      </c>
      <c r="C1631" s="30">
        <f>C1630</f>
        <v>0</v>
      </c>
      <c r="D1631" s="30">
        <f>D1630</f>
        <v>0</v>
      </c>
      <c r="E1631" s="29">
        <f>E1630</f>
        <v>0</v>
      </c>
      <c r="F1631" s="29">
        <f>F1630</f>
        <v>0</v>
      </c>
      <c r="G1631" s="29" t="e">
        <f>IF(C1630=1,IF(D1630="BUY",E1630+(ROUND(F1630*G1630/B1630,0)*B1630),E1630-(ROUND(F1630*G1630/B1630,0)*B1630)),IF(D1630="BUY",E1630-(ROUND(F1630*G1630/B1630,0)*B1630),E1630+(ROUND(F1630*G1630/B1630,0)*B1630)))</f>
        <v>#DIV/0!</v>
      </c>
      <c r="H1631" s="29" t="e">
        <f>IF(C1630=1,IF(D1630="BUY",G1631-(ROUND(F1630*H1630/B1630,0)*B1630),G1631+(ROUND(F1630*H1630/B1630,0)*B1630)),IF(D1630="BUY",G1631+(ROUND(F1630*H1630/B1630,0)*B1630),G1631-(ROUND(F1630*H1630/B1630,0)*B1630)))</f>
        <v>#DIV/0!</v>
      </c>
      <c r="I1631" s="29" t="e">
        <f>IF(D1630="BUY",G1631+(ROUND(F1630*I1630/(B1630*100),0)*B1630),G1631-(ROUND(F1630*I1630/(B1630*100),0)*B1630))</f>
        <v>#DIV/0!</v>
      </c>
      <c r="J1631" s="29" t="e">
        <f>IF(C1630=1,IF(D1630="BUY",E1630+(ROUND(F1630*J1630/B1630,0)*B1630),E1630-(ROUND(F1630*J1630/B1630,0)*B1630)),IF(D1630="BUY",E1630-(ROUND(F1630*J1630/B1630,0)*B1630),E1630+(ROUND(F1630*J1630/B1630,0)*B1630)))</f>
        <v>#DIV/0!</v>
      </c>
      <c r="K1631" s="29" t="e">
        <f>IF(C1630=1,IF(D1630="BUY",E1630-(ROUND(F1630*K1630/B1630,0)*B1630),E1630+(ROUND(F1630*K1630/B1630,0)*B1630)),IF(D1630="BUY",E1630-(ROUND(F1630*K1630/B1630,0)*B1630),E1630+(ROUND(F1630*K1630/B1630,0)*B1630)))</f>
        <v>#DIV/0!</v>
      </c>
      <c r="L1631" s="29" t="e">
        <f t="shared" ref="L1631" si="2441">IF(D1631="BUY",I1631+(R1631*B1631),I1631-(R1631*B1631))</f>
        <v>#DIV/0!</v>
      </c>
      <c r="M1631" s="29" t="e">
        <f>IF(D1630="BUY",E1630+(ROUND(F1630*M1630/B1630,0)*B1630),E1630-(ROUND(F1630*M1630/B1630,0)*B1630))</f>
        <v>#DIV/0!</v>
      </c>
      <c r="N1631" s="29" t="e">
        <f>IF(D1630="BUY",E1630-(ROUND(F1630*N1630/B1630,0)*B1630),E1630+(ROUND(F1630*N1630/B1630,0)*B1630))</f>
        <v>#DIV/0!</v>
      </c>
      <c r="O1631" s="31" t="e">
        <f>IF(D1631="BUY",N1631-VLOOKUP(A1631,Symbols!A$1:D$1000,4,FALSE),N1631+VLOOKUP(A1631,Symbols!A$1:D$1000,4,FALSE))</f>
        <v>#DIV/0!</v>
      </c>
      <c r="P1631" s="29">
        <f>P1630</f>
        <v>0</v>
      </c>
      <c r="Q1631" s="29">
        <f>Q1630</f>
        <v>0</v>
      </c>
      <c r="R1631" s="29">
        <f>R1630</f>
        <v>0</v>
      </c>
      <c r="S1631" s="29">
        <f>S1630</f>
        <v>0</v>
      </c>
      <c r="T1631" s="29">
        <f>T1630</f>
        <v>0</v>
      </c>
      <c r="U1631" s="29" t="e">
        <f>DATEDIF(DATE(1970,1,1),U1630,"D")*86400</f>
        <v>#NUM!</v>
      </c>
      <c r="V1631" s="29">
        <f>HOUR(V1630)*3600+MINUTE(V1630)*60+SECOND(V1630)</f>
        <v>0</v>
      </c>
      <c r="W1631" s="29" t="e">
        <f>DATEDIF(DATE(1970,1,1),W1630,"D")*86400</f>
        <v>#NUM!</v>
      </c>
      <c r="X1631" s="29">
        <f>HOUR(X1630)*3600+MINUTE(X1630)*60+SECOND(X1630)</f>
        <v>0</v>
      </c>
      <c r="Y1631" s="31">
        <f>(Y1630*B1631)</f>
        <v>0</v>
      </c>
      <c r="Z1631" s="29">
        <f>Z1630</f>
        <v>0</v>
      </c>
      <c r="AA1631" s="29" t="e">
        <f>DATEDIF(DATE(1970,1,1),AA1630,"D")*86400</f>
        <v>#NUM!</v>
      </c>
      <c r="AB1631" s="29">
        <f>HOUR(AB1630)*3600+MINUTE(AB1630)*60+SECOND(AB1630)</f>
        <v>0</v>
      </c>
      <c r="AC1631" s="29">
        <f>AC1630</f>
        <v>0</v>
      </c>
    </row>
    <row r="1632" spans="1:29">
      <c r="A1632" s="23">
        <f>Parameters!A817</f>
        <v>0</v>
      </c>
      <c r="B1632" s="23">
        <f>Parameters!B817</f>
        <v>0</v>
      </c>
      <c r="C1632" s="24">
        <f>Parameters!C817</f>
        <v>0</v>
      </c>
      <c r="D1632" s="24">
        <f>Parameters!D817</f>
        <v>0</v>
      </c>
      <c r="E1632" s="23">
        <f>Parameters!E817</f>
        <v>0</v>
      </c>
      <c r="F1632" s="23">
        <f>Parameters!F817</f>
        <v>0</v>
      </c>
      <c r="G1632" s="25">
        <f>Parameters!G817</f>
        <v>0</v>
      </c>
      <c r="H1632" s="25">
        <f>Parameters!H817</f>
        <v>0</v>
      </c>
      <c r="I1632" s="25">
        <f>Parameters!I817</f>
        <v>0</v>
      </c>
      <c r="J1632" s="25">
        <f>Parameters!J817</f>
        <v>0</v>
      </c>
      <c r="K1632" s="25">
        <f>Parameters!K817</f>
        <v>0</v>
      </c>
      <c r="L1632" s="26" t="e">
        <f t="shared" ref="L1632" si="2442">L1633</f>
        <v>#DIV/0!</v>
      </c>
      <c r="M1632" s="25">
        <f>Parameters!L817</f>
        <v>0</v>
      </c>
      <c r="N1632" s="25">
        <f>Parameters!M817</f>
        <v>0</v>
      </c>
      <c r="O1632" s="26" t="e">
        <f t="shared" ref="O1632" si="2443">O1633</f>
        <v>#DIV/0!</v>
      </c>
      <c r="P1632" s="23">
        <f>Parameters!N817</f>
        <v>0</v>
      </c>
      <c r="Q1632" s="23">
        <f>Parameters!O817</f>
        <v>0</v>
      </c>
      <c r="R1632" s="23">
        <f>Parameters!P817</f>
        <v>0</v>
      </c>
      <c r="S1632" s="23">
        <f>Parameters!Q817</f>
        <v>0</v>
      </c>
      <c r="T1632" s="23">
        <f>Parameters!R817</f>
        <v>0</v>
      </c>
      <c r="U1632" s="27">
        <f>Parameters!S817</f>
        <v>0</v>
      </c>
      <c r="V1632" s="28">
        <f>Parameters!T817</f>
        <v>0</v>
      </c>
      <c r="W1632" s="27">
        <f>Parameters!U817</f>
        <v>0</v>
      </c>
      <c r="X1632" s="28">
        <f>Parameters!V817</f>
        <v>0</v>
      </c>
      <c r="Y1632" s="25">
        <f>Parameters!W817</f>
        <v>0</v>
      </c>
      <c r="Z1632" s="23">
        <f>Parameters!X817</f>
        <v>0</v>
      </c>
      <c r="AA1632" s="27">
        <f>Parameters!Y817</f>
        <v>0</v>
      </c>
      <c r="AB1632" s="28">
        <f>Parameters!Z817</f>
        <v>0</v>
      </c>
      <c r="AC1632" s="23">
        <f>Parameters!AA817</f>
        <v>0</v>
      </c>
    </row>
    <row r="1633" spans="1:29">
      <c r="A1633" s="29" t="str">
        <f>UPPER(A1632)</f>
        <v>0</v>
      </c>
      <c r="B1633" s="29">
        <f>B1632</f>
        <v>0</v>
      </c>
      <c r="C1633" s="30">
        <f>C1632</f>
        <v>0</v>
      </c>
      <c r="D1633" s="30">
        <f>D1632</f>
        <v>0</v>
      </c>
      <c r="E1633" s="29">
        <f>E1632</f>
        <v>0</v>
      </c>
      <c r="F1633" s="29">
        <f>F1632</f>
        <v>0</v>
      </c>
      <c r="G1633" s="29" t="e">
        <f>IF(C1632=1,IF(D1632="BUY",E1632+(ROUND(F1632*G1632/B1632,0)*B1632),E1632-(ROUND(F1632*G1632/B1632,0)*B1632)),IF(D1632="BUY",E1632-(ROUND(F1632*G1632/B1632,0)*B1632),E1632+(ROUND(F1632*G1632/B1632,0)*B1632)))</f>
        <v>#DIV/0!</v>
      </c>
      <c r="H1633" s="29" t="e">
        <f>IF(C1632=1,IF(D1632="BUY",G1633-(ROUND(F1632*H1632/B1632,0)*B1632),G1633+(ROUND(F1632*H1632/B1632,0)*B1632)),IF(D1632="BUY",G1633+(ROUND(F1632*H1632/B1632,0)*B1632),G1633-(ROUND(F1632*H1632/B1632,0)*B1632)))</f>
        <v>#DIV/0!</v>
      </c>
      <c r="I1633" s="29" t="e">
        <f>IF(D1632="BUY",G1633+(ROUND(F1632*I1632/(B1632*100),0)*B1632),G1633-(ROUND(F1632*I1632/(B1632*100),0)*B1632))</f>
        <v>#DIV/0!</v>
      </c>
      <c r="J1633" s="29" t="e">
        <f>IF(C1632=1,IF(D1632="BUY",E1632+(ROUND(F1632*J1632/B1632,0)*B1632),E1632-(ROUND(F1632*J1632/B1632,0)*B1632)),IF(D1632="BUY",E1632-(ROUND(F1632*J1632/B1632,0)*B1632),E1632+(ROUND(F1632*J1632/B1632,0)*B1632)))</f>
        <v>#DIV/0!</v>
      </c>
      <c r="K1633" s="29" t="e">
        <f>IF(C1632=1,IF(D1632="BUY",E1632-(ROUND(F1632*K1632/B1632,0)*B1632),E1632+(ROUND(F1632*K1632/B1632,0)*B1632)),IF(D1632="BUY",E1632-(ROUND(F1632*K1632/B1632,0)*B1632),E1632+(ROUND(F1632*K1632/B1632,0)*B1632)))</f>
        <v>#DIV/0!</v>
      </c>
      <c r="L1633" s="29" t="e">
        <f t="shared" ref="L1633" si="2444">IF(D1633="BUY",I1633+(R1633*B1633),I1633-(R1633*B1633))</f>
        <v>#DIV/0!</v>
      </c>
      <c r="M1633" s="29" t="e">
        <f>IF(D1632="BUY",E1632+(ROUND(F1632*M1632/B1632,0)*B1632),E1632-(ROUND(F1632*M1632/B1632,0)*B1632))</f>
        <v>#DIV/0!</v>
      </c>
      <c r="N1633" s="29" t="e">
        <f>IF(D1632="BUY",E1632-(ROUND(F1632*N1632/B1632,0)*B1632),E1632+(ROUND(F1632*N1632/B1632,0)*B1632))</f>
        <v>#DIV/0!</v>
      </c>
      <c r="O1633" s="31" t="e">
        <f>IF(D1633="BUY",N1633-VLOOKUP(A1633,Symbols!A$1:D$1000,4,FALSE),N1633+VLOOKUP(A1633,Symbols!A$1:D$1000,4,FALSE))</f>
        <v>#DIV/0!</v>
      </c>
      <c r="P1633" s="29">
        <f>P1632</f>
        <v>0</v>
      </c>
      <c r="Q1633" s="29">
        <f>Q1632</f>
        <v>0</v>
      </c>
      <c r="R1633" s="29">
        <f>R1632</f>
        <v>0</v>
      </c>
      <c r="S1633" s="29">
        <f>S1632</f>
        <v>0</v>
      </c>
      <c r="T1633" s="29">
        <f>T1632</f>
        <v>0</v>
      </c>
      <c r="U1633" s="29" t="e">
        <f>DATEDIF(DATE(1970,1,1),U1632,"D")*86400</f>
        <v>#NUM!</v>
      </c>
      <c r="V1633" s="29">
        <f>HOUR(V1632)*3600+MINUTE(V1632)*60+SECOND(V1632)</f>
        <v>0</v>
      </c>
      <c r="W1633" s="29" t="e">
        <f>DATEDIF(DATE(1970,1,1),W1632,"D")*86400</f>
        <v>#NUM!</v>
      </c>
      <c r="X1633" s="29">
        <f>HOUR(X1632)*3600+MINUTE(X1632)*60+SECOND(X1632)</f>
        <v>0</v>
      </c>
      <c r="Y1633" s="31">
        <f>(Y1632*B1633)</f>
        <v>0</v>
      </c>
      <c r="Z1633" s="29">
        <f>Z1632</f>
        <v>0</v>
      </c>
      <c r="AA1633" s="29" t="e">
        <f>DATEDIF(DATE(1970,1,1),AA1632,"D")*86400</f>
        <v>#NUM!</v>
      </c>
      <c r="AB1633" s="29">
        <f>HOUR(AB1632)*3600+MINUTE(AB1632)*60+SECOND(AB1632)</f>
        <v>0</v>
      </c>
      <c r="AC1633" s="29">
        <f>AC1632</f>
        <v>0</v>
      </c>
    </row>
    <row r="1634" spans="1:29">
      <c r="A1634" s="23">
        <f>Parameters!A818</f>
        <v>0</v>
      </c>
      <c r="B1634" s="23">
        <f>Parameters!B818</f>
        <v>0</v>
      </c>
      <c r="C1634" s="24">
        <f>Parameters!C818</f>
        <v>0</v>
      </c>
      <c r="D1634" s="24">
        <f>Parameters!D818</f>
        <v>0</v>
      </c>
      <c r="E1634" s="23">
        <f>Parameters!E818</f>
        <v>0</v>
      </c>
      <c r="F1634" s="23">
        <f>Parameters!F818</f>
        <v>0</v>
      </c>
      <c r="G1634" s="25">
        <f>Parameters!G818</f>
        <v>0</v>
      </c>
      <c r="H1634" s="25">
        <f>Parameters!H818</f>
        <v>0</v>
      </c>
      <c r="I1634" s="25">
        <f>Parameters!I818</f>
        <v>0</v>
      </c>
      <c r="J1634" s="25">
        <f>Parameters!J818</f>
        <v>0</v>
      </c>
      <c r="K1634" s="25">
        <f>Parameters!K818</f>
        <v>0</v>
      </c>
      <c r="L1634" s="26" t="e">
        <f t="shared" ref="L1634" si="2445">L1635</f>
        <v>#DIV/0!</v>
      </c>
      <c r="M1634" s="25">
        <f>Parameters!L818</f>
        <v>0</v>
      </c>
      <c r="N1634" s="25">
        <f>Parameters!M818</f>
        <v>0</v>
      </c>
      <c r="O1634" s="26" t="e">
        <f t="shared" ref="O1634" si="2446">O1635</f>
        <v>#DIV/0!</v>
      </c>
      <c r="P1634" s="23">
        <f>Parameters!N818</f>
        <v>0</v>
      </c>
      <c r="Q1634" s="23">
        <f>Parameters!O818</f>
        <v>0</v>
      </c>
      <c r="R1634" s="23">
        <f>Parameters!P818</f>
        <v>0</v>
      </c>
      <c r="S1634" s="23">
        <f>Parameters!Q818</f>
        <v>0</v>
      </c>
      <c r="T1634" s="23">
        <f>Parameters!R818</f>
        <v>0</v>
      </c>
      <c r="U1634" s="27">
        <f>Parameters!S818</f>
        <v>0</v>
      </c>
      <c r="V1634" s="28">
        <f>Parameters!T818</f>
        <v>0</v>
      </c>
      <c r="W1634" s="27">
        <f>Parameters!U818</f>
        <v>0</v>
      </c>
      <c r="X1634" s="28">
        <f>Parameters!V818</f>
        <v>0</v>
      </c>
      <c r="Y1634" s="25">
        <f>Parameters!W818</f>
        <v>0</v>
      </c>
      <c r="Z1634" s="23">
        <f>Parameters!X818</f>
        <v>0</v>
      </c>
      <c r="AA1634" s="27">
        <f>Parameters!Y818</f>
        <v>0</v>
      </c>
      <c r="AB1634" s="28">
        <f>Parameters!Z818</f>
        <v>0</v>
      </c>
      <c r="AC1634" s="23">
        <f>Parameters!AA818</f>
        <v>0</v>
      </c>
    </row>
    <row r="1635" spans="1:29">
      <c r="A1635" s="29" t="str">
        <f>UPPER(A1634)</f>
        <v>0</v>
      </c>
      <c r="B1635" s="29">
        <f>B1634</f>
        <v>0</v>
      </c>
      <c r="C1635" s="30">
        <f>C1634</f>
        <v>0</v>
      </c>
      <c r="D1635" s="30">
        <f>D1634</f>
        <v>0</v>
      </c>
      <c r="E1635" s="29">
        <f>E1634</f>
        <v>0</v>
      </c>
      <c r="F1635" s="29">
        <f>F1634</f>
        <v>0</v>
      </c>
      <c r="G1635" s="29" t="e">
        <f>IF(C1634=1,IF(D1634="BUY",E1634+(ROUND(F1634*G1634/B1634,0)*B1634),E1634-(ROUND(F1634*G1634/B1634,0)*B1634)),IF(D1634="BUY",E1634-(ROUND(F1634*G1634/B1634,0)*B1634),E1634+(ROUND(F1634*G1634/B1634,0)*B1634)))</f>
        <v>#DIV/0!</v>
      </c>
      <c r="H1635" s="29" t="e">
        <f>IF(C1634=1,IF(D1634="BUY",G1635-(ROUND(F1634*H1634/B1634,0)*B1634),G1635+(ROUND(F1634*H1634/B1634,0)*B1634)),IF(D1634="BUY",G1635+(ROUND(F1634*H1634/B1634,0)*B1634),G1635-(ROUND(F1634*H1634/B1634,0)*B1634)))</f>
        <v>#DIV/0!</v>
      </c>
      <c r="I1635" s="29" t="e">
        <f>IF(D1634="BUY",G1635+(ROUND(F1634*I1634/(B1634*100),0)*B1634),G1635-(ROUND(F1634*I1634/(B1634*100),0)*B1634))</f>
        <v>#DIV/0!</v>
      </c>
      <c r="J1635" s="29" t="e">
        <f>IF(C1634=1,IF(D1634="BUY",E1634+(ROUND(F1634*J1634/B1634,0)*B1634),E1634-(ROUND(F1634*J1634/B1634,0)*B1634)),IF(D1634="BUY",E1634-(ROUND(F1634*J1634/B1634,0)*B1634),E1634+(ROUND(F1634*J1634/B1634,0)*B1634)))</f>
        <v>#DIV/0!</v>
      </c>
      <c r="K1635" s="29" t="e">
        <f>IF(C1634=1,IF(D1634="BUY",E1634-(ROUND(F1634*K1634/B1634,0)*B1634),E1634+(ROUND(F1634*K1634/B1634,0)*B1634)),IF(D1634="BUY",E1634-(ROUND(F1634*K1634/B1634,0)*B1634),E1634+(ROUND(F1634*K1634/B1634,0)*B1634)))</f>
        <v>#DIV/0!</v>
      </c>
      <c r="L1635" s="29" t="e">
        <f t="shared" ref="L1635" si="2447">IF(D1635="BUY",I1635+(R1635*B1635),I1635-(R1635*B1635))</f>
        <v>#DIV/0!</v>
      </c>
      <c r="M1635" s="29" t="e">
        <f>IF(D1634="BUY",E1634+(ROUND(F1634*M1634/B1634,0)*B1634),E1634-(ROUND(F1634*M1634/B1634,0)*B1634))</f>
        <v>#DIV/0!</v>
      </c>
      <c r="N1635" s="29" t="e">
        <f>IF(D1634="BUY",E1634-(ROUND(F1634*N1634/B1634,0)*B1634),E1634+(ROUND(F1634*N1634/B1634,0)*B1634))</f>
        <v>#DIV/0!</v>
      </c>
      <c r="O1635" s="31" t="e">
        <f>IF(D1635="BUY",N1635-VLOOKUP(A1635,Symbols!A$1:D$1000,4,FALSE),N1635+VLOOKUP(A1635,Symbols!A$1:D$1000,4,FALSE))</f>
        <v>#DIV/0!</v>
      </c>
      <c r="P1635" s="29">
        <f>P1634</f>
        <v>0</v>
      </c>
      <c r="Q1635" s="29">
        <f>Q1634</f>
        <v>0</v>
      </c>
      <c r="R1635" s="29">
        <f>R1634</f>
        <v>0</v>
      </c>
      <c r="S1635" s="29">
        <f>S1634</f>
        <v>0</v>
      </c>
      <c r="T1635" s="29">
        <f>T1634</f>
        <v>0</v>
      </c>
      <c r="U1635" s="29" t="e">
        <f>DATEDIF(DATE(1970,1,1),U1634,"D")*86400</f>
        <v>#NUM!</v>
      </c>
      <c r="V1635" s="29">
        <f>HOUR(V1634)*3600+MINUTE(V1634)*60+SECOND(V1634)</f>
        <v>0</v>
      </c>
      <c r="W1635" s="29" t="e">
        <f>DATEDIF(DATE(1970,1,1),W1634,"D")*86400</f>
        <v>#NUM!</v>
      </c>
      <c r="X1635" s="29">
        <f>HOUR(X1634)*3600+MINUTE(X1634)*60+SECOND(X1634)</f>
        <v>0</v>
      </c>
      <c r="Y1635" s="31">
        <f>(Y1634*B1635)</f>
        <v>0</v>
      </c>
      <c r="Z1635" s="29">
        <f>Z1634</f>
        <v>0</v>
      </c>
      <c r="AA1635" s="29" t="e">
        <f>DATEDIF(DATE(1970,1,1),AA1634,"D")*86400</f>
        <v>#NUM!</v>
      </c>
      <c r="AB1635" s="29">
        <f>HOUR(AB1634)*3600+MINUTE(AB1634)*60+SECOND(AB1634)</f>
        <v>0</v>
      </c>
      <c r="AC1635" s="29">
        <f>AC1634</f>
        <v>0</v>
      </c>
    </row>
    <row r="1636" spans="1:29">
      <c r="A1636" s="23">
        <f>Parameters!A819</f>
        <v>0</v>
      </c>
      <c r="B1636" s="23">
        <f>Parameters!B819</f>
        <v>0</v>
      </c>
      <c r="C1636" s="24">
        <f>Parameters!C819</f>
        <v>0</v>
      </c>
      <c r="D1636" s="24">
        <f>Parameters!D819</f>
        <v>0</v>
      </c>
      <c r="E1636" s="23">
        <f>Parameters!E819</f>
        <v>0</v>
      </c>
      <c r="F1636" s="23">
        <f>Parameters!F819</f>
        <v>0</v>
      </c>
      <c r="G1636" s="25">
        <f>Parameters!G819</f>
        <v>0</v>
      </c>
      <c r="H1636" s="25">
        <f>Parameters!H819</f>
        <v>0</v>
      </c>
      <c r="I1636" s="25">
        <f>Parameters!I819</f>
        <v>0</v>
      </c>
      <c r="J1636" s="25">
        <f>Parameters!J819</f>
        <v>0</v>
      </c>
      <c r="K1636" s="25">
        <f>Parameters!K819</f>
        <v>0</v>
      </c>
      <c r="L1636" s="26" t="e">
        <f t="shared" ref="L1636" si="2448">L1637</f>
        <v>#DIV/0!</v>
      </c>
      <c r="M1636" s="25">
        <f>Parameters!L819</f>
        <v>0</v>
      </c>
      <c r="N1636" s="25">
        <f>Parameters!M819</f>
        <v>0</v>
      </c>
      <c r="O1636" s="26" t="e">
        <f t="shared" ref="O1636" si="2449">O1637</f>
        <v>#DIV/0!</v>
      </c>
      <c r="P1636" s="23">
        <f>Parameters!N819</f>
        <v>0</v>
      </c>
      <c r="Q1636" s="23">
        <f>Parameters!O819</f>
        <v>0</v>
      </c>
      <c r="R1636" s="23">
        <f>Parameters!P819</f>
        <v>0</v>
      </c>
      <c r="S1636" s="23">
        <f>Parameters!Q819</f>
        <v>0</v>
      </c>
      <c r="T1636" s="23">
        <f>Parameters!R819</f>
        <v>0</v>
      </c>
      <c r="U1636" s="27">
        <f>Parameters!S819</f>
        <v>0</v>
      </c>
      <c r="V1636" s="28">
        <f>Parameters!T819</f>
        <v>0</v>
      </c>
      <c r="W1636" s="27">
        <f>Parameters!U819</f>
        <v>0</v>
      </c>
      <c r="X1636" s="28">
        <f>Parameters!V819</f>
        <v>0</v>
      </c>
      <c r="Y1636" s="25">
        <f>Parameters!W819</f>
        <v>0</v>
      </c>
      <c r="Z1636" s="23">
        <f>Parameters!X819</f>
        <v>0</v>
      </c>
      <c r="AA1636" s="27">
        <f>Parameters!Y819</f>
        <v>0</v>
      </c>
      <c r="AB1636" s="28">
        <f>Parameters!Z819</f>
        <v>0</v>
      </c>
      <c r="AC1636" s="23">
        <f>Parameters!AA819</f>
        <v>0</v>
      </c>
    </row>
    <row r="1637" spans="1:29">
      <c r="A1637" s="29" t="str">
        <f>UPPER(A1636)</f>
        <v>0</v>
      </c>
      <c r="B1637" s="29">
        <f>B1636</f>
        <v>0</v>
      </c>
      <c r="C1637" s="30">
        <f>C1636</f>
        <v>0</v>
      </c>
      <c r="D1637" s="30">
        <f>D1636</f>
        <v>0</v>
      </c>
      <c r="E1637" s="29">
        <f>E1636</f>
        <v>0</v>
      </c>
      <c r="F1637" s="29">
        <f>F1636</f>
        <v>0</v>
      </c>
      <c r="G1637" s="29" t="e">
        <f>IF(C1636=1,IF(D1636="BUY",E1636+(ROUND(F1636*G1636/B1636,0)*B1636),E1636-(ROUND(F1636*G1636/B1636,0)*B1636)),IF(D1636="BUY",E1636-(ROUND(F1636*G1636/B1636,0)*B1636),E1636+(ROUND(F1636*G1636/B1636,0)*B1636)))</f>
        <v>#DIV/0!</v>
      </c>
      <c r="H1637" s="29" t="e">
        <f>IF(C1636=1,IF(D1636="BUY",G1637-(ROUND(F1636*H1636/B1636,0)*B1636),G1637+(ROUND(F1636*H1636/B1636,0)*B1636)),IF(D1636="BUY",G1637+(ROUND(F1636*H1636/B1636,0)*B1636),G1637-(ROUND(F1636*H1636/B1636,0)*B1636)))</f>
        <v>#DIV/0!</v>
      </c>
      <c r="I1637" s="29" t="e">
        <f>IF(D1636="BUY",G1637+(ROUND(F1636*I1636/(B1636*100),0)*B1636),G1637-(ROUND(F1636*I1636/(B1636*100),0)*B1636))</f>
        <v>#DIV/0!</v>
      </c>
      <c r="J1637" s="29" t="e">
        <f>IF(C1636=1,IF(D1636="BUY",E1636+(ROUND(F1636*J1636/B1636,0)*B1636),E1636-(ROUND(F1636*J1636/B1636,0)*B1636)),IF(D1636="BUY",E1636-(ROUND(F1636*J1636/B1636,0)*B1636),E1636+(ROUND(F1636*J1636/B1636,0)*B1636)))</f>
        <v>#DIV/0!</v>
      </c>
      <c r="K1637" s="29" t="e">
        <f>IF(C1636=1,IF(D1636="BUY",E1636-(ROUND(F1636*K1636/B1636,0)*B1636),E1636+(ROUND(F1636*K1636/B1636,0)*B1636)),IF(D1636="BUY",E1636-(ROUND(F1636*K1636/B1636,0)*B1636),E1636+(ROUND(F1636*K1636/B1636,0)*B1636)))</f>
        <v>#DIV/0!</v>
      </c>
      <c r="L1637" s="29" t="e">
        <f t="shared" ref="L1637" si="2450">IF(D1637="BUY",I1637+(R1637*B1637),I1637-(R1637*B1637))</f>
        <v>#DIV/0!</v>
      </c>
      <c r="M1637" s="29" t="e">
        <f>IF(D1636="BUY",E1636+(ROUND(F1636*M1636/B1636,0)*B1636),E1636-(ROUND(F1636*M1636/B1636,0)*B1636))</f>
        <v>#DIV/0!</v>
      </c>
      <c r="N1637" s="29" t="e">
        <f>IF(D1636="BUY",E1636-(ROUND(F1636*N1636/B1636,0)*B1636),E1636+(ROUND(F1636*N1636/B1636,0)*B1636))</f>
        <v>#DIV/0!</v>
      </c>
      <c r="O1637" s="31" t="e">
        <f>IF(D1637="BUY",N1637-VLOOKUP(A1637,Symbols!A$1:D$1000,4,FALSE),N1637+VLOOKUP(A1637,Symbols!A$1:D$1000,4,FALSE))</f>
        <v>#DIV/0!</v>
      </c>
      <c r="P1637" s="29">
        <f>P1636</f>
        <v>0</v>
      </c>
      <c r="Q1637" s="29">
        <f>Q1636</f>
        <v>0</v>
      </c>
      <c r="R1637" s="29">
        <f>R1636</f>
        <v>0</v>
      </c>
      <c r="S1637" s="29">
        <f>S1636</f>
        <v>0</v>
      </c>
      <c r="T1637" s="29">
        <f>T1636</f>
        <v>0</v>
      </c>
      <c r="U1637" s="29" t="e">
        <f>DATEDIF(DATE(1970,1,1),U1636,"D")*86400</f>
        <v>#NUM!</v>
      </c>
      <c r="V1637" s="29">
        <f>HOUR(V1636)*3600+MINUTE(V1636)*60+SECOND(V1636)</f>
        <v>0</v>
      </c>
      <c r="W1637" s="29" t="e">
        <f>DATEDIF(DATE(1970,1,1),W1636,"D")*86400</f>
        <v>#NUM!</v>
      </c>
      <c r="X1637" s="29">
        <f>HOUR(X1636)*3600+MINUTE(X1636)*60+SECOND(X1636)</f>
        <v>0</v>
      </c>
      <c r="Y1637" s="31">
        <f>(Y1636*B1637)</f>
        <v>0</v>
      </c>
      <c r="Z1637" s="29">
        <f>Z1636</f>
        <v>0</v>
      </c>
      <c r="AA1637" s="29" t="e">
        <f>DATEDIF(DATE(1970,1,1),AA1636,"D")*86400</f>
        <v>#NUM!</v>
      </c>
      <c r="AB1637" s="29">
        <f>HOUR(AB1636)*3600+MINUTE(AB1636)*60+SECOND(AB1636)</f>
        <v>0</v>
      </c>
      <c r="AC1637" s="29">
        <f>AC1636</f>
        <v>0</v>
      </c>
    </row>
    <row r="1638" spans="1:29">
      <c r="A1638" s="23">
        <f>Parameters!A820</f>
        <v>0</v>
      </c>
      <c r="B1638" s="23">
        <f>Parameters!B820</f>
        <v>0</v>
      </c>
      <c r="C1638" s="24">
        <f>Parameters!C820</f>
        <v>0</v>
      </c>
      <c r="D1638" s="24">
        <f>Parameters!D820</f>
        <v>0</v>
      </c>
      <c r="E1638" s="23">
        <f>Parameters!E820</f>
        <v>0</v>
      </c>
      <c r="F1638" s="23">
        <f>Parameters!F820</f>
        <v>0</v>
      </c>
      <c r="G1638" s="25">
        <f>Parameters!G820</f>
        <v>0</v>
      </c>
      <c r="H1638" s="25">
        <f>Parameters!H820</f>
        <v>0</v>
      </c>
      <c r="I1638" s="25">
        <f>Parameters!I820</f>
        <v>0</v>
      </c>
      <c r="J1638" s="25">
        <f>Parameters!J820</f>
        <v>0</v>
      </c>
      <c r="K1638" s="25">
        <f>Parameters!K820</f>
        <v>0</v>
      </c>
      <c r="L1638" s="26" t="e">
        <f t="shared" ref="L1638" si="2451">L1639</f>
        <v>#DIV/0!</v>
      </c>
      <c r="M1638" s="25">
        <f>Parameters!L820</f>
        <v>0</v>
      </c>
      <c r="N1638" s="25">
        <f>Parameters!M820</f>
        <v>0</v>
      </c>
      <c r="O1638" s="26" t="e">
        <f t="shared" ref="O1638" si="2452">O1639</f>
        <v>#DIV/0!</v>
      </c>
      <c r="P1638" s="23">
        <f>Parameters!N820</f>
        <v>0</v>
      </c>
      <c r="Q1638" s="23">
        <f>Parameters!O820</f>
        <v>0</v>
      </c>
      <c r="R1638" s="23">
        <f>Parameters!P820</f>
        <v>0</v>
      </c>
      <c r="S1638" s="23">
        <f>Parameters!Q820</f>
        <v>0</v>
      </c>
      <c r="T1638" s="23">
        <f>Parameters!R820</f>
        <v>0</v>
      </c>
      <c r="U1638" s="27">
        <f>Parameters!S820</f>
        <v>0</v>
      </c>
      <c r="V1638" s="28">
        <f>Parameters!T820</f>
        <v>0</v>
      </c>
      <c r="W1638" s="27">
        <f>Parameters!U820</f>
        <v>0</v>
      </c>
      <c r="X1638" s="28">
        <f>Parameters!V820</f>
        <v>0</v>
      </c>
      <c r="Y1638" s="25">
        <f>Parameters!W820</f>
        <v>0</v>
      </c>
      <c r="Z1638" s="23">
        <f>Parameters!X820</f>
        <v>0</v>
      </c>
      <c r="AA1638" s="27">
        <f>Parameters!Y820</f>
        <v>0</v>
      </c>
      <c r="AB1638" s="28">
        <f>Parameters!Z820</f>
        <v>0</v>
      </c>
      <c r="AC1638" s="23">
        <f>Parameters!AA820</f>
        <v>0</v>
      </c>
    </row>
    <row r="1639" spans="1:29">
      <c r="A1639" s="29" t="str">
        <f>UPPER(A1638)</f>
        <v>0</v>
      </c>
      <c r="B1639" s="29">
        <f>B1638</f>
        <v>0</v>
      </c>
      <c r="C1639" s="30">
        <f>C1638</f>
        <v>0</v>
      </c>
      <c r="D1639" s="30">
        <f>D1638</f>
        <v>0</v>
      </c>
      <c r="E1639" s="29">
        <f>E1638</f>
        <v>0</v>
      </c>
      <c r="F1639" s="29">
        <f>F1638</f>
        <v>0</v>
      </c>
      <c r="G1639" s="29" t="e">
        <f>IF(C1638=1,IF(D1638="BUY",E1638+(ROUND(F1638*G1638/B1638,0)*B1638),E1638-(ROUND(F1638*G1638/B1638,0)*B1638)),IF(D1638="BUY",E1638-(ROUND(F1638*G1638/B1638,0)*B1638),E1638+(ROUND(F1638*G1638/B1638,0)*B1638)))</f>
        <v>#DIV/0!</v>
      </c>
      <c r="H1639" s="29" t="e">
        <f>IF(C1638=1,IF(D1638="BUY",G1639-(ROUND(F1638*H1638/B1638,0)*B1638),G1639+(ROUND(F1638*H1638/B1638,0)*B1638)),IF(D1638="BUY",G1639+(ROUND(F1638*H1638/B1638,0)*B1638),G1639-(ROUND(F1638*H1638/B1638,0)*B1638)))</f>
        <v>#DIV/0!</v>
      </c>
      <c r="I1639" s="29" t="e">
        <f>IF(D1638="BUY",G1639+(ROUND(F1638*I1638/(B1638*100),0)*B1638),G1639-(ROUND(F1638*I1638/(B1638*100),0)*B1638))</f>
        <v>#DIV/0!</v>
      </c>
      <c r="J1639" s="29" t="e">
        <f>IF(C1638=1,IF(D1638="BUY",E1638+(ROUND(F1638*J1638/B1638,0)*B1638),E1638-(ROUND(F1638*J1638/B1638,0)*B1638)),IF(D1638="BUY",E1638-(ROUND(F1638*J1638/B1638,0)*B1638),E1638+(ROUND(F1638*J1638/B1638,0)*B1638)))</f>
        <v>#DIV/0!</v>
      </c>
      <c r="K1639" s="29" t="e">
        <f>IF(C1638=1,IF(D1638="BUY",E1638-(ROUND(F1638*K1638/B1638,0)*B1638),E1638+(ROUND(F1638*K1638/B1638,0)*B1638)),IF(D1638="BUY",E1638-(ROUND(F1638*K1638/B1638,0)*B1638),E1638+(ROUND(F1638*K1638/B1638,0)*B1638)))</f>
        <v>#DIV/0!</v>
      </c>
      <c r="L1639" s="29" t="e">
        <f t="shared" ref="L1639" si="2453">IF(D1639="BUY",I1639+(R1639*B1639),I1639-(R1639*B1639))</f>
        <v>#DIV/0!</v>
      </c>
      <c r="M1639" s="29" t="e">
        <f>IF(D1638="BUY",E1638+(ROUND(F1638*M1638/B1638,0)*B1638),E1638-(ROUND(F1638*M1638/B1638,0)*B1638))</f>
        <v>#DIV/0!</v>
      </c>
      <c r="N1639" s="29" t="e">
        <f>IF(D1638="BUY",E1638-(ROUND(F1638*N1638/B1638,0)*B1638),E1638+(ROUND(F1638*N1638/B1638,0)*B1638))</f>
        <v>#DIV/0!</v>
      </c>
      <c r="O1639" s="31" t="e">
        <f>IF(D1639="BUY",N1639-VLOOKUP(A1639,Symbols!A$1:D$1000,4,FALSE),N1639+VLOOKUP(A1639,Symbols!A$1:D$1000,4,FALSE))</f>
        <v>#DIV/0!</v>
      </c>
      <c r="P1639" s="29">
        <f>P1638</f>
        <v>0</v>
      </c>
      <c r="Q1639" s="29">
        <f>Q1638</f>
        <v>0</v>
      </c>
      <c r="R1639" s="29">
        <f>R1638</f>
        <v>0</v>
      </c>
      <c r="S1639" s="29">
        <f>S1638</f>
        <v>0</v>
      </c>
      <c r="T1639" s="29">
        <f>T1638</f>
        <v>0</v>
      </c>
      <c r="U1639" s="29" t="e">
        <f>DATEDIF(DATE(1970,1,1),U1638,"D")*86400</f>
        <v>#NUM!</v>
      </c>
      <c r="V1639" s="29">
        <f>HOUR(V1638)*3600+MINUTE(V1638)*60+SECOND(V1638)</f>
        <v>0</v>
      </c>
      <c r="W1639" s="29" t="e">
        <f>DATEDIF(DATE(1970,1,1),W1638,"D")*86400</f>
        <v>#NUM!</v>
      </c>
      <c r="X1639" s="29">
        <f>HOUR(X1638)*3600+MINUTE(X1638)*60+SECOND(X1638)</f>
        <v>0</v>
      </c>
      <c r="Y1639" s="31">
        <f>(Y1638*B1639)</f>
        <v>0</v>
      </c>
      <c r="Z1639" s="29">
        <f>Z1638</f>
        <v>0</v>
      </c>
      <c r="AA1639" s="29" t="e">
        <f>DATEDIF(DATE(1970,1,1),AA1638,"D")*86400</f>
        <v>#NUM!</v>
      </c>
      <c r="AB1639" s="29">
        <f>HOUR(AB1638)*3600+MINUTE(AB1638)*60+SECOND(AB1638)</f>
        <v>0</v>
      </c>
      <c r="AC1639" s="29">
        <f>AC1638</f>
        <v>0</v>
      </c>
    </row>
    <row r="1640" spans="1:29">
      <c r="A1640" s="23">
        <f>Parameters!A821</f>
        <v>0</v>
      </c>
      <c r="B1640" s="23">
        <f>Parameters!B821</f>
        <v>0</v>
      </c>
      <c r="C1640" s="24">
        <f>Parameters!C821</f>
        <v>0</v>
      </c>
      <c r="D1640" s="24">
        <f>Parameters!D821</f>
        <v>0</v>
      </c>
      <c r="E1640" s="23">
        <f>Parameters!E821</f>
        <v>0</v>
      </c>
      <c r="F1640" s="23">
        <f>Parameters!F821</f>
        <v>0</v>
      </c>
      <c r="G1640" s="25">
        <f>Parameters!G821</f>
        <v>0</v>
      </c>
      <c r="H1640" s="25">
        <f>Parameters!H821</f>
        <v>0</v>
      </c>
      <c r="I1640" s="25">
        <f>Parameters!I821</f>
        <v>0</v>
      </c>
      <c r="J1640" s="25">
        <f>Parameters!J821</f>
        <v>0</v>
      </c>
      <c r="K1640" s="25">
        <f>Parameters!K821</f>
        <v>0</v>
      </c>
      <c r="L1640" s="26" t="e">
        <f t="shared" ref="L1640" si="2454">L1641</f>
        <v>#DIV/0!</v>
      </c>
      <c r="M1640" s="25">
        <f>Parameters!L821</f>
        <v>0</v>
      </c>
      <c r="N1640" s="25">
        <f>Parameters!M821</f>
        <v>0</v>
      </c>
      <c r="O1640" s="26" t="e">
        <f t="shared" ref="O1640" si="2455">O1641</f>
        <v>#DIV/0!</v>
      </c>
      <c r="P1640" s="23">
        <f>Parameters!N821</f>
        <v>0</v>
      </c>
      <c r="Q1640" s="23">
        <f>Parameters!O821</f>
        <v>0</v>
      </c>
      <c r="R1640" s="23">
        <f>Parameters!P821</f>
        <v>0</v>
      </c>
      <c r="S1640" s="23">
        <f>Parameters!Q821</f>
        <v>0</v>
      </c>
      <c r="T1640" s="23">
        <f>Parameters!R821</f>
        <v>0</v>
      </c>
      <c r="U1640" s="27">
        <f>Parameters!S821</f>
        <v>0</v>
      </c>
      <c r="V1640" s="28">
        <f>Parameters!T821</f>
        <v>0</v>
      </c>
      <c r="W1640" s="27">
        <f>Parameters!U821</f>
        <v>0</v>
      </c>
      <c r="X1640" s="28">
        <f>Parameters!V821</f>
        <v>0</v>
      </c>
      <c r="Y1640" s="25">
        <f>Parameters!W821</f>
        <v>0</v>
      </c>
      <c r="Z1640" s="23">
        <f>Parameters!X821</f>
        <v>0</v>
      </c>
      <c r="AA1640" s="27">
        <f>Parameters!Y821</f>
        <v>0</v>
      </c>
      <c r="AB1640" s="28">
        <f>Parameters!Z821</f>
        <v>0</v>
      </c>
      <c r="AC1640" s="23">
        <f>Parameters!AA821</f>
        <v>0</v>
      </c>
    </row>
    <row r="1641" spans="1:29">
      <c r="A1641" s="29" t="str">
        <f>UPPER(A1640)</f>
        <v>0</v>
      </c>
      <c r="B1641" s="29">
        <f>B1640</f>
        <v>0</v>
      </c>
      <c r="C1641" s="30">
        <f>C1640</f>
        <v>0</v>
      </c>
      <c r="D1641" s="30">
        <f>D1640</f>
        <v>0</v>
      </c>
      <c r="E1641" s="29">
        <f>E1640</f>
        <v>0</v>
      </c>
      <c r="F1641" s="29">
        <f>F1640</f>
        <v>0</v>
      </c>
      <c r="G1641" s="29" t="e">
        <f>IF(C1640=1,IF(D1640="BUY",E1640+(ROUND(F1640*G1640/B1640,0)*B1640),E1640-(ROUND(F1640*G1640/B1640,0)*B1640)),IF(D1640="BUY",E1640-(ROUND(F1640*G1640/B1640,0)*B1640),E1640+(ROUND(F1640*G1640/B1640,0)*B1640)))</f>
        <v>#DIV/0!</v>
      </c>
      <c r="H1641" s="29" t="e">
        <f>IF(C1640=1,IF(D1640="BUY",G1641-(ROUND(F1640*H1640/B1640,0)*B1640),G1641+(ROUND(F1640*H1640/B1640,0)*B1640)),IF(D1640="BUY",G1641+(ROUND(F1640*H1640/B1640,0)*B1640),G1641-(ROUND(F1640*H1640/B1640,0)*B1640)))</f>
        <v>#DIV/0!</v>
      </c>
      <c r="I1641" s="29" t="e">
        <f>IF(D1640="BUY",G1641+(ROUND(F1640*I1640/(B1640*100),0)*B1640),G1641-(ROUND(F1640*I1640/(B1640*100),0)*B1640))</f>
        <v>#DIV/0!</v>
      </c>
      <c r="J1641" s="29" t="e">
        <f>IF(C1640=1,IF(D1640="BUY",E1640+(ROUND(F1640*J1640/B1640,0)*B1640),E1640-(ROUND(F1640*J1640/B1640,0)*B1640)),IF(D1640="BUY",E1640-(ROUND(F1640*J1640/B1640,0)*B1640),E1640+(ROUND(F1640*J1640/B1640,0)*B1640)))</f>
        <v>#DIV/0!</v>
      </c>
      <c r="K1641" s="29" t="e">
        <f>IF(C1640=1,IF(D1640="BUY",E1640-(ROUND(F1640*K1640/B1640,0)*B1640),E1640+(ROUND(F1640*K1640/B1640,0)*B1640)),IF(D1640="BUY",E1640-(ROUND(F1640*K1640/B1640,0)*B1640),E1640+(ROUND(F1640*K1640/B1640,0)*B1640)))</f>
        <v>#DIV/0!</v>
      </c>
      <c r="L1641" s="29" t="e">
        <f t="shared" ref="L1641" si="2456">IF(D1641="BUY",I1641+(R1641*B1641),I1641-(R1641*B1641))</f>
        <v>#DIV/0!</v>
      </c>
      <c r="M1641" s="29" t="e">
        <f>IF(D1640="BUY",E1640+(ROUND(F1640*M1640/B1640,0)*B1640),E1640-(ROUND(F1640*M1640/B1640,0)*B1640))</f>
        <v>#DIV/0!</v>
      </c>
      <c r="N1641" s="29" t="e">
        <f>IF(D1640="BUY",E1640-(ROUND(F1640*N1640/B1640,0)*B1640),E1640+(ROUND(F1640*N1640/B1640,0)*B1640))</f>
        <v>#DIV/0!</v>
      </c>
      <c r="O1641" s="31" t="e">
        <f>IF(D1641="BUY",N1641-VLOOKUP(A1641,Symbols!A$1:D$1000,4,FALSE),N1641+VLOOKUP(A1641,Symbols!A$1:D$1000,4,FALSE))</f>
        <v>#DIV/0!</v>
      </c>
      <c r="P1641" s="29">
        <f>P1640</f>
        <v>0</v>
      </c>
      <c r="Q1641" s="29">
        <f>Q1640</f>
        <v>0</v>
      </c>
      <c r="R1641" s="29">
        <f>R1640</f>
        <v>0</v>
      </c>
      <c r="S1641" s="29">
        <f>S1640</f>
        <v>0</v>
      </c>
      <c r="T1641" s="29">
        <f>T1640</f>
        <v>0</v>
      </c>
      <c r="U1641" s="29" t="e">
        <f>DATEDIF(DATE(1970,1,1),U1640,"D")*86400</f>
        <v>#NUM!</v>
      </c>
      <c r="V1641" s="29">
        <f>HOUR(V1640)*3600+MINUTE(V1640)*60+SECOND(V1640)</f>
        <v>0</v>
      </c>
      <c r="W1641" s="29" t="e">
        <f>DATEDIF(DATE(1970,1,1),W1640,"D")*86400</f>
        <v>#NUM!</v>
      </c>
      <c r="X1641" s="29">
        <f>HOUR(X1640)*3600+MINUTE(X1640)*60+SECOND(X1640)</f>
        <v>0</v>
      </c>
      <c r="Y1641" s="31">
        <f>(Y1640*B1641)</f>
        <v>0</v>
      </c>
      <c r="Z1641" s="29">
        <f>Z1640</f>
        <v>0</v>
      </c>
      <c r="AA1641" s="29" t="e">
        <f>DATEDIF(DATE(1970,1,1),AA1640,"D")*86400</f>
        <v>#NUM!</v>
      </c>
      <c r="AB1641" s="29">
        <f>HOUR(AB1640)*3600+MINUTE(AB1640)*60+SECOND(AB1640)</f>
        <v>0</v>
      </c>
      <c r="AC1641" s="29">
        <f>AC1640</f>
        <v>0</v>
      </c>
    </row>
    <row r="1642" spans="1:29">
      <c r="A1642" s="23">
        <f>Parameters!A822</f>
        <v>0</v>
      </c>
      <c r="B1642" s="23">
        <f>Parameters!B822</f>
        <v>0</v>
      </c>
      <c r="C1642" s="24">
        <f>Parameters!C822</f>
        <v>0</v>
      </c>
      <c r="D1642" s="24">
        <f>Parameters!D822</f>
        <v>0</v>
      </c>
      <c r="E1642" s="23">
        <f>Parameters!E822</f>
        <v>0</v>
      </c>
      <c r="F1642" s="23">
        <f>Parameters!F822</f>
        <v>0</v>
      </c>
      <c r="G1642" s="25">
        <f>Parameters!G822</f>
        <v>0</v>
      </c>
      <c r="H1642" s="25">
        <f>Parameters!H822</f>
        <v>0</v>
      </c>
      <c r="I1642" s="25">
        <f>Parameters!I822</f>
        <v>0</v>
      </c>
      <c r="J1642" s="25">
        <f>Parameters!J822</f>
        <v>0</v>
      </c>
      <c r="K1642" s="25">
        <f>Parameters!K822</f>
        <v>0</v>
      </c>
      <c r="L1642" s="26" t="e">
        <f t="shared" ref="L1642" si="2457">L1643</f>
        <v>#DIV/0!</v>
      </c>
      <c r="M1642" s="25">
        <f>Parameters!L822</f>
        <v>0</v>
      </c>
      <c r="N1642" s="25">
        <f>Parameters!M822</f>
        <v>0</v>
      </c>
      <c r="O1642" s="26" t="e">
        <f t="shared" ref="O1642" si="2458">O1643</f>
        <v>#DIV/0!</v>
      </c>
      <c r="P1642" s="23">
        <f>Parameters!N822</f>
        <v>0</v>
      </c>
      <c r="Q1642" s="23">
        <f>Parameters!O822</f>
        <v>0</v>
      </c>
      <c r="R1642" s="23">
        <f>Parameters!P822</f>
        <v>0</v>
      </c>
      <c r="S1642" s="23">
        <f>Parameters!Q822</f>
        <v>0</v>
      </c>
      <c r="T1642" s="23">
        <f>Parameters!R822</f>
        <v>0</v>
      </c>
      <c r="U1642" s="27">
        <f>Parameters!S822</f>
        <v>0</v>
      </c>
      <c r="V1642" s="28">
        <f>Parameters!T822</f>
        <v>0</v>
      </c>
      <c r="W1642" s="27">
        <f>Parameters!U822</f>
        <v>0</v>
      </c>
      <c r="X1642" s="28">
        <f>Parameters!V822</f>
        <v>0</v>
      </c>
      <c r="Y1642" s="25">
        <f>Parameters!W822</f>
        <v>0</v>
      </c>
      <c r="Z1642" s="23">
        <f>Parameters!X822</f>
        <v>0</v>
      </c>
      <c r="AA1642" s="27">
        <f>Parameters!Y822</f>
        <v>0</v>
      </c>
      <c r="AB1642" s="28">
        <f>Parameters!Z822</f>
        <v>0</v>
      </c>
      <c r="AC1642" s="23">
        <f>Parameters!AA822</f>
        <v>0</v>
      </c>
    </row>
    <row r="1643" spans="1:29">
      <c r="A1643" s="29" t="str">
        <f>UPPER(A1642)</f>
        <v>0</v>
      </c>
      <c r="B1643" s="29">
        <f>B1642</f>
        <v>0</v>
      </c>
      <c r="C1643" s="30">
        <f>C1642</f>
        <v>0</v>
      </c>
      <c r="D1643" s="30">
        <f>D1642</f>
        <v>0</v>
      </c>
      <c r="E1643" s="29">
        <f>E1642</f>
        <v>0</v>
      </c>
      <c r="F1643" s="29">
        <f>F1642</f>
        <v>0</v>
      </c>
      <c r="G1643" s="29" t="e">
        <f>IF(C1642=1,IF(D1642="BUY",E1642+(ROUND(F1642*G1642/B1642,0)*B1642),E1642-(ROUND(F1642*G1642/B1642,0)*B1642)),IF(D1642="BUY",E1642-(ROUND(F1642*G1642/B1642,0)*B1642),E1642+(ROUND(F1642*G1642/B1642,0)*B1642)))</f>
        <v>#DIV/0!</v>
      </c>
      <c r="H1643" s="29" t="e">
        <f>IF(C1642=1,IF(D1642="BUY",G1643-(ROUND(F1642*H1642/B1642,0)*B1642),G1643+(ROUND(F1642*H1642/B1642,0)*B1642)),IF(D1642="BUY",G1643+(ROUND(F1642*H1642/B1642,0)*B1642),G1643-(ROUND(F1642*H1642/B1642,0)*B1642)))</f>
        <v>#DIV/0!</v>
      </c>
      <c r="I1643" s="29" t="e">
        <f>IF(D1642="BUY",G1643+(ROUND(F1642*I1642/(B1642*100),0)*B1642),G1643-(ROUND(F1642*I1642/(B1642*100),0)*B1642))</f>
        <v>#DIV/0!</v>
      </c>
      <c r="J1643" s="29" t="e">
        <f>IF(C1642=1,IF(D1642="BUY",E1642+(ROUND(F1642*J1642/B1642,0)*B1642),E1642-(ROUND(F1642*J1642/B1642,0)*B1642)),IF(D1642="BUY",E1642-(ROUND(F1642*J1642/B1642,0)*B1642),E1642+(ROUND(F1642*J1642/B1642,0)*B1642)))</f>
        <v>#DIV/0!</v>
      </c>
      <c r="K1643" s="29" t="e">
        <f>IF(C1642=1,IF(D1642="BUY",E1642-(ROUND(F1642*K1642/B1642,0)*B1642),E1642+(ROUND(F1642*K1642/B1642,0)*B1642)),IF(D1642="BUY",E1642-(ROUND(F1642*K1642/B1642,0)*B1642),E1642+(ROUND(F1642*K1642/B1642,0)*B1642)))</f>
        <v>#DIV/0!</v>
      </c>
      <c r="L1643" s="29" t="e">
        <f t="shared" ref="L1643" si="2459">IF(D1643="BUY",I1643+(R1643*B1643),I1643-(R1643*B1643))</f>
        <v>#DIV/0!</v>
      </c>
      <c r="M1643" s="29" t="e">
        <f>IF(D1642="BUY",E1642+(ROUND(F1642*M1642/B1642,0)*B1642),E1642-(ROUND(F1642*M1642/B1642,0)*B1642))</f>
        <v>#DIV/0!</v>
      </c>
      <c r="N1643" s="29" t="e">
        <f>IF(D1642="BUY",E1642-(ROUND(F1642*N1642/B1642,0)*B1642),E1642+(ROUND(F1642*N1642/B1642,0)*B1642))</f>
        <v>#DIV/0!</v>
      </c>
      <c r="O1643" s="31" t="e">
        <f>IF(D1643="BUY",N1643-VLOOKUP(A1643,Symbols!A$1:D$1000,4,FALSE),N1643+VLOOKUP(A1643,Symbols!A$1:D$1000,4,FALSE))</f>
        <v>#DIV/0!</v>
      </c>
      <c r="P1643" s="29">
        <f>P1642</f>
        <v>0</v>
      </c>
      <c r="Q1643" s="29">
        <f>Q1642</f>
        <v>0</v>
      </c>
      <c r="R1643" s="29">
        <f>R1642</f>
        <v>0</v>
      </c>
      <c r="S1643" s="29">
        <f>S1642</f>
        <v>0</v>
      </c>
      <c r="T1643" s="29">
        <f>T1642</f>
        <v>0</v>
      </c>
      <c r="U1643" s="29" t="e">
        <f>DATEDIF(DATE(1970,1,1),U1642,"D")*86400</f>
        <v>#NUM!</v>
      </c>
      <c r="V1643" s="29">
        <f>HOUR(V1642)*3600+MINUTE(V1642)*60+SECOND(V1642)</f>
        <v>0</v>
      </c>
      <c r="W1643" s="29" t="e">
        <f>DATEDIF(DATE(1970,1,1),W1642,"D")*86400</f>
        <v>#NUM!</v>
      </c>
      <c r="X1643" s="29">
        <f>HOUR(X1642)*3600+MINUTE(X1642)*60+SECOND(X1642)</f>
        <v>0</v>
      </c>
      <c r="Y1643" s="31">
        <f>(Y1642*B1643)</f>
        <v>0</v>
      </c>
      <c r="Z1643" s="29">
        <f>Z1642</f>
        <v>0</v>
      </c>
      <c r="AA1643" s="29" t="e">
        <f>DATEDIF(DATE(1970,1,1),AA1642,"D")*86400</f>
        <v>#NUM!</v>
      </c>
      <c r="AB1643" s="29">
        <f>HOUR(AB1642)*3600+MINUTE(AB1642)*60+SECOND(AB1642)</f>
        <v>0</v>
      </c>
      <c r="AC1643" s="29">
        <f>AC1642</f>
        <v>0</v>
      </c>
    </row>
    <row r="1644" spans="1:29">
      <c r="A1644" s="23">
        <f>Parameters!A823</f>
        <v>0</v>
      </c>
      <c r="B1644" s="23">
        <f>Parameters!B823</f>
        <v>0</v>
      </c>
      <c r="C1644" s="24">
        <f>Parameters!C823</f>
        <v>0</v>
      </c>
      <c r="D1644" s="24">
        <f>Parameters!D823</f>
        <v>0</v>
      </c>
      <c r="E1644" s="23">
        <f>Parameters!E823</f>
        <v>0</v>
      </c>
      <c r="F1644" s="23">
        <f>Parameters!F823</f>
        <v>0</v>
      </c>
      <c r="G1644" s="25">
        <f>Parameters!G823</f>
        <v>0</v>
      </c>
      <c r="H1644" s="25">
        <f>Parameters!H823</f>
        <v>0</v>
      </c>
      <c r="I1644" s="25">
        <f>Parameters!I823</f>
        <v>0</v>
      </c>
      <c r="J1644" s="25">
        <f>Parameters!J823</f>
        <v>0</v>
      </c>
      <c r="K1644" s="25">
        <f>Parameters!K823</f>
        <v>0</v>
      </c>
      <c r="L1644" s="26" t="e">
        <f t="shared" ref="L1644" si="2460">L1645</f>
        <v>#DIV/0!</v>
      </c>
      <c r="M1644" s="25">
        <f>Parameters!L823</f>
        <v>0</v>
      </c>
      <c r="N1644" s="25">
        <f>Parameters!M823</f>
        <v>0</v>
      </c>
      <c r="O1644" s="26" t="e">
        <f t="shared" ref="O1644" si="2461">O1645</f>
        <v>#DIV/0!</v>
      </c>
      <c r="P1644" s="23">
        <f>Parameters!N823</f>
        <v>0</v>
      </c>
      <c r="Q1644" s="23">
        <f>Parameters!O823</f>
        <v>0</v>
      </c>
      <c r="R1644" s="23">
        <f>Parameters!P823</f>
        <v>0</v>
      </c>
      <c r="S1644" s="23">
        <f>Parameters!Q823</f>
        <v>0</v>
      </c>
      <c r="T1644" s="23">
        <f>Parameters!R823</f>
        <v>0</v>
      </c>
      <c r="U1644" s="27">
        <f>Parameters!S823</f>
        <v>0</v>
      </c>
      <c r="V1644" s="28">
        <f>Parameters!T823</f>
        <v>0</v>
      </c>
      <c r="W1644" s="27">
        <f>Parameters!U823</f>
        <v>0</v>
      </c>
      <c r="X1644" s="28">
        <f>Parameters!V823</f>
        <v>0</v>
      </c>
      <c r="Y1644" s="25">
        <f>Parameters!W823</f>
        <v>0</v>
      </c>
      <c r="Z1644" s="23">
        <f>Parameters!X823</f>
        <v>0</v>
      </c>
      <c r="AA1644" s="27">
        <f>Parameters!Y823</f>
        <v>0</v>
      </c>
      <c r="AB1644" s="28">
        <f>Parameters!Z823</f>
        <v>0</v>
      </c>
      <c r="AC1644" s="23">
        <f>Parameters!AA823</f>
        <v>0</v>
      </c>
    </row>
    <row r="1645" spans="1:29">
      <c r="A1645" s="29" t="str">
        <f>UPPER(A1644)</f>
        <v>0</v>
      </c>
      <c r="B1645" s="29">
        <f>B1644</f>
        <v>0</v>
      </c>
      <c r="C1645" s="30">
        <f>C1644</f>
        <v>0</v>
      </c>
      <c r="D1645" s="30">
        <f>D1644</f>
        <v>0</v>
      </c>
      <c r="E1645" s="29">
        <f>E1644</f>
        <v>0</v>
      </c>
      <c r="F1645" s="29">
        <f>F1644</f>
        <v>0</v>
      </c>
      <c r="G1645" s="29" t="e">
        <f>IF(C1644=1,IF(D1644="BUY",E1644+(ROUND(F1644*G1644/B1644,0)*B1644),E1644-(ROUND(F1644*G1644/B1644,0)*B1644)),IF(D1644="BUY",E1644-(ROUND(F1644*G1644/B1644,0)*B1644),E1644+(ROUND(F1644*G1644/B1644,0)*B1644)))</f>
        <v>#DIV/0!</v>
      </c>
      <c r="H1645" s="29" t="e">
        <f>IF(C1644=1,IF(D1644="BUY",G1645-(ROUND(F1644*H1644/B1644,0)*B1644),G1645+(ROUND(F1644*H1644/B1644,0)*B1644)),IF(D1644="BUY",G1645+(ROUND(F1644*H1644/B1644,0)*B1644),G1645-(ROUND(F1644*H1644/B1644,0)*B1644)))</f>
        <v>#DIV/0!</v>
      </c>
      <c r="I1645" s="29" t="e">
        <f>IF(D1644="BUY",G1645+(ROUND(F1644*I1644/(B1644*100),0)*B1644),G1645-(ROUND(F1644*I1644/(B1644*100),0)*B1644))</f>
        <v>#DIV/0!</v>
      </c>
      <c r="J1645" s="29" t="e">
        <f>IF(C1644=1,IF(D1644="BUY",E1644+(ROUND(F1644*J1644/B1644,0)*B1644),E1644-(ROUND(F1644*J1644/B1644,0)*B1644)),IF(D1644="BUY",E1644-(ROUND(F1644*J1644/B1644,0)*B1644),E1644+(ROUND(F1644*J1644/B1644,0)*B1644)))</f>
        <v>#DIV/0!</v>
      </c>
      <c r="K1645" s="29" t="e">
        <f>IF(C1644=1,IF(D1644="BUY",E1644-(ROUND(F1644*K1644/B1644,0)*B1644),E1644+(ROUND(F1644*K1644/B1644,0)*B1644)),IF(D1644="BUY",E1644-(ROUND(F1644*K1644/B1644,0)*B1644),E1644+(ROUND(F1644*K1644/B1644,0)*B1644)))</f>
        <v>#DIV/0!</v>
      </c>
      <c r="L1645" s="29" t="e">
        <f t="shared" ref="L1645" si="2462">IF(D1645="BUY",I1645+(R1645*B1645),I1645-(R1645*B1645))</f>
        <v>#DIV/0!</v>
      </c>
      <c r="M1645" s="29" t="e">
        <f>IF(D1644="BUY",E1644+(ROUND(F1644*M1644/B1644,0)*B1644),E1644-(ROUND(F1644*M1644/B1644,0)*B1644))</f>
        <v>#DIV/0!</v>
      </c>
      <c r="N1645" s="29" t="e">
        <f>IF(D1644="BUY",E1644-(ROUND(F1644*N1644/B1644,0)*B1644),E1644+(ROUND(F1644*N1644/B1644,0)*B1644))</f>
        <v>#DIV/0!</v>
      </c>
      <c r="O1645" s="31" t="e">
        <f>IF(D1645="BUY",N1645-VLOOKUP(A1645,Symbols!A$1:D$1000,4,FALSE),N1645+VLOOKUP(A1645,Symbols!A$1:D$1000,4,FALSE))</f>
        <v>#DIV/0!</v>
      </c>
      <c r="P1645" s="29">
        <f>P1644</f>
        <v>0</v>
      </c>
      <c r="Q1645" s="29">
        <f>Q1644</f>
        <v>0</v>
      </c>
      <c r="R1645" s="29">
        <f>R1644</f>
        <v>0</v>
      </c>
      <c r="S1645" s="29">
        <f>S1644</f>
        <v>0</v>
      </c>
      <c r="T1645" s="29">
        <f>T1644</f>
        <v>0</v>
      </c>
      <c r="U1645" s="29" t="e">
        <f>DATEDIF(DATE(1970,1,1),U1644,"D")*86400</f>
        <v>#NUM!</v>
      </c>
      <c r="V1645" s="29">
        <f>HOUR(V1644)*3600+MINUTE(V1644)*60+SECOND(V1644)</f>
        <v>0</v>
      </c>
      <c r="W1645" s="29" t="e">
        <f>DATEDIF(DATE(1970,1,1),W1644,"D")*86400</f>
        <v>#NUM!</v>
      </c>
      <c r="X1645" s="29">
        <f>HOUR(X1644)*3600+MINUTE(X1644)*60+SECOND(X1644)</f>
        <v>0</v>
      </c>
      <c r="Y1645" s="31">
        <f>(Y1644*B1645)</f>
        <v>0</v>
      </c>
      <c r="Z1645" s="29">
        <f>Z1644</f>
        <v>0</v>
      </c>
      <c r="AA1645" s="29" t="e">
        <f>DATEDIF(DATE(1970,1,1),AA1644,"D")*86400</f>
        <v>#NUM!</v>
      </c>
      <c r="AB1645" s="29">
        <f>HOUR(AB1644)*3600+MINUTE(AB1644)*60+SECOND(AB1644)</f>
        <v>0</v>
      </c>
      <c r="AC1645" s="29">
        <f>AC1644</f>
        <v>0</v>
      </c>
    </row>
    <row r="1646" spans="1:29">
      <c r="A1646" s="23">
        <f>Parameters!A824</f>
        <v>0</v>
      </c>
      <c r="B1646" s="23">
        <f>Parameters!B824</f>
        <v>0</v>
      </c>
      <c r="C1646" s="24">
        <f>Parameters!C824</f>
        <v>0</v>
      </c>
      <c r="D1646" s="24">
        <f>Parameters!D824</f>
        <v>0</v>
      </c>
      <c r="E1646" s="23">
        <f>Parameters!E824</f>
        <v>0</v>
      </c>
      <c r="F1646" s="23">
        <f>Parameters!F824</f>
        <v>0</v>
      </c>
      <c r="G1646" s="25">
        <f>Parameters!G824</f>
        <v>0</v>
      </c>
      <c r="H1646" s="25">
        <f>Parameters!H824</f>
        <v>0</v>
      </c>
      <c r="I1646" s="25">
        <f>Parameters!I824</f>
        <v>0</v>
      </c>
      <c r="J1646" s="25">
        <f>Parameters!J824</f>
        <v>0</v>
      </c>
      <c r="K1646" s="25">
        <f>Parameters!K824</f>
        <v>0</v>
      </c>
      <c r="L1646" s="26" t="e">
        <f t="shared" ref="L1646" si="2463">L1647</f>
        <v>#DIV/0!</v>
      </c>
      <c r="M1646" s="25">
        <f>Parameters!L824</f>
        <v>0</v>
      </c>
      <c r="N1646" s="25">
        <f>Parameters!M824</f>
        <v>0</v>
      </c>
      <c r="O1646" s="26" t="e">
        <f t="shared" ref="O1646" si="2464">O1647</f>
        <v>#DIV/0!</v>
      </c>
      <c r="P1646" s="23">
        <f>Parameters!N824</f>
        <v>0</v>
      </c>
      <c r="Q1646" s="23">
        <f>Parameters!O824</f>
        <v>0</v>
      </c>
      <c r="R1646" s="23">
        <f>Parameters!P824</f>
        <v>0</v>
      </c>
      <c r="S1646" s="23">
        <f>Parameters!Q824</f>
        <v>0</v>
      </c>
      <c r="T1646" s="23">
        <f>Parameters!R824</f>
        <v>0</v>
      </c>
      <c r="U1646" s="27">
        <f>Parameters!S824</f>
        <v>0</v>
      </c>
      <c r="V1646" s="28">
        <f>Parameters!T824</f>
        <v>0</v>
      </c>
      <c r="W1646" s="27">
        <f>Parameters!U824</f>
        <v>0</v>
      </c>
      <c r="X1646" s="28">
        <f>Parameters!V824</f>
        <v>0</v>
      </c>
      <c r="Y1646" s="25">
        <f>Parameters!W824</f>
        <v>0</v>
      </c>
      <c r="Z1646" s="23">
        <f>Parameters!X824</f>
        <v>0</v>
      </c>
      <c r="AA1646" s="27">
        <f>Parameters!Y824</f>
        <v>0</v>
      </c>
      <c r="AB1646" s="28">
        <f>Parameters!Z824</f>
        <v>0</v>
      </c>
      <c r="AC1646" s="23">
        <f>Parameters!AA824</f>
        <v>0</v>
      </c>
    </row>
    <row r="1647" spans="1:29">
      <c r="A1647" s="29" t="str">
        <f>UPPER(A1646)</f>
        <v>0</v>
      </c>
      <c r="B1647" s="29">
        <f>B1646</f>
        <v>0</v>
      </c>
      <c r="C1647" s="30">
        <f>C1646</f>
        <v>0</v>
      </c>
      <c r="D1647" s="30">
        <f>D1646</f>
        <v>0</v>
      </c>
      <c r="E1647" s="29">
        <f>E1646</f>
        <v>0</v>
      </c>
      <c r="F1647" s="29">
        <f>F1646</f>
        <v>0</v>
      </c>
      <c r="G1647" s="29" t="e">
        <f>IF(C1646=1,IF(D1646="BUY",E1646+(ROUND(F1646*G1646/B1646,0)*B1646),E1646-(ROUND(F1646*G1646/B1646,0)*B1646)),IF(D1646="BUY",E1646-(ROUND(F1646*G1646/B1646,0)*B1646),E1646+(ROUND(F1646*G1646/B1646,0)*B1646)))</f>
        <v>#DIV/0!</v>
      </c>
      <c r="H1647" s="29" t="e">
        <f>IF(C1646=1,IF(D1646="BUY",G1647-(ROUND(F1646*H1646/B1646,0)*B1646),G1647+(ROUND(F1646*H1646/B1646,0)*B1646)),IF(D1646="BUY",G1647+(ROUND(F1646*H1646/B1646,0)*B1646),G1647-(ROUND(F1646*H1646/B1646,0)*B1646)))</f>
        <v>#DIV/0!</v>
      </c>
      <c r="I1647" s="29" t="e">
        <f>IF(D1646="BUY",G1647+(ROUND(F1646*I1646/(B1646*100),0)*B1646),G1647-(ROUND(F1646*I1646/(B1646*100),0)*B1646))</f>
        <v>#DIV/0!</v>
      </c>
      <c r="J1647" s="29" t="e">
        <f>IF(C1646=1,IF(D1646="BUY",E1646+(ROUND(F1646*J1646/B1646,0)*B1646),E1646-(ROUND(F1646*J1646/B1646,0)*B1646)),IF(D1646="BUY",E1646-(ROUND(F1646*J1646/B1646,0)*B1646),E1646+(ROUND(F1646*J1646/B1646,0)*B1646)))</f>
        <v>#DIV/0!</v>
      </c>
      <c r="K1647" s="29" t="e">
        <f>IF(C1646=1,IF(D1646="BUY",E1646-(ROUND(F1646*K1646/B1646,0)*B1646),E1646+(ROUND(F1646*K1646/B1646,0)*B1646)),IF(D1646="BUY",E1646-(ROUND(F1646*K1646/B1646,0)*B1646),E1646+(ROUND(F1646*K1646/B1646,0)*B1646)))</f>
        <v>#DIV/0!</v>
      </c>
      <c r="L1647" s="29" t="e">
        <f t="shared" ref="L1647" si="2465">IF(D1647="BUY",I1647+(R1647*B1647),I1647-(R1647*B1647))</f>
        <v>#DIV/0!</v>
      </c>
      <c r="M1647" s="29" t="e">
        <f>IF(D1646="BUY",E1646+(ROUND(F1646*M1646/B1646,0)*B1646),E1646-(ROUND(F1646*M1646/B1646,0)*B1646))</f>
        <v>#DIV/0!</v>
      </c>
      <c r="N1647" s="29" t="e">
        <f>IF(D1646="BUY",E1646-(ROUND(F1646*N1646/B1646,0)*B1646),E1646+(ROUND(F1646*N1646/B1646,0)*B1646))</f>
        <v>#DIV/0!</v>
      </c>
      <c r="O1647" s="31" t="e">
        <f>IF(D1647="BUY",N1647-VLOOKUP(A1647,Symbols!A$1:D$1000,4,FALSE),N1647+VLOOKUP(A1647,Symbols!A$1:D$1000,4,FALSE))</f>
        <v>#DIV/0!</v>
      </c>
      <c r="P1647" s="29">
        <f>P1646</f>
        <v>0</v>
      </c>
      <c r="Q1647" s="29">
        <f>Q1646</f>
        <v>0</v>
      </c>
      <c r="R1647" s="29">
        <f>R1646</f>
        <v>0</v>
      </c>
      <c r="S1647" s="29">
        <f>S1646</f>
        <v>0</v>
      </c>
      <c r="T1647" s="29">
        <f>T1646</f>
        <v>0</v>
      </c>
      <c r="U1647" s="29" t="e">
        <f>DATEDIF(DATE(1970,1,1),U1646,"D")*86400</f>
        <v>#NUM!</v>
      </c>
      <c r="V1647" s="29">
        <f>HOUR(V1646)*3600+MINUTE(V1646)*60+SECOND(V1646)</f>
        <v>0</v>
      </c>
      <c r="W1647" s="29" t="e">
        <f>DATEDIF(DATE(1970,1,1),W1646,"D")*86400</f>
        <v>#NUM!</v>
      </c>
      <c r="X1647" s="29">
        <f>HOUR(X1646)*3600+MINUTE(X1646)*60+SECOND(X1646)</f>
        <v>0</v>
      </c>
      <c r="Y1647" s="31">
        <f>(Y1646*B1647)</f>
        <v>0</v>
      </c>
      <c r="Z1647" s="29">
        <f>Z1646</f>
        <v>0</v>
      </c>
      <c r="AA1647" s="29" t="e">
        <f>DATEDIF(DATE(1970,1,1),AA1646,"D")*86400</f>
        <v>#NUM!</v>
      </c>
      <c r="AB1647" s="29">
        <f>HOUR(AB1646)*3600+MINUTE(AB1646)*60+SECOND(AB1646)</f>
        <v>0</v>
      </c>
      <c r="AC1647" s="29">
        <f>AC1646</f>
        <v>0</v>
      </c>
    </row>
    <row r="1648" spans="1:29">
      <c r="A1648" s="23">
        <f>Parameters!A825</f>
        <v>0</v>
      </c>
      <c r="B1648" s="23">
        <f>Parameters!B825</f>
        <v>0</v>
      </c>
      <c r="C1648" s="24">
        <f>Parameters!C825</f>
        <v>0</v>
      </c>
      <c r="D1648" s="24">
        <f>Parameters!D825</f>
        <v>0</v>
      </c>
      <c r="E1648" s="23">
        <f>Parameters!E825</f>
        <v>0</v>
      </c>
      <c r="F1648" s="23">
        <f>Parameters!F825</f>
        <v>0</v>
      </c>
      <c r="G1648" s="25">
        <f>Parameters!G825</f>
        <v>0</v>
      </c>
      <c r="H1648" s="25">
        <f>Parameters!H825</f>
        <v>0</v>
      </c>
      <c r="I1648" s="25">
        <f>Parameters!I825</f>
        <v>0</v>
      </c>
      <c r="J1648" s="25">
        <f>Parameters!J825</f>
        <v>0</v>
      </c>
      <c r="K1648" s="25">
        <f>Parameters!K825</f>
        <v>0</v>
      </c>
      <c r="L1648" s="26" t="e">
        <f t="shared" ref="L1648" si="2466">L1649</f>
        <v>#DIV/0!</v>
      </c>
      <c r="M1648" s="25">
        <f>Parameters!L825</f>
        <v>0</v>
      </c>
      <c r="N1648" s="25">
        <f>Parameters!M825</f>
        <v>0</v>
      </c>
      <c r="O1648" s="26" t="e">
        <f t="shared" ref="O1648" si="2467">O1649</f>
        <v>#DIV/0!</v>
      </c>
      <c r="P1648" s="23">
        <f>Parameters!N825</f>
        <v>0</v>
      </c>
      <c r="Q1648" s="23">
        <f>Parameters!O825</f>
        <v>0</v>
      </c>
      <c r="R1648" s="23">
        <f>Parameters!P825</f>
        <v>0</v>
      </c>
      <c r="S1648" s="23">
        <f>Parameters!Q825</f>
        <v>0</v>
      </c>
      <c r="T1648" s="23">
        <f>Parameters!R825</f>
        <v>0</v>
      </c>
      <c r="U1648" s="27">
        <f>Parameters!S825</f>
        <v>0</v>
      </c>
      <c r="V1648" s="28">
        <f>Parameters!T825</f>
        <v>0</v>
      </c>
      <c r="W1648" s="27">
        <f>Parameters!U825</f>
        <v>0</v>
      </c>
      <c r="X1648" s="28">
        <f>Parameters!V825</f>
        <v>0</v>
      </c>
      <c r="Y1648" s="25">
        <f>Parameters!W825</f>
        <v>0</v>
      </c>
      <c r="Z1648" s="23">
        <f>Parameters!X825</f>
        <v>0</v>
      </c>
      <c r="AA1648" s="27">
        <f>Parameters!Y825</f>
        <v>0</v>
      </c>
      <c r="AB1648" s="28">
        <f>Parameters!Z825</f>
        <v>0</v>
      </c>
      <c r="AC1648" s="23">
        <f>Parameters!AA825</f>
        <v>0</v>
      </c>
    </row>
    <row r="1649" spans="1:29">
      <c r="A1649" s="29" t="str">
        <f>UPPER(A1648)</f>
        <v>0</v>
      </c>
      <c r="B1649" s="29">
        <f>B1648</f>
        <v>0</v>
      </c>
      <c r="C1649" s="30">
        <f>C1648</f>
        <v>0</v>
      </c>
      <c r="D1649" s="30">
        <f>D1648</f>
        <v>0</v>
      </c>
      <c r="E1649" s="29">
        <f>E1648</f>
        <v>0</v>
      </c>
      <c r="F1649" s="29">
        <f>F1648</f>
        <v>0</v>
      </c>
      <c r="G1649" s="29" t="e">
        <f>IF(C1648=1,IF(D1648="BUY",E1648+(ROUND(F1648*G1648/B1648,0)*B1648),E1648-(ROUND(F1648*G1648/B1648,0)*B1648)),IF(D1648="BUY",E1648-(ROUND(F1648*G1648/B1648,0)*B1648),E1648+(ROUND(F1648*G1648/B1648,0)*B1648)))</f>
        <v>#DIV/0!</v>
      </c>
      <c r="H1649" s="29" t="e">
        <f>IF(C1648=1,IF(D1648="BUY",G1649-(ROUND(F1648*H1648/B1648,0)*B1648),G1649+(ROUND(F1648*H1648/B1648,0)*B1648)),IF(D1648="BUY",G1649+(ROUND(F1648*H1648/B1648,0)*B1648),G1649-(ROUND(F1648*H1648/B1648,0)*B1648)))</f>
        <v>#DIV/0!</v>
      </c>
      <c r="I1649" s="29" t="e">
        <f>IF(D1648="BUY",G1649+(ROUND(F1648*I1648/(B1648*100),0)*B1648),G1649-(ROUND(F1648*I1648/(B1648*100),0)*B1648))</f>
        <v>#DIV/0!</v>
      </c>
      <c r="J1649" s="29" t="e">
        <f>IF(C1648=1,IF(D1648="BUY",E1648+(ROUND(F1648*J1648/B1648,0)*B1648),E1648-(ROUND(F1648*J1648/B1648,0)*B1648)),IF(D1648="BUY",E1648-(ROUND(F1648*J1648/B1648,0)*B1648),E1648+(ROUND(F1648*J1648/B1648,0)*B1648)))</f>
        <v>#DIV/0!</v>
      </c>
      <c r="K1649" s="29" t="e">
        <f>IF(C1648=1,IF(D1648="BUY",E1648-(ROUND(F1648*K1648/B1648,0)*B1648),E1648+(ROUND(F1648*K1648/B1648,0)*B1648)),IF(D1648="BUY",E1648-(ROUND(F1648*K1648/B1648,0)*B1648),E1648+(ROUND(F1648*K1648/B1648,0)*B1648)))</f>
        <v>#DIV/0!</v>
      </c>
      <c r="L1649" s="29" t="e">
        <f t="shared" ref="L1649" si="2468">IF(D1649="BUY",I1649+(R1649*B1649),I1649-(R1649*B1649))</f>
        <v>#DIV/0!</v>
      </c>
      <c r="M1649" s="29" t="e">
        <f>IF(D1648="BUY",E1648+(ROUND(F1648*M1648/B1648,0)*B1648),E1648-(ROUND(F1648*M1648/B1648,0)*B1648))</f>
        <v>#DIV/0!</v>
      </c>
      <c r="N1649" s="29" t="e">
        <f>IF(D1648="BUY",E1648-(ROUND(F1648*N1648/B1648,0)*B1648),E1648+(ROUND(F1648*N1648/B1648,0)*B1648))</f>
        <v>#DIV/0!</v>
      </c>
      <c r="O1649" s="31" t="e">
        <f>IF(D1649="BUY",N1649-VLOOKUP(A1649,Symbols!A$1:D$1000,4,FALSE),N1649+VLOOKUP(A1649,Symbols!A$1:D$1000,4,FALSE))</f>
        <v>#DIV/0!</v>
      </c>
      <c r="P1649" s="29">
        <f>P1648</f>
        <v>0</v>
      </c>
      <c r="Q1649" s="29">
        <f>Q1648</f>
        <v>0</v>
      </c>
      <c r="R1649" s="29">
        <f>R1648</f>
        <v>0</v>
      </c>
      <c r="S1649" s="29">
        <f>S1648</f>
        <v>0</v>
      </c>
      <c r="T1649" s="29">
        <f>T1648</f>
        <v>0</v>
      </c>
      <c r="U1649" s="29" t="e">
        <f>DATEDIF(DATE(1970,1,1),U1648,"D")*86400</f>
        <v>#NUM!</v>
      </c>
      <c r="V1649" s="29">
        <f>HOUR(V1648)*3600+MINUTE(V1648)*60+SECOND(V1648)</f>
        <v>0</v>
      </c>
      <c r="W1649" s="29" t="e">
        <f>DATEDIF(DATE(1970,1,1),W1648,"D")*86400</f>
        <v>#NUM!</v>
      </c>
      <c r="X1649" s="29">
        <f>HOUR(X1648)*3600+MINUTE(X1648)*60+SECOND(X1648)</f>
        <v>0</v>
      </c>
      <c r="Y1649" s="31">
        <f>(Y1648*B1649)</f>
        <v>0</v>
      </c>
      <c r="Z1649" s="29">
        <f>Z1648</f>
        <v>0</v>
      </c>
      <c r="AA1649" s="29" t="e">
        <f>DATEDIF(DATE(1970,1,1),AA1648,"D")*86400</f>
        <v>#NUM!</v>
      </c>
      <c r="AB1649" s="29">
        <f>HOUR(AB1648)*3600+MINUTE(AB1648)*60+SECOND(AB1648)</f>
        <v>0</v>
      </c>
      <c r="AC1649" s="29">
        <f>AC1648</f>
        <v>0</v>
      </c>
    </row>
    <row r="1650" spans="1:29">
      <c r="A1650" s="23">
        <f>Parameters!A826</f>
        <v>0</v>
      </c>
      <c r="B1650" s="23">
        <f>Parameters!B826</f>
        <v>0</v>
      </c>
      <c r="C1650" s="24">
        <f>Parameters!C826</f>
        <v>0</v>
      </c>
      <c r="D1650" s="24">
        <f>Parameters!D826</f>
        <v>0</v>
      </c>
      <c r="E1650" s="23">
        <f>Parameters!E826</f>
        <v>0</v>
      </c>
      <c r="F1650" s="23">
        <f>Parameters!F826</f>
        <v>0</v>
      </c>
      <c r="G1650" s="25">
        <f>Parameters!G826</f>
        <v>0</v>
      </c>
      <c r="H1650" s="25">
        <f>Parameters!H826</f>
        <v>0</v>
      </c>
      <c r="I1650" s="25">
        <f>Parameters!I826</f>
        <v>0</v>
      </c>
      <c r="J1650" s="25">
        <f>Parameters!J826</f>
        <v>0</v>
      </c>
      <c r="K1650" s="25">
        <f>Parameters!K826</f>
        <v>0</v>
      </c>
      <c r="L1650" s="26" t="e">
        <f t="shared" ref="L1650" si="2469">L1651</f>
        <v>#DIV/0!</v>
      </c>
      <c r="M1650" s="25">
        <f>Parameters!L826</f>
        <v>0</v>
      </c>
      <c r="N1650" s="25">
        <f>Parameters!M826</f>
        <v>0</v>
      </c>
      <c r="O1650" s="26" t="e">
        <f t="shared" ref="O1650" si="2470">O1651</f>
        <v>#DIV/0!</v>
      </c>
      <c r="P1650" s="23">
        <f>Parameters!N826</f>
        <v>0</v>
      </c>
      <c r="Q1650" s="23">
        <f>Parameters!O826</f>
        <v>0</v>
      </c>
      <c r="R1650" s="23">
        <f>Parameters!P826</f>
        <v>0</v>
      </c>
      <c r="S1650" s="23">
        <f>Parameters!Q826</f>
        <v>0</v>
      </c>
      <c r="T1650" s="23">
        <f>Parameters!R826</f>
        <v>0</v>
      </c>
      <c r="U1650" s="27">
        <f>Parameters!S826</f>
        <v>0</v>
      </c>
      <c r="V1650" s="28">
        <f>Parameters!T826</f>
        <v>0</v>
      </c>
      <c r="W1650" s="27">
        <f>Parameters!U826</f>
        <v>0</v>
      </c>
      <c r="X1650" s="28">
        <f>Parameters!V826</f>
        <v>0</v>
      </c>
      <c r="Y1650" s="25">
        <f>Parameters!W826</f>
        <v>0</v>
      </c>
      <c r="Z1650" s="23">
        <f>Parameters!X826</f>
        <v>0</v>
      </c>
      <c r="AA1650" s="27">
        <f>Parameters!Y826</f>
        <v>0</v>
      </c>
      <c r="AB1650" s="28">
        <f>Parameters!Z826</f>
        <v>0</v>
      </c>
      <c r="AC1650" s="23">
        <f>Parameters!AA826</f>
        <v>0</v>
      </c>
    </row>
    <row r="1651" spans="1:29">
      <c r="A1651" s="29" t="str">
        <f>UPPER(A1650)</f>
        <v>0</v>
      </c>
      <c r="B1651" s="29">
        <f>B1650</f>
        <v>0</v>
      </c>
      <c r="C1651" s="30">
        <f>C1650</f>
        <v>0</v>
      </c>
      <c r="D1651" s="30">
        <f>D1650</f>
        <v>0</v>
      </c>
      <c r="E1651" s="29">
        <f>E1650</f>
        <v>0</v>
      </c>
      <c r="F1651" s="29">
        <f>F1650</f>
        <v>0</v>
      </c>
      <c r="G1651" s="29" t="e">
        <f>IF(C1650=1,IF(D1650="BUY",E1650+(ROUND(F1650*G1650/B1650,0)*B1650),E1650-(ROUND(F1650*G1650/B1650,0)*B1650)),IF(D1650="BUY",E1650-(ROUND(F1650*G1650/B1650,0)*B1650),E1650+(ROUND(F1650*G1650/B1650,0)*B1650)))</f>
        <v>#DIV/0!</v>
      </c>
      <c r="H1651" s="29" t="e">
        <f>IF(C1650=1,IF(D1650="BUY",G1651-(ROUND(F1650*H1650/B1650,0)*B1650),G1651+(ROUND(F1650*H1650/B1650,0)*B1650)),IF(D1650="BUY",G1651+(ROUND(F1650*H1650/B1650,0)*B1650),G1651-(ROUND(F1650*H1650/B1650,0)*B1650)))</f>
        <v>#DIV/0!</v>
      </c>
      <c r="I1651" s="29" t="e">
        <f>IF(D1650="BUY",G1651+(ROUND(F1650*I1650/(B1650*100),0)*B1650),G1651-(ROUND(F1650*I1650/(B1650*100),0)*B1650))</f>
        <v>#DIV/0!</v>
      </c>
      <c r="J1651" s="29" t="e">
        <f>IF(C1650=1,IF(D1650="BUY",E1650+(ROUND(F1650*J1650/B1650,0)*B1650),E1650-(ROUND(F1650*J1650/B1650,0)*B1650)),IF(D1650="BUY",E1650-(ROUND(F1650*J1650/B1650,0)*B1650),E1650+(ROUND(F1650*J1650/B1650,0)*B1650)))</f>
        <v>#DIV/0!</v>
      </c>
      <c r="K1651" s="29" t="e">
        <f>IF(C1650=1,IF(D1650="BUY",E1650-(ROUND(F1650*K1650/B1650,0)*B1650),E1650+(ROUND(F1650*K1650/B1650,0)*B1650)),IF(D1650="BUY",E1650-(ROUND(F1650*K1650/B1650,0)*B1650),E1650+(ROUND(F1650*K1650/B1650,0)*B1650)))</f>
        <v>#DIV/0!</v>
      </c>
      <c r="L1651" s="29" t="e">
        <f t="shared" ref="L1651" si="2471">IF(D1651="BUY",I1651+(R1651*B1651),I1651-(R1651*B1651))</f>
        <v>#DIV/0!</v>
      </c>
      <c r="M1651" s="29" t="e">
        <f>IF(D1650="BUY",E1650+(ROUND(F1650*M1650/B1650,0)*B1650),E1650-(ROUND(F1650*M1650/B1650,0)*B1650))</f>
        <v>#DIV/0!</v>
      </c>
      <c r="N1651" s="29" t="e">
        <f>IF(D1650="BUY",E1650-(ROUND(F1650*N1650/B1650,0)*B1650),E1650+(ROUND(F1650*N1650/B1650,0)*B1650))</f>
        <v>#DIV/0!</v>
      </c>
      <c r="O1651" s="31" t="e">
        <f>IF(D1651="BUY",N1651-VLOOKUP(A1651,Symbols!A$1:D$1000,4,FALSE),N1651+VLOOKUP(A1651,Symbols!A$1:D$1000,4,FALSE))</f>
        <v>#DIV/0!</v>
      </c>
      <c r="P1651" s="29">
        <f>P1650</f>
        <v>0</v>
      </c>
      <c r="Q1651" s="29">
        <f>Q1650</f>
        <v>0</v>
      </c>
      <c r="R1651" s="29">
        <f>R1650</f>
        <v>0</v>
      </c>
      <c r="S1651" s="29">
        <f>S1650</f>
        <v>0</v>
      </c>
      <c r="T1651" s="29">
        <f>T1650</f>
        <v>0</v>
      </c>
      <c r="U1651" s="29" t="e">
        <f>DATEDIF(DATE(1970,1,1),U1650,"D")*86400</f>
        <v>#NUM!</v>
      </c>
      <c r="V1651" s="29">
        <f>HOUR(V1650)*3600+MINUTE(V1650)*60+SECOND(V1650)</f>
        <v>0</v>
      </c>
      <c r="W1651" s="29" t="e">
        <f>DATEDIF(DATE(1970,1,1),W1650,"D")*86400</f>
        <v>#NUM!</v>
      </c>
      <c r="X1651" s="29">
        <f>HOUR(X1650)*3600+MINUTE(X1650)*60+SECOND(X1650)</f>
        <v>0</v>
      </c>
      <c r="Y1651" s="31">
        <f>(Y1650*B1651)</f>
        <v>0</v>
      </c>
      <c r="Z1651" s="29">
        <f>Z1650</f>
        <v>0</v>
      </c>
      <c r="AA1651" s="29" t="e">
        <f>DATEDIF(DATE(1970,1,1),AA1650,"D")*86400</f>
        <v>#NUM!</v>
      </c>
      <c r="AB1651" s="29">
        <f>HOUR(AB1650)*3600+MINUTE(AB1650)*60+SECOND(AB1650)</f>
        <v>0</v>
      </c>
      <c r="AC1651" s="29">
        <f>AC1650</f>
        <v>0</v>
      </c>
    </row>
    <row r="1652" spans="1:29">
      <c r="A1652" s="23">
        <f>Parameters!A827</f>
        <v>0</v>
      </c>
      <c r="B1652" s="23">
        <f>Parameters!B827</f>
        <v>0</v>
      </c>
      <c r="C1652" s="24">
        <f>Parameters!C827</f>
        <v>0</v>
      </c>
      <c r="D1652" s="24">
        <f>Parameters!D827</f>
        <v>0</v>
      </c>
      <c r="E1652" s="23">
        <f>Parameters!E827</f>
        <v>0</v>
      </c>
      <c r="F1652" s="23">
        <f>Parameters!F827</f>
        <v>0</v>
      </c>
      <c r="G1652" s="25">
        <f>Parameters!G827</f>
        <v>0</v>
      </c>
      <c r="H1652" s="25">
        <f>Parameters!H827</f>
        <v>0</v>
      </c>
      <c r="I1652" s="25">
        <f>Parameters!I827</f>
        <v>0</v>
      </c>
      <c r="J1652" s="25">
        <f>Parameters!J827</f>
        <v>0</v>
      </c>
      <c r="K1652" s="25">
        <f>Parameters!K827</f>
        <v>0</v>
      </c>
      <c r="L1652" s="26" t="e">
        <f t="shared" ref="L1652" si="2472">L1653</f>
        <v>#DIV/0!</v>
      </c>
      <c r="M1652" s="25">
        <f>Parameters!L827</f>
        <v>0</v>
      </c>
      <c r="N1652" s="25">
        <f>Parameters!M827</f>
        <v>0</v>
      </c>
      <c r="O1652" s="26" t="e">
        <f t="shared" ref="O1652" si="2473">O1653</f>
        <v>#DIV/0!</v>
      </c>
      <c r="P1652" s="23">
        <f>Parameters!N827</f>
        <v>0</v>
      </c>
      <c r="Q1652" s="23">
        <f>Parameters!O827</f>
        <v>0</v>
      </c>
      <c r="R1652" s="23">
        <f>Parameters!P827</f>
        <v>0</v>
      </c>
      <c r="S1652" s="23">
        <f>Parameters!Q827</f>
        <v>0</v>
      </c>
      <c r="T1652" s="23">
        <f>Parameters!R827</f>
        <v>0</v>
      </c>
      <c r="U1652" s="27">
        <f>Parameters!S827</f>
        <v>0</v>
      </c>
      <c r="V1652" s="28">
        <f>Parameters!T827</f>
        <v>0</v>
      </c>
      <c r="W1652" s="27">
        <f>Parameters!U827</f>
        <v>0</v>
      </c>
      <c r="X1652" s="28">
        <f>Parameters!V827</f>
        <v>0</v>
      </c>
      <c r="Y1652" s="25">
        <f>Parameters!W827</f>
        <v>0</v>
      </c>
      <c r="Z1652" s="23">
        <f>Parameters!X827</f>
        <v>0</v>
      </c>
      <c r="AA1652" s="27">
        <f>Parameters!Y827</f>
        <v>0</v>
      </c>
      <c r="AB1652" s="28">
        <f>Parameters!Z827</f>
        <v>0</v>
      </c>
      <c r="AC1652" s="23">
        <f>Parameters!AA827</f>
        <v>0</v>
      </c>
    </row>
    <row r="1653" spans="1:29">
      <c r="A1653" s="29" t="str">
        <f>UPPER(A1652)</f>
        <v>0</v>
      </c>
      <c r="B1653" s="29">
        <f>B1652</f>
        <v>0</v>
      </c>
      <c r="C1653" s="30">
        <f>C1652</f>
        <v>0</v>
      </c>
      <c r="D1653" s="30">
        <f>D1652</f>
        <v>0</v>
      </c>
      <c r="E1653" s="29">
        <f>E1652</f>
        <v>0</v>
      </c>
      <c r="F1653" s="29">
        <f>F1652</f>
        <v>0</v>
      </c>
      <c r="G1653" s="29" t="e">
        <f>IF(C1652=1,IF(D1652="BUY",E1652+(ROUND(F1652*G1652/B1652,0)*B1652),E1652-(ROUND(F1652*G1652/B1652,0)*B1652)),IF(D1652="BUY",E1652-(ROUND(F1652*G1652/B1652,0)*B1652),E1652+(ROUND(F1652*G1652/B1652,0)*B1652)))</f>
        <v>#DIV/0!</v>
      </c>
      <c r="H1653" s="29" t="e">
        <f>IF(C1652=1,IF(D1652="BUY",G1653-(ROUND(F1652*H1652/B1652,0)*B1652),G1653+(ROUND(F1652*H1652/B1652,0)*B1652)),IF(D1652="BUY",G1653+(ROUND(F1652*H1652/B1652,0)*B1652),G1653-(ROUND(F1652*H1652/B1652,0)*B1652)))</f>
        <v>#DIV/0!</v>
      </c>
      <c r="I1653" s="29" t="e">
        <f>IF(D1652="BUY",G1653+(ROUND(F1652*I1652/(B1652*100),0)*B1652),G1653-(ROUND(F1652*I1652/(B1652*100),0)*B1652))</f>
        <v>#DIV/0!</v>
      </c>
      <c r="J1653" s="29" t="e">
        <f>IF(C1652=1,IF(D1652="BUY",E1652+(ROUND(F1652*J1652/B1652,0)*B1652),E1652-(ROUND(F1652*J1652/B1652,0)*B1652)),IF(D1652="BUY",E1652-(ROUND(F1652*J1652/B1652,0)*B1652),E1652+(ROUND(F1652*J1652/B1652,0)*B1652)))</f>
        <v>#DIV/0!</v>
      </c>
      <c r="K1653" s="29" t="e">
        <f>IF(C1652=1,IF(D1652="BUY",E1652-(ROUND(F1652*K1652/B1652,0)*B1652),E1652+(ROUND(F1652*K1652/B1652,0)*B1652)),IF(D1652="BUY",E1652-(ROUND(F1652*K1652/B1652,0)*B1652),E1652+(ROUND(F1652*K1652/B1652,0)*B1652)))</f>
        <v>#DIV/0!</v>
      </c>
      <c r="L1653" s="29" t="e">
        <f t="shared" ref="L1653" si="2474">IF(D1653="BUY",I1653+(R1653*B1653),I1653-(R1653*B1653))</f>
        <v>#DIV/0!</v>
      </c>
      <c r="M1653" s="29" t="e">
        <f>IF(D1652="BUY",E1652+(ROUND(F1652*M1652/B1652,0)*B1652),E1652-(ROUND(F1652*M1652/B1652,0)*B1652))</f>
        <v>#DIV/0!</v>
      </c>
      <c r="N1653" s="29" t="e">
        <f>IF(D1652="BUY",E1652-(ROUND(F1652*N1652/B1652,0)*B1652),E1652+(ROUND(F1652*N1652/B1652,0)*B1652))</f>
        <v>#DIV/0!</v>
      </c>
      <c r="O1653" s="31" t="e">
        <f>IF(D1653="BUY",N1653-VLOOKUP(A1653,Symbols!A$1:D$1000,4,FALSE),N1653+VLOOKUP(A1653,Symbols!A$1:D$1000,4,FALSE))</f>
        <v>#DIV/0!</v>
      </c>
      <c r="P1653" s="29">
        <f>P1652</f>
        <v>0</v>
      </c>
      <c r="Q1653" s="29">
        <f>Q1652</f>
        <v>0</v>
      </c>
      <c r="R1653" s="29">
        <f>R1652</f>
        <v>0</v>
      </c>
      <c r="S1653" s="29">
        <f>S1652</f>
        <v>0</v>
      </c>
      <c r="T1653" s="29">
        <f>T1652</f>
        <v>0</v>
      </c>
      <c r="U1653" s="29" t="e">
        <f>DATEDIF(DATE(1970,1,1),U1652,"D")*86400</f>
        <v>#NUM!</v>
      </c>
      <c r="V1653" s="29">
        <f>HOUR(V1652)*3600+MINUTE(V1652)*60+SECOND(V1652)</f>
        <v>0</v>
      </c>
      <c r="W1653" s="29" t="e">
        <f>DATEDIF(DATE(1970,1,1),W1652,"D")*86400</f>
        <v>#NUM!</v>
      </c>
      <c r="X1653" s="29">
        <f>HOUR(X1652)*3600+MINUTE(X1652)*60+SECOND(X1652)</f>
        <v>0</v>
      </c>
      <c r="Y1653" s="31">
        <f>(Y1652*B1653)</f>
        <v>0</v>
      </c>
      <c r="Z1653" s="29">
        <f>Z1652</f>
        <v>0</v>
      </c>
      <c r="AA1653" s="29" t="e">
        <f>DATEDIF(DATE(1970,1,1),AA1652,"D")*86400</f>
        <v>#NUM!</v>
      </c>
      <c r="AB1653" s="29">
        <f>HOUR(AB1652)*3600+MINUTE(AB1652)*60+SECOND(AB1652)</f>
        <v>0</v>
      </c>
      <c r="AC1653" s="29">
        <f>AC1652</f>
        <v>0</v>
      </c>
    </row>
    <row r="1654" spans="1:29">
      <c r="A1654" s="23">
        <f>Parameters!A828</f>
        <v>0</v>
      </c>
      <c r="B1654" s="23">
        <f>Parameters!B828</f>
        <v>0</v>
      </c>
      <c r="C1654" s="24">
        <f>Parameters!C828</f>
        <v>0</v>
      </c>
      <c r="D1654" s="24">
        <f>Parameters!D828</f>
        <v>0</v>
      </c>
      <c r="E1654" s="23">
        <f>Parameters!E828</f>
        <v>0</v>
      </c>
      <c r="F1654" s="23">
        <f>Parameters!F828</f>
        <v>0</v>
      </c>
      <c r="G1654" s="25">
        <f>Parameters!G828</f>
        <v>0</v>
      </c>
      <c r="H1654" s="25">
        <f>Parameters!H828</f>
        <v>0</v>
      </c>
      <c r="I1654" s="25">
        <f>Parameters!I828</f>
        <v>0</v>
      </c>
      <c r="J1654" s="25">
        <f>Parameters!J828</f>
        <v>0</v>
      </c>
      <c r="K1654" s="25">
        <f>Parameters!K828</f>
        <v>0</v>
      </c>
      <c r="L1654" s="26" t="e">
        <f t="shared" ref="L1654" si="2475">L1655</f>
        <v>#DIV/0!</v>
      </c>
      <c r="M1654" s="25">
        <f>Parameters!L828</f>
        <v>0</v>
      </c>
      <c r="N1654" s="25">
        <f>Parameters!M828</f>
        <v>0</v>
      </c>
      <c r="O1654" s="26" t="e">
        <f t="shared" ref="O1654" si="2476">O1655</f>
        <v>#DIV/0!</v>
      </c>
      <c r="P1654" s="23">
        <f>Parameters!N828</f>
        <v>0</v>
      </c>
      <c r="Q1654" s="23">
        <f>Parameters!O828</f>
        <v>0</v>
      </c>
      <c r="R1654" s="23">
        <f>Parameters!P828</f>
        <v>0</v>
      </c>
      <c r="S1654" s="23">
        <f>Parameters!Q828</f>
        <v>0</v>
      </c>
      <c r="T1654" s="23">
        <f>Parameters!R828</f>
        <v>0</v>
      </c>
      <c r="U1654" s="27">
        <f>Parameters!S828</f>
        <v>0</v>
      </c>
      <c r="V1654" s="28">
        <f>Parameters!T828</f>
        <v>0</v>
      </c>
      <c r="W1654" s="27">
        <f>Parameters!U828</f>
        <v>0</v>
      </c>
      <c r="X1654" s="28">
        <f>Parameters!V828</f>
        <v>0</v>
      </c>
      <c r="Y1654" s="25">
        <f>Parameters!W828</f>
        <v>0</v>
      </c>
      <c r="Z1654" s="23">
        <f>Parameters!X828</f>
        <v>0</v>
      </c>
      <c r="AA1654" s="27">
        <f>Parameters!Y828</f>
        <v>0</v>
      </c>
      <c r="AB1654" s="28">
        <f>Parameters!Z828</f>
        <v>0</v>
      </c>
      <c r="AC1654" s="23">
        <f>Parameters!AA828</f>
        <v>0</v>
      </c>
    </row>
    <row r="1655" spans="1:29">
      <c r="A1655" s="29" t="str">
        <f>UPPER(A1654)</f>
        <v>0</v>
      </c>
      <c r="B1655" s="29">
        <f>B1654</f>
        <v>0</v>
      </c>
      <c r="C1655" s="30">
        <f>C1654</f>
        <v>0</v>
      </c>
      <c r="D1655" s="30">
        <f>D1654</f>
        <v>0</v>
      </c>
      <c r="E1655" s="29">
        <f>E1654</f>
        <v>0</v>
      </c>
      <c r="F1655" s="29">
        <f>F1654</f>
        <v>0</v>
      </c>
      <c r="G1655" s="29" t="e">
        <f>IF(C1654=1,IF(D1654="BUY",E1654+(ROUND(F1654*G1654/B1654,0)*B1654),E1654-(ROUND(F1654*G1654/B1654,0)*B1654)),IF(D1654="BUY",E1654-(ROUND(F1654*G1654/B1654,0)*B1654),E1654+(ROUND(F1654*G1654/B1654,0)*B1654)))</f>
        <v>#DIV/0!</v>
      </c>
      <c r="H1655" s="29" t="e">
        <f>IF(C1654=1,IF(D1654="BUY",G1655-(ROUND(F1654*H1654/B1654,0)*B1654),G1655+(ROUND(F1654*H1654/B1654,0)*B1654)),IF(D1654="BUY",G1655+(ROUND(F1654*H1654/B1654,0)*B1654),G1655-(ROUND(F1654*H1654/B1654,0)*B1654)))</f>
        <v>#DIV/0!</v>
      </c>
      <c r="I1655" s="29" t="e">
        <f>IF(D1654="BUY",G1655+(ROUND(F1654*I1654/(B1654*100),0)*B1654),G1655-(ROUND(F1654*I1654/(B1654*100),0)*B1654))</f>
        <v>#DIV/0!</v>
      </c>
      <c r="J1655" s="29" t="e">
        <f>IF(C1654=1,IF(D1654="BUY",E1654+(ROUND(F1654*J1654/B1654,0)*B1654),E1654-(ROUND(F1654*J1654/B1654,0)*B1654)),IF(D1654="BUY",E1654-(ROUND(F1654*J1654/B1654,0)*B1654),E1654+(ROUND(F1654*J1654/B1654,0)*B1654)))</f>
        <v>#DIV/0!</v>
      </c>
      <c r="K1655" s="29" t="e">
        <f>IF(C1654=1,IF(D1654="BUY",E1654-(ROUND(F1654*K1654/B1654,0)*B1654),E1654+(ROUND(F1654*K1654/B1654,0)*B1654)),IF(D1654="BUY",E1654-(ROUND(F1654*K1654/B1654,0)*B1654),E1654+(ROUND(F1654*K1654/B1654,0)*B1654)))</f>
        <v>#DIV/0!</v>
      </c>
      <c r="L1655" s="29" t="e">
        <f t="shared" ref="L1655" si="2477">IF(D1655="BUY",I1655+(R1655*B1655),I1655-(R1655*B1655))</f>
        <v>#DIV/0!</v>
      </c>
      <c r="M1655" s="29" t="e">
        <f>IF(D1654="BUY",E1654+(ROUND(F1654*M1654/B1654,0)*B1654),E1654-(ROUND(F1654*M1654/B1654,0)*B1654))</f>
        <v>#DIV/0!</v>
      </c>
      <c r="N1655" s="29" t="e">
        <f>IF(D1654="BUY",E1654-(ROUND(F1654*N1654/B1654,0)*B1654),E1654+(ROUND(F1654*N1654/B1654,0)*B1654))</f>
        <v>#DIV/0!</v>
      </c>
      <c r="O1655" s="31" t="e">
        <f>IF(D1655="BUY",N1655-VLOOKUP(A1655,Symbols!A$1:D$1000,4,FALSE),N1655+VLOOKUP(A1655,Symbols!A$1:D$1000,4,FALSE))</f>
        <v>#DIV/0!</v>
      </c>
      <c r="P1655" s="29">
        <f>P1654</f>
        <v>0</v>
      </c>
      <c r="Q1655" s="29">
        <f>Q1654</f>
        <v>0</v>
      </c>
      <c r="R1655" s="29">
        <f>R1654</f>
        <v>0</v>
      </c>
      <c r="S1655" s="29">
        <f>S1654</f>
        <v>0</v>
      </c>
      <c r="T1655" s="29">
        <f>T1654</f>
        <v>0</v>
      </c>
      <c r="U1655" s="29" t="e">
        <f>DATEDIF(DATE(1970,1,1),U1654,"D")*86400</f>
        <v>#NUM!</v>
      </c>
      <c r="V1655" s="29">
        <f>HOUR(V1654)*3600+MINUTE(V1654)*60+SECOND(V1654)</f>
        <v>0</v>
      </c>
      <c r="W1655" s="29" t="e">
        <f>DATEDIF(DATE(1970,1,1),W1654,"D")*86400</f>
        <v>#NUM!</v>
      </c>
      <c r="X1655" s="29">
        <f>HOUR(X1654)*3600+MINUTE(X1654)*60+SECOND(X1654)</f>
        <v>0</v>
      </c>
      <c r="Y1655" s="31">
        <f>(Y1654*B1655)</f>
        <v>0</v>
      </c>
      <c r="Z1655" s="29">
        <f>Z1654</f>
        <v>0</v>
      </c>
      <c r="AA1655" s="29" t="e">
        <f>DATEDIF(DATE(1970,1,1),AA1654,"D")*86400</f>
        <v>#NUM!</v>
      </c>
      <c r="AB1655" s="29">
        <f>HOUR(AB1654)*3600+MINUTE(AB1654)*60+SECOND(AB1654)</f>
        <v>0</v>
      </c>
      <c r="AC1655" s="29">
        <f>AC1654</f>
        <v>0</v>
      </c>
    </row>
    <row r="1656" spans="1:29">
      <c r="A1656" s="23">
        <f>Parameters!A829</f>
        <v>0</v>
      </c>
      <c r="B1656" s="23">
        <f>Parameters!B829</f>
        <v>0</v>
      </c>
      <c r="C1656" s="24">
        <f>Parameters!C829</f>
        <v>0</v>
      </c>
      <c r="D1656" s="24">
        <f>Parameters!D829</f>
        <v>0</v>
      </c>
      <c r="E1656" s="23">
        <f>Parameters!E829</f>
        <v>0</v>
      </c>
      <c r="F1656" s="23">
        <f>Parameters!F829</f>
        <v>0</v>
      </c>
      <c r="G1656" s="25">
        <f>Parameters!G829</f>
        <v>0</v>
      </c>
      <c r="H1656" s="25">
        <f>Parameters!H829</f>
        <v>0</v>
      </c>
      <c r="I1656" s="25">
        <f>Parameters!I829</f>
        <v>0</v>
      </c>
      <c r="J1656" s="25">
        <f>Parameters!J829</f>
        <v>0</v>
      </c>
      <c r="K1656" s="25">
        <f>Parameters!K829</f>
        <v>0</v>
      </c>
      <c r="L1656" s="26" t="e">
        <f t="shared" ref="L1656" si="2478">L1657</f>
        <v>#DIV/0!</v>
      </c>
      <c r="M1656" s="25">
        <f>Parameters!L829</f>
        <v>0</v>
      </c>
      <c r="N1656" s="25">
        <f>Parameters!M829</f>
        <v>0</v>
      </c>
      <c r="O1656" s="26" t="e">
        <f t="shared" ref="O1656" si="2479">O1657</f>
        <v>#DIV/0!</v>
      </c>
      <c r="P1656" s="23">
        <f>Parameters!N829</f>
        <v>0</v>
      </c>
      <c r="Q1656" s="23">
        <f>Parameters!O829</f>
        <v>0</v>
      </c>
      <c r="R1656" s="23">
        <f>Parameters!P829</f>
        <v>0</v>
      </c>
      <c r="S1656" s="23">
        <f>Parameters!Q829</f>
        <v>0</v>
      </c>
      <c r="T1656" s="23">
        <f>Parameters!R829</f>
        <v>0</v>
      </c>
      <c r="U1656" s="27">
        <f>Parameters!S829</f>
        <v>0</v>
      </c>
      <c r="V1656" s="28">
        <f>Parameters!T829</f>
        <v>0</v>
      </c>
      <c r="W1656" s="27">
        <f>Parameters!U829</f>
        <v>0</v>
      </c>
      <c r="X1656" s="28">
        <f>Parameters!V829</f>
        <v>0</v>
      </c>
      <c r="Y1656" s="25">
        <f>Parameters!W829</f>
        <v>0</v>
      </c>
      <c r="Z1656" s="23">
        <f>Parameters!X829</f>
        <v>0</v>
      </c>
      <c r="AA1656" s="27">
        <f>Parameters!Y829</f>
        <v>0</v>
      </c>
      <c r="AB1656" s="28">
        <f>Parameters!Z829</f>
        <v>0</v>
      </c>
      <c r="AC1656" s="23">
        <f>Parameters!AA829</f>
        <v>0</v>
      </c>
    </row>
    <row r="1657" spans="1:29">
      <c r="A1657" s="29" t="str">
        <f>UPPER(A1656)</f>
        <v>0</v>
      </c>
      <c r="B1657" s="29">
        <f>B1656</f>
        <v>0</v>
      </c>
      <c r="C1657" s="30">
        <f>C1656</f>
        <v>0</v>
      </c>
      <c r="D1657" s="30">
        <f>D1656</f>
        <v>0</v>
      </c>
      <c r="E1657" s="29">
        <f>E1656</f>
        <v>0</v>
      </c>
      <c r="F1657" s="29">
        <f>F1656</f>
        <v>0</v>
      </c>
      <c r="G1657" s="29" t="e">
        <f>IF(C1656=1,IF(D1656="BUY",E1656+(ROUND(F1656*G1656/B1656,0)*B1656),E1656-(ROUND(F1656*G1656/B1656,0)*B1656)),IF(D1656="BUY",E1656-(ROUND(F1656*G1656/B1656,0)*B1656),E1656+(ROUND(F1656*G1656/B1656,0)*B1656)))</f>
        <v>#DIV/0!</v>
      </c>
      <c r="H1657" s="29" t="e">
        <f>IF(C1656=1,IF(D1656="BUY",G1657-(ROUND(F1656*H1656/B1656,0)*B1656),G1657+(ROUND(F1656*H1656/B1656,0)*B1656)),IF(D1656="BUY",G1657+(ROUND(F1656*H1656/B1656,0)*B1656),G1657-(ROUND(F1656*H1656/B1656,0)*B1656)))</f>
        <v>#DIV/0!</v>
      </c>
      <c r="I1657" s="29" t="e">
        <f>IF(D1656="BUY",G1657+(ROUND(F1656*I1656/(B1656*100),0)*B1656),G1657-(ROUND(F1656*I1656/(B1656*100),0)*B1656))</f>
        <v>#DIV/0!</v>
      </c>
      <c r="J1657" s="29" t="e">
        <f>IF(C1656=1,IF(D1656="BUY",E1656+(ROUND(F1656*J1656/B1656,0)*B1656),E1656-(ROUND(F1656*J1656/B1656,0)*B1656)),IF(D1656="BUY",E1656-(ROUND(F1656*J1656/B1656,0)*B1656),E1656+(ROUND(F1656*J1656/B1656,0)*B1656)))</f>
        <v>#DIV/0!</v>
      </c>
      <c r="K1657" s="29" t="e">
        <f>IF(C1656=1,IF(D1656="BUY",E1656-(ROUND(F1656*K1656/B1656,0)*B1656),E1656+(ROUND(F1656*K1656/B1656,0)*B1656)),IF(D1656="BUY",E1656-(ROUND(F1656*K1656/B1656,0)*B1656),E1656+(ROUND(F1656*K1656/B1656,0)*B1656)))</f>
        <v>#DIV/0!</v>
      </c>
      <c r="L1657" s="29" t="e">
        <f t="shared" ref="L1657" si="2480">IF(D1657="BUY",I1657+(R1657*B1657),I1657-(R1657*B1657))</f>
        <v>#DIV/0!</v>
      </c>
      <c r="M1657" s="29" t="e">
        <f>IF(D1656="BUY",E1656+(ROUND(F1656*M1656/B1656,0)*B1656),E1656-(ROUND(F1656*M1656/B1656,0)*B1656))</f>
        <v>#DIV/0!</v>
      </c>
      <c r="N1657" s="29" t="e">
        <f>IF(D1656="BUY",E1656-(ROUND(F1656*N1656/B1656,0)*B1656),E1656+(ROUND(F1656*N1656/B1656,0)*B1656))</f>
        <v>#DIV/0!</v>
      </c>
      <c r="O1657" s="31" t="e">
        <f>IF(D1657="BUY",N1657-VLOOKUP(A1657,Symbols!A$1:D$1000,4,FALSE),N1657+VLOOKUP(A1657,Symbols!A$1:D$1000,4,FALSE))</f>
        <v>#DIV/0!</v>
      </c>
      <c r="P1657" s="29">
        <f>P1656</f>
        <v>0</v>
      </c>
      <c r="Q1657" s="29">
        <f>Q1656</f>
        <v>0</v>
      </c>
      <c r="R1657" s="29">
        <f>R1656</f>
        <v>0</v>
      </c>
      <c r="S1657" s="29">
        <f>S1656</f>
        <v>0</v>
      </c>
      <c r="T1657" s="29">
        <f>T1656</f>
        <v>0</v>
      </c>
      <c r="U1657" s="29" t="e">
        <f>DATEDIF(DATE(1970,1,1),U1656,"D")*86400</f>
        <v>#NUM!</v>
      </c>
      <c r="V1657" s="29">
        <f>HOUR(V1656)*3600+MINUTE(V1656)*60+SECOND(V1656)</f>
        <v>0</v>
      </c>
      <c r="W1657" s="29" t="e">
        <f>DATEDIF(DATE(1970,1,1),W1656,"D")*86400</f>
        <v>#NUM!</v>
      </c>
      <c r="X1657" s="29">
        <f>HOUR(X1656)*3600+MINUTE(X1656)*60+SECOND(X1656)</f>
        <v>0</v>
      </c>
      <c r="Y1657" s="31">
        <f>(Y1656*B1657)</f>
        <v>0</v>
      </c>
      <c r="Z1657" s="29">
        <f>Z1656</f>
        <v>0</v>
      </c>
      <c r="AA1657" s="29" t="e">
        <f>DATEDIF(DATE(1970,1,1),AA1656,"D")*86400</f>
        <v>#NUM!</v>
      </c>
      <c r="AB1657" s="29">
        <f>HOUR(AB1656)*3600+MINUTE(AB1656)*60+SECOND(AB1656)</f>
        <v>0</v>
      </c>
      <c r="AC1657" s="29">
        <f>AC1656</f>
        <v>0</v>
      </c>
    </row>
    <row r="1658" spans="1:29">
      <c r="A1658" s="23">
        <f>Parameters!A830</f>
        <v>0</v>
      </c>
      <c r="B1658" s="23">
        <f>Parameters!B830</f>
        <v>0</v>
      </c>
      <c r="C1658" s="24">
        <f>Parameters!C830</f>
        <v>0</v>
      </c>
      <c r="D1658" s="24">
        <f>Parameters!D830</f>
        <v>0</v>
      </c>
      <c r="E1658" s="23">
        <f>Parameters!E830</f>
        <v>0</v>
      </c>
      <c r="F1658" s="23">
        <f>Parameters!F830</f>
        <v>0</v>
      </c>
      <c r="G1658" s="25">
        <f>Parameters!G830</f>
        <v>0</v>
      </c>
      <c r="H1658" s="25">
        <f>Parameters!H830</f>
        <v>0</v>
      </c>
      <c r="I1658" s="25">
        <f>Parameters!I830</f>
        <v>0</v>
      </c>
      <c r="J1658" s="25">
        <f>Parameters!J830</f>
        <v>0</v>
      </c>
      <c r="K1658" s="25">
        <f>Parameters!K830</f>
        <v>0</v>
      </c>
      <c r="L1658" s="26" t="e">
        <f t="shared" ref="L1658" si="2481">L1659</f>
        <v>#DIV/0!</v>
      </c>
      <c r="M1658" s="25">
        <f>Parameters!L830</f>
        <v>0</v>
      </c>
      <c r="N1658" s="25">
        <f>Parameters!M830</f>
        <v>0</v>
      </c>
      <c r="O1658" s="26" t="e">
        <f t="shared" ref="O1658" si="2482">O1659</f>
        <v>#DIV/0!</v>
      </c>
      <c r="P1658" s="23">
        <f>Parameters!N830</f>
        <v>0</v>
      </c>
      <c r="Q1658" s="23">
        <f>Parameters!O830</f>
        <v>0</v>
      </c>
      <c r="R1658" s="23">
        <f>Parameters!P830</f>
        <v>0</v>
      </c>
      <c r="S1658" s="23">
        <f>Parameters!Q830</f>
        <v>0</v>
      </c>
      <c r="T1658" s="23">
        <f>Parameters!R830</f>
        <v>0</v>
      </c>
      <c r="U1658" s="27">
        <f>Parameters!S830</f>
        <v>0</v>
      </c>
      <c r="V1658" s="28">
        <f>Parameters!T830</f>
        <v>0</v>
      </c>
      <c r="W1658" s="27">
        <f>Parameters!U830</f>
        <v>0</v>
      </c>
      <c r="X1658" s="28">
        <f>Parameters!V830</f>
        <v>0</v>
      </c>
      <c r="Y1658" s="25">
        <f>Parameters!W830</f>
        <v>0</v>
      </c>
      <c r="Z1658" s="23">
        <f>Parameters!X830</f>
        <v>0</v>
      </c>
      <c r="AA1658" s="27">
        <f>Parameters!Y830</f>
        <v>0</v>
      </c>
      <c r="AB1658" s="28">
        <f>Parameters!Z830</f>
        <v>0</v>
      </c>
      <c r="AC1658" s="23">
        <f>Parameters!AA830</f>
        <v>0</v>
      </c>
    </row>
    <row r="1659" spans="1:29">
      <c r="A1659" s="29" t="str">
        <f>UPPER(A1658)</f>
        <v>0</v>
      </c>
      <c r="B1659" s="29">
        <f>B1658</f>
        <v>0</v>
      </c>
      <c r="C1659" s="30">
        <f>C1658</f>
        <v>0</v>
      </c>
      <c r="D1659" s="30">
        <f>D1658</f>
        <v>0</v>
      </c>
      <c r="E1659" s="29">
        <f>E1658</f>
        <v>0</v>
      </c>
      <c r="F1659" s="29">
        <f>F1658</f>
        <v>0</v>
      </c>
      <c r="G1659" s="29" t="e">
        <f>IF(C1658=1,IF(D1658="BUY",E1658+(ROUND(F1658*G1658/B1658,0)*B1658),E1658-(ROUND(F1658*G1658/B1658,0)*B1658)),IF(D1658="BUY",E1658-(ROUND(F1658*G1658/B1658,0)*B1658),E1658+(ROUND(F1658*G1658/B1658,0)*B1658)))</f>
        <v>#DIV/0!</v>
      </c>
      <c r="H1659" s="29" t="e">
        <f>IF(C1658=1,IF(D1658="BUY",G1659-(ROUND(F1658*H1658/B1658,0)*B1658),G1659+(ROUND(F1658*H1658/B1658,0)*B1658)),IF(D1658="BUY",G1659+(ROUND(F1658*H1658/B1658,0)*B1658),G1659-(ROUND(F1658*H1658/B1658,0)*B1658)))</f>
        <v>#DIV/0!</v>
      </c>
      <c r="I1659" s="29" t="e">
        <f>IF(D1658="BUY",G1659+(ROUND(F1658*I1658/(B1658*100),0)*B1658),G1659-(ROUND(F1658*I1658/(B1658*100),0)*B1658))</f>
        <v>#DIV/0!</v>
      </c>
      <c r="J1659" s="29" t="e">
        <f>IF(C1658=1,IF(D1658="BUY",E1658+(ROUND(F1658*J1658/B1658,0)*B1658),E1658-(ROUND(F1658*J1658/B1658,0)*B1658)),IF(D1658="BUY",E1658-(ROUND(F1658*J1658/B1658,0)*B1658),E1658+(ROUND(F1658*J1658/B1658,0)*B1658)))</f>
        <v>#DIV/0!</v>
      </c>
      <c r="K1659" s="29" t="e">
        <f>IF(C1658=1,IF(D1658="BUY",E1658-(ROUND(F1658*K1658/B1658,0)*B1658),E1658+(ROUND(F1658*K1658/B1658,0)*B1658)),IF(D1658="BUY",E1658-(ROUND(F1658*K1658/B1658,0)*B1658),E1658+(ROUND(F1658*K1658/B1658,0)*B1658)))</f>
        <v>#DIV/0!</v>
      </c>
      <c r="L1659" s="29" t="e">
        <f t="shared" ref="L1659" si="2483">IF(D1659="BUY",I1659+(R1659*B1659),I1659-(R1659*B1659))</f>
        <v>#DIV/0!</v>
      </c>
      <c r="M1659" s="29" t="e">
        <f>IF(D1658="BUY",E1658+(ROUND(F1658*M1658/B1658,0)*B1658),E1658-(ROUND(F1658*M1658/B1658,0)*B1658))</f>
        <v>#DIV/0!</v>
      </c>
      <c r="N1659" s="29" t="e">
        <f>IF(D1658="BUY",E1658-(ROUND(F1658*N1658/B1658,0)*B1658),E1658+(ROUND(F1658*N1658/B1658,0)*B1658))</f>
        <v>#DIV/0!</v>
      </c>
      <c r="O1659" s="31" t="e">
        <f>IF(D1659="BUY",N1659-VLOOKUP(A1659,Symbols!A$1:D$1000,4,FALSE),N1659+VLOOKUP(A1659,Symbols!A$1:D$1000,4,FALSE))</f>
        <v>#DIV/0!</v>
      </c>
      <c r="P1659" s="29">
        <f>P1658</f>
        <v>0</v>
      </c>
      <c r="Q1659" s="29">
        <f>Q1658</f>
        <v>0</v>
      </c>
      <c r="R1659" s="29">
        <f>R1658</f>
        <v>0</v>
      </c>
      <c r="S1659" s="29">
        <f>S1658</f>
        <v>0</v>
      </c>
      <c r="T1659" s="29">
        <f>T1658</f>
        <v>0</v>
      </c>
      <c r="U1659" s="29" t="e">
        <f>DATEDIF(DATE(1970,1,1),U1658,"D")*86400</f>
        <v>#NUM!</v>
      </c>
      <c r="V1659" s="29">
        <f>HOUR(V1658)*3600+MINUTE(V1658)*60+SECOND(V1658)</f>
        <v>0</v>
      </c>
      <c r="W1659" s="29" t="e">
        <f>DATEDIF(DATE(1970,1,1),W1658,"D")*86400</f>
        <v>#NUM!</v>
      </c>
      <c r="X1659" s="29">
        <f>HOUR(X1658)*3600+MINUTE(X1658)*60+SECOND(X1658)</f>
        <v>0</v>
      </c>
      <c r="Y1659" s="31">
        <f>(Y1658*B1659)</f>
        <v>0</v>
      </c>
      <c r="Z1659" s="29">
        <f>Z1658</f>
        <v>0</v>
      </c>
      <c r="AA1659" s="29" t="e">
        <f>DATEDIF(DATE(1970,1,1),AA1658,"D")*86400</f>
        <v>#NUM!</v>
      </c>
      <c r="AB1659" s="29">
        <f>HOUR(AB1658)*3600+MINUTE(AB1658)*60+SECOND(AB1658)</f>
        <v>0</v>
      </c>
      <c r="AC1659" s="29">
        <f>AC1658</f>
        <v>0</v>
      </c>
    </row>
    <row r="1660" spans="1:29">
      <c r="A1660" s="23">
        <f>Parameters!A831</f>
        <v>0</v>
      </c>
      <c r="B1660" s="23">
        <f>Parameters!B831</f>
        <v>0</v>
      </c>
      <c r="C1660" s="24">
        <f>Parameters!C831</f>
        <v>0</v>
      </c>
      <c r="D1660" s="24">
        <f>Parameters!D831</f>
        <v>0</v>
      </c>
      <c r="E1660" s="23">
        <f>Parameters!E831</f>
        <v>0</v>
      </c>
      <c r="F1660" s="23">
        <f>Parameters!F831</f>
        <v>0</v>
      </c>
      <c r="G1660" s="25">
        <f>Parameters!G831</f>
        <v>0</v>
      </c>
      <c r="H1660" s="25">
        <f>Parameters!H831</f>
        <v>0</v>
      </c>
      <c r="I1660" s="25">
        <f>Parameters!I831</f>
        <v>0</v>
      </c>
      <c r="J1660" s="25">
        <f>Parameters!J831</f>
        <v>0</v>
      </c>
      <c r="K1660" s="25">
        <f>Parameters!K831</f>
        <v>0</v>
      </c>
      <c r="L1660" s="26" t="e">
        <f t="shared" ref="L1660" si="2484">L1661</f>
        <v>#DIV/0!</v>
      </c>
      <c r="M1660" s="25">
        <f>Parameters!L831</f>
        <v>0</v>
      </c>
      <c r="N1660" s="25">
        <f>Parameters!M831</f>
        <v>0</v>
      </c>
      <c r="O1660" s="26" t="e">
        <f t="shared" ref="O1660" si="2485">O1661</f>
        <v>#DIV/0!</v>
      </c>
      <c r="P1660" s="23">
        <f>Parameters!N831</f>
        <v>0</v>
      </c>
      <c r="Q1660" s="23">
        <f>Parameters!O831</f>
        <v>0</v>
      </c>
      <c r="R1660" s="23">
        <f>Parameters!P831</f>
        <v>0</v>
      </c>
      <c r="S1660" s="23">
        <f>Parameters!Q831</f>
        <v>0</v>
      </c>
      <c r="T1660" s="23">
        <f>Parameters!R831</f>
        <v>0</v>
      </c>
      <c r="U1660" s="27">
        <f>Parameters!S831</f>
        <v>0</v>
      </c>
      <c r="V1660" s="28">
        <f>Parameters!T831</f>
        <v>0</v>
      </c>
      <c r="W1660" s="27">
        <f>Parameters!U831</f>
        <v>0</v>
      </c>
      <c r="X1660" s="28">
        <f>Parameters!V831</f>
        <v>0</v>
      </c>
      <c r="Y1660" s="25">
        <f>Parameters!W831</f>
        <v>0</v>
      </c>
      <c r="Z1660" s="23">
        <f>Parameters!X831</f>
        <v>0</v>
      </c>
      <c r="AA1660" s="27">
        <f>Parameters!Y831</f>
        <v>0</v>
      </c>
      <c r="AB1660" s="28">
        <f>Parameters!Z831</f>
        <v>0</v>
      </c>
      <c r="AC1660" s="23">
        <f>Parameters!AA831</f>
        <v>0</v>
      </c>
    </row>
    <row r="1661" spans="1:29">
      <c r="A1661" s="29" t="str">
        <f>UPPER(A1660)</f>
        <v>0</v>
      </c>
      <c r="B1661" s="29">
        <f>B1660</f>
        <v>0</v>
      </c>
      <c r="C1661" s="30">
        <f>C1660</f>
        <v>0</v>
      </c>
      <c r="D1661" s="30">
        <f>D1660</f>
        <v>0</v>
      </c>
      <c r="E1661" s="29">
        <f>E1660</f>
        <v>0</v>
      </c>
      <c r="F1661" s="29">
        <f>F1660</f>
        <v>0</v>
      </c>
      <c r="G1661" s="29" t="e">
        <f>IF(C1660=1,IF(D1660="BUY",E1660+(ROUND(F1660*G1660/B1660,0)*B1660),E1660-(ROUND(F1660*G1660/B1660,0)*B1660)),IF(D1660="BUY",E1660-(ROUND(F1660*G1660/B1660,0)*B1660),E1660+(ROUND(F1660*G1660/B1660,0)*B1660)))</f>
        <v>#DIV/0!</v>
      </c>
      <c r="H1661" s="29" t="e">
        <f>IF(C1660=1,IF(D1660="BUY",G1661-(ROUND(F1660*H1660/B1660,0)*B1660),G1661+(ROUND(F1660*H1660/B1660,0)*B1660)),IF(D1660="BUY",G1661+(ROUND(F1660*H1660/B1660,0)*B1660),G1661-(ROUND(F1660*H1660/B1660,0)*B1660)))</f>
        <v>#DIV/0!</v>
      </c>
      <c r="I1661" s="29" t="e">
        <f>IF(D1660="BUY",G1661+(ROUND(F1660*I1660/(B1660*100),0)*B1660),G1661-(ROUND(F1660*I1660/(B1660*100),0)*B1660))</f>
        <v>#DIV/0!</v>
      </c>
      <c r="J1661" s="29" t="e">
        <f>IF(C1660=1,IF(D1660="BUY",E1660+(ROUND(F1660*J1660/B1660,0)*B1660),E1660-(ROUND(F1660*J1660/B1660,0)*B1660)),IF(D1660="BUY",E1660-(ROUND(F1660*J1660/B1660,0)*B1660),E1660+(ROUND(F1660*J1660/B1660,0)*B1660)))</f>
        <v>#DIV/0!</v>
      </c>
      <c r="K1661" s="29" t="e">
        <f>IF(C1660=1,IF(D1660="BUY",E1660-(ROUND(F1660*K1660/B1660,0)*B1660),E1660+(ROUND(F1660*K1660/B1660,0)*B1660)),IF(D1660="BUY",E1660-(ROUND(F1660*K1660/B1660,0)*B1660),E1660+(ROUND(F1660*K1660/B1660,0)*B1660)))</f>
        <v>#DIV/0!</v>
      </c>
      <c r="L1661" s="29" t="e">
        <f t="shared" ref="L1661" si="2486">IF(D1661="BUY",I1661+(R1661*B1661),I1661-(R1661*B1661))</f>
        <v>#DIV/0!</v>
      </c>
      <c r="M1661" s="29" t="e">
        <f>IF(D1660="BUY",E1660+(ROUND(F1660*M1660/B1660,0)*B1660),E1660-(ROUND(F1660*M1660/B1660,0)*B1660))</f>
        <v>#DIV/0!</v>
      </c>
      <c r="N1661" s="29" t="e">
        <f>IF(D1660="BUY",E1660-(ROUND(F1660*N1660/B1660,0)*B1660),E1660+(ROUND(F1660*N1660/B1660,0)*B1660))</f>
        <v>#DIV/0!</v>
      </c>
      <c r="O1661" s="31" t="e">
        <f>IF(D1661="BUY",N1661-VLOOKUP(A1661,Symbols!A$1:D$1000,4,FALSE),N1661+VLOOKUP(A1661,Symbols!A$1:D$1000,4,FALSE))</f>
        <v>#DIV/0!</v>
      </c>
      <c r="P1661" s="29">
        <f>P1660</f>
        <v>0</v>
      </c>
      <c r="Q1661" s="29">
        <f>Q1660</f>
        <v>0</v>
      </c>
      <c r="R1661" s="29">
        <f>R1660</f>
        <v>0</v>
      </c>
      <c r="S1661" s="29">
        <f>S1660</f>
        <v>0</v>
      </c>
      <c r="T1661" s="29">
        <f>T1660</f>
        <v>0</v>
      </c>
      <c r="U1661" s="29" t="e">
        <f>DATEDIF(DATE(1970,1,1),U1660,"D")*86400</f>
        <v>#NUM!</v>
      </c>
      <c r="V1661" s="29">
        <f>HOUR(V1660)*3600+MINUTE(V1660)*60+SECOND(V1660)</f>
        <v>0</v>
      </c>
      <c r="W1661" s="29" t="e">
        <f>DATEDIF(DATE(1970,1,1),W1660,"D")*86400</f>
        <v>#NUM!</v>
      </c>
      <c r="X1661" s="29">
        <f>HOUR(X1660)*3600+MINUTE(X1660)*60+SECOND(X1660)</f>
        <v>0</v>
      </c>
      <c r="Y1661" s="31">
        <f>(Y1660*B1661)</f>
        <v>0</v>
      </c>
      <c r="Z1661" s="29">
        <f>Z1660</f>
        <v>0</v>
      </c>
      <c r="AA1661" s="29" t="e">
        <f>DATEDIF(DATE(1970,1,1),AA1660,"D")*86400</f>
        <v>#NUM!</v>
      </c>
      <c r="AB1661" s="29">
        <f>HOUR(AB1660)*3600+MINUTE(AB1660)*60+SECOND(AB1660)</f>
        <v>0</v>
      </c>
      <c r="AC1661" s="29">
        <f>AC1660</f>
        <v>0</v>
      </c>
    </row>
    <row r="1662" spans="1:29">
      <c r="A1662" s="23">
        <f>Parameters!A832</f>
        <v>0</v>
      </c>
      <c r="B1662" s="23">
        <f>Parameters!B832</f>
        <v>0</v>
      </c>
      <c r="C1662" s="24">
        <f>Parameters!C832</f>
        <v>0</v>
      </c>
      <c r="D1662" s="24">
        <f>Parameters!D832</f>
        <v>0</v>
      </c>
      <c r="E1662" s="23">
        <f>Parameters!E832</f>
        <v>0</v>
      </c>
      <c r="F1662" s="23">
        <f>Parameters!F832</f>
        <v>0</v>
      </c>
      <c r="G1662" s="25">
        <f>Parameters!G832</f>
        <v>0</v>
      </c>
      <c r="H1662" s="25">
        <f>Parameters!H832</f>
        <v>0</v>
      </c>
      <c r="I1662" s="25">
        <f>Parameters!I832</f>
        <v>0</v>
      </c>
      <c r="J1662" s="25">
        <f>Parameters!J832</f>
        <v>0</v>
      </c>
      <c r="K1662" s="25">
        <f>Parameters!K832</f>
        <v>0</v>
      </c>
      <c r="L1662" s="26" t="e">
        <f t="shared" ref="L1662" si="2487">L1663</f>
        <v>#DIV/0!</v>
      </c>
      <c r="M1662" s="25">
        <f>Parameters!L832</f>
        <v>0</v>
      </c>
      <c r="N1662" s="25">
        <f>Parameters!M832</f>
        <v>0</v>
      </c>
      <c r="O1662" s="26" t="e">
        <f t="shared" ref="O1662" si="2488">O1663</f>
        <v>#DIV/0!</v>
      </c>
      <c r="P1662" s="23">
        <f>Parameters!N832</f>
        <v>0</v>
      </c>
      <c r="Q1662" s="23">
        <f>Parameters!O832</f>
        <v>0</v>
      </c>
      <c r="R1662" s="23">
        <f>Parameters!P832</f>
        <v>0</v>
      </c>
      <c r="S1662" s="23">
        <f>Parameters!Q832</f>
        <v>0</v>
      </c>
      <c r="T1662" s="23">
        <f>Parameters!R832</f>
        <v>0</v>
      </c>
      <c r="U1662" s="27">
        <f>Parameters!S832</f>
        <v>0</v>
      </c>
      <c r="V1662" s="28">
        <f>Parameters!T832</f>
        <v>0</v>
      </c>
      <c r="W1662" s="27">
        <f>Parameters!U832</f>
        <v>0</v>
      </c>
      <c r="X1662" s="28">
        <f>Parameters!V832</f>
        <v>0</v>
      </c>
      <c r="Y1662" s="25">
        <f>Parameters!W832</f>
        <v>0</v>
      </c>
      <c r="Z1662" s="23">
        <f>Parameters!X832</f>
        <v>0</v>
      </c>
      <c r="AA1662" s="27">
        <f>Parameters!Y832</f>
        <v>0</v>
      </c>
      <c r="AB1662" s="28">
        <f>Parameters!Z832</f>
        <v>0</v>
      </c>
      <c r="AC1662" s="23">
        <f>Parameters!AA832</f>
        <v>0</v>
      </c>
    </row>
    <row r="1663" spans="1:29">
      <c r="A1663" s="29" t="str">
        <f>UPPER(A1662)</f>
        <v>0</v>
      </c>
      <c r="B1663" s="29">
        <f>B1662</f>
        <v>0</v>
      </c>
      <c r="C1663" s="30">
        <f>C1662</f>
        <v>0</v>
      </c>
      <c r="D1663" s="30">
        <f>D1662</f>
        <v>0</v>
      </c>
      <c r="E1663" s="29">
        <f>E1662</f>
        <v>0</v>
      </c>
      <c r="F1663" s="29">
        <f>F1662</f>
        <v>0</v>
      </c>
      <c r="G1663" s="29" t="e">
        <f>IF(C1662=1,IF(D1662="BUY",E1662+(ROUND(F1662*G1662/B1662,0)*B1662),E1662-(ROUND(F1662*G1662/B1662,0)*B1662)),IF(D1662="BUY",E1662-(ROUND(F1662*G1662/B1662,0)*B1662),E1662+(ROUND(F1662*G1662/B1662,0)*B1662)))</f>
        <v>#DIV/0!</v>
      </c>
      <c r="H1663" s="29" t="e">
        <f>IF(C1662=1,IF(D1662="BUY",G1663-(ROUND(F1662*H1662/B1662,0)*B1662),G1663+(ROUND(F1662*H1662/B1662,0)*B1662)),IF(D1662="BUY",G1663+(ROUND(F1662*H1662/B1662,0)*B1662),G1663-(ROUND(F1662*H1662/B1662,0)*B1662)))</f>
        <v>#DIV/0!</v>
      </c>
      <c r="I1663" s="29" t="e">
        <f>IF(D1662="BUY",G1663+(ROUND(F1662*I1662/(B1662*100),0)*B1662),G1663-(ROUND(F1662*I1662/(B1662*100),0)*B1662))</f>
        <v>#DIV/0!</v>
      </c>
      <c r="J1663" s="29" t="e">
        <f>IF(C1662=1,IF(D1662="BUY",E1662+(ROUND(F1662*J1662/B1662,0)*B1662),E1662-(ROUND(F1662*J1662/B1662,0)*B1662)),IF(D1662="BUY",E1662-(ROUND(F1662*J1662/B1662,0)*B1662),E1662+(ROUND(F1662*J1662/B1662,0)*B1662)))</f>
        <v>#DIV/0!</v>
      </c>
      <c r="K1663" s="29" t="e">
        <f>IF(C1662=1,IF(D1662="BUY",E1662-(ROUND(F1662*K1662/B1662,0)*B1662),E1662+(ROUND(F1662*K1662/B1662,0)*B1662)),IF(D1662="BUY",E1662-(ROUND(F1662*K1662/B1662,0)*B1662),E1662+(ROUND(F1662*K1662/B1662,0)*B1662)))</f>
        <v>#DIV/0!</v>
      </c>
      <c r="L1663" s="29" t="e">
        <f t="shared" ref="L1663" si="2489">IF(D1663="BUY",I1663+(R1663*B1663),I1663-(R1663*B1663))</f>
        <v>#DIV/0!</v>
      </c>
      <c r="M1663" s="29" t="e">
        <f>IF(D1662="BUY",E1662+(ROUND(F1662*M1662/B1662,0)*B1662),E1662-(ROUND(F1662*M1662/B1662,0)*B1662))</f>
        <v>#DIV/0!</v>
      </c>
      <c r="N1663" s="29" t="e">
        <f>IF(D1662="BUY",E1662-(ROUND(F1662*N1662/B1662,0)*B1662),E1662+(ROUND(F1662*N1662/B1662,0)*B1662))</f>
        <v>#DIV/0!</v>
      </c>
      <c r="O1663" s="31" t="e">
        <f>IF(D1663="BUY",N1663-VLOOKUP(A1663,Symbols!A$1:D$1000,4,FALSE),N1663+VLOOKUP(A1663,Symbols!A$1:D$1000,4,FALSE))</f>
        <v>#DIV/0!</v>
      </c>
      <c r="P1663" s="29">
        <f>P1662</f>
        <v>0</v>
      </c>
      <c r="Q1663" s="29">
        <f>Q1662</f>
        <v>0</v>
      </c>
      <c r="R1663" s="29">
        <f>R1662</f>
        <v>0</v>
      </c>
      <c r="S1663" s="29">
        <f>S1662</f>
        <v>0</v>
      </c>
      <c r="T1663" s="29">
        <f>T1662</f>
        <v>0</v>
      </c>
      <c r="U1663" s="29" t="e">
        <f>DATEDIF(DATE(1970,1,1),U1662,"D")*86400</f>
        <v>#NUM!</v>
      </c>
      <c r="V1663" s="29">
        <f>HOUR(V1662)*3600+MINUTE(V1662)*60+SECOND(V1662)</f>
        <v>0</v>
      </c>
      <c r="W1663" s="29" t="e">
        <f>DATEDIF(DATE(1970,1,1),W1662,"D")*86400</f>
        <v>#NUM!</v>
      </c>
      <c r="X1663" s="29">
        <f>HOUR(X1662)*3600+MINUTE(X1662)*60+SECOND(X1662)</f>
        <v>0</v>
      </c>
      <c r="Y1663" s="31">
        <f>(Y1662*B1663)</f>
        <v>0</v>
      </c>
      <c r="Z1663" s="29">
        <f>Z1662</f>
        <v>0</v>
      </c>
      <c r="AA1663" s="29" t="e">
        <f>DATEDIF(DATE(1970,1,1),AA1662,"D")*86400</f>
        <v>#NUM!</v>
      </c>
      <c r="AB1663" s="29">
        <f>HOUR(AB1662)*3600+MINUTE(AB1662)*60+SECOND(AB1662)</f>
        <v>0</v>
      </c>
      <c r="AC1663" s="29">
        <f>AC1662</f>
        <v>0</v>
      </c>
    </row>
    <row r="1664" spans="1:29">
      <c r="A1664" s="23">
        <f>Parameters!A833</f>
        <v>0</v>
      </c>
      <c r="B1664" s="23">
        <f>Parameters!B833</f>
        <v>0</v>
      </c>
      <c r="C1664" s="24">
        <f>Parameters!C833</f>
        <v>0</v>
      </c>
      <c r="D1664" s="24">
        <f>Parameters!D833</f>
        <v>0</v>
      </c>
      <c r="E1664" s="23">
        <f>Parameters!E833</f>
        <v>0</v>
      </c>
      <c r="F1664" s="23">
        <f>Parameters!F833</f>
        <v>0</v>
      </c>
      <c r="G1664" s="25">
        <f>Parameters!G833</f>
        <v>0</v>
      </c>
      <c r="H1664" s="25">
        <f>Parameters!H833</f>
        <v>0</v>
      </c>
      <c r="I1664" s="25">
        <f>Parameters!I833</f>
        <v>0</v>
      </c>
      <c r="J1664" s="25">
        <f>Parameters!J833</f>
        <v>0</v>
      </c>
      <c r="K1664" s="25">
        <f>Parameters!K833</f>
        <v>0</v>
      </c>
      <c r="L1664" s="26" t="e">
        <f t="shared" ref="L1664" si="2490">L1665</f>
        <v>#DIV/0!</v>
      </c>
      <c r="M1664" s="25">
        <f>Parameters!L833</f>
        <v>0</v>
      </c>
      <c r="N1664" s="25">
        <f>Parameters!M833</f>
        <v>0</v>
      </c>
      <c r="O1664" s="26" t="e">
        <f t="shared" ref="O1664" si="2491">O1665</f>
        <v>#DIV/0!</v>
      </c>
      <c r="P1664" s="23">
        <f>Parameters!N833</f>
        <v>0</v>
      </c>
      <c r="Q1664" s="23">
        <f>Parameters!O833</f>
        <v>0</v>
      </c>
      <c r="R1664" s="23">
        <f>Parameters!P833</f>
        <v>0</v>
      </c>
      <c r="S1664" s="23">
        <f>Parameters!Q833</f>
        <v>0</v>
      </c>
      <c r="T1664" s="23">
        <f>Parameters!R833</f>
        <v>0</v>
      </c>
      <c r="U1664" s="27">
        <f>Parameters!S833</f>
        <v>0</v>
      </c>
      <c r="V1664" s="28">
        <f>Parameters!T833</f>
        <v>0</v>
      </c>
      <c r="W1664" s="27">
        <f>Parameters!U833</f>
        <v>0</v>
      </c>
      <c r="X1664" s="28">
        <f>Parameters!V833</f>
        <v>0</v>
      </c>
      <c r="Y1664" s="25">
        <f>Parameters!W833</f>
        <v>0</v>
      </c>
      <c r="Z1664" s="23">
        <f>Parameters!X833</f>
        <v>0</v>
      </c>
      <c r="AA1664" s="27">
        <f>Parameters!Y833</f>
        <v>0</v>
      </c>
      <c r="AB1664" s="28">
        <f>Parameters!Z833</f>
        <v>0</v>
      </c>
      <c r="AC1664" s="23">
        <f>Parameters!AA833</f>
        <v>0</v>
      </c>
    </row>
    <row r="1665" spans="1:29">
      <c r="A1665" s="29" t="str">
        <f>UPPER(A1664)</f>
        <v>0</v>
      </c>
      <c r="B1665" s="29">
        <f>B1664</f>
        <v>0</v>
      </c>
      <c r="C1665" s="30">
        <f>C1664</f>
        <v>0</v>
      </c>
      <c r="D1665" s="30">
        <f>D1664</f>
        <v>0</v>
      </c>
      <c r="E1665" s="29">
        <f>E1664</f>
        <v>0</v>
      </c>
      <c r="F1665" s="29">
        <f>F1664</f>
        <v>0</v>
      </c>
      <c r="G1665" s="29" t="e">
        <f>IF(C1664=1,IF(D1664="BUY",E1664+(ROUND(F1664*G1664/B1664,0)*B1664),E1664-(ROUND(F1664*G1664/B1664,0)*B1664)),IF(D1664="BUY",E1664-(ROUND(F1664*G1664/B1664,0)*B1664),E1664+(ROUND(F1664*G1664/B1664,0)*B1664)))</f>
        <v>#DIV/0!</v>
      </c>
      <c r="H1665" s="29" t="e">
        <f>IF(C1664=1,IF(D1664="BUY",G1665-(ROUND(F1664*H1664/B1664,0)*B1664),G1665+(ROUND(F1664*H1664/B1664,0)*B1664)),IF(D1664="BUY",G1665+(ROUND(F1664*H1664/B1664,0)*B1664),G1665-(ROUND(F1664*H1664/B1664,0)*B1664)))</f>
        <v>#DIV/0!</v>
      </c>
      <c r="I1665" s="29" t="e">
        <f>IF(D1664="BUY",G1665+(ROUND(F1664*I1664/(B1664*100),0)*B1664),G1665-(ROUND(F1664*I1664/(B1664*100),0)*B1664))</f>
        <v>#DIV/0!</v>
      </c>
      <c r="J1665" s="29" t="e">
        <f>IF(C1664=1,IF(D1664="BUY",E1664+(ROUND(F1664*J1664/B1664,0)*B1664),E1664-(ROUND(F1664*J1664/B1664,0)*B1664)),IF(D1664="BUY",E1664-(ROUND(F1664*J1664/B1664,0)*B1664),E1664+(ROUND(F1664*J1664/B1664,0)*B1664)))</f>
        <v>#DIV/0!</v>
      </c>
      <c r="K1665" s="29" t="e">
        <f>IF(C1664=1,IF(D1664="BUY",E1664-(ROUND(F1664*K1664/B1664,0)*B1664),E1664+(ROUND(F1664*K1664/B1664,0)*B1664)),IF(D1664="BUY",E1664-(ROUND(F1664*K1664/B1664,0)*B1664),E1664+(ROUND(F1664*K1664/B1664,0)*B1664)))</f>
        <v>#DIV/0!</v>
      </c>
      <c r="L1665" s="29" t="e">
        <f t="shared" ref="L1665" si="2492">IF(D1665="BUY",I1665+(R1665*B1665),I1665-(R1665*B1665))</f>
        <v>#DIV/0!</v>
      </c>
      <c r="M1665" s="29" t="e">
        <f>IF(D1664="BUY",E1664+(ROUND(F1664*M1664/B1664,0)*B1664),E1664-(ROUND(F1664*M1664/B1664,0)*B1664))</f>
        <v>#DIV/0!</v>
      </c>
      <c r="N1665" s="29" t="e">
        <f>IF(D1664="BUY",E1664-(ROUND(F1664*N1664/B1664,0)*B1664),E1664+(ROUND(F1664*N1664/B1664,0)*B1664))</f>
        <v>#DIV/0!</v>
      </c>
      <c r="O1665" s="31" t="e">
        <f>IF(D1665="BUY",N1665-VLOOKUP(A1665,Symbols!A$1:D$1000,4,FALSE),N1665+VLOOKUP(A1665,Symbols!A$1:D$1000,4,FALSE))</f>
        <v>#DIV/0!</v>
      </c>
      <c r="P1665" s="29">
        <f>P1664</f>
        <v>0</v>
      </c>
      <c r="Q1665" s="29">
        <f>Q1664</f>
        <v>0</v>
      </c>
      <c r="R1665" s="29">
        <f>R1664</f>
        <v>0</v>
      </c>
      <c r="S1665" s="29">
        <f>S1664</f>
        <v>0</v>
      </c>
      <c r="T1665" s="29">
        <f>T1664</f>
        <v>0</v>
      </c>
      <c r="U1665" s="29" t="e">
        <f>DATEDIF(DATE(1970,1,1),U1664,"D")*86400</f>
        <v>#NUM!</v>
      </c>
      <c r="V1665" s="29">
        <f>HOUR(V1664)*3600+MINUTE(V1664)*60+SECOND(V1664)</f>
        <v>0</v>
      </c>
      <c r="W1665" s="29" t="e">
        <f>DATEDIF(DATE(1970,1,1),W1664,"D")*86400</f>
        <v>#NUM!</v>
      </c>
      <c r="X1665" s="29">
        <f>HOUR(X1664)*3600+MINUTE(X1664)*60+SECOND(X1664)</f>
        <v>0</v>
      </c>
      <c r="Y1665" s="31">
        <f>(Y1664*B1665)</f>
        <v>0</v>
      </c>
      <c r="Z1665" s="29">
        <f>Z1664</f>
        <v>0</v>
      </c>
      <c r="AA1665" s="29" t="e">
        <f>DATEDIF(DATE(1970,1,1),AA1664,"D")*86400</f>
        <v>#NUM!</v>
      </c>
      <c r="AB1665" s="29">
        <f>HOUR(AB1664)*3600+MINUTE(AB1664)*60+SECOND(AB1664)</f>
        <v>0</v>
      </c>
      <c r="AC1665" s="29">
        <f>AC1664</f>
        <v>0</v>
      </c>
    </row>
    <row r="1666" spans="1:29">
      <c r="A1666" s="23">
        <f>Parameters!A834</f>
        <v>0</v>
      </c>
      <c r="B1666" s="23">
        <f>Parameters!B834</f>
        <v>0</v>
      </c>
      <c r="C1666" s="24">
        <f>Parameters!C834</f>
        <v>0</v>
      </c>
      <c r="D1666" s="24">
        <f>Parameters!D834</f>
        <v>0</v>
      </c>
      <c r="E1666" s="23">
        <f>Parameters!E834</f>
        <v>0</v>
      </c>
      <c r="F1666" s="23">
        <f>Parameters!F834</f>
        <v>0</v>
      </c>
      <c r="G1666" s="25">
        <f>Parameters!G834</f>
        <v>0</v>
      </c>
      <c r="H1666" s="25">
        <f>Parameters!H834</f>
        <v>0</v>
      </c>
      <c r="I1666" s="25">
        <f>Parameters!I834</f>
        <v>0</v>
      </c>
      <c r="J1666" s="25">
        <f>Parameters!J834</f>
        <v>0</v>
      </c>
      <c r="K1666" s="25">
        <f>Parameters!K834</f>
        <v>0</v>
      </c>
      <c r="L1666" s="26" t="e">
        <f t="shared" ref="L1666" si="2493">L1667</f>
        <v>#DIV/0!</v>
      </c>
      <c r="M1666" s="25">
        <f>Parameters!L834</f>
        <v>0</v>
      </c>
      <c r="N1666" s="25">
        <f>Parameters!M834</f>
        <v>0</v>
      </c>
      <c r="O1666" s="26" t="e">
        <f t="shared" ref="O1666" si="2494">O1667</f>
        <v>#DIV/0!</v>
      </c>
      <c r="P1666" s="23">
        <f>Parameters!N834</f>
        <v>0</v>
      </c>
      <c r="Q1666" s="23">
        <f>Parameters!O834</f>
        <v>0</v>
      </c>
      <c r="R1666" s="23">
        <f>Parameters!P834</f>
        <v>0</v>
      </c>
      <c r="S1666" s="23">
        <f>Parameters!Q834</f>
        <v>0</v>
      </c>
      <c r="T1666" s="23">
        <f>Parameters!R834</f>
        <v>0</v>
      </c>
      <c r="U1666" s="27">
        <f>Parameters!S834</f>
        <v>0</v>
      </c>
      <c r="V1666" s="28">
        <f>Parameters!T834</f>
        <v>0</v>
      </c>
      <c r="W1666" s="27">
        <f>Parameters!U834</f>
        <v>0</v>
      </c>
      <c r="X1666" s="28">
        <f>Parameters!V834</f>
        <v>0</v>
      </c>
      <c r="Y1666" s="25">
        <f>Parameters!W834</f>
        <v>0</v>
      </c>
      <c r="Z1666" s="23">
        <f>Parameters!X834</f>
        <v>0</v>
      </c>
      <c r="AA1666" s="27">
        <f>Parameters!Y834</f>
        <v>0</v>
      </c>
      <c r="AB1666" s="28">
        <f>Parameters!Z834</f>
        <v>0</v>
      </c>
      <c r="AC1666" s="23">
        <f>Parameters!AA834</f>
        <v>0</v>
      </c>
    </row>
    <row r="1667" spans="1:29">
      <c r="A1667" s="29" t="str">
        <f>UPPER(A1666)</f>
        <v>0</v>
      </c>
      <c r="B1667" s="29">
        <f>B1666</f>
        <v>0</v>
      </c>
      <c r="C1667" s="30">
        <f>C1666</f>
        <v>0</v>
      </c>
      <c r="D1667" s="30">
        <f>D1666</f>
        <v>0</v>
      </c>
      <c r="E1667" s="29">
        <f>E1666</f>
        <v>0</v>
      </c>
      <c r="F1667" s="29">
        <f>F1666</f>
        <v>0</v>
      </c>
      <c r="G1667" s="29" t="e">
        <f>IF(C1666=1,IF(D1666="BUY",E1666+(ROUND(F1666*G1666/B1666,0)*B1666),E1666-(ROUND(F1666*G1666/B1666,0)*B1666)),IF(D1666="BUY",E1666-(ROUND(F1666*G1666/B1666,0)*B1666),E1666+(ROUND(F1666*G1666/B1666,0)*B1666)))</f>
        <v>#DIV/0!</v>
      </c>
      <c r="H1667" s="29" t="e">
        <f>IF(C1666=1,IF(D1666="BUY",G1667-(ROUND(F1666*H1666/B1666,0)*B1666),G1667+(ROUND(F1666*H1666/B1666,0)*B1666)),IF(D1666="BUY",G1667+(ROUND(F1666*H1666/B1666,0)*B1666),G1667-(ROUND(F1666*H1666/B1666,0)*B1666)))</f>
        <v>#DIV/0!</v>
      </c>
      <c r="I1667" s="29" t="e">
        <f>IF(D1666="BUY",G1667+(ROUND(F1666*I1666/(B1666*100),0)*B1666),G1667-(ROUND(F1666*I1666/(B1666*100),0)*B1666))</f>
        <v>#DIV/0!</v>
      </c>
      <c r="J1667" s="29" t="e">
        <f>IF(C1666=1,IF(D1666="BUY",E1666+(ROUND(F1666*J1666/B1666,0)*B1666),E1666-(ROUND(F1666*J1666/B1666,0)*B1666)),IF(D1666="BUY",E1666-(ROUND(F1666*J1666/B1666,0)*B1666),E1666+(ROUND(F1666*J1666/B1666,0)*B1666)))</f>
        <v>#DIV/0!</v>
      </c>
      <c r="K1667" s="29" t="e">
        <f>IF(C1666=1,IF(D1666="BUY",E1666-(ROUND(F1666*K1666/B1666,0)*B1666),E1666+(ROUND(F1666*K1666/B1666,0)*B1666)),IF(D1666="BUY",E1666-(ROUND(F1666*K1666/B1666,0)*B1666),E1666+(ROUND(F1666*K1666/B1666,0)*B1666)))</f>
        <v>#DIV/0!</v>
      </c>
      <c r="L1667" s="29" t="e">
        <f t="shared" ref="L1667" si="2495">IF(D1667="BUY",I1667+(R1667*B1667),I1667-(R1667*B1667))</f>
        <v>#DIV/0!</v>
      </c>
      <c r="M1667" s="29" t="e">
        <f>IF(D1666="BUY",E1666+(ROUND(F1666*M1666/B1666,0)*B1666),E1666-(ROUND(F1666*M1666/B1666,0)*B1666))</f>
        <v>#DIV/0!</v>
      </c>
      <c r="N1667" s="29" t="e">
        <f>IF(D1666="BUY",E1666-(ROUND(F1666*N1666/B1666,0)*B1666),E1666+(ROUND(F1666*N1666/B1666,0)*B1666))</f>
        <v>#DIV/0!</v>
      </c>
      <c r="O1667" s="31" t="e">
        <f>IF(D1667="BUY",N1667-VLOOKUP(A1667,Symbols!A$1:D$1000,4,FALSE),N1667+VLOOKUP(A1667,Symbols!A$1:D$1000,4,FALSE))</f>
        <v>#DIV/0!</v>
      </c>
      <c r="P1667" s="29">
        <f>P1666</f>
        <v>0</v>
      </c>
      <c r="Q1667" s="29">
        <f>Q1666</f>
        <v>0</v>
      </c>
      <c r="R1667" s="29">
        <f>R1666</f>
        <v>0</v>
      </c>
      <c r="S1667" s="29">
        <f>S1666</f>
        <v>0</v>
      </c>
      <c r="T1667" s="29">
        <f>T1666</f>
        <v>0</v>
      </c>
      <c r="U1667" s="29" t="e">
        <f>DATEDIF(DATE(1970,1,1),U1666,"D")*86400</f>
        <v>#NUM!</v>
      </c>
      <c r="V1667" s="29">
        <f>HOUR(V1666)*3600+MINUTE(V1666)*60+SECOND(V1666)</f>
        <v>0</v>
      </c>
      <c r="W1667" s="29" t="e">
        <f>DATEDIF(DATE(1970,1,1),W1666,"D")*86400</f>
        <v>#NUM!</v>
      </c>
      <c r="X1667" s="29">
        <f>HOUR(X1666)*3600+MINUTE(X1666)*60+SECOND(X1666)</f>
        <v>0</v>
      </c>
      <c r="Y1667" s="31">
        <f>(Y1666*B1667)</f>
        <v>0</v>
      </c>
      <c r="Z1667" s="29">
        <f>Z1666</f>
        <v>0</v>
      </c>
      <c r="AA1667" s="29" t="e">
        <f>DATEDIF(DATE(1970,1,1),AA1666,"D")*86400</f>
        <v>#NUM!</v>
      </c>
      <c r="AB1667" s="29">
        <f>HOUR(AB1666)*3600+MINUTE(AB1666)*60+SECOND(AB1666)</f>
        <v>0</v>
      </c>
      <c r="AC1667" s="29">
        <f>AC1666</f>
        <v>0</v>
      </c>
    </row>
    <row r="1668" spans="1:29">
      <c r="A1668" s="23">
        <f>Parameters!A835</f>
        <v>0</v>
      </c>
      <c r="B1668" s="23">
        <f>Parameters!B835</f>
        <v>0</v>
      </c>
      <c r="C1668" s="24">
        <f>Parameters!C835</f>
        <v>0</v>
      </c>
      <c r="D1668" s="24">
        <f>Parameters!D835</f>
        <v>0</v>
      </c>
      <c r="E1668" s="23">
        <f>Parameters!E835</f>
        <v>0</v>
      </c>
      <c r="F1668" s="23">
        <f>Parameters!F835</f>
        <v>0</v>
      </c>
      <c r="G1668" s="25">
        <f>Parameters!G835</f>
        <v>0</v>
      </c>
      <c r="H1668" s="25">
        <f>Parameters!H835</f>
        <v>0</v>
      </c>
      <c r="I1668" s="25">
        <f>Parameters!I835</f>
        <v>0</v>
      </c>
      <c r="J1668" s="25">
        <f>Parameters!J835</f>
        <v>0</v>
      </c>
      <c r="K1668" s="25">
        <f>Parameters!K835</f>
        <v>0</v>
      </c>
      <c r="L1668" s="26" t="e">
        <f t="shared" ref="L1668" si="2496">L1669</f>
        <v>#DIV/0!</v>
      </c>
      <c r="M1668" s="25">
        <f>Parameters!L835</f>
        <v>0</v>
      </c>
      <c r="N1668" s="25">
        <f>Parameters!M835</f>
        <v>0</v>
      </c>
      <c r="O1668" s="26" t="e">
        <f t="shared" ref="O1668" si="2497">O1669</f>
        <v>#DIV/0!</v>
      </c>
      <c r="P1668" s="23">
        <f>Parameters!N835</f>
        <v>0</v>
      </c>
      <c r="Q1668" s="23">
        <f>Parameters!O835</f>
        <v>0</v>
      </c>
      <c r="R1668" s="23">
        <f>Parameters!P835</f>
        <v>0</v>
      </c>
      <c r="S1668" s="23">
        <f>Parameters!Q835</f>
        <v>0</v>
      </c>
      <c r="T1668" s="23">
        <f>Parameters!R835</f>
        <v>0</v>
      </c>
      <c r="U1668" s="27">
        <f>Parameters!S835</f>
        <v>0</v>
      </c>
      <c r="V1668" s="28">
        <f>Parameters!T835</f>
        <v>0</v>
      </c>
      <c r="W1668" s="27">
        <f>Parameters!U835</f>
        <v>0</v>
      </c>
      <c r="X1668" s="28">
        <f>Parameters!V835</f>
        <v>0</v>
      </c>
      <c r="Y1668" s="25">
        <f>Parameters!W835</f>
        <v>0</v>
      </c>
      <c r="Z1668" s="23">
        <f>Parameters!X835</f>
        <v>0</v>
      </c>
      <c r="AA1668" s="27">
        <f>Parameters!Y835</f>
        <v>0</v>
      </c>
      <c r="AB1668" s="28">
        <f>Parameters!Z835</f>
        <v>0</v>
      </c>
      <c r="AC1668" s="23">
        <f>Parameters!AA835</f>
        <v>0</v>
      </c>
    </row>
    <row r="1669" spans="1:29">
      <c r="A1669" s="29" t="str">
        <f>UPPER(A1668)</f>
        <v>0</v>
      </c>
      <c r="B1669" s="29">
        <f>B1668</f>
        <v>0</v>
      </c>
      <c r="C1669" s="30">
        <f>C1668</f>
        <v>0</v>
      </c>
      <c r="D1669" s="30">
        <f>D1668</f>
        <v>0</v>
      </c>
      <c r="E1669" s="29">
        <f>E1668</f>
        <v>0</v>
      </c>
      <c r="F1669" s="29">
        <f>F1668</f>
        <v>0</v>
      </c>
      <c r="G1669" s="29" t="e">
        <f>IF(C1668=1,IF(D1668="BUY",E1668+(ROUND(F1668*G1668/B1668,0)*B1668),E1668-(ROUND(F1668*G1668/B1668,0)*B1668)),IF(D1668="BUY",E1668-(ROUND(F1668*G1668/B1668,0)*B1668),E1668+(ROUND(F1668*G1668/B1668,0)*B1668)))</f>
        <v>#DIV/0!</v>
      </c>
      <c r="H1669" s="29" t="e">
        <f>IF(C1668=1,IF(D1668="BUY",G1669-(ROUND(F1668*H1668/B1668,0)*B1668),G1669+(ROUND(F1668*H1668/B1668,0)*B1668)),IF(D1668="BUY",G1669+(ROUND(F1668*H1668/B1668,0)*B1668),G1669-(ROUND(F1668*H1668/B1668,0)*B1668)))</f>
        <v>#DIV/0!</v>
      </c>
      <c r="I1669" s="29" t="e">
        <f>IF(D1668="BUY",G1669+(ROUND(F1668*I1668/(B1668*100),0)*B1668),G1669-(ROUND(F1668*I1668/(B1668*100),0)*B1668))</f>
        <v>#DIV/0!</v>
      </c>
      <c r="J1669" s="29" t="e">
        <f>IF(C1668=1,IF(D1668="BUY",E1668+(ROUND(F1668*J1668/B1668,0)*B1668),E1668-(ROUND(F1668*J1668/B1668,0)*B1668)),IF(D1668="BUY",E1668-(ROUND(F1668*J1668/B1668,0)*B1668),E1668+(ROUND(F1668*J1668/B1668,0)*B1668)))</f>
        <v>#DIV/0!</v>
      </c>
      <c r="K1669" s="29" t="e">
        <f>IF(C1668=1,IF(D1668="BUY",E1668-(ROUND(F1668*K1668/B1668,0)*B1668),E1668+(ROUND(F1668*K1668/B1668,0)*B1668)),IF(D1668="BUY",E1668-(ROUND(F1668*K1668/B1668,0)*B1668),E1668+(ROUND(F1668*K1668/B1668,0)*B1668)))</f>
        <v>#DIV/0!</v>
      </c>
      <c r="L1669" s="29" t="e">
        <f t="shared" ref="L1669" si="2498">IF(D1669="BUY",I1669+(R1669*B1669),I1669-(R1669*B1669))</f>
        <v>#DIV/0!</v>
      </c>
      <c r="M1669" s="29" t="e">
        <f>IF(D1668="BUY",E1668+(ROUND(F1668*M1668/B1668,0)*B1668),E1668-(ROUND(F1668*M1668/B1668,0)*B1668))</f>
        <v>#DIV/0!</v>
      </c>
      <c r="N1669" s="29" t="e">
        <f>IF(D1668="BUY",E1668-(ROUND(F1668*N1668/B1668,0)*B1668),E1668+(ROUND(F1668*N1668/B1668,0)*B1668))</f>
        <v>#DIV/0!</v>
      </c>
      <c r="O1669" s="31" t="e">
        <f>IF(D1669="BUY",N1669-VLOOKUP(A1669,Symbols!A$1:D$1000,4,FALSE),N1669+VLOOKUP(A1669,Symbols!A$1:D$1000,4,FALSE))</f>
        <v>#DIV/0!</v>
      </c>
      <c r="P1669" s="29">
        <f>P1668</f>
        <v>0</v>
      </c>
      <c r="Q1669" s="29">
        <f>Q1668</f>
        <v>0</v>
      </c>
      <c r="R1669" s="29">
        <f>R1668</f>
        <v>0</v>
      </c>
      <c r="S1669" s="29">
        <f>S1668</f>
        <v>0</v>
      </c>
      <c r="T1669" s="29">
        <f>T1668</f>
        <v>0</v>
      </c>
      <c r="U1669" s="29" t="e">
        <f>DATEDIF(DATE(1970,1,1),U1668,"D")*86400</f>
        <v>#NUM!</v>
      </c>
      <c r="V1669" s="29">
        <f>HOUR(V1668)*3600+MINUTE(V1668)*60+SECOND(V1668)</f>
        <v>0</v>
      </c>
      <c r="W1669" s="29" t="e">
        <f>DATEDIF(DATE(1970,1,1),W1668,"D")*86400</f>
        <v>#NUM!</v>
      </c>
      <c r="X1669" s="29">
        <f>HOUR(X1668)*3600+MINUTE(X1668)*60+SECOND(X1668)</f>
        <v>0</v>
      </c>
      <c r="Y1669" s="31">
        <f>(Y1668*B1669)</f>
        <v>0</v>
      </c>
      <c r="Z1669" s="29">
        <f>Z1668</f>
        <v>0</v>
      </c>
      <c r="AA1669" s="29" t="e">
        <f>DATEDIF(DATE(1970,1,1),AA1668,"D")*86400</f>
        <v>#NUM!</v>
      </c>
      <c r="AB1669" s="29">
        <f>HOUR(AB1668)*3600+MINUTE(AB1668)*60+SECOND(AB1668)</f>
        <v>0</v>
      </c>
      <c r="AC1669" s="29">
        <f>AC1668</f>
        <v>0</v>
      </c>
    </row>
    <row r="1670" spans="1:29">
      <c r="A1670" s="23">
        <f>Parameters!A836</f>
        <v>0</v>
      </c>
      <c r="B1670" s="23">
        <f>Parameters!B836</f>
        <v>0</v>
      </c>
      <c r="C1670" s="24">
        <f>Parameters!C836</f>
        <v>0</v>
      </c>
      <c r="D1670" s="24">
        <f>Parameters!D836</f>
        <v>0</v>
      </c>
      <c r="E1670" s="23">
        <f>Parameters!E836</f>
        <v>0</v>
      </c>
      <c r="F1670" s="23">
        <f>Parameters!F836</f>
        <v>0</v>
      </c>
      <c r="G1670" s="25">
        <f>Parameters!G836</f>
        <v>0</v>
      </c>
      <c r="H1670" s="25">
        <f>Parameters!H836</f>
        <v>0</v>
      </c>
      <c r="I1670" s="25">
        <f>Parameters!I836</f>
        <v>0</v>
      </c>
      <c r="J1670" s="25">
        <f>Parameters!J836</f>
        <v>0</v>
      </c>
      <c r="K1670" s="25">
        <f>Parameters!K836</f>
        <v>0</v>
      </c>
      <c r="L1670" s="26" t="e">
        <f t="shared" ref="L1670" si="2499">L1671</f>
        <v>#DIV/0!</v>
      </c>
      <c r="M1670" s="25">
        <f>Parameters!L836</f>
        <v>0</v>
      </c>
      <c r="N1670" s="25">
        <f>Parameters!M836</f>
        <v>0</v>
      </c>
      <c r="O1670" s="26" t="e">
        <f t="shared" ref="O1670" si="2500">O1671</f>
        <v>#DIV/0!</v>
      </c>
      <c r="P1670" s="23">
        <f>Parameters!N836</f>
        <v>0</v>
      </c>
      <c r="Q1670" s="23">
        <f>Parameters!O836</f>
        <v>0</v>
      </c>
      <c r="R1670" s="23">
        <f>Parameters!P836</f>
        <v>0</v>
      </c>
      <c r="S1670" s="23">
        <f>Parameters!Q836</f>
        <v>0</v>
      </c>
      <c r="T1670" s="23">
        <f>Parameters!R836</f>
        <v>0</v>
      </c>
      <c r="U1670" s="27">
        <f>Parameters!S836</f>
        <v>0</v>
      </c>
      <c r="V1670" s="28">
        <f>Parameters!T836</f>
        <v>0</v>
      </c>
      <c r="W1670" s="27">
        <f>Parameters!U836</f>
        <v>0</v>
      </c>
      <c r="X1670" s="28">
        <f>Parameters!V836</f>
        <v>0</v>
      </c>
      <c r="Y1670" s="25">
        <f>Parameters!W836</f>
        <v>0</v>
      </c>
      <c r="Z1670" s="23">
        <f>Parameters!X836</f>
        <v>0</v>
      </c>
      <c r="AA1670" s="27">
        <f>Parameters!Y836</f>
        <v>0</v>
      </c>
      <c r="AB1670" s="28">
        <f>Parameters!Z836</f>
        <v>0</v>
      </c>
      <c r="AC1670" s="23">
        <f>Parameters!AA836</f>
        <v>0</v>
      </c>
    </row>
    <row r="1671" spans="1:29">
      <c r="A1671" s="29" t="str">
        <f>UPPER(A1670)</f>
        <v>0</v>
      </c>
      <c r="B1671" s="29">
        <f>B1670</f>
        <v>0</v>
      </c>
      <c r="C1671" s="30">
        <f>C1670</f>
        <v>0</v>
      </c>
      <c r="D1671" s="30">
        <f>D1670</f>
        <v>0</v>
      </c>
      <c r="E1671" s="29">
        <f>E1670</f>
        <v>0</v>
      </c>
      <c r="F1671" s="29">
        <f>F1670</f>
        <v>0</v>
      </c>
      <c r="G1671" s="29" t="e">
        <f>IF(C1670=1,IF(D1670="BUY",E1670+(ROUND(F1670*G1670/B1670,0)*B1670),E1670-(ROUND(F1670*G1670/B1670,0)*B1670)),IF(D1670="BUY",E1670-(ROUND(F1670*G1670/B1670,0)*B1670),E1670+(ROUND(F1670*G1670/B1670,0)*B1670)))</f>
        <v>#DIV/0!</v>
      </c>
      <c r="H1671" s="29" t="e">
        <f>IF(C1670=1,IF(D1670="BUY",G1671-(ROUND(F1670*H1670/B1670,0)*B1670),G1671+(ROUND(F1670*H1670/B1670,0)*B1670)),IF(D1670="BUY",G1671+(ROUND(F1670*H1670/B1670,0)*B1670),G1671-(ROUND(F1670*H1670/B1670,0)*B1670)))</f>
        <v>#DIV/0!</v>
      </c>
      <c r="I1671" s="29" t="e">
        <f>IF(D1670="BUY",G1671+(ROUND(F1670*I1670/(B1670*100),0)*B1670),G1671-(ROUND(F1670*I1670/(B1670*100),0)*B1670))</f>
        <v>#DIV/0!</v>
      </c>
      <c r="J1671" s="29" t="e">
        <f>IF(C1670=1,IF(D1670="BUY",E1670+(ROUND(F1670*J1670/B1670,0)*B1670),E1670-(ROUND(F1670*J1670/B1670,0)*B1670)),IF(D1670="BUY",E1670-(ROUND(F1670*J1670/B1670,0)*B1670),E1670+(ROUND(F1670*J1670/B1670,0)*B1670)))</f>
        <v>#DIV/0!</v>
      </c>
      <c r="K1671" s="29" t="e">
        <f>IF(C1670=1,IF(D1670="BUY",E1670-(ROUND(F1670*K1670/B1670,0)*B1670),E1670+(ROUND(F1670*K1670/B1670,0)*B1670)),IF(D1670="BUY",E1670-(ROUND(F1670*K1670/B1670,0)*B1670),E1670+(ROUND(F1670*K1670/B1670,0)*B1670)))</f>
        <v>#DIV/0!</v>
      </c>
      <c r="L1671" s="29" t="e">
        <f t="shared" ref="L1671" si="2501">IF(D1671="BUY",I1671+(R1671*B1671),I1671-(R1671*B1671))</f>
        <v>#DIV/0!</v>
      </c>
      <c r="M1671" s="29" t="e">
        <f>IF(D1670="BUY",E1670+(ROUND(F1670*M1670/B1670,0)*B1670),E1670-(ROUND(F1670*M1670/B1670,0)*B1670))</f>
        <v>#DIV/0!</v>
      </c>
      <c r="N1671" s="29" t="e">
        <f>IF(D1670="BUY",E1670-(ROUND(F1670*N1670/B1670,0)*B1670),E1670+(ROUND(F1670*N1670/B1670,0)*B1670))</f>
        <v>#DIV/0!</v>
      </c>
      <c r="O1671" s="31" t="e">
        <f>IF(D1671="BUY",N1671-VLOOKUP(A1671,Symbols!A$1:D$1000,4,FALSE),N1671+VLOOKUP(A1671,Symbols!A$1:D$1000,4,FALSE))</f>
        <v>#DIV/0!</v>
      </c>
      <c r="P1671" s="29">
        <f>P1670</f>
        <v>0</v>
      </c>
      <c r="Q1671" s="29">
        <f>Q1670</f>
        <v>0</v>
      </c>
      <c r="R1671" s="29">
        <f>R1670</f>
        <v>0</v>
      </c>
      <c r="S1671" s="29">
        <f>S1670</f>
        <v>0</v>
      </c>
      <c r="T1671" s="29">
        <f>T1670</f>
        <v>0</v>
      </c>
      <c r="U1671" s="29" t="e">
        <f>DATEDIF(DATE(1970,1,1),U1670,"D")*86400</f>
        <v>#NUM!</v>
      </c>
      <c r="V1671" s="29">
        <f>HOUR(V1670)*3600+MINUTE(V1670)*60+SECOND(V1670)</f>
        <v>0</v>
      </c>
      <c r="W1671" s="29" t="e">
        <f>DATEDIF(DATE(1970,1,1),W1670,"D")*86400</f>
        <v>#NUM!</v>
      </c>
      <c r="X1671" s="29">
        <f>HOUR(X1670)*3600+MINUTE(X1670)*60+SECOND(X1670)</f>
        <v>0</v>
      </c>
      <c r="Y1671" s="31">
        <f>(Y1670*B1671)</f>
        <v>0</v>
      </c>
      <c r="Z1671" s="29">
        <f>Z1670</f>
        <v>0</v>
      </c>
      <c r="AA1671" s="29" t="e">
        <f>DATEDIF(DATE(1970,1,1),AA1670,"D")*86400</f>
        <v>#NUM!</v>
      </c>
      <c r="AB1671" s="29">
        <f>HOUR(AB1670)*3600+MINUTE(AB1670)*60+SECOND(AB1670)</f>
        <v>0</v>
      </c>
      <c r="AC1671" s="29">
        <f>AC1670</f>
        <v>0</v>
      </c>
    </row>
    <row r="1672" spans="1:29">
      <c r="A1672" s="23">
        <f>Parameters!A837</f>
        <v>0</v>
      </c>
      <c r="B1672" s="23">
        <f>Parameters!B837</f>
        <v>0</v>
      </c>
      <c r="C1672" s="24">
        <f>Parameters!C837</f>
        <v>0</v>
      </c>
      <c r="D1672" s="24">
        <f>Parameters!D837</f>
        <v>0</v>
      </c>
      <c r="E1672" s="23">
        <f>Parameters!E837</f>
        <v>0</v>
      </c>
      <c r="F1672" s="23">
        <f>Parameters!F837</f>
        <v>0</v>
      </c>
      <c r="G1672" s="25">
        <f>Parameters!G837</f>
        <v>0</v>
      </c>
      <c r="H1672" s="25">
        <f>Parameters!H837</f>
        <v>0</v>
      </c>
      <c r="I1672" s="25">
        <f>Parameters!I837</f>
        <v>0</v>
      </c>
      <c r="J1672" s="25">
        <f>Parameters!J837</f>
        <v>0</v>
      </c>
      <c r="K1672" s="25">
        <f>Parameters!K837</f>
        <v>0</v>
      </c>
      <c r="L1672" s="26" t="e">
        <f t="shared" ref="L1672" si="2502">L1673</f>
        <v>#DIV/0!</v>
      </c>
      <c r="M1672" s="25">
        <f>Parameters!L837</f>
        <v>0</v>
      </c>
      <c r="N1672" s="25">
        <f>Parameters!M837</f>
        <v>0</v>
      </c>
      <c r="O1672" s="26" t="e">
        <f t="shared" ref="O1672" si="2503">O1673</f>
        <v>#DIV/0!</v>
      </c>
      <c r="P1672" s="23">
        <f>Parameters!N837</f>
        <v>0</v>
      </c>
      <c r="Q1672" s="23">
        <f>Parameters!O837</f>
        <v>0</v>
      </c>
      <c r="R1672" s="23">
        <f>Parameters!P837</f>
        <v>0</v>
      </c>
      <c r="S1672" s="23">
        <f>Parameters!Q837</f>
        <v>0</v>
      </c>
      <c r="T1672" s="23">
        <f>Parameters!R837</f>
        <v>0</v>
      </c>
      <c r="U1672" s="27">
        <f>Parameters!S837</f>
        <v>0</v>
      </c>
      <c r="V1672" s="28">
        <f>Parameters!T837</f>
        <v>0</v>
      </c>
      <c r="W1672" s="27">
        <f>Parameters!U837</f>
        <v>0</v>
      </c>
      <c r="X1672" s="28">
        <f>Parameters!V837</f>
        <v>0</v>
      </c>
      <c r="Y1672" s="25">
        <f>Parameters!W837</f>
        <v>0</v>
      </c>
      <c r="Z1672" s="23">
        <f>Parameters!X837</f>
        <v>0</v>
      </c>
      <c r="AA1672" s="27">
        <f>Parameters!Y837</f>
        <v>0</v>
      </c>
      <c r="AB1672" s="28">
        <f>Parameters!Z837</f>
        <v>0</v>
      </c>
      <c r="AC1672" s="23">
        <f>Parameters!AA837</f>
        <v>0</v>
      </c>
    </row>
    <row r="1673" spans="1:29">
      <c r="A1673" s="29" t="str">
        <f>UPPER(A1672)</f>
        <v>0</v>
      </c>
      <c r="B1673" s="29">
        <f>B1672</f>
        <v>0</v>
      </c>
      <c r="C1673" s="30">
        <f>C1672</f>
        <v>0</v>
      </c>
      <c r="D1673" s="30">
        <f>D1672</f>
        <v>0</v>
      </c>
      <c r="E1673" s="29">
        <f>E1672</f>
        <v>0</v>
      </c>
      <c r="F1673" s="29">
        <f>F1672</f>
        <v>0</v>
      </c>
      <c r="G1673" s="29" t="e">
        <f>IF(C1672=1,IF(D1672="BUY",E1672+(ROUND(F1672*G1672/B1672,0)*B1672),E1672-(ROUND(F1672*G1672/B1672,0)*B1672)),IF(D1672="BUY",E1672-(ROUND(F1672*G1672/B1672,0)*B1672),E1672+(ROUND(F1672*G1672/B1672,0)*B1672)))</f>
        <v>#DIV/0!</v>
      </c>
      <c r="H1673" s="29" t="e">
        <f>IF(C1672=1,IF(D1672="BUY",G1673-(ROUND(F1672*H1672/B1672,0)*B1672),G1673+(ROUND(F1672*H1672/B1672,0)*B1672)),IF(D1672="BUY",G1673+(ROUND(F1672*H1672/B1672,0)*B1672),G1673-(ROUND(F1672*H1672/B1672,0)*B1672)))</f>
        <v>#DIV/0!</v>
      </c>
      <c r="I1673" s="29" t="e">
        <f>IF(D1672="BUY",G1673+(ROUND(F1672*I1672/(B1672*100),0)*B1672),G1673-(ROUND(F1672*I1672/(B1672*100),0)*B1672))</f>
        <v>#DIV/0!</v>
      </c>
      <c r="J1673" s="29" t="e">
        <f>IF(C1672=1,IF(D1672="BUY",E1672+(ROUND(F1672*J1672/B1672,0)*B1672),E1672-(ROUND(F1672*J1672/B1672,0)*B1672)),IF(D1672="BUY",E1672-(ROUND(F1672*J1672/B1672,0)*B1672),E1672+(ROUND(F1672*J1672/B1672,0)*B1672)))</f>
        <v>#DIV/0!</v>
      </c>
      <c r="K1673" s="29" t="e">
        <f>IF(C1672=1,IF(D1672="BUY",E1672-(ROUND(F1672*K1672/B1672,0)*B1672),E1672+(ROUND(F1672*K1672/B1672,0)*B1672)),IF(D1672="BUY",E1672-(ROUND(F1672*K1672/B1672,0)*B1672),E1672+(ROUND(F1672*K1672/B1672,0)*B1672)))</f>
        <v>#DIV/0!</v>
      </c>
      <c r="L1673" s="29" t="e">
        <f t="shared" ref="L1673" si="2504">IF(D1673="BUY",I1673+(R1673*B1673),I1673-(R1673*B1673))</f>
        <v>#DIV/0!</v>
      </c>
      <c r="M1673" s="29" t="e">
        <f>IF(D1672="BUY",E1672+(ROUND(F1672*M1672/B1672,0)*B1672),E1672-(ROUND(F1672*M1672/B1672,0)*B1672))</f>
        <v>#DIV/0!</v>
      </c>
      <c r="N1673" s="29" t="e">
        <f>IF(D1672="BUY",E1672-(ROUND(F1672*N1672/B1672,0)*B1672),E1672+(ROUND(F1672*N1672/B1672,0)*B1672))</f>
        <v>#DIV/0!</v>
      </c>
      <c r="O1673" s="31" t="e">
        <f>IF(D1673="BUY",N1673-VLOOKUP(A1673,Symbols!A$1:D$1000,4,FALSE),N1673+VLOOKUP(A1673,Symbols!A$1:D$1000,4,FALSE))</f>
        <v>#DIV/0!</v>
      </c>
      <c r="P1673" s="29">
        <f>P1672</f>
        <v>0</v>
      </c>
      <c r="Q1673" s="29">
        <f>Q1672</f>
        <v>0</v>
      </c>
      <c r="R1673" s="29">
        <f>R1672</f>
        <v>0</v>
      </c>
      <c r="S1673" s="29">
        <f>S1672</f>
        <v>0</v>
      </c>
      <c r="T1673" s="29">
        <f>T1672</f>
        <v>0</v>
      </c>
      <c r="U1673" s="29" t="e">
        <f>DATEDIF(DATE(1970,1,1),U1672,"D")*86400</f>
        <v>#NUM!</v>
      </c>
      <c r="V1673" s="29">
        <f>HOUR(V1672)*3600+MINUTE(V1672)*60+SECOND(V1672)</f>
        <v>0</v>
      </c>
      <c r="W1673" s="29" t="e">
        <f>DATEDIF(DATE(1970,1,1),W1672,"D")*86400</f>
        <v>#NUM!</v>
      </c>
      <c r="X1673" s="29">
        <f>HOUR(X1672)*3600+MINUTE(X1672)*60+SECOND(X1672)</f>
        <v>0</v>
      </c>
      <c r="Y1673" s="31">
        <f>(Y1672*B1673)</f>
        <v>0</v>
      </c>
      <c r="Z1673" s="29">
        <f>Z1672</f>
        <v>0</v>
      </c>
      <c r="AA1673" s="29" t="e">
        <f>DATEDIF(DATE(1970,1,1),AA1672,"D")*86400</f>
        <v>#NUM!</v>
      </c>
      <c r="AB1673" s="29">
        <f>HOUR(AB1672)*3600+MINUTE(AB1672)*60+SECOND(AB1672)</f>
        <v>0</v>
      </c>
      <c r="AC1673" s="29">
        <f>AC1672</f>
        <v>0</v>
      </c>
    </row>
    <row r="1674" spans="1:29">
      <c r="A1674" s="23">
        <f>Parameters!A838</f>
        <v>0</v>
      </c>
      <c r="B1674" s="23">
        <f>Parameters!B838</f>
        <v>0</v>
      </c>
      <c r="C1674" s="24">
        <f>Parameters!C838</f>
        <v>0</v>
      </c>
      <c r="D1674" s="24">
        <f>Parameters!D838</f>
        <v>0</v>
      </c>
      <c r="E1674" s="23">
        <f>Parameters!E838</f>
        <v>0</v>
      </c>
      <c r="F1674" s="23">
        <f>Parameters!F838</f>
        <v>0</v>
      </c>
      <c r="G1674" s="25">
        <f>Parameters!G838</f>
        <v>0</v>
      </c>
      <c r="H1674" s="25">
        <f>Parameters!H838</f>
        <v>0</v>
      </c>
      <c r="I1674" s="25">
        <f>Parameters!I838</f>
        <v>0</v>
      </c>
      <c r="J1674" s="25">
        <f>Parameters!J838</f>
        <v>0</v>
      </c>
      <c r="K1674" s="25">
        <f>Parameters!K838</f>
        <v>0</v>
      </c>
      <c r="L1674" s="26" t="e">
        <f t="shared" ref="L1674" si="2505">L1675</f>
        <v>#DIV/0!</v>
      </c>
      <c r="M1674" s="25">
        <f>Parameters!L838</f>
        <v>0</v>
      </c>
      <c r="N1674" s="25">
        <f>Parameters!M838</f>
        <v>0</v>
      </c>
      <c r="O1674" s="26" t="e">
        <f t="shared" ref="O1674" si="2506">O1675</f>
        <v>#DIV/0!</v>
      </c>
      <c r="P1674" s="23">
        <f>Parameters!N838</f>
        <v>0</v>
      </c>
      <c r="Q1674" s="23">
        <f>Parameters!O838</f>
        <v>0</v>
      </c>
      <c r="R1674" s="23">
        <f>Parameters!P838</f>
        <v>0</v>
      </c>
      <c r="S1674" s="23">
        <f>Parameters!Q838</f>
        <v>0</v>
      </c>
      <c r="T1674" s="23">
        <f>Parameters!R838</f>
        <v>0</v>
      </c>
      <c r="U1674" s="27">
        <f>Parameters!S838</f>
        <v>0</v>
      </c>
      <c r="V1674" s="28">
        <f>Parameters!T838</f>
        <v>0</v>
      </c>
      <c r="W1674" s="27">
        <f>Parameters!U838</f>
        <v>0</v>
      </c>
      <c r="X1674" s="28">
        <f>Parameters!V838</f>
        <v>0</v>
      </c>
      <c r="Y1674" s="25">
        <f>Parameters!W838</f>
        <v>0</v>
      </c>
      <c r="Z1674" s="23">
        <f>Parameters!X838</f>
        <v>0</v>
      </c>
      <c r="AA1674" s="27">
        <f>Parameters!Y838</f>
        <v>0</v>
      </c>
      <c r="AB1674" s="28">
        <f>Parameters!Z838</f>
        <v>0</v>
      </c>
      <c r="AC1674" s="23">
        <f>Parameters!AA838</f>
        <v>0</v>
      </c>
    </row>
    <row r="1675" spans="1:29">
      <c r="A1675" s="29" t="str">
        <f>UPPER(A1674)</f>
        <v>0</v>
      </c>
      <c r="B1675" s="29">
        <f>B1674</f>
        <v>0</v>
      </c>
      <c r="C1675" s="30">
        <f>C1674</f>
        <v>0</v>
      </c>
      <c r="D1675" s="30">
        <f>D1674</f>
        <v>0</v>
      </c>
      <c r="E1675" s="29">
        <f>E1674</f>
        <v>0</v>
      </c>
      <c r="F1675" s="29">
        <f>F1674</f>
        <v>0</v>
      </c>
      <c r="G1675" s="29" t="e">
        <f>IF(C1674=1,IF(D1674="BUY",E1674+(ROUND(F1674*G1674/B1674,0)*B1674),E1674-(ROUND(F1674*G1674/B1674,0)*B1674)),IF(D1674="BUY",E1674-(ROUND(F1674*G1674/B1674,0)*B1674),E1674+(ROUND(F1674*G1674/B1674,0)*B1674)))</f>
        <v>#DIV/0!</v>
      </c>
      <c r="H1675" s="29" t="e">
        <f>IF(C1674=1,IF(D1674="BUY",G1675-(ROUND(F1674*H1674/B1674,0)*B1674),G1675+(ROUND(F1674*H1674/B1674,0)*B1674)),IF(D1674="BUY",G1675+(ROUND(F1674*H1674/B1674,0)*B1674),G1675-(ROUND(F1674*H1674/B1674,0)*B1674)))</f>
        <v>#DIV/0!</v>
      </c>
      <c r="I1675" s="29" t="e">
        <f>IF(D1674="BUY",G1675+(ROUND(F1674*I1674/(B1674*100),0)*B1674),G1675-(ROUND(F1674*I1674/(B1674*100),0)*B1674))</f>
        <v>#DIV/0!</v>
      </c>
      <c r="J1675" s="29" t="e">
        <f>IF(C1674=1,IF(D1674="BUY",E1674+(ROUND(F1674*J1674/B1674,0)*B1674),E1674-(ROUND(F1674*J1674/B1674,0)*B1674)),IF(D1674="BUY",E1674-(ROUND(F1674*J1674/B1674,0)*B1674),E1674+(ROUND(F1674*J1674/B1674,0)*B1674)))</f>
        <v>#DIV/0!</v>
      </c>
      <c r="K1675" s="29" t="e">
        <f>IF(C1674=1,IF(D1674="BUY",E1674-(ROUND(F1674*K1674/B1674,0)*B1674),E1674+(ROUND(F1674*K1674/B1674,0)*B1674)),IF(D1674="BUY",E1674-(ROUND(F1674*K1674/B1674,0)*B1674),E1674+(ROUND(F1674*K1674/B1674,0)*B1674)))</f>
        <v>#DIV/0!</v>
      </c>
      <c r="L1675" s="29" t="e">
        <f t="shared" ref="L1675" si="2507">IF(D1675="BUY",I1675+(R1675*B1675),I1675-(R1675*B1675))</f>
        <v>#DIV/0!</v>
      </c>
      <c r="M1675" s="29" t="e">
        <f>IF(D1674="BUY",E1674+(ROUND(F1674*M1674/B1674,0)*B1674),E1674-(ROUND(F1674*M1674/B1674,0)*B1674))</f>
        <v>#DIV/0!</v>
      </c>
      <c r="N1675" s="29" t="e">
        <f>IF(D1674="BUY",E1674-(ROUND(F1674*N1674/B1674,0)*B1674),E1674+(ROUND(F1674*N1674/B1674,0)*B1674))</f>
        <v>#DIV/0!</v>
      </c>
      <c r="O1675" s="31" t="e">
        <f>IF(D1675="BUY",N1675-VLOOKUP(A1675,Symbols!A$1:D$1000,4,FALSE),N1675+VLOOKUP(A1675,Symbols!A$1:D$1000,4,FALSE))</f>
        <v>#DIV/0!</v>
      </c>
      <c r="P1675" s="29">
        <f>P1674</f>
        <v>0</v>
      </c>
      <c r="Q1675" s="29">
        <f>Q1674</f>
        <v>0</v>
      </c>
      <c r="R1675" s="29">
        <f>R1674</f>
        <v>0</v>
      </c>
      <c r="S1675" s="29">
        <f>S1674</f>
        <v>0</v>
      </c>
      <c r="T1675" s="29">
        <f>T1674</f>
        <v>0</v>
      </c>
      <c r="U1675" s="29" t="e">
        <f>DATEDIF(DATE(1970,1,1),U1674,"D")*86400</f>
        <v>#NUM!</v>
      </c>
      <c r="V1675" s="29">
        <f>HOUR(V1674)*3600+MINUTE(V1674)*60+SECOND(V1674)</f>
        <v>0</v>
      </c>
      <c r="W1675" s="29" t="e">
        <f>DATEDIF(DATE(1970,1,1),W1674,"D")*86400</f>
        <v>#NUM!</v>
      </c>
      <c r="X1675" s="29">
        <f>HOUR(X1674)*3600+MINUTE(X1674)*60+SECOND(X1674)</f>
        <v>0</v>
      </c>
      <c r="Y1675" s="31">
        <f>(Y1674*B1675)</f>
        <v>0</v>
      </c>
      <c r="Z1675" s="29">
        <f>Z1674</f>
        <v>0</v>
      </c>
      <c r="AA1675" s="29" t="e">
        <f>DATEDIF(DATE(1970,1,1),AA1674,"D")*86400</f>
        <v>#NUM!</v>
      </c>
      <c r="AB1675" s="29">
        <f>HOUR(AB1674)*3600+MINUTE(AB1674)*60+SECOND(AB1674)</f>
        <v>0</v>
      </c>
      <c r="AC1675" s="29">
        <f>AC1674</f>
        <v>0</v>
      </c>
    </row>
    <row r="1676" spans="1:29">
      <c r="A1676" s="23">
        <f>Parameters!A839</f>
        <v>0</v>
      </c>
      <c r="B1676" s="23">
        <f>Parameters!B839</f>
        <v>0</v>
      </c>
      <c r="C1676" s="24">
        <f>Parameters!C839</f>
        <v>0</v>
      </c>
      <c r="D1676" s="24">
        <f>Parameters!D839</f>
        <v>0</v>
      </c>
      <c r="E1676" s="23">
        <f>Parameters!E839</f>
        <v>0</v>
      </c>
      <c r="F1676" s="23">
        <f>Parameters!F839</f>
        <v>0</v>
      </c>
      <c r="G1676" s="25">
        <f>Parameters!G839</f>
        <v>0</v>
      </c>
      <c r="H1676" s="25">
        <f>Parameters!H839</f>
        <v>0</v>
      </c>
      <c r="I1676" s="25">
        <f>Parameters!I839</f>
        <v>0</v>
      </c>
      <c r="J1676" s="25">
        <f>Parameters!J839</f>
        <v>0</v>
      </c>
      <c r="K1676" s="25">
        <f>Parameters!K839</f>
        <v>0</v>
      </c>
      <c r="L1676" s="26" t="e">
        <f t="shared" ref="L1676" si="2508">L1677</f>
        <v>#DIV/0!</v>
      </c>
      <c r="M1676" s="25">
        <f>Parameters!L839</f>
        <v>0</v>
      </c>
      <c r="N1676" s="25">
        <f>Parameters!M839</f>
        <v>0</v>
      </c>
      <c r="O1676" s="26" t="e">
        <f t="shared" ref="O1676" si="2509">O1677</f>
        <v>#DIV/0!</v>
      </c>
      <c r="P1676" s="23">
        <f>Parameters!N839</f>
        <v>0</v>
      </c>
      <c r="Q1676" s="23">
        <f>Parameters!O839</f>
        <v>0</v>
      </c>
      <c r="R1676" s="23">
        <f>Parameters!P839</f>
        <v>0</v>
      </c>
      <c r="S1676" s="23">
        <f>Parameters!Q839</f>
        <v>0</v>
      </c>
      <c r="T1676" s="23">
        <f>Parameters!R839</f>
        <v>0</v>
      </c>
      <c r="U1676" s="27">
        <f>Parameters!S839</f>
        <v>0</v>
      </c>
      <c r="V1676" s="28">
        <f>Parameters!T839</f>
        <v>0</v>
      </c>
      <c r="W1676" s="27">
        <f>Parameters!U839</f>
        <v>0</v>
      </c>
      <c r="X1676" s="28">
        <f>Parameters!V839</f>
        <v>0</v>
      </c>
      <c r="Y1676" s="25">
        <f>Parameters!W839</f>
        <v>0</v>
      </c>
      <c r="Z1676" s="23">
        <f>Parameters!X839</f>
        <v>0</v>
      </c>
      <c r="AA1676" s="27">
        <f>Parameters!Y839</f>
        <v>0</v>
      </c>
      <c r="AB1676" s="28">
        <f>Parameters!Z839</f>
        <v>0</v>
      </c>
      <c r="AC1676" s="23">
        <f>Parameters!AA839</f>
        <v>0</v>
      </c>
    </row>
    <row r="1677" spans="1:29">
      <c r="A1677" s="29" t="str">
        <f>UPPER(A1676)</f>
        <v>0</v>
      </c>
      <c r="B1677" s="29">
        <f>B1676</f>
        <v>0</v>
      </c>
      <c r="C1677" s="30">
        <f>C1676</f>
        <v>0</v>
      </c>
      <c r="D1677" s="30">
        <f>D1676</f>
        <v>0</v>
      </c>
      <c r="E1677" s="29">
        <f>E1676</f>
        <v>0</v>
      </c>
      <c r="F1677" s="29">
        <f>F1676</f>
        <v>0</v>
      </c>
      <c r="G1677" s="29" t="e">
        <f>IF(C1676=1,IF(D1676="BUY",E1676+(ROUND(F1676*G1676/B1676,0)*B1676),E1676-(ROUND(F1676*G1676/B1676,0)*B1676)),IF(D1676="BUY",E1676-(ROUND(F1676*G1676/B1676,0)*B1676),E1676+(ROUND(F1676*G1676/B1676,0)*B1676)))</f>
        <v>#DIV/0!</v>
      </c>
      <c r="H1677" s="29" t="e">
        <f>IF(C1676=1,IF(D1676="BUY",G1677-(ROUND(F1676*H1676/B1676,0)*B1676),G1677+(ROUND(F1676*H1676/B1676,0)*B1676)),IF(D1676="BUY",G1677+(ROUND(F1676*H1676/B1676,0)*B1676),G1677-(ROUND(F1676*H1676/B1676,0)*B1676)))</f>
        <v>#DIV/0!</v>
      </c>
      <c r="I1677" s="29" t="e">
        <f>IF(D1676="BUY",G1677+(ROUND(F1676*I1676/(B1676*100),0)*B1676),G1677-(ROUND(F1676*I1676/(B1676*100),0)*B1676))</f>
        <v>#DIV/0!</v>
      </c>
      <c r="J1677" s="29" t="e">
        <f>IF(C1676=1,IF(D1676="BUY",E1676+(ROUND(F1676*J1676/B1676,0)*B1676),E1676-(ROUND(F1676*J1676/B1676,0)*B1676)),IF(D1676="BUY",E1676-(ROUND(F1676*J1676/B1676,0)*B1676),E1676+(ROUND(F1676*J1676/B1676,0)*B1676)))</f>
        <v>#DIV/0!</v>
      </c>
      <c r="K1677" s="29" t="e">
        <f>IF(C1676=1,IF(D1676="BUY",E1676-(ROUND(F1676*K1676/B1676,0)*B1676),E1676+(ROUND(F1676*K1676/B1676,0)*B1676)),IF(D1676="BUY",E1676-(ROUND(F1676*K1676/B1676,0)*B1676),E1676+(ROUND(F1676*K1676/B1676,0)*B1676)))</f>
        <v>#DIV/0!</v>
      </c>
      <c r="L1677" s="29" t="e">
        <f t="shared" ref="L1677" si="2510">IF(D1677="BUY",I1677+(R1677*B1677),I1677-(R1677*B1677))</f>
        <v>#DIV/0!</v>
      </c>
      <c r="M1677" s="29" t="e">
        <f>IF(D1676="BUY",E1676+(ROUND(F1676*M1676/B1676,0)*B1676),E1676-(ROUND(F1676*M1676/B1676,0)*B1676))</f>
        <v>#DIV/0!</v>
      </c>
      <c r="N1677" s="29" t="e">
        <f>IF(D1676="BUY",E1676-(ROUND(F1676*N1676/B1676,0)*B1676),E1676+(ROUND(F1676*N1676/B1676,0)*B1676))</f>
        <v>#DIV/0!</v>
      </c>
      <c r="O1677" s="31" t="e">
        <f>IF(D1677="BUY",N1677-VLOOKUP(A1677,Symbols!A$1:D$1000,4,FALSE),N1677+VLOOKUP(A1677,Symbols!A$1:D$1000,4,FALSE))</f>
        <v>#DIV/0!</v>
      </c>
      <c r="P1677" s="29">
        <f>P1676</f>
        <v>0</v>
      </c>
      <c r="Q1677" s="29">
        <f>Q1676</f>
        <v>0</v>
      </c>
      <c r="R1677" s="29">
        <f>R1676</f>
        <v>0</v>
      </c>
      <c r="S1677" s="29">
        <f>S1676</f>
        <v>0</v>
      </c>
      <c r="T1677" s="29">
        <f>T1676</f>
        <v>0</v>
      </c>
      <c r="U1677" s="29" t="e">
        <f>DATEDIF(DATE(1970,1,1),U1676,"D")*86400</f>
        <v>#NUM!</v>
      </c>
      <c r="V1677" s="29">
        <f>HOUR(V1676)*3600+MINUTE(V1676)*60+SECOND(V1676)</f>
        <v>0</v>
      </c>
      <c r="W1677" s="29" t="e">
        <f>DATEDIF(DATE(1970,1,1),W1676,"D")*86400</f>
        <v>#NUM!</v>
      </c>
      <c r="X1677" s="29">
        <f>HOUR(X1676)*3600+MINUTE(X1676)*60+SECOND(X1676)</f>
        <v>0</v>
      </c>
      <c r="Y1677" s="31">
        <f>(Y1676*B1677)</f>
        <v>0</v>
      </c>
      <c r="Z1677" s="29">
        <f>Z1676</f>
        <v>0</v>
      </c>
      <c r="AA1677" s="29" t="e">
        <f>DATEDIF(DATE(1970,1,1),AA1676,"D")*86400</f>
        <v>#NUM!</v>
      </c>
      <c r="AB1677" s="29">
        <f>HOUR(AB1676)*3600+MINUTE(AB1676)*60+SECOND(AB1676)</f>
        <v>0</v>
      </c>
      <c r="AC1677" s="29">
        <f>AC1676</f>
        <v>0</v>
      </c>
    </row>
    <row r="1678" spans="1:29">
      <c r="A1678" s="23">
        <f>Parameters!A840</f>
        <v>0</v>
      </c>
      <c r="B1678" s="23">
        <f>Parameters!B840</f>
        <v>0</v>
      </c>
      <c r="C1678" s="24">
        <f>Parameters!C840</f>
        <v>0</v>
      </c>
      <c r="D1678" s="24">
        <f>Parameters!D840</f>
        <v>0</v>
      </c>
      <c r="E1678" s="23">
        <f>Parameters!E840</f>
        <v>0</v>
      </c>
      <c r="F1678" s="23">
        <f>Parameters!F840</f>
        <v>0</v>
      </c>
      <c r="G1678" s="25">
        <f>Parameters!G840</f>
        <v>0</v>
      </c>
      <c r="H1678" s="25">
        <f>Parameters!H840</f>
        <v>0</v>
      </c>
      <c r="I1678" s="25">
        <f>Parameters!I840</f>
        <v>0</v>
      </c>
      <c r="J1678" s="25">
        <f>Parameters!J840</f>
        <v>0</v>
      </c>
      <c r="K1678" s="25">
        <f>Parameters!K840</f>
        <v>0</v>
      </c>
      <c r="L1678" s="26" t="e">
        <f t="shared" ref="L1678" si="2511">L1679</f>
        <v>#DIV/0!</v>
      </c>
      <c r="M1678" s="25">
        <f>Parameters!L840</f>
        <v>0</v>
      </c>
      <c r="N1678" s="25">
        <f>Parameters!M840</f>
        <v>0</v>
      </c>
      <c r="O1678" s="26" t="e">
        <f t="shared" ref="O1678" si="2512">O1679</f>
        <v>#DIV/0!</v>
      </c>
      <c r="P1678" s="23">
        <f>Parameters!N840</f>
        <v>0</v>
      </c>
      <c r="Q1678" s="23">
        <f>Parameters!O840</f>
        <v>0</v>
      </c>
      <c r="R1678" s="23">
        <f>Parameters!P840</f>
        <v>0</v>
      </c>
      <c r="S1678" s="23">
        <f>Parameters!Q840</f>
        <v>0</v>
      </c>
      <c r="T1678" s="23">
        <f>Parameters!R840</f>
        <v>0</v>
      </c>
      <c r="U1678" s="27">
        <f>Parameters!S840</f>
        <v>0</v>
      </c>
      <c r="V1678" s="28">
        <f>Parameters!T840</f>
        <v>0</v>
      </c>
      <c r="W1678" s="27">
        <f>Parameters!U840</f>
        <v>0</v>
      </c>
      <c r="X1678" s="28">
        <f>Parameters!V840</f>
        <v>0</v>
      </c>
      <c r="Y1678" s="25">
        <f>Parameters!W840</f>
        <v>0</v>
      </c>
      <c r="Z1678" s="23">
        <f>Parameters!X840</f>
        <v>0</v>
      </c>
      <c r="AA1678" s="27">
        <f>Parameters!Y840</f>
        <v>0</v>
      </c>
      <c r="AB1678" s="28">
        <f>Parameters!Z840</f>
        <v>0</v>
      </c>
      <c r="AC1678" s="23">
        <f>Parameters!AA840</f>
        <v>0</v>
      </c>
    </row>
    <row r="1679" spans="1:29">
      <c r="A1679" s="29" t="str">
        <f>UPPER(A1678)</f>
        <v>0</v>
      </c>
      <c r="B1679" s="29">
        <f>B1678</f>
        <v>0</v>
      </c>
      <c r="C1679" s="30">
        <f>C1678</f>
        <v>0</v>
      </c>
      <c r="D1679" s="30">
        <f>D1678</f>
        <v>0</v>
      </c>
      <c r="E1679" s="29">
        <f>E1678</f>
        <v>0</v>
      </c>
      <c r="F1679" s="29">
        <f>F1678</f>
        <v>0</v>
      </c>
      <c r="G1679" s="29" t="e">
        <f>IF(C1678=1,IF(D1678="BUY",E1678+(ROUND(F1678*G1678/B1678,0)*B1678),E1678-(ROUND(F1678*G1678/B1678,0)*B1678)),IF(D1678="BUY",E1678-(ROUND(F1678*G1678/B1678,0)*B1678),E1678+(ROUND(F1678*G1678/B1678,0)*B1678)))</f>
        <v>#DIV/0!</v>
      </c>
      <c r="H1679" s="29" t="e">
        <f>IF(C1678=1,IF(D1678="BUY",G1679-(ROUND(F1678*H1678/B1678,0)*B1678),G1679+(ROUND(F1678*H1678/B1678,0)*B1678)),IF(D1678="BUY",G1679+(ROUND(F1678*H1678/B1678,0)*B1678),G1679-(ROUND(F1678*H1678/B1678,0)*B1678)))</f>
        <v>#DIV/0!</v>
      </c>
      <c r="I1679" s="29" t="e">
        <f>IF(D1678="BUY",G1679+(ROUND(F1678*I1678/(B1678*100),0)*B1678),G1679-(ROUND(F1678*I1678/(B1678*100),0)*B1678))</f>
        <v>#DIV/0!</v>
      </c>
      <c r="J1679" s="29" t="e">
        <f>IF(C1678=1,IF(D1678="BUY",E1678+(ROUND(F1678*J1678/B1678,0)*B1678),E1678-(ROUND(F1678*J1678/B1678,0)*B1678)),IF(D1678="BUY",E1678-(ROUND(F1678*J1678/B1678,0)*B1678),E1678+(ROUND(F1678*J1678/B1678,0)*B1678)))</f>
        <v>#DIV/0!</v>
      </c>
      <c r="K1679" s="29" t="e">
        <f>IF(C1678=1,IF(D1678="BUY",E1678-(ROUND(F1678*K1678/B1678,0)*B1678),E1678+(ROUND(F1678*K1678/B1678,0)*B1678)),IF(D1678="BUY",E1678-(ROUND(F1678*K1678/B1678,0)*B1678),E1678+(ROUND(F1678*K1678/B1678,0)*B1678)))</f>
        <v>#DIV/0!</v>
      </c>
      <c r="L1679" s="29" t="e">
        <f t="shared" ref="L1679" si="2513">IF(D1679="BUY",I1679+(R1679*B1679),I1679-(R1679*B1679))</f>
        <v>#DIV/0!</v>
      </c>
      <c r="M1679" s="29" t="e">
        <f>IF(D1678="BUY",E1678+(ROUND(F1678*M1678/B1678,0)*B1678),E1678-(ROUND(F1678*M1678/B1678,0)*B1678))</f>
        <v>#DIV/0!</v>
      </c>
      <c r="N1679" s="29" t="e">
        <f>IF(D1678="BUY",E1678-(ROUND(F1678*N1678/B1678,0)*B1678),E1678+(ROUND(F1678*N1678/B1678,0)*B1678))</f>
        <v>#DIV/0!</v>
      </c>
      <c r="O1679" s="31" t="e">
        <f>IF(D1679="BUY",N1679-VLOOKUP(A1679,Symbols!A$1:D$1000,4,FALSE),N1679+VLOOKUP(A1679,Symbols!A$1:D$1000,4,FALSE))</f>
        <v>#DIV/0!</v>
      </c>
      <c r="P1679" s="29">
        <f>P1678</f>
        <v>0</v>
      </c>
      <c r="Q1679" s="29">
        <f>Q1678</f>
        <v>0</v>
      </c>
      <c r="R1679" s="29">
        <f>R1678</f>
        <v>0</v>
      </c>
      <c r="S1679" s="29">
        <f>S1678</f>
        <v>0</v>
      </c>
      <c r="T1679" s="29">
        <f>T1678</f>
        <v>0</v>
      </c>
      <c r="U1679" s="29" t="e">
        <f>DATEDIF(DATE(1970,1,1),U1678,"D")*86400</f>
        <v>#NUM!</v>
      </c>
      <c r="V1679" s="29">
        <f>HOUR(V1678)*3600+MINUTE(V1678)*60+SECOND(V1678)</f>
        <v>0</v>
      </c>
      <c r="W1679" s="29" t="e">
        <f>DATEDIF(DATE(1970,1,1),W1678,"D")*86400</f>
        <v>#NUM!</v>
      </c>
      <c r="X1679" s="29">
        <f>HOUR(X1678)*3600+MINUTE(X1678)*60+SECOND(X1678)</f>
        <v>0</v>
      </c>
      <c r="Y1679" s="31">
        <f>(Y1678*B1679)</f>
        <v>0</v>
      </c>
      <c r="Z1679" s="29">
        <f>Z1678</f>
        <v>0</v>
      </c>
      <c r="AA1679" s="29" t="e">
        <f>DATEDIF(DATE(1970,1,1),AA1678,"D")*86400</f>
        <v>#NUM!</v>
      </c>
      <c r="AB1679" s="29">
        <f>HOUR(AB1678)*3600+MINUTE(AB1678)*60+SECOND(AB1678)</f>
        <v>0</v>
      </c>
      <c r="AC1679" s="29">
        <f>AC1678</f>
        <v>0</v>
      </c>
    </row>
    <row r="1680" spans="1:29">
      <c r="A1680" s="23">
        <f>Parameters!A841</f>
        <v>0</v>
      </c>
      <c r="B1680" s="23">
        <f>Parameters!B841</f>
        <v>0</v>
      </c>
      <c r="C1680" s="24">
        <f>Parameters!C841</f>
        <v>0</v>
      </c>
      <c r="D1680" s="24">
        <f>Parameters!D841</f>
        <v>0</v>
      </c>
      <c r="E1680" s="23">
        <f>Parameters!E841</f>
        <v>0</v>
      </c>
      <c r="F1680" s="23">
        <f>Parameters!F841</f>
        <v>0</v>
      </c>
      <c r="G1680" s="25">
        <f>Parameters!G841</f>
        <v>0</v>
      </c>
      <c r="H1680" s="25">
        <f>Parameters!H841</f>
        <v>0</v>
      </c>
      <c r="I1680" s="25">
        <f>Parameters!I841</f>
        <v>0</v>
      </c>
      <c r="J1680" s="25">
        <f>Parameters!J841</f>
        <v>0</v>
      </c>
      <c r="K1680" s="25">
        <f>Parameters!K841</f>
        <v>0</v>
      </c>
      <c r="L1680" s="26" t="e">
        <f t="shared" ref="L1680" si="2514">L1681</f>
        <v>#DIV/0!</v>
      </c>
      <c r="M1680" s="25">
        <f>Parameters!L841</f>
        <v>0</v>
      </c>
      <c r="N1680" s="25">
        <f>Parameters!M841</f>
        <v>0</v>
      </c>
      <c r="O1680" s="26" t="e">
        <f t="shared" ref="O1680" si="2515">O1681</f>
        <v>#DIV/0!</v>
      </c>
      <c r="P1680" s="23">
        <f>Parameters!N841</f>
        <v>0</v>
      </c>
      <c r="Q1680" s="23">
        <f>Parameters!O841</f>
        <v>0</v>
      </c>
      <c r="R1680" s="23">
        <f>Parameters!P841</f>
        <v>0</v>
      </c>
      <c r="S1680" s="23">
        <f>Parameters!Q841</f>
        <v>0</v>
      </c>
      <c r="T1680" s="23">
        <f>Parameters!R841</f>
        <v>0</v>
      </c>
      <c r="U1680" s="27">
        <f>Parameters!S841</f>
        <v>0</v>
      </c>
      <c r="V1680" s="28">
        <f>Parameters!T841</f>
        <v>0</v>
      </c>
      <c r="W1680" s="27">
        <f>Parameters!U841</f>
        <v>0</v>
      </c>
      <c r="X1680" s="28">
        <f>Parameters!V841</f>
        <v>0</v>
      </c>
      <c r="Y1680" s="25">
        <f>Parameters!W841</f>
        <v>0</v>
      </c>
      <c r="Z1680" s="23">
        <f>Parameters!X841</f>
        <v>0</v>
      </c>
      <c r="AA1680" s="27">
        <f>Parameters!Y841</f>
        <v>0</v>
      </c>
      <c r="AB1680" s="28">
        <f>Parameters!Z841</f>
        <v>0</v>
      </c>
      <c r="AC1680" s="23">
        <f>Parameters!AA841</f>
        <v>0</v>
      </c>
    </row>
    <row r="1681" spans="1:29">
      <c r="A1681" s="29" t="str">
        <f>UPPER(A1680)</f>
        <v>0</v>
      </c>
      <c r="B1681" s="29">
        <f>B1680</f>
        <v>0</v>
      </c>
      <c r="C1681" s="30">
        <f>C1680</f>
        <v>0</v>
      </c>
      <c r="D1681" s="30">
        <f>D1680</f>
        <v>0</v>
      </c>
      <c r="E1681" s="29">
        <f>E1680</f>
        <v>0</v>
      </c>
      <c r="F1681" s="29">
        <f>F1680</f>
        <v>0</v>
      </c>
      <c r="G1681" s="29" t="e">
        <f>IF(C1680=1,IF(D1680="BUY",E1680+(ROUND(F1680*G1680/B1680,0)*B1680),E1680-(ROUND(F1680*G1680/B1680,0)*B1680)),IF(D1680="BUY",E1680-(ROUND(F1680*G1680/B1680,0)*B1680),E1680+(ROUND(F1680*G1680/B1680,0)*B1680)))</f>
        <v>#DIV/0!</v>
      </c>
      <c r="H1681" s="29" t="e">
        <f>IF(C1680=1,IF(D1680="BUY",G1681-(ROUND(F1680*H1680/B1680,0)*B1680),G1681+(ROUND(F1680*H1680/B1680,0)*B1680)),IF(D1680="BUY",G1681+(ROUND(F1680*H1680/B1680,0)*B1680),G1681-(ROUND(F1680*H1680/B1680,0)*B1680)))</f>
        <v>#DIV/0!</v>
      </c>
      <c r="I1681" s="29" t="e">
        <f>IF(D1680="BUY",G1681+(ROUND(F1680*I1680/(B1680*100),0)*B1680),G1681-(ROUND(F1680*I1680/(B1680*100),0)*B1680))</f>
        <v>#DIV/0!</v>
      </c>
      <c r="J1681" s="29" t="e">
        <f>IF(C1680=1,IF(D1680="BUY",E1680+(ROUND(F1680*J1680/B1680,0)*B1680),E1680-(ROUND(F1680*J1680/B1680,0)*B1680)),IF(D1680="BUY",E1680-(ROUND(F1680*J1680/B1680,0)*B1680),E1680+(ROUND(F1680*J1680/B1680,0)*B1680)))</f>
        <v>#DIV/0!</v>
      </c>
      <c r="K1681" s="29" t="e">
        <f>IF(C1680=1,IF(D1680="BUY",E1680-(ROUND(F1680*K1680/B1680,0)*B1680),E1680+(ROUND(F1680*K1680/B1680,0)*B1680)),IF(D1680="BUY",E1680-(ROUND(F1680*K1680/B1680,0)*B1680),E1680+(ROUND(F1680*K1680/B1680,0)*B1680)))</f>
        <v>#DIV/0!</v>
      </c>
      <c r="L1681" s="29" t="e">
        <f t="shared" ref="L1681" si="2516">IF(D1681="BUY",I1681+(R1681*B1681),I1681-(R1681*B1681))</f>
        <v>#DIV/0!</v>
      </c>
      <c r="M1681" s="29" t="e">
        <f>IF(D1680="BUY",E1680+(ROUND(F1680*M1680/B1680,0)*B1680),E1680-(ROUND(F1680*M1680/B1680,0)*B1680))</f>
        <v>#DIV/0!</v>
      </c>
      <c r="N1681" s="29" t="e">
        <f>IF(D1680="BUY",E1680-(ROUND(F1680*N1680/B1680,0)*B1680),E1680+(ROUND(F1680*N1680/B1680,0)*B1680))</f>
        <v>#DIV/0!</v>
      </c>
      <c r="O1681" s="31" t="e">
        <f>IF(D1681="BUY",N1681-VLOOKUP(A1681,Symbols!A$1:D$1000,4,FALSE),N1681+VLOOKUP(A1681,Symbols!A$1:D$1000,4,FALSE))</f>
        <v>#DIV/0!</v>
      </c>
      <c r="P1681" s="29">
        <f>P1680</f>
        <v>0</v>
      </c>
      <c r="Q1681" s="29">
        <f>Q1680</f>
        <v>0</v>
      </c>
      <c r="R1681" s="29">
        <f>R1680</f>
        <v>0</v>
      </c>
      <c r="S1681" s="29">
        <f>S1680</f>
        <v>0</v>
      </c>
      <c r="T1681" s="29">
        <f>T1680</f>
        <v>0</v>
      </c>
      <c r="U1681" s="29" t="e">
        <f>DATEDIF(DATE(1970,1,1),U1680,"D")*86400</f>
        <v>#NUM!</v>
      </c>
      <c r="V1681" s="29">
        <f>HOUR(V1680)*3600+MINUTE(V1680)*60+SECOND(V1680)</f>
        <v>0</v>
      </c>
      <c r="W1681" s="29" t="e">
        <f>DATEDIF(DATE(1970,1,1),W1680,"D")*86400</f>
        <v>#NUM!</v>
      </c>
      <c r="X1681" s="29">
        <f>HOUR(X1680)*3600+MINUTE(X1680)*60+SECOND(X1680)</f>
        <v>0</v>
      </c>
      <c r="Y1681" s="31">
        <f>(Y1680*B1681)</f>
        <v>0</v>
      </c>
      <c r="Z1681" s="29">
        <f>Z1680</f>
        <v>0</v>
      </c>
      <c r="AA1681" s="29" t="e">
        <f>DATEDIF(DATE(1970,1,1),AA1680,"D")*86400</f>
        <v>#NUM!</v>
      </c>
      <c r="AB1681" s="29">
        <f>HOUR(AB1680)*3600+MINUTE(AB1680)*60+SECOND(AB1680)</f>
        <v>0</v>
      </c>
      <c r="AC1681" s="29">
        <f>AC1680</f>
        <v>0</v>
      </c>
    </row>
    <row r="1682" spans="1:29">
      <c r="A1682" s="23">
        <f>Parameters!A842</f>
        <v>0</v>
      </c>
      <c r="B1682" s="23">
        <f>Parameters!B842</f>
        <v>0</v>
      </c>
      <c r="C1682" s="24">
        <f>Parameters!C842</f>
        <v>0</v>
      </c>
      <c r="D1682" s="24">
        <f>Parameters!D842</f>
        <v>0</v>
      </c>
      <c r="E1682" s="23">
        <f>Parameters!E842</f>
        <v>0</v>
      </c>
      <c r="F1682" s="23">
        <f>Parameters!F842</f>
        <v>0</v>
      </c>
      <c r="G1682" s="25">
        <f>Parameters!G842</f>
        <v>0</v>
      </c>
      <c r="H1682" s="25">
        <f>Parameters!H842</f>
        <v>0</v>
      </c>
      <c r="I1682" s="25">
        <f>Parameters!I842</f>
        <v>0</v>
      </c>
      <c r="J1682" s="25">
        <f>Parameters!J842</f>
        <v>0</v>
      </c>
      <c r="K1682" s="25">
        <f>Parameters!K842</f>
        <v>0</v>
      </c>
      <c r="L1682" s="26" t="e">
        <f t="shared" ref="L1682" si="2517">L1683</f>
        <v>#DIV/0!</v>
      </c>
      <c r="M1682" s="25">
        <f>Parameters!L842</f>
        <v>0</v>
      </c>
      <c r="N1682" s="25">
        <f>Parameters!M842</f>
        <v>0</v>
      </c>
      <c r="O1682" s="26" t="e">
        <f t="shared" ref="O1682" si="2518">O1683</f>
        <v>#DIV/0!</v>
      </c>
      <c r="P1682" s="23">
        <f>Parameters!N842</f>
        <v>0</v>
      </c>
      <c r="Q1682" s="23">
        <f>Parameters!O842</f>
        <v>0</v>
      </c>
      <c r="R1682" s="23">
        <f>Parameters!P842</f>
        <v>0</v>
      </c>
      <c r="S1682" s="23">
        <f>Parameters!Q842</f>
        <v>0</v>
      </c>
      <c r="T1682" s="23">
        <f>Parameters!R842</f>
        <v>0</v>
      </c>
      <c r="U1682" s="27">
        <f>Parameters!S842</f>
        <v>0</v>
      </c>
      <c r="V1682" s="28">
        <f>Parameters!T842</f>
        <v>0</v>
      </c>
      <c r="W1682" s="27">
        <f>Parameters!U842</f>
        <v>0</v>
      </c>
      <c r="X1682" s="28">
        <f>Parameters!V842</f>
        <v>0</v>
      </c>
      <c r="Y1682" s="25">
        <f>Parameters!W842</f>
        <v>0</v>
      </c>
      <c r="Z1682" s="23">
        <f>Parameters!X842</f>
        <v>0</v>
      </c>
      <c r="AA1682" s="27">
        <f>Parameters!Y842</f>
        <v>0</v>
      </c>
      <c r="AB1682" s="28">
        <f>Parameters!Z842</f>
        <v>0</v>
      </c>
      <c r="AC1682" s="23">
        <f>Parameters!AA842</f>
        <v>0</v>
      </c>
    </row>
    <row r="1683" spans="1:29">
      <c r="A1683" s="29" t="str">
        <f>UPPER(A1682)</f>
        <v>0</v>
      </c>
      <c r="B1683" s="29">
        <f>B1682</f>
        <v>0</v>
      </c>
      <c r="C1683" s="30">
        <f>C1682</f>
        <v>0</v>
      </c>
      <c r="D1683" s="30">
        <f>D1682</f>
        <v>0</v>
      </c>
      <c r="E1683" s="29">
        <f>E1682</f>
        <v>0</v>
      </c>
      <c r="F1683" s="29">
        <f>F1682</f>
        <v>0</v>
      </c>
      <c r="G1683" s="29" t="e">
        <f>IF(C1682=1,IF(D1682="BUY",E1682+(ROUND(F1682*G1682/B1682,0)*B1682),E1682-(ROUND(F1682*G1682/B1682,0)*B1682)),IF(D1682="BUY",E1682-(ROUND(F1682*G1682/B1682,0)*B1682),E1682+(ROUND(F1682*G1682/B1682,0)*B1682)))</f>
        <v>#DIV/0!</v>
      </c>
      <c r="H1683" s="29" t="e">
        <f>IF(C1682=1,IF(D1682="BUY",G1683-(ROUND(F1682*H1682/B1682,0)*B1682),G1683+(ROUND(F1682*H1682/B1682,0)*B1682)),IF(D1682="BUY",G1683+(ROUND(F1682*H1682/B1682,0)*B1682),G1683-(ROUND(F1682*H1682/B1682,0)*B1682)))</f>
        <v>#DIV/0!</v>
      </c>
      <c r="I1683" s="29" t="e">
        <f>IF(D1682="BUY",G1683+(ROUND(F1682*I1682/(B1682*100),0)*B1682),G1683-(ROUND(F1682*I1682/(B1682*100),0)*B1682))</f>
        <v>#DIV/0!</v>
      </c>
      <c r="J1683" s="29" t="e">
        <f>IF(C1682=1,IF(D1682="BUY",E1682+(ROUND(F1682*J1682/B1682,0)*B1682),E1682-(ROUND(F1682*J1682/B1682,0)*B1682)),IF(D1682="BUY",E1682-(ROUND(F1682*J1682/B1682,0)*B1682),E1682+(ROUND(F1682*J1682/B1682,0)*B1682)))</f>
        <v>#DIV/0!</v>
      </c>
      <c r="K1683" s="29" t="e">
        <f>IF(C1682=1,IF(D1682="BUY",E1682-(ROUND(F1682*K1682/B1682,0)*B1682),E1682+(ROUND(F1682*K1682/B1682,0)*B1682)),IF(D1682="BUY",E1682-(ROUND(F1682*K1682/B1682,0)*B1682),E1682+(ROUND(F1682*K1682/B1682,0)*B1682)))</f>
        <v>#DIV/0!</v>
      </c>
      <c r="L1683" s="29" t="e">
        <f t="shared" ref="L1683" si="2519">IF(D1683="BUY",I1683+(R1683*B1683),I1683-(R1683*B1683))</f>
        <v>#DIV/0!</v>
      </c>
      <c r="M1683" s="29" t="e">
        <f>IF(D1682="BUY",E1682+(ROUND(F1682*M1682/B1682,0)*B1682),E1682-(ROUND(F1682*M1682/B1682,0)*B1682))</f>
        <v>#DIV/0!</v>
      </c>
      <c r="N1683" s="29" t="e">
        <f>IF(D1682="BUY",E1682-(ROUND(F1682*N1682/B1682,0)*B1682),E1682+(ROUND(F1682*N1682/B1682,0)*B1682))</f>
        <v>#DIV/0!</v>
      </c>
      <c r="O1683" s="31" t="e">
        <f>IF(D1683="BUY",N1683-VLOOKUP(A1683,Symbols!A$1:D$1000,4,FALSE),N1683+VLOOKUP(A1683,Symbols!A$1:D$1000,4,FALSE))</f>
        <v>#DIV/0!</v>
      </c>
      <c r="P1683" s="29">
        <f>P1682</f>
        <v>0</v>
      </c>
      <c r="Q1683" s="29">
        <f>Q1682</f>
        <v>0</v>
      </c>
      <c r="R1683" s="29">
        <f>R1682</f>
        <v>0</v>
      </c>
      <c r="S1683" s="29">
        <f>S1682</f>
        <v>0</v>
      </c>
      <c r="T1683" s="29">
        <f>T1682</f>
        <v>0</v>
      </c>
      <c r="U1683" s="29" t="e">
        <f>DATEDIF(DATE(1970,1,1),U1682,"D")*86400</f>
        <v>#NUM!</v>
      </c>
      <c r="V1683" s="29">
        <f>HOUR(V1682)*3600+MINUTE(V1682)*60+SECOND(V1682)</f>
        <v>0</v>
      </c>
      <c r="W1683" s="29" t="e">
        <f>DATEDIF(DATE(1970,1,1),W1682,"D")*86400</f>
        <v>#NUM!</v>
      </c>
      <c r="X1683" s="29">
        <f>HOUR(X1682)*3600+MINUTE(X1682)*60+SECOND(X1682)</f>
        <v>0</v>
      </c>
      <c r="Y1683" s="31">
        <f>(Y1682*B1683)</f>
        <v>0</v>
      </c>
      <c r="Z1683" s="29">
        <f>Z1682</f>
        <v>0</v>
      </c>
      <c r="AA1683" s="29" t="e">
        <f>DATEDIF(DATE(1970,1,1),AA1682,"D")*86400</f>
        <v>#NUM!</v>
      </c>
      <c r="AB1683" s="29">
        <f>HOUR(AB1682)*3600+MINUTE(AB1682)*60+SECOND(AB1682)</f>
        <v>0</v>
      </c>
      <c r="AC1683" s="29">
        <f>AC1682</f>
        <v>0</v>
      </c>
    </row>
    <row r="1684" spans="1:29">
      <c r="A1684" s="23">
        <f>Parameters!A843</f>
        <v>0</v>
      </c>
      <c r="B1684" s="23">
        <f>Parameters!B843</f>
        <v>0</v>
      </c>
      <c r="C1684" s="24">
        <f>Parameters!C843</f>
        <v>0</v>
      </c>
      <c r="D1684" s="24">
        <f>Parameters!D843</f>
        <v>0</v>
      </c>
      <c r="E1684" s="23">
        <f>Parameters!E843</f>
        <v>0</v>
      </c>
      <c r="F1684" s="23">
        <f>Parameters!F843</f>
        <v>0</v>
      </c>
      <c r="G1684" s="25">
        <f>Parameters!G843</f>
        <v>0</v>
      </c>
      <c r="H1684" s="25">
        <f>Parameters!H843</f>
        <v>0</v>
      </c>
      <c r="I1684" s="25">
        <f>Parameters!I843</f>
        <v>0</v>
      </c>
      <c r="J1684" s="25">
        <f>Parameters!J843</f>
        <v>0</v>
      </c>
      <c r="K1684" s="25">
        <f>Parameters!K843</f>
        <v>0</v>
      </c>
      <c r="L1684" s="26" t="e">
        <f t="shared" ref="L1684" si="2520">L1685</f>
        <v>#DIV/0!</v>
      </c>
      <c r="M1684" s="25">
        <f>Parameters!L843</f>
        <v>0</v>
      </c>
      <c r="N1684" s="25">
        <f>Parameters!M843</f>
        <v>0</v>
      </c>
      <c r="O1684" s="26" t="e">
        <f t="shared" ref="O1684" si="2521">O1685</f>
        <v>#DIV/0!</v>
      </c>
      <c r="P1684" s="23">
        <f>Parameters!N843</f>
        <v>0</v>
      </c>
      <c r="Q1684" s="23">
        <f>Parameters!O843</f>
        <v>0</v>
      </c>
      <c r="R1684" s="23">
        <f>Parameters!P843</f>
        <v>0</v>
      </c>
      <c r="S1684" s="23">
        <f>Parameters!Q843</f>
        <v>0</v>
      </c>
      <c r="T1684" s="23">
        <f>Parameters!R843</f>
        <v>0</v>
      </c>
      <c r="U1684" s="27">
        <f>Parameters!S843</f>
        <v>0</v>
      </c>
      <c r="V1684" s="28">
        <f>Parameters!T843</f>
        <v>0</v>
      </c>
      <c r="W1684" s="27">
        <f>Parameters!U843</f>
        <v>0</v>
      </c>
      <c r="X1684" s="28">
        <f>Parameters!V843</f>
        <v>0</v>
      </c>
      <c r="Y1684" s="25">
        <f>Parameters!W843</f>
        <v>0</v>
      </c>
      <c r="Z1684" s="23">
        <f>Parameters!X843</f>
        <v>0</v>
      </c>
      <c r="AA1684" s="27">
        <f>Parameters!Y843</f>
        <v>0</v>
      </c>
      <c r="AB1684" s="28">
        <f>Parameters!Z843</f>
        <v>0</v>
      </c>
      <c r="AC1684" s="23">
        <f>Parameters!AA843</f>
        <v>0</v>
      </c>
    </row>
    <row r="1685" spans="1:29">
      <c r="A1685" s="29" t="str">
        <f>UPPER(A1684)</f>
        <v>0</v>
      </c>
      <c r="B1685" s="29">
        <f>B1684</f>
        <v>0</v>
      </c>
      <c r="C1685" s="30">
        <f>C1684</f>
        <v>0</v>
      </c>
      <c r="D1685" s="30">
        <f>D1684</f>
        <v>0</v>
      </c>
      <c r="E1685" s="29">
        <f>E1684</f>
        <v>0</v>
      </c>
      <c r="F1685" s="29">
        <f>F1684</f>
        <v>0</v>
      </c>
      <c r="G1685" s="29" t="e">
        <f>IF(C1684=1,IF(D1684="BUY",E1684+(ROUND(F1684*G1684/B1684,0)*B1684),E1684-(ROUND(F1684*G1684/B1684,0)*B1684)),IF(D1684="BUY",E1684-(ROUND(F1684*G1684/B1684,0)*B1684),E1684+(ROUND(F1684*G1684/B1684,0)*B1684)))</f>
        <v>#DIV/0!</v>
      </c>
      <c r="H1685" s="29" t="e">
        <f>IF(C1684=1,IF(D1684="BUY",G1685-(ROUND(F1684*H1684/B1684,0)*B1684),G1685+(ROUND(F1684*H1684/B1684,0)*B1684)),IF(D1684="BUY",G1685+(ROUND(F1684*H1684/B1684,0)*B1684),G1685-(ROUND(F1684*H1684/B1684,0)*B1684)))</f>
        <v>#DIV/0!</v>
      </c>
      <c r="I1685" s="29" t="e">
        <f>IF(D1684="BUY",G1685+(ROUND(F1684*I1684/(B1684*100),0)*B1684),G1685-(ROUND(F1684*I1684/(B1684*100),0)*B1684))</f>
        <v>#DIV/0!</v>
      </c>
      <c r="J1685" s="29" t="e">
        <f>IF(C1684=1,IF(D1684="BUY",E1684+(ROUND(F1684*J1684/B1684,0)*B1684),E1684-(ROUND(F1684*J1684/B1684,0)*B1684)),IF(D1684="BUY",E1684-(ROUND(F1684*J1684/B1684,0)*B1684),E1684+(ROUND(F1684*J1684/B1684,0)*B1684)))</f>
        <v>#DIV/0!</v>
      </c>
      <c r="K1685" s="29" t="e">
        <f>IF(C1684=1,IF(D1684="BUY",E1684-(ROUND(F1684*K1684/B1684,0)*B1684),E1684+(ROUND(F1684*K1684/B1684,0)*B1684)),IF(D1684="BUY",E1684-(ROUND(F1684*K1684/B1684,0)*B1684),E1684+(ROUND(F1684*K1684/B1684,0)*B1684)))</f>
        <v>#DIV/0!</v>
      </c>
      <c r="L1685" s="29" t="e">
        <f t="shared" ref="L1685" si="2522">IF(D1685="BUY",I1685+(R1685*B1685),I1685-(R1685*B1685))</f>
        <v>#DIV/0!</v>
      </c>
      <c r="M1685" s="29" t="e">
        <f>IF(D1684="BUY",E1684+(ROUND(F1684*M1684/B1684,0)*B1684),E1684-(ROUND(F1684*M1684/B1684,0)*B1684))</f>
        <v>#DIV/0!</v>
      </c>
      <c r="N1685" s="29" t="e">
        <f>IF(D1684="BUY",E1684-(ROUND(F1684*N1684/B1684,0)*B1684),E1684+(ROUND(F1684*N1684/B1684,0)*B1684))</f>
        <v>#DIV/0!</v>
      </c>
      <c r="O1685" s="31" t="e">
        <f>IF(D1685="BUY",N1685-VLOOKUP(A1685,Symbols!A$1:D$1000,4,FALSE),N1685+VLOOKUP(A1685,Symbols!A$1:D$1000,4,FALSE))</f>
        <v>#DIV/0!</v>
      </c>
      <c r="P1685" s="29">
        <f>P1684</f>
        <v>0</v>
      </c>
      <c r="Q1685" s="29">
        <f>Q1684</f>
        <v>0</v>
      </c>
      <c r="R1685" s="29">
        <f>R1684</f>
        <v>0</v>
      </c>
      <c r="S1685" s="29">
        <f>S1684</f>
        <v>0</v>
      </c>
      <c r="T1685" s="29">
        <f>T1684</f>
        <v>0</v>
      </c>
      <c r="U1685" s="29" t="e">
        <f>DATEDIF(DATE(1970,1,1),U1684,"D")*86400</f>
        <v>#NUM!</v>
      </c>
      <c r="V1685" s="29">
        <f>HOUR(V1684)*3600+MINUTE(V1684)*60+SECOND(V1684)</f>
        <v>0</v>
      </c>
      <c r="W1685" s="29" t="e">
        <f>DATEDIF(DATE(1970,1,1),W1684,"D")*86400</f>
        <v>#NUM!</v>
      </c>
      <c r="X1685" s="29">
        <f>HOUR(X1684)*3600+MINUTE(X1684)*60+SECOND(X1684)</f>
        <v>0</v>
      </c>
      <c r="Y1685" s="31">
        <f>(Y1684*B1685)</f>
        <v>0</v>
      </c>
      <c r="Z1685" s="29">
        <f>Z1684</f>
        <v>0</v>
      </c>
      <c r="AA1685" s="29" t="e">
        <f>DATEDIF(DATE(1970,1,1),AA1684,"D")*86400</f>
        <v>#NUM!</v>
      </c>
      <c r="AB1685" s="29">
        <f>HOUR(AB1684)*3600+MINUTE(AB1684)*60+SECOND(AB1684)</f>
        <v>0</v>
      </c>
      <c r="AC1685" s="29">
        <f>AC1684</f>
        <v>0</v>
      </c>
    </row>
    <row r="1686" spans="1:29">
      <c r="A1686" s="23">
        <f>Parameters!A844</f>
        <v>0</v>
      </c>
      <c r="B1686" s="23">
        <f>Parameters!B844</f>
        <v>0</v>
      </c>
      <c r="C1686" s="24">
        <f>Parameters!C844</f>
        <v>0</v>
      </c>
      <c r="D1686" s="24">
        <f>Parameters!D844</f>
        <v>0</v>
      </c>
      <c r="E1686" s="23">
        <f>Parameters!E844</f>
        <v>0</v>
      </c>
      <c r="F1686" s="23">
        <f>Parameters!F844</f>
        <v>0</v>
      </c>
      <c r="G1686" s="25">
        <f>Parameters!G844</f>
        <v>0</v>
      </c>
      <c r="H1686" s="25">
        <f>Parameters!H844</f>
        <v>0</v>
      </c>
      <c r="I1686" s="25">
        <f>Parameters!I844</f>
        <v>0</v>
      </c>
      <c r="J1686" s="25">
        <f>Parameters!J844</f>
        <v>0</v>
      </c>
      <c r="K1686" s="25">
        <f>Parameters!K844</f>
        <v>0</v>
      </c>
      <c r="L1686" s="26" t="e">
        <f t="shared" ref="L1686" si="2523">L1687</f>
        <v>#DIV/0!</v>
      </c>
      <c r="M1686" s="25">
        <f>Parameters!L844</f>
        <v>0</v>
      </c>
      <c r="N1686" s="25">
        <f>Parameters!M844</f>
        <v>0</v>
      </c>
      <c r="O1686" s="26" t="e">
        <f t="shared" ref="O1686" si="2524">O1687</f>
        <v>#DIV/0!</v>
      </c>
      <c r="P1686" s="23">
        <f>Parameters!N844</f>
        <v>0</v>
      </c>
      <c r="Q1686" s="23">
        <f>Parameters!O844</f>
        <v>0</v>
      </c>
      <c r="R1686" s="23">
        <f>Parameters!P844</f>
        <v>0</v>
      </c>
      <c r="S1686" s="23">
        <f>Parameters!Q844</f>
        <v>0</v>
      </c>
      <c r="T1686" s="23">
        <f>Parameters!R844</f>
        <v>0</v>
      </c>
      <c r="U1686" s="27">
        <f>Parameters!S844</f>
        <v>0</v>
      </c>
      <c r="V1686" s="28">
        <f>Parameters!T844</f>
        <v>0</v>
      </c>
      <c r="W1686" s="27">
        <f>Parameters!U844</f>
        <v>0</v>
      </c>
      <c r="X1686" s="28">
        <f>Parameters!V844</f>
        <v>0</v>
      </c>
      <c r="Y1686" s="25">
        <f>Parameters!W844</f>
        <v>0</v>
      </c>
      <c r="Z1686" s="23">
        <f>Parameters!X844</f>
        <v>0</v>
      </c>
      <c r="AA1686" s="27">
        <f>Parameters!Y844</f>
        <v>0</v>
      </c>
      <c r="AB1686" s="28">
        <f>Parameters!Z844</f>
        <v>0</v>
      </c>
      <c r="AC1686" s="23">
        <f>Parameters!AA844</f>
        <v>0</v>
      </c>
    </row>
    <row r="1687" spans="1:29">
      <c r="A1687" s="29" t="str">
        <f>UPPER(A1686)</f>
        <v>0</v>
      </c>
      <c r="B1687" s="29">
        <f>B1686</f>
        <v>0</v>
      </c>
      <c r="C1687" s="30">
        <f>C1686</f>
        <v>0</v>
      </c>
      <c r="D1687" s="30">
        <f>D1686</f>
        <v>0</v>
      </c>
      <c r="E1687" s="29">
        <f>E1686</f>
        <v>0</v>
      </c>
      <c r="F1687" s="29">
        <f>F1686</f>
        <v>0</v>
      </c>
      <c r="G1687" s="29" t="e">
        <f>IF(C1686=1,IF(D1686="BUY",E1686+(ROUND(F1686*G1686/B1686,0)*B1686),E1686-(ROUND(F1686*G1686/B1686,0)*B1686)),IF(D1686="BUY",E1686-(ROUND(F1686*G1686/B1686,0)*B1686),E1686+(ROUND(F1686*G1686/B1686,0)*B1686)))</f>
        <v>#DIV/0!</v>
      </c>
      <c r="H1687" s="29" t="e">
        <f>IF(C1686=1,IF(D1686="BUY",G1687-(ROUND(F1686*H1686/B1686,0)*B1686),G1687+(ROUND(F1686*H1686/B1686,0)*B1686)),IF(D1686="BUY",G1687+(ROUND(F1686*H1686/B1686,0)*B1686),G1687-(ROUND(F1686*H1686/B1686,0)*B1686)))</f>
        <v>#DIV/0!</v>
      </c>
      <c r="I1687" s="29" t="e">
        <f>IF(D1686="BUY",G1687+(ROUND(F1686*I1686/(B1686*100),0)*B1686),G1687-(ROUND(F1686*I1686/(B1686*100),0)*B1686))</f>
        <v>#DIV/0!</v>
      </c>
      <c r="J1687" s="29" t="e">
        <f>IF(C1686=1,IF(D1686="BUY",E1686+(ROUND(F1686*J1686/B1686,0)*B1686),E1686-(ROUND(F1686*J1686/B1686,0)*B1686)),IF(D1686="BUY",E1686-(ROUND(F1686*J1686/B1686,0)*B1686),E1686+(ROUND(F1686*J1686/B1686,0)*B1686)))</f>
        <v>#DIV/0!</v>
      </c>
      <c r="K1687" s="29" t="e">
        <f>IF(C1686=1,IF(D1686="BUY",E1686-(ROUND(F1686*K1686/B1686,0)*B1686),E1686+(ROUND(F1686*K1686/B1686,0)*B1686)),IF(D1686="BUY",E1686-(ROUND(F1686*K1686/B1686,0)*B1686),E1686+(ROUND(F1686*K1686/B1686,0)*B1686)))</f>
        <v>#DIV/0!</v>
      </c>
      <c r="L1687" s="29" t="e">
        <f t="shared" ref="L1687" si="2525">IF(D1687="BUY",I1687+(R1687*B1687),I1687-(R1687*B1687))</f>
        <v>#DIV/0!</v>
      </c>
      <c r="M1687" s="29" t="e">
        <f>IF(D1686="BUY",E1686+(ROUND(F1686*M1686/B1686,0)*B1686),E1686-(ROUND(F1686*M1686/B1686,0)*B1686))</f>
        <v>#DIV/0!</v>
      </c>
      <c r="N1687" s="29" t="e">
        <f>IF(D1686="BUY",E1686-(ROUND(F1686*N1686/B1686,0)*B1686),E1686+(ROUND(F1686*N1686/B1686,0)*B1686))</f>
        <v>#DIV/0!</v>
      </c>
      <c r="O1687" s="31" t="e">
        <f>IF(D1687="BUY",N1687-VLOOKUP(A1687,Symbols!A$1:D$1000,4,FALSE),N1687+VLOOKUP(A1687,Symbols!A$1:D$1000,4,FALSE))</f>
        <v>#DIV/0!</v>
      </c>
      <c r="P1687" s="29">
        <f>P1686</f>
        <v>0</v>
      </c>
      <c r="Q1687" s="29">
        <f>Q1686</f>
        <v>0</v>
      </c>
      <c r="R1687" s="29">
        <f>R1686</f>
        <v>0</v>
      </c>
      <c r="S1687" s="29">
        <f>S1686</f>
        <v>0</v>
      </c>
      <c r="T1687" s="29">
        <f>T1686</f>
        <v>0</v>
      </c>
      <c r="U1687" s="29" t="e">
        <f>DATEDIF(DATE(1970,1,1),U1686,"D")*86400</f>
        <v>#NUM!</v>
      </c>
      <c r="V1687" s="29">
        <f>HOUR(V1686)*3600+MINUTE(V1686)*60+SECOND(V1686)</f>
        <v>0</v>
      </c>
      <c r="W1687" s="29" t="e">
        <f>DATEDIF(DATE(1970,1,1),W1686,"D")*86400</f>
        <v>#NUM!</v>
      </c>
      <c r="X1687" s="29">
        <f>HOUR(X1686)*3600+MINUTE(X1686)*60+SECOND(X1686)</f>
        <v>0</v>
      </c>
      <c r="Y1687" s="31">
        <f>(Y1686*B1687)</f>
        <v>0</v>
      </c>
      <c r="Z1687" s="29">
        <f>Z1686</f>
        <v>0</v>
      </c>
      <c r="AA1687" s="29" t="e">
        <f>DATEDIF(DATE(1970,1,1),AA1686,"D")*86400</f>
        <v>#NUM!</v>
      </c>
      <c r="AB1687" s="29">
        <f>HOUR(AB1686)*3600+MINUTE(AB1686)*60+SECOND(AB1686)</f>
        <v>0</v>
      </c>
      <c r="AC1687" s="29">
        <f>AC1686</f>
        <v>0</v>
      </c>
    </row>
    <row r="1688" spans="1:29">
      <c r="A1688" s="23">
        <f>Parameters!A845</f>
        <v>0</v>
      </c>
      <c r="B1688" s="23">
        <f>Parameters!B845</f>
        <v>0</v>
      </c>
      <c r="C1688" s="24">
        <f>Parameters!C845</f>
        <v>0</v>
      </c>
      <c r="D1688" s="24">
        <f>Parameters!D845</f>
        <v>0</v>
      </c>
      <c r="E1688" s="23">
        <f>Parameters!E845</f>
        <v>0</v>
      </c>
      <c r="F1688" s="23">
        <f>Parameters!F845</f>
        <v>0</v>
      </c>
      <c r="G1688" s="25">
        <f>Parameters!G845</f>
        <v>0</v>
      </c>
      <c r="H1688" s="25">
        <f>Parameters!H845</f>
        <v>0</v>
      </c>
      <c r="I1688" s="25">
        <f>Parameters!I845</f>
        <v>0</v>
      </c>
      <c r="J1688" s="25">
        <f>Parameters!J845</f>
        <v>0</v>
      </c>
      <c r="K1688" s="25">
        <f>Parameters!K845</f>
        <v>0</v>
      </c>
      <c r="L1688" s="26" t="e">
        <f t="shared" ref="L1688" si="2526">L1689</f>
        <v>#DIV/0!</v>
      </c>
      <c r="M1688" s="25">
        <f>Parameters!L845</f>
        <v>0</v>
      </c>
      <c r="N1688" s="25">
        <f>Parameters!M845</f>
        <v>0</v>
      </c>
      <c r="O1688" s="26" t="e">
        <f t="shared" ref="O1688" si="2527">O1689</f>
        <v>#DIV/0!</v>
      </c>
      <c r="P1688" s="23">
        <f>Parameters!N845</f>
        <v>0</v>
      </c>
      <c r="Q1688" s="23">
        <f>Parameters!O845</f>
        <v>0</v>
      </c>
      <c r="R1688" s="23">
        <f>Parameters!P845</f>
        <v>0</v>
      </c>
      <c r="S1688" s="23">
        <f>Parameters!Q845</f>
        <v>0</v>
      </c>
      <c r="T1688" s="23">
        <f>Parameters!R845</f>
        <v>0</v>
      </c>
      <c r="U1688" s="27">
        <f>Parameters!S845</f>
        <v>0</v>
      </c>
      <c r="V1688" s="28">
        <f>Parameters!T845</f>
        <v>0</v>
      </c>
      <c r="W1688" s="27">
        <f>Parameters!U845</f>
        <v>0</v>
      </c>
      <c r="X1688" s="28">
        <f>Parameters!V845</f>
        <v>0</v>
      </c>
      <c r="Y1688" s="25">
        <f>Parameters!W845</f>
        <v>0</v>
      </c>
      <c r="Z1688" s="23">
        <f>Parameters!X845</f>
        <v>0</v>
      </c>
      <c r="AA1688" s="27">
        <f>Parameters!Y845</f>
        <v>0</v>
      </c>
      <c r="AB1688" s="28">
        <f>Parameters!Z845</f>
        <v>0</v>
      </c>
      <c r="AC1688" s="23">
        <f>Parameters!AA845</f>
        <v>0</v>
      </c>
    </row>
    <row r="1689" spans="1:29">
      <c r="A1689" s="29" t="str">
        <f>UPPER(A1688)</f>
        <v>0</v>
      </c>
      <c r="B1689" s="29">
        <f>B1688</f>
        <v>0</v>
      </c>
      <c r="C1689" s="30">
        <f>C1688</f>
        <v>0</v>
      </c>
      <c r="D1689" s="30">
        <f>D1688</f>
        <v>0</v>
      </c>
      <c r="E1689" s="29">
        <f>E1688</f>
        <v>0</v>
      </c>
      <c r="F1689" s="29">
        <f>F1688</f>
        <v>0</v>
      </c>
      <c r="G1689" s="29" t="e">
        <f>IF(C1688=1,IF(D1688="BUY",E1688+(ROUND(F1688*G1688/B1688,0)*B1688),E1688-(ROUND(F1688*G1688/B1688,0)*B1688)),IF(D1688="BUY",E1688-(ROUND(F1688*G1688/B1688,0)*B1688),E1688+(ROUND(F1688*G1688/B1688,0)*B1688)))</f>
        <v>#DIV/0!</v>
      </c>
      <c r="H1689" s="29" t="e">
        <f>IF(C1688=1,IF(D1688="BUY",G1689-(ROUND(F1688*H1688/B1688,0)*B1688),G1689+(ROUND(F1688*H1688/B1688,0)*B1688)),IF(D1688="BUY",G1689+(ROUND(F1688*H1688/B1688,0)*B1688),G1689-(ROUND(F1688*H1688/B1688,0)*B1688)))</f>
        <v>#DIV/0!</v>
      </c>
      <c r="I1689" s="29" t="e">
        <f>IF(D1688="BUY",G1689+(ROUND(F1688*I1688/(B1688*100),0)*B1688),G1689-(ROUND(F1688*I1688/(B1688*100),0)*B1688))</f>
        <v>#DIV/0!</v>
      </c>
      <c r="J1689" s="29" t="e">
        <f>IF(C1688=1,IF(D1688="BUY",E1688+(ROUND(F1688*J1688/B1688,0)*B1688),E1688-(ROUND(F1688*J1688/B1688,0)*B1688)),IF(D1688="BUY",E1688-(ROUND(F1688*J1688/B1688,0)*B1688),E1688+(ROUND(F1688*J1688/B1688,0)*B1688)))</f>
        <v>#DIV/0!</v>
      </c>
      <c r="K1689" s="29" t="e">
        <f>IF(C1688=1,IF(D1688="BUY",E1688-(ROUND(F1688*K1688/B1688,0)*B1688),E1688+(ROUND(F1688*K1688/B1688,0)*B1688)),IF(D1688="BUY",E1688-(ROUND(F1688*K1688/B1688,0)*B1688),E1688+(ROUND(F1688*K1688/B1688,0)*B1688)))</f>
        <v>#DIV/0!</v>
      </c>
      <c r="L1689" s="29" t="e">
        <f t="shared" ref="L1689" si="2528">IF(D1689="BUY",I1689+(R1689*B1689),I1689-(R1689*B1689))</f>
        <v>#DIV/0!</v>
      </c>
      <c r="M1689" s="29" t="e">
        <f>IF(D1688="BUY",E1688+(ROUND(F1688*M1688/B1688,0)*B1688),E1688-(ROUND(F1688*M1688/B1688,0)*B1688))</f>
        <v>#DIV/0!</v>
      </c>
      <c r="N1689" s="29" t="e">
        <f>IF(D1688="BUY",E1688-(ROUND(F1688*N1688/B1688,0)*B1688),E1688+(ROUND(F1688*N1688/B1688,0)*B1688))</f>
        <v>#DIV/0!</v>
      </c>
      <c r="O1689" s="31" t="e">
        <f>IF(D1689="BUY",N1689-VLOOKUP(A1689,Symbols!A$1:D$1000,4,FALSE),N1689+VLOOKUP(A1689,Symbols!A$1:D$1000,4,FALSE))</f>
        <v>#DIV/0!</v>
      </c>
      <c r="P1689" s="29">
        <f>P1688</f>
        <v>0</v>
      </c>
      <c r="Q1689" s="29">
        <f>Q1688</f>
        <v>0</v>
      </c>
      <c r="R1689" s="29">
        <f>R1688</f>
        <v>0</v>
      </c>
      <c r="S1689" s="29">
        <f>S1688</f>
        <v>0</v>
      </c>
      <c r="T1689" s="29">
        <f>T1688</f>
        <v>0</v>
      </c>
      <c r="U1689" s="29" t="e">
        <f>DATEDIF(DATE(1970,1,1),U1688,"D")*86400</f>
        <v>#NUM!</v>
      </c>
      <c r="V1689" s="29">
        <f>HOUR(V1688)*3600+MINUTE(V1688)*60+SECOND(V1688)</f>
        <v>0</v>
      </c>
      <c r="W1689" s="29" t="e">
        <f>DATEDIF(DATE(1970,1,1),W1688,"D")*86400</f>
        <v>#NUM!</v>
      </c>
      <c r="X1689" s="29">
        <f>HOUR(X1688)*3600+MINUTE(X1688)*60+SECOND(X1688)</f>
        <v>0</v>
      </c>
      <c r="Y1689" s="31">
        <f>(Y1688*B1689)</f>
        <v>0</v>
      </c>
      <c r="Z1689" s="29">
        <f>Z1688</f>
        <v>0</v>
      </c>
      <c r="AA1689" s="29" t="e">
        <f>DATEDIF(DATE(1970,1,1),AA1688,"D")*86400</f>
        <v>#NUM!</v>
      </c>
      <c r="AB1689" s="29">
        <f>HOUR(AB1688)*3600+MINUTE(AB1688)*60+SECOND(AB1688)</f>
        <v>0</v>
      </c>
      <c r="AC1689" s="29">
        <f>AC1688</f>
        <v>0</v>
      </c>
    </row>
    <row r="1690" spans="1:29">
      <c r="A1690" s="23">
        <f>Parameters!A846</f>
        <v>0</v>
      </c>
      <c r="B1690" s="23">
        <f>Parameters!B846</f>
        <v>0</v>
      </c>
      <c r="C1690" s="24">
        <f>Parameters!C846</f>
        <v>0</v>
      </c>
      <c r="D1690" s="24">
        <f>Parameters!D846</f>
        <v>0</v>
      </c>
      <c r="E1690" s="23">
        <f>Parameters!E846</f>
        <v>0</v>
      </c>
      <c r="F1690" s="23">
        <f>Parameters!F846</f>
        <v>0</v>
      </c>
      <c r="G1690" s="25">
        <f>Parameters!G846</f>
        <v>0</v>
      </c>
      <c r="H1690" s="25">
        <f>Parameters!H846</f>
        <v>0</v>
      </c>
      <c r="I1690" s="25">
        <f>Parameters!I846</f>
        <v>0</v>
      </c>
      <c r="J1690" s="25">
        <f>Parameters!J846</f>
        <v>0</v>
      </c>
      <c r="K1690" s="25">
        <f>Parameters!K846</f>
        <v>0</v>
      </c>
      <c r="L1690" s="26" t="e">
        <f t="shared" ref="L1690" si="2529">L1691</f>
        <v>#DIV/0!</v>
      </c>
      <c r="M1690" s="25">
        <f>Parameters!L846</f>
        <v>0</v>
      </c>
      <c r="N1690" s="25">
        <f>Parameters!M846</f>
        <v>0</v>
      </c>
      <c r="O1690" s="26" t="e">
        <f t="shared" ref="O1690" si="2530">O1691</f>
        <v>#DIV/0!</v>
      </c>
      <c r="P1690" s="23">
        <f>Parameters!N846</f>
        <v>0</v>
      </c>
      <c r="Q1690" s="23">
        <f>Parameters!O846</f>
        <v>0</v>
      </c>
      <c r="R1690" s="23">
        <f>Parameters!P846</f>
        <v>0</v>
      </c>
      <c r="S1690" s="23">
        <f>Parameters!Q846</f>
        <v>0</v>
      </c>
      <c r="T1690" s="23">
        <f>Parameters!R846</f>
        <v>0</v>
      </c>
      <c r="U1690" s="27">
        <f>Parameters!S846</f>
        <v>0</v>
      </c>
      <c r="V1690" s="28">
        <f>Parameters!T846</f>
        <v>0</v>
      </c>
      <c r="W1690" s="27">
        <f>Parameters!U846</f>
        <v>0</v>
      </c>
      <c r="X1690" s="28">
        <f>Parameters!V846</f>
        <v>0</v>
      </c>
      <c r="Y1690" s="25">
        <f>Parameters!W846</f>
        <v>0</v>
      </c>
      <c r="Z1690" s="23">
        <f>Parameters!X846</f>
        <v>0</v>
      </c>
      <c r="AA1690" s="27">
        <f>Parameters!Y846</f>
        <v>0</v>
      </c>
      <c r="AB1690" s="28">
        <f>Parameters!Z846</f>
        <v>0</v>
      </c>
      <c r="AC1690" s="23">
        <f>Parameters!AA846</f>
        <v>0</v>
      </c>
    </row>
    <row r="1691" spans="1:29">
      <c r="A1691" s="29" t="str">
        <f>UPPER(A1690)</f>
        <v>0</v>
      </c>
      <c r="B1691" s="29">
        <f>B1690</f>
        <v>0</v>
      </c>
      <c r="C1691" s="30">
        <f>C1690</f>
        <v>0</v>
      </c>
      <c r="D1691" s="30">
        <f>D1690</f>
        <v>0</v>
      </c>
      <c r="E1691" s="29">
        <f>E1690</f>
        <v>0</v>
      </c>
      <c r="F1691" s="29">
        <f>F1690</f>
        <v>0</v>
      </c>
      <c r="G1691" s="29" t="e">
        <f>IF(C1690=1,IF(D1690="BUY",E1690+(ROUND(F1690*G1690/B1690,0)*B1690),E1690-(ROUND(F1690*G1690/B1690,0)*B1690)),IF(D1690="BUY",E1690-(ROUND(F1690*G1690/B1690,0)*B1690),E1690+(ROUND(F1690*G1690/B1690,0)*B1690)))</f>
        <v>#DIV/0!</v>
      </c>
      <c r="H1691" s="29" t="e">
        <f>IF(C1690=1,IF(D1690="BUY",G1691-(ROUND(F1690*H1690/B1690,0)*B1690),G1691+(ROUND(F1690*H1690/B1690,0)*B1690)),IF(D1690="BUY",G1691+(ROUND(F1690*H1690/B1690,0)*B1690),G1691-(ROUND(F1690*H1690/B1690,0)*B1690)))</f>
        <v>#DIV/0!</v>
      </c>
      <c r="I1691" s="29" t="e">
        <f>IF(D1690="BUY",G1691+(ROUND(F1690*I1690/(B1690*100),0)*B1690),G1691-(ROUND(F1690*I1690/(B1690*100),0)*B1690))</f>
        <v>#DIV/0!</v>
      </c>
      <c r="J1691" s="29" t="e">
        <f>IF(C1690=1,IF(D1690="BUY",E1690+(ROUND(F1690*J1690/B1690,0)*B1690),E1690-(ROUND(F1690*J1690/B1690,0)*B1690)),IF(D1690="BUY",E1690-(ROUND(F1690*J1690/B1690,0)*B1690),E1690+(ROUND(F1690*J1690/B1690,0)*B1690)))</f>
        <v>#DIV/0!</v>
      </c>
      <c r="K1691" s="29" t="e">
        <f>IF(C1690=1,IF(D1690="BUY",E1690-(ROUND(F1690*K1690/B1690,0)*B1690),E1690+(ROUND(F1690*K1690/B1690,0)*B1690)),IF(D1690="BUY",E1690-(ROUND(F1690*K1690/B1690,0)*B1690),E1690+(ROUND(F1690*K1690/B1690,0)*B1690)))</f>
        <v>#DIV/0!</v>
      </c>
      <c r="L1691" s="29" t="e">
        <f t="shared" ref="L1691" si="2531">IF(D1691="BUY",I1691+(R1691*B1691),I1691-(R1691*B1691))</f>
        <v>#DIV/0!</v>
      </c>
      <c r="M1691" s="29" t="e">
        <f>IF(D1690="BUY",E1690+(ROUND(F1690*M1690/B1690,0)*B1690),E1690-(ROUND(F1690*M1690/B1690,0)*B1690))</f>
        <v>#DIV/0!</v>
      </c>
      <c r="N1691" s="29" t="e">
        <f>IF(D1690="BUY",E1690-(ROUND(F1690*N1690/B1690,0)*B1690),E1690+(ROUND(F1690*N1690/B1690,0)*B1690))</f>
        <v>#DIV/0!</v>
      </c>
      <c r="O1691" s="31" t="e">
        <f>IF(D1691="BUY",N1691-VLOOKUP(A1691,Symbols!A$1:D$1000,4,FALSE),N1691+VLOOKUP(A1691,Symbols!A$1:D$1000,4,FALSE))</f>
        <v>#DIV/0!</v>
      </c>
      <c r="P1691" s="29">
        <f>P1690</f>
        <v>0</v>
      </c>
      <c r="Q1691" s="29">
        <f>Q1690</f>
        <v>0</v>
      </c>
      <c r="R1691" s="29">
        <f>R1690</f>
        <v>0</v>
      </c>
      <c r="S1691" s="29">
        <f>S1690</f>
        <v>0</v>
      </c>
      <c r="T1691" s="29">
        <f>T1690</f>
        <v>0</v>
      </c>
      <c r="U1691" s="29" t="e">
        <f>DATEDIF(DATE(1970,1,1),U1690,"D")*86400</f>
        <v>#NUM!</v>
      </c>
      <c r="V1691" s="29">
        <f>HOUR(V1690)*3600+MINUTE(V1690)*60+SECOND(V1690)</f>
        <v>0</v>
      </c>
      <c r="W1691" s="29" t="e">
        <f>DATEDIF(DATE(1970,1,1),W1690,"D")*86400</f>
        <v>#NUM!</v>
      </c>
      <c r="X1691" s="29">
        <f>HOUR(X1690)*3600+MINUTE(X1690)*60+SECOND(X1690)</f>
        <v>0</v>
      </c>
      <c r="Y1691" s="31">
        <f>(Y1690*B1691)</f>
        <v>0</v>
      </c>
      <c r="Z1691" s="29">
        <f>Z1690</f>
        <v>0</v>
      </c>
      <c r="AA1691" s="29" t="e">
        <f>DATEDIF(DATE(1970,1,1),AA1690,"D")*86400</f>
        <v>#NUM!</v>
      </c>
      <c r="AB1691" s="29">
        <f>HOUR(AB1690)*3600+MINUTE(AB1690)*60+SECOND(AB1690)</f>
        <v>0</v>
      </c>
      <c r="AC1691" s="29">
        <f>AC1690</f>
        <v>0</v>
      </c>
    </row>
    <row r="1692" spans="1:29">
      <c r="A1692" s="23">
        <f>Parameters!A847</f>
        <v>0</v>
      </c>
      <c r="B1692" s="23">
        <f>Parameters!B847</f>
        <v>0</v>
      </c>
      <c r="C1692" s="24">
        <f>Parameters!C847</f>
        <v>0</v>
      </c>
      <c r="D1692" s="24">
        <f>Parameters!D847</f>
        <v>0</v>
      </c>
      <c r="E1692" s="23">
        <f>Parameters!E847</f>
        <v>0</v>
      </c>
      <c r="F1692" s="23">
        <f>Parameters!F847</f>
        <v>0</v>
      </c>
      <c r="G1692" s="25">
        <f>Parameters!G847</f>
        <v>0</v>
      </c>
      <c r="H1692" s="25">
        <f>Parameters!H847</f>
        <v>0</v>
      </c>
      <c r="I1692" s="25">
        <f>Parameters!I847</f>
        <v>0</v>
      </c>
      <c r="J1692" s="25">
        <f>Parameters!J847</f>
        <v>0</v>
      </c>
      <c r="K1692" s="25">
        <f>Parameters!K847</f>
        <v>0</v>
      </c>
      <c r="L1692" s="26" t="e">
        <f t="shared" ref="L1692" si="2532">L1693</f>
        <v>#DIV/0!</v>
      </c>
      <c r="M1692" s="25">
        <f>Parameters!L847</f>
        <v>0</v>
      </c>
      <c r="N1692" s="25">
        <f>Parameters!M847</f>
        <v>0</v>
      </c>
      <c r="O1692" s="26" t="e">
        <f t="shared" ref="O1692" si="2533">O1693</f>
        <v>#DIV/0!</v>
      </c>
      <c r="P1692" s="23">
        <f>Parameters!N847</f>
        <v>0</v>
      </c>
      <c r="Q1692" s="23">
        <f>Parameters!O847</f>
        <v>0</v>
      </c>
      <c r="R1692" s="23">
        <f>Parameters!P847</f>
        <v>0</v>
      </c>
      <c r="S1692" s="23">
        <f>Parameters!Q847</f>
        <v>0</v>
      </c>
      <c r="T1692" s="23">
        <f>Parameters!R847</f>
        <v>0</v>
      </c>
      <c r="U1692" s="27">
        <f>Parameters!S847</f>
        <v>0</v>
      </c>
      <c r="V1692" s="28">
        <f>Parameters!T847</f>
        <v>0</v>
      </c>
      <c r="W1692" s="27">
        <f>Parameters!U847</f>
        <v>0</v>
      </c>
      <c r="X1692" s="28">
        <f>Parameters!V847</f>
        <v>0</v>
      </c>
      <c r="Y1692" s="25">
        <f>Parameters!W847</f>
        <v>0</v>
      </c>
      <c r="Z1692" s="23">
        <f>Parameters!X847</f>
        <v>0</v>
      </c>
      <c r="AA1692" s="27">
        <f>Parameters!Y847</f>
        <v>0</v>
      </c>
      <c r="AB1692" s="28">
        <f>Parameters!Z847</f>
        <v>0</v>
      </c>
      <c r="AC1692" s="23">
        <f>Parameters!AA847</f>
        <v>0</v>
      </c>
    </row>
    <row r="1693" spans="1:29">
      <c r="A1693" s="29" t="str">
        <f>UPPER(A1692)</f>
        <v>0</v>
      </c>
      <c r="B1693" s="29">
        <f>B1692</f>
        <v>0</v>
      </c>
      <c r="C1693" s="30">
        <f>C1692</f>
        <v>0</v>
      </c>
      <c r="D1693" s="30">
        <f>D1692</f>
        <v>0</v>
      </c>
      <c r="E1693" s="29">
        <f>E1692</f>
        <v>0</v>
      </c>
      <c r="F1693" s="29">
        <f>F1692</f>
        <v>0</v>
      </c>
      <c r="G1693" s="29" t="e">
        <f>IF(C1692=1,IF(D1692="BUY",E1692+(ROUND(F1692*G1692/B1692,0)*B1692),E1692-(ROUND(F1692*G1692/B1692,0)*B1692)),IF(D1692="BUY",E1692-(ROUND(F1692*G1692/B1692,0)*B1692),E1692+(ROUND(F1692*G1692/B1692,0)*B1692)))</f>
        <v>#DIV/0!</v>
      </c>
      <c r="H1693" s="29" t="e">
        <f>IF(C1692=1,IF(D1692="BUY",G1693-(ROUND(F1692*H1692/B1692,0)*B1692),G1693+(ROUND(F1692*H1692/B1692,0)*B1692)),IF(D1692="BUY",G1693+(ROUND(F1692*H1692/B1692,0)*B1692),G1693-(ROUND(F1692*H1692/B1692,0)*B1692)))</f>
        <v>#DIV/0!</v>
      </c>
      <c r="I1693" s="29" t="e">
        <f>IF(D1692="BUY",G1693+(ROUND(F1692*I1692/(B1692*100),0)*B1692),G1693-(ROUND(F1692*I1692/(B1692*100),0)*B1692))</f>
        <v>#DIV/0!</v>
      </c>
      <c r="J1693" s="29" t="e">
        <f>IF(C1692=1,IF(D1692="BUY",E1692+(ROUND(F1692*J1692/B1692,0)*B1692),E1692-(ROUND(F1692*J1692/B1692,0)*B1692)),IF(D1692="BUY",E1692-(ROUND(F1692*J1692/B1692,0)*B1692),E1692+(ROUND(F1692*J1692/B1692,0)*B1692)))</f>
        <v>#DIV/0!</v>
      </c>
      <c r="K1693" s="29" t="e">
        <f>IF(C1692=1,IF(D1692="BUY",E1692-(ROUND(F1692*K1692/B1692,0)*B1692),E1692+(ROUND(F1692*K1692/B1692,0)*B1692)),IF(D1692="BUY",E1692-(ROUND(F1692*K1692/B1692,0)*B1692),E1692+(ROUND(F1692*K1692/B1692,0)*B1692)))</f>
        <v>#DIV/0!</v>
      </c>
      <c r="L1693" s="29" t="e">
        <f t="shared" ref="L1693" si="2534">IF(D1693="BUY",I1693+(R1693*B1693),I1693-(R1693*B1693))</f>
        <v>#DIV/0!</v>
      </c>
      <c r="M1693" s="29" t="e">
        <f>IF(D1692="BUY",E1692+(ROUND(F1692*M1692/B1692,0)*B1692),E1692-(ROUND(F1692*M1692/B1692,0)*B1692))</f>
        <v>#DIV/0!</v>
      </c>
      <c r="N1693" s="29" t="e">
        <f>IF(D1692="BUY",E1692-(ROUND(F1692*N1692/B1692,0)*B1692),E1692+(ROUND(F1692*N1692/B1692,0)*B1692))</f>
        <v>#DIV/0!</v>
      </c>
      <c r="O1693" s="31" t="e">
        <f>IF(D1693="BUY",N1693-VLOOKUP(A1693,Symbols!A$1:D$1000,4,FALSE),N1693+VLOOKUP(A1693,Symbols!A$1:D$1000,4,FALSE))</f>
        <v>#DIV/0!</v>
      </c>
      <c r="P1693" s="29">
        <f>P1692</f>
        <v>0</v>
      </c>
      <c r="Q1693" s="29">
        <f>Q1692</f>
        <v>0</v>
      </c>
      <c r="R1693" s="29">
        <f>R1692</f>
        <v>0</v>
      </c>
      <c r="S1693" s="29">
        <f>S1692</f>
        <v>0</v>
      </c>
      <c r="T1693" s="29">
        <f>T1692</f>
        <v>0</v>
      </c>
      <c r="U1693" s="29" t="e">
        <f>DATEDIF(DATE(1970,1,1),U1692,"D")*86400</f>
        <v>#NUM!</v>
      </c>
      <c r="V1693" s="29">
        <f>HOUR(V1692)*3600+MINUTE(V1692)*60+SECOND(V1692)</f>
        <v>0</v>
      </c>
      <c r="W1693" s="29" t="e">
        <f>DATEDIF(DATE(1970,1,1),W1692,"D")*86400</f>
        <v>#NUM!</v>
      </c>
      <c r="X1693" s="29">
        <f>HOUR(X1692)*3600+MINUTE(X1692)*60+SECOND(X1692)</f>
        <v>0</v>
      </c>
      <c r="Y1693" s="31">
        <f>(Y1692*B1693)</f>
        <v>0</v>
      </c>
      <c r="Z1693" s="29">
        <f>Z1692</f>
        <v>0</v>
      </c>
      <c r="AA1693" s="29" t="e">
        <f>DATEDIF(DATE(1970,1,1),AA1692,"D")*86400</f>
        <v>#NUM!</v>
      </c>
      <c r="AB1693" s="29">
        <f>HOUR(AB1692)*3600+MINUTE(AB1692)*60+SECOND(AB1692)</f>
        <v>0</v>
      </c>
      <c r="AC1693" s="29">
        <f>AC1692</f>
        <v>0</v>
      </c>
    </row>
    <row r="1694" spans="1:29">
      <c r="A1694" s="23">
        <f>Parameters!A848</f>
        <v>0</v>
      </c>
      <c r="B1694" s="23">
        <f>Parameters!B848</f>
        <v>0</v>
      </c>
      <c r="C1694" s="24">
        <f>Parameters!C848</f>
        <v>0</v>
      </c>
      <c r="D1694" s="24">
        <f>Parameters!D848</f>
        <v>0</v>
      </c>
      <c r="E1694" s="23">
        <f>Parameters!E848</f>
        <v>0</v>
      </c>
      <c r="F1694" s="23">
        <f>Parameters!F848</f>
        <v>0</v>
      </c>
      <c r="G1694" s="25">
        <f>Parameters!G848</f>
        <v>0</v>
      </c>
      <c r="H1694" s="25">
        <f>Parameters!H848</f>
        <v>0</v>
      </c>
      <c r="I1694" s="25">
        <f>Parameters!I848</f>
        <v>0</v>
      </c>
      <c r="J1694" s="25">
        <f>Parameters!J848</f>
        <v>0</v>
      </c>
      <c r="K1694" s="25">
        <f>Parameters!K848</f>
        <v>0</v>
      </c>
      <c r="L1694" s="26" t="e">
        <f t="shared" ref="L1694" si="2535">L1695</f>
        <v>#DIV/0!</v>
      </c>
      <c r="M1694" s="25">
        <f>Parameters!L848</f>
        <v>0</v>
      </c>
      <c r="N1694" s="25">
        <f>Parameters!M848</f>
        <v>0</v>
      </c>
      <c r="O1694" s="26" t="e">
        <f t="shared" ref="O1694" si="2536">O1695</f>
        <v>#DIV/0!</v>
      </c>
      <c r="P1694" s="23">
        <f>Parameters!N848</f>
        <v>0</v>
      </c>
      <c r="Q1694" s="23">
        <f>Parameters!O848</f>
        <v>0</v>
      </c>
      <c r="R1694" s="23">
        <f>Parameters!P848</f>
        <v>0</v>
      </c>
      <c r="S1694" s="23">
        <f>Parameters!Q848</f>
        <v>0</v>
      </c>
      <c r="T1694" s="23">
        <f>Parameters!R848</f>
        <v>0</v>
      </c>
      <c r="U1694" s="27">
        <f>Parameters!S848</f>
        <v>0</v>
      </c>
      <c r="V1694" s="28">
        <f>Parameters!T848</f>
        <v>0</v>
      </c>
      <c r="W1694" s="27">
        <f>Parameters!U848</f>
        <v>0</v>
      </c>
      <c r="X1694" s="28">
        <f>Parameters!V848</f>
        <v>0</v>
      </c>
      <c r="Y1694" s="25">
        <f>Parameters!W848</f>
        <v>0</v>
      </c>
      <c r="Z1694" s="23">
        <f>Parameters!X848</f>
        <v>0</v>
      </c>
      <c r="AA1694" s="27">
        <f>Parameters!Y848</f>
        <v>0</v>
      </c>
      <c r="AB1694" s="28">
        <f>Parameters!Z848</f>
        <v>0</v>
      </c>
      <c r="AC1694" s="23">
        <f>Parameters!AA848</f>
        <v>0</v>
      </c>
    </row>
    <row r="1695" spans="1:29">
      <c r="A1695" s="29" t="str">
        <f>UPPER(A1694)</f>
        <v>0</v>
      </c>
      <c r="B1695" s="29">
        <f>B1694</f>
        <v>0</v>
      </c>
      <c r="C1695" s="30">
        <f>C1694</f>
        <v>0</v>
      </c>
      <c r="D1695" s="30">
        <f>D1694</f>
        <v>0</v>
      </c>
      <c r="E1695" s="29">
        <f>E1694</f>
        <v>0</v>
      </c>
      <c r="F1695" s="29">
        <f>F1694</f>
        <v>0</v>
      </c>
      <c r="G1695" s="29" t="e">
        <f>IF(C1694=1,IF(D1694="BUY",E1694+(ROUND(F1694*G1694/B1694,0)*B1694),E1694-(ROUND(F1694*G1694/B1694,0)*B1694)),IF(D1694="BUY",E1694-(ROUND(F1694*G1694/B1694,0)*B1694),E1694+(ROUND(F1694*G1694/B1694,0)*B1694)))</f>
        <v>#DIV/0!</v>
      </c>
      <c r="H1695" s="29" t="e">
        <f>IF(C1694=1,IF(D1694="BUY",G1695-(ROUND(F1694*H1694/B1694,0)*B1694),G1695+(ROUND(F1694*H1694/B1694,0)*B1694)),IF(D1694="BUY",G1695+(ROUND(F1694*H1694/B1694,0)*B1694),G1695-(ROUND(F1694*H1694/B1694,0)*B1694)))</f>
        <v>#DIV/0!</v>
      </c>
      <c r="I1695" s="29" t="e">
        <f>IF(D1694="BUY",G1695+(ROUND(F1694*I1694/(B1694*100),0)*B1694),G1695-(ROUND(F1694*I1694/(B1694*100),0)*B1694))</f>
        <v>#DIV/0!</v>
      </c>
      <c r="J1695" s="29" t="e">
        <f>IF(C1694=1,IF(D1694="BUY",E1694+(ROUND(F1694*J1694/B1694,0)*B1694),E1694-(ROUND(F1694*J1694/B1694,0)*B1694)),IF(D1694="BUY",E1694-(ROUND(F1694*J1694/B1694,0)*B1694),E1694+(ROUND(F1694*J1694/B1694,0)*B1694)))</f>
        <v>#DIV/0!</v>
      </c>
      <c r="K1695" s="29" t="e">
        <f>IF(C1694=1,IF(D1694="BUY",E1694-(ROUND(F1694*K1694/B1694,0)*B1694),E1694+(ROUND(F1694*K1694/B1694,0)*B1694)),IF(D1694="BUY",E1694-(ROUND(F1694*K1694/B1694,0)*B1694),E1694+(ROUND(F1694*K1694/B1694,0)*B1694)))</f>
        <v>#DIV/0!</v>
      </c>
      <c r="L1695" s="29" t="e">
        <f t="shared" ref="L1695" si="2537">IF(D1695="BUY",I1695+(R1695*B1695),I1695-(R1695*B1695))</f>
        <v>#DIV/0!</v>
      </c>
      <c r="M1695" s="29" t="e">
        <f>IF(D1694="BUY",E1694+(ROUND(F1694*M1694/B1694,0)*B1694),E1694-(ROUND(F1694*M1694/B1694,0)*B1694))</f>
        <v>#DIV/0!</v>
      </c>
      <c r="N1695" s="29" t="e">
        <f>IF(D1694="BUY",E1694-(ROUND(F1694*N1694/B1694,0)*B1694),E1694+(ROUND(F1694*N1694/B1694,0)*B1694))</f>
        <v>#DIV/0!</v>
      </c>
      <c r="O1695" s="31" t="e">
        <f>IF(D1695="BUY",N1695-VLOOKUP(A1695,Symbols!A$1:D$1000,4,FALSE),N1695+VLOOKUP(A1695,Symbols!A$1:D$1000,4,FALSE))</f>
        <v>#DIV/0!</v>
      </c>
      <c r="P1695" s="29">
        <f>P1694</f>
        <v>0</v>
      </c>
      <c r="Q1695" s="29">
        <f>Q1694</f>
        <v>0</v>
      </c>
      <c r="R1695" s="29">
        <f>R1694</f>
        <v>0</v>
      </c>
      <c r="S1695" s="29">
        <f>S1694</f>
        <v>0</v>
      </c>
      <c r="T1695" s="29">
        <f>T1694</f>
        <v>0</v>
      </c>
      <c r="U1695" s="29" t="e">
        <f>DATEDIF(DATE(1970,1,1),U1694,"D")*86400</f>
        <v>#NUM!</v>
      </c>
      <c r="V1695" s="29">
        <f>HOUR(V1694)*3600+MINUTE(V1694)*60+SECOND(V1694)</f>
        <v>0</v>
      </c>
      <c r="W1695" s="29" t="e">
        <f>DATEDIF(DATE(1970,1,1),W1694,"D")*86400</f>
        <v>#NUM!</v>
      </c>
      <c r="X1695" s="29">
        <f>HOUR(X1694)*3600+MINUTE(X1694)*60+SECOND(X1694)</f>
        <v>0</v>
      </c>
      <c r="Y1695" s="31">
        <f>(Y1694*B1695)</f>
        <v>0</v>
      </c>
      <c r="Z1695" s="29">
        <f>Z1694</f>
        <v>0</v>
      </c>
      <c r="AA1695" s="29" t="e">
        <f>DATEDIF(DATE(1970,1,1),AA1694,"D")*86400</f>
        <v>#NUM!</v>
      </c>
      <c r="AB1695" s="29">
        <f>HOUR(AB1694)*3600+MINUTE(AB1694)*60+SECOND(AB1694)</f>
        <v>0</v>
      </c>
      <c r="AC1695" s="29">
        <f>AC1694</f>
        <v>0</v>
      </c>
    </row>
    <row r="1696" spans="1:29">
      <c r="A1696" s="23">
        <f>Parameters!A849</f>
        <v>0</v>
      </c>
      <c r="B1696" s="23">
        <f>Parameters!B849</f>
        <v>0</v>
      </c>
      <c r="C1696" s="24">
        <f>Parameters!C849</f>
        <v>0</v>
      </c>
      <c r="D1696" s="24">
        <f>Parameters!D849</f>
        <v>0</v>
      </c>
      <c r="E1696" s="23">
        <f>Parameters!E849</f>
        <v>0</v>
      </c>
      <c r="F1696" s="23">
        <f>Parameters!F849</f>
        <v>0</v>
      </c>
      <c r="G1696" s="25">
        <f>Parameters!G849</f>
        <v>0</v>
      </c>
      <c r="H1696" s="25">
        <f>Parameters!H849</f>
        <v>0</v>
      </c>
      <c r="I1696" s="25">
        <f>Parameters!I849</f>
        <v>0</v>
      </c>
      <c r="J1696" s="25">
        <f>Parameters!J849</f>
        <v>0</v>
      </c>
      <c r="K1696" s="25">
        <f>Parameters!K849</f>
        <v>0</v>
      </c>
      <c r="L1696" s="26" t="e">
        <f t="shared" ref="L1696" si="2538">L1697</f>
        <v>#DIV/0!</v>
      </c>
      <c r="M1696" s="25">
        <f>Parameters!L849</f>
        <v>0</v>
      </c>
      <c r="N1696" s="25">
        <f>Parameters!M849</f>
        <v>0</v>
      </c>
      <c r="O1696" s="26" t="e">
        <f t="shared" ref="O1696" si="2539">O1697</f>
        <v>#DIV/0!</v>
      </c>
      <c r="P1696" s="23">
        <f>Parameters!N849</f>
        <v>0</v>
      </c>
      <c r="Q1696" s="23">
        <f>Parameters!O849</f>
        <v>0</v>
      </c>
      <c r="R1696" s="23">
        <f>Parameters!P849</f>
        <v>0</v>
      </c>
      <c r="S1696" s="23">
        <f>Parameters!Q849</f>
        <v>0</v>
      </c>
      <c r="T1696" s="23">
        <f>Parameters!R849</f>
        <v>0</v>
      </c>
      <c r="U1696" s="27">
        <f>Parameters!S849</f>
        <v>0</v>
      </c>
      <c r="V1696" s="28">
        <f>Parameters!T849</f>
        <v>0</v>
      </c>
      <c r="W1696" s="27">
        <f>Parameters!U849</f>
        <v>0</v>
      </c>
      <c r="X1696" s="28">
        <f>Parameters!V849</f>
        <v>0</v>
      </c>
      <c r="Y1696" s="25">
        <f>Parameters!W849</f>
        <v>0</v>
      </c>
      <c r="Z1696" s="23">
        <f>Parameters!X849</f>
        <v>0</v>
      </c>
      <c r="AA1696" s="27">
        <f>Parameters!Y849</f>
        <v>0</v>
      </c>
      <c r="AB1696" s="28">
        <f>Parameters!Z849</f>
        <v>0</v>
      </c>
      <c r="AC1696" s="23">
        <f>Parameters!AA849</f>
        <v>0</v>
      </c>
    </row>
    <row r="1697" spans="1:29">
      <c r="A1697" s="29" t="str">
        <f>UPPER(A1696)</f>
        <v>0</v>
      </c>
      <c r="B1697" s="29">
        <f>B1696</f>
        <v>0</v>
      </c>
      <c r="C1697" s="30">
        <f>C1696</f>
        <v>0</v>
      </c>
      <c r="D1697" s="30">
        <f>D1696</f>
        <v>0</v>
      </c>
      <c r="E1697" s="29">
        <f>E1696</f>
        <v>0</v>
      </c>
      <c r="F1697" s="29">
        <f>F1696</f>
        <v>0</v>
      </c>
      <c r="G1697" s="29" t="e">
        <f>IF(C1696=1,IF(D1696="BUY",E1696+(ROUND(F1696*G1696/B1696,0)*B1696),E1696-(ROUND(F1696*G1696/B1696,0)*B1696)),IF(D1696="BUY",E1696-(ROUND(F1696*G1696/B1696,0)*B1696),E1696+(ROUND(F1696*G1696/B1696,0)*B1696)))</f>
        <v>#DIV/0!</v>
      </c>
      <c r="H1697" s="29" t="e">
        <f>IF(C1696=1,IF(D1696="BUY",G1697-(ROUND(F1696*H1696/B1696,0)*B1696),G1697+(ROUND(F1696*H1696/B1696,0)*B1696)),IF(D1696="BUY",G1697+(ROUND(F1696*H1696/B1696,0)*B1696),G1697-(ROUND(F1696*H1696/B1696,0)*B1696)))</f>
        <v>#DIV/0!</v>
      </c>
      <c r="I1697" s="29" t="e">
        <f>IF(D1696="BUY",G1697+(ROUND(F1696*I1696/(B1696*100),0)*B1696),G1697-(ROUND(F1696*I1696/(B1696*100),0)*B1696))</f>
        <v>#DIV/0!</v>
      </c>
      <c r="J1697" s="29" t="e">
        <f>IF(C1696=1,IF(D1696="BUY",E1696+(ROUND(F1696*J1696/B1696,0)*B1696),E1696-(ROUND(F1696*J1696/B1696,0)*B1696)),IF(D1696="BUY",E1696-(ROUND(F1696*J1696/B1696,0)*B1696),E1696+(ROUND(F1696*J1696/B1696,0)*B1696)))</f>
        <v>#DIV/0!</v>
      </c>
      <c r="K1697" s="29" t="e">
        <f>IF(C1696=1,IF(D1696="BUY",E1696-(ROUND(F1696*K1696/B1696,0)*B1696),E1696+(ROUND(F1696*K1696/B1696,0)*B1696)),IF(D1696="BUY",E1696-(ROUND(F1696*K1696/B1696,0)*B1696),E1696+(ROUND(F1696*K1696/B1696,0)*B1696)))</f>
        <v>#DIV/0!</v>
      </c>
      <c r="L1697" s="29" t="e">
        <f t="shared" ref="L1697" si="2540">IF(D1697="BUY",I1697+(R1697*B1697),I1697-(R1697*B1697))</f>
        <v>#DIV/0!</v>
      </c>
      <c r="M1697" s="29" t="e">
        <f>IF(D1696="BUY",E1696+(ROUND(F1696*M1696/B1696,0)*B1696),E1696-(ROUND(F1696*M1696/B1696,0)*B1696))</f>
        <v>#DIV/0!</v>
      </c>
      <c r="N1697" s="29" t="e">
        <f>IF(D1696="BUY",E1696-(ROUND(F1696*N1696/B1696,0)*B1696),E1696+(ROUND(F1696*N1696/B1696,0)*B1696))</f>
        <v>#DIV/0!</v>
      </c>
      <c r="O1697" s="31" t="e">
        <f>IF(D1697="BUY",N1697-VLOOKUP(A1697,Symbols!A$1:D$1000,4,FALSE),N1697+VLOOKUP(A1697,Symbols!A$1:D$1000,4,FALSE))</f>
        <v>#DIV/0!</v>
      </c>
      <c r="P1697" s="29">
        <f>P1696</f>
        <v>0</v>
      </c>
      <c r="Q1697" s="29">
        <f>Q1696</f>
        <v>0</v>
      </c>
      <c r="R1697" s="29">
        <f>R1696</f>
        <v>0</v>
      </c>
      <c r="S1697" s="29">
        <f>S1696</f>
        <v>0</v>
      </c>
      <c r="T1697" s="29">
        <f>T1696</f>
        <v>0</v>
      </c>
      <c r="U1697" s="29" t="e">
        <f>DATEDIF(DATE(1970,1,1),U1696,"D")*86400</f>
        <v>#NUM!</v>
      </c>
      <c r="V1697" s="29">
        <f>HOUR(V1696)*3600+MINUTE(V1696)*60+SECOND(V1696)</f>
        <v>0</v>
      </c>
      <c r="W1697" s="29" t="e">
        <f>DATEDIF(DATE(1970,1,1),W1696,"D")*86400</f>
        <v>#NUM!</v>
      </c>
      <c r="X1697" s="29">
        <f>HOUR(X1696)*3600+MINUTE(X1696)*60+SECOND(X1696)</f>
        <v>0</v>
      </c>
      <c r="Y1697" s="31">
        <f>(Y1696*B1697)</f>
        <v>0</v>
      </c>
      <c r="Z1697" s="29">
        <f>Z1696</f>
        <v>0</v>
      </c>
      <c r="AA1697" s="29" t="e">
        <f>DATEDIF(DATE(1970,1,1),AA1696,"D")*86400</f>
        <v>#NUM!</v>
      </c>
      <c r="AB1697" s="29">
        <f>HOUR(AB1696)*3600+MINUTE(AB1696)*60+SECOND(AB1696)</f>
        <v>0</v>
      </c>
      <c r="AC1697" s="29">
        <f>AC1696</f>
        <v>0</v>
      </c>
    </row>
    <row r="1698" spans="1:29">
      <c r="A1698" s="23">
        <f>Parameters!A850</f>
        <v>0</v>
      </c>
      <c r="B1698" s="23">
        <f>Parameters!B850</f>
        <v>0</v>
      </c>
      <c r="C1698" s="24">
        <f>Parameters!C850</f>
        <v>0</v>
      </c>
      <c r="D1698" s="24">
        <f>Parameters!D850</f>
        <v>0</v>
      </c>
      <c r="E1698" s="23">
        <f>Parameters!E850</f>
        <v>0</v>
      </c>
      <c r="F1698" s="23">
        <f>Parameters!F850</f>
        <v>0</v>
      </c>
      <c r="G1698" s="25">
        <f>Parameters!G850</f>
        <v>0</v>
      </c>
      <c r="H1698" s="25">
        <f>Parameters!H850</f>
        <v>0</v>
      </c>
      <c r="I1698" s="25">
        <f>Parameters!I850</f>
        <v>0</v>
      </c>
      <c r="J1698" s="25">
        <f>Parameters!J850</f>
        <v>0</v>
      </c>
      <c r="K1698" s="25">
        <f>Parameters!K850</f>
        <v>0</v>
      </c>
      <c r="L1698" s="26" t="e">
        <f t="shared" ref="L1698" si="2541">L1699</f>
        <v>#DIV/0!</v>
      </c>
      <c r="M1698" s="25">
        <f>Parameters!L850</f>
        <v>0</v>
      </c>
      <c r="N1698" s="25">
        <f>Parameters!M850</f>
        <v>0</v>
      </c>
      <c r="O1698" s="26" t="e">
        <f t="shared" ref="O1698" si="2542">O1699</f>
        <v>#DIV/0!</v>
      </c>
      <c r="P1698" s="23">
        <f>Parameters!N850</f>
        <v>0</v>
      </c>
      <c r="Q1698" s="23">
        <f>Parameters!O850</f>
        <v>0</v>
      </c>
      <c r="R1698" s="23">
        <f>Parameters!P850</f>
        <v>0</v>
      </c>
      <c r="S1698" s="23">
        <f>Parameters!Q850</f>
        <v>0</v>
      </c>
      <c r="T1698" s="23">
        <f>Parameters!R850</f>
        <v>0</v>
      </c>
      <c r="U1698" s="27">
        <f>Parameters!S850</f>
        <v>0</v>
      </c>
      <c r="V1698" s="28">
        <f>Parameters!T850</f>
        <v>0</v>
      </c>
      <c r="W1698" s="27">
        <f>Parameters!U850</f>
        <v>0</v>
      </c>
      <c r="X1698" s="28">
        <f>Parameters!V850</f>
        <v>0</v>
      </c>
      <c r="Y1698" s="25">
        <f>Parameters!W850</f>
        <v>0</v>
      </c>
      <c r="Z1698" s="23">
        <f>Parameters!X850</f>
        <v>0</v>
      </c>
      <c r="AA1698" s="27">
        <f>Parameters!Y850</f>
        <v>0</v>
      </c>
      <c r="AB1698" s="28">
        <f>Parameters!Z850</f>
        <v>0</v>
      </c>
      <c r="AC1698" s="23">
        <f>Parameters!AA850</f>
        <v>0</v>
      </c>
    </row>
    <row r="1699" spans="1:29">
      <c r="A1699" s="29" t="str">
        <f>UPPER(A1698)</f>
        <v>0</v>
      </c>
      <c r="B1699" s="29">
        <f>B1698</f>
        <v>0</v>
      </c>
      <c r="C1699" s="30">
        <f>C1698</f>
        <v>0</v>
      </c>
      <c r="D1699" s="30">
        <f>D1698</f>
        <v>0</v>
      </c>
      <c r="E1699" s="29">
        <f>E1698</f>
        <v>0</v>
      </c>
      <c r="F1699" s="29">
        <f>F1698</f>
        <v>0</v>
      </c>
      <c r="G1699" s="29" t="e">
        <f>IF(C1698=1,IF(D1698="BUY",E1698+(ROUND(F1698*G1698/B1698,0)*B1698),E1698-(ROUND(F1698*G1698/B1698,0)*B1698)),IF(D1698="BUY",E1698-(ROUND(F1698*G1698/B1698,0)*B1698),E1698+(ROUND(F1698*G1698/B1698,0)*B1698)))</f>
        <v>#DIV/0!</v>
      </c>
      <c r="H1699" s="29" t="e">
        <f>IF(C1698=1,IF(D1698="BUY",G1699-(ROUND(F1698*H1698/B1698,0)*B1698),G1699+(ROUND(F1698*H1698/B1698,0)*B1698)),IF(D1698="BUY",G1699+(ROUND(F1698*H1698/B1698,0)*B1698),G1699-(ROUND(F1698*H1698/B1698,0)*B1698)))</f>
        <v>#DIV/0!</v>
      </c>
      <c r="I1699" s="29" t="e">
        <f>IF(D1698="BUY",G1699+(ROUND(F1698*I1698/(B1698*100),0)*B1698),G1699-(ROUND(F1698*I1698/(B1698*100),0)*B1698))</f>
        <v>#DIV/0!</v>
      </c>
      <c r="J1699" s="29" t="e">
        <f>IF(C1698=1,IF(D1698="BUY",E1698+(ROUND(F1698*J1698/B1698,0)*B1698),E1698-(ROUND(F1698*J1698/B1698,0)*B1698)),IF(D1698="BUY",E1698-(ROUND(F1698*J1698/B1698,0)*B1698),E1698+(ROUND(F1698*J1698/B1698,0)*B1698)))</f>
        <v>#DIV/0!</v>
      </c>
      <c r="K1699" s="29" t="e">
        <f>IF(C1698=1,IF(D1698="BUY",E1698-(ROUND(F1698*K1698/B1698,0)*B1698),E1698+(ROUND(F1698*K1698/B1698,0)*B1698)),IF(D1698="BUY",E1698-(ROUND(F1698*K1698/B1698,0)*B1698),E1698+(ROUND(F1698*K1698/B1698,0)*B1698)))</f>
        <v>#DIV/0!</v>
      </c>
      <c r="L1699" s="29" t="e">
        <f t="shared" ref="L1699" si="2543">IF(D1699="BUY",I1699+(R1699*B1699),I1699-(R1699*B1699))</f>
        <v>#DIV/0!</v>
      </c>
      <c r="M1699" s="29" t="e">
        <f>IF(D1698="BUY",E1698+(ROUND(F1698*M1698/B1698,0)*B1698),E1698-(ROUND(F1698*M1698/B1698,0)*B1698))</f>
        <v>#DIV/0!</v>
      </c>
      <c r="N1699" s="29" t="e">
        <f>IF(D1698="BUY",E1698-(ROUND(F1698*N1698/B1698,0)*B1698),E1698+(ROUND(F1698*N1698/B1698,0)*B1698))</f>
        <v>#DIV/0!</v>
      </c>
      <c r="O1699" s="31" t="e">
        <f>IF(D1699="BUY",N1699-VLOOKUP(A1699,Symbols!A$1:D$1000,4,FALSE),N1699+VLOOKUP(A1699,Symbols!A$1:D$1000,4,FALSE))</f>
        <v>#DIV/0!</v>
      </c>
      <c r="P1699" s="29">
        <f>P1698</f>
        <v>0</v>
      </c>
      <c r="Q1699" s="29">
        <f>Q1698</f>
        <v>0</v>
      </c>
      <c r="R1699" s="29">
        <f>R1698</f>
        <v>0</v>
      </c>
      <c r="S1699" s="29">
        <f>S1698</f>
        <v>0</v>
      </c>
      <c r="T1699" s="29">
        <f>T1698</f>
        <v>0</v>
      </c>
      <c r="U1699" s="29" t="e">
        <f>DATEDIF(DATE(1970,1,1),U1698,"D")*86400</f>
        <v>#NUM!</v>
      </c>
      <c r="V1699" s="29">
        <f>HOUR(V1698)*3600+MINUTE(V1698)*60+SECOND(V1698)</f>
        <v>0</v>
      </c>
      <c r="W1699" s="29" t="e">
        <f>DATEDIF(DATE(1970,1,1),W1698,"D")*86400</f>
        <v>#NUM!</v>
      </c>
      <c r="X1699" s="29">
        <f>HOUR(X1698)*3600+MINUTE(X1698)*60+SECOND(X1698)</f>
        <v>0</v>
      </c>
      <c r="Y1699" s="31">
        <f>(Y1698*B1699)</f>
        <v>0</v>
      </c>
      <c r="Z1699" s="29">
        <f>Z1698</f>
        <v>0</v>
      </c>
      <c r="AA1699" s="29" t="e">
        <f>DATEDIF(DATE(1970,1,1),AA1698,"D")*86400</f>
        <v>#NUM!</v>
      </c>
      <c r="AB1699" s="29">
        <f>HOUR(AB1698)*3600+MINUTE(AB1698)*60+SECOND(AB1698)</f>
        <v>0</v>
      </c>
      <c r="AC1699" s="29">
        <f>AC1698</f>
        <v>0</v>
      </c>
    </row>
    <row r="1700" spans="1:29">
      <c r="A1700" s="23">
        <f>Parameters!A851</f>
        <v>0</v>
      </c>
      <c r="B1700" s="23">
        <f>Parameters!B851</f>
        <v>0</v>
      </c>
      <c r="C1700" s="24">
        <f>Parameters!C851</f>
        <v>0</v>
      </c>
      <c r="D1700" s="24">
        <f>Parameters!D851</f>
        <v>0</v>
      </c>
      <c r="E1700" s="23">
        <f>Parameters!E851</f>
        <v>0</v>
      </c>
      <c r="F1700" s="23">
        <f>Parameters!F851</f>
        <v>0</v>
      </c>
      <c r="G1700" s="25">
        <f>Parameters!G851</f>
        <v>0</v>
      </c>
      <c r="H1700" s="25">
        <f>Parameters!H851</f>
        <v>0</v>
      </c>
      <c r="I1700" s="25">
        <f>Parameters!I851</f>
        <v>0</v>
      </c>
      <c r="J1700" s="25">
        <f>Parameters!J851</f>
        <v>0</v>
      </c>
      <c r="K1700" s="25">
        <f>Parameters!K851</f>
        <v>0</v>
      </c>
      <c r="L1700" s="26" t="e">
        <f t="shared" ref="L1700" si="2544">L1701</f>
        <v>#DIV/0!</v>
      </c>
      <c r="M1700" s="25">
        <f>Parameters!L851</f>
        <v>0</v>
      </c>
      <c r="N1700" s="25">
        <f>Parameters!M851</f>
        <v>0</v>
      </c>
      <c r="O1700" s="26" t="e">
        <f t="shared" ref="O1700" si="2545">O1701</f>
        <v>#DIV/0!</v>
      </c>
      <c r="P1700" s="23">
        <f>Parameters!N851</f>
        <v>0</v>
      </c>
      <c r="Q1700" s="23">
        <f>Parameters!O851</f>
        <v>0</v>
      </c>
      <c r="R1700" s="23">
        <f>Parameters!P851</f>
        <v>0</v>
      </c>
      <c r="S1700" s="23">
        <f>Parameters!Q851</f>
        <v>0</v>
      </c>
      <c r="T1700" s="23">
        <f>Parameters!R851</f>
        <v>0</v>
      </c>
      <c r="U1700" s="27">
        <f>Parameters!S851</f>
        <v>0</v>
      </c>
      <c r="V1700" s="28">
        <f>Parameters!T851</f>
        <v>0</v>
      </c>
      <c r="W1700" s="27">
        <f>Parameters!U851</f>
        <v>0</v>
      </c>
      <c r="X1700" s="28">
        <f>Parameters!V851</f>
        <v>0</v>
      </c>
      <c r="Y1700" s="25">
        <f>Parameters!W851</f>
        <v>0</v>
      </c>
      <c r="Z1700" s="23">
        <f>Parameters!X851</f>
        <v>0</v>
      </c>
      <c r="AA1700" s="27">
        <f>Parameters!Y851</f>
        <v>0</v>
      </c>
      <c r="AB1700" s="28">
        <f>Parameters!Z851</f>
        <v>0</v>
      </c>
      <c r="AC1700" s="23">
        <f>Parameters!AA851</f>
        <v>0</v>
      </c>
    </row>
    <row r="1701" spans="1:29">
      <c r="A1701" s="29" t="str">
        <f>UPPER(A1700)</f>
        <v>0</v>
      </c>
      <c r="B1701" s="29">
        <f>B1700</f>
        <v>0</v>
      </c>
      <c r="C1701" s="30">
        <f>C1700</f>
        <v>0</v>
      </c>
      <c r="D1701" s="30">
        <f>D1700</f>
        <v>0</v>
      </c>
      <c r="E1701" s="29">
        <f>E1700</f>
        <v>0</v>
      </c>
      <c r="F1701" s="29">
        <f>F1700</f>
        <v>0</v>
      </c>
      <c r="G1701" s="29" t="e">
        <f>IF(C1700=1,IF(D1700="BUY",E1700+(ROUND(F1700*G1700/B1700,0)*B1700),E1700-(ROUND(F1700*G1700/B1700,0)*B1700)),IF(D1700="BUY",E1700-(ROUND(F1700*G1700/B1700,0)*B1700),E1700+(ROUND(F1700*G1700/B1700,0)*B1700)))</f>
        <v>#DIV/0!</v>
      </c>
      <c r="H1701" s="29" t="e">
        <f>IF(C1700=1,IF(D1700="BUY",G1701-(ROUND(F1700*H1700/B1700,0)*B1700),G1701+(ROUND(F1700*H1700/B1700,0)*B1700)),IF(D1700="BUY",G1701+(ROUND(F1700*H1700/B1700,0)*B1700),G1701-(ROUND(F1700*H1700/B1700,0)*B1700)))</f>
        <v>#DIV/0!</v>
      </c>
      <c r="I1701" s="29" t="e">
        <f>IF(D1700="BUY",G1701+(ROUND(F1700*I1700/(B1700*100),0)*B1700),G1701-(ROUND(F1700*I1700/(B1700*100),0)*B1700))</f>
        <v>#DIV/0!</v>
      </c>
      <c r="J1701" s="29" t="e">
        <f>IF(C1700=1,IF(D1700="BUY",E1700+(ROUND(F1700*J1700/B1700,0)*B1700),E1700-(ROUND(F1700*J1700/B1700,0)*B1700)),IF(D1700="BUY",E1700-(ROUND(F1700*J1700/B1700,0)*B1700),E1700+(ROUND(F1700*J1700/B1700,0)*B1700)))</f>
        <v>#DIV/0!</v>
      </c>
      <c r="K1701" s="29" t="e">
        <f>IF(C1700=1,IF(D1700="BUY",E1700-(ROUND(F1700*K1700/B1700,0)*B1700),E1700+(ROUND(F1700*K1700/B1700,0)*B1700)),IF(D1700="BUY",E1700-(ROUND(F1700*K1700/B1700,0)*B1700),E1700+(ROUND(F1700*K1700/B1700,0)*B1700)))</f>
        <v>#DIV/0!</v>
      </c>
      <c r="L1701" s="29" t="e">
        <f t="shared" ref="L1701" si="2546">IF(D1701="BUY",I1701+(R1701*B1701),I1701-(R1701*B1701))</f>
        <v>#DIV/0!</v>
      </c>
      <c r="M1701" s="29" t="e">
        <f>IF(D1700="BUY",E1700+(ROUND(F1700*M1700/B1700,0)*B1700),E1700-(ROUND(F1700*M1700/B1700,0)*B1700))</f>
        <v>#DIV/0!</v>
      </c>
      <c r="N1701" s="29" t="e">
        <f>IF(D1700="BUY",E1700-(ROUND(F1700*N1700/B1700,0)*B1700),E1700+(ROUND(F1700*N1700/B1700,0)*B1700))</f>
        <v>#DIV/0!</v>
      </c>
      <c r="O1701" s="31" t="e">
        <f>IF(D1701="BUY",N1701-VLOOKUP(A1701,Symbols!A$1:D$1000,4,FALSE),N1701+VLOOKUP(A1701,Symbols!A$1:D$1000,4,FALSE))</f>
        <v>#DIV/0!</v>
      </c>
      <c r="P1701" s="29">
        <f>P1700</f>
        <v>0</v>
      </c>
      <c r="Q1701" s="29">
        <f>Q1700</f>
        <v>0</v>
      </c>
      <c r="R1701" s="29">
        <f>R1700</f>
        <v>0</v>
      </c>
      <c r="S1701" s="29">
        <f>S1700</f>
        <v>0</v>
      </c>
      <c r="T1701" s="29">
        <f>T1700</f>
        <v>0</v>
      </c>
      <c r="U1701" s="29" t="e">
        <f>DATEDIF(DATE(1970,1,1),U1700,"D")*86400</f>
        <v>#NUM!</v>
      </c>
      <c r="V1701" s="29">
        <f>HOUR(V1700)*3600+MINUTE(V1700)*60+SECOND(V1700)</f>
        <v>0</v>
      </c>
      <c r="W1701" s="29" t="e">
        <f>DATEDIF(DATE(1970,1,1),W1700,"D")*86400</f>
        <v>#NUM!</v>
      </c>
      <c r="X1701" s="29">
        <f>HOUR(X1700)*3600+MINUTE(X1700)*60+SECOND(X1700)</f>
        <v>0</v>
      </c>
      <c r="Y1701" s="31">
        <f>(Y1700*B1701)</f>
        <v>0</v>
      </c>
      <c r="Z1701" s="29">
        <f>Z1700</f>
        <v>0</v>
      </c>
      <c r="AA1701" s="29" t="e">
        <f>DATEDIF(DATE(1970,1,1),AA1700,"D")*86400</f>
        <v>#NUM!</v>
      </c>
      <c r="AB1701" s="29">
        <f>HOUR(AB1700)*3600+MINUTE(AB1700)*60+SECOND(AB1700)</f>
        <v>0</v>
      </c>
      <c r="AC1701" s="29">
        <f>AC1700</f>
        <v>0</v>
      </c>
    </row>
    <row r="1702" spans="1:29">
      <c r="A1702" s="23">
        <f>Parameters!A852</f>
        <v>0</v>
      </c>
      <c r="B1702" s="23">
        <f>Parameters!B852</f>
        <v>0</v>
      </c>
      <c r="C1702" s="24">
        <f>Parameters!C852</f>
        <v>0</v>
      </c>
      <c r="D1702" s="24">
        <f>Parameters!D852</f>
        <v>0</v>
      </c>
      <c r="E1702" s="23">
        <f>Parameters!E852</f>
        <v>0</v>
      </c>
      <c r="F1702" s="23">
        <f>Parameters!F852</f>
        <v>0</v>
      </c>
      <c r="G1702" s="25">
        <f>Parameters!G852</f>
        <v>0</v>
      </c>
      <c r="H1702" s="25">
        <f>Parameters!H852</f>
        <v>0</v>
      </c>
      <c r="I1702" s="25">
        <f>Parameters!I852</f>
        <v>0</v>
      </c>
      <c r="J1702" s="25">
        <f>Parameters!J852</f>
        <v>0</v>
      </c>
      <c r="K1702" s="25">
        <f>Parameters!K852</f>
        <v>0</v>
      </c>
      <c r="L1702" s="26" t="e">
        <f t="shared" ref="L1702" si="2547">L1703</f>
        <v>#DIV/0!</v>
      </c>
      <c r="M1702" s="25">
        <f>Parameters!L852</f>
        <v>0</v>
      </c>
      <c r="N1702" s="25">
        <f>Parameters!M852</f>
        <v>0</v>
      </c>
      <c r="O1702" s="26" t="e">
        <f t="shared" ref="O1702" si="2548">O1703</f>
        <v>#DIV/0!</v>
      </c>
      <c r="P1702" s="23">
        <f>Parameters!N852</f>
        <v>0</v>
      </c>
      <c r="Q1702" s="23">
        <f>Parameters!O852</f>
        <v>0</v>
      </c>
      <c r="R1702" s="23">
        <f>Parameters!P852</f>
        <v>0</v>
      </c>
      <c r="S1702" s="23">
        <f>Parameters!Q852</f>
        <v>0</v>
      </c>
      <c r="T1702" s="23">
        <f>Parameters!R852</f>
        <v>0</v>
      </c>
      <c r="U1702" s="27">
        <f>Parameters!S852</f>
        <v>0</v>
      </c>
      <c r="V1702" s="28">
        <f>Parameters!T852</f>
        <v>0</v>
      </c>
      <c r="W1702" s="27">
        <f>Parameters!U852</f>
        <v>0</v>
      </c>
      <c r="X1702" s="28">
        <f>Parameters!V852</f>
        <v>0</v>
      </c>
      <c r="Y1702" s="25">
        <f>Parameters!W852</f>
        <v>0</v>
      </c>
      <c r="Z1702" s="23">
        <f>Parameters!X852</f>
        <v>0</v>
      </c>
      <c r="AA1702" s="27">
        <f>Parameters!Y852</f>
        <v>0</v>
      </c>
      <c r="AB1702" s="28">
        <f>Parameters!Z852</f>
        <v>0</v>
      </c>
      <c r="AC1702" s="23">
        <f>Parameters!AA852</f>
        <v>0</v>
      </c>
    </row>
    <row r="1703" spans="1:29">
      <c r="A1703" s="29" t="str">
        <f>UPPER(A1702)</f>
        <v>0</v>
      </c>
      <c r="B1703" s="29">
        <f>B1702</f>
        <v>0</v>
      </c>
      <c r="C1703" s="30">
        <f>C1702</f>
        <v>0</v>
      </c>
      <c r="D1703" s="30">
        <f>D1702</f>
        <v>0</v>
      </c>
      <c r="E1703" s="29">
        <f>E1702</f>
        <v>0</v>
      </c>
      <c r="F1703" s="29">
        <f>F1702</f>
        <v>0</v>
      </c>
      <c r="G1703" s="29" t="e">
        <f>IF(C1702=1,IF(D1702="BUY",E1702+(ROUND(F1702*G1702/B1702,0)*B1702),E1702-(ROUND(F1702*G1702/B1702,0)*B1702)),IF(D1702="BUY",E1702-(ROUND(F1702*G1702/B1702,0)*B1702),E1702+(ROUND(F1702*G1702/B1702,0)*B1702)))</f>
        <v>#DIV/0!</v>
      </c>
      <c r="H1703" s="29" t="e">
        <f>IF(C1702=1,IF(D1702="BUY",G1703-(ROUND(F1702*H1702/B1702,0)*B1702),G1703+(ROUND(F1702*H1702/B1702,0)*B1702)),IF(D1702="BUY",G1703+(ROUND(F1702*H1702/B1702,0)*B1702),G1703-(ROUND(F1702*H1702/B1702,0)*B1702)))</f>
        <v>#DIV/0!</v>
      </c>
      <c r="I1703" s="29" t="e">
        <f>IF(D1702="BUY",G1703+(ROUND(F1702*I1702/(B1702*100),0)*B1702),G1703-(ROUND(F1702*I1702/(B1702*100),0)*B1702))</f>
        <v>#DIV/0!</v>
      </c>
      <c r="J1703" s="29" t="e">
        <f>IF(C1702=1,IF(D1702="BUY",E1702+(ROUND(F1702*J1702/B1702,0)*B1702),E1702-(ROUND(F1702*J1702/B1702,0)*B1702)),IF(D1702="BUY",E1702-(ROUND(F1702*J1702/B1702,0)*B1702),E1702+(ROUND(F1702*J1702/B1702,0)*B1702)))</f>
        <v>#DIV/0!</v>
      </c>
      <c r="K1703" s="29" t="e">
        <f>IF(C1702=1,IF(D1702="BUY",E1702-(ROUND(F1702*K1702/B1702,0)*B1702),E1702+(ROUND(F1702*K1702/B1702,0)*B1702)),IF(D1702="BUY",E1702-(ROUND(F1702*K1702/B1702,0)*B1702),E1702+(ROUND(F1702*K1702/B1702,0)*B1702)))</f>
        <v>#DIV/0!</v>
      </c>
      <c r="L1703" s="29" t="e">
        <f t="shared" ref="L1703" si="2549">IF(D1703="BUY",I1703+(R1703*B1703),I1703-(R1703*B1703))</f>
        <v>#DIV/0!</v>
      </c>
      <c r="M1703" s="29" t="e">
        <f>IF(D1702="BUY",E1702+(ROUND(F1702*M1702/B1702,0)*B1702),E1702-(ROUND(F1702*M1702/B1702,0)*B1702))</f>
        <v>#DIV/0!</v>
      </c>
      <c r="N1703" s="29" t="e">
        <f>IF(D1702="BUY",E1702-(ROUND(F1702*N1702/B1702,0)*B1702),E1702+(ROUND(F1702*N1702/B1702,0)*B1702))</f>
        <v>#DIV/0!</v>
      </c>
      <c r="O1703" s="31" t="e">
        <f>IF(D1703="BUY",N1703-VLOOKUP(A1703,Symbols!A$1:D$1000,4,FALSE),N1703+VLOOKUP(A1703,Symbols!A$1:D$1000,4,FALSE))</f>
        <v>#DIV/0!</v>
      </c>
      <c r="P1703" s="29">
        <f>P1702</f>
        <v>0</v>
      </c>
      <c r="Q1703" s="29">
        <f>Q1702</f>
        <v>0</v>
      </c>
      <c r="R1703" s="29">
        <f>R1702</f>
        <v>0</v>
      </c>
      <c r="S1703" s="29">
        <f>S1702</f>
        <v>0</v>
      </c>
      <c r="T1703" s="29">
        <f>T1702</f>
        <v>0</v>
      </c>
      <c r="U1703" s="29" t="e">
        <f>DATEDIF(DATE(1970,1,1),U1702,"D")*86400</f>
        <v>#NUM!</v>
      </c>
      <c r="V1703" s="29">
        <f>HOUR(V1702)*3600+MINUTE(V1702)*60+SECOND(V1702)</f>
        <v>0</v>
      </c>
      <c r="W1703" s="29" t="e">
        <f>DATEDIF(DATE(1970,1,1),W1702,"D")*86400</f>
        <v>#NUM!</v>
      </c>
      <c r="X1703" s="29">
        <f>HOUR(X1702)*3600+MINUTE(X1702)*60+SECOND(X1702)</f>
        <v>0</v>
      </c>
      <c r="Y1703" s="31">
        <f>(Y1702*B1703)</f>
        <v>0</v>
      </c>
      <c r="Z1703" s="29">
        <f>Z1702</f>
        <v>0</v>
      </c>
      <c r="AA1703" s="29" t="e">
        <f>DATEDIF(DATE(1970,1,1),AA1702,"D")*86400</f>
        <v>#NUM!</v>
      </c>
      <c r="AB1703" s="29">
        <f>HOUR(AB1702)*3600+MINUTE(AB1702)*60+SECOND(AB1702)</f>
        <v>0</v>
      </c>
      <c r="AC1703" s="29">
        <f>AC1702</f>
        <v>0</v>
      </c>
    </row>
    <row r="1704" spans="1:29">
      <c r="A1704" s="23">
        <f>Parameters!A853</f>
        <v>0</v>
      </c>
      <c r="B1704" s="23">
        <f>Parameters!B853</f>
        <v>0</v>
      </c>
      <c r="C1704" s="24">
        <f>Parameters!C853</f>
        <v>0</v>
      </c>
      <c r="D1704" s="24">
        <f>Parameters!D853</f>
        <v>0</v>
      </c>
      <c r="E1704" s="23">
        <f>Parameters!E853</f>
        <v>0</v>
      </c>
      <c r="F1704" s="23">
        <f>Parameters!F853</f>
        <v>0</v>
      </c>
      <c r="G1704" s="25">
        <f>Parameters!G853</f>
        <v>0</v>
      </c>
      <c r="H1704" s="25">
        <f>Parameters!H853</f>
        <v>0</v>
      </c>
      <c r="I1704" s="25">
        <f>Parameters!I853</f>
        <v>0</v>
      </c>
      <c r="J1704" s="25">
        <f>Parameters!J853</f>
        <v>0</v>
      </c>
      <c r="K1704" s="25">
        <f>Parameters!K853</f>
        <v>0</v>
      </c>
      <c r="L1704" s="26" t="e">
        <f t="shared" ref="L1704" si="2550">L1705</f>
        <v>#DIV/0!</v>
      </c>
      <c r="M1704" s="25">
        <f>Parameters!L853</f>
        <v>0</v>
      </c>
      <c r="N1704" s="25">
        <f>Parameters!M853</f>
        <v>0</v>
      </c>
      <c r="O1704" s="26" t="e">
        <f t="shared" ref="O1704" si="2551">O1705</f>
        <v>#DIV/0!</v>
      </c>
      <c r="P1704" s="23">
        <f>Parameters!N853</f>
        <v>0</v>
      </c>
      <c r="Q1704" s="23">
        <f>Parameters!O853</f>
        <v>0</v>
      </c>
      <c r="R1704" s="23">
        <f>Parameters!P853</f>
        <v>0</v>
      </c>
      <c r="S1704" s="23">
        <f>Parameters!Q853</f>
        <v>0</v>
      </c>
      <c r="T1704" s="23">
        <f>Parameters!R853</f>
        <v>0</v>
      </c>
      <c r="U1704" s="27">
        <f>Parameters!S853</f>
        <v>0</v>
      </c>
      <c r="V1704" s="28">
        <f>Parameters!T853</f>
        <v>0</v>
      </c>
      <c r="W1704" s="27">
        <f>Parameters!U853</f>
        <v>0</v>
      </c>
      <c r="X1704" s="28">
        <f>Parameters!V853</f>
        <v>0</v>
      </c>
      <c r="Y1704" s="25">
        <f>Parameters!W853</f>
        <v>0</v>
      </c>
      <c r="Z1704" s="23">
        <f>Parameters!X853</f>
        <v>0</v>
      </c>
      <c r="AA1704" s="27">
        <f>Parameters!Y853</f>
        <v>0</v>
      </c>
      <c r="AB1704" s="28">
        <f>Parameters!Z853</f>
        <v>0</v>
      </c>
      <c r="AC1704" s="23">
        <f>Parameters!AA853</f>
        <v>0</v>
      </c>
    </row>
    <row r="1705" spans="1:29">
      <c r="A1705" s="29" t="str">
        <f>UPPER(A1704)</f>
        <v>0</v>
      </c>
      <c r="B1705" s="29">
        <f>B1704</f>
        <v>0</v>
      </c>
      <c r="C1705" s="30">
        <f>C1704</f>
        <v>0</v>
      </c>
      <c r="D1705" s="30">
        <f>D1704</f>
        <v>0</v>
      </c>
      <c r="E1705" s="29">
        <f>E1704</f>
        <v>0</v>
      </c>
      <c r="F1705" s="29">
        <f>F1704</f>
        <v>0</v>
      </c>
      <c r="G1705" s="29" t="e">
        <f>IF(C1704=1,IF(D1704="BUY",E1704+(ROUND(F1704*G1704/B1704,0)*B1704),E1704-(ROUND(F1704*G1704/B1704,0)*B1704)),IF(D1704="BUY",E1704-(ROUND(F1704*G1704/B1704,0)*B1704),E1704+(ROUND(F1704*G1704/B1704,0)*B1704)))</f>
        <v>#DIV/0!</v>
      </c>
      <c r="H1705" s="29" t="e">
        <f>IF(C1704=1,IF(D1704="BUY",G1705-(ROUND(F1704*H1704/B1704,0)*B1704),G1705+(ROUND(F1704*H1704/B1704,0)*B1704)),IF(D1704="BUY",G1705+(ROUND(F1704*H1704/B1704,0)*B1704),G1705-(ROUND(F1704*H1704/B1704,0)*B1704)))</f>
        <v>#DIV/0!</v>
      </c>
      <c r="I1705" s="29" t="e">
        <f>IF(D1704="BUY",G1705+(ROUND(F1704*I1704/(B1704*100),0)*B1704),G1705-(ROUND(F1704*I1704/(B1704*100),0)*B1704))</f>
        <v>#DIV/0!</v>
      </c>
      <c r="J1705" s="29" t="e">
        <f>IF(C1704=1,IF(D1704="BUY",E1704+(ROUND(F1704*J1704/B1704,0)*B1704),E1704-(ROUND(F1704*J1704/B1704,0)*B1704)),IF(D1704="BUY",E1704-(ROUND(F1704*J1704/B1704,0)*B1704),E1704+(ROUND(F1704*J1704/B1704,0)*B1704)))</f>
        <v>#DIV/0!</v>
      </c>
      <c r="K1705" s="29" t="e">
        <f>IF(C1704=1,IF(D1704="BUY",E1704-(ROUND(F1704*K1704/B1704,0)*B1704),E1704+(ROUND(F1704*K1704/B1704,0)*B1704)),IF(D1704="BUY",E1704-(ROUND(F1704*K1704/B1704,0)*B1704),E1704+(ROUND(F1704*K1704/B1704,0)*B1704)))</f>
        <v>#DIV/0!</v>
      </c>
      <c r="L1705" s="29" t="e">
        <f t="shared" ref="L1705" si="2552">IF(D1705="BUY",I1705+(R1705*B1705),I1705-(R1705*B1705))</f>
        <v>#DIV/0!</v>
      </c>
      <c r="M1705" s="29" t="e">
        <f>IF(D1704="BUY",E1704+(ROUND(F1704*M1704/B1704,0)*B1704),E1704-(ROUND(F1704*M1704/B1704,0)*B1704))</f>
        <v>#DIV/0!</v>
      </c>
      <c r="N1705" s="29" t="e">
        <f>IF(D1704="BUY",E1704-(ROUND(F1704*N1704/B1704,0)*B1704),E1704+(ROUND(F1704*N1704/B1704,0)*B1704))</f>
        <v>#DIV/0!</v>
      </c>
      <c r="O1705" s="31" t="e">
        <f>IF(D1705="BUY",N1705-VLOOKUP(A1705,Symbols!A$1:D$1000,4,FALSE),N1705+VLOOKUP(A1705,Symbols!A$1:D$1000,4,FALSE))</f>
        <v>#DIV/0!</v>
      </c>
      <c r="P1705" s="29">
        <f>P1704</f>
        <v>0</v>
      </c>
      <c r="Q1705" s="29">
        <f>Q1704</f>
        <v>0</v>
      </c>
      <c r="R1705" s="29">
        <f>R1704</f>
        <v>0</v>
      </c>
      <c r="S1705" s="29">
        <f>S1704</f>
        <v>0</v>
      </c>
      <c r="T1705" s="29">
        <f>T1704</f>
        <v>0</v>
      </c>
      <c r="U1705" s="29" t="e">
        <f>DATEDIF(DATE(1970,1,1),U1704,"D")*86400</f>
        <v>#NUM!</v>
      </c>
      <c r="V1705" s="29">
        <f>HOUR(V1704)*3600+MINUTE(V1704)*60+SECOND(V1704)</f>
        <v>0</v>
      </c>
      <c r="W1705" s="29" t="e">
        <f>DATEDIF(DATE(1970,1,1),W1704,"D")*86400</f>
        <v>#NUM!</v>
      </c>
      <c r="X1705" s="29">
        <f>HOUR(X1704)*3600+MINUTE(X1704)*60+SECOND(X1704)</f>
        <v>0</v>
      </c>
      <c r="Y1705" s="31">
        <f>(Y1704*B1705)</f>
        <v>0</v>
      </c>
      <c r="Z1705" s="29">
        <f>Z1704</f>
        <v>0</v>
      </c>
      <c r="AA1705" s="29" t="e">
        <f>DATEDIF(DATE(1970,1,1),AA1704,"D")*86400</f>
        <v>#NUM!</v>
      </c>
      <c r="AB1705" s="29">
        <f>HOUR(AB1704)*3600+MINUTE(AB1704)*60+SECOND(AB1704)</f>
        <v>0</v>
      </c>
      <c r="AC1705" s="29">
        <f>AC1704</f>
        <v>0</v>
      </c>
    </row>
    <row r="1706" spans="1:29">
      <c r="A1706" s="23">
        <f>Parameters!A854</f>
        <v>0</v>
      </c>
      <c r="B1706" s="23">
        <f>Parameters!B854</f>
        <v>0</v>
      </c>
      <c r="C1706" s="24">
        <f>Parameters!C854</f>
        <v>0</v>
      </c>
      <c r="D1706" s="24">
        <f>Parameters!D854</f>
        <v>0</v>
      </c>
      <c r="E1706" s="23">
        <f>Parameters!E854</f>
        <v>0</v>
      </c>
      <c r="F1706" s="23">
        <f>Parameters!F854</f>
        <v>0</v>
      </c>
      <c r="G1706" s="25">
        <f>Parameters!G854</f>
        <v>0</v>
      </c>
      <c r="H1706" s="25">
        <f>Parameters!H854</f>
        <v>0</v>
      </c>
      <c r="I1706" s="25">
        <f>Parameters!I854</f>
        <v>0</v>
      </c>
      <c r="J1706" s="25">
        <f>Parameters!J854</f>
        <v>0</v>
      </c>
      <c r="K1706" s="25">
        <f>Parameters!K854</f>
        <v>0</v>
      </c>
      <c r="L1706" s="26" t="e">
        <f t="shared" ref="L1706" si="2553">L1707</f>
        <v>#DIV/0!</v>
      </c>
      <c r="M1706" s="25">
        <f>Parameters!L854</f>
        <v>0</v>
      </c>
      <c r="N1706" s="25">
        <f>Parameters!M854</f>
        <v>0</v>
      </c>
      <c r="O1706" s="26" t="e">
        <f t="shared" ref="O1706" si="2554">O1707</f>
        <v>#DIV/0!</v>
      </c>
      <c r="P1706" s="23">
        <f>Parameters!N854</f>
        <v>0</v>
      </c>
      <c r="Q1706" s="23">
        <f>Parameters!O854</f>
        <v>0</v>
      </c>
      <c r="R1706" s="23">
        <f>Parameters!P854</f>
        <v>0</v>
      </c>
      <c r="S1706" s="23">
        <f>Parameters!Q854</f>
        <v>0</v>
      </c>
      <c r="T1706" s="23">
        <f>Parameters!R854</f>
        <v>0</v>
      </c>
      <c r="U1706" s="27">
        <f>Parameters!S854</f>
        <v>0</v>
      </c>
      <c r="V1706" s="28">
        <f>Parameters!T854</f>
        <v>0</v>
      </c>
      <c r="W1706" s="27">
        <f>Parameters!U854</f>
        <v>0</v>
      </c>
      <c r="X1706" s="28">
        <f>Parameters!V854</f>
        <v>0</v>
      </c>
      <c r="Y1706" s="25">
        <f>Parameters!W854</f>
        <v>0</v>
      </c>
      <c r="Z1706" s="23">
        <f>Parameters!X854</f>
        <v>0</v>
      </c>
      <c r="AA1706" s="27">
        <f>Parameters!Y854</f>
        <v>0</v>
      </c>
      <c r="AB1706" s="28">
        <f>Parameters!Z854</f>
        <v>0</v>
      </c>
      <c r="AC1706" s="23">
        <f>Parameters!AA854</f>
        <v>0</v>
      </c>
    </row>
    <row r="1707" spans="1:29">
      <c r="A1707" s="29" t="str">
        <f>UPPER(A1706)</f>
        <v>0</v>
      </c>
      <c r="B1707" s="29">
        <f>B1706</f>
        <v>0</v>
      </c>
      <c r="C1707" s="30">
        <f>C1706</f>
        <v>0</v>
      </c>
      <c r="D1707" s="30">
        <f>D1706</f>
        <v>0</v>
      </c>
      <c r="E1707" s="29">
        <f>E1706</f>
        <v>0</v>
      </c>
      <c r="F1707" s="29">
        <f>F1706</f>
        <v>0</v>
      </c>
      <c r="G1707" s="29" t="e">
        <f>IF(C1706=1,IF(D1706="BUY",E1706+(ROUND(F1706*G1706/B1706,0)*B1706),E1706-(ROUND(F1706*G1706/B1706,0)*B1706)),IF(D1706="BUY",E1706-(ROUND(F1706*G1706/B1706,0)*B1706),E1706+(ROUND(F1706*G1706/B1706,0)*B1706)))</f>
        <v>#DIV/0!</v>
      </c>
      <c r="H1707" s="29" t="e">
        <f>IF(C1706=1,IF(D1706="BUY",G1707-(ROUND(F1706*H1706/B1706,0)*B1706),G1707+(ROUND(F1706*H1706/B1706,0)*B1706)),IF(D1706="BUY",G1707+(ROUND(F1706*H1706/B1706,0)*B1706),G1707-(ROUND(F1706*H1706/B1706,0)*B1706)))</f>
        <v>#DIV/0!</v>
      </c>
      <c r="I1707" s="29" t="e">
        <f>IF(D1706="BUY",G1707+(ROUND(F1706*I1706/(B1706*100),0)*B1706),G1707-(ROUND(F1706*I1706/(B1706*100),0)*B1706))</f>
        <v>#DIV/0!</v>
      </c>
      <c r="J1707" s="29" t="e">
        <f>IF(C1706=1,IF(D1706="BUY",E1706+(ROUND(F1706*J1706/B1706,0)*B1706),E1706-(ROUND(F1706*J1706/B1706,0)*B1706)),IF(D1706="BUY",E1706-(ROUND(F1706*J1706/B1706,0)*B1706),E1706+(ROUND(F1706*J1706/B1706,0)*B1706)))</f>
        <v>#DIV/0!</v>
      </c>
      <c r="K1707" s="29" t="e">
        <f>IF(C1706=1,IF(D1706="BUY",E1706-(ROUND(F1706*K1706/B1706,0)*B1706),E1706+(ROUND(F1706*K1706/B1706,0)*B1706)),IF(D1706="BUY",E1706-(ROUND(F1706*K1706/B1706,0)*B1706),E1706+(ROUND(F1706*K1706/B1706,0)*B1706)))</f>
        <v>#DIV/0!</v>
      </c>
      <c r="L1707" s="29" t="e">
        <f t="shared" ref="L1707" si="2555">IF(D1707="BUY",I1707+(R1707*B1707),I1707-(R1707*B1707))</f>
        <v>#DIV/0!</v>
      </c>
      <c r="M1707" s="29" t="e">
        <f>IF(D1706="BUY",E1706+(ROUND(F1706*M1706/B1706,0)*B1706),E1706-(ROUND(F1706*M1706/B1706,0)*B1706))</f>
        <v>#DIV/0!</v>
      </c>
      <c r="N1707" s="29" t="e">
        <f>IF(D1706="BUY",E1706-(ROUND(F1706*N1706/B1706,0)*B1706),E1706+(ROUND(F1706*N1706/B1706,0)*B1706))</f>
        <v>#DIV/0!</v>
      </c>
      <c r="O1707" s="31" t="e">
        <f>IF(D1707="BUY",N1707-VLOOKUP(A1707,Symbols!A$1:D$1000,4,FALSE),N1707+VLOOKUP(A1707,Symbols!A$1:D$1000,4,FALSE))</f>
        <v>#DIV/0!</v>
      </c>
      <c r="P1707" s="29">
        <f>P1706</f>
        <v>0</v>
      </c>
      <c r="Q1707" s="29">
        <f>Q1706</f>
        <v>0</v>
      </c>
      <c r="R1707" s="29">
        <f>R1706</f>
        <v>0</v>
      </c>
      <c r="S1707" s="29">
        <f>S1706</f>
        <v>0</v>
      </c>
      <c r="T1707" s="29">
        <f>T1706</f>
        <v>0</v>
      </c>
      <c r="U1707" s="29" t="e">
        <f>DATEDIF(DATE(1970,1,1),U1706,"D")*86400</f>
        <v>#NUM!</v>
      </c>
      <c r="V1707" s="29">
        <f>HOUR(V1706)*3600+MINUTE(V1706)*60+SECOND(V1706)</f>
        <v>0</v>
      </c>
      <c r="W1707" s="29" t="e">
        <f>DATEDIF(DATE(1970,1,1),W1706,"D")*86400</f>
        <v>#NUM!</v>
      </c>
      <c r="X1707" s="29">
        <f>HOUR(X1706)*3600+MINUTE(X1706)*60+SECOND(X1706)</f>
        <v>0</v>
      </c>
      <c r="Y1707" s="31">
        <f>(Y1706*B1707)</f>
        <v>0</v>
      </c>
      <c r="Z1707" s="29">
        <f>Z1706</f>
        <v>0</v>
      </c>
      <c r="AA1707" s="29" t="e">
        <f>DATEDIF(DATE(1970,1,1),AA1706,"D")*86400</f>
        <v>#NUM!</v>
      </c>
      <c r="AB1707" s="29">
        <f>HOUR(AB1706)*3600+MINUTE(AB1706)*60+SECOND(AB1706)</f>
        <v>0</v>
      </c>
      <c r="AC1707" s="29">
        <f>AC1706</f>
        <v>0</v>
      </c>
    </row>
    <row r="1708" spans="1:29">
      <c r="A1708" s="23">
        <f>Parameters!A855</f>
        <v>0</v>
      </c>
      <c r="B1708" s="23">
        <f>Parameters!B855</f>
        <v>0</v>
      </c>
      <c r="C1708" s="24">
        <f>Parameters!C855</f>
        <v>0</v>
      </c>
      <c r="D1708" s="24">
        <f>Parameters!D855</f>
        <v>0</v>
      </c>
      <c r="E1708" s="23">
        <f>Parameters!E855</f>
        <v>0</v>
      </c>
      <c r="F1708" s="23">
        <f>Parameters!F855</f>
        <v>0</v>
      </c>
      <c r="G1708" s="25">
        <f>Parameters!G855</f>
        <v>0</v>
      </c>
      <c r="H1708" s="25">
        <f>Parameters!H855</f>
        <v>0</v>
      </c>
      <c r="I1708" s="25">
        <f>Parameters!I855</f>
        <v>0</v>
      </c>
      <c r="J1708" s="25">
        <f>Parameters!J855</f>
        <v>0</v>
      </c>
      <c r="K1708" s="25">
        <f>Parameters!K855</f>
        <v>0</v>
      </c>
      <c r="L1708" s="26" t="e">
        <f t="shared" ref="L1708" si="2556">L1709</f>
        <v>#DIV/0!</v>
      </c>
      <c r="M1708" s="25">
        <f>Parameters!L855</f>
        <v>0</v>
      </c>
      <c r="N1708" s="25">
        <f>Parameters!M855</f>
        <v>0</v>
      </c>
      <c r="O1708" s="26" t="e">
        <f t="shared" ref="O1708" si="2557">O1709</f>
        <v>#DIV/0!</v>
      </c>
      <c r="P1708" s="23">
        <f>Parameters!N855</f>
        <v>0</v>
      </c>
      <c r="Q1708" s="23">
        <f>Parameters!O855</f>
        <v>0</v>
      </c>
      <c r="R1708" s="23">
        <f>Parameters!P855</f>
        <v>0</v>
      </c>
      <c r="S1708" s="23">
        <f>Parameters!Q855</f>
        <v>0</v>
      </c>
      <c r="T1708" s="23">
        <f>Parameters!R855</f>
        <v>0</v>
      </c>
      <c r="U1708" s="27">
        <f>Parameters!S855</f>
        <v>0</v>
      </c>
      <c r="V1708" s="28">
        <f>Parameters!T855</f>
        <v>0</v>
      </c>
      <c r="W1708" s="27">
        <f>Parameters!U855</f>
        <v>0</v>
      </c>
      <c r="X1708" s="28">
        <f>Parameters!V855</f>
        <v>0</v>
      </c>
      <c r="Y1708" s="25">
        <f>Parameters!W855</f>
        <v>0</v>
      </c>
      <c r="Z1708" s="23">
        <f>Parameters!X855</f>
        <v>0</v>
      </c>
      <c r="AA1708" s="27">
        <f>Parameters!Y855</f>
        <v>0</v>
      </c>
      <c r="AB1708" s="28">
        <f>Parameters!Z855</f>
        <v>0</v>
      </c>
      <c r="AC1708" s="23">
        <f>Parameters!AA855</f>
        <v>0</v>
      </c>
    </row>
    <row r="1709" spans="1:29">
      <c r="A1709" s="29" t="str">
        <f>UPPER(A1708)</f>
        <v>0</v>
      </c>
      <c r="B1709" s="29">
        <f>B1708</f>
        <v>0</v>
      </c>
      <c r="C1709" s="30">
        <f>C1708</f>
        <v>0</v>
      </c>
      <c r="D1709" s="30">
        <f>D1708</f>
        <v>0</v>
      </c>
      <c r="E1709" s="29">
        <f>E1708</f>
        <v>0</v>
      </c>
      <c r="F1709" s="29">
        <f>F1708</f>
        <v>0</v>
      </c>
      <c r="G1709" s="29" t="e">
        <f>IF(C1708=1,IF(D1708="BUY",E1708+(ROUND(F1708*G1708/B1708,0)*B1708),E1708-(ROUND(F1708*G1708/B1708,0)*B1708)),IF(D1708="BUY",E1708-(ROUND(F1708*G1708/B1708,0)*B1708),E1708+(ROUND(F1708*G1708/B1708,0)*B1708)))</f>
        <v>#DIV/0!</v>
      </c>
      <c r="H1709" s="29" t="e">
        <f>IF(C1708=1,IF(D1708="BUY",G1709-(ROUND(F1708*H1708/B1708,0)*B1708),G1709+(ROUND(F1708*H1708/B1708,0)*B1708)),IF(D1708="BUY",G1709+(ROUND(F1708*H1708/B1708,0)*B1708),G1709-(ROUND(F1708*H1708/B1708,0)*B1708)))</f>
        <v>#DIV/0!</v>
      </c>
      <c r="I1709" s="29" t="e">
        <f>IF(D1708="BUY",G1709+(ROUND(F1708*I1708/(B1708*100),0)*B1708),G1709-(ROUND(F1708*I1708/(B1708*100),0)*B1708))</f>
        <v>#DIV/0!</v>
      </c>
      <c r="J1709" s="29" t="e">
        <f>IF(C1708=1,IF(D1708="BUY",E1708+(ROUND(F1708*J1708/B1708,0)*B1708),E1708-(ROUND(F1708*J1708/B1708,0)*B1708)),IF(D1708="BUY",E1708-(ROUND(F1708*J1708/B1708,0)*B1708),E1708+(ROUND(F1708*J1708/B1708,0)*B1708)))</f>
        <v>#DIV/0!</v>
      </c>
      <c r="K1709" s="29" t="e">
        <f>IF(C1708=1,IF(D1708="BUY",E1708-(ROUND(F1708*K1708/B1708,0)*B1708),E1708+(ROUND(F1708*K1708/B1708,0)*B1708)),IF(D1708="BUY",E1708-(ROUND(F1708*K1708/B1708,0)*B1708),E1708+(ROUND(F1708*K1708/B1708,0)*B1708)))</f>
        <v>#DIV/0!</v>
      </c>
      <c r="L1709" s="29" t="e">
        <f t="shared" ref="L1709" si="2558">IF(D1709="BUY",I1709+(R1709*B1709),I1709-(R1709*B1709))</f>
        <v>#DIV/0!</v>
      </c>
      <c r="M1709" s="29" t="e">
        <f>IF(D1708="BUY",E1708+(ROUND(F1708*M1708/B1708,0)*B1708),E1708-(ROUND(F1708*M1708/B1708,0)*B1708))</f>
        <v>#DIV/0!</v>
      </c>
      <c r="N1709" s="29" t="e">
        <f>IF(D1708="BUY",E1708-(ROUND(F1708*N1708/B1708,0)*B1708),E1708+(ROUND(F1708*N1708/B1708,0)*B1708))</f>
        <v>#DIV/0!</v>
      </c>
      <c r="O1709" s="31" t="e">
        <f>IF(D1709="BUY",N1709-VLOOKUP(A1709,Symbols!A$1:D$1000,4,FALSE),N1709+VLOOKUP(A1709,Symbols!A$1:D$1000,4,FALSE))</f>
        <v>#DIV/0!</v>
      </c>
      <c r="P1709" s="29">
        <f>P1708</f>
        <v>0</v>
      </c>
      <c r="Q1709" s="29">
        <f>Q1708</f>
        <v>0</v>
      </c>
      <c r="R1709" s="29">
        <f>R1708</f>
        <v>0</v>
      </c>
      <c r="S1709" s="29">
        <f>S1708</f>
        <v>0</v>
      </c>
      <c r="T1709" s="29">
        <f>T1708</f>
        <v>0</v>
      </c>
      <c r="U1709" s="29" t="e">
        <f>DATEDIF(DATE(1970,1,1),U1708,"D")*86400</f>
        <v>#NUM!</v>
      </c>
      <c r="V1709" s="29">
        <f>HOUR(V1708)*3600+MINUTE(V1708)*60+SECOND(V1708)</f>
        <v>0</v>
      </c>
      <c r="W1709" s="29" t="e">
        <f>DATEDIF(DATE(1970,1,1),W1708,"D")*86400</f>
        <v>#NUM!</v>
      </c>
      <c r="X1709" s="29">
        <f>HOUR(X1708)*3600+MINUTE(X1708)*60+SECOND(X1708)</f>
        <v>0</v>
      </c>
      <c r="Y1709" s="31">
        <f>(Y1708*B1709)</f>
        <v>0</v>
      </c>
      <c r="Z1709" s="29">
        <f>Z1708</f>
        <v>0</v>
      </c>
      <c r="AA1709" s="29" t="e">
        <f>DATEDIF(DATE(1970,1,1),AA1708,"D")*86400</f>
        <v>#NUM!</v>
      </c>
      <c r="AB1709" s="29">
        <f>HOUR(AB1708)*3600+MINUTE(AB1708)*60+SECOND(AB1708)</f>
        <v>0</v>
      </c>
      <c r="AC1709" s="29">
        <f>AC1708</f>
        <v>0</v>
      </c>
    </row>
    <row r="1710" spans="1:29">
      <c r="A1710" s="23">
        <f>Parameters!A856</f>
        <v>0</v>
      </c>
      <c r="B1710" s="23">
        <f>Parameters!B856</f>
        <v>0</v>
      </c>
      <c r="C1710" s="24">
        <f>Parameters!C856</f>
        <v>0</v>
      </c>
      <c r="D1710" s="24">
        <f>Parameters!D856</f>
        <v>0</v>
      </c>
      <c r="E1710" s="23">
        <f>Parameters!E856</f>
        <v>0</v>
      </c>
      <c r="F1710" s="23">
        <f>Parameters!F856</f>
        <v>0</v>
      </c>
      <c r="G1710" s="25">
        <f>Parameters!G856</f>
        <v>0</v>
      </c>
      <c r="H1710" s="25">
        <f>Parameters!H856</f>
        <v>0</v>
      </c>
      <c r="I1710" s="25">
        <f>Parameters!I856</f>
        <v>0</v>
      </c>
      <c r="J1710" s="25">
        <f>Parameters!J856</f>
        <v>0</v>
      </c>
      <c r="K1710" s="25">
        <f>Parameters!K856</f>
        <v>0</v>
      </c>
      <c r="L1710" s="26" t="e">
        <f t="shared" ref="L1710" si="2559">L1711</f>
        <v>#DIV/0!</v>
      </c>
      <c r="M1710" s="25">
        <f>Parameters!L856</f>
        <v>0</v>
      </c>
      <c r="N1710" s="25">
        <f>Parameters!M856</f>
        <v>0</v>
      </c>
      <c r="O1710" s="26" t="e">
        <f t="shared" ref="O1710" si="2560">O1711</f>
        <v>#DIV/0!</v>
      </c>
      <c r="P1710" s="23">
        <f>Parameters!N856</f>
        <v>0</v>
      </c>
      <c r="Q1710" s="23">
        <f>Parameters!O856</f>
        <v>0</v>
      </c>
      <c r="R1710" s="23">
        <f>Parameters!P856</f>
        <v>0</v>
      </c>
      <c r="S1710" s="23">
        <f>Parameters!Q856</f>
        <v>0</v>
      </c>
      <c r="T1710" s="23">
        <f>Parameters!R856</f>
        <v>0</v>
      </c>
      <c r="U1710" s="27">
        <f>Parameters!S856</f>
        <v>0</v>
      </c>
      <c r="V1710" s="28">
        <f>Parameters!T856</f>
        <v>0</v>
      </c>
      <c r="W1710" s="27">
        <f>Parameters!U856</f>
        <v>0</v>
      </c>
      <c r="X1710" s="28">
        <f>Parameters!V856</f>
        <v>0</v>
      </c>
      <c r="Y1710" s="25">
        <f>Parameters!W856</f>
        <v>0</v>
      </c>
      <c r="Z1710" s="23">
        <f>Parameters!X856</f>
        <v>0</v>
      </c>
      <c r="AA1710" s="27">
        <f>Parameters!Y856</f>
        <v>0</v>
      </c>
      <c r="AB1710" s="28">
        <f>Parameters!Z856</f>
        <v>0</v>
      </c>
      <c r="AC1710" s="23">
        <f>Parameters!AA856</f>
        <v>0</v>
      </c>
    </row>
    <row r="1711" spans="1:29">
      <c r="A1711" s="29" t="str">
        <f>UPPER(A1710)</f>
        <v>0</v>
      </c>
      <c r="B1711" s="29">
        <f>B1710</f>
        <v>0</v>
      </c>
      <c r="C1711" s="30">
        <f>C1710</f>
        <v>0</v>
      </c>
      <c r="D1711" s="30">
        <f>D1710</f>
        <v>0</v>
      </c>
      <c r="E1711" s="29">
        <f>E1710</f>
        <v>0</v>
      </c>
      <c r="F1711" s="29">
        <f>F1710</f>
        <v>0</v>
      </c>
      <c r="G1711" s="29" t="e">
        <f>IF(C1710=1,IF(D1710="BUY",E1710+(ROUND(F1710*G1710/B1710,0)*B1710),E1710-(ROUND(F1710*G1710/B1710,0)*B1710)),IF(D1710="BUY",E1710-(ROUND(F1710*G1710/B1710,0)*B1710),E1710+(ROUND(F1710*G1710/B1710,0)*B1710)))</f>
        <v>#DIV/0!</v>
      </c>
      <c r="H1711" s="29" t="e">
        <f>IF(C1710=1,IF(D1710="BUY",G1711-(ROUND(F1710*H1710/B1710,0)*B1710),G1711+(ROUND(F1710*H1710/B1710,0)*B1710)),IF(D1710="BUY",G1711+(ROUND(F1710*H1710/B1710,0)*B1710),G1711-(ROUND(F1710*H1710/B1710,0)*B1710)))</f>
        <v>#DIV/0!</v>
      </c>
      <c r="I1711" s="29" t="e">
        <f>IF(D1710="BUY",G1711+(ROUND(F1710*I1710/(B1710*100),0)*B1710),G1711-(ROUND(F1710*I1710/(B1710*100),0)*B1710))</f>
        <v>#DIV/0!</v>
      </c>
      <c r="J1711" s="29" t="e">
        <f>IF(C1710=1,IF(D1710="BUY",E1710+(ROUND(F1710*J1710/B1710,0)*B1710),E1710-(ROUND(F1710*J1710/B1710,0)*B1710)),IF(D1710="BUY",E1710-(ROUND(F1710*J1710/B1710,0)*B1710),E1710+(ROUND(F1710*J1710/B1710,0)*B1710)))</f>
        <v>#DIV/0!</v>
      </c>
      <c r="K1711" s="29" t="e">
        <f>IF(C1710=1,IF(D1710="BUY",E1710-(ROUND(F1710*K1710/B1710,0)*B1710),E1710+(ROUND(F1710*K1710/B1710,0)*B1710)),IF(D1710="BUY",E1710-(ROUND(F1710*K1710/B1710,0)*B1710),E1710+(ROUND(F1710*K1710/B1710,0)*B1710)))</f>
        <v>#DIV/0!</v>
      </c>
      <c r="L1711" s="29" t="e">
        <f t="shared" ref="L1711" si="2561">IF(D1711="BUY",I1711+(R1711*B1711),I1711-(R1711*B1711))</f>
        <v>#DIV/0!</v>
      </c>
      <c r="M1711" s="29" t="e">
        <f>IF(D1710="BUY",E1710+(ROUND(F1710*M1710/B1710,0)*B1710),E1710-(ROUND(F1710*M1710/B1710,0)*B1710))</f>
        <v>#DIV/0!</v>
      </c>
      <c r="N1711" s="29" t="e">
        <f>IF(D1710="BUY",E1710-(ROUND(F1710*N1710/B1710,0)*B1710),E1710+(ROUND(F1710*N1710/B1710,0)*B1710))</f>
        <v>#DIV/0!</v>
      </c>
      <c r="O1711" s="31" t="e">
        <f>IF(D1711="BUY",N1711-VLOOKUP(A1711,Symbols!A$1:D$1000,4,FALSE),N1711+VLOOKUP(A1711,Symbols!A$1:D$1000,4,FALSE))</f>
        <v>#DIV/0!</v>
      </c>
      <c r="P1711" s="29">
        <f>P1710</f>
        <v>0</v>
      </c>
      <c r="Q1711" s="29">
        <f>Q1710</f>
        <v>0</v>
      </c>
      <c r="R1711" s="29">
        <f>R1710</f>
        <v>0</v>
      </c>
      <c r="S1711" s="29">
        <f>S1710</f>
        <v>0</v>
      </c>
      <c r="T1711" s="29">
        <f>T1710</f>
        <v>0</v>
      </c>
      <c r="U1711" s="29" t="e">
        <f>DATEDIF(DATE(1970,1,1),U1710,"D")*86400</f>
        <v>#NUM!</v>
      </c>
      <c r="V1711" s="29">
        <f>HOUR(V1710)*3600+MINUTE(V1710)*60+SECOND(V1710)</f>
        <v>0</v>
      </c>
      <c r="W1711" s="29" t="e">
        <f>DATEDIF(DATE(1970,1,1),W1710,"D")*86400</f>
        <v>#NUM!</v>
      </c>
      <c r="X1711" s="29">
        <f>HOUR(X1710)*3600+MINUTE(X1710)*60+SECOND(X1710)</f>
        <v>0</v>
      </c>
      <c r="Y1711" s="31">
        <f>(Y1710*B1711)</f>
        <v>0</v>
      </c>
      <c r="Z1711" s="29">
        <f>Z1710</f>
        <v>0</v>
      </c>
      <c r="AA1711" s="29" t="e">
        <f>DATEDIF(DATE(1970,1,1),AA1710,"D")*86400</f>
        <v>#NUM!</v>
      </c>
      <c r="AB1711" s="29">
        <f>HOUR(AB1710)*3600+MINUTE(AB1710)*60+SECOND(AB1710)</f>
        <v>0</v>
      </c>
      <c r="AC1711" s="29">
        <f>AC1710</f>
        <v>0</v>
      </c>
    </row>
    <row r="1712" spans="1:29">
      <c r="A1712" s="23">
        <f>Parameters!A857</f>
        <v>0</v>
      </c>
      <c r="B1712" s="23">
        <f>Parameters!B857</f>
        <v>0</v>
      </c>
      <c r="C1712" s="24">
        <f>Parameters!C857</f>
        <v>0</v>
      </c>
      <c r="D1712" s="24">
        <f>Parameters!D857</f>
        <v>0</v>
      </c>
      <c r="E1712" s="23">
        <f>Parameters!E857</f>
        <v>0</v>
      </c>
      <c r="F1712" s="23">
        <f>Parameters!F857</f>
        <v>0</v>
      </c>
      <c r="G1712" s="25">
        <f>Parameters!G857</f>
        <v>0</v>
      </c>
      <c r="H1712" s="25">
        <f>Parameters!H857</f>
        <v>0</v>
      </c>
      <c r="I1712" s="25">
        <f>Parameters!I857</f>
        <v>0</v>
      </c>
      <c r="J1712" s="25">
        <f>Parameters!J857</f>
        <v>0</v>
      </c>
      <c r="K1712" s="25">
        <f>Parameters!K857</f>
        <v>0</v>
      </c>
      <c r="L1712" s="26" t="e">
        <f t="shared" ref="L1712" si="2562">L1713</f>
        <v>#DIV/0!</v>
      </c>
      <c r="M1712" s="25">
        <f>Parameters!L857</f>
        <v>0</v>
      </c>
      <c r="N1712" s="25">
        <f>Parameters!M857</f>
        <v>0</v>
      </c>
      <c r="O1712" s="26" t="e">
        <f t="shared" ref="O1712" si="2563">O1713</f>
        <v>#DIV/0!</v>
      </c>
      <c r="P1712" s="23">
        <f>Parameters!N857</f>
        <v>0</v>
      </c>
      <c r="Q1712" s="23">
        <f>Parameters!O857</f>
        <v>0</v>
      </c>
      <c r="R1712" s="23">
        <f>Parameters!P857</f>
        <v>0</v>
      </c>
      <c r="S1712" s="23">
        <f>Parameters!Q857</f>
        <v>0</v>
      </c>
      <c r="T1712" s="23">
        <f>Parameters!R857</f>
        <v>0</v>
      </c>
      <c r="U1712" s="27">
        <f>Parameters!S857</f>
        <v>0</v>
      </c>
      <c r="V1712" s="28">
        <f>Parameters!T857</f>
        <v>0</v>
      </c>
      <c r="W1712" s="27">
        <f>Parameters!U857</f>
        <v>0</v>
      </c>
      <c r="X1712" s="28">
        <f>Parameters!V857</f>
        <v>0</v>
      </c>
      <c r="Y1712" s="25">
        <f>Parameters!W857</f>
        <v>0</v>
      </c>
      <c r="Z1712" s="23">
        <f>Parameters!X857</f>
        <v>0</v>
      </c>
      <c r="AA1712" s="27">
        <f>Parameters!Y857</f>
        <v>0</v>
      </c>
      <c r="AB1712" s="28">
        <f>Parameters!Z857</f>
        <v>0</v>
      </c>
      <c r="AC1712" s="23">
        <f>Parameters!AA857</f>
        <v>0</v>
      </c>
    </row>
    <row r="1713" spans="1:29">
      <c r="A1713" s="29" t="str">
        <f>UPPER(A1712)</f>
        <v>0</v>
      </c>
      <c r="B1713" s="29">
        <f>B1712</f>
        <v>0</v>
      </c>
      <c r="C1713" s="30">
        <f>C1712</f>
        <v>0</v>
      </c>
      <c r="D1713" s="30">
        <f>D1712</f>
        <v>0</v>
      </c>
      <c r="E1713" s="29">
        <f>E1712</f>
        <v>0</v>
      </c>
      <c r="F1713" s="29">
        <f>F1712</f>
        <v>0</v>
      </c>
      <c r="G1713" s="29" t="e">
        <f>IF(C1712=1,IF(D1712="BUY",E1712+(ROUND(F1712*G1712/B1712,0)*B1712),E1712-(ROUND(F1712*G1712/B1712,0)*B1712)),IF(D1712="BUY",E1712-(ROUND(F1712*G1712/B1712,0)*B1712),E1712+(ROUND(F1712*G1712/B1712,0)*B1712)))</f>
        <v>#DIV/0!</v>
      </c>
      <c r="H1713" s="29" t="e">
        <f>IF(C1712=1,IF(D1712="BUY",G1713-(ROUND(F1712*H1712/B1712,0)*B1712),G1713+(ROUND(F1712*H1712/B1712,0)*B1712)),IF(D1712="BUY",G1713+(ROUND(F1712*H1712/B1712,0)*B1712),G1713-(ROUND(F1712*H1712/B1712,0)*B1712)))</f>
        <v>#DIV/0!</v>
      </c>
      <c r="I1713" s="29" t="e">
        <f>IF(D1712="BUY",G1713+(ROUND(F1712*I1712/(B1712*100),0)*B1712),G1713-(ROUND(F1712*I1712/(B1712*100),0)*B1712))</f>
        <v>#DIV/0!</v>
      </c>
      <c r="J1713" s="29" t="e">
        <f>IF(C1712=1,IF(D1712="BUY",E1712+(ROUND(F1712*J1712/B1712,0)*B1712),E1712-(ROUND(F1712*J1712/B1712,0)*B1712)),IF(D1712="BUY",E1712-(ROUND(F1712*J1712/B1712,0)*B1712),E1712+(ROUND(F1712*J1712/B1712,0)*B1712)))</f>
        <v>#DIV/0!</v>
      </c>
      <c r="K1713" s="29" t="e">
        <f>IF(C1712=1,IF(D1712="BUY",E1712-(ROUND(F1712*K1712/B1712,0)*B1712),E1712+(ROUND(F1712*K1712/B1712,0)*B1712)),IF(D1712="BUY",E1712-(ROUND(F1712*K1712/B1712,0)*B1712),E1712+(ROUND(F1712*K1712/B1712,0)*B1712)))</f>
        <v>#DIV/0!</v>
      </c>
      <c r="L1713" s="29" t="e">
        <f t="shared" ref="L1713" si="2564">IF(D1713="BUY",I1713+(R1713*B1713),I1713-(R1713*B1713))</f>
        <v>#DIV/0!</v>
      </c>
      <c r="M1713" s="29" t="e">
        <f>IF(D1712="BUY",E1712+(ROUND(F1712*M1712/B1712,0)*B1712),E1712-(ROUND(F1712*M1712/B1712,0)*B1712))</f>
        <v>#DIV/0!</v>
      </c>
      <c r="N1713" s="29" t="e">
        <f>IF(D1712="BUY",E1712-(ROUND(F1712*N1712/B1712,0)*B1712),E1712+(ROUND(F1712*N1712/B1712,0)*B1712))</f>
        <v>#DIV/0!</v>
      </c>
      <c r="O1713" s="31" t="e">
        <f>IF(D1713="BUY",N1713-VLOOKUP(A1713,Symbols!A$1:D$1000,4,FALSE),N1713+VLOOKUP(A1713,Symbols!A$1:D$1000,4,FALSE))</f>
        <v>#DIV/0!</v>
      </c>
      <c r="P1713" s="29">
        <f>P1712</f>
        <v>0</v>
      </c>
      <c r="Q1713" s="29">
        <f>Q1712</f>
        <v>0</v>
      </c>
      <c r="R1713" s="29">
        <f>R1712</f>
        <v>0</v>
      </c>
      <c r="S1713" s="29">
        <f>S1712</f>
        <v>0</v>
      </c>
      <c r="T1713" s="29">
        <f>T1712</f>
        <v>0</v>
      </c>
      <c r="U1713" s="29" t="e">
        <f>DATEDIF(DATE(1970,1,1),U1712,"D")*86400</f>
        <v>#NUM!</v>
      </c>
      <c r="V1713" s="29">
        <f>HOUR(V1712)*3600+MINUTE(V1712)*60+SECOND(V1712)</f>
        <v>0</v>
      </c>
      <c r="W1713" s="29" t="e">
        <f>DATEDIF(DATE(1970,1,1),W1712,"D")*86400</f>
        <v>#NUM!</v>
      </c>
      <c r="X1713" s="29">
        <f>HOUR(X1712)*3600+MINUTE(X1712)*60+SECOND(X1712)</f>
        <v>0</v>
      </c>
      <c r="Y1713" s="31">
        <f>(Y1712*B1713)</f>
        <v>0</v>
      </c>
      <c r="Z1713" s="29">
        <f>Z1712</f>
        <v>0</v>
      </c>
      <c r="AA1713" s="29" t="e">
        <f>DATEDIF(DATE(1970,1,1),AA1712,"D")*86400</f>
        <v>#NUM!</v>
      </c>
      <c r="AB1713" s="29">
        <f>HOUR(AB1712)*3600+MINUTE(AB1712)*60+SECOND(AB1712)</f>
        <v>0</v>
      </c>
      <c r="AC1713" s="29">
        <f>AC1712</f>
        <v>0</v>
      </c>
    </row>
    <row r="1714" spans="1:29">
      <c r="A1714" s="23">
        <f>Parameters!A858</f>
        <v>0</v>
      </c>
      <c r="B1714" s="23">
        <f>Parameters!B858</f>
        <v>0</v>
      </c>
      <c r="C1714" s="24">
        <f>Parameters!C858</f>
        <v>0</v>
      </c>
      <c r="D1714" s="24">
        <f>Parameters!D858</f>
        <v>0</v>
      </c>
      <c r="E1714" s="23">
        <f>Parameters!E858</f>
        <v>0</v>
      </c>
      <c r="F1714" s="23">
        <f>Parameters!F858</f>
        <v>0</v>
      </c>
      <c r="G1714" s="25">
        <f>Parameters!G858</f>
        <v>0</v>
      </c>
      <c r="H1714" s="25">
        <f>Parameters!H858</f>
        <v>0</v>
      </c>
      <c r="I1714" s="25">
        <f>Parameters!I858</f>
        <v>0</v>
      </c>
      <c r="J1714" s="25">
        <f>Parameters!J858</f>
        <v>0</v>
      </c>
      <c r="K1714" s="25">
        <f>Parameters!K858</f>
        <v>0</v>
      </c>
      <c r="L1714" s="26" t="e">
        <f t="shared" ref="L1714" si="2565">L1715</f>
        <v>#DIV/0!</v>
      </c>
      <c r="M1714" s="25">
        <f>Parameters!L858</f>
        <v>0</v>
      </c>
      <c r="N1714" s="25">
        <f>Parameters!M858</f>
        <v>0</v>
      </c>
      <c r="O1714" s="26" t="e">
        <f t="shared" ref="O1714" si="2566">O1715</f>
        <v>#DIV/0!</v>
      </c>
      <c r="P1714" s="23">
        <f>Parameters!N858</f>
        <v>0</v>
      </c>
      <c r="Q1714" s="23">
        <f>Parameters!O858</f>
        <v>0</v>
      </c>
      <c r="R1714" s="23">
        <f>Parameters!P858</f>
        <v>0</v>
      </c>
      <c r="S1714" s="23">
        <f>Parameters!Q858</f>
        <v>0</v>
      </c>
      <c r="T1714" s="23">
        <f>Parameters!R858</f>
        <v>0</v>
      </c>
      <c r="U1714" s="27">
        <f>Parameters!S858</f>
        <v>0</v>
      </c>
      <c r="V1714" s="28">
        <f>Parameters!T858</f>
        <v>0</v>
      </c>
      <c r="W1714" s="27">
        <f>Parameters!U858</f>
        <v>0</v>
      </c>
      <c r="X1714" s="28">
        <f>Parameters!V858</f>
        <v>0</v>
      </c>
      <c r="Y1714" s="25">
        <f>Parameters!W858</f>
        <v>0</v>
      </c>
      <c r="Z1714" s="23">
        <f>Parameters!X858</f>
        <v>0</v>
      </c>
      <c r="AA1714" s="27">
        <f>Parameters!Y858</f>
        <v>0</v>
      </c>
      <c r="AB1714" s="28">
        <f>Parameters!Z858</f>
        <v>0</v>
      </c>
      <c r="AC1714" s="23">
        <f>Parameters!AA858</f>
        <v>0</v>
      </c>
    </row>
    <row r="1715" spans="1:29">
      <c r="A1715" s="29" t="str">
        <f>UPPER(A1714)</f>
        <v>0</v>
      </c>
      <c r="B1715" s="29">
        <f>B1714</f>
        <v>0</v>
      </c>
      <c r="C1715" s="30">
        <f>C1714</f>
        <v>0</v>
      </c>
      <c r="D1715" s="30">
        <f>D1714</f>
        <v>0</v>
      </c>
      <c r="E1715" s="29">
        <f>E1714</f>
        <v>0</v>
      </c>
      <c r="F1715" s="29">
        <f>F1714</f>
        <v>0</v>
      </c>
      <c r="G1715" s="29" t="e">
        <f>IF(C1714=1,IF(D1714="BUY",E1714+(ROUND(F1714*G1714/B1714,0)*B1714),E1714-(ROUND(F1714*G1714/B1714,0)*B1714)),IF(D1714="BUY",E1714-(ROUND(F1714*G1714/B1714,0)*B1714),E1714+(ROUND(F1714*G1714/B1714,0)*B1714)))</f>
        <v>#DIV/0!</v>
      </c>
      <c r="H1715" s="29" t="e">
        <f>IF(C1714=1,IF(D1714="BUY",G1715-(ROUND(F1714*H1714/B1714,0)*B1714),G1715+(ROUND(F1714*H1714/B1714,0)*B1714)),IF(D1714="BUY",G1715+(ROUND(F1714*H1714/B1714,0)*B1714),G1715-(ROUND(F1714*H1714/B1714,0)*B1714)))</f>
        <v>#DIV/0!</v>
      </c>
      <c r="I1715" s="29" t="e">
        <f>IF(D1714="BUY",G1715+(ROUND(F1714*I1714/(B1714*100),0)*B1714),G1715-(ROUND(F1714*I1714/(B1714*100),0)*B1714))</f>
        <v>#DIV/0!</v>
      </c>
      <c r="J1715" s="29" t="e">
        <f>IF(C1714=1,IF(D1714="BUY",E1714+(ROUND(F1714*J1714/B1714,0)*B1714),E1714-(ROUND(F1714*J1714/B1714,0)*B1714)),IF(D1714="BUY",E1714-(ROUND(F1714*J1714/B1714,0)*B1714),E1714+(ROUND(F1714*J1714/B1714,0)*B1714)))</f>
        <v>#DIV/0!</v>
      </c>
      <c r="K1715" s="29" t="e">
        <f>IF(C1714=1,IF(D1714="BUY",E1714-(ROUND(F1714*K1714/B1714,0)*B1714),E1714+(ROUND(F1714*K1714/B1714,0)*B1714)),IF(D1714="BUY",E1714-(ROUND(F1714*K1714/B1714,0)*B1714),E1714+(ROUND(F1714*K1714/B1714,0)*B1714)))</f>
        <v>#DIV/0!</v>
      </c>
      <c r="L1715" s="29" t="e">
        <f t="shared" ref="L1715" si="2567">IF(D1715="BUY",I1715+(R1715*B1715),I1715-(R1715*B1715))</f>
        <v>#DIV/0!</v>
      </c>
      <c r="M1715" s="29" t="e">
        <f>IF(D1714="BUY",E1714+(ROUND(F1714*M1714/B1714,0)*B1714),E1714-(ROUND(F1714*M1714/B1714,0)*B1714))</f>
        <v>#DIV/0!</v>
      </c>
      <c r="N1715" s="29" t="e">
        <f>IF(D1714="BUY",E1714-(ROUND(F1714*N1714/B1714,0)*B1714),E1714+(ROUND(F1714*N1714/B1714,0)*B1714))</f>
        <v>#DIV/0!</v>
      </c>
      <c r="O1715" s="31" t="e">
        <f>IF(D1715="BUY",N1715-VLOOKUP(A1715,Symbols!A$1:D$1000,4,FALSE),N1715+VLOOKUP(A1715,Symbols!A$1:D$1000,4,FALSE))</f>
        <v>#DIV/0!</v>
      </c>
      <c r="P1715" s="29">
        <f>P1714</f>
        <v>0</v>
      </c>
      <c r="Q1715" s="29">
        <f>Q1714</f>
        <v>0</v>
      </c>
      <c r="R1715" s="29">
        <f>R1714</f>
        <v>0</v>
      </c>
      <c r="S1715" s="29">
        <f>S1714</f>
        <v>0</v>
      </c>
      <c r="T1715" s="29">
        <f>T1714</f>
        <v>0</v>
      </c>
      <c r="U1715" s="29" t="e">
        <f>DATEDIF(DATE(1970,1,1),U1714,"D")*86400</f>
        <v>#NUM!</v>
      </c>
      <c r="V1715" s="29">
        <f>HOUR(V1714)*3600+MINUTE(V1714)*60+SECOND(V1714)</f>
        <v>0</v>
      </c>
      <c r="W1715" s="29" t="e">
        <f>DATEDIF(DATE(1970,1,1),W1714,"D")*86400</f>
        <v>#NUM!</v>
      </c>
      <c r="X1715" s="29">
        <f>HOUR(X1714)*3600+MINUTE(X1714)*60+SECOND(X1714)</f>
        <v>0</v>
      </c>
      <c r="Y1715" s="31">
        <f>(Y1714*B1715)</f>
        <v>0</v>
      </c>
      <c r="Z1715" s="29">
        <f>Z1714</f>
        <v>0</v>
      </c>
      <c r="AA1715" s="29" t="e">
        <f>DATEDIF(DATE(1970,1,1),AA1714,"D")*86400</f>
        <v>#NUM!</v>
      </c>
      <c r="AB1715" s="29">
        <f>HOUR(AB1714)*3600+MINUTE(AB1714)*60+SECOND(AB1714)</f>
        <v>0</v>
      </c>
      <c r="AC1715" s="29">
        <f>AC1714</f>
        <v>0</v>
      </c>
    </row>
    <row r="1716" spans="1:29">
      <c r="A1716" s="23">
        <f>Parameters!A859</f>
        <v>0</v>
      </c>
      <c r="B1716" s="23">
        <f>Parameters!B859</f>
        <v>0</v>
      </c>
      <c r="C1716" s="24">
        <f>Parameters!C859</f>
        <v>0</v>
      </c>
      <c r="D1716" s="24">
        <f>Parameters!D859</f>
        <v>0</v>
      </c>
      <c r="E1716" s="23">
        <f>Parameters!E859</f>
        <v>0</v>
      </c>
      <c r="F1716" s="23">
        <f>Parameters!F859</f>
        <v>0</v>
      </c>
      <c r="G1716" s="25">
        <f>Parameters!G859</f>
        <v>0</v>
      </c>
      <c r="H1716" s="25">
        <f>Parameters!H859</f>
        <v>0</v>
      </c>
      <c r="I1716" s="25">
        <f>Parameters!I859</f>
        <v>0</v>
      </c>
      <c r="J1716" s="25">
        <f>Parameters!J859</f>
        <v>0</v>
      </c>
      <c r="K1716" s="25">
        <f>Parameters!K859</f>
        <v>0</v>
      </c>
      <c r="L1716" s="26" t="e">
        <f t="shared" ref="L1716" si="2568">L1717</f>
        <v>#DIV/0!</v>
      </c>
      <c r="M1716" s="25">
        <f>Parameters!L859</f>
        <v>0</v>
      </c>
      <c r="N1716" s="25">
        <f>Parameters!M859</f>
        <v>0</v>
      </c>
      <c r="O1716" s="26" t="e">
        <f t="shared" ref="O1716" si="2569">O1717</f>
        <v>#DIV/0!</v>
      </c>
      <c r="P1716" s="23">
        <f>Parameters!N859</f>
        <v>0</v>
      </c>
      <c r="Q1716" s="23">
        <f>Parameters!O859</f>
        <v>0</v>
      </c>
      <c r="R1716" s="23">
        <f>Parameters!P859</f>
        <v>0</v>
      </c>
      <c r="S1716" s="23">
        <f>Parameters!Q859</f>
        <v>0</v>
      </c>
      <c r="T1716" s="23">
        <f>Parameters!R859</f>
        <v>0</v>
      </c>
      <c r="U1716" s="27">
        <f>Parameters!S859</f>
        <v>0</v>
      </c>
      <c r="V1716" s="28">
        <f>Parameters!T859</f>
        <v>0</v>
      </c>
      <c r="W1716" s="27">
        <f>Parameters!U859</f>
        <v>0</v>
      </c>
      <c r="X1716" s="28">
        <f>Parameters!V859</f>
        <v>0</v>
      </c>
      <c r="Y1716" s="25">
        <f>Parameters!W859</f>
        <v>0</v>
      </c>
      <c r="Z1716" s="23">
        <f>Parameters!X859</f>
        <v>0</v>
      </c>
      <c r="AA1716" s="27">
        <f>Parameters!Y859</f>
        <v>0</v>
      </c>
      <c r="AB1716" s="28">
        <f>Parameters!Z859</f>
        <v>0</v>
      </c>
      <c r="AC1716" s="23">
        <f>Parameters!AA859</f>
        <v>0</v>
      </c>
    </row>
    <row r="1717" spans="1:29">
      <c r="A1717" s="29" t="str">
        <f>UPPER(A1716)</f>
        <v>0</v>
      </c>
      <c r="B1717" s="29">
        <f>B1716</f>
        <v>0</v>
      </c>
      <c r="C1717" s="30">
        <f>C1716</f>
        <v>0</v>
      </c>
      <c r="D1717" s="30">
        <f>D1716</f>
        <v>0</v>
      </c>
      <c r="E1717" s="29">
        <f>E1716</f>
        <v>0</v>
      </c>
      <c r="F1717" s="29">
        <f>F1716</f>
        <v>0</v>
      </c>
      <c r="G1717" s="29" t="e">
        <f>IF(C1716=1,IF(D1716="BUY",E1716+(ROUND(F1716*G1716/B1716,0)*B1716),E1716-(ROUND(F1716*G1716/B1716,0)*B1716)),IF(D1716="BUY",E1716-(ROUND(F1716*G1716/B1716,0)*B1716),E1716+(ROUND(F1716*G1716/B1716,0)*B1716)))</f>
        <v>#DIV/0!</v>
      </c>
      <c r="H1717" s="29" t="e">
        <f>IF(C1716=1,IF(D1716="BUY",G1717-(ROUND(F1716*H1716/B1716,0)*B1716),G1717+(ROUND(F1716*H1716/B1716,0)*B1716)),IF(D1716="BUY",G1717+(ROUND(F1716*H1716/B1716,0)*B1716),G1717-(ROUND(F1716*H1716/B1716,0)*B1716)))</f>
        <v>#DIV/0!</v>
      </c>
      <c r="I1717" s="29" t="e">
        <f>IF(D1716="BUY",G1717+(ROUND(F1716*I1716/(B1716*100),0)*B1716),G1717-(ROUND(F1716*I1716/(B1716*100),0)*B1716))</f>
        <v>#DIV/0!</v>
      </c>
      <c r="J1717" s="29" t="e">
        <f>IF(C1716=1,IF(D1716="BUY",E1716+(ROUND(F1716*J1716/B1716,0)*B1716),E1716-(ROUND(F1716*J1716/B1716,0)*B1716)),IF(D1716="BUY",E1716-(ROUND(F1716*J1716/B1716,0)*B1716),E1716+(ROUND(F1716*J1716/B1716,0)*B1716)))</f>
        <v>#DIV/0!</v>
      </c>
      <c r="K1717" s="29" t="e">
        <f>IF(C1716=1,IF(D1716="BUY",E1716-(ROUND(F1716*K1716/B1716,0)*B1716),E1716+(ROUND(F1716*K1716/B1716,0)*B1716)),IF(D1716="BUY",E1716-(ROUND(F1716*K1716/B1716,0)*B1716),E1716+(ROUND(F1716*K1716/B1716,0)*B1716)))</f>
        <v>#DIV/0!</v>
      </c>
      <c r="L1717" s="29" t="e">
        <f t="shared" ref="L1717" si="2570">IF(D1717="BUY",I1717+(R1717*B1717),I1717-(R1717*B1717))</f>
        <v>#DIV/0!</v>
      </c>
      <c r="M1717" s="29" t="e">
        <f>IF(D1716="BUY",E1716+(ROUND(F1716*M1716/B1716,0)*B1716),E1716-(ROUND(F1716*M1716/B1716,0)*B1716))</f>
        <v>#DIV/0!</v>
      </c>
      <c r="N1717" s="29" t="e">
        <f>IF(D1716="BUY",E1716-(ROUND(F1716*N1716/B1716,0)*B1716),E1716+(ROUND(F1716*N1716/B1716,0)*B1716))</f>
        <v>#DIV/0!</v>
      </c>
      <c r="O1717" s="31" t="e">
        <f>IF(D1717="BUY",N1717-VLOOKUP(A1717,Symbols!A$1:D$1000,4,FALSE),N1717+VLOOKUP(A1717,Symbols!A$1:D$1000,4,FALSE))</f>
        <v>#DIV/0!</v>
      </c>
      <c r="P1717" s="29">
        <f>P1716</f>
        <v>0</v>
      </c>
      <c r="Q1717" s="29">
        <f>Q1716</f>
        <v>0</v>
      </c>
      <c r="R1717" s="29">
        <f>R1716</f>
        <v>0</v>
      </c>
      <c r="S1717" s="29">
        <f>S1716</f>
        <v>0</v>
      </c>
      <c r="T1717" s="29">
        <f>T1716</f>
        <v>0</v>
      </c>
      <c r="U1717" s="29" t="e">
        <f>DATEDIF(DATE(1970,1,1),U1716,"D")*86400</f>
        <v>#NUM!</v>
      </c>
      <c r="V1717" s="29">
        <f>HOUR(V1716)*3600+MINUTE(V1716)*60+SECOND(V1716)</f>
        <v>0</v>
      </c>
      <c r="W1717" s="29" t="e">
        <f>DATEDIF(DATE(1970,1,1),W1716,"D")*86400</f>
        <v>#NUM!</v>
      </c>
      <c r="X1717" s="29">
        <f>HOUR(X1716)*3600+MINUTE(X1716)*60+SECOND(X1716)</f>
        <v>0</v>
      </c>
      <c r="Y1717" s="31">
        <f>(Y1716*B1717)</f>
        <v>0</v>
      </c>
      <c r="Z1717" s="29">
        <f>Z1716</f>
        <v>0</v>
      </c>
      <c r="AA1717" s="29" t="e">
        <f>DATEDIF(DATE(1970,1,1),AA1716,"D")*86400</f>
        <v>#NUM!</v>
      </c>
      <c r="AB1717" s="29">
        <f>HOUR(AB1716)*3600+MINUTE(AB1716)*60+SECOND(AB1716)</f>
        <v>0</v>
      </c>
      <c r="AC1717" s="29">
        <f>AC1716</f>
        <v>0</v>
      </c>
    </row>
    <row r="1718" spans="1:29">
      <c r="A1718" s="23">
        <f>Parameters!A860</f>
        <v>0</v>
      </c>
      <c r="B1718" s="23">
        <f>Parameters!B860</f>
        <v>0</v>
      </c>
      <c r="C1718" s="24">
        <f>Parameters!C860</f>
        <v>0</v>
      </c>
      <c r="D1718" s="24">
        <f>Parameters!D860</f>
        <v>0</v>
      </c>
      <c r="E1718" s="23">
        <f>Parameters!E860</f>
        <v>0</v>
      </c>
      <c r="F1718" s="23">
        <f>Parameters!F860</f>
        <v>0</v>
      </c>
      <c r="G1718" s="25">
        <f>Parameters!G860</f>
        <v>0</v>
      </c>
      <c r="H1718" s="25">
        <f>Parameters!H860</f>
        <v>0</v>
      </c>
      <c r="I1718" s="25">
        <f>Parameters!I860</f>
        <v>0</v>
      </c>
      <c r="J1718" s="25">
        <f>Parameters!J860</f>
        <v>0</v>
      </c>
      <c r="K1718" s="25">
        <f>Parameters!K860</f>
        <v>0</v>
      </c>
      <c r="L1718" s="26" t="e">
        <f t="shared" ref="L1718" si="2571">L1719</f>
        <v>#DIV/0!</v>
      </c>
      <c r="M1718" s="25">
        <f>Parameters!L860</f>
        <v>0</v>
      </c>
      <c r="N1718" s="25">
        <f>Parameters!M860</f>
        <v>0</v>
      </c>
      <c r="O1718" s="26" t="e">
        <f t="shared" ref="O1718" si="2572">O1719</f>
        <v>#DIV/0!</v>
      </c>
      <c r="P1718" s="23">
        <f>Parameters!N860</f>
        <v>0</v>
      </c>
      <c r="Q1718" s="23">
        <f>Parameters!O860</f>
        <v>0</v>
      </c>
      <c r="R1718" s="23">
        <f>Parameters!P860</f>
        <v>0</v>
      </c>
      <c r="S1718" s="23">
        <f>Parameters!Q860</f>
        <v>0</v>
      </c>
      <c r="T1718" s="23">
        <f>Parameters!R860</f>
        <v>0</v>
      </c>
      <c r="U1718" s="27">
        <f>Parameters!S860</f>
        <v>0</v>
      </c>
      <c r="V1718" s="28">
        <f>Parameters!T860</f>
        <v>0</v>
      </c>
      <c r="W1718" s="27">
        <f>Parameters!U860</f>
        <v>0</v>
      </c>
      <c r="X1718" s="28">
        <f>Parameters!V860</f>
        <v>0</v>
      </c>
      <c r="Y1718" s="25">
        <f>Parameters!W860</f>
        <v>0</v>
      </c>
      <c r="Z1718" s="23">
        <f>Parameters!X860</f>
        <v>0</v>
      </c>
      <c r="AA1718" s="27">
        <f>Parameters!Y860</f>
        <v>0</v>
      </c>
      <c r="AB1718" s="28">
        <f>Parameters!Z860</f>
        <v>0</v>
      </c>
      <c r="AC1718" s="23">
        <f>Parameters!AA860</f>
        <v>0</v>
      </c>
    </row>
    <row r="1719" spans="1:29">
      <c r="A1719" s="29" t="str">
        <f>UPPER(A1718)</f>
        <v>0</v>
      </c>
      <c r="B1719" s="29">
        <f>B1718</f>
        <v>0</v>
      </c>
      <c r="C1719" s="30">
        <f>C1718</f>
        <v>0</v>
      </c>
      <c r="D1719" s="30">
        <f>D1718</f>
        <v>0</v>
      </c>
      <c r="E1719" s="29">
        <f>E1718</f>
        <v>0</v>
      </c>
      <c r="F1719" s="29">
        <f>F1718</f>
        <v>0</v>
      </c>
      <c r="G1719" s="29" t="e">
        <f>IF(C1718=1,IF(D1718="BUY",E1718+(ROUND(F1718*G1718/B1718,0)*B1718),E1718-(ROUND(F1718*G1718/B1718,0)*B1718)),IF(D1718="BUY",E1718-(ROUND(F1718*G1718/B1718,0)*B1718),E1718+(ROUND(F1718*G1718/B1718,0)*B1718)))</f>
        <v>#DIV/0!</v>
      </c>
      <c r="H1719" s="29" t="e">
        <f>IF(C1718=1,IF(D1718="BUY",G1719-(ROUND(F1718*H1718/B1718,0)*B1718),G1719+(ROUND(F1718*H1718/B1718,0)*B1718)),IF(D1718="BUY",G1719+(ROUND(F1718*H1718/B1718,0)*B1718),G1719-(ROUND(F1718*H1718/B1718,0)*B1718)))</f>
        <v>#DIV/0!</v>
      </c>
      <c r="I1719" s="29" t="e">
        <f>IF(D1718="BUY",G1719+(ROUND(F1718*I1718/(B1718*100),0)*B1718),G1719-(ROUND(F1718*I1718/(B1718*100),0)*B1718))</f>
        <v>#DIV/0!</v>
      </c>
      <c r="J1719" s="29" t="e">
        <f>IF(C1718=1,IF(D1718="BUY",E1718+(ROUND(F1718*J1718/B1718,0)*B1718),E1718-(ROUND(F1718*J1718/B1718,0)*B1718)),IF(D1718="BUY",E1718-(ROUND(F1718*J1718/B1718,0)*B1718),E1718+(ROUND(F1718*J1718/B1718,0)*B1718)))</f>
        <v>#DIV/0!</v>
      </c>
      <c r="K1719" s="29" t="e">
        <f>IF(C1718=1,IF(D1718="BUY",E1718-(ROUND(F1718*K1718/B1718,0)*B1718),E1718+(ROUND(F1718*K1718/B1718,0)*B1718)),IF(D1718="BUY",E1718-(ROUND(F1718*K1718/B1718,0)*B1718),E1718+(ROUND(F1718*K1718/B1718,0)*B1718)))</f>
        <v>#DIV/0!</v>
      </c>
      <c r="L1719" s="29" t="e">
        <f t="shared" ref="L1719" si="2573">IF(D1719="BUY",I1719+(R1719*B1719),I1719-(R1719*B1719))</f>
        <v>#DIV/0!</v>
      </c>
      <c r="M1719" s="29" t="e">
        <f>IF(D1718="BUY",E1718+(ROUND(F1718*M1718/B1718,0)*B1718),E1718-(ROUND(F1718*M1718/B1718,0)*B1718))</f>
        <v>#DIV/0!</v>
      </c>
      <c r="N1719" s="29" t="e">
        <f>IF(D1718="BUY",E1718-(ROUND(F1718*N1718/B1718,0)*B1718),E1718+(ROUND(F1718*N1718/B1718,0)*B1718))</f>
        <v>#DIV/0!</v>
      </c>
      <c r="O1719" s="31" t="e">
        <f>IF(D1719="BUY",N1719-VLOOKUP(A1719,Symbols!A$1:D$1000,4,FALSE),N1719+VLOOKUP(A1719,Symbols!A$1:D$1000,4,FALSE))</f>
        <v>#DIV/0!</v>
      </c>
      <c r="P1719" s="29">
        <f>P1718</f>
        <v>0</v>
      </c>
      <c r="Q1719" s="29">
        <f>Q1718</f>
        <v>0</v>
      </c>
      <c r="R1719" s="29">
        <f>R1718</f>
        <v>0</v>
      </c>
      <c r="S1719" s="29">
        <f>S1718</f>
        <v>0</v>
      </c>
      <c r="T1719" s="29">
        <f>T1718</f>
        <v>0</v>
      </c>
      <c r="U1719" s="29" t="e">
        <f>DATEDIF(DATE(1970,1,1),U1718,"D")*86400</f>
        <v>#NUM!</v>
      </c>
      <c r="V1719" s="29">
        <f>HOUR(V1718)*3600+MINUTE(V1718)*60+SECOND(V1718)</f>
        <v>0</v>
      </c>
      <c r="W1719" s="29" t="e">
        <f>DATEDIF(DATE(1970,1,1),W1718,"D")*86400</f>
        <v>#NUM!</v>
      </c>
      <c r="X1719" s="29">
        <f>HOUR(X1718)*3600+MINUTE(X1718)*60+SECOND(X1718)</f>
        <v>0</v>
      </c>
      <c r="Y1719" s="31">
        <f>(Y1718*B1719)</f>
        <v>0</v>
      </c>
      <c r="Z1719" s="29">
        <f>Z1718</f>
        <v>0</v>
      </c>
      <c r="AA1719" s="29" t="e">
        <f>DATEDIF(DATE(1970,1,1),AA1718,"D")*86400</f>
        <v>#NUM!</v>
      </c>
      <c r="AB1719" s="29">
        <f>HOUR(AB1718)*3600+MINUTE(AB1718)*60+SECOND(AB1718)</f>
        <v>0</v>
      </c>
      <c r="AC1719" s="29">
        <f>AC1718</f>
        <v>0</v>
      </c>
    </row>
    <row r="1720" spans="1:29">
      <c r="A1720" s="23">
        <f>Parameters!A861</f>
        <v>0</v>
      </c>
      <c r="B1720" s="23">
        <f>Parameters!B861</f>
        <v>0</v>
      </c>
      <c r="C1720" s="24">
        <f>Parameters!C861</f>
        <v>0</v>
      </c>
      <c r="D1720" s="24">
        <f>Parameters!D861</f>
        <v>0</v>
      </c>
      <c r="E1720" s="23">
        <f>Parameters!E861</f>
        <v>0</v>
      </c>
      <c r="F1720" s="23">
        <f>Parameters!F861</f>
        <v>0</v>
      </c>
      <c r="G1720" s="25">
        <f>Parameters!G861</f>
        <v>0</v>
      </c>
      <c r="H1720" s="25">
        <f>Parameters!H861</f>
        <v>0</v>
      </c>
      <c r="I1720" s="25">
        <f>Parameters!I861</f>
        <v>0</v>
      </c>
      <c r="J1720" s="25">
        <f>Parameters!J861</f>
        <v>0</v>
      </c>
      <c r="K1720" s="25">
        <f>Parameters!K861</f>
        <v>0</v>
      </c>
      <c r="L1720" s="26" t="e">
        <f t="shared" ref="L1720" si="2574">L1721</f>
        <v>#DIV/0!</v>
      </c>
      <c r="M1720" s="25">
        <f>Parameters!L861</f>
        <v>0</v>
      </c>
      <c r="N1720" s="25">
        <f>Parameters!M861</f>
        <v>0</v>
      </c>
      <c r="O1720" s="26" t="e">
        <f t="shared" ref="O1720" si="2575">O1721</f>
        <v>#DIV/0!</v>
      </c>
      <c r="P1720" s="23">
        <f>Parameters!N861</f>
        <v>0</v>
      </c>
      <c r="Q1720" s="23">
        <f>Parameters!O861</f>
        <v>0</v>
      </c>
      <c r="R1720" s="23">
        <f>Parameters!P861</f>
        <v>0</v>
      </c>
      <c r="S1720" s="23">
        <f>Parameters!Q861</f>
        <v>0</v>
      </c>
      <c r="T1720" s="23">
        <f>Parameters!R861</f>
        <v>0</v>
      </c>
      <c r="U1720" s="27">
        <f>Parameters!S861</f>
        <v>0</v>
      </c>
      <c r="V1720" s="28">
        <f>Parameters!T861</f>
        <v>0</v>
      </c>
      <c r="W1720" s="27">
        <f>Parameters!U861</f>
        <v>0</v>
      </c>
      <c r="X1720" s="28">
        <f>Parameters!V861</f>
        <v>0</v>
      </c>
      <c r="Y1720" s="25">
        <f>Parameters!W861</f>
        <v>0</v>
      </c>
      <c r="Z1720" s="23">
        <f>Parameters!X861</f>
        <v>0</v>
      </c>
      <c r="AA1720" s="27">
        <f>Parameters!Y861</f>
        <v>0</v>
      </c>
      <c r="AB1720" s="28">
        <f>Parameters!Z861</f>
        <v>0</v>
      </c>
      <c r="AC1720" s="23">
        <f>Parameters!AA861</f>
        <v>0</v>
      </c>
    </row>
    <row r="1721" spans="1:29">
      <c r="A1721" s="29" t="str">
        <f>UPPER(A1720)</f>
        <v>0</v>
      </c>
      <c r="B1721" s="29">
        <f>B1720</f>
        <v>0</v>
      </c>
      <c r="C1721" s="30">
        <f>C1720</f>
        <v>0</v>
      </c>
      <c r="D1721" s="30">
        <f>D1720</f>
        <v>0</v>
      </c>
      <c r="E1721" s="29">
        <f>E1720</f>
        <v>0</v>
      </c>
      <c r="F1721" s="29">
        <f>F1720</f>
        <v>0</v>
      </c>
      <c r="G1721" s="29" t="e">
        <f>IF(C1720=1,IF(D1720="BUY",E1720+(ROUND(F1720*G1720/B1720,0)*B1720),E1720-(ROUND(F1720*G1720/B1720,0)*B1720)),IF(D1720="BUY",E1720-(ROUND(F1720*G1720/B1720,0)*B1720),E1720+(ROUND(F1720*G1720/B1720,0)*B1720)))</f>
        <v>#DIV/0!</v>
      </c>
      <c r="H1721" s="29" t="e">
        <f>IF(C1720=1,IF(D1720="BUY",G1721-(ROUND(F1720*H1720/B1720,0)*B1720),G1721+(ROUND(F1720*H1720/B1720,0)*B1720)),IF(D1720="BUY",G1721+(ROUND(F1720*H1720/B1720,0)*B1720),G1721-(ROUND(F1720*H1720/B1720,0)*B1720)))</f>
        <v>#DIV/0!</v>
      </c>
      <c r="I1721" s="29" t="e">
        <f>IF(D1720="BUY",G1721+(ROUND(F1720*I1720/(B1720*100),0)*B1720),G1721-(ROUND(F1720*I1720/(B1720*100),0)*B1720))</f>
        <v>#DIV/0!</v>
      </c>
      <c r="J1721" s="29" t="e">
        <f>IF(C1720=1,IF(D1720="BUY",E1720+(ROUND(F1720*J1720/B1720,0)*B1720),E1720-(ROUND(F1720*J1720/B1720,0)*B1720)),IF(D1720="BUY",E1720-(ROUND(F1720*J1720/B1720,0)*B1720),E1720+(ROUND(F1720*J1720/B1720,0)*B1720)))</f>
        <v>#DIV/0!</v>
      </c>
      <c r="K1721" s="29" t="e">
        <f>IF(C1720=1,IF(D1720="BUY",E1720-(ROUND(F1720*K1720/B1720,0)*B1720),E1720+(ROUND(F1720*K1720/B1720,0)*B1720)),IF(D1720="BUY",E1720-(ROUND(F1720*K1720/B1720,0)*B1720),E1720+(ROUND(F1720*K1720/B1720,0)*B1720)))</f>
        <v>#DIV/0!</v>
      </c>
      <c r="L1721" s="29" t="e">
        <f t="shared" ref="L1721" si="2576">IF(D1721="BUY",I1721+(R1721*B1721),I1721-(R1721*B1721))</f>
        <v>#DIV/0!</v>
      </c>
      <c r="M1721" s="29" t="e">
        <f>IF(D1720="BUY",E1720+(ROUND(F1720*M1720/B1720,0)*B1720),E1720-(ROUND(F1720*M1720/B1720,0)*B1720))</f>
        <v>#DIV/0!</v>
      </c>
      <c r="N1721" s="29" t="e">
        <f>IF(D1720="BUY",E1720-(ROUND(F1720*N1720/B1720,0)*B1720),E1720+(ROUND(F1720*N1720/B1720,0)*B1720))</f>
        <v>#DIV/0!</v>
      </c>
      <c r="O1721" s="31" t="e">
        <f>IF(D1721="BUY",N1721-VLOOKUP(A1721,Symbols!A$1:D$1000,4,FALSE),N1721+VLOOKUP(A1721,Symbols!A$1:D$1000,4,FALSE))</f>
        <v>#DIV/0!</v>
      </c>
      <c r="P1721" s="29">
        <f>P1720</f>
        <v>0</v>
      </c>
      <c r="Q1721" s="29">
        <f>Q1720</f>
        <v>0</v>
      </c>
      <c r="R1721" s="29">
        <f>R1720</f>
        <v>0</v>
      </c>
      <c r="S1721" s="29">
        <f>S1720</f>
        <v>0</v>
      </c>
      <c r="T1721" s="29">
        <f>T1720</f>
        <v>0</v>
      </c>
      <c r="U1721" s="29" t="e">
        <f>DATEDIF(DATE(1970,1,1),U1720,"D")*86400</f>
        <v>#NUM!</v>
      </c>
      <c r="V1721" s="29">
        <f>HOUR(V1720)*3600+MINUTE(V1720)*60+SECOND(V1720)</f>
        <v>0</v>
      </c>
      <c r="W1721" s="29" t="e">
        <f>DATEDIF(DATE(1970,1,1),W1720,"D")*86400</f>
        <v>#NUM!</v>
      </c>
      <c r="X1721" s="29">
        <f>HOUR(X1720)*3600+MINUTE(X1720)*60+SECOND(X1720)</f>
        <v>0</v>
      </c>
      <c r="Y1721" s="31">
        <f>(Y1720*B1721)</f>
        <v>0</v>
      </c>
      <c r="Z1721" s="29">
        <f>Z1720</f>
        <v>0</v>
      </c>
      <c r="AA1721" s="29" t="e">
        <f>DATEDIF(DATE(1970,1,1),AA1720,"D")*86400</f>
        <v>#NUM!</v>
      </c>
      <c r="AB1721" s="29">
        <f>HOUR(AB1720)*3600+MINUTE(AB1720)*60+SECOND(AB1720)</f>
        <v>0</v>
      </c>
      <c r="AC1721" s="29">
        <f>AC1720</f>
        <v>0</v>
      </c>
    </row>
    <row r="1722" spans="1:29">
      <c r="A1722" s="23">
        <f>Parameters!A862</f>
        <v>0</v>
      </c>
      <c r="B1722" s="23">
        <f>Parameters!B862</f>
        <v>0</v>
      </c>
      <c r="C1722" s="24">
        <f>Parameters!C862</f>
        <v>0</v>
      </c>
      <c r="D1722" s="24">
        <f>Parameters!D862</f>
        <v>0</v>
      </c>
      <c r="E1722" s="23">
        <f>Parameters!E862</f>
        <v>0</v>
      </c>
      <c r="F1722" s="23">
        <f>Parameters!F862</f>
        <v>0</v>
      </c>
      <c r="G1722" s="25">
        <f>Parameters!G862</f>
        <v>0</v>
      </c>
      <c r="H1722" s="25">
        <f>Parameters!H862</f>
        <v>0</v>
      </c>
      <c r="I1722" s="25">
        <f>Parameters!I862</f>
        <v>0</v>
      </c>
      <c r="J1722" s="25">
        <f>Parameters!J862</f>
        <v>0</v>
      </c>
      <c r="K1722" s="25">
        <f>Parameters!K862</f>
        <v>0</v>
      </c>
      <c r="L1722" s="26" t="e">
        <f t="shared" ref="L1722" si="2577">L1723</f>
        <v>#DIV/0!</v>
      </c>
      <c r="M1722" s="25">
        <f>Parameters!L862</f>
        <v>0</v>
      </c>
      <c r="N1722" s="25">
        <f>Parameters!M862</f>
        <v>0</v>
      </c>
      <c r="O1722" s="26" t="e">
        <f t="shared" ref="O1722" si="2578">O1723</f>
        <v>#DIV/0!</v>
      </c>
      <c r="P1722" s="23">
        <f>Parameters!N862</f>
        <v>0</v>
      </c>
      <c r="Q1722" s="23">
        <f>Parameters!O862</f>
        <v>0</v>
      </c>
      <c r="R1722" s="23">
        <f>Parameters!P862</f>
        <v>0</v>
      </c>
      <c r="S1722" s="23">
        <f>Parameters!Q862</f>
        <v>0</v>
      </c>
      <c r="T1722" s="23">
        <f>Parameters!R862</f>
        <v>0</v>
      </c>
      <c r="U1722" s="27">
        <f>Parameters!S862</f>
        <v>0</v>
      </c>
      <c r="V1722" s="28">
        <f>Parameters!T862</f>
        <v>0</v>
      </c>
      <c r="W1722" s="27">
        <f>Parameters!U862</f>
        <v>0</v>
      </c>
      <c r="X1722" s="28">
        <f>Parameters!V862</f>
        <v>0</v>
      </c>
      <c r="Y1722" s="25">
        <f>Parameters!W862</f>
        <v>0</v>
      </c>
      <c r="Z1722" s="23">
        <f>Parameters!X862</f>
        <v>0</v>
      </c>
      <c r="AA1722" s="27">
        <f>Parameters!Y862</f>
        <v>0</v>
      </c>
      <c r="AB1722" s="28">
        <f>Parameters!Z862</f>
        <v>0</v>
      </c>
      <c r="AC1722" s="23">
        <f>Parameters!AA862</f>
        <v>0</v>
      </c>
    </row>
    <row r="1723" spans="1:29">
      <c r="A1723" s="29" t="str">
        <f>UPPER(A1722)</f>
        <v>0</v>
      </c>
      <c r="B1723" s="29">
        <f>B1722</f>
        <v>0</v>
      </c>
      <c r="C1723" s="30">
        <f>C1722</f>
        <v>0</v>
      </c>
      <c r="D1723" s="30">
        <f>D1722</f>
        <v>0</v>
      </c>
      <c r="E1723" s="29">
        <f>E1722</f>
        <v>0</v>
      </c>
      <c r="F1723" s="29">
        <f>F1722</f>
        <v>0</v>
      </c>
      <c r="G1723" s="29" t="e">
        <f>IF(C1722=1,IF(D1722="BUY",E1722+(ROUND(F1722*G1722/B1722,0)*B1722),E1722-(ROUND(F1722*G1722/B1722,0)*B1722)),IF(D1722="BUY",E1722-(ROUND(F1722*G1722/B1722,0)*B1722),E1722+(ROUND(F1722*G1722/B1722,0)*B1722)))</f>
        <v>#DIV/0!</v>
      </c>
      <c r="H1723" s="29" t="e">
        <f>IF(C1722=1,IF(D1722="BUY",G1723-(ROUND(F1722*H1722/B1722,0)*B1722),G1723+(ROUND(F1722*H1722/B1722,0)*B1722)),IF(D1722="BUY",G1723+(ROUND(F1722*H1722/B1722,0)*B1722),G1723-(ROUND(F1722*H1722/B1722,0)*B1722)))</f>
        <v>#DIV/0!</v>
      </c>
      <c r="I1723" s="29" t="e">
        <f>IF(D1722="BUY",G1723+(ROUND(F1722*I1722/(B1722*100),0)*B1722),G1723-(ROUND(F1722*I1722/(B1722*100),0)*B1722))</f>
        <v>#DIV/0!</v>
      </c>
      <c r="J1723" s="29" t="e">
        <f>IF(C1722=1,IF(D1722="BUY",E1722+(ROUND(F1722*J1722/B1722,0)*B1722),E1722-(ROUND(F1722*J1722/B1722,0)*B1722)),IF(D1722="BUY",E1722-(ROUND(F1722*J1722/B1722,0)*B1722),E1722+(ROUND(F1722*J1722/B1722,0)*B1722)))</f>
        <v>#DIV/0!</v>
      </c>
      <c r="K1723" s="29" t="e">
        <f>IF(C1722=1,IF(D1722="BUY",E1722-(ROUND(F1722*K1722/B1722,0)*B1722),E1722+(ROUND(F1722*K1722/B1722,0)*B1722)),IF(D1722="BUY",E1722-(ROUND(F1722*K1722/B1722,0)*B1722),E1722+(ROUND(F1722*K1722/B1722,0)*B1722)))</f>
        <v>#DIV/0!</v>
      </c>
      <c r="L1723" s="29" t="e">
        <f t="shared" ref="L1723" si="2579">IF(D1723="BUY",I1723+(R1723*B1723),I1723-(R1723*B1723))</f>
        <v>#DIV/0!</v>
      </c>
      <c r="M1723" s="29" t="e">
        <f>IF(D1722="BUY",E1722+(ROUND(F1722*M1722/B1722,0)*B1722),E1722-(ROUND(F1722*M1722/B1722,0)*B1722))</f>
        <v>#DIV/0!</v>
      </c>
      <c r="N1723" s="29" t="e">
        <f>IF(D1722="BUY",E1722-(ROUND(F1722*N1722/B1722,0)*B1722),E1722+(ROUND(F1722*N1722/B1722,0)*B1722))</f>
        <v>#DIV/0!</v>
      </c>
      <c r="O1723" s="31" t="e">
        <f>IF(D1723="BUY",N1723-VLOOKUP(A1723,Symbols!A$1:D$1000,4,FALSE),N1723+VLOOKUP(A1723,Symbols!A$1:D$1000,4,FALSE))</f>
        <v>#DIV/0!</v>
      </c>
      <c r="P1723" s="29">
        <f>P1722</f>
        <v>0</v>
      </c>
      <c r="Q1723" s="29">
        <f>Q1722</f>
        <v>0</v>
      </c>
      <c r="R1723" s="29">
        <f>R1722</f>
        <v>0</v>
      </c>
      <c r="S1723" s="29">
        <f>S1722</f>
        <v>0</v>
      </c>
      <c r="T1723" s="29">
        <f>T1722</f>
        <v>0</v>
      </c>
      <c r="U1723" s="29" t="e">
        <f>DATEDIF(DATE(1970,1,1),U1722,"D")*86400</f>
        <v>#NUM!</v>
      </c>
      <c r="V1723" s="29">
        <f>HOUR(V1722)*3600+MINUTE(V1722)*60+SECOND(V1722)</f>
        <v>0</v>
      </c>
      <c r="W1723" s="29" t="e">
        <f>DATEDIF(DATE(1970,1,1),W1722,"D")*86400</f>
        <v>#NUM!</v>
      </c>
      <c r="X1723" s="29">
        <f>HOUR(X1722)*3600+MINUTE(X1722)*60+SECOND(X1722)</f>
        <v>0</v>
      </c>
      <c r="Y1723" s="31">
        <f>(Y1722*B1723)</f>
        <v>0</v>
      </c>
      <c r="Z1723" s="29">
        <f>Z1722</f>
        <v>0</v>
      </c>
      <c r="AA1723" s="29" t="e">
        <f>DATEDIF(DATE(1970,1,1),AA1722,"D")*86400</f>
        <v>#NUM!</v>
      </c>
      <c r="AB1723" s="29">
        <f>HOUR(AB1722)*3600+MINUTE(AB1722)*60+SECOND(AB1722)</f>
        <v>0</v>
      </c>
      <c r="AC1723" s="29">
        <f>AC1722</f>
        <v>0</v>
      </c>
    </row>
    <row r="1724" spans="1:29">
      <c r="A1724" s="23">
        <f>Parameters!A863</f>
        <v>0</v>
      </c>
      <c r="B1724" s="23">
        <f>Parameters!B863</f>
        <v>0</v>
      </c>
      <c r="C1724" s="24">
        <f>Parameters!C863</f>
        <v>0</v>
      </c>
      <c r="D1724" s="24">
        <f>Parameters!D863</f>
        <v>0</v>
      </c>
      <c r="E1724" s="23">
        <f>Parameters!E863</f>
        <v>0</v>
      </c>
      <c r="F1724" s="23">
        <f>Parameters!F863</f>
        <v>0</v>
      </c>
      <c r="G1724" s="25">
        <f>Parameters!G863</f>
        <v>0</v>
      </c>
      <c r="H1724" s="25">
        <f>Parameters!H863</f>
        <v>0</v>
      </c>
      <c r="I1724" s="25">
        <f>Parameters!I863</f>
        <v>0</v>
      </c>
      <c r="J1724" s="25">
        <f>Parameters!J863</f>
        <v>0</v>
      </c>
      <c r="K1724" s="25">
        <f>Parameters!K863</f>
        <v>0</v>
      </c>
      <c r="L1724" s="26" t="e">
        <f t="shared" ref="L1724" si="2580">L1725</f>
        <v>#DIV/0!</v>
      </c>
      <c r="M1724" s="25">
        <f>Parameters!L863</f>
        <v>0</v>
      </c>
      <c r="N1724" s="25">
        <f>Parameters!M863</f>
        <v>0</v>
      </c>
      <c r="O1724" s="26" t="e">
        <f t="shared" ref="O1724" si="2581">O1725</f>
        <v>#DIV/0!</v>
      </c>
      <c r="P1724" s="23">
        <f>Parameters!N863</f>
        <v>0</v>
      </c>
      <c r="Q1724" s="23">
        <f>Parameters!O863</f>
        <v>0</v>
      </c>
      <c r="R1724" s="23">
        <f>Parameters!P863</f>
        <v>0</v>
      </c>
      <c r="S1724" s="23">
        <f>Parameters!Q863</f>
        <v>0</v>
      </c>
      <c r="T1724" s="23">
        <f>Parameters!R863</f>
        <v>0</v>
      </c>
      <c r="U1724" s="27">
        <f>Parameters!S863</f>
        <v>0</v>
      </c>
      <c r="V1724" s="28">
        <f>Parameters!T863</f>
        <v>0</v>
      </c>
      <c r="W1724" s="27">
        <f>Parameters!U863</f>
        <v>0</v>
      </c>
      <c r="X1724" s="28">
        <f>Parameters!V863</f>
        <v>0</v>
      </c>
      <c r="Y1724" s="25">
        <f>Parameters!W863</f>
        <v>0</v>
      </c>
      <c r="Z1724" s="23">
        <f>Parameters!X863</f>
        <v>0</v>
      </c>
      <c r="AA1724" s="27">
        <f>Parameters!Y863</f>
        <v>0</v>
      </c>
      <c r="AB1724" s="28">
        <f>Parameters!Z863</f>
        <v>0</v>
      </c>
      <c r="AC1724" s="23">
        <f>Parameters!AA863</f>
        <v>0</v>
      </c>
    </row>
    <row r="1725" spans="1:29">
      <c r="A1725" s="29" t="str">
        <f>UPPER(A1724)</f>
        <v>0</v>
      </c>
      <c r="B1725" s="29">
        <f>B1724</f>
        <v>0</v>
      </c>
      <c r="C1725" s="30">
        <f>C1724</f>
        <v>0</v>
      </c>
      <c r="D1725" s="30">
        <f>D1724</f>
        <v>0</v>
      </c>
      <c r="E1725" s="29">
        <f>E1724</f>
        <v>0</v>
      </c>
      <c r="F1725" s="29">
        <f>F1724</f>
        <v>0</v>
      </c>
      <c r="G1725" s="29" t="e">
        <f>IF(C1724=1,IF(D1724="BUY",E1724+(ROUND(F1724*G1724/B1724,0)*B1724),E1724-(ROUND(F1724*G1724/B1724,0)*B1724)),IF(D1724="BUY",E1724-(ROUND(F1724*G1724/B1724,0)*B1724),E1724+(ROUND(F1724*G1724/B1724,0)*B1724)))</f>
        <v>#DIV/0!</v>
      </c>
      <c r="H1725" s="29" t="e">
        <f>IF(C1724=1,IF(D1724="BUY",G1725-(ROUND(F1724*H1724/B1724,0)*B1724),G1725+(ROUND(F1724*H1724/B1724,0)*B1724)),IF(D1724="BUY",G1725+(ROUND(F1724*H1724/B1724,0)*B1724),G1725-(ROUND(F1724*H1724/B1724,0)*B1724)))</f>
        <v>#DIV/0!</v>
      </c>
      <c r="I1725" s="29" t="e">
        <f>IF(D1724="BUY",G1725+(ROUND(F1724*I1724/(B1724*100),0)*B1724),G1725-(ROUND(F1724*I1724/(B1724*100),0)*B1724))</f>
        <v>#DIV/0!</v>
      </c>
      <c r="J1725" s="29" t="e">
        <f>IF(C1724=1,IF(D1724="BUY",E1724+(ROUND(F1724*J1724/B1724,0)*B1724),E1724-(ROUND(F1724*J1724/B1724,0)*B1724)),IF(D1724="BUY",E1724-(ROUND(F1724*J1724/B1724,0)*B1724),E1724+(ROUND(F1724*J1724/B1724,0)*B1724)))</f>
        <v>#DIV/0!</v>
      </c>
      <c r="K1725" s="29" t="e">
        <f>IF(C1724=1,IF(D1724="BUY",E1724-(ROUND(F1724*K1724/B1724,0)*B1724),E1724+(ROUND(F1724*K1724/B1724,0)*B1724)),IF(D1724="BUY",E1724-(ROUND(F1724*K1724/B1724,0)*B1724),E1724+(ROUND(F1724*K1724/B1724,0)*B1724)))</f>
        <v>#DIV/0!</v>
      </c>
      <c r="L1725" s="29" t="e">
        <f t="shared" ref="L1725" si="2582">IF(D1725="BUY",I1725+(R1725*B1725),I1725-(R1725*B1725))</f>
        <v>#DIV/0!</v>
      </c>
      <c r="M1725" s="29" t="e">
        <f>IF(D1724="BUY",E1724+(ROUND(F1724*M1724/B1724,0)*B1724),E1724-(ROUND(F1724*M1724/B1724,0)*B1724))</f>
        <v>#DIV/0!</v>
      </c>
      <c r="N1725" s="29" t="e">
        <f>IF(D1724="BUY",E1724-(ROUND(F1724*N1724/B1724,0)*B1724),E1724+(ROUND(F1724*N1724/B1724,0)*B1724))</f>
        <v>#DIV/0!</v>
      </c>
      <c r="O1725" s="31" t="e">
        <f>IF(D1725="BUY",N1725-VLOOKUP(A1725,Symbols!A$1:D$1000,4,FALSE),N1725+VLOOKUP(A1725,Symbols!A$1:D$1000,4,FALSE))</f>
        <v>#DIV/0!</v>
      </c>
      <c r="P1725" s="29">
        <f>P1724</f>
        <v>0</v>
      </c>
      <c r="Q1725" s="29">
        <f>Q1724</f>
        <v>0</v>
      </c>
      <c r="R1725" s="29">
        <f>R1724</f>
        <v>0</v>
      </c>
      <c r="S1725" s="29">
        <f>S1724</f>
        <v>0</v>
      </c>
      <c r="T1725" s="29">
        <f>T1724</f>
        <v>0</v>
      </c>
      <c r="U1725" s="29" t="e">
        <f>DATEDIF(DATE(1970,1,1),U1724,"D")*86400</f>
        <v>#NUM!</v>
      </c>
      <c r="V1725" s="29">
        <f>HOUR(V1724)*3600+MINUTE(V1724)*60+SECOND(V1724)</f>
        <v>0</v>
      </c>
      <c r="W1725" s="29" t="e">
        <f>DATEDIF(DATE(1970,1,1),W1724,"D")*86400</f>
        <v>#NUM!</v>
      </c>
      <c r="X1725" s="29">
        <f>HOUR(X1724)*3600+MINUTE(X1724)*60+SECOND(X1724)</f>
        <v>0</v>
      </c>
      <c r="Y1725" s="31">
        <f>(Y1724*B1725)</f>
        <v>0</v>
      </c>
      <c r="Z1725" s="29">
        <f>Z1724</f>
        <v>0</v>
      </c>
      <c r="AA1725" s="29" t="e">
        <f>DATEDIF(DATE(1970,1,1),AA1724,"D")*86400</f>
        <v>#NUM!</v>
      </c>
      <c r="AB1725" s="29">
        <f>HOUR(AB1724)*3600+MINUTE(AB1724)*60+SECOND(AB1724)</f>
        <v>0</v>
      </c>
      <c r="AC1725" s="29">
        <f>AC1724</f>
        <v>0</v>
      </c>
    </row>
    <row r="1726" spans="1:29">
      <c r="A1726" s="23">
        <f>Parameters!A864</f>
        <v>0</v>
      </c>
      <c r="B1726" s="23">
        <f>Parameters!B864</f>
        <v>0</v>
      </c>
      <c r="C1726" s="24">
        <f>Parameters!C864</f>
        <v>0</v>
      </c>
      <c r="D1726" s="24">
        <f>Parameters!D864</f>
        <v>0</v>
      </c>
      <c r="E1726" s="23">
        <f>Parameters!E864</f>
        <v>0</v>
      </c>
      <c r="F1726" s="23">
        <f>Parameters!F864</f>
        <v>0</v>
      </c>
      <c r="G1726" s="25">
        <f>Parameters!G864</f>
        <v>0</v>
      </c>
      <c r="H1726" s="25">
        <f>Parameters!H864</f>
        <v>0</v>
      </c>
      <c r="I1726" s="25">
        <f>Parameters!I864</f>
        <v>0</v>
      </c>
      <c r="J1726" s="25">
        <f>Parameters!J864</f>
        <v>0</v>
      </c>
      <c r="K1726" s="25">
        <f>Parameters!K864</f>
        <v>0</v>
      </c>
      <c r="L1726" s="26" t="e">
        <f t="shared" ref="L1726" si="2583">L1727</f>
        <v>#DIV/0!</v>
      </c>
      <c r="M1726" s="25">
        <f>Parameters!L864</f>
        <v>0</v>
      </c>
      <c r="N1726" s="25">
        <f>Parameters!M864</f>
        <v>0</v>
      </c>
      <c r="O1726" s="26" t="e">
        <f t="shared" ref="O1726" si="2584">O1727</f>
        <v>#DIV/0!</v>
      </c>
      <c r="P1726" s="23">
        <f>Parameters!N864</f>
        <v>0</v>
      </c>
      <c r="Q1726" s="23">
        <f>Parameters!O864</f>
        <v>0</v>
      </c>
      <c r="R1726" s="23">
        <f>Parameters!P864</f>
        <v>0</v>
      </c>
      <c r="S1726" s="23">
        <f>Parameters!Q864</f>
        <v>0</v>
      </c>
      <c r="T1726" s="23">
        <f>Parameters!R864</f>
        <v>0</v>
      </c>
      <c r="U1726" s="27">
        <f>Parameters!S864</f>
        <v>0</v>
      </c>
      <c r="V1726" s="28">
        <f>Parameters!T864</f>
        <v>0</v>
      </c>
      <c r="W1726" s="27">
        <f>Parameters!U864</f>
        <v>0</v>
      </c>
      <c r="X1726" s="28">
        <f>Parameters!V864</f>
        <v>0</v>
      </c>
      <c r="Y1726" s="25">
        <f>Parameters!W864</f>
        <v>0</v>
      </c>
      <c r="Z1726" s="23">
        <f>Parameters!X864</f>
        <v>0</v>
      </c>
      <c r="AA1726" s="27">
        <f>Parameters!Y864</f>
        <v>0</v>
      </c>
      <c r="AB1726" s="28">
        <f>Parameters!Z864</f>
        <v>0</v>
      </c>
      <c r="AC1726" s="23">
        <f>Parameters!AA864</f>
        <v>0</v>
      </c>
    </row>
    <row r="1727" spans="1:29">
      <c r="A1727" s="29" t="str">
        <f>UPPER(A1726)</f>
        <v>0</v>
      </c>
      <c r="B1727" s="29">
        <f>B1726</f>
        <v>0</v>
      </c>
      <c r="C1727" s="30">
        <f>C1726</f>
        <v>0</v>
      </c>
      <c r="D1727" s="30">
        <f>D1726</f>
        <v>0</v>
      </c>
      <c r="E1727" s="29">
        <f>E1726</f>
        <v>0</v>
      </c>
      <c r="F1727" s="29">
        <f>F1726</f>
        <v>0</v>
      </c>
      <c r="G1727" s="29" t="e">
        <f>IF(C1726=1,IF(D1726="BUY",E1726+(ROUND(F1726*G1726/B1726,0)*B1726),E1726-(ROUND(F1726*G1726/B1726,0)*B1726)),IF(D1726="BUY",E1726-(ROUND(F1726*G1726/B1726,0)*B1726),E1726+(ROUND(F1726*G1726/B1726,0)*B1726)))</f>
        <v>#DIV/0!</v>
      </c>
      <c r="H1727" s="29" t="e">
        <f>IF(C1726=1,IF(D1726="BUY",G1727-(ROUND(F1726*H1726/B1726,0)*B1726),G1727+(ROUND(F1726*H1726/B1726,0)*B1726)),IF(D1726="BUY",G1727+(ROUND(F1726*H1726/B1726,0)*B1726),G1727-(ROUND(F1726*H1726/B1726,0)*B1726)))</f>
        <v>#DIV/0!</v>
      </c>
      <c r="I1727" s="29" t="e">
        <f>IF(D1726="BUY",G1727+(ROUND(F1726*I1726/(B1726*100),0)*B1726),G1727-(ROUND(F1726*I1726/(B1726*100),0)*B1726))</f>
        <v>#DIV/0!</v>
      </c>
      <c r="J1727" s="29" t="e">
        <f>IF(C1726=1,IF(D1726="BUY",E1726+(ROUND(F1726*J1726/B1726,0)*B1726),E1726-(ROUND(F1726*J1726/B1726,0)*B1726)),IF(D1726="BUY",E1726-(ROUND(F1726*J1726/B1726,0)*B1726),E1726+(ROUND(F1726*J1726/B1726,0)*B1726)))</f>
        <v>#DIV/0!</v>
      </c>
      <c r="K1727" s="29" t="e">
        <f>IF(C1726=1,IF(D1726="BUY",E1726-(ROUND(F1726*K1726/B1726,0)*B1726),E1726+(ROUND(F1726*K1726/B1726,0)*B1726)),IF(D1726="BUY",E1726-(ROUND(F1726*K1726/B1726,0)*B1726),E1726+(ROUND(F1726*K1726/B1726,0)*B1726)))</f>
        <v>#DIV/0!</v>
      </c>
      <c r="L1727" s="29" t="e">
        <f t="shared" ref="L1727" si="2585">IF(D1727="BUY",I1727+(R1727*B1727),I1727-(R1727*B1727))</f>
        <v>#DIV/0!</v>
      </c>
      <c r="M1727" s="29" t="e">
        <f>IF(D1726="BUY",E1726+(ROUND(F1726*M1726/B1726,0)*B1726),E1726-(ROUND(F1726*M1726/B1726,0)*B1726))</f>
        <v>#DIV/0!</v>
      </c>
      <c r="N1727" s="29" t="e">
        <f>IF(D1726="BUY",E1726-(ROUND(F1726*N1726/B1726,0)*B1726),E1726+(ROUND(F1726*N1726/B1726,0)*B1726))</f>
        <v>#DIV/0!</v>
      </c>
      <c r="O1727" s="31" t="e">
        <f>IF(D1727="BUY",N1727-VLOOKUP(A1727,Symbols!A$1:D$1000,4,FALSE),N1727+VLOOKUP(A1727,Symbols!A$1:D$1000,4,FALSE))</f>
        <v>#DIV/0!</v>
      </c>
      <c r="P1727" s="29">
        <f>P1726</f>
        <v>0</v>
      </c>
      <c r="Q1727" s="29">
        <f>Q1726</f>
        <v>0</v>
      </c>
      <c r="R1727" s="29">
        <f>R1726</f>
        <v>0</v>
      </c>
      <c r="S1727" s="29">
        <f>S1726</f>
        <v>0</v>
      </c>
      <c r="T1727" s="29">
        <f>T1726</f>
        <v>0</v>
      </c>
      <c r="U1727" s="29" t="e">
        <f>DATEDIF(DATE(1970,1,1),U1726,"D")*86400</f>
        <v>#NUM!</v>
      </c>
      <c r="V1727" s="29">
        <f>HOUR(V1726)*3600+MINUTE(V1726)*60+SECOND(V1726)</f>
        <v>0</v>
      </c>
      <c r="W1727" s="29" t="e">
        <f>DATEDIF(DATE(1970,1,1),W1726,"D")*86400</f>
        <v>#NUM!</v>
      </c>
      <c r="X1727" s="29">
        <f>HOUR(X1726)*3600+MINUTE(X1726)*60+SECOND(X1726)</f>
        <v>0</v>
      </c>
      <c r="Y1727" s="31">
        <f>(Y1726*B1727)</f>
        <v>0</v>
      </c>
      <c r="Z1727" s="29">
        <f>Z1726</f>
        <v>0</v>
      </c>
      <c r="AA1727" s="29" t="e">
        <f>DATEDIF(DATE(1970,1,1),AA1726,"D")*86400</f>
        <v>#NUM!</v>
      </c>
      <c r="AB1727" s="29">
        <f>HOUR(AB1726)*3600+MINUTE(AB1726)*60+SECOND(AB1726)</f>
        <v>0</v>
      </c>
      <c r="AC1727" s="29">
        <f>AC1726</f>
        <v>0</v>
      </c>
    </row>
    <row r="1728" spans="1:29">
      <c r="A1728" s="23">
        <f>Parameters!A865</f>
        <v>0</v>
      </c>
      <c r="B1728" s="23">
        <f>Parameters!B865</f>
        <v>0</v>
      </c>
      <c r="C1728" s="24">
        <f>Parameters!C865</f>
        <v>0</v>
      </c>
      <c r="D1728" s="24">
        <f>Parameters!D865</f>
        <v>0</v>
      </c>
      <c r="E1728" s="23">
        <f>Parameters!E865</f>
        <v>0</v>
      </c>
      <c r="F1728" s="23">
        <f>Parameters!F865</f>
        <v>0</v>
      </c>
      <c r="G1728" s="25">
        <f>Parameters!G865</f>
        <v>0</v>
      </c>
      <c r="H1728" s="25">
        <f>Parameters!H865</f>
        <v>0</v>
      </c>
      <c r="I1728" s="25">
        <f>Parameters!I865</f>
        <v>0</v>
      </c>
      <c r="J1728" s="25">
        <f>Parameters!J865</f>
        <v>0</v>
      </c>
      <c r="K1728" s="25">
        <f>Parameters!K865</f>
        <v>0</v>
      </c>
      <c r="L1728" s="26" t="e">
        <f t="shared" ref="L1728" si="2586">L1729</f>
        <v>#DIV/0!</v>
      </c>
      <c r="M1728" s="25">
        <f>Parameters!L865</f>
        <v>0</v>
      </c>
      <c r="N1728" s="25">
        <f>Parameters!M865</f>
        <v>0</v>
      </c>
      <c r="O1728" s="26" t="e">
        <f t="shared" ref="O1728" si="2587">O1729</f>
        <v>#DIV/0!</v>
      </c>
      <c r="P1728" s="23">
        <f>Parameters!N865</f>
        <v>0</v>
      </c>
      <c r="Q1728" s="23">
        <f>Parameters!O865</f>
        <v>0</v>
      </c>
      <c r="R1728" s="23">
        <f>Parameters!P865</f>
        <v>0</v>
      </c>
      <c r="S1728" s="23">
        <f>Parameters!Q865</f>
        <v>0</v>
      </c>
      <c r="T1728" s="23">
        <f>Parameters!R865</f>
        <v>0</v>
      </c>
      <c r="U1728" s="27">
        <f>Parameters!S865</f>
        <v>0</v>
      </c>
      <c r="V1728" s="28">
        <f>Parameters!T865</f>
        <v>0</v>
      </c>
      <c r="W1728" s="27">
        <f>Parameters!U865</f>
        <v>0</v>
      </c>
      <c r="X1728" s="28">
        <f>Parameters!V865</f>
        <v>0</v>
      </c>
      <c r="Y1728" s="25">
        <f>Parameters!W865</f>
        <v>0</v>
      </c>
      <c r="Z1728" s="23">
        <f>Parameters!X865</f>
        <v>0</v>
      </c>
      <c r="AA1728" s="27">
        <f>Parameters!Y865</f>
        <v>0</v>
      </c>
      <c r="AB1728" s="28">
        <f>Parameters!Z865</f>
        <v>0</v>
      </c>
      <c r="AC1728" s="23">
        <f>Parameters!AA865</f>
        <v>0</v>
      </c>
    </row>
    <row r="1729" spans="1:29">
      <c r="A1729" s="29" t="str">
        <f>UPPER(A1728)</f>
        <v>0</v>
      </c>
      <c r="B1729" s="29">
        <f>B1728</f>
        <v>0</v>
      </c>
      <c r="C1729" s="30">
        <f>C1728</f>
        <v>0</v>
      </c>
      <c r="D1729" s="30">
        <f>D1728</f>
        <v>0</v>
      </c>
      <c r="E1729" s="29">
        <f>E1728</f>
        <v>0</v>
      </c>
      <c r="F1729" s="29">
        <f>F1728</f>
        <v>0</v>
      </c>
      <c r="G1729" s="29" t="e">
        <f>IF(C1728=1,IF(D1728="BUY",E1728+(ROUND(F1728*G1728/B1728,0)*B1728),E1728-(ROUND(F1728*G1728/B1728,0)*B1728)),IF(D1728="BUY",E1728-(ROUND(F1728*G1728/B1728,0)*B1728),E1728+(ROUND(F1728*G1728/B1728,0)*B1728)))</f>
        <v>#DIV/0!</v>
      </c>
      <c r="H1729" s="29" t="e">
        <f>IF(C1728=1,IF(D1728="BUY",G1729-(ROUND(F1728*H1728/B1728,0)*B1728),G1729+(ROUND(F1728*H1728/B1728,0)*B1728)),IF(D1728="BUY",G1729+(ROUND(F1728*H1728/B1728,0)*B1728),G1729-(ROUND(F1728*H1728/B1728,0)*B1728)))</f>
        <v>#DIV/0!</v>
      </c>
      <c r="I1729" s="29" t="e">
        <f>IF(D1728="BUY",G1729+(ROUND(F1728*I1728/(B1728*100),0)*B1728),G1729-(ROUND(F1728*I1728/(B1728*100),0)*B1728))</f>
        <v>#DIV/0!</v>
      </c>
      <c r="J1729" s="29" t="e">
        <f>IF(C1728=1,IF(D1728="BUY",E1728+(ROUND(F1728*J1728/B1728,0)*B1728),E1728-(ROUND(F1728*J1728/B1728,0)*B1728)),IF(D1728="BUY",E1728-(ROUND(F1728*J1728/B1728,0)*B1728),E1728+(ROUND(F1728*J1728/B1728,0)*B1728)))</f>
        <v>#DIV/0!</v>
      </c>
      <c r="K1729" s="29" t="e">
        <f>IF(C1728=1,IF(D1728="BUY",E1728-(ROUND(F1728*K1728/B1728,0)*B1728),E1728+(ROUND(F1728*K1728/B1728,0)*B1728)),IF(D1728="BUY",E1728-(ROUND(F1728*K1728/B1728,0)*B1728),E1728+(ROUND(F1728*K1728/B1728,0)*B1728)))</f>
        <v>#DIV/0!</v>
      </c>
      <c r="L1729" s="29" t="e">
        <f t="shared" ref="L1729" si="2588">IF(D1729="BUY",I1729+(R1729*B1729),I1729-(R1729*B1729))</f>
        <v>#DIV/0!</v>
      </c>
      <c r="M1729" s="29" t="e">
        <f>IF(D1728="BUY",E1728+(ROUND(F1728*M1728/B1728,0)*B1728),E1728-(ROUND(F1728*M1728/B1728,0)*B1728))</f>
        <v>#DIV/0!</v>
      </c>
      <c r="N1729" s="29" t="e">
        <f>IF(D1728="BUY",E1728-(ROUND(F1728*N1728/B1728,0)*B1728),E1728+(ROUND(F1728*N1728/B1728,0)*B1728))</f>
        <v>#DIV/0!</v>
      </c>
      <c r="O1729" s="31" t="e">
        <f>IF(D1729="BUY",N1729-VLOOKUP(A1729,Symbols!A$1:D$1000,4,FALSE),N1729+VLOOKUP(A1729,Symbols!A$1:D$1000,4,FALSE))</f>
        <v>#DIV/0!</v>
      </c>
      <c r="P1729" s="29">
        <f>P1728</f>
        <v>0</v>
      </c>
      <c r="Q1729" s="29">
        <f>Q1728</f>
        <v>0</v>
      </c>
      <c r="R1729" s="29">
        <f>R1728</f>
        <v>0</v>
      </c>
      <c r="S1729" s="29">
        <f>S1728</f>
        <v>0</v>
      </c>
      <c r="T1729" s="29">
        <f>T1728</f>
        <v>0</v>
      </c>
      <c r="U1729" s="29" t="e">
        <f>DATEDIF(DATE(1970,1,1),U1728,"D")*86400</f>
        <v>#NUM!</v>
      </c>
      <c r="V1729" s="29">
        <f>HOUR(V1728)*3600+MINUTE(V1728)*60+SECOND(V1728)</f>
        <v>0</v>
      </c>
      <c r="W1729" s="29" t="e">
        <f>DATEDIF(DATE(1970,1,1),W1728,"D")*86400</f>
        <v>#NUM!</v>
      </c>
      <c r="X1729" s="29">
        <f>HOUR(X1728)*3600+MINUTE(X1728)*60+SECOND(X1728)</f>
        <v>0</v>
      </c>
      <c r="Y1729" s="31">
        <f>(Y1728*B1729)</f>
        <v>0</v>
      </c>
      <c r="Z1729" s="29">
        <f>Z1728</f>
        <v>0</v>
      </c>
      <c r="AA1729" s="29" t="e">
        <f>DATEDIF(DATE(1970,1,1),AA1728,"D")*86400</f>
        <v>#NUM!</v>
      </c>
      <c r="AB1729" s="29">
        <f>HOUR(AB1728)*3600+MINUTE(AB1728)*60+SECOND(AB1728)</f>
        <v>0</v>
      </c>
      <c r="AC1729" s="29">
        <f>AC1728</f>
        <v>0</v>
      </c>
    </row>
    <row r="1730" spans="1:29">
      <c r="A1730" s="23">
        <f>Parameters!A866</f>
        <v>0</v>
      </c>
      <c r="B1730" s="23">
        <f>Parameters!B866</f>
        <v>0</v>
      </c>
      <c r="C1730" s="24">
        <f>Parameters!C866</f>
        <v>0</v>
      </c>
      <c r="D1730" s="24">
        <f>Parameters!D866</f>
        <v>0</v>
      </c>
      <c r="E1730" s="23">
        <f>Parameters!E866</f>
        <v>0</v>
      </c>
      <c r="F1730" s="23">
        <f>Parameters!F866</f>
        <v>0</v>
      </c>
      <c r="G1730" s="25">
        <f>Parameters!G866</f>
        <v>0</v>
      </c>
      <c r="H1730" s="25">
        <f>Parameters!H866</f>
        <v>0</v>
      </c>
      <c r="I1730" s="25">
        <f>Parameters!I866</f>
        <v>0</v>
      </c>
      <c r="J1730" s="25">
        <f>Parameters!J866</f>
        <v>0</v>
      </c>
      <c r="K1730" s="25">
        <f>Parameters!K866</f>
        <v>0</v>
      </c>
      <c r="L1730" s="26" t="e">
        <f t="shared" ref="L1730" si="2589">L1731</f>
        <v>#DIV/0!</v>
      </c>
      <c r="M1730" s="25">
        <f>Parameters!L866</f>
        <v>0</v>
      </c>
      <c r="N1730" s="25">
        <f>Parameters!M866</f>
        <v>0</v>
      </c>
      <c r="O1730" s="26" t="e">
        <f t="shared" ref="O1730" si="2590">O1731</f>
        <v>#DIV/0!</v>
      </c>
      <c r="P1730" s="23">
        <f>Parameters!N866</f>
        <v>0</v>
      </c>
      <c r="Q1730" s="23">
        <f>Parameters!O866</f>
        <v>0</v>
      </c>
      <c r="R1730" s="23">
        <f>Parameters!P866</f>
        <v>0</v>
      </c>
      <c r="S1730" s="23">
        <f>Parameters!Q866</f>
        <v>0</v>
      </c>
      <c r="T1730" s="23">
        <f>Parameters!R866</f>
        <v>0</v>
      </c>
      <c r="U1730" s="27">
        <f>Parameters!S866</f>
        <v>0</v>
      </c>
      <c r="V1730" s="28">
        <f>Parameters!T866</f>
        <v>0</v>
      </c>
      <c r="W1730" s="27">
        <f>Parameters!U866</f>
        <v>0</v>
      </c>
      <c r="X1730" s="28">
        <f>Parameters!V866</f>
        <v>0</v>
      </c>
      <c r="Y1730" s="25">
        <f>Parameters!W866</f>
        <v>0</v>
      </c>
      <c r="Z1730" s="23">
        <f>Parameters!X866</f>
        <v>0</v>
      </c>
      <c r="AA1730" s="27">
        <f>Parameters!Y866</f>
        <v>0</v>
      </c>
      <c r="AB1730" s="28">
        <f>Parameters!Z866</f>
        <v>0</v>
      </c>
      <c r="AC1730" s="23">
        <f>Parameters!AA866</f>
        <v>0</v>
      </c>
    </row>
    <row r="1731" spans="1:29">
      <c r="A1731" s="29" t="str">
        <f>UPPER(A1730)</f>
        <v>0</v>
      </c>
      <c r="B1731" s="29">
        <f>B1730</f>
        <v>0</v>
      </c>
      <c r="C1731" s="30">
        <f>C1730</f>
        <v>0</v>
      </c>
      <c r="D1731" s="30">
        <f>D1730</f>
        <v>0</v>
      </c>
      <c r="E1731" s="29">
        <f>E1730</f>
        <v>0</v>
      </c>
      <c r="F1731" s="29">
        <f>F1730</f>
        <v>0</v>
      </c>
      <c r="G1731" s="29" t="e">
        <f>IF(C1730=1,IF(D1730="BUY",E1730+(ROUND(F1730*G1730/B1730,0)*B1730),E1730-(ROUND(F1730*G1730/B1730,0)*B1730)),IF(D1730="BUY",E1730-(ROUND(F1730*G1730/B1730,0)*B1730),E1730+(ROUND(F1730*G1730/B1730,0)*B1730)))</f>
        <v>#DIV/0!</v>
      </c>
      <c r="H1731" s="29" t="e">
        <f>IF(C1730=1,IF(D1730="BUY",G1731-(ROUND(F1730*H1730/B1730,0)*B1730),G1731+(ROUND(F1730*H1730/B1730,0)*B1730)),IF(D1730="BUY",G1731+(ROUND(F1730*H1730/B1730,0)*B1730),G1731-(ROUND(F1730*H1730/B1730,0)*B1730)))</f>
        <v>#DIV/0!</v>
      </c>
      <c r="I1731" s="29" t="e">
        <f>IF(D1730="BUY",G1731+(ROUND(F1730*I1730/(B1730*100),0)*B1730),G1731-(ROUND(F1730*I1730/(B1730*100),0)*B1730))</f>
        <v>#DIV/0!</v>
      </c>
      <c r="J1731" s="29" t="e">
        <f>IF(C1730=1,IF(D1730="BUY",E1730+(ROUND(F1730*J1730/B1730,0)*B1730),E1730-(ROUND(F1730*J1730/B1730,0)*B1730)),IF(D1730="BUY",E1730-(ROUND(F1730*J1730/B1730,0)*B1730),E1730+(ROUND(F1730*J1730/B1730,0)*B1730)))</f>
        <v>#DIV/0!</v>
      </c>
      <c r="K1731" s="29" t="e">
        <f>IF(C1730=1,IF(D1730="BUY",E1730-(ROUND(F1730*K1730/B1730,0)*B1730),E1730+(ROUND(F1730*K1730/B1730,0)*B1730)),IF(D1730="BUY",E1730-(ROUND(F1730*K1730/B1730,0)*B1730),E1730+(ROUND(F1730*K1730/B1730,0)*B1730)))</f>
        <v>#DIV/0!</v>
      </c>
      <c r="L1731" s="29" t="e">
        <f t="shared" ref="L1731" si="2591">IF(D1731="BUY",I1731+(R1731*B1731),I1731-(R1731*B1731))</f>
        <v>#DIV/0!</v>
      </c>
      <c r="M1731" s="29" t="e">
        <f>IF(D1730="BUY",E1730+(ROUND(F1730*M1730/B1730,0)*B1730),E1730-(ROUND(F1730*M1730/B1730,0)*B1730))</f>
        <v>#DIV/0!</v>
      </c>
      <c r="N1731" s="29" t="e">
        <f>IF(D1730="BUY",E1730-(ROUND(F1730*N1730/B1730,0)*B1730),E1730+(ROUND(F1730*N1730/B1730,0)*B1730))</f>
        <v>#DIV/0!</v>
      </c>
      <c r="O1731" s="31" t="e">
        <f>IF(D1731="BUY",N1731-VLOOKUP(A1731,Symbols!A$1:D$1000,4,FALSE),N1731+VLOOKUP(A1731,Symbols!A$1:D$1000,4,FALSE))</f>
        <v>#DIV/0!</v>
      </c>
      <c r="P1731" s="29">
        <f>P1730</f>
        <v>0</v>
      </c>
      <c r="Q1731" s="29">
        <f>Q1730</f>
        <v>0</v>
      </c>
      <c r="R1731" s="29">
        <f>R1730</f>
        <v>0</v>
      </c>
      <c r="S1731" s="29">
        <f>S1730</f>
        <v>0</v>
      </c>
      <c r="T1731" s="29">
        <f>T1730</f>
        <v>0</v>
      </c>
      <c r="U1731" s="29" t="e">
        <f>DATEDIF(DATE(1970,1,1),U1730,"D")*86400</f>
        <v>#NUM!</v>
      </c>
      <c r="V1731" s="29">
        <f>HOUR(V1730)*3600+MINUTE(V1730)*60+SECOND(V1730)</f>
        <v>0</v>
      </c>
      <c r="W1731" s="29" t="e">
        <f>DATEDIF(DATE(1970,1,1),W1730,"D")*86400</f>
        <v>#NUM!</v>
      </c>
      <c r="X1731" s="29">
        <f>HOUR(X1730)*3600+MINUTE(X1730)*60+SECOND(X1730)</f>
        <v>0</v>
      </c>
      <c r="Y1731" s="31">
        <f>(Y1730*B1731)</f>
        <v>0</v>
      </c>
      <c r="Z1731" s="29">
        <f>Z1730</f>
        <v>0</v>
      </c>
      <c r="AA1731" s="29" t="e">
        <f>DATEDIF(DATE(1970,1,1),AA1730,"D")*86400</f>
        <v>#NUM!</v>
      </c>
      <c r="AB1731" s="29">
        <f>HOUR(AB1730)*3600+MINUTE(AB1730)*60+SECOND(AB1730)</f>
        <v>0</v>
      </c>
      <c r="AC1731" s="29">
        <f>AC1730</f>
        <v>0</v>
      </c>
    </row>
    <row r="1732" spans="1:29">
      <c r="A1732" s="23">
        <f>Parameters!A867</f>
        <v>0</v>
      </c>
      <c r="B1732" s="23">
        <f>Parameters!B867</f>
        <v>0</v>
      </c>
      <c r="C1732" s="24">
        <f>Parameters!C867</f>
        <v>0</v>
      </c>
      <c r="D1732" s="24">
        <f>Parameters!D867</f>
        <v>0</v>
      </c>
      <c r="E1732" s="23">
        <f>Parameters!E867</f>
        <v>0</v>
      </c>
      <c r="F1732" s="23">
        <f>Parameters!F867</f>
        <v>0</v>
      </c>
      <c r="G1732" s="25">
        <f>Parameters!G867</f>
        <v>0</v>
      </c>
      <c r="H1732" s="25">
        <f>Parameters!H867</f>
        <v>0</v>
      </c>
      <c r="I1732" s="25">
        <f>Parameters!I867</f>
        <v>0</v>
      </c>
      <c r="J1732" s="25">
        <f>Parameters!J867</f>
        <v>0</v>
      </c>
      <c r="K1732" s="25">
        <f>Parameters!K867</f>
        <v>0</v>
      </c>
      <c r="L1732" s="26" t="e">
        <f t="shared" ref="L1732" si="2592">L1733</f>
        <v>#DIV/0!</v>
      </c>
      <c r="M1732" s="25">
        <f>Parameters!L867</f>
        <v>0</v>
      </c>
      <c r="N1732" s="25">
        <f>Parameters!M867</f>
        <v>0</v>
      </c>
      <c r="O1732" s="26" t="e">
        <f t="shared" ref="O1732" si="2593">O1733</f>
        <v>#DIV/0!</v>
      </c>
      <c r="P1732" s="23">
        <f>Parameters!N867</f>
        <v>0</v>
      </c>
      <c r="Q1732" s="23">
        <f>Parameters!O867</f>
        <v>0</v>
      </c>
      <c r="R1732" s="23">
        <f>Parameters!P867</f>
        <v>0</v>
      </c>
      <c r="S1732" s="23">
        <f>Parameters!Q867</f>
        <v>0</v>
      </c>
      <c r="T1732" s="23">
        <f>Parameters!R867</f>
        <v>0</v>
      </c>
      <c r="U1732" s="27">
        <f>Parameters!S867</f>
        <v>0</v>
      </c>
      <c r="V1732" s="28">
        <f>Parameters!T867</f>
        <v>0</v>
      </c>
      <c r="W1732" s="27">
        <f>Parameters!U867</f>
        <v>0</v>
      </c>
      <c r="X1732" s="28">
        <f>Parameters!V867</f>
        <v>0</v>
      </c>
      <c r="Y1732" s="25">
        <f>Parameters!W867</f>
        <v>0</v>
      </c>
      <c r="Z1732" s="23">
        <f>Parameters!X867</f>
        <v>0</v>
      </c>
      <c r="AA1732" s="27">
        <f>Parameters!Y867</f>
        <v>0</v>
      </c>
      <c r="AB1732" s="28">
        <f>Parameters!Z867</f>
        <v>0</v>
      </c>
      <c r="AC1732" s="23">
        <f>Parameters!AA867</f>
        <v>0</v>
      </c>
    </row>
    <row r="1733" spans="1:29">
      <c r="A1733" s="29" t="str">
        <f>UPPER(A1732)</f>
        <v>0</v>
      </c>
      <c r="B1733" s="29">
        <f>B1732</f>
        <v>0</v>
      </c>
      <c r="C1733" s="30">
        <f>C1732</f>
        <v>0</v>
      </c>
      <c r="D1733" s="30">
        <f>D1732</f>
        <v>0</v>
      </c>
      <c r="E1733" s="29">
        <f>E1732</f>
        <v>0</v>
      </c>
      <c r="F1733" s="29">
        <f>F1732</f>
        <v>0</v>
      </c>
      <c r="G1733" s="29" t="e">
        <f>IF(C1732=1,IF(D1732="BUY",E1732+(ROUND(F1732*G1732/B1732,0)*B1732),E1732-(ROUND(F1732*G1732/B1732,0)*B1732)),IF(D1732="BUY",E1732-(ROUND(F1732*G1732/B1732,0)*B1732),E1732+(ROUND(F1732*G1732/B1732,0)*B1732)))</f>
        <v>#DIV/0!</v>
      </c>
      <c r="H1733" s="29" t="e">
        <f>IF(C1732=1,IF(D1732="BUY",G1733-(ROUND(F1732*H1732/B1732,0)*B1732),G1733+(ROUND(F1732*H1732/B1732,0)*B1732)),IF(D1732="BUY",G1733+(ROUND(F1732*H1732/B1732,0)*B1732),G1733-(ROUND(F1732*H1732/B1732,0)*B1732)))</f>
        <v>#DIV/0!</v>
      </c>
      <c r="I1733" s="29" t="e">
        <f>IF(D1732="BUY",G1733+(ROUND(F1732*I1732/(B1732*100),0)*B1732),G1733-(ROUND(F1732*I1732/(B1732*100),0)*B1732))</f>
        <v>#DIV/0!</v>
      </c>
      <c r="J1733" s="29" t="e">
        <f>IF(C1732=1,IF(D1732="BUY",E1732+(ROUND(F1732*J1732/B1732,0)*B1732),E1732-(ROUND(F1732*J1732/B1732,0)*B1732)),IF(D1732="BUY",E1732-(ROUND(F1732*J1732/B1732,0)*B1732),E1732+(ROUND(F1732*J1732/B1732,0)*B1732)))</f>
        <v>#DIV/0!</v>
      </c>
      <c r="K1733" s="29" t="e">
        <f>IF(C1732=1,IF(D1732="BUY",E1732-(ROUND(F1732*K1732/B1732,0)*B1732),E1732+(ROUND(F1732*K1732/B1732,0)*B1732)),IF(D1732="BUY",E1732-(ROUND(F1732*K1732/B1732,0)*B1732),E1732+(ROUND(F1732*K1732/B1732,0)*B1732)))</f>
        <v>#DIV/0!</v>
      </c>
      <c r="L1733" s="29" t="e">
        <f t="shared" ref="L1733" si="2594">IF(D1733="BUY",I1733+(R1733*B1733),I1733-(R1733*B1733))</f>
        <v>#DIV/0!</v>
      </c>
      <c r="M1733" s="29" t="e">
        <f>IF(D1732="BUY",E1732+(ROUND(F1732*M1732/B1732,0)*B1732),E1732-(ROUND(F1732*M1732/B1732,0)*B1732))</f>
        <v>#DIV/0!</v>
      </c>
      <c r="N1733" s="29" t="e">
        <f>IF(D1732="BUY",E1732-(ROUND(F1732*N1732/B1732,0)*B1732),E1732+(ROUND(F1732*N1732/B1732,0)*B1732))</f>
        <v>#DIV/0!</v>
      </c>
      <c r="O1733" s="31" t="e">
        <f>IF(D1733="BUY",N1733-VLOOKUP(A1733,Symbols!A$1:D$1000,4,FALSE),N1733+VLOOKUP(A1733,Symbols!A$1:D$1000,4,FALSE))</f>
        <v>#DIV/0!</v>
      </c>
      <c r="P1733" s="29">
        <f>P1732</f>
        <v>0</v>
      </c>
      <c r="Q1733" s="29">
        <f>Q1732</f>
        <v>0</v>
      </c>
      <c r="R1733" s="29">
        <f>R1732</f>
        <v>0</v>
      </c>
      <c r="S1733" s="29">
        <f>S1732</f>
        <v>0</v>
      </c>
      <c r="T1733" s="29">
        <f>T1732</f>
        <v>0</v>
      </c>
      <c r="U1733" s="29" t="e">
        <f>DATEDIF(DATE(1970,1,1),U1732,"D")*86400</f>
        <v>#NUM!</v>
      </c>
      <c r="V1733" s="29">
        <f>HOUR(V1732)*3600+MINUTE(V1732)*60+SECOND(V1732)</f>
        <v>0</v>
      </c>
      <c r="W1733" s="29" t="e">
        <f>DATEDIF(DATE(1970,1,1),W1732,"D")*86400</f>
        <v>#NUM!</v>
      </c>
      <c r="X1733" s="29">
        <f>HOUR(X1732)*3600+MINUTE(X1732)*60+SECOND(X1732)</f>
        <v>0</v>
      </c>
      <c r="Y1733" s="31">
        <f>(Y1732*B1733)</f>
        <v>0</v>
      </c>
      <c r="Z1733" s="29">
        <f>Z1732</f>
        <v>0</v>
      </c>
      <c r="AA1733" s="29" t="e">
        <f>DATEDIF(DATE(1970,1,1),AA1732,"D")*86400</f>
        <v>#NUM!</v>
      </c>
      <c r="AB1733" s="29">
        <f>HOUR(AB1732)*3600+MINUTE(AB1732)*60+SECOND(AB1732)</f>
        <v>0</v>
      </c>
      <c r="AC1733" s="29">
        <f>AC1732</f>
        <v>0</v>
      </c>
    </row>
    <row r="1734" spans="1:29">
      <c r="A1734" s="23">
        <f>Parameters!A868</f>
        <v>0</v>
      </c>
      <c r="B1734" s="23">
        <f>Parameters!B868</f>
        <v>0</v>
      </c>
      <c r="C1734" s="24">
        <f>Parameters!C868</f>
        <v>0</v>
      </c>
      <c r="D1734" s="24">
        <f>Parameters!D868</f>
        <v>0</v>
      </c>
      <c r="E1734" s="23">
        <f>Parameters!E868</f>
        <v>0</v>
      </c>
      <c r="F1734" s="23">
        <f>Parameters!F868</f>
        <v>0</v>
      </c>
      <c r="G1734" s="25">
        <f>Parameters!G868</f>
        <v>0</v>
      </c>
      <c r="H1734" s="25">
        <f>Parameters!H868</f>
        <v>0</v>
      </c>
      <c r="I1734" s="25">
        <f>Parameters!I868</f>
        <v>0</v>
      </c>
      <c r="J1734" s="25">
        <f>Parameters!J868</f>
        <v>0</v>
      </c>
      <c r="K1734" s="25">
        <f>Parameters!K868</f>
        <v>0</v>
      </c>
      <c r="L1734" s="26" t="e">
        <f t="shared" ref="L1734" si="2595">L1735</f>
        <v>#DIV/0!</v>
      </c>
      <c r="M1734" s="25">
        <f>Parameters!L868</f>
        <v>0</v>
      </c>
      <c r="N1734" s="25">
        <f>Parameters!M868</f>
        <v>0</v>
      </c>
      <c r="O1734" s="26" t="e">
        <f t="shared" ref="O1734" si="2596">O1735</f>
        <v>#DIV/0!</v>
      </c>
      <c r="P1734" s="23">
        <f>Parameters!N868</f>
        <v>0</v>
      </c>
      <c r="Q1734" s="23">
        <f>Parameters!O868</f>
        <v>0</v>
      </c>
      <c r="R1734" s="23">
        <f>Parameters!P868</f>
        <v>0</v>
      </c>
      <c r="S1734" s="23">
        <f>Parameters!Q868</f>
        <v>0</v>
      </c>
      <c r="T1734" s="23">
        <f>Parameters!R868</f>
        <v>0</v>
      </c>
      <c r="U1734" s="27">
        <f>Parameters!S868</f>
        <v>0</v>
      </c>
      <c r="V1734" s="28">
        <f>Parameters!T868</f>
        <v>0</v>
      </c>
      <c r="W1734" s="27">
        <f>Parameters!U868</f>
        <v>0</v>
      </c>
      <c r="X1734" s="28">
        <f>Parameters!V868</f>
        <v>0</v>
      </c>
      <c r="Y1734" s="25">
        <f>Parameters!W868</f>
        <v>0</v>
      </c>
      <c r="Z1734" s="23">
        <f>Parameters!X868</f>
        <v>0</v>
      </c>
      <c r="AA1734" s="27">
        <f>Parameters!Y868</f>
        <v>0</v>
      </c>
      <c r="AB1734" s="28">
        <f>Parameters!Z868</f>
        <v>0</v>
      </c>
      <c r="AC1734" s="23">
        <f>Parameters!AA868</f>
        <v>0</v>
      </c>
    </row>
    <row r="1735" spans="1:29">
      <c r="A1735" s="29" t="str">
        <f>UPPER(A1734)</f>
        <v>0</v>
      </c>
      <c r="B1735" s="29">
        <f>B1734</f>
        <v>0</v>
      </c>
      <c r="C1735" s="30">
        <f>C1734</f>
        <v>0</v>
      </c>
      <c r="D1735" s="30">
        <f>D1734</f>
        <v>0</v>
      </c>
      <c r="E1735" s="29">
        <f>E1734</f>
        <v>0</v>
      </c>
      <c r="F1735" s="29">
        <f>F1734</f>
        <v>0</v>
      </c>
      <c r="G1735" s="29" t="e">
        <f>IF(C1734=1,IF(D1734="BUY",E1734+(ROUND(F1734*G1734/B1734,0)*B1734),E1734-(ROUND(F1734*G1734/B1734,0)*B1734)),IF(D1734="BUY",E1734-(ROUND(F1734*G1734/B1734,0)*B1734),E1734+(ROUND(F1734*G1734/B1734,0)*B1734)))</f>
        <v>#DIV/0!</v>
      </c>
      <c r="H1735" s="29" t="e">
        <f>IF(C1734=1,IF(D1734="BUY",G1735-(ROUND(F1734*H1734/B1734,0)*B1734),G1735+(ROUND(F1734*H1734/B1734,0)*B1734)),IF(D1734="BUY",G1735+(ROUND(F1734*H1734/B1734,0)*B1734),G1735-(ROUND(F1734*H1734/B1734,0)*B1734)))</f>
        <v>#DIV/0!</v>
      </c>
      <c r="I1735" s="29" t="e">
        <f>IF(D1734="BUY",G1735+(ROUND(F1734*I1734/(B1734*100),0)*B1734),G1735-(ROUND(F1734*I1734/(B1734*100),0)*B1734))</f>
        <v>#DIV/0!</v>
      </c>
      <c r="J1735" s="29" t="e">
        <f>IF(C1734=1,IF(D1734="BUY",E1734+(ROUND(F1734*J1734/B1734,0)*B1734),E1734-(ROUND(F1734*J1734/B1734,0)*B1734)),IF(D1734="BUY",E1734-(ROUND(F1734*J1734/B1734,0)*B1734),E1734+(ROUND(F1734*J1734/B1734,0)*B1734)))</f>
        <v>#DIV/0!</v>
      </c>
      <c r="K1735" s="29" t="e">
        <f>IF(C1734=1,IF(D1734="BUY",E1734-(ROUND(F1734*K1734/B1734,0)*B1734),E1734+(ROUND(F1734*K1734/B1734,0)*B1734)),IF(D1734="BUY",E1734-(ROUND(F1734*K1734/B1734,0)*B1734),E1734+(ROUND(F1734*K1734/B1734,0)*B1734)))</f>
        <v>#DIV/0!</v>
      </c>
      <c r="L1735" s="29" t="e">
        <f t="shared" ref="L1735" si="2597">IF(D1735="BUY",I1735+(R1735*B1735),I1735-(R1735*B1735))</f>
        <v>#DIV/0!</v>
      </c>
      <c r="M1735" s="29" t="e">
        <f>IF(D1734="BUY",E1734+(ROUND(F1734*M1734/B1734,0)*B1734),E1734-(ROUND(F1734*M1734/B1734,0)*B1734))</f>
        <v>#DIV/0!</v>
      </c>
      <c r="N1735" s="29" t="e">
        <f>IF(D1734="BUY",E1734-(ROUND(F1734*N1734/B1734,0)*B1734),E1734+(ROUND(F1734*N1734/B1734,0)*B1734))</f>
        <v>#DIV/0!</v>
      </c>
      <c r="O1735" s="31" t="e">
        <f>IF(D1735="BUY",N1735-VLOOKUP(A1735,Symbols!A$1:D$1000,4,FALSE),N1735+VLOOKUP(A1735,Symbols!A$1:D$1000,4,FALSE))</f>
        <v>#DIV/0!</v>
      </c>
      <c r="P1735" s="29">
        <f>P1734</f>
        <v>0</v>
      </c>
      <c r="Q1735" s="29">
        <f>Q1734</f>
        <v>0</v>
      </c>
      <c r="R1735" s="29">
        <f>R1734</f>
        <v>0</v>
      </c>
      <c r="S1735" s="29">
        <f>S1734</f>
        <v>0</v>
      </c>
      <c r="T1735" s="29">
        <f>T1734</f>
        <v>0</v>
      </c>
      <c r="U1735" s="29" t="e">
        <f>DATEDIF(DATE(1970,1,1),U1734,"D")*86400</f>
        <v>#NUM!</v>
      </c>
      <c r="V1735" s="29">
        <f>HOUR(V1734)*3600+MINUTE(V1734)*60+SECOND(V1734)</f>
        <v>0</v>
      </c>
      <c r="W1735" s="29" t="e">
        <f>DATEDIF(DATE(1970,1,1),W1734,"D")*86400</f>
        <v>#NUM!</v>
      </c>
      <c r="X1735" s="29">
        <f>HOUR(X1734)*3600+MINUTE(X1734)*60+SECOND(X1734)</f>
        <v>0</v>
      </c>
      <c r="Y1735" s="31">
        <f>(Y1734*B1735)</f>
        <v>0</v>
      </c>
      <c r="Z1735" s="29">
        <f>Z1734</f>
        <v>0</v>
      </c>
      <c r="AA1735" s="29" t="e">
        <f>DATEDIF(DATE(1970,1,1),AA1734,"D")*86400</f>
        <v>#NUM!</v>
      </c>
      <c r="AB1735" s="29">
        <f>HOUR(AB1734)*3600+MINUTE(AB1734)*60+SECOND(AB1734)</f>
        <v>0</v>
      </c>
      <c r="AC1735" s="29">
        <f>AC1734</f>
        <v>0</v>
      </c>
    </row>
    <row r="1736" spans="1:29">
      <c r="A1736" s="23">
        <f>Parameters!A869</f>
        <v>0</v>
      </c>
      <c r="B1736" s="23">
        <f>Parameters!B869</f>
        <v>0</v>
      </c>
      <c r="C1736" s="24">
        <f>Parameters!C869</f>
        <v>0</v>
      </c>
      <c r="D1736" s="24">
        <f>Parameters!D869</f>
        <v>0</v>
      </c>
      <c r="E1736" s="23">
        <f>Parameters!E869</f>
        <v>0</v>
      </c>
      <c r="F1736" s="23">
        <f>Parameters!F869</f>
        <v>0</v>
      </c>
      <c r="G1736" s="25">
        <f>Parameters!G869</f>
        <v>0</v>
      </c>
      <c r="H1736" s="25">
        <f>Parameters!H869</f>
        <v>0</v>
      </c>
      <c r="I1736" s="25">
        <f>Parameters!I869</f>
        <v>0</v>
      </c>
      <c r="J1736" s="25">
        <f>Parameters!J869</f>
        <v>0</v>
      </c>
      <c r="K1736" s="25">
        <f>Parameters!K869</f>
        <v>0</v>
      </c>
      <c r="L1736" s="26" t="e">
        <f t="shared" ref="L1736" si="2598">L1737</f>
        <v>#DIV/0!</v>
      </c>
      <c r="M1736" s="25">
        <f>Parameters!L869</f>
        <v>0</v>
      </c>
      <c r="N1736" s="25">
        <f>Parameters!M869</f>
        <v>0</v>
      </c>
      <c r="O1736" s="26" t="e">
        <f t="shared" ref="O1736" si="2599">O1737</f>
        <v>#DIV/0!</v>
      </c>
      <c r="P1736" s="23">
        <f>Parameters!N869</f>
        <v>0</v>
      </c>
      <c r="Q1736" s="23">
        <f>Parameters!O869</f>
        <v>0</v>
      </c>
      <c r="R1736" s="23">
        <f>Parameters!P869</f>
        <v>0</v>
      </c>
      <c r="S1736" s="23">
        <f>Parameters!Q869</f>
        <v>0</v>
      </c>
      <c r="T1736" s="23">
        <f>Parameters!R869</f>
        <v>0</v>
      </c>
      <c r="U1736" s="27">
        <f>Parameters!S869</f>
        <v>0</v>
      </c>
      <c r="V1736" s="28">
        <f>Parameters!T869</f>
        <v>0</v>
      </c>
      <c r="W1736" s="27">
        <f>Parameters!U869</f>
        <v>0</v>
      </c>
      <c r="X1736" s="28">
        <f>Parameters!V869</f>
        <v>0</v>
      </c>
      <c r="Y1736" s="25">
        <f>Parameters!W869</f>
        <v>0</v>
      </c>
      <c r="Z1736" s="23">
        <f>Parameters!X869</f>
        <v>0</v>
      </c>
      <c r="AA1736" s="27">
        <f>Parameters!Y869</f>
        <v>0</v>
      </c>
      <c r="AB1736" s="28">
        <f>Parameters!Z869</f>
        <v>0</v>
      </c>
      <c r="AC1736" s="23">
        <f>Parameters!AA869</f>
        <v>0</v>
      </c>
    </row>
    <row r="1737" spans="1:29">
      <c r="A1737" s="29" t="str">
        <f>UPPER(A1736)</f>
        <v>0</v>
      </c>
      <c r="B1737" s="29">
        <f>B1736</f>
        <v>0</v>
      </c>
      <c r="C1737" s="30">
        <f>C1736</f>
        <v>0</v>
      </c>
      <c r="D1737" s="30">
        <f>D1736</f>
        <v>0</v>
      </c>
      <c r="E1737" s="29">
        <f>E1736</f>
        <v>0</v>
      </c>
      <c r="F1737" s="29">
        <f>F1736</f>
        <v>0</v>
      </c>
      <c r="G1737" s="29" t="e">
        <f>IF(C1736=1,IF(D1736="BUY",E1736+(ROUND(F1736*G1736/B1736,0)*B1736),E1736-(ROUND(F1736*G1736/B1736,0)*B1736)),IF(D1736="BUY",E1736-(ROUND(F1736*G1736/B1736,0)*B1736),E1736+(ROUND(F1736*G1736/B1736,0)*B1736)))</f>
        <v>#DIV/0!</v>
      </c>
      <c r="H1737" s="29" t="e">
        <f>IF(C1736=1,IF(D1736="BUY",G1737-(ROUND(F1736*H1736/B1736,0)*B1736),G1737+(ROUND(F1736*H1736/B1736,0)*B1736)),IF(D1736="BUY",G1737+(ROUND(F1736*H1736/B1736,0)*B1736),G1737-(ROUND(F1736*H1736/B1736,0)*B1736)))</f>
        <v>#DIV/0!</v>
      </c>
      <c r="I1737" s="29" t="e">
        <f>IF(D1736="BUY",G1737+(ROUND(F1736*I1736/(B1736*100),0)*B1736),G1737-(ROUND(F1736*I1736/(B1736*100),0)*B1736))</f>
        <v>#DIV/0!</v>
      </c>
      <c r="J1737" s="29" t="e">
        <f>IF(C1736=1,IF(D1736="BUY",E1736+(ROUND(F1736*J1736/B1736,0)*B1736),E1736-(ROUND(F1736*J1736/B1736,0)*B1736)),IF(D1736="BUY",E1736-(ROUND(F1736*J1736/B1736,0)*B1736),E1736+(ROUND(F1736*J1736/B1736,0)*B1736)))</f>
        <v>#DIV/0!</v>
      </c>
      <c r="K1737" s="29" t="e">
        <f>IF(C1736=1,IF(D1736="BUY",E1736-(ROUND(F1736*K1736/B1736,0)*B1736),E1736+(ROUND(F1736*K1736/B1736,0)*B1736)),IF(D1736="BUY",E1736-(ROUND(F1736*K1736/B1736,0)*B1736),E1736+(ROUND(F1736*K1736/B1736,0)*B1736)))</f>
        <v>#DIV/0!</v>
      </c>
      <c r="L1737" s="29" t="e">
        <f t="shared" ref="L1737" si="2600">IF(D1737="BUY",I1737+(R1737*B1737),I1737-(R1737*B1737))</f>
        <v>#DIV/0!</v>
      </c>
      <c r="M1737" s="29" t="e">
        <f>IF(D1736="BUY",E1736+(ROUND(F1736*M1736/B1736,0)*B1736),E1736-(ROUND(F1736*M1736/B1736,0)*B1736))</f>
        <v>#DIV/0!</v>
      </c>
      <c r="N1737" s="29" t="e">
        <f>IF(D1736="BUY",E1736-(ROUND(F1736*N1736/B1736,0)*B1736),E1736+(ROUND(F1736*N1736/B1736,0)*B1736))</f>
        <v>#DIV/0!</v>
      </c>
      <c r="O1737" s="31" t="e">
        <f>IF(D1737="BUY",N1737-VLOOKUP(A1737,Symbols!A$1:D$1000,4,FALSE),N1737+VLOOKUP(A1737,Symbols!A$1:D$1000,4,FALSE))</f>
        <v>#DIV/0!</v>
      </c>
      <c r="P1737" s="29">
        <f>P1736</f>
        <v>0</v>
      </c>
      <c r="Q1737" s="29">
        <f>Q1736</f>
        <v>0</v>
      </c>
      <c r="R1737" s="29">
        <f>R1736</f>
        <v>0</v>
      </c>
      <c r="S1737" s="29">
        <f>S1736</f>
        <v>0</v>
      </c>
      <c r="T1737" s="29">
        <f>T1736</f>
        <v>0</v>
      </c>
      <c r="U1737" s="29" t="e">
        <f>DATEDIF(DATE(1970,1,1),U1736,"D")*86400</f>
        <v>#NUM!</v>
      </c>
      <c r="V1737" s="29">
        <f>HOUR(V1736)*3600+MINUTE(V1736)*60+SECOND(V1736)</f>
        <v>0</v>
      </c>
      <c r="W1737" s="29" t="e">
        <f>DATEDIF(DATE(1970,1,1),W1736,"D")*86400</f>
        <v>#NUM!</v>
      </c>
      <c r="X1737" s="29">
        <f>HOUR(X1736)*3600+MINUTE(X1736)*60+SECOND(X1736)</f>
        <v>0</v>
      </c>
      <c r="Y1737" s="31">
        <f>(Y1736*B1737)</f>
        <v>0</v>
      </c>
      <c r="Z1737" s="29">
        <f>Z1736</f>
        <v>0</v>
      </c>
      <c r="AA1737" s="29" t="e">
        <f>DATEDIF(DATE(1970,1,1),AA1736,"D")*86400</f>
        <v>#NUM!</v>
      </c>
      <c r="AB1737" s="29">
        <f>HOUR(AB1736)*3600+MINUTE(AB1736)*60+SECOND(AB1736)</f>
        <v>0</v>
      </c>
      <c r="AC1737" s="29">
        <f>AC1736</f>
        <v>0</v>
      </c>
    </row>
    <row r="1738" spans="1:29">
      <c r="A1738" s="23">
        <f>Parameters!A870</f>
        <v>0</v>
      </c>
      <c r="B1738" s="23">
        <f>Parameters!B870</f>
        <v>0</v>
      </c>
      <c r="C1738" s="24">
        <f>Parameters!C870</f>
        <v>0</v>
      </c>
      <c r="D1738" s="24">
        <f>Parameters!D870</f>
        <v>0</v>
      </c>
      <c r="E1738" s="23">
        <f>Parameters!E870</f>
        <v>0</v>
      </c>
      <c r="F1738" s="23">
        <f>Parameters!F870</f>
        <v>0</v>
      </c>
      <c r="G1738" s="25">
        <f>Parameters!G870</f>
        <v>0</v>
      </c>
      <c r="H1738" s="25">
        <f>Parameters!H870</f>
        <v>0</v>
      </c>
      <c r="I1738" s="25">
        <f>Parameters!I870</f>
        <v>0</v>
      </c>
      <c r="J1738" s="25">
        <f>Parameters!J870</f>
        <v>0</v>
      </c>
      <c r="K1738" s="25">
        <f>Parameters!K870</f>
        <v>0</v>
      </c>
      <c r="L1738" s="26" t="e">
        <f t="shared" ref="L1738" si="2601">L1739</f>
        <v>#DIV/0!</v>
      </c>
      <c r="M1738" s="25">
        <f>Parameters!L870</f>
        <v>0</v>
      </c>
      <c r="N1738" s="25">
        <f>Parameters!M870</f>
        <v>0</v>
      </c>
      <c r="O1738" s="26" t="e">
        <f t="shared" ref="O1738" si="2602">O1739</f>
        <v>#DIV/0!</v>
      </c>
      <c r="P1738" s="23">
        <f>Parameters!N870</f>
        <v>0</v>
      </c>
      <c r="Q1738" s="23">
        <f>Parameters!O870</f>
        <v>0</v>
      </c>
      <c r="R1738" s="23">
        <f>Parameters!P870</f>
        <v>0</v>
      </c>
      <c r="S1738" s="23">
        <f>Parameters!Q870</f>
        <v>0</v>
      </c>
      <c r="T1738" s="23">
        <f>Parameters!R870</f>
        <v>0</v>
      </c>
      <c r="U1738" s="27">
        <f>Parameters!S870</f>
        <v>0</v>
      </c>
      <c r="V1738" s="28">
        <f>Parameters!T870</f>
        <v>0</v>
      </c>
      <c r="W1738" s="27">
        <f>Parameters!U870</f>
        <v>0</v>
      </c>
      <c r="X1738" s="28">
        <f>Parameters!V870</f>
        <v>0</v>
      </c>
      <c r="Y1738" s="25">
        <f>Parameters!W870</f>
        <v>0</v>
      </c>
      <c r="Z1738" s="23">
        <f>Parameters!X870</f>
        <v>0</v>
      </c>
      <c r="AA1738" s="27">
        <f>Parameters!Y870</f>
        <v>0</v>
      </c>
      <c r="AB1738" s="28">
        <f>Parameters!Z870</f>
        <v>0</v>
      </c>
      <c r="AC1738" s="23">
        <f>Parameters!AA870</f>
        <v>0</v>
      </c>
    </row>
    <row r="1739" spans="1:29">
      <c r="A1739" s="29" t="str">
        <f>UPPER(A1738)</f>
        <v>0</v>
      </c>
      <c r="B1739" s="29">
        <f>B1738</f>
        <v>0</v>
      </c>
      <c r="C1739" s="30">
        <f>C1738</f>
        <v>0</v>
      </c>
      <c r="D1739" s="30">
        <f>D1738</f>
        <v>0</v>
      </c>
      <c r="E1739" s="29">
        <f>E1738</f>
        <v>0</v>
      </c>
      <c r="F1739" s="29">
        <f>F1738</f>
        <v>0</v>
      </c>
      <c r="G1739" s="29" t="e">
        <f>IF(C1738=1,IF(D1738="BUY",E1738+(ROUND(F1738*G1738/B1738,0)*B1738),E1738-(ROUND(F1738*G1738/B1738,0)*B1738)),IF(D1738="BUY",E1738-(ROUND(F1738*G1738/B1738,0)*B1738),E1738+(ROUND(F1738*G1738/B1738,0)*B1738)))</f>
        <v>#DIV/0!</v>
      </c>
      <c r="H1739" s="29" t="e">
        <f>IF(C1738=1,IF(D1738="BUY",G1739-(ROUND(F1738*H1738/B1738,0)*B1738),G1739+(ROUND(F1738*H1738/B1738,0)*B1738)),IF(D1738="BUY",G1739+(ROUND(F1738*H1738/B1738,0)*B1738),G1739-(ROUND(F1738*H1738/B1738,0)*B1738)))</f>
        <v>#DIV/0!</v>
      </c>
      <c r="I1739" s="29" t="e">
        <f>IF(D1738="BUY",G1739+(ROUND(F1738*I1738/(B1738*100),0)*B1738),G1739-(ROUND(F1738*I1738/(B1738*100),0)*B1738))</f>
        <v>#DIV/0!</v>
      </c>
      <c r="J1739" s="29" t="e">
        <f>IF(C1738=1,IF(D1738="BUY",E1738+(ROUND(F1738*J1738/B1738,0)*B1738),E1738-(ROUND(F1738*J1738/B1738,0)*B1738)),IF(D1738="BUY",E1738-(ROUND(F1738*J1738/B1738,0)*B1738),E1738+(ROUND(F1738*J1738/B1738,0)*B1738)))</f>
        <v>#DIV/0!</v>
      </c>
      <c r="K1739" s="29" t="e">
        <f>IF(C1738=1,IF(D1738="BUY",E1738-(ROUND(F1738*K1738/B1738,0)*B1738),E1738+(ROUND(F1738*K1738/B1738,0)*B1738)),IF(D1738="BUY",E1738-(ROUND(F1738*K1738/B1738,0)*B1738),E1738+(ROUND(F1738*K1738/B1738,0)*B1738)))</f>
        <v>#DIV/0!</v>
      </c>
      <c r="L1739" s="29" t="e">
        <f t="shared" ref="L1739" si="2603">IF(D1739="BUY",I1739+(R1739*B1739),I1739-(R1739*B1739))</f>
        <v>#DIV/0!</v>
      </c>
      <c r="M1739" s="29" t="e">
        <f>IF(D1738="BUY",E1738+(ROUND(F1738*M1738/B1738,0)*B1738),E1738-(ROUND(F1738*M1738/B1738,0)*B1738))</f>
        <v>#DIV/0!</v>
      </c>
      <c r="N1739" s="29" t="e">
        <f>IF(D1738="BUY",E1738-(ROUND(F1738*N1738/B1738,0)*B1738),E1738+(ROUND(F1738*N1738/B1738,0)*B1738))</f>
        <v>#DIV/0!</v>
      </c>
      <c r="O1739" s="31" t="e">
        <f>IF(D1739="BUY",N1739-VLOOKUP(A1739,Symbols!A$1:D$1000,4,FALSE),N1739+VLOOKUP(A1739,Symbols!A$1:D$1000,4,FALSE))</f>
        <v>#DIV/0!</v>
      </c>
      <c r="P1739" s="29">
        <f>P1738</f>
        <v>0</v>
      </c>
      <c r="Q1739" s="29">
        <f>Q1738</f>
        <v>0</v>
      </c>
      <c r="R1739" s="29">
        <f>R1738</f>
        <v>0</v>
      </c>
      <c r="S1739" s="29">
        <f>S1738</f>
        <v>0</v>
      </c>
      <c r="T1739" s="29">
        <f>T1738</f>
        <v>0</v>
      </c>
      <c r="U1739" s="29" t="e">
        <f>DATEDIF(DATE(1970,1,1),U1738,"D")*86400</f>
        <v>#NUM!</v>
      </c>
      <c r="V1739" s="29">
        <f>HOUR(V1738)*3600+MINUTE(V1738)*60+SECOND(V1738)</f>
        <v>0</v>
      </c>
      <c r="W1739" s="29" t="e">
        <f>DATEDIF(DATE(1970,1,1),W1738,"D")*86400</f>
        <v>#NUM!</v>
      </c>
      <c r="X1739" s="29">
        <f>HOUR(X1738)*3600+MINUTE(X1738)*60+SECOND(X1738)</f>
        <v>0</v>
      </c>
      <c r="Y1739" s="31">
        <f>(Y1738*B1739)</f>
        <v>0</v>
      </c>
      <c r="Z1739" s="29">
        <f>Z1738</f>
        <v>0</v>
      </c>
      <c r="AA1739" s="29" t="e">
        <f>DATEDIF(DATE(1970,1,1),AA1738,"D")*86400</f>
        <v>#NUM!</v>
      </c>
      <c r="AB1739" s="29">
        <f>HOUR(AB1738)*3600+MINUTE(AB1738)*60+SECOND(AB1738)</f>
        <v>0</v>
      </c>
      <c r="AC1739" s="29">
        <f>AC1738</f>
        <v>0</v>
      </c>
    </row>
    <row r="1740" spans="1:29">
      <c r="A1740" s="23">
        <f>Parameters!A871</f>
        <v>0</v>
      </c>
      <c r="B1740" s="23">
        <f>Parameters!B871</f>
        <v>0</v>
      </c>
      <c r="C1740" s="24">
        <f>Parameters!C871</f>
        <v>0</v>
      </c>
      <c r="D1740" s="24">
        <f>Parameters!D871</f>
        <v>0</v>
      </c>
      <c r="E1740" s="23">
        <f>Parameters!E871</f>
        <v>0</v>
      </c>
      <c r="F1740" s="23">
        <f>Parameters!F871</f>
        <v>0</v>
      </c>
      <c r="G1740" s="25">
        <f>Parameters!G871</f>
        <v>0</v>
      </c>
      <c r="H1740" s="25">
        <f>Parameters!H871</f>
        <v>0</v>
      </c>
      <c r="I1740" s="25">
        <f>Parameters!I871</f>
        <v>0</v>
      </c>
      <c r="J1740" s="25">
        <f>Parameters!J871</f>
        <v>0</v>
      </c>
      <c r="K1740" s="25">
        <f>Parameters!K871</f>
        <v>0</v>
      </c>
      <c r="L1740" s="26" t="e">
        <f t="shared" ref="L1740" si="2604">L1741</f>
        <v>#DIV/0!</v>
      </c>
      <c r="M1740" s="25">
        <f>Parameters!L871</f>
        <v>0</v>
      </c>
      <c r="N1740" s="25">
        <f>Parameters!M871</f>
        <v>0</v>
      </c>
      <c r="O1740" s="26" t="e">
        <f t="shared" ref="O1740" si="2605">O1741</f>
        <v>#DIV/0!</v>
      </c>
      <c r="P1740" s="23">
        <f>Parameters!N871</f>
        <v>0</v>
      </c>
      <c r="Q1740" s="23">
        <f>Parameters!O871</f>
        <v>0</v>
      </c>
      <c r="R1740" s="23">
        <f>Parameters!P871</f>
        <v>0</v>
      </c>
      <c r="S1740" s="23">
        <f>Parameters!Q871</f>
        <v>0</v>
      </c>
      <c r="T1740" s="23">
        <f>Parameters!R871</f>
        <v>0</v>
      </c>
      <c r="U1740" s="27">
        <f>Parameters!S871</f>
        <v>0</v>
      </c>
      <c r="V1740" s="28">
        <f>Parameters!T871</f>
        <v>0</v>
      </c>
      <c r="W1740" s="27">
        <f>Parameters!U871</f>
        <v>0</v>
      </c>
      <c r="X1740" s="28">
        <f>Parameters!V871</f>
        <v>0</v>
      </c>
      <c r="Y1740" s="25">
        <f>Parameters!W871</f>
        <v>0</v>
      </c>
      <c r="Z1740" s="23">
        <f>Parameters!X871</f>
        <v>0</v>
      </c>
      <c r="AA1740" s="27">
        <f>Parameters!Y871</f>
        <v>0</v>
      </c>
      <c r="AB1740" s="28">
        <f>Parameters!Z871</f>
        <v>0</v>
      </c>
      <c r="AC1740" s="23">
        <f>Parameters!AA871</f>
        <v>0</v>
      </c>
    </row>
    <row r="1741" spans="1:29">
      <c r="A1741" s="29" t="str">
        <f>UPPER(A1740)</f>
        <v>0</v>
      </c>
      <c r="B1741" s="29">
        <f>B1740</f>
        <v>0</v>
      </c>
      <c r="C1741" s="30">
        <f>C1740</f>
        <v>0</v>
      </c>
      <c r="D1741" s="30">
        <f>D1740</f>
        <v>0</v>
      </c>
      <c r="E1741" s="29">
        <f>E1740</f>
        <v>0</v>
      </c>
      <c r="F1741" s="29">
        <f>F1740</f>
        <v>0</v>
      </c>
      <c r="G1741" s="29" t="e">
        <f>IF(C1740=1,IF(D1740="BUY",E1740+(ROUND(F1740*G1740/B1740,0)*B1740),E1740-(ROUND(F1740*G1740/B1740,0)*B1740)),IF(D1740="BUY",E1740-(ROUND(F1740*G1740/B1740,0)*B1740),E1740+(ROUND(F1740*G1740/B1740,0)*B1740)))</f>
        <v>#DIV/0!</v>
      </c>
      <c r="H1741" s="29" t="e">
        <f>IF(C1740=1,IF(D1740="BUY",G1741-(ROUND(F1740*H1740/B1740,0)*B1740),G1741+(ROUND(F1740*H1740/B1740,0)*B1740)),IF(D1740="BUY",G1741+(ROUND(F1740*H1740/B1740,0)*B1740),G1741-(ROUND(F1740*H1740/B1740,0)*B1740)))</f>
        <v>#DIV/0!</v>
      </c>
      <c r="I1741" s="29" t="e">
        <f>IF(D1740="BUY",G1741+(ROUND(F1740*I1740/(B1740*100),0)*B1740),G1741-(ROUND(F1740*I1740/(B1740*100),0)*B1740))</f>
        <v>#DIV/0!</v>
      </c>
      <c r="J1741" s="29" t="e">
        <f>IF(C1740=1,IF(D1740="BUY",E1740+(ROUND(F1740*J1740/B1740,0)*B1740),E1740-(ROUND(F1740*J1740/B1740,0)*B1740)),IF(D1740="BUY",E1740-(ROUND(F1740*J1740/B1740,0)*B1740),E1740+(ROUND(F1740*J1740/B1740,0)*B1740)))</f>
        <v>#DIV/0!</v>
      </c>
      <c r="K1741" s="29" t="e">
        <f>IF(C1740=1,IF(D1740="BUY",E1740-(ROUND(F1740*K1740/B1740,0)*B1740),E1740+(ROUND(F1740*K1740/B1740,0)*B1740)),IF(D1740="BUY",E1740-(ROUND(F1740*K1740/B1740,0)*B1740),E1740+(ROUND(F1740*K1740/B1740,0)*B1740)))</f>
        <v>#DIV/0!</v>
      </c>
      <c r="L1741" s="29" t="e">
        <f t="shared" ref="L1741" si="2606">IF(D1741="BUY",I1741+(R1741*B1741),I1741-(R1741*B1741))</f>
        <v>#DIV/0!</v>
      </c>
      <c r="M1741" s="29" t="e">
        <f>IF(D1740="BUY",E1740+(ROUND(F1740*M1740/B1740,0)*B1740),E1740-(ROUND(F1740*M1740/B1740,0)*B1740))</f>
        <v>#DIV/0!</v>
      </c>
      <c r="N1741" s="29" t="e">
        <f>IF(D1740="BUY",E1740-(ROUND(F1740*N1740/B1740,0)*B1740),E1740+(ROUND(F1740*N1740/B1740,0)*B1740))</f>
        <v>#DIV/0!</v>
      </c>
      <c r="O1741" s="31" t="e">
        <f>IF(D1741="BUY",N1741-VLOOKUP(A1741,Symbols!A$1:D$1000,4,FALSE),N1741+VLOOKUP(A1741,Symbols!A$1:D$1000,4,FALSE))</f>
        <v>#DIV/0!</v>
      </c>
      <c r="P1741" s="29">
        <f>P1740</f>
        <v>0</v>
      </c>
      <c r="Q1741" s="29">
        <f>Q1740</f>
        <v>0</v>
      </c>
      <c r="R1741" s="29">
        <f>R1740</f>
        <v>0</v>
      </c>
      <c r="S1741" s="29">
        <f>S1740</f>
        <v>0</v>
      </c>
      <c r="T1741" s="29">
        <f>T1740</f>
        <v>0</v>
      </c>
      <c r="U1741" s="29" t="e">
        <f>DATEDIF(DATE(1970,1,1),U1740,"D")*86400</f>
        <v>#NUM!</v>
      </c>
      <c r="V1741" s="29">
        <f>HOUR(V1740)*3600+MINUTE(V1740)*60+SECOND(V1740)</f>
        <v>0</v>
      </c>
      <c r="W1741" s="29" t="e">
        <f>DATEDIF(DATE(1970,1,1),W1740,"D")*86400</f>
        <v>#NUM!</v>
      </c>
      <c r="X1741" s="29">
        <f>HOUR(X1740)*3600+MINUTE(X1740)*60+SECOND(X1740)</f>
        <v>0</v>
      </c>
      <c r="Y1741" s="31">
        <f>(Y1740*B1741)</f>
        <v>0</v>
      </c>
      <c r="Z1741" s="29">
        <f>Z1740</f>
        <v>0</v>
      </c>
      <c r="AA1741" s="29" t="e">
        <f>DATEDIF(DATE(1970,1,1),AA1740,"D")*86400</f>
        <v>#NUM!</v>
      </c>
      <c r="AB1741" s="29">
        <f>HOUR(AB1740)*3600+MINUTE(AB1740)*60+SECOND(AB1740)</f>
        <v>0</v>
      </c>
      <c r="AC1741" s="29">
        <f>AC1740</f>
        <v>0</v>
      </c>
    </row>
    <row r="1742" spans="1:29">
      <c r="A1742" s="23">
        <f>Parameters!A872</f>
        <v>0</v>
      </c>
      <c r="B1742" s="23">
        <f>Parameters!B872</f>
        <v>0</v>
      </c>
      <c r="C1742" s="24">
        <f>Parameters!C872</f>
        <v>0</v>
      </c>
      <c r="D1742" s="24">
        <f>Parameters!D872</f>
        <v>0</v>
      </c>
      <c r="E1742" s="23">
        <f>Parameters!E872</f>
        <v>0</v>
      </c>
      <c r="F1742" s="23">
        <f>Parameters!F872</f>
        <v>0</v>
      </c>
      <c r="G1742" s="25">
        <f>Parameters!G872</f>
        <v>0</v>
      </c>
      <c r="H1742" s="25">
        <f>Parameters!H872</f>
        <v>0</v>
      </c>
      <c r="I1742" s="25">
        <f>Parameters!I872</f>
        <v>0</v>
      </c>
      <c r="J1742" s="25">
        <f>Parameters!J872</f>
        <v>0</v>
      </c>
      <c r="K1742" s="25">
        <f>Parameters!K872</f>
        <v>0</v>
      </c>
      <c r="L1742" s="26" t="e">
        <f t="shared" ref="L1742" si="2607">L1743</f>
        <v>#DIV/0!</v>
      </c>
      <c r="M1742" s="25">
        <f>Parameters!L872</f>
        <v>0</v>
      </c>
      <c r="N1742" s="25">
        <f>Parameters!M872</f>
        <v>0</v>
      </c>
      <c r="O1742" s="26" t="e">
        <f t="shared" ref="O1742" si="2608">O1743</f>
        <v>#DIV/0!</v>
      </c>
      <c r="P1742" s="23">
        <f>Parameters!N872</f>
        <v>0</v>
      </c>
      <c r="Q1742" s="23">
        <f>Parameters!O872</f>
        <v>0</v>
      </c>
      <c r="R1742" s="23">
        <f>Parameters!P872</f>
        <v>0</v>
      </c>
      <c r="S1742" s="23">
        <f>Parameters!Q872</f>
        <v>0</v>
      </c>
      <c r="T1742" s="23">
        <f>Parameters!R872</f>
        <v>0</v>
      </c>
      <c r="U1742" s="27">
        <f>Parameters!S872</f>
        <v>0</v>
      </c>
      <c r="V1742" s="28">
        <f>Parameters!T872</f>
        <v>0</v>
      </c>
      <c r="W1742" s="27">
        <f>Parameters!U872</f>
        <v>0</v>
      </c>
      <c r="X1742" s="28">
        <f>Parameters!V872</f>
        <v>0</v>
      </c>
      <c r="Y1742" s="25">
        <f>Parameters!W872</f>
        <v>0</v>
      </c>
      <c r="Z1742" s="23">
        <f>Parameters!X872</f>
        <v>0</v>
      </c>
      <c r="AA1742" s="27">
        <f>Parameters!Y872</f>
        <v>0</v>
      </c>
      <c r="AB1742" s="28">
        <f>Parameters!Z872</f>
        <v>0</v>
      </c>
      <c r="AC1742" s="23">
        <f>Parameters!AA872</f>
        <v>0</v>
      </c>
    </row>
    <row r="1743" spans="1:29">
      <c r="A1743" s="29" t="str">
        <f>UPPER(A1742)</f>
        <v>0</v>
      </c>
      <c r="B1743" s="29">
        <f>B1742</f>
        <v>0</v>
      </c>
      <c r="C1743" s="30">
        <f>C1742</f>
        <v>0</v>
      </c>
      <c r="D1743" s="30">
        <f>D1742</f>
        <v>0</v>
      </c>
      <c r="E1743" s="29">
        <f>E1742</f>
        <v>0</v>
      </c>
      <c r="F1743" s="29">
        <f>F1742</f>
        <v>0</v>
      </c>
      <c r="G1743" s="29" t="e">
        <f>IF(C1742=1,IF(D1742="BUY",E1742+(ROUND(F1742*G1742/B1742,0)*B1742),E1742-(ROUND(F1742*G1742/B1742,0)*B1742)),IF(D1742="BUY",E1742-(ROUND(F1742*G1742/B1742,0)*B1742),E1742+(ROUND(F1742*G1742/B1742,0)*B1742)))</f>
        <v>#DIV/0!</v>
      </c>
      <c r="H1743" s="29" t="e">
        <f>IF(C1742=1,IF(D1742="BUY",G1743-(ROUND(F1742*H1742/B1742,0)*B1742),G1743+(ROUND(F1742*H1742/B1742,0)*B1742)),IF(D1742="BUY",G1743+(ROUND(F1742*H1742/B1742,0)*B1742),G1743-(ROUND(F1742*H1742/B1742,0)*B1742)))</f>
        <v>#DIV/0!</v>
      </c>
      <c r="I1743" s="29" t="e">
        <f>IF(D1742="BUY",G1743+(ROUND(F1742*I1742/(B1742*100),0)*B1742),G1743-(ROUND(F1742*I1742/(B1742*100),0)*B1742))</f>
        <v>#DIV/0!</v>
      </c>
      <c r="J1743" s="29" t="e">
        <f>IF(C1742=1,IF(D1742="BUY",E1742+(ROUND(F1742*J1742/B1742,0)*B1742),E1742-(ROUND(F1742*J1742/B1742,0)*B1742)),IF(D1742="BUY",E1742-(ROUND(F1742*J1742/B1742,0)*B1742),E1742+(ROUND(F1742*J1742/B1742,0)*B1742)))</f>
        <v>#DIV/0!</v>
      </c>
      <c r="K1743" s="29" t="e">
        <f>IF(C1742=1,IF(D1742="BUY",E1742-(ROUND(F1742*K1742/B1742,0)*B1742),E1742+(ROUND(F1742*K1742/B1742,0)*B1742)),IF(D1742="BUY",E1742-(ROUND(F1742*K1742/B1742,0)*B1742),E1742+(ROUND(F1742*K1742/B1742,0)*B1742)))</f>
        <v>#DIV/0!</v>
      </c>
      <c r="L1743" s="29" t="e">
        <f t="shared" ref="L1743" si="2609">IF(D1743="BUY",I1743+(R1743*B1743),I1743-(R1743*B1743))</f>
        <v>#DIV/0!</v>
      </c>
      <c r="M1743" s="29" t="e">
        <f>IF(D1742="BUY",E1742+(ROUND(F1742*M1742/B1742,0)*B1742),E1742-(ROUND(F1742*M1742/B1742,0)*B1742))</f>
        <v>#DIV/0!</v>
      </c>
      <c r="N1743" s="29" t="e">
        <f>IF(D1742="BUY",E1742-(ROUND(F1742*N1742/B1742,0)*B1742),E1742+(ROUND(F1742*N1742/B1742,0)*B1742))</f>
        <v>#DIV/0!</v>
      </c>
      <c r="O1743" s="31" t="e">
        <f>IF(D1743="BUY",N1743-VLOOKUP(A1743,Symbols!A$1:D$1000,4,FALSE),N1743+VLOOKUP(A1743,Symbols!A$1:D$1000,4,FALSE))</f>
        <v>#DIV/0!</v>
      </c>
      <c r="P1743" s="29">
        <f>P1742</f>
        <v>0</v>
      </c>
      <c r="Q1743" s="29">
        <f>Q1742</f>
        <v>0</v>
      </c>
      <c r="R1743" s="29">
        <f>R1742</f>
        <v>0</v>
      </c>
      <c r="S1743" s="29">
        <f>S1742</f>
        <v>0</v>
      </c>
      <c r="T1743" s="29">
        <f>T1742</f>
        <v>0</v>
      </c>
      <c r="U1743" s="29" t="e">
        <f>DATEDIF(DATE(1970,1,1),U1742,"D")*86400</f>
        <v>#NUM!</v>
      </c>
      <c r="V1743" s="29">
        <f>HOUR(V1742)*3600+MINUTE(V1742)*60+SECOND(V1742)</f>
        <v>0</v>
      </c>
      <c r="W1743" s="29" t="e">
        <f>DATEDIF(DATE(1970,1,1),W1742,"D")*86400</f>
        <v>#NUM!</v>
      </c>
      <c r="X1743" s="29">
        <f>HOUR(X1742)*3600+MINUTE(X1742)*60+SECOND(X1742)</f>
        <v>0</v>
      </c>
      <c r="Y1743" s="31">
        <f>(Y1742*B1743)</f>
        <v>0</v>
      </c>
      <c r="Z1743" s="29">
        <f>Z1742</f>
        <v>0</v>
      </c>
      <c r="AA1743" s="29" t="e">
        <f>DATEDIF(DATE(1970,1,1),AA1742,"D")*86400</f>
        <v>#NUM!</v>
      </c>
      <c r="AB1743" s="29">
        <f>HOUR(AB1742)*3600+MINUTE(AB1742)*60+SECOND(AB1742)</f>
        <v>0</v>
      </c>
      <c r="AC1743" s="29">
        <f>AC1742</f>
        <v>0</v>
      </c>
    </row>
    <row r="1744" spans="1:29">
      <c r="A1744" s="23">
        <f>Parameters!A873</f>
        <v>0</v>
      </c>
      <c r="B1744" s="23">
        <f>Parameters!B873</f>
        <v>0</v>
      </c>
      <c r="C1744" s="24">
        <f>Parameters!C873</f>
        <v>0</v>
      </c>
      <c r="D1744" s="24">
        <f>Parameters!D873</f>
        <v>0</v>
      </c>
      <c r="E1744" s="23">
        <f>Parameters!E873</f>
        <v>0</v>
      </c>
      <c r="F1744" s="23">
        <f>Parameters!F873</f>
        <v>0</v>
      </c>
      <c r="G1744" s="25">
        <f>Parameters!G873</f>
        <v>0</v>
      </c>
      <c r="H1744" s="25">
        <f>Parameters!H873</f>
        <v>0</v>
      </c>
      <c r="I1744" s="25">
        <f>Parameters!I873</f>
        <v>0</v>
      </c>
      <c r="J1744" s="25">
        <f>Parameters!J873</f>
        <v>0</v>
      </c>
      <c r="K1744" s="25">
        <f>Parameters!K873</f>
        <v>0</v>
      </c>
      <c r="L1744" s="26" t="e">
        <f t="shared" ref="L1744" si="2610">L1745</f>
        <v>#DIV/0!</v>
      </c>
      <c r="M1744" s="25">
        <f>Parameters!L873</f>
        <v>0</v>
      </c>
      <c r="N1744" s="25">
        <f>Parameters!M873</f>
        <v>0</v>
      </c>
      <c r="O1744" s="26" t="e">
        <f t="shared" ref="O1744" si="2611">O1745</f>
        <v>#DIV/0!</v>
      </c>
      <c r="P1744" s="23">
        <f>Parameters!N873</f>
        <v>0</v>
      </c>
      <c r="Q1744" s="23">
        <f>Parameters!O873</f>
        <v>0</v>
      </c>
      <c r="R1744" s="23">
        <f>Parameters!P873</f>
        <v>0</v>
      </c>
      <c r="S1744" s="23">
        <f>Parameters!Q873</f>
        <v>0</v>
      </c>
      <c r="T1744" s="23">
        <f>Parameters!R873</f>
        <v>0</v>
      </c>
      <c r="U1744" s="27">
        <f>Parameters!S873</f>
        <v>0</v>
      </c>
      <c r="V1744" s="28">
        <f>Parameters!T873</f>
        <v>0</v>
      </c>
      <c r="W1744" s="27">
        <f>Parameters!U873</f>
        <v>0</v>
      </c>
      <c r="X1744" s="28">
        <f>Parameters!V873</f>
        <v>0</v>
      </c>
      <c r="Y1744" s="25">
        <f>Parameters!W873</f>
        <v>0</v>
      </c>
      <c r="Z1744" s="23">
        <f>Parameters!X873</f>
        <v>0</v>
      </c>
      <c r="AA1744" s="27">
        <f>Parameters!Y873</f>
        <v>0</v>
      </c>
      <c r="AB1744" s="28">
        <f>Parameters!Z873</f>
        <v>0</v>
      </c>
      <c r="AC1744" s="23">
        <f>Parameters!AA873</f>
        <v>0</v>
      </c>
    </row>
    <row r="1745" spans="1:29">
      <c r="A1745" s="29" t="str">
        <f>UPPER(A1744)</f>
        <v>0</v>
      </c>
      <c r="B1745" s="29">
        <f>B1744</f>
        <v>0</v>
      </c>
      <c r="C1745" s="30">
        <f>C1744</f>
        <v>0</v>
      </c>
      <c r="D1745" s="30">
        <f>D1744</f>
        <v>0</v>
      </c>
      <c r="E1745" s="29">
        <f>E1744</f>
        <v>0</v>
      </c>
      <c r="F1745" s="29">
        <f>F1744</f>
        <v>0</v>
      </c>
      <c r="G1745" s="29" t="e">
        <f>IF(C1744=1,IF(D1744="BUY",E1744+(ROUND(F1744*G1744/B1744,0)*B1744),E1744-(ROUND(F1744*G1744/B1744,0)*B1744)),IF(D1744="BUY",E1744-(ROUND(F1744*G1744/B1744,0)*B1744),E1744+(ROUND(F1744*G1744/B1744,0)*B1744)))</f>
        <v>#DIV/0!</v>
      </c>
      <c r="H1745" s="29" t="e">
        <f>IF(C1744=1,IF(D1744="BUY",G1745-(ROUND(F1744*H1744/B1744,0)*B1744),G1745+(ROUND(F1744*H1744/B1744,0)*B1744)),IF(D1744="BUY",G1745+(ROUND(F1744*H1744/B1744,0)*B1744),G1745-(ROUND(F1744*H1744/B1744,0)*B1744)))</f>
        <v>#DIV/0!</v>
      </c>
      <c r="I1745" s="29" t="e">
        <f>IF(D1744="BUY",G1745+(ROUND(F1744*I1744/(B1744*100),0)*B1744),G1745-(ROUND(F1744*I1744/(B1744*100),0)*B1744))</f>
        <v>#DIV/0!</v>
      </c>
      <c r="J1745" s="29" t="e">
        <f>IF(C1744=1,IF(D1744="BUY",E1744+(ROUND(F1744*J1744/B1744,0)*B1744),E1744-(ROUND(F1744*J1744/B1744,0)*B1744)),IF(D1744="BUY",E1744-(ROUND(F1744*J1744/B1744,0)*B1744),E1744+(ROUND(F1744*J1744/B1744,0)*B1744)))</f>
        <v>#DIV/0!</v>
      </c>
      <c r="K1745" s="29" t="e">
        <f>IF(C1744=1,IF(D1744="BUY",E1744-(ROUND(F1744*K1744/B1744,0)*B1744),E1744+(ROUND(F1744*K1744/B1744,0)*B1744)),IF(D1744="BUY",E1744-(ROUND(F1744*K1744/B1744,0)*B1744),E1744+(ROUND(F1744*K1744/B1744,0)*B1744)))</f>
        <v>#DIV/0!</v>
      </c>
      <c r="L1745" s="29" t="e">
        <f t="shared" ref="L1745" si="2612">IF(D1745="BUY",I1745+(R1745*B1745),I1745-(R1745*B1745))</f>
        <v>#DIV/0!</v>
      </c>
      <c r="M1745" s="29" t="e">
        <f>IF(D1744="BUY",E1744+(ROUND(F1744*M1744/B1744,0)*B1744),E1744-(ROUND(F1744*M1744/B1744,0)*B1744))</f>
        <v>#DIV/0!</v>
      </c>
      <c r="N1745" s="29" t="e">
        <f>IF(D1744="BUY",E1744-(ROUND(F1744*N1744/B1744,0)*B1744),E1744+(ROUND(F1744*N1744/B1744,0)*B1744))</f>
        <v>#DIV/0!</v>
      </c>
      <c r="O1745" s="31" t="e">
        <f>IF(D1745="BUY",N1745-VLOOKUP(A1745,Symbols!A$1:D$1000,4,FALSE),N1745+VLOOKUP(A1745,Symbols!A$1:D$1000,4,FALSE))</f>
        <v>#DIV/0!</v>
      </c>
      <c r="P1745" s="29">
        <f>P1744</f>
        <v>0</v>
      </c>
      <c r="Q1745" s="29">
        <f>Q1744</f>
        <v>0</v>
      </c>
      <c r="R1745" s="29">
        <f>R1744</f>
        <v>0</v>
      </c>
      <c r="S1745" s="29">
        <f>S1744</f>
        <v>0</v>
      </c>
      <c r="T1745" s="29">
        <f>T1744</f>
        <v>0</v>
      </c>
      <c r="U1745" s="29" t="e">
        <f>DATEDIF(DATE(1970,1,1),U1744,"D")*86400</f>
        <v>#NUM!</v>
      </c>
      <c r="V1745" s="29">
        <f>HOUR(V1744)*3600+MINUTE(V1744)*60+SECOND(V1744)</f>
        <v>0</v>
      </c>
      <c r="W1745" s="29" t="e">
        <f>DATEDIF(DATE(1970,1,1),W1744,"D")*86400</f>
        <v>#NUM!</v>
      </c>
      <c r="X1745" s="29">
        <f>HOUR(X1744)*3600+MINUTE(X1744)*60+SECOND(X1744)</f>
        <v>0</v>
      </c>
      <c r="Y1745" s="31">
        <f>(Y1744*B1745)</f>
        <v>0</v>
      </c>
      <c r="Z1745" s="29">
        <f>Z1744</f>
        <v>0</v>
      </c>
      <c r="AA1745" s="29" t="e">
        <f>DATEDIF(DATE(1970,1,1),AA1744,"D")*86400</f>
        <v>#NUM!</v>
      </c>
      <c r="AB1745" s="29">
        <f>HOUR(AB1744)*3600+MINUTE(AB1744)*60+SECOND(AB1744)</f>
        <v>0</v>
      </c>
      <c r="AC1745" s="29">
        <f>AC1744</f>
        <v>0</v>
      </c>
    </row>
    <row r="1746" spans="1:29">
      <c r="A1746" s="23">
        <f>Parameters!A874</f>
        <v>0</v>
      </c>
      <c r="B1746" s="23">
        <f>Parameters!B874</f>
        <v>0</v>
      </c>
      <c r="C1746" s="24">
        <f>Parameters!C874</f>
        <v>0</v>
      </c>
      <c r="D1746" s="24">
        <f>Parameters!D874</f>
        <v>0</v>
      </c>
      <c r="E1746" s="23">
        <f>Parameters!E874</f>
        <v>0</v>
      </c>
      <c r="F1746" s="23">
        <f>Parameters!F874</f>
        <v>0</v>
      </c>
      <c r="G1746" s="25">
        <f>Parameters!G874</f>
        <v>0</v>
      </c>
      <c r="H1746" s="25">
        <f>Parameters!H874</f>
        <v>0</v>
      </c>
      <c r="I1746" s="25">
        <f>Parameters!I874</f>
        <v>0</v>
      </c>
      <c r="J1746" s="25">
        <f>Parameters!J874</f>
        <v>0</v>
      </c>
      <c r="K1746" s="25">
        <f>Parameters!K874</f>
        <v>0</v>
      </c>
      <c r="L1746" s="26" t="e">
        <f t="shared" ref="L1746" si="2613">L1747</f>
        <v>#DIV/0!</v>
      </c>
      <c r="M1746" s="25">
        <f>Parameters!L874</f>
        <v>0</v>
      </c>
      <c r="N1746" s="25">
        <f>Parameters!M874</f>
        <v>0</v>
      </c>
      <c r="O1746" s="26" t="e">
        <f t="shared" ref="O1746" si="2614">O1747</f>
        <v>#DIV/0!</v>
      </c>
      <c r="P1746" s="23">
        <f>Parameters!N874</f>
        <v>0</v>
      </c>
      <c r="Q1746" s="23">
        <f>Parameters!O874</f>
        <v>0</v>
      </c>
      <c r="R1746" s="23">
        <f>Parameters!P874</f>
        <v>0</v>
      </c>
      <c r="S1746" s="23">
        <f>Parameters!Q874</f>
        <v>0</v>
      </c>
      <c r="T1746" s="23">
        <f>Parameters!R874</f>
        <v>0</v>
      </c>
      <c r="U1746" s="27">
        <f>Parameters!S874</f>
        <v>0</v>
      </c>
      <c r="V1746" s="28">
        <f>Parameters!T874</f>
        <v>0</v>
      </c>
      <c r="W1746" s="27">
        <f>Parameters!U874</f>
        <v>0</v>
      </c>
      <c r="X1746" s="28">
        <f>Parameters!V874</f>
        <v>0</v>
      </c>
      <c r="Y1746" s="25">
        <f>Parameters!W874</f>
        <v>0</v>
      </c>
      <c r="Z1746" s="23">
        <f>Parameters!X874</f>
        <v>0</v>
      </c>
      <c r="AA1746" s="27">
        <f>Parameters!Y874</f>
        <v>0</v>
      </c>
      <c r="AB1746" s="28">
        <f>Parameters!Z874</f>
        <v>0</v>
      </c>
      <c r="AC1746" s="23">
        <f>Parameters!AA874</f>
        <v>0</v>
      </c>
    </row>
    <row r="1747" spans="1:29">
      <c r="A1747" s="29" t="str">
        <f>UPPER(A1746)</f>
        <v>0</v>
      </c>
      <c r="B1747" s="29">
        <f>B1746</f>
        <v>0</v>
      </c>
      <c r="C1747" s="30">
        <f>C1746</f>
        <v>0</v>
      </c>
      <c r="D1747" s="30">
        <f>D1746</f>
        <v>0</v>
      </c>
      <c r="E1747" s="29">
        <f>E1746</f>
        <v>0</v>
      </c>
      <c r="F1747" s="29">
        <f>F1746</f>
        <v>0</v>
      </c>
      <c r="G1747" s="29" t="e">
        <f>IF(C1746=1,IF(D1746="BUY",E1746+(ROUND(F1746*G1746/B1746,0)*B1746),E1746-(ROUND(F1746*G1746/B1746,0)*B1746)),IF(D1746="BUY",E1746-(ROUND(F1746*G1746/B1746,0)*B1746),E1746+(ROUND(F1746*G1746/B1746,0)*B1746)))</f>
        <v>#DIV/0!</v>
      </c>
      <c r="H1747" s="29" t="e">
        <f>IF(C1746=1,IF(D1746="BUY",G1747-(ROUND(F1746*H1746/B1746,0)*B1746),G1747+(ROUND(F1746*H1746/B1746,0)*B1746)),IF(D1746="BUY",G1747+(ROUND(F1746*H1746/B1746,0)*B1746),G1747-(ROUND(F1746*H1746/B1746,0)*B1746)))</f>
        <v>#DIV/0!</v>
      </c>
      <c r="I1747" s="29" t="e">
        <f>IF(D1746="BUY",G1747+(ROUND(F1746*I1746/(B1746*100),0)*B1746),G1747-(ROUND(F1746*I1746/(B1746*100),0)*B1746))</f>
        <v>#DIV/0!</v>
      </c>
      <c r="J1747" s="29" t="e">
        <f>IF(C1746=1,IF(D1746="BUY",E1746+(ROUND(F1746*J1746/B1746,0)*B1746),E1746-(ROUND(F1746*J1746/B1746,0)*B1746)),IF(D1746="BUY",E1746-(ROUND(F1746*J1746/B1746,0)*B1746),E1746+(ROUND(F1746*J1746/B1746,0)*B1746)))</f>
        <v>#DIV/0!</v>
      </c>
      <c r="K1747" s="29" t="e">
        <f>IF(C1746=1,IF(D1746="BUY",E1746-(ROUND(F1746*K1746/B1746,0)*B1746),E1746+(ROUND(F1746*K1746/B1746,0)*B1746)),IF(D1746="BUY",E1746-(ROUND(F1746*K1746/B1746,0)*B1746),E1746+(ROUND(F1746*K1746/B1746,0)*B1746)))</f>
        <v>#DIV/0!</v>
      </c>
      <c r="L1747" s="29" t="e">
        <f t="shared" ref="L1747" si="2615">IF(D1747="BUY",I1747+(R1747*B1747),I1747-(R1747*B1747))</f>
        <v>#DIV/0!</v>
      </c>
      <c r="M1747" s="29" t="e">
        <f>IF(D1746="BUY",E1746+(ROUND(F1746*M1746/B1746,0)*B1746),E1746-(ROUND(F1746*M1746/B1746,0)*B1746))</f>
        <v>#DIV/0!</v>
      </c>
      <c r="N1747" s="29" t="e">
        <f>IF(D1746="BUY",E1746-(ROUND(F1746*N1746/B1746,0)*B1746),E1746+(ROUND(F1746*N1746/B1746,0)*B1746))</f>
        <v>#DIV/0!</v>
      </c>
      <c r="O1747" s="31" t="e">
        <f>IF(D1747="BUY",N1747-VLOOKUP(A1747,Symbols!A$1:D$1000,4,FALSE),N1747+VLOOKUP(A1747,Symbols!A$1:D$1000,4,FALSE))</f>
        <v>#DIV/0!</v>
      </c>
      <c r="P1747" s="29">
        <f>P1746</f>
        <v>0</v>
      </c>
      <c r="Q1747" s="29">
        <f>Q1746</f>
        <v>0</v>
      </c>
      <c r="R1747" s="29">
        <f>R1746</f>
        <v>0</v>
      </c>
      <c r="S1747" s="29">
        <f>S1746</f>
        <v>0</v>
      </c>
      <c r="T1747" s="29">
        <f>T1746</f>
        <v>0</v>
      </c>
      <c r="U1747" s="29" t="e">
        <f>DATEDIF(DATE(1970,1,1),U1746,"D")*86400</f>
        <v>#NUM!</v>
      </c>
      <c r="V1747" s="29">
        <f>HOUR(V1746)*3600+MINUTE(V1746)*60+SECOND(V1746)</f>
        <v>0</v>
      </c>
      <c r="W1747" s="29" t="e">
        <f>DATEDIF(DATE(1970,1,1),W1746,"D")*86400</f>
        <v>#NUM!</v>
      </c>
      <c r="X1747" s="29">
        <f>HOUR(X1746)*3600+MINUTE(X1746)*60+SECOND(X1746)</f>
        <v>0</v>
      </c>
      <c r="Y1747" s="31">
        <f>(Y1746*B1747)</f>
        <v>0</v>
      </c>
      <c r="Z1747" s="29">
        <f>Z1746</f>
        <v>0</v>
      </c>
      <c r="AA1747" s="29" t="e">
        <f>DATEDIF(DATE(1970,1,1),AA1746,"D")*86400</f>
        <v>#NUM!</v>
      </c>
      <c r="AB1747" s="29">
        <f>HOUR(AB1746)*3600+MINUTE(AB1746)*60+SECOND(AB1746)</f>
        <v>0</v>
      </c>
      <c r="AC1747" s="29">
        <f>AC1746</f>
        <v>0</v>
      </c>
    </row>
    <row r="1748" spans="1:29">
      <c r="A1748" s="23">
        <f>Parameters!A875</f>
        <v>0</v>
      </c>
      <c r="B1748" s="23">
        <f>Parameters!B875</f>
        <v>0</v>
      </c>
      <c r="C1748" s="24">
        <f>Parameters!C875</f>
        <v>0</v>
      </c>
      <c r="D1748" s="24">
        <f>Parameters!D875</f>
        <v>0</v>
      </c>
      <c r="E1748" s="23">
        <f>Parameters!E875</f>
        <v>0</v>
      </c>
      <c r="F1748" s="23">
        <f>Parameters!F875</f>
        <v>0</v>
      </c>
      <c r="G1748" s="25">
        <f>Parameters!G875</f>
        <v>0</v>
      </c>
      <c r="H1748" s="25">
        <f>Parameters!H875</f>
        <v>0</v>
      </c>
      <c r="I1748" s="25">
        <f>Parameters!I875</f>
        <v>0</v>
      </c>
      <c r="J1748" s="25">
        <f>Parameters!J875</f>
        <v>0</v>
      </c>
      <c r="K1748" s="25">
        <f>Parameters!K875</f>
        <v>0</v>
      </c>
      <c r="L1748" s="26" t="e">
        <f t="shared" ref="L1748" si="2616">L1749</f>
        <v>#DIV/0!</v>
      </c>
      <c r="M1748" s="25">
        <f>Parameters!L875</f>
        <v>0</v>
      </c>
      <c r="N1748" s="25">
        <f>Parameters!M875</f>
        <v>0</v>
      </c>
      <c r="O1748" s="26" t="e">
        <f t="shared" ref="O1748" si="2617">O1749</f>
        <v>#DIV/0!</v>
      </c>
      <c r="P1748" s="23">
        <f>Parameters!N875</f>
        <v>0</v>
      </c>
      <c r="Q1748" s="23">
        <f>Parameters!O875</f>
        <v>0</v>
      </c>
      <c r="R1748" s="23">
        <f>Parameters!P875</f>
        <v>0</v>
      </c>
      <c r="S1748" s="23">
        <f>Parameters!Q875</f>
        <v>0</v>
      </c>
      <c r="T1748" s="23">
        <f>Parameters!R875</f>
        <v>0</v>
      </c>
      <c r="U1748" s="27">
        <f>Parameters!S875</f>
        <v>0</v>
      </c>
      <c r="V1748" s="28">
        <f>Parameters!T875</f>
        <v>0</v>
      </c>
      <c r="W1748" s="27">
        <f>Parameters!U875</f>
        <v>0</v>
      </c>
      <c r="X1748" s="28">
        <f>Parameters!V875</f>
        <v>0</v>
      </c>
      <c r="Y1748" s="25">
        <f>Parameters!W875</f>
        <v>0</v>
      </c>
      <c r="Z1748" s="23">
        <f>Parameters!X875</f>
        <v>0</v>
      </c>
      <c r="AA1748" s="27">
        <f>Parameters!Y875</f>
        <v>0</v>
      </c>
      <c r="AB1748" s="28">
        <f>Parameters!Z875</f>
        <v>0</v>
      </c>
      <c r="AC1748" s="23">
        <f>Parameters!AA875</f>
        <v>0</v>
      </c>
    </row>
    <row r="1749" spans="1:29">
      <c r="A1749" s="29" t="str">
        <f>UPPER(A1748)</f>
        <v>0</v>
      </c>
      <c r="B1749" s="29">
        <f>B1748</f>
        <v>0</v>
      </c>
      <c r="C1749" s="30">
        <f>C1748</f>
        <v>0</v>
      </c>
      <c r="D1749" s="30">
        <f>D1748</f>
        <v>0</v>
      </c>
      <c r="E1749" s="29">
        <f>E1748</f>
        <v>0</v>
      </c>
      <c r="F1749" s="29">
        <f>F1748</f>
        <v>0</v>
      </c>
      <c r="G1749" s="29" t="e">
        <f>IF(C1748=1,IF(D1748="BUY",E1748+(ROUND(F1748*G1748/B1748,0)*B1748),E1748-(ROUND(F1748*G1748/B1748,0)*B1748)),IF(D1748="BUY",E1748-(ROUND(F1748*G1748/B1748,0)*B1748),E1748+(ROUND(F1748*G1748/B1748,0)*B1748)))</f>
        <v>#DIV/0!</v>
      </c>
      <c r="H1749" s="29" t="e">
        <f>IF(C1748=1,IF(D1748="BUY",G1749-(ROUND(F1748*H1748/B1748,0)*B1748),G1749+(ROUND(F1748*H1748/B1748,0)*B1748)),IF(D1748="BUY",G1749+(ROUND(F1748*H1748/B1748,0)*B1748),G1749-(ROUND(F1748*H1748/B1748,0)*B1748)))</f>
        <v>#DIV/0!</v>
      </c>
      <c r="I1749" s="29" t="e">
        <f>IF(D1748="BUY",G1749+(ROUND(F1748*I1748/(B1748*100),0)*B1748),G1749-(ROUND(F1748*I1748/(B1748*100),0)*B1748))</f>
        <v>#DIV/0!</v>
      </c>
      <c r="J1749" s="29" t="e">
        <f>IF(C1748=1,IF(D1748="BUY",E1748+(ROUND(F1748*J1748/B1748,0)*B1748),E1748-(ROUND(F1748*J1748/B1748,0)*B1748)),IF(D1748="BUY",E1748-(ROUND(F1748*J1748/B1748,0)*B1748),E1748+(ROUND(F1748*J1748/B1748,0)*B1748)))</f>
        <v>#DIV/0!</v>
      </c>
      <c r="K1749" s="29" t="e">
        <f>IF(C1748=1,IF(D1748="BUY",E1748-(ROUND(F1748*K1748/B1748,0)*B1748),E1748+(ROUND(F1748*K1748/B1748,0)*B1748)),IF(D1748="BUY",E1748-(ROUND(F1748*K1748/B1748,0)*B1748),E1748+(ROUND(F1748*K1748/B1748,0)*B1748)))</f>
        <v>#DIV/0!</v>
      </c>
      <c r="L1749" s="29" t="e">
        <f t="shared" ref="L1749" si="2618">IF(D1749="BUY",I1749+(R1749*B1749),I1749-(R1749*B1749))</f>
        <v>#DIV/0!</v>
      </c>
      <c r="M1749" s="29" t="e">
        <f>IF(D1748="BUY",E1748+(ROUND(F1748*M1748/B1748,0)*B1748),E1748-(ROUND(F1748*M1748/B1748,0)*B1748))</f>
        <v>#DIV/0!</v>
      </c>
      <c r="N1749" s="29" t="e">
        <f>IF(D1748="BUY",E1748-(ROUND(F1748*N1748/B1748,0)*B1748),E1748+(ROUND(F1748*N1748/B1748,0)*B1748))</f>
        <v>#DIV/0!</v>
      </c>
      <c r="O1749" s="31" t="e">
        <f>IF(D1749="BUY",N1749-VLOOKUP(A1749,Symbols!A$1:D$1000,4,FALSE),N1749+VLOOKUP(A1749,Symbols!A$1:D$1000,4,FALSE))</f>
        <v>#DIV/0!</v>
      </c>
      <c r="P1749" s="29">
        <f>P1748</f>
        <v>0</v>
      </c>
      <c r="Q1749" s="29">
        <f>Q1748</f>
        <v>0</v>
      </c>
      <c r="R1749" s="29">
        <f>R1748</f>
        <v>0</v>
      </c>
      <c r="S1749" s="29">
        <f>S1748</f>
        <v>0</v>
      </c>
      <c r="T1749" s="29">
        <f>T1748</f>
        <v>0</v>
      </c>
      <c r="U1749" s="29" t="e">
        <f>DATEDIF(DATE(1970,1,1),U1748,"D")*86400</f>
        <v>#NUM!</v>
      </c>
      <c r="V1749" s="29">
        <f>HOUR(V1748)*3600+MINUTE(V1748)*60+SECOND(V1748)</f>
        <v>0</v>
      </c>
      <c r="W1749" s="29" t="e">
        <f>DATEDIF(DATE(1970,1,1),W1748,"D")*86400</f>
        <v>#NUM!</v>
      </c>
      <c r="X1749" s="29">
        <f>HOUR(X1748)*3600+MINUTE(X1748)*60+SECOND(X1748)</f>
        <v>0</v>
      </c>
      <c r="Y1749" s="31">
        <f>(Y1748*B1749)</f>
        <v>0</v>
      </c>
      <c r="Z1749" s="29">
        <f>Z1748</f>
        <v>0</v>
      </c>
      <c r="AA1749" s="29" t="e">
        <f>DATEDIF(DATE(1970,1,1),AA1748,"D")*86400</f>
        <v>#NUM!</v>
      </c>
      <c r="AB1749" s="29">
        <f>HOUR(AB1748)*3600+MINUTE(AB1748)*60+SECOND(AB1748)</f>
        <v>0</v>
      </c>
      <c r="AC1749" s="29">
        <f>AC1748</f>
        <v>0</v>
      </c>
    </row>
    <row r="1750" spans="1:29">
      <c r="A1750" s="23">
        <f>Parameters!A876</f>
        <v>0</v>
      </c>
      <c r="B1750" s="23">
        <f>Parameters!B876</f>
        <v>0</v>
      </c>
      <c r="C1750" s="24">
        <f>Parameters!C876</f>
        <v>0</v>
      </c>
      <c r="D1750" s="24">
        <f>Parameters!D876</f>
        <v>0</v>
      </c>
      <c r="E1750" s="23">
        <f>Parameters!E876</f>
        <v>0</v>
      </c>
      <c r="F1750" s="23">
        <f>Parameters!F876</f>
        <v>0</v>
      </c>
      <c r="G1750" s="25">
        <f>Parameters!G876</f>
        <v>0</v>
      </c>
      <c r="H1750" s="25">
        <f>Parameters!H876</f>
        <v>0</v>
      </c>
      <c r="I1750" s="25">
        <f>Parameters!I876</f>
        <v>0</v>
      </c>
      <c r="J1750" s="25">
        <f>Parameters!J876</f>
        <v>0</v>
      </c>
      <c r="K1750" s="25">
        <f>Parameters!K876</f>
        <v>0</v>
      </c>
      <c r="L1750" s="26" t="e">
        <f t="shared" ref="L1750" si="2619">L1751</f>
        <v>#DIV/0!</v>
      </c>
      <c r="M1750" s="25">
        <f>Parameters!L876</f>
        <v>0</v>
      </c>
      <c r="N1750" s="25">
        <f>Parameters!M876</f>
        <v>0</v>
      </c>
      <c r="O1750" s="26" t="e">
        <f t="shared" ref="O1750" si="2620">O1751</f>
        <v>#DIV/0!</v>
      </c>
      <c r="P1750" s="23">
        <f>Parameters!N876</f>
        <v>0</v>
      </c>
      <c r="Q1750" s="23">
        <f>Parameters!O876</f>
        <v>0</v>
      </c>
      <c r="R1750" s="23">
        <f>Parameters!P876</f>
        <v>0</v>
      </c>
      <c r="S1750" s="23">
        <f>Parameters!Q876</f>
        <v>0</v>
      </c>
      <c r="T1750" s="23">
        <f>Parameters!R876</f>
        <v>0</v>
      </c>
      <c r="U1750" s="27">
        <f>Parameters!S876</f>
        <v>0</v>
      </c>
      <c r="V1750" s="28">
        <f>Parameters!T876</f>
        <v>0</v>
      </c>
      <c r="W1750" s="27">
        <f>Parameters!U876</f>
        <v>0</v>
      </c>
      <c r="X1750" s="28">
        <f>Parameters!V876</f>
        <v>0</v>
      </c>
      <c r="Y1750" s="25">
        <f>Parameters!W876</f>
        <v>0</v>
      </c>
      <c r="Z1750" s="23">
        <f>Parameters!X876</f>
        <v>0</v>
      </c>
      <c r="AA1750" s="27">
        <f>Parameters!Y876</f>
        <v>0</v>
      </c>
      <c r="AB1750" s="28">
        <f>Parameters!Z876</f>
        <v>0</v>
      </c>
      <c r="AC1750" s="23">
        <f>Parameters!AA876</f>
        <v>0</v>
      </c>
    </row>
    <row r="1751" spans="1:29">
      <c r="A1751" s="29" t="str">
        <f>UPPER(A1750)</f>
        <v>0</v>
      </c>
      <c r="B1751" s="29">
        <f>B1750</f>
        <v>0</v>
      </c>
      <c r="C1751" s="30">
        <f>C1750</f>
        <v>0</v>
      </c>
      <c r="D1751" s="30">
        <f>D1750</f>
        <v>0</v>
      </c>
      <c r="E1751" s="29">
        <f>E1750</f>
        <v>0</v>
      </c>
      <c r="F1751" s="29">
        <f>F1750</f>
        <v>0</v>
      </c>
      <c r="G1751" s="29" t="e">
        <f>IF(C1750=1,IF(D1750="BUY",E1750+(ROUND(F1750*G1750/B1750,0)*B1750),E1750-(ROUND(F1750*G1750/B1750,0)*B1750)),IF(D1750="BUY",E1750-(ROUND(F1750*G1750/B1750,0)*B1750),E1750+(ROUND(F1750*G1750/B1750,0)*B1750)))</f>
        <v>#DIV/0!</v>
      </c>
      <c r="H1751" s="29" t="e">
        <f>IF(C1750=1,IF(D1750="BUY",G1751-(ROUND(F1750*H1750/B1750,0)*B1750),G1751+(ROUND(F1750*H1750/B1750,0)*B1750)),IF(D1750="BUY",G1751+(ROUND(F1750*H1750/B1750,0)*B1750),G1751-(ROUND(F1750*H1750/B1750,0)*B1750)))</f>
        <v>#DIV/0!</v>
      </c>
      <c r="I1751" s="29" t="e">
        <f>IF(D1750="BUY",G1751+(ROUND(F1750*I1750/(B1750*100),0)*B1750),G1751-(ROUND(F1750*I1750/(B1750*100),0)*B1750))</f>
        <v>#DIV/0!</v>
      </c>
      <c r="J1751" s="29" t="e">
        <f>IF(C1750=1,IF(D1750="BUY",E1750+(ROUND(F1750*J1750/B1750,0)*B1750),E1750-(ROUND(F1750*J1750/B1750,0)*B1750)),IF(D1750="BUY",E1750-(ROUND(F1750*J1750/B1750,0)*B1750),E1750+(ROUND(F1750*J1750/B1750,0)*B1750)))</f>
        <v>#DIV/0!</v>
      </c>
      <c r="K1751" s="29" t="e">
        <f>IF(C1750=1,IF(D1750="BUY",E1750-(ROUND(F1750*K1750/B1750,0)*B1750),E1750+(ROUND(F1750*K1750/B1750,0)*B1750)),IF(D1750="BUY",E1750-(ROUND(F1750*K1750/B1750,0)*B1750),E1750+(ROUND(F1750*K1750/B1750,0)*B1750)))</f>
        <v>#DIV/0!</v>
      </c>
      <c r="L1751" s="29" t="e">
        <f t="shared" ref="L1751" si="2621">IF(D1751="BUY",I1751+(R1751*B1751),I1751-(R1751*B1751))</f>
        <v>#DIV/0!</v>
      </c>
      <c r="M1751" s="29" t="e">
        <f>IF(D1750="BUY",E1750+(ROUND(F1750*M1750/B1750,0)*B1750),E1750-(ROUND(F1750*M1750/B1750,0)*B1750))</f>
        <v>#DIV/0!</v>
      </c>
      <c r="N1751" s="29" t="e">
        <f>IF(D1750="BUY",E1750-(ROUND(F1750*N1750/B1750,0)*B1750),E1750+(ROUND(F1750*N1750/B1750,0)*B1750))</f>
        <v>#DIV/0!</v>
      </c>
      <c r="O1751" s="31" t="e">
        <f>IF(D1751="BUY",N1751-VLOOKUP(A1751,Symbols!A$1:D$1000,4,FALSE),N1751+VLOOKUP(A1751,Symbols!A$1:D$1000,4,FALSE))</f>
        <v>#DIV/0!</v>
      </c>
      <c r="P1751" s="29">
        <f>P1750</f>
        <v>0</v>
      </c>
      <c r="Q1751" s="29">
        <f>Q1750</f>
        <v>0</v>
      </c>
      <c r="R1751" s="29">
        <f>R1750</f>
        <v>0</v>
      </c>
      <c r="S1751" s="29">
        <f>S1750</f>
        <v>0</v>
      </c>
      <c r="T1751" s="29">
        <f>T1750</f>
        <v>0</v>
      </c>
      <c r="U1751" s="29" t="e">
        <f>DATEDIF(DATE(1970,1,1),U1750,"D")*86400</f>
        <v>#NUM!</v>
      </c>
      <c r="V1751" s="29">
        <f>HOUR(V1750)*3600+MINUTE(V1750)*60+SECOND(V1750)</f>
        <v>0</v>
      </c>
      <c r="W1751" s="29" t="e">
        <f>DATEDIF(DATE(1970,1,1),W1750,"D")*86400</f>
        <v>#NUM!</v>
      </c>
      <c r="X1751" s="29">
        <f>HOUR(X1750)*3600+MINUTE(X1750)*60+SECOND(X1750)</f>
        <v>0</v>
      </c>
      <c r="Y1751" s="31">
        <f>(Y1750*B1751)</f>
        <v>0</v>
      </c>
      <c r="Z1751" s="29">
        <f>Z1750</f>
        <v>0</v>
      </c>
      <c r="AA1751" s="29" t="e">
        <f>DATEDIF(DATE(1970,1,1),AA1750,"D")*86400</f>
        <v>#NUM!</v>
      </c>
      <c r="AB1751" s="29">
        <f>HOUR(AB1750)*3600+MINUTE(AB1750)*60+SECOND(AB1750)</f>
        <v>0</v>
      </c>
      <c r="AC1751" s="29">
        <f>AC1750</f>
        <v>0</v>
      </c>
    </row>
    <row r="1752" spans="1:29">
      <c r="A1752" s="23">
        <f>Parameters!A877</f>
        <v>0</v>
      </c>
      <c r="B1752" s="23">
        <f>Parameters!B877</f>
        <v>0</v>
      </c>
      <c r="C1752" s="24">
        <f>Parameters!C877</f>
        <v>0</v>
      </c>
      <c r="D1752" s="24">
        <f>Parameters!D877</f>
        <v>0</v>
      </c>
      <c r="E1752" s="23">
        <f>Parameters!E877</f>
        <v>0</v>
      </c>
      <c r="F1752" s="23">
        <f>Parameters!F877</f>
        <v>0</v>
      </c>
      <c r="G1752" s="25">
        <f>Parameters!G877</f>
        <v>0</v>
      </c>
      <c r="H1752" s="25">
        <f>Parameters!H877</f>
        <v>0</v>
      </c>
      <c r="I1752" s="25">
        <f>Parameters!I877</f>
        <v>0</v>
      </c>
      <c r="J1752" s="25">
        <f>Parameters!J877</f>
        <v>0</v>
      </c>
      <c r="K1752" s="25">
        <f>Parameters!K877</f>
        <v>0</v>
      </c>
      <c r="L1752" s="26" t="e">
        <f t="shared" ref="L1752" si="2622">L1753</f>
        <v>#DIV/0!</v>
      </c>
      <c r="M1752" s="25">
        <f>Parameters!L877</f>
        <v>0</v>
      </c>
      <c r="N1752" s="25">
        <f>Parameters!M877</f>
        <v>0</v>
      </c>
      <c r="O1752" s="26" t="e">
        <f t="shared" ref="O1752" si="2623">O1753</f>
        <v>#DIV/0!</v>
      </c>
      <c r="P1752" s="23">
        <f>Parameters!N877</f>
        <v>0</v>
      </c>
      <c r="Q1752" s="23">
        <f>Parameters!O877</f>
        <v>0</v>
      </c>
      <c r="R1752" s="23">
        <f>Parameters!P877</f>
        <v>0</v>
      </c>
      <c r="S1752" s="23">
        <f>Parameters!Q877</f>
        <v>0</v>
      </c>
      <c r="T1752" s="23">
        <f>Parameters!R877</f>
        <v>0</v>
      </c>
      <c r="U1752" s="27">
        <f>Parameters!S877</f>
        <v>0</v>
      </c>
      <c r="V1752" s="28">
        <f>Parameters!T877</f>
        <v>0</v>
      </c>
      <c r="W1752" s="27">
        <f>Parameters!U877</f>
        <v>0</v>
      </c>
      <c r="X1752" s="28">
        <f>Parameters!V877</f>
        <v>0</v>
      </c>
      <c r="Y1752" s="25">
        <f>Parameters!W877</f>
        <v>0</v>
      </c>
      <c r="Z1752" s="23">
        <f>Parameters!X877</f>
        <v>0</v>
      </c>
      <c r="AA1752" s="27">
        <f>Parameters!Y877</f>
        <v>0</v>
      </c>
      <c r="AB1752" s="28">
        <f>Parameters!Z877</f>
        <v>0</v>
      </c>
      <c r="AC1752" s="23">
        <f>Parameters!AA877</f>
        <v>0</v>
      </c>
    </row>
    <row r="1753" spans="1:29">
      <c r="A1753" s="29" t="str">
        <f>UPPER(A1752)</f>
        <v>0</v>
      </c>
      <c r="B1753" s="29">
        <f>B1752</f>
        <v>0</v>
      </c>
      <c r="C1753" s="30">
        <f>C1752</f>
        <v>0</v>
      </c>
      <c r="D1753" s="30">
        <f>D1752</f>
        <v>0</v>
      </c>
      <c r="E1753" s="29">
        <f>E1752</f>
        <v>0</v>
      </c>
      <c r="F1753" s="29">
        <f>F1752</f>
        <v>0</v>
      </c>
      <c r="G1753" s="29" t="e">
        <f>IF(C1752=1,IF(D1752="BUY",E1752+(ROUND(F1752*G1752/B1752,0)*B1752),E1752-(ROUND(F1752*G1752/B1752,0)*B1752)),IF(D1752="BUY",E1752-(ROUND(F1752*G1752/B1752,0)*B1752),E1752+(ROUND(F1752*G1752/B1752,0)*B1752)))</f>
        <v>#DIV/0!</v>
      </c>
      <c r="H1753" s="29" t="e">
        <f>IF(C1752=1,IF(D1752="BUY",G1753-(ROUND(F1752*H1752/B1752,0)*B1752),G1753+(ROUND(F1752*H1752/B1752,0)*B1752)),IF(D1752="BUY",G1753+(ROUND(F1752*H1752/B1752,0)*B1752),G1753-(ROUND(F1752*H1752/B1752,0)*B1752)))</f>
        <v>#DIV/0!</v>
      </c>
      <c r="I1753" s="29" t="e">
        <f>IF(D1752="BUY",G1753+(ROUND(F1752*I1752/(B1752*100),0)*B1752),G1753-(ROUND(F1752*I1752/(B1752*100),0)*B1752))</f>
        <v>#DIV/0!</v>
      </c>
      <c r="J1753" s="29" t="e">
        <f>IF(C1752=1,IF(D1752="BUY",E1752+(ROUND(F1752*J1752/B1752,0)*B1752),E1752-(ROUND(F1752*J1752/B1752,0)*B1752)),IF(D1752="BUY",E1752-(ROUND(F1752*J1752/B1752,0)*B1752),E1752+(ROUND(F1752*J1752/B1752,0)*B1752)))</f>
        <v>#DIV/0!</v>
      </c>
      <c r="K1753" s="29" t="e">
        <f>IF(C1752=1,IF(D1752="BUY",E1752-(ROUND(F1752*K1752/B1752,0)*B1752),E1752+(ROUND(F1752*K1752/B1752,0)*B1752)),IF(D1752="BUY",E1752-(ROUND(F1752*K1752/B1752,0)*B1752),E1752+(ROUND(F1752*K1752/B1752,0)*B1752)))</f>
        <v>#DIV/0!</v>
      </c>
      <c r="L1753" s="29" t="e">
        <f t="shared" ref="L1753" si="2624">IF(D1753="BUY",I1753+(R1753*B1753),I1753-(R1753*B1753))</f>
        <v>#DIV/0!</v>
      </c>
      <c r="M1753" s="29" t="e">
        <f>IF(D1752="BUY",E1752+(ROUND(F1752*M1752/B1752,0)*B1752),E1752-(ROUND(F1752*M1752/B1752,0)*B1752))</f>
        <v>#DIV/0!</v>
      </c>
      <c r="N1753" s="29" t="e">
        <f>IF(D1752="BUY",E1752-(ROUND(F1752*N1752/B1752,0)*B1752),E1752+(ROUND(F1752*N1752/B1752,0)*B1752))</f>
        <v>#DIV/0!</v>
      </c>
      <c r="O1753" s="31" t="e">
        <f>IF(D1753="BUY",N1753-VLOOKUP(A1753,Symbols!A$1:D$1000,4,FALSE),N1753+VLOOKUP(A1753,Symbols!A$1:D$1000,4,FALSE))</f>
        <v>#DIV/0!</v>
      </c>
      <c r="P1753" s="29">
        <f>P1752</f>
        <v>0</v>
      </c>
      <c r="Q1753" s="29">
        <f>Q1752</f>
        <v>0</v>
      </c>
      <c r="R1753" s="29">
        <f>R1752</f>
        <v>0</v>
      </c>
      <c r="S1753" s="29">
        <f>S1752</f>
        <v>0</v>
      </c>
      <c r="T1753" s="29">
        <f>T1752</f>
        <v>0</v>
      </c>
      <c r="U1753" s="29" t="e">
        <f>DATEDIF(DATE(1970,1,1),U1752,"D")*86400</f>
        <v>#NUM!</v>
      </c>
      <c r="V1753" s="29">
        <f>HOUR(V1752)*3600+MINUTE(V1752)*60+SECOND(V1752)</f>
        <v>0</v>
      </c>
      <c r="W1753" s="29" t="e">
        <f>DATEDIF(DATE(1970,1,1),W1752,"D")*86400</f>
        <v>#NUM!</v>
      </c>
      <c r="X1753" s="29">
        <f>HOUR(X1752)*3600+MINUTE(X1752)*60+SECOND(X1752)</f>
        <v>0</v>
      </c>
      <c r="Y1753" s="31">
        <f>(Y1752*B1753)</f>
        <v>0</v>
      </c>
      <c r="Z1753" s="29">
        <f>Z1752</f>
        <v>0</v>
      </c>
      <c r="AA1753" s="29" t="e">
        <f>DATEDIF(DATE(1970,1,1),AA1752,"D")*86400</f>
        <v>#NUM!</v>
      </c>
      <c r="AB1753" s="29">
        <f>HOUR(AB1752)*3600+MINUTE(AB1752)*60+SECOND(AB1752)</f>
        <v>0</v>
      </c>
      <c r="AC1753" s="29">
        <f>AC1752</f>
        <v>0</v>
      </c>
    </row>
    <row r="1754" spans="1:29">
      <c r="A1754" s="23">
        <f>Parameters!A878</f>
        <v>0</v>
      </c>
      <c r="B1754" s="23">
        <f>Parameters!B878</f>
        <v>0</v>
      </c>
      <c r="C1754" s="24">
        <f>Parameters!C878</f>
        <v>0</v>
      </c>
      <c r="D1754" s="24">
        <f>Parameters!D878</f>
        <v>0</v>
      </c>
      <c r="E1754" s="23">
        <f>Parameters!E878</f>
        <v>0</v>
      </c>
      <c r="F1754" s="23">
        <f>Parameters!F878</f>
        <v>0</v>
      </c>
      <c r="G1754" s="25">
        <f>Parameters!G878</f>
        <v>0</v>
      </c>
      <c r="H1754" s="25">
        <f>Parameters!H878</f>
        <v>0</v>
      </c>
      <c r="I1754" s="25">
        <f>Parameters!I878</f>
        <v>0</v>
      </c>
      <c r="J1754" s="25">
        <f>Parameters!J878</f>
        <v>0</v>
      </c>
      <c r="K1754" s="25">
        <f>Parameters!K878</f>
        <v>0</v>
      </c>
      <c r="L1754" s="26" t="e">
        <f t="shared" ref="L1754" si="2625">L1755</f>
        <v>#DIV/0!</v>
      </c>
      <c r="M1754" s="25">
        <f>Parameters!L878</f>
        <v>0</v>
      </c>
      <c r="N1754" s="25">
        <f>Parameters!M878</f>
        <v>0</v>
      </c>
      <c r="O1754" s="26" t="e">
        <f t="shared" ref="O1754" si="2626">O1755</f>
        <v>#DIV/0!</v>
      </c>
      <c r="P1754" s="23">
        <f>Parameters!N878</f>
        <v>0</v>
      </c>
      <c r="Q1754" s="23">
        <f>Parameters!O878</f>
        <v>0</v>
      </c>
      <c r="R1754" s="23">
        <f>Parameters!P878</f>
        <v>0</v>
      </c>
      <c r="S1754" s="23">
        <f>Parameters!Q878</f>
        <v>0</v>
      </c>
      <c r="T1754" s="23">
        <f>Parameters!R878</f>
        <v>0</v>
      </c>
      <c r="U1754" s="27">
        <f>Parameters!S878</f>
        <v>0</v>
      </c>
      <c r="V1754" s="28">
        <f>Parameters!T878</f>
        <v>0</v>
      </c>
      <c r="W1754" s="27">
        <f>Parameters!U878</f>
        <v>0</v>
      </c>
      <c r="X1754" s="28">
        <f>Parameters!V878</f>
        <v>0</v>
      </c>
      <c r="Y1754" s="25">
        <f>Parameters!W878</f>
        <v>0</v>
      </c>
      <c r="Z1754" s="23">
        <f>Parameters!X878</f>
        <v>0</v>
      </c>
      <c r="AA1754" s="27">
        <f>Parameters!Y878</f>
        <v>0</v>
      </c>
      <c r="AB1754" s="28">
        <f>Parameters!Z878</f>
        <v>0</v>
      </c>
      <c r="AC1754" s="23">
        <f>Parameters!AA878</f>
        <v>0</v>
      </c>
    </row>
    <row r="1755" spans="1:29">
      <c r="A1755" s="29" t="str">
        <f>UPPER(A1754)</f>
        <v>0</v>
      </c>
      <c r="B1755" s="29">
        <f>B1754</f>
        <v>0</v>
      </c>
      <c r="C1755" s="30">
        <f>C1754</f>
        <v>0</v>
      </c>
      <c r="D1755" s="30">
        <f>D1754</f>
        <v>0</v>
      </c>
      <c r="E1755" s="29">
        <f>E1754</f>
        <v>0</v>
      </c>
      <c r="F1755" s="29">
        <f>F1754</f>
        <v>0</v>
      </c>
      <c r="G1755" s="29" t="e">
        <f>IF(C1754=1,IF(D1754="BUY",E1754+(ROUND(F1754*G1754/B1754,0)*B1754),E1754-(ROUND(F1754*G1754/B1754,0)*B1754)),IF(D1754="BUY",E1754-(ROUND(F1754*G1754/B1754,0)*B1754),E1754+(ROUND(F1754*G1754/B1754,0)*B1754)))</f>
        <v>#DIV/0!</v>
      </c>
      <c r="H1755" s="29" t="e">
        <f>IF(C1754=1,IF(D1754="BUY",G1755-(ROUND(F1754*H1754/B1754,0)*B1754),G1755+(ROUND(F1754*H1754/B1754,0)*B1754)),IF(D1754="BUY",G1755+(ROUND(F1754*H1754/B1754,0)*B1754),G1755-(ROUND(F1754*H1754/B1754,0)*B1754)))</f>
        <v>#DIV/0!</v>
      </c>
      <c r="I1755" s="29" t="e">
        <f>IF(D1754="BUY",G1755+(ROUND(F1754*I1754/(B1754*100),0)*B1754),G1755-(ROUND(F1754*I1754/(B1754*100),0)*B1754))</f>
        <v>#DIV/0!</v>
      </c>
      <c r="J1755" s="29" t="e">
        <f>IF(C1754=1,IF(D1754="BUY",E1754+(ROUND(F1754*J1754/B1754,0)*B1754),E1754-(ROUND(F1754*J1754/B1754,0)*B1754)),IF(D1754="BUY",E1754-(ROUND(F1754*J1754/B1754,0)*B1754),E1754+(ROUND(F1754*J1754/B1754,0)*B1754)))</f>
        <v>#DIV/0!</v>
      </c>
      <c r="K1755" s="29" t="e">
        <f>IF(C1754=1,IF(D1754="BUY",E1754-(ROUND(F1754*K1754/B1754,0)*B1754),E1754+(ROUND(F1754*K1754/B1754,0)*B1754)),IF(D1754="BUY",E1754-(ROUND(F1754*K1754/B1754,0)*B1754),E1754+(ROUND(F1754*K1754/B1754,0)*B1754)))</f>
        <v>#DIV/0!</v>
      </c>
      <c r="L1755" s="29" t="e">
        <f t="shared" ref="L1755" si="2627">IF(D1755="BUY",I1755+(R1755*B1755),I1755-(R1755*B1755))</f>
        <v>#DIV/0!</v>
      </c>
      <c r="M1755" s="29" t="e">
        <f>IF(D1754="BUY",E1754+(ROUND(F1754*M1754/B1754,0)*B1754),E1754-(ROUND(F1754*M1754/B1754,0)*B1754))</f>
        <v>#DIV/0!</v>
      </c>
      <c r="N1755" s="29" t="e">
        <f>IF(D1754="BUY",E1754-(ROUND(F1754*N1754/B1754,0)*B1754),E1754+(ROUND(F1754*N1754/B1754,0)*B1754))</f>
        <v>#DIV/0!</v>
      </c>
      <c r="O1755" s="31" t="e">
        <f>IF(D1755="BUY",N1755-VLOOKUP(A1755,Symbols!A$1:D$1000,4,FALSE),N1755+VLOOKUP(A1755,Symbols!A$1:D$1000,4,FALSE))</f>
        <v>#DIV/0!</v>
      </c>
      <c r="P1755" s="29">
        <f>P1754</f>
        <v>0</v>
      </c>
      <c r="Q1755" s="29">
        <f>Q1754</f>
        <v>0</v>
      </c>
      <c r="R1755" s="29">
        <f>R1754</f>
        <v>0</v>
      </c>
      <c r="S1755" s="29">
        <f>S1754</f>
        <v>0</v>
      </c>
      <c r="T1755" s="29">
        <f>T1754</f>
        <v>0</v>
      </c>
      <c r="U1755" s="29" t="e">
        <f>DATEDIF(DATE(1970,1,1),U1754,"D")*86400</f>
        <v>#NUM!</v>
      </c>
      <c r="V1755" s="29">
        <f>HOUR(V1754)*3600+MINUTE(V1754)*60+SECOND(V1754)</f>
        <v>0</v>
      </c>
      <c r="W1755" s="29" t="e">
        <f>DATEDIF(DATE(1970,1,1),W1754,"D")*86400</f>
        <v>#NUM!</v>
      </c>
      <c r="X1755" s="29">
        <f>HOUR(X1754)*3600+MINUTE(X1754)*60+SECOND(X1754)</f>
        <v>0</v>
      </c>
      <c r="Y1755" s="31">
        <f>(Y1754*B1755)</f>
        <v>0</v>
      </c>
      <c r="Z1755" s="29">
        <f>Z1754</f>
        <v>0</v>
      </c>
      <c r="AA1755" s="29" t="e">
        <f>DATEDIF(DATE(1970,1,1),AA1754,"D")*86400</f>
        <v>#NUM!</v>
      </c>
      <c r="AB1755" s="29">
        <f>HOUR(AB1754)*3600+MINUTE(AB1754)*60+SECOND(AB1754)</f>
        <v>0</v>
      </c>
      <c r="AC1755" s="29">
        <f>AC1754</f>
        <v>0</v>
      </c>
    </row>
    <row r="1756" spans="1:29">
      <c r="A1756" s="23">
        <f>Parameters!A879</f>
        <v>0</v>
      </c>
      <c r="B1756" s="23">
        <f>Parameters!B879</f>
        <v>0</v>
      </c>
      <c r="C1756" s="24">
        <f>Parameters!C879</f>
        <v>0</v>
      </c>
      <c r="D1756" s="24">
        <f>Parameters!D879</f>
        <v>0</v>
      </c>
      <c r="E1756" s="23">
        <f>Parameters!E879</f>
        <v>0</v>
      </c>
      <c r="F1756" s="23">
        <f>Parameters!F879</f>
        <v>0</v>
      </c>
      <c r="G1756" s="25">
        <f>Parameters!G879</f>
        <v>0</v>
      </c>
      <c r="H1756" s="25">
        <f>Parameters!H879</f>
        <v>0</v>
      </c>
      <c r="I1756" s="25">
        <f>Parameters!I879</f>
        <v>0</v>
      </c>
      <c r="J1756" s="25">
        <f>Parameters!J879</f>
        <v>0</v>
      </c>
      <c r="K1756" s="25">
        <f>Parameters!K879</f>
        <v>0</v>
      </c>
      <c r="L1756" s="26" t="e">
        <f t="shared" ref="L1756" si="2628">L1757</f>
        <v>#DIV/0!</v>
      </c>
      <c r="M1756" s="25">
        <f>Parameters!L879</f>
        <v>0</v>
      </c>
      <c r="N1756" s="25">
        <f>Parameters!M879</f>
        <v>0</v>
      </c>
      <c r="O1756" s="26" t="e">
        <f t="shared" ref="O1756" si="2629">O1757</f>
        <v>#DIV/0!</v>
      </c>
      <c r="P1756" s="23">
        <f>Parameters!N879</f>
        <v>0</v>
      </c>
      <c r="Q1756" s="23">
        <f>Parameters!O879</f>
        <v>0</v>
      </c>
      <c r="R1756" s="23">
        <f>Parameters!P879</f>
        <v>0</v>
      </c>
      <c r="S1756" s="23">
        <f>Parameters!Q879</f>
        <v>0</v>
      </c>
      <c r="T1756" s="23">
        <f>Parameters!R879</f>
        <v>0</v>
      </c>
      <c r="U1756" s="27">
        <f>Parameters!S879</f>
        <v>0</v>
      </c>
      <c r="V1756" s="28">
        <f>Parameters!T879</f>
        <v>0</v>
      </c>
      <c r="W1756" s="27">
        <f>Parameters!U879</f>
        <v>0</v>
      </c>
      <c r="X1756" s="28">
        <f>Parameters!V879</f>
        <v>0</v>
      </c>
      <c r="Y1756" s="25">
        <f>Parameters!W879</f>
        <v>0</v>
      </c>
      <c r="Z1756" s="23">
        <f>Parameters!X879</f>
        <v>0</v>
      </c>
      <c r="AA1756" s="27">
        <f>Parameters!Y879</f>
        <v>0</v>
      </c>
      <c r="AB1756" s="28">
        <f>Parameters!Z879</f>
        <v>0</v>
      </c>
      <c r="AC1756" s="23">
        <f>Parameters!AA879</f>
        <v>0</v>
      </c>
    </row>
    <row r="1757" spans="1:29">
      <c r="A1757" s="29" t="str">
        <f>UPPER(A1756)</f>
        <v>0</v>
      </c>
      <c r="B1757" s="29">
        <f>B1756</f>
        <v>0</v>
      </c>
      <c r="C1757" s="30">
        <f>C1756</f>
        <v>0</v>
      </c>
      <c r="D1757" s="30">
        <f>D1756</f>
        <v>0</v>
      </c>
      <c r="E1757" s="29">
        <f>E1756</f>
        <v>0</v>
      </c>
      <c r="F1757" s="29">
        <f>F1756</f>
        <v>0</v>
      </c>
      <c r="G1757" s="29" t="e">
        <f>IF(C1756=1,IF(D1756="BUY",E1756+(ROUND(F1756*G1756/B1756,0)*B1756),E1756-(ROUND(F1756*G1756/B1756,0)*B1756)),IF(D1756="BUY",E1756-(ROUND(F1756*G1756/B1756,0)*B1756),E1756+(ROUND(F1756*G1756/B1756,0)*B1756)))</f>
        <v>#DIV/0!</v>
      </c>
      <c r="H1757" s="29" t="e">
        <f>IF(C1756=1,IF(D1756="BUY",G1757-(ROUND(F1756*H1756/B1756,0)*B1756),G1757+(ROUND(F1756*H1756/B1756,0)*B1756)),IF(D1756="BUY",G1757+(ROUND(F1756*H1756/B1756,0)*B1756),G1757-(ROUND(F1756*H1756/B1756,0)*B1756)))</f>
        <v>#DIV/0!</v>
      </c>
      <c r="I1757" s="29" t="e">
        <f>IF(D1756="BUY",G1757+(ROUND(F1756*I1756/(B1756*100),0)*B1756),G1757-(ROUND(F1756*I1756/(B1756*100),0)*B1756))</f>
        <v>#DIV/0!</v>
      </c>
      <c r="J1757" s="29" t="e">
        <f>IF(C1756=1,IF(D1756="BUY",E1756+(ROUND(F1756*J1756/B1756,0)*B1756),E1756-(ROUND(F1756*J1756/B1756,0)*B1756)),IF(D1756="BUY",E1756-(ROUND(F1756*J1756/B1756,0)*B1756),E1756+(ROUND(F1756*J1756/B1756,0)*B1756)))</f>
        <v>#DIV/0!</v>
      </c>
      <c r="K1757" s="29" t="e">
        <f>IF(C1756=1,IF(D1756="BUY",E1756-(ROUND(F1756*K1756/B1756,0)*B1756),E1756+(ROUND(F1756*K1756/B1756,0)*B1756)),IF(D1756="BUY",E1756-(ROUND(F1756*K1756/B1756,0)*B1756),E1756+(ROUND(F1756*K1756/B1756,0)*B1756)))</f>
        <v>#DIV/0!</v>
      </c>
      <c r="L1757" s="29" t="e">
        <f t="shared" ref="L1757" si="2630">IF(D1757="BUY",I1757+(R1757*B1757),I1757-(R1757*B1757))</f>
        <v>#DIV/0!</v>
      </c>
      <c r="M1757" s="29" t="e">
        <f>IF(D1756="BUY",E1756+(ROUND(F1756*M1756/B1756,0)*B1756),E1756-(ROUND(F1756*M1756/B1756,0)*B1756))</f>
        <v>#DIV/0!</v>
      </c>
      <c r="N1757" s="29" t="e">
        <f>IF(D1756="BUY",E1756-(ROUND(F1756*N1756/B1756,0)*B1756),E1756+(ROUND(F1756*N1756/B1756,0)*B1756))</f>
        <v>#DIV/0!</v>
      </c>
      <c r="O1757" s="31" t="e">
        <f>IF(D1757="BUY",N1757-VLOOKUP(A1757,Symbols!A$1:D$1000,4,FALSE),N1757+VLOOKUP(A1757,Symbols!A$1:D$1000,4,FALSE))</f>
        <v>#DIV/0!</v>
      </c>
      <c r="P1757" s="29">
        <f>P1756</f>
        <v>0</v>
      </c>
      <c r="Q1757" s="29">
        <f>Q1756</f>
        <v>0</v>
      </c>
      <c r="R1757" s="29">
        <f>R1756</f>
        <v>0</v>
      </c>
      <c r="S1757" s="29">
        <f>S1756</f>
        <v>0</v>
      </c>
      <c r="T1757" s="29">
        <f>T1756</f>
        <v>0</v>
      </c>
      <c r="U1757" s="29" t="e">
        <f>DATEDIF(DATE(1970,1,1),U1756,"D")*86400</f>
        <v>#NUM!</v>
      </c>
      <c r="V1757" s="29">
        <f>HOUR(V1756)*3600+MINUTE(V1756)*60+SECOND(V1756)</f>
        <v>0</v>
      </c>
      <c r="W1757" s="29" t="e">
        <f>DATEDIF(DATE(1970,1,1),W1756,"D")*86400</f>
        <v>#NUM!</v>
      </c>
      <c r="X1757" s="29">
        <f>HOUR(X1756)*3600+MINUTE(X1756)*60+SECOND(X1756)</f>
        <v>0</v>
      </c>
      <c r="Y1757" s="31">
        <f>(Y1756*B1757)</f>
        <v>0</v>
      </c>
      <c r="Z1757" s="29">
        <f>Z1756</f>
        <v>0</v>
      </c>
      <c r="AA1757" s="29" t="e">
        <f>DATEDIF(DATE(1970,1,1),AA1756,"D")*86400</f>
        <v>#NUM!</v>
      </c>
      <c r="AB1757" s="29">
        <f>HOUR(AB1756)*3600+MINUTE(AB1756)*60+SECOND(AB1756)</f>
        <v>0</v>
      </c>
      <c r="AC1757" s="29">
        <f>AC1756</f>
        <v>0</v>
      </c>
    </row>
    <row r="1758" spans="1:29">
      <c r="A1758" s="23">
        <f>Parameters!A880</f>
        <v>0</v>
      </c>
      <c r="B1758" s="23">
        <f>Parameters!B880</f>
        <v>0</v>
      </c>
      <c r="C1758" s="24">
        <f>Parameters!C880</f>
        <v>0</v>
      </c>
      <c r="D1758" s="24">
        <f>Parameters!D880</f>
        <v>0</v>
      </c>
      <c r="E1758" s="23">
        <f>Parameters!E880</f>
        <v>0</v>
      </c>
      <c r="F1758" s="23">
        <f>Parameters!F880</f>
        <v>0</v>
      </c>
      <c r="G1758" s="25">
        <f>Parameters!G880</f>
        <v>0</v>
      </c>
      <c r="H1758" s="25">
        <f>Parameters!H880</f>
        <v>0</v>
      </c>
      <c r="I1758" s="25">
        <f>Parameters!I880</f>
        <v>0</v>
      </c>
      <c r="J1758" s="25">
        <f>Parameters!J880</f>
        <v>0</v>
      </c>
      <c r="K1758" s="25">
        <f>Parameters!K880</f>
        <v>0</v>
      </c>
      <c r="L1758" s="26" t="e">
        <f t="shared" ref="L1758" si="2631">L1759</f>
        <v>#DIV/0!</v>
      </c>
      <c r="M1758" s="25">
        <f>Parameters!L880</f>
        <v>0</v>
      </c>
      <c r="N1758" s="25">
        <f>Parameters!M880</f>
        <v>0</v>
      </c>
      <c r="O1758" s="26" t="e">
        <f t="shared" ref="O1758" si="2632">O1759</f>
        <v>#DIV/0!</v>
      </c>
      <c r="P1758" s="23">
        <f>Parameters!N880</f>
        <v>0</v>
      </c>
      <c r="Q1758" s="23">
        <f>Parameters!O880</f>
        <v>0</v>
      </c>
      <c r="R1758" s="23">
        <f>Parameters!P880</f>
        <v>0</v>
      </c>
      <c r="S1758" s="23">
        <f>Parameters!Q880</f>
        <v>0</v>
      </c>
      <c r="T1758" s="23">
        <f>Parameters!R880</f>
        <v>0</v>
      </c>
      <c r="U1758" s="27">
        <f>Parameters!S880</f>
        <v>0</v>
      </c>
      <c r="V1758" s="28">
        <f>Parameters!T880</f>
        <v>0</v>
      </c>
      <c r="W1758" s="27">
        <f>Parameters!U880</f>
        <v>0</v>
      </c>
      <c r="X1758" s="28">
        <f>Parameters!V880</f>
        <v>0</v>
      </c>
      <c r="Y1758" s="25">
        <f>Parameters!W880</f>
        <v>0</v>
      </c>
      <c r="Z1758" s="23">
        <f>Parameters!X880</f>
        <v>0</v>
      </c>
      <c r="AA1758" s="27">
        <f>Parameters!Y880</f>
        <v>0</v>
      </c>
      <c r="AB1758" s="28">
        <f>Parameters!Z880</f>
        <v>0</v>
      </c>
      <c r="AC1758" s="23">
        <f>Parameters!AA880</f>
        <v>0</v>
      </c>
    </row>
    <row r="1759" spans="1:29">
      <c r="A1759" s="29" t="str">
        <f>UPPER(A1758)</f>
        <v>0</v>
      </c>
      <c r="B1759" s="29">
        <f>B1758</f>
        <v>0</v>
      </c>
      <c r="C1759" s="30">
        <f>C1758</f>
        <v>0</v>
      </c>
      <c r="D1759" s="30">
        <f>D1758</f>
        <v>0</v>
      </c>
      <c r="E1759" s="29">
        <f>E1758</f>
        <v>0</v>
      </c>
      <c r="F1759" s="29">
        <f>F1758</f>
        <v>0</v>
      </c>
      <c r="G1759" s="29" t="e">
        <f>IF(C1758=1,IF(D1758="BUY",E1758+(ROUND(F1758*G1758/B1758,0)*B1758),E1758-(ROUND(F1758*G1758/B1758,0)*B1758)),IF(D1758="BUY",E1758-(ROUND(F1758*G1758/B1758,0)*B1758),E1758+(ROUND(F1758*G1758/B1758,0)*B1758)))</f>
        <v>#DIV/0!</v>
      </c>
      <c r="H1759" s="29" t="e">
        <f>IF(C1758=1,IF(D1758="BUY",G1759-(ROUND(F1758*H1758/B1758,0)*B1758),G1759+(ROUND(F1758*H1758/B1758,0)*B1758)),IF(D1758="BUY",G1759+(ROUND(F1758*H1758/B1758,0)*B1758),G1759-(ROUND(F1758*H1758/B1758,0)*B1758)))</f>
        <v>#DIV/0!</v>
      </c>
      <c r="I1759" s="29" t="e">
        <f>IF(D1758="BUY",G1759+(ROUND(F1758*I1758/(B1758*100),0)*B1758),G1759-(ROUND(F1758*I1758/(B1758*100),0)*B1758))</f>
        <v>#DIV/0!</v>
      </c>
      <c r="J1759" s="29" t="e">
        <f>IF(C1758=1,IF(D1758="BUY",E1758+(ROUND(F1758*J1758/B1758,0)*B1758),E1758-(ROUND(F1758*J1758/B1758,0)*B1758)),IF(D1758="BUY",E1758-(ROUND(F1758*J1758/B1758,0)*B1758),E1758+(ROUND(F1758*J1758/B1758,0)*B1758)))</f>
        <v>#DIV/0!</v>
      </c>
      <c r="K1759" s="29" t="e">
        <f>IF(C1758=1,IF(D1758="BUY",E1758-(ROUND(F1758*K1758/B1758,0)*B1758),E1758+(ROUND(F1758*K1758/B1758,0)*B1758)),IF(D1758="BUY",E1758-(ROUND(F1758*K1758/B1758,0)*B1758),E1758+(ROUND(F1758*K1758/B1758,0)*B1758)))</f>
        <v>#DIV/0!</v>
      </c>
      <c r="L1759" s="29" t="e">
        <f t="shared" ref="L1759" si="2633">IF(D1759="BUY",I1759+(R1759*B1759),I1759-(R1759*B1759))</f>
        <v>#DIV/0!</v>
      </c>
      <c r="M1759" s="29" t="e">
        <f>IF(D1758="BUY",E1758+(ROUND(F1758*M1758/B1758,0)*B1758),E1758-(ROUND(F1758*M1758/B1758,0)*B1758))</f>
        <v>#DIV/0!</v>
      </c>
      <c r="N1759" s="29" t="e">
        <f>IF(D1758="BUY",E1758-(ROUND(F1758*N1758/B1758,0)*B1758),E1758+(ROUND(F1758*N1758/B1758,0)*B1758))</f>
        <v>#DIV/0!</v>
      </c>
      <c r="O1759" s="31" t="e">
        <f>IF(D1759="BUY",N1759-VLOOKUP(A1759,Symbols!A$1:D$1000,4,FALSE),N1759+VLOOKUP(A1759,Symbols!A$1:D$1000,4,FALSE))</f>
        <v>#DIV/0!</v>
      </c>
      <c r="P1759" s="29">
        <f>P1758</f>
        <v>0</v>
      </c>
      <c r="Q1759" s="29">
        <f>Q1758</f>
        <v>0</v>
      </c>
      <c r="R1759" s="29">
        <f>R1758</f>
        <v>0</v>
      </c>
      <c r="S1759" s="29">
        <f>S1758</f>
        <v>0</v>
      </c>
      <c r="T1759" s="29">
        <f>T1758</f>
        <v>0</v>
      </c>
      <c r="U1759" s="29" t="e">
        <f>DATEDIF(DATE(1970,1,1),U1758,"D")*86400</f>
        <v>#NUM!</v>
      </c>
      <c r="V1759" s="29">
        <f>HOUR(V1758)*3600+MINUTE(V1758)*60+SECOND(V1758)</f>
        <v>0</v>
      </c>
      <c r="W1759" s="29" t="e">
        <f>DATEDIF(DATE(1970,1,1),W1758,"D")*86400</f>
        <v>#NUM!</v>
      </c>
      <c r="X1759" s="29">
        <f>HOUR(X1758)*3600+MINUTE(X1758)*60+SECOND(X1758)</f>
        <v>0</v>
      </c>
      <c r="Y1759" s="31">
        <f>(Y1758*B1759)</f>
        <v>0</v>
      </c>
      <c r="Z1759" s="29">
        <f>Z1758</f>
        <v>0</v>
      </c>
      <c r="AA1759" s="29" t="e">
        <f>DATEDIF(DATE(1970,1,1),AA1758,"D")*86400</f>
        <v>#NUM!</v>
      </c>
      <c r="AB1759" s="29">
        <f>HOUR(AB1758)*3600+MINUTE(AB1758)*60+SECOND(AB1758)</f>
        <v>0</v>
      </c>
      <c r="AC1759" s="29">
        <f>AC1758</f>
        <v>0</v>
      </c>
    </row>
    <row r="1760" spans="1:29">
      <c r="A1760" s="23">
        <f>Parameters!A881</f>
        <v>0</v>
      </c>
      <c r="B1760" s="23">
        <f>Parameters!B881</f>
        <v>0</v>
      </c>
      <c r="C1760" s="24">
        <f>Parameters!C881</f>
        <v>0</v>
      </c>
      <c r="D1760" s="24">
        <f>Parameters!D881</f>
        <v>0</v>
      </c>
      <c r="E1760" s="23">
        <f>Parameters!E881</f>
        <v>0</v>
      </c>
      <c r="F1760" s="23">
        <f>Parameters!F881</f>
        <v>0</v>
      </c>
      <c r="G1760" s="25">
        <f>Parameters!G881</f>
        <v>0</v>
      </c>
      <c r="H1760" s="25">
        <f>Parameters!H881</f>
        <v>0</v>
      </c>
      <c r="I1760" s="25">
        <f>Parameters!I881</f>
        <v>0</v>
      </c>
      <c r="J1760" s="25">
        <f>Parameters!J881</f>
        <v>0</v>
      </c>
      <c r="K1760" s="25">
        <f>Parameters!K881</f>
        <v>0</v>
      </c>
      <c r="L1760" s="26" t="e">
        <f t="shared" ref="L1760" si="2634">L1761</f>
        <v>#DIV/0!</v>
      </c>
      <c r="M1760" s="25">
        <f>Parameters!L881</f>
        <v>0</v>
      </c>
      <c r="N1760" s="25">
        <f>Parameters!M881</f>
        <v>0</v>
      </c>
      <c r="O1760" s="26" t="e">
        <f t="shared" ref="O1760" si="2635">O1761</f>
        <v>#DIV/0!</v>
      </c>
      <c r="P1760" s="23">
        <f>Parameters!N881</f>
        <v>0</v>
      </c>
      <c r="Q1760" s="23">
        <f>Parameters!O881</f>
        <v>0</v>
      </c>
      <c r="R1760" s="23">
        <f>Parameters!P881</f>
        <v>0</v>
      </c>
      <c r="S1760" s="23">
        <f>Parameters!Q881</f>
        <v>0</v>
      </c>
      <c r="T1760" s="23">
        <f>Parameters!R881</f>
        <v>0</v>
      </c>
      <c r="U1760" s="27">
        <f>Parameters!S881</f>
        <v>0</v>
      </c>
      <c r="V1760" s="28">
        <f>Parameters!T881</f>
        <v>0</v>
      </c>
      <c r="W1760" s="27">
        <f>Parameters!U881</f>
        <v>0</v>
      </c>
      <c r="X1760" s="28">
        <f>Parameters!V881</f>
        <v>0</v>
      </c>
      <c r="Y1760" s="25">
        <f>Parameters!W881</f>
        <v>0</v>
      </c>
      <c r="Z1760" s="23">
        <f>Parameters!X881</f>
        <v>0</v>
      </c>
      <c r="AA1760" s="27">
        <f>Parameters!Y881</f>
        <v>0</v>
      </c>
      <c r="AB1760" s="28">
        <f>Parameters!Z881</f>
        <v>0</v>
      </c>
      <c r="AC1760" s="23">
        <f>Parameters!AA881</f>
        <v>0</v>
      </c>
    </row>
    <row r="1761" spans="1:29">
      <c r="A1761" s="29" t="str">
        <f>UPPER(A1760)</f>
        <v>0</v>
      </c>
      <c r="B1761" s="29">
        <f>B1760</f>
        <v>0</v>
      </c>
      <c r="C1761" s="30">
        <f>C1760</f>
        <v>0</v>
      </c>
      <c r="D1761" s="30">
        <f>D1760</f>
        <v>0</v>
      </c>
      <c r="E1761" s="29">
        <f>E1760</f>
        <v>0</v>
      </c>
      <c r="F1761" s="29">
        <f>F1760</f>
        <v>0</v>
      </c>
      <c r="G1761" s="29" t="e">
        <f>IF(C1760=1,IF(D1760="BUY",E1760+(ROUND(F1760*G1760/B1760,0)*B1760),E1760-(ROUND(F1760*G1760/B1760,0)*B1760)),IF(D1760="BUY",E1760-(ROUND(F1760*G1760/B1760,0)*B1760),E1760+(ROUND(F1760*G1760/B1760,0)*B1760)))</f>
        <v>#DIV/0!</v>
      </c>
      <c r="H1761" s="29" t="e">
        <f>IF(C1760=1,IF(D1760="BUY",G1761-(ROUND(F1760*H1760/B1760,0)*B1760),G1761+(ROUND(F1760*H1760/B1760,0)*B1760)),IF(D1760="BUY",G1761+(ROUND(F1760*H1760/B1760,0)*B1760),G1761-(ROUND(F1760*H1760/B1760,0)*B1760)))</f>
        <v>#DIV/0!</v>
      </c>
      <c r="I1761" s="29" t="e">
        <f>IF(D1760="BUY",G1761+(ROUND(F1760*I1760/(B1760*100),0)*B1760),G1761-(ROUND(F1760*I1760/(B1760*100),0)*B1760))</f>
        <v>#DIV/0!</v>
      </c>
      <c r="J1761" s="29" t="e">
        <f>IF(C1760=1,IF(D1760="BUY",E1760+(ROUND(F1760*J1760/B1760,0)*B1760),E1760-(ROUND(F1760*J1760/B1760,0)*B1760)),IF(D1760="BUY",E1760-(ROUND(F1760*J1760/B1760,0)*B1760),E1760+(ROUND(F1760*J1760/B1760,0)*B1760)))</f>
        <v>#DIV/0!</v>
      </c>
      <c r="K1761" s="29" t="e">
        <f>IF(C1760=1,IF(D1760="BUY",E1760-(ROUND(F1760*K1760/B1760,0)*B1760),E1760+(ROUND(F1760*K1760/B1760,0)*B1760)),IF(D1760="BUY",E1760-(ROUND(F1760*K1760/B1760,0)*B1760),E1760+(ROUND(F1760*K1760/B1760,0)*B1760)))</f>
        <v>#DIV/0!</v>
      </c>
      <c r="L1761" s="29" t="e">
        <f t="shared" ref="L1761" si="2636">IF(D1761="BUY",I1761+(R1761*B1761),I1761-(R1761*B1761))</f>
        <v>#DIV/0!</v>
      </c>
      <c r="M1761" s="29" t="e">
        <f>IF(D1760="BUY",E1760+(ROUND(F1760*M1760/B1760,0)*B1760),E1760-(ROUND(F1760*M1760/B1760,0)*B1760))</f>
        <v>#DIV/0!</v>
      </c>
      <c r="N1761" s="29" t="e">
        <f>IF(D1760="BUY",E1760-(ROUND(F1760*N1760/B1760,0)*B1760),E1760+(ROUND(F1760*N1760/B1760,0)*B1760))</f>
        <v>#DIV/0!</v>
      </c>
      <c r="O1761" s="31" t="e">
        <f>IF(D1761="BUY",N1761-VLOOKUP(A1761,Symbols!A$1:D$1000,4,FALSE),N1761+VLOOKUP(A1761,Symbols!A$1:D$1000,4,FALSE))</f>
        <v>#DIV/0!</v>
      </c>
      <c r="P1761" s="29">
        <f>P1760</f>
        <v>0</v>
      </c>
      <c r="Q1761" s="29">
        <f>Q1760</f>
        <v>0</v>
      </c>
      <c r="R1761" s="29">
        <f>R1760</f>
        <v>0</v>
      </c>
      <c r="S1761" s="29">
        <f>S1760</f>
        <v>0</v>
      </c>
      <c r="T1761" s="29">
        <f>T1760</f>
        <v>0</v>
      </c>
      <c r="U1761" s="29" t="e">
        <f>DATEDIF(DATE(1970,1,1),U1760,"D")*86400</f>
        <v>#NUM!</v>
      </c>
      <c r="V1761" s="29">
        <f>HOUR(V1760)*3600+MINUTE(V1760)*60+SECOND(V1760)</f>
        <v>0</v>
      </c>
      <c r="W1761" s="29" t="e">
        <f>DATEDIF(DATE(1970,1,1),W1760,"D")*86400</f>
        <v>#NUM!</v>
      </c>
      <c r="X1761" s="29">
        <f>HOUR(X1760)*3600+MINUTE(X1760)*60+SECOND(X1760)</f>
        <v>0</v>
      </c>
      <c r="Y1761" s="31">
        <f>(Y1760*B1761)</f>
        <v>0</v>
      </c>
      <c r="Z1761" s="29">
        <f>Z1760</f>
        <v>0</v>
      </c>
      <c r="AA1761" s="29" t="e">
        <f>DATEDIF(DATE(1970,1,1),AA1760,"D")*86400</f>
        <v>#NUM!</v>
      </c>
      <c r="AB1761" s="29">
        <f>HOUR(AB1760)*3600+MINUTE(AB1760)*60+SECOND(AB1760)</f>
        <v>0</v>
      </c>
      <c r="AC1761" s="29">
        <f>AC1760</f>
        <v>0</v>
      </c>
    </row>
    <row r="1762" spans="1:29">
      <c r="A1762" s="23">
        <f>Parameters!A882</f>
        <v>0</v>
      </c>
      <c r="B1762" s="23">
        <f>Parameters!B882</f>
        <v>0</v>
      </c>
      <c r="C1762" s="24">
        <f>Parameters!C882</f>
        <v>0</v>
      </c>
      <c r="D1762" s="24">
        <f>Parameters!D882</f>
        <v>0</v>
      </c>
      <c r="E1762" s="23">
        <f>Parameters!E882</f>
        <v>0</v>
      </c>
      <c r="F1762" s="23">
        <f>Parameters!F882</f>
        <v>0</v>
      </c>
      <c r="G1762" s="25">
        <f>Parameters!G882</f>
        <v>0</v>
      </c>
      <c r="H1762" s="25">
        <f>Parameters!H882</f>
        <v>0</v>
      </c>
      <c r="I1762" s="25">
        <f>Parameters!I882</f>
        <v>0</v>
      </c>
      <c r="J1762" s="25">
        <f>Parameters!J882</f>
        <v>0</v>
      </c>
      <c r="K1762" s="25">
        <f>Parameters!K882</f>
        <v>0</v>
      </c>
      <c r="L1762" s="26" t="e">
        <f t="shared" ref="L1762" si="2637">L1763</f>
        <v>#DIV/0!</v>
      </c>
      <c r="M1762" s="25">
        <f>Parameters!L882</f>
        <v>0</v>
      </c>
      <c r="N1762" s="25">
        <f>Parameters!M882</f>
        <v>0</v>
      </c>
      <c r="O1762" s="26" t="e">
        <f t="shared" ref="O1762" si="2638">O1763</f>
        <v>#DIV/0!</v>
      </c>
      <c r="P1762" s="23">
        <f>Parameters!N882</f>
        <v>0</v>
      </c>
      <c r="Q1762" s="23">
        <f>Parameters!O882</f>
        <v>0</v>
      </c>
      <c r="R1762" s="23">
        <f>Parameters!P882</f>
        <v>0</v>
      </c>
      <c r="S1762" s="23">
        <f>Parameters!Q882</f>
        <v>0</v>
      </c>
      <c r="T1762" s="23">
        <f>Parameters!R882</f>
        <v>0</v>
      </c>
      <c r="U1762" s="27">
        <f>Parameters!S882</f>
        <v>0</v>
      </c>
      <c r="V1762" s="28">
        <f>Parameters!T882</f>
        <v>0</v>
      </c>
      <c r="W1762" s="27">
        <f>Parameters!U882</f>
        <v>0</v>
      </c>
      <c r="X1762" s="28">
        <f>Parameters!V882</f>
        <v>0</v>
      </c>
      <c r="Y1762" s="25">
        <f>Parameters!W882</f>
        <v>0</v>
      </c>
      <c r="Z1762" s="23">
        <f>Parameters!X882</f>
        <v>0</v>
      </c>
      <c r="AA1762" s="27">
        <f>Parameters!Y882</f>
        <v>0</v>
      </c>
      <c r="AB1762" s="28">
        <f>Parameters!Z882</f>
        <v>0</v>
      </c>
      <c r="AC1762" s="23">
        <f>Parameters!AA882</f>
        <v>0</v>
      </c>
    </row>
    <row r="1763" spans="1:29">
      <c r="A1763" s="29" t="str">
        <f>UPPER(A1762)</f>
        <v>0</v>
      </c>
      <c r="B1763" s="29">
        <f>B1762</f>
        <v>0</v>
      </c>
      <c r="C1763" s="30">
        <f>C1762</f>
        <v>0</v>
      </c>
      <c r="D1763" s="30">
        <f>D1762</f>
        <v>0</v>
      </c>
      <c r="E1763" s="29">
        <f>E1762</f>
        <v>0</v>
      </c>
      <c r="F1763" s="29">
        <f>F1762</f>
        <v>0</v>
      </c>
      <c r="G1763" s="29" t="e">
        <f>IF(C1762=1,IF(D1762="BUY",E1762+(ROUND(F1762*G1762/B1762,0)*B1762),E1762-(ROUND(F1762*G1762/B1762,0)*B1762)),IF(D1762="BUY",E1762-(ROUND(F1762*G1762/B1762,0)*B1762),E1762+(ROUND(F1762*G1762/B1762,0)*B1762)))</f>
        <v>#DIV/0!</v>
      </c>
      <c r="H1763" s="29" t="e">
        <f>IF(C1762=1,IF(D1762="BUY",G1763-(ROUND(F1762*H1762/B1762,0)*B1762),G1763+(ROUND(F1762*H1762/B1762,0)*B1762)),IF(D1762="BUY",G1763+(ROUND(F1762*H1762/B1762,0)*B1762),G1763-(ROUND(F1762*H1762/B1762,0)*B1762)))</f>
        <v>#DIV/0!</v>
      </c>
      <c r="I1763" s="29" t="e">
        <f>IF(D1762="BUY",G1763+(ROUND(F1762*I1762/(B1762*100),0)*B1762),G1763-(ROUND(F1762*I1762/(B1762*100),0)*B1762))</f>
        <v>#DIV/0!</v>
      </c>
      <c r="J1763" s="29" t="e">
        <f>IF(C1762=1,IF(D1762="BUY",E1762+(ROUND(F1762*J1762/B1762,0)*B1762),E1762-(ROUND(F1762*J1762/B1762,0)*B1762)),IF(D1762="BUY",E1762-(ROUND(F1762*J1762/B1762,0)*B1762),E1762+(ROUND(F1762*J1762/B1762,0)*B1762)))</f>
        <v>#DIV/0!</v>
      </c>
      <c r="K1763" s="29" t="e">
        <f>IF(C1762=1,IF(D1762="BUY",E1762-(ROUND(F1762*K1762/B1762,0)*B1762),E1762+(ROUND(F1762*K1762/B1762,0)*B1762)),IF(D1762="BUY",E1762-(ROUND(F1762*K1762/B1762,0)*B1762),E1762+(ROUND(F1762*K1762/B1762,0)*B1762)))</f>
        <v>#DIV/0!</v>
      </c>
      <c r="L1763" s="29" t="e">
        <f t="shared" ref="L1763" si="2639">IF(D1763="BUY",I1763+(R1763*B1763),I1763-(R1763*B1763))</f>
        <v>#DIV/0!</v>
      </c>
      <c r="M1763" s="29" t="e">
        <f>IF(D1762="BUY",E1762+(ROUND(F1762*M1762/B1762,0)*B1762),E1762-(ROUND(F1762*M1762/B1762,0)*B1762))</f>
        <v>#DIV/0!</v>
      </c>
      <c r="N1763" s="29" t="e">
        <f>IF(D1762="BUY",E1762-(ROUND(F1762*N1762/B1762,0)*B1762),E1762+(ROUND(F1762*N1762/B1762,0)*B1762))</f>
        <v>#DIV/0!</v>
      </c>
      <c r="O1763" s="31" t="e">
        <f>IF(D1763="BUY",N1763-VLOOKUP(A1763,Symbols!A$1:D$1000,4,FALSE),N1763+VLOOKUP(A1763,Symbols!A$1:D$1000,4,FALSE))</f>
        <v>#DIV/0!</v>
      </c>
      <c r="P1763" s="29">
        <f>P1762</f>
        <v>0</v>
      </c>
      <c r="Q1763" s="29">
        <f>Q1762</f>
        <v>0</v>
      </c>
      <c r="R1763" s="29">
        <f>R1762</f>
        <v>0</v>
      </c>
      <c r="S1763" s="29">
        <f>S1762</f>
        <v>0</v>
      </c>
      <c r="T1763" s="29">
        <f>T1762</f>
        <v>0</v>
      </c>
      <c r="U1763" s="29" t="e">
        <f>DATEDIF(DATE(1970,1,1),U1762,"D")*86400</f>
        <v>#NUM!</v>
      </c>
      <c r="V1763" s="29">
        <f>HOUR(V1762)*3600+MINUTE(V1762)*60+SECOND(V1762)</f>
        <v>0</v>
      </c>
      <c r="W1763" s="29" t="e">
        <f>DATEDIF(DATE(1970,1,1),W1762,"D")*86400</f>
        <v>#NUM!</v>
      </c>
      <c r="X1763" s="29">
        <f>HOUR(X1762)*3600+MINUTE(X1762)*60+SECOND(X1762)</f>
        <v>0</v>
      </c>
      <c r="Y1763" s="31">
        <f>(Y1762*B1763)</f>
        <v>0</v>
      </c>
      <c r="Z1763" s="29">
        <f>Z1762</f>
        <v>0</v>
      </c>
      <c r="AA1763" s="29" t="e">
        <f>DATEDIF(DATE(1970,1,1),AA1762,"D")*86400</f>
        <v>#NUM!</v>
      </c>
      <c r="AB1763" s="29">
        <f>HOUR(AB1762)*3600+MINUTE(AB1762)*60+SECOND(AB1762)</f>
        <v>0</v>
      </c>
      <c r="AC1763" s="29">
        <f>AC1762</f>
        <v>0</v>
      </c>
    </row>
    <row r="1764" spans="1:29">
      <c r="A1764" s="23">
        <f>Parameters!A883</f>
        <v>0</v>
      </c>
      <c r="B1764" s="23">
        <f>Parameters!B883</f>
        <v>0</v>
      </c>
      <c r="C1764" s="24">
        <f>Parameters!C883</f>
        <v>0</v>
      </c>
      <c r="D1764" s="24">
        <f>Parameters!D883</f>
        <v>0</v>
      </c>
      <c r="E1764" s="23">
        <f>Parameters!E883</f>
        <v>0</v>
      </c>
      <c r="F1764" s="23">
        <f>Parameters!F883</f>
        <v>0</v>
      </c>
      <c r="G1764" s="25">
        <f>Parameters!G883</f>
        <v>0</v>
      </c>
      <c r="H1764" s="25">
        <f>Parameters!H883</f>
        <v>0</v>
      </c>
      <c r="I1764" s="25">
        <f>Parameters!I883</f>
        <v>0</v>
      </c>
      <c r="J1764" s="25">
        <f>Parameters!J883</f>
        <v>0</v>
      </c>
      <c r="K1764" s="25">
        <f>Parameters!K883</f>
        <v>0</v>
      </c>
      <c r="L1764" s="26" t="e">
        <f t="shared" ref="L1764" si="2640">L1765</f>
        <v>#DIV/0!</v>
      </c>
      <c r="M1764" s="25">
        <f>Parameters!L883</f>
        <v>0</v>
      </c>
      <c r="N1764" s="25">
        <f>Parameters!M883</f>
        <v>0</v>
      </c>
      <c r="O1764" s="26" t="e">
        <f t="shared" ref="O1764" si="2641">O1765</f>
        <v>#DIV/0!</v>
      </c>
      <c r="P1764" s="23">
        <f>Parameters!N883</f>
        <v>0</v>
      </c>
      <c r="Q1764" s="23">
        <f>Parameters!O883</f>
        <v>0</v>
      </c>
      <c r="R1764" s="23">
        <f>Parameters!P883</f>
        <v>0</v>
      </c>
      <c r="S1764" s="23">
        <f>Parameters!Q883</f>
        <v>0</v>
      </c>
      <c r="T1764" s="23">
        <f>Parameters!R883</f>
        <v>0</v>
      </c>
      <c r="U1764" s="27">
        <f>Parameters!S883</f>
        <v>0</v>
      </c>
      <c r="V1764" s="28">
        <f>Parameters!T883</f>
        <v>0</v>
      </c>
      <c r="W1764" s="27">
        <f>Parameters!U883</f>
        <v>0</v>
      </c>
      <c r="X1764" s="28">
        <f>Parameters!V883</f>
        <v>0</v>
      </c>
      <c r="Y1764" s="25">
        <f>Parameters!W883</f>
        <v>0</v>
      </c>
      <c r="Z1764" s="23">
        <f>Parameters!X883</f>
        <v>0</v>
      </c>
      <c r="AA1764" s="27">
        <f>Parameters!Y883</f>
        <v>0</v>
      </c>
      <c r="AB1764" s="28">
        <f>Parameters!Z883</f>
        <v>0</v>
      </c>
      <c r="AC1764" s="23">
        <f>Parameters!AA883</f>
        <v>0</v>
      </c>
    </row>
    <row r="1765" spans="1:29">
      <c r="A1765" s="29" t="str">
        <f>UPPER(A1764)</f>
        <v>0</v>
      </c>
      <c r="B1765" s="29">
        <f>B1764</f>
        <v>0</v>
      </c>
      <c r="C1765" s="30">
        <f>C1764</f>
        <v>0</v>
      </c>
      <c r="D1765" s="30">
        <f>D1764</f>
        <v>0</v>
      </c>
      <c r="E1765" s="29">
        <f>E1764</f>
        <v>0</v>
      </c>
      <c r="F1765" s="29">
        <f>F1764</f>
        <v>0</v>
      </c>
      <c r="G1765" s="29" t="e">
        <f>IF(C1764=1,IF(D1764="BUY",E1764+(ROUND(F1764*G1764/B1764,0)*B1764),E1764-(ROUND(F1764*G1764/B1764,0)*B1764)),IF(D1764="BUY",E1764-(ROUND(F1764*G1764/B1764,0)*B1764),E1764+(ROUND(F1764*G1764/B1764,0)*B1764)))</f>
        <v>#DIV/0!</v>
      </c>
      <c r="H1765" s="29" t="e">
        <f>IF(C1764=1,IF(D1764="BUY",G1765-(ROUND(F1764*H1764/B1764,0)*B1764),G1765+(ROUND(F1764*H1764/B1764,0)*B1764)),IF(D1764="BUY",G1765+(ROUND(F1764*H1764/B1764,0)*B1764),G1765-(ROUND(F1764*H1764/B1764,0)*B1764)))</f>
        <v>#DIV/0!</v>
      </c>
      <c r="I1765" s="29" t="e">
        <f>IF(D1764="BUY",G1765+(ROUND(F1764*I1764/(B1764*100),0)*B1764),G1765-(ROUND(F1764*I1764/(B1764*100),0)*B1764))</f>
        <v>#DIV/0!</v>
      </c>
      <c r="J1765" s="29" t="e">
        <f>IF(C1764=1,IF(D1764="BUY",E1764+(ROUND(F1764*J1764/B1764,0)*B1764),E1764-(ROUND(F1764*J1764/B1764,0)*B1764)),IF(D1764="BUY",E1764-(ROUND(F1764*J1764/B1764,0)*B1764),E1764+(ROUND(F1764*J1764/B1764,0)*B1764)))</f>
        <v>#DIV/0!</v>
      </c>
      <c r="K1765" s="29" t="e">
        <f>IF(C1764=1,IF(D1764="BUY",E1764-(ROUND(F1764*K1764/B1764,0)*B1764),E1764+(ROUND(F1764*K1764/B1764,0)*B1764)),IF(D1764="BUY",E1764-(ROUND(F1764*K1764/B1764,0)*B1764),E1764+(ROUND(F1764*K1764/B1764,0)*B1764)))</f>
        <v>#DIV/0!</v>
      </c>
      <c r="L1765" s="29" t="e">
        <f t="shared" ref="L1765" si="2642">IF(D1765="BUY",I1765+(R1765*B1765),I1765-(R1765*B1765))</f>
        <v>#DIV/0!</v>
      </c>
      <c r="M1765" s="29" t="e">
        <f>IF(D1764="BUY",E1764+(ROUND(F1764*M1764/B1764,0)*B1764),E1764-(ROUND(F1764*M1764/B1764,0)*B1764))</f>
        <v>#DIV/0!</v>
      </c>
      <c r="N1765" s="29" t="e">
        <f>IF(D1764="BUY",E1764-(ROUND(F1764*N1764/B1764,0)*B1764),E1764+(ROUND(F1764*N1764/B1764,0)*B1764))</f>
        <v>#DIV/0!</v>
      </c>
      <c r="O1765" s="31" t="e">
        <f>IF(D1765="BUY",N1765-VLOOKUP(A1765,Symbols!A$1:D$1000,4,FALSE),N1765+VLOOKUP(A1765,Symbols!A$1:D$1000,4,FALSE))</f>
        <v>#DIV/0!</v>
      </c>
      <c r="P1765" s="29">
        <f>P1764</f>
        <v>0</v>
      </c>
      <c r="Q1765" s="29">
        <f>Q1764</f>
        <v>0</v>
      </c>
      <c r="R1765" s="29">
        <f>R1764</f>
        <v>0</v>
      </c>
      <c r="S1765" s="29">
        <f>S1764</f>
        <v>0</v>
      </c>
      <c r="T1765" s="29">
        <f>T1764</f>
        <v>0</v>
      </c>
      <c r="U1765" s="29" t="e">
        <f>DATEDIF(DATE(1970,1,1),U1764,"D")*86400</f>
        <v>#NUM!</v>
      </c>
      <c r="V1765" s="29">
        <f>HOUR(V1764)*3600+MINUTE(V1764)*60+SECOND(V1764)</f>
        <v>0</v>
      </c>
      <c r="W1765" s="29" t="e">
        <f>DATEDIF(DATE(1970,1,1),W1764,"D")*86400</f>
        <v>#NUM!</v>
      </c>
      <c r="X1765" s="29">
        <f>HOUR(X1764)*3600+MINUTE(X1764)*60+SECOND(X1764)</f>
        <v>0</v>
      </c>
      <c r="Y1765" s="31">
        <f>(Y1764*B1765)</f>
        <v>0</v>
      </c>
      <c r="Z1765" s="29">
        <f>Z1764</f>
        <v>0</v>
      </c>
      <c r="AA1765" s="29" t="e">
        <f>DATEDIF(DATE(1970,1,1),AA1764,"D")*86400</f>
        <v>#NUM!</v>
      </c>
      <c r="AB1765" s="29">
        <f>HOUR(AB1764)*3600+MINUTE(AB1764)*60+SECOND(AB1764)</f>
        <v>0</v>
      </c>
      <c r="AC1765" s="29">
        <f>AC1764</f>
        <v>0</v>
      </c>
    </row>
    <row r="1766" spans="1:29">
      <c r="A1766" s="23">
        <f>Parameters!A884</f>
        <v>0</v>
      </c>
      <c r="B1766" s="23">
        <f>Parameters!B884</f>
        <v>0</v>
      </c>
      <c r="C1766" s="24">
        <f>Parameters!C884</f>
        <v>0</v>
      </c>
      <c r="D1766" s="24">
        <f>Parameters!D884</f>
        <v>0</v>
      </c>
      <c r="E1766" s="23">
        <f>Parameters!E884</f>
        <v>0</v>
      </c>
      <c r="F1766" s="23">
        <f>Parameters!F884</f>
        <v>0</v>
      </c>
      <c r="G1766" s="25">
        <f>Parameters!G884</f>
        <v>0</v>
      </c>
      <c r="H1766" s="25">
        <f>Parameters!H884</f>
        <v>0</v>
      </c>
      <c r="I1766" s="25">
        <f>Parameters!I884</f>
        <v>0</v>
      </c>
      <c r="J1766" s="25">
        <f>Parameters!J884</f>
        <v>0</v>
      </c>
      <c r="K1766" s="25">
        <f>Parameters!K884</f>
        <v>0</v>
      </c>
      <c r="L1766" s="26" t="e">
        <f t="shared" ref="L1766" si="2643">L1767</f>
        <v>#DIV/0!</v>
      </c>
      <c r="M1766" s="25">
        <f>Parameters!L884</f>
        <v>0</v>
      </c>
      <c r="N1766" s="25">
        <f>Parameters!M884</f>
        <v>0</v>
      </c>
      <c r="O1766" s="26" t="e">
        <f t="shared" ref="O1766" si="2644">O1767</f>
        <v>#DIV/0!</v>
      </c>
      <c r="P1766" s="23">
        <f>Parameters!N884</f>
        <v>0</v>
      </c>
      <c r="Q1766" s="23">
        <f>Parameters!O884</f>
        <v>0</v>
      </c>
      <c r="R1766" s="23">
        <f>Parameters!P884</f>
        <v>0</v>
      </c>
      <c r="S1766" s="23">
        <f>Parameters!Q884</f>
        <v>0</v>
      </c>
      <c r="T1766" s="23">
        <f>Parameters!R884</f>
        <v>0</v>
      </c>
      <c r="U1766" s="27">
        <f>Parameters!S884</f>
        <v>0</v>
      </c>
      <c r="V1766" s="28">
        <f>Parameters!T884</f>
        <v>0</v>
      </c>
      <c r="W1766" s="27">
        <f>Parameters!U884</f>
        <v>0</v>
      </c>
      <c r="X1766" s="28">
        <f>Parameters!V884</f>
        <v>0</v>
      </c>
      <c r="Y1766" s="25">
        <f>Parameters!W884</f>
        <v>0</v>
      </c>
      <c r="Z1766" s="23">
        <f>Parameters!X884</f>
        <v>0</v>
      </c>
      <c r="AA1766" s="27">
        <f>Parameters!Y884</f>
        <v>0</v>
      </c>
      <c r="AB1766" s="28">
        <f>Parameters!Z884</f>
        <v>0</v>
      </c>
      <c r="AC1766" s="23">
        <f>Parameters!AA884</f>
        <v>0</v>
      </c>
    </row>
    <row r="1767" spans="1:29">
      <c r="A1767" s="29" t="str">
        <f>UPPER(A1766)</f>
        <v>0</v>
      </c>
      <c r="B1767" s="29">
        <f>B1766</f>
        <v>0</v>
      </c>
      <c r="C1767" s="30">
        <f>C1766</f>
        <v>0</v>
      </c>
      <c r="D1767" s="30">
        <f>D1766</f>
        <v>0</v>
      </c>
      <c r="E1767" s="29">
        <f>E1766</f>
        <v>0</v>
      </c>
      <c r="F1767" s="29">
        <f>F1766</f>
        <v>0</v>
      </c>
      <c r="G1767" s="29" t="e">
        <f>IF(C1766=1,IF(D1766="BUY",E1766+(ROUND(F1766*G1766/B1766,0)*B1766),E1766-(ROUND(F1766*G1766/B1766,0)*B1766)),IF(D1766="BUY",E1766-(ROUND(F1766*G1766/B1766,0)*B1766),E1766+(ROUND(F1766*G1766/B1766,0)*B1766)))</f>
        <v>#DIV/0!</v>
      </c>
      <c r="H1767" s="29" t="e">
        <f>IF(C1766=1,IF(D1766="BUY",G1767-(ROUND(F1766*H1766/B1766,0)*B1766),G1767+(ROUND(F1766*H1766/B1766,0)*B1766)),IF(D1766="BUY",G1767+(ROUND(F1766*H1766/B1766,0)*B1766),G1767-(ROUND(F1766*H1766/B1766,0)*B1766)))</f>
        <v>#DIV/0!</v>
      </c>
      <c r="I1767" s="29" t="e">
        <f>IF(D1766="BUY",G1767+(ROUND(F1766*I1766/(B1766*100),0)*B1766),G1767-(ROUND(F1766*I1766/(B1766*100),0)*B1766))</f>
        <v>#DIV/0!</v>
      </c>
      <c r="J1767" s="29" t="e">
        <f>IF(C1766=1,IF(D1766="BUY",E1766+(ROUND(F1766*J1766/B1766,0)*B1766),E1766-(ROUND(F1766*J1766/B1766,0)*B1766)),IF(D1766="BUY",E1766-(ROUND(F1766*J1766/B1766,0)*B1766),E1766+(ROUND(F1766*J1766/B1766,0)*B1766)))</f>
        <v>#DIV/0!</v>
      </c>
      <c r="K1767" s="29" t="e">
        <f>IF(C1766=1,IF(D1766="BUY",E1766-(ROUND(F1766*K1766/B1766,0)*B1766),E1766+(ROUND(F1766*K1766/B1766,0)*B1766)),IF(D1766="BUY",E1766-(ROUND(F1766*K1766/B1766,0)*B1766),E1766+(ROUND(F1766*K1766/B1766,0)*B1766)))</f>
        <v>#DIV/0!</v>
      </c>
      <c r="L1767" s="29" t="e">
        <f t="shared" ref="L1767" si="2645">IF(D1767="BUY",I1767+(R1767*B1767),I1767-(R1767*B1767))</f>
        <v>#DIV/0!</v>
      </c>
      <c r="M1767" s="29" t="e">
        <f>IF(D1766="BUY",E1766+(ROUND(F1766*M1766/B1766,0)*B1766),E1766-(ROUND(F1766*M1766/B1766,0)*B1766))</f>
        <v>#DIV/0!</v>
      </c>
      <c r="N1767" s="29" t="e">
        <f>IF(D1766="BUY",E1766-(ROUND(F1766*N1766/B1766,0)*B1766),E1766+(ROUND(F1766*N1766/B1766,0)*B1766))</f>
        <v>#DIV/0!</v>
      </c>
      <c r="O1767" s="31" t="e">
        <f>IF(D1767="BUY",N1767-VLOOKUP(A1767,Symbols!A$1:D$1000,4,FALSE),N1767+VLOOKUP(A1767,Symbols!A$1:D$1000,4,FALSE))</f>
        <v>#DIV/0!</v>
      </c>
      <c r="P1767" s="29">
        <f>P1766</f>
        <v>0</v>
      </c>
      <c r="Q1767" s="29">
        <f>Q1766</f>
        <v>0</v>
      </c>
      <c r="R1767" s="29">
        <f>R1766</f>
        <v>0</v>
      </c>
      <c r="S1767" s="29">
        <f>S1766</f>
        <v>0</v>
      </c>
      <c r="T1767" s="29">
        <f>T1766</f>
        <v>0</v>
      </c>
      <c r="U1767" s="29" t="e">
        <f>DATEDIF(DATE(1970,1,1),U1766,"D")*86400</f>
        <v>#NUM!</v>
      </c>
      <c r="V1767" s="29">
        <f>HOUR(V1766)*3600+MINUTE(V1766)*60+SECOND(V1766)</f>
        <v>0</v>
      </c>
      <c r="W1767" s="29" t="e">
        <f>DATEDIF(DATE(1970,1,1),W1766,"D")*86400</f>
        <v>#NUM!</v>
      </c>
      <c r="X1767" s="29">
        <f>HOUR(X1766)*3600+MINUTE(X1766)*60+SECOND(X1766)</f>
        <v>0</v>
      </c>
      <c r="Y1767" s="31">
        <f>(Y1766*B1767)</f>
        <v>0</v>
      </c>
      <c r="Z1767" s="29">
        <f>Z1766</f>
        <v>0</v>
      </c>
      <c r="AA1767" s="29" t="e">
        <f>DATEDIF(DATE(1970,1,1),AA1766,"D")*86400</f>
        <v>#NUM!</v>
      </c>
      <c r="AB1767" s="29">
        <f>HOUR(AB1766)*3600+MINUTE(AB1766)*60+SECOND(AB1766)</f>
        <v>0</v>
      </c>
      <c r="AC1767" s="29">
        <f>AC1766</f>
        <v>0</v>
      </c>
    </row>
    <row r="1768" spans="1:29">
      <c r="A1768" s="23">
        <f>Parameters!A885</f>
        <v>0</v>
      </c>
      <c r="B1768" s="23">
        <f>Parameters!B885</f>
        <v>0</v>
      </c>
      <c r="C1768" s="24">
        <f>Parameters!C885</f>
        <v>0</v>
      </c>
      <c r="D1768" s="24">
        <f>Parameters!D885</f>
        <v>0</v>
      </c>
      <c r="E1768" s="23">
        <f>Parameters!E885</f>
        <v>0</v>
      </c>
      <c r="F1768" s="23">
        <f>Parameters!F885</f>
        <v>0</v>
      </c>
      <c r="G1768" s="25">
        <f>Parameters!G885</f>
        <v>0</v>
      </c>
      <c r="H1768" s="25">
        <f>Parameters!H885</f>
        <v>0</v>
      </c>
      <c r="I1768" s="25">
        <f>Parameters!I885</f>
        <v>0</v>
      </c>
      <c r="J1768" s="25">
        <f>Parameters!J885</f>
        <v>0</v>
      </c>
      <c r="K1768" s="25">
        <f>Parameters!K885</f>
        <v>0</v>
      </c>
      <c r="L1768" s="26" t="e">
        <f t="shared" ref="L1768" si="2646">L1769</f>
        <v>#DIV/0!</v>
      </c>
      <c r="M1768" s="25">
        <f>Parameters!L885</f>
        <v>0</v>
      </c>
      <c r="N1768" s="25">
        <f>Parameters!M885</f>
        <v>0</v>
      </c>
      <c r="O1768" s="26" t="e">
        <f t="shared" ref="O1768" si="2647">O1769</f>
        <v>#DIV/0!</v>
      </c>
      <c r="P1768" s="23">
        <f>Parameters!N885</f>
        <v>0</v>
      </c>
      <c r="Q1768" s="23">
        <f>Parameters!O885</f>
        <v>0</v>
      </c>
      <c r="R1768" s="23">
        <f>Parameters!P885</f>
        <v>0</v>
      </c>
      <c r="S1768" s="23">
        <f>Parameters!Q885</f>
        <v>0</v>
      </c>
      <c r="T1768" s="23">
        <f>Parameters!R885</f>
        <v>0</v>
      </c>
      <c r="U1768" s="27">
        <f>Parameters!S885</f>
        <v>0</v>
      </c>
      <c r="V1768" s="28">
        <f>Parameters!T885</f>
        <v>0</v>
      </c>
      <c r="W1768" s="27">
        <f>Parameters!U885</f>
        <v>0</v>
      </c>
      <c r="X1768" s="28">
        <f>Parameters!V885</f>
        <v>0</v>
      </c>
      <c r="Y1768" s="25">
        <f>Parameters!W885</f>
        <v>0</v>
      </c>
      <c r="Z1768" s="23">
        <f>Parameters!X885</f>
        <v>0</v>
      </c>
      <c r="AA1768" s="27">
        <f>Parameters!Y885</f>
        <v>0</v>
      </c>
      <c r="AB1768" s="28">
        <f>Parameters!Z885</f>
        <v>0</v>
      </c>
      <c r="AC1768" s="23">
        <f>Parameters!AA885</f>
        <v>0</v>
      </c>
    </row>
    <row r="1769" spans="1:29">
      <c r="A1769" s="29" t="str">
        <f>UPPER(A1768)</f>
        <v>0</v>
      </c>
      <c r="B1769" s="29">
        <f>B1768</f>
        <v>0</v>
      </c>
      <c r="C1769" s="30">
        <f>C1768</f>
        <v>0</v>
      </c>
      <c r="D1769" s="30">
        <f>D1768</f>
        <v>0</v>
      </c>
      <c r="E1769" s="29">
        <f>E1768</f>
        <v>0</v>
      </c>
      <c r="F1769" s="29">
        <f>F1768</f>
        <v>0</v>
      </c>
      <c r="G1769" s="29" t="e">
        <f>IF(C1768=1,IF(D1768="BUY",E1768+(ROUND(F1768*G1768/B1768,0)*B1768),E1768-(ROUND(F1768*G1768/B1768,0)*B1768)),IF(D1768="BUY",E1768-(ROUND(F1768*G1768/B1768,0)*B1768),E1768+(ROUND(F1768*G1768/B1768,0)*B1768)))</f>
        <v>#DIV/0!</v>
      </c>
      <c r="H1769" s="29" t="e">
        <f>IF(C1768=1,IF(D1768="BUY",G1769-(ROUND(F1768*H1768/B1768,0)*B1768),G1769+(ROUND(F1768*H1768/B1768,0)*B1768)),IF(D1768="BUY",G1769+(ROUND(F1768*H1768/B1768,0)*B1768),G1769-(ROUND(F1768*H1768/B1768,0)*B1768)))</f>
        <v>#DIV/0!</v>
      </c>
      <c r="I1769" s="29" t="e">
        <f>IF(D1768="BUY",G1769+(ROUND(F1768*I1768/(B1768*100),0)*B1768),G1769-(ROUND(F1768*I1768/(B1768*100),0)*B1768))</f>
        <v>#DIV/0!</v>
      </c>
      <c r="J1769" s="29" t="e">
        <f>IF(C1768=1,IF(D1768="BUY",E1768+(ROUND(F1768*J1768/B1768,0)*B1768),E1768-(ROUND(F1768*J1768/B1768,0)*B1768)),IF(D1768="BUY",E1768-(ROUND(F1768*J1768/B1768,0)*B1768),E1768+(ROUND(F1768*J1768/B1768,0)*B1768)))</f>
        <v>#DIV/0!</v>
      </c>
      <c r="K1769" s="29" t="e">
        <f>IF(C1768=1,IF(D1768="BUY",E1768-(ROUND(F1768*K1768/B1768,0)*B1768),E1768+(ROUND(F1768*K1768/B1768,0)*B1768)),IF(D1768="BUY",E1768-(ROUND(F1768*K1768/B1768,0)*B1768),E1768+(ROUND(F1768*K1768/B1768,0)*B1768)))</f>
        <v>#DIV/0!</v>
      </c>
      <c r="L1769" s="29" t="e">
        <f t="shared" ref="L1769" si="2648">IF(D1769="BUY",I1769+(R1769*B1769),I1769-(R1769*B1769))</f>
        <v>#DIV/0!</v>
      </c>
      <c r="M1769" s="29" t="e">
        <f>IF(D1768="BUY",E1768+(ROUND(F1768*M1768/B1768,0)*B1768),E1768-(ROUND(F1768*M1768/B1768,0)*B1768))</f>
        <v>#DIV/0!</v>
      </c>
      <c r="N1769" s="29" t="e">
        <f>IF(D1768="BUY",E1768-(ROUND(F1768*N1768/B1768,0)*B1768),E1768+(ROUND(F1768*N1768/B1768,0)*B1768))</f>
        <v>#DIV/0!</v>
      </c>
      <c r="O1769" s="31" t="e">
        <f>IF(D1769="BUY",N1769-VLOOKUP(A1769,Symbols!A$1:D$1000,4,FALSE),N1769+VLOOKUP(A1769,Symbols!A$1:D$1000,4,FALSE))</f>
        <v>#DIV/0!</v>
      </c>
      <c r="P1769" s="29">
        <f>P1768</f>
        <v>0</v>
      </c>
      <c r="Q1769" s="29">
        <f>Q1768</f>
        <v>0</v>
      </c>
      <c r="R1769" s="29">
        <f>R1768</f>
        <v>0</v>
      </c>
      <c r="S1769" s="29">
        <f>S1768</f>
        <v>0</v>
      </c>
      <c r="T1769" s="29">
        <f>T1768</f>
        <v>0</v>
      </c>
      <c r="U1769" s="29" t="e">
        <f>DATEDIF(DATE(1970,1,1),U1768,"D")*86400</f>
        <v>#NUM!</v>
      </c>
      <c r="V1769" s="29">
        <f>HOUR(V1768)*3600+MINUTE(V1768)*60+SECOND(V1768)</f>
        <v>0</v>
      </c>
      <c r="W1769" s="29" t="e">
        <f>DATEDIF(DATE(1970,1,1),W1768,"D")*86400</f>
        <v>#NUM!</v>
      </c>
      <c r="X1769" s="29">
        <f>HOUR(X1768)*3600+MINUTE(X1768)*60+SECOND(X1768)</f>
        <v>0</v>
      </c>
      <c r="Y1769" s="31">
        <f>(Y1768*B1769)</f>
        <v>0</v>
      </c>
      <c r="Z1769" s="29">
        <f>Z1768</f>
        <v>0</v>
      </c>
      <c r="AA1769" s="29" t="e">
        <f>DATEDIF(DATE(1970,1,1),AA1768,"D")*86400</f>
        <v>#NUM!</v>
      </c>
      <c r="AB1769" s="29">
        <f>HOUR(AB1768)*3600+MINUTE(AB1768)*60+SECOND(AB1768)</f>
        <v>0</v>
      </c>
      <c r="AC1769" s="29">
        <f>AC1768</f>
        <v>0</v>
      </c>
    </row>
    <row r="1770" spans="1:29">
      <c r="A1770" s="23">
        <f>Parameters!A886</f>
        <v>0</v>
      </c>
      <c r="B1770" s="23">
        <f>Parameters!B886</f>
        <v>0</v>
      </c>
      <c r="C1770" s="24">
        <f>Parameters!C886</f>
        <v>0</v>
      </c>
      <c r="D1770" s="24">
        <f>Parameters!D886</f>
        <v>0</v>
      </c>
      <c r="E1770" s="23">
        <f>Parameters!E886</f>
        <v>0</v>
      </c>
      <c r="F1770" s="23">
        <f>Parameters!F886</f>
        <v>0</v>
      </c>
      <c r="G1770" s="25">
        <f>Parameters!G886</f>
        <v>0</v>
      </c>
      <c r="H1770" s="25">
        <f>Parameters!H886</f>
        <v>0</v>
      </c>
      <c r="I1770" s="25">
        <f>Parameters!I886</f>
        <v>0</v>
      </c>
      <c r="J1770" s="25">
        <f>Parameters!J886</f>
        <v>0</v>
      </c>
      <c r="K1770" s="25">
        <f>Parameters!K886</f>
        <v>0</v>
      </c>
      <c r="L1770" s="26" t="e">
        <f t="shared" ref="L1770" si="2649">L1771</f>
        <v>#DIV/0!</v>
      </c>
      <c r="M1770" s="25">
        <f>Parameters!L886</f>
        <v>0</v>
      </c>
      <c r="N1770" s="25">
        <f>Parameters!M886</f>
        <v>0</v>
      </c>
      <c r="O1770" s="26" t="e">
        <f t="shared" ref="O1770" si="2650">O1771</f>
        <v>#DIV/0!</v>
      </c>
      <c r="P1770" s="23">
        <f>Parameters!N886</f>
        <v>0</v>
      </c>
      <c r="Q1770" s="23">
        <f>Parameters!O886</f>
        <v>0</v>
      </c>
      <c r="R1770" s="23">
        <f>Parameters!P886</f>
        <v>0</v>
      </c>
      <c r="S1770" s="23">
        <f>Parameters!Q886</f>
        <v>0</v>
      </c>
      <c r="T1770" s="23">
        <f>Parameters!R886</f>
        <v>0</v>
      </c>
      <c r="U1770" s="27">
        <f>Parameters!S886</f>
        <v>0</v>
      </c>
      <c r="V1770" s="28">
        <f>Parameters!T886</f>
        <v>0</v>
      </c>
      <c r="W1770" s="27">
        <f>Parameters!U886</f>
        <v>0</v>
      </c>
      <c r="X1770" s="28">
        <f>Parameters!V886</f>
        <v>0</v>
      </c>
      <c r="Y1770" s="25">
        <f>Parameters!W886</f>
        <v>0</v>
      </c>
      <c r="Z1770" s="23">
        <f>Parameters!X886</f>
        <v>0</v>
      </c>
      <c r="AA1770" s="27">
        <f>Parameters!Y886</f>
        <v>0</v>
      </c>
      <c r="AB1770" s="28">
        <f>Parameters!Z886</f>
        <v>0</v>
      </c>
      <c r="AC1770" s="23">
        <f>Parameters!AA886</f>
        <v>0</v>
      </c>
    </row>
    <row r="1771" spans="1:29">
      <c r="A1771" s="29" t="str">
        <f>UPPER(A1770)</f>
        <v>0</v>
      </c>
      <c r="B1771" s="29">
        <f>B1770</f>
        <v>0</v>
      </c>
      <c r="C1771" s="30">
        <f>C1770</f>
        <v>0</v>
      </c>
      <c r="D1771" s="30">
        <f>D1770</f>
        <v>0</v>
      </c>
      <c r="E1771" s="29">
        <f>E1770</f>
        <v>0</v>
      </c>
      <c r="F1771" s="29">
        <f>F1770</f>
        <v>0</v>
      </c>
      <c r="G1771" s="29" t="e">
        <f>IF(C1770=1,IF(D1770="BUY",E1770+(ROUND(F1770*G1770/B1770,0)*B1770),E1770-(ROUND(F1770*G1770/B1770,0)*B1770)),IF(D1770="BUY",E1770-(ROUND(F1770*G1770/B1770,0)*B1770),E1770+(ROUND(F1770*G1770/B1770,0)*B1770)))</f>
        <v>#DIV/0!</v>
      </c>
      <c r="H1771" s="29" t="e">
        <f>IF(C1770=1,IF(D1770="BUY",G1771-(ROUND(F1770*H1770/B1770,0)*B1770),G1771+(ROUND(F1770*H1770/B1770,0)*B1770)),IF(D1770="BUY",G1771+(ROUND(F1770*H1770/B1770,0)*B1770),G1771-(ROUND(F1770*H1770/B1770,0)*B1770)))</f>
        <v>#DIV/0!</v>
      </c>
      <c r="I1771" s="29" t="e">
        <f>IF(D1770="BUY",G1771+(ROUND(F1770*I1770/(B1770*100),0)*B1770),G1771-(ROUND(F1770*I1770/(B1770*100),0)*B1770))</f>
        <v>#DIV/0!</v>
      </c>
      <c r="J1771" s="29" t="e">
        <f>IF(C1770=1,IF(D1770="BUY",E1770+(ROUND(F1770*J1770/B1770,0)*B1770),E1770-(ROUND(F1770*J1770/B1770,0)*B1770)),IF(D1770="BUY",E1770-(ROUND(F1770*J1770/B1770,0)*B1770),E1770+(ROUND(F1770*J1770/B1770,0)*B1770)))</f>
        <v>#DIV/0!</v>
      </c>
      <c r="K1771" s="29" t="e">
        <f>IF(C1770=1,IF(D1770="BUY",E1770-(ROUND(F1770*K1770/B1770,0)*B1770),E1770+(ROUND(F1770*K1770/B1770,0)*B1770)),IF(D1770="BUY",E1770-(ROUND(F1770*K1770/B1770,0)*B1770),E1770+(ROUND(F1770*K1770/B1770,0)*B1770)))</f>
        <v>#DIV/0!</v>
      </c>
      <c r="L1771" s="29" t="e">
        <f t="shared" ref="L1771" si="2651">IF(D1771="BUY",I1771+(R1771*B1771),I1771-(R1771*B1771))</f>
        <v>#DIV/0!</v>
      </c>
      <c r="M1771" s="29" t="e">
        <f>IF(D1770="BUY",E1770+(ROUND(F1770*M1770/B1770,0)*B1770),E1770-(ROUND(F1770*M1770/B1770,0)*B1770))</f>
        <v>#DIV/0!</v>
      </c>
      <c r="N1771" s="29" t="e">
        <f>IF(D1770="BUY",E1770-(ROUND(F1770*N1770/B1770,0)*B1770),E1770+(ROUND(F1770*N1770/B1770,0)*B1770))</f>
        <v>#DIV/0!</v>
      </c>
      <c r="O1771" s="31" t="e">
        <f>IF(D1771="BUY",N1771-VLOOKUP(A1771,Symbols!A$1:D$1000,4,FALSE),N1771+VLOOKUP(A1771,Symbols!A$1:D$1000,4,FALSE))</f>
        <v>#DIV/0!</v>
      </c>
      <c r="P1771" s="29">
        <f>P1770</f>
        <v>0</v>
      </c>
      <c r="Q1771" s="29">
        <f>Q1770</f>
        <v>0</v>
      </c>
      <c r="R1771" s="29">
        <f>R1770</f>
        <v>0</v>
      </c>
      <c r="S1771" s="29">
        <f>S1770</f>
        <v>0</v>
      </c>
      <c r="T1771" s="29">
        <f>T1770</f>
        <v>0</v>
      </c>
      <c r="U1771" s="29" t="e">
        <f>DATEDIF(DATE(1970,1,1),U1770,"D")*86400</f>
        <v>#NUM!</v>
      </c>
      <c r="V1771" s="29">
        <f>HOUR(V1770)*3600+MINUTE(V1770)*60+SECOND(V1770)</f>
        <v>0</v>
      </c>
      <c r="W1771" s="29" t="e">
        <f>DATEDIF(DATE(1970,1,1),W1770,"D")*86400</f>
        <v>#NUM!</v>
      </c>
      <c r="X1771" s="29">
        <f>HOUR(X1770)*3600+MINUTE(X1770)*60+SECOND(X1770)</f>
        <v>0</v>
      </c>
      <c r="Y1771" s="31">
        <f>(Y1770*B1771)</f>
        <v>0</v>
      </c>
      <c r="Z1771" s="29">
        <f>Z1770</f>
        <v>0</v>
      </c>
      <c r="AA1771" s="29" t="e">
        <f>DATEDIF(DATE(1970,1,1),AA1770,"D")*86400</f>
        <v>#NUM!</v>
      </c>
      <c r="AB1771" s="29">
        <f>HOUR(AB1770)*3600+MINUTE(AB1770)*60+SECOND(AB1770)</f>
        <v>0</v>
      </c>
      <c r="AC1771" s="29">
        <f>AC1770</f>
        <v>0</v>
      </c>
    </row>
    <row r="1772" spans="1:29">
      <c r="A1772" s="23">
        <f>Parameters!A887</f>
        <v>0</v>
      </c>
      <c r="B1772" s="23">
        <f>Parameters!B887</f>
        <v>0</v>
      </c>
      <c r="C1772" s="24">
        <f>Parameters!C887</f>
        <v>0</v>
      </c>
      <c r="D1772" s="24">
        <f>Parameters!D887</f>
        <v>0</v>
      </c>
      <c r="E1772" s="23">
        <f>Parameters!E887</f>
        <v>0</v>
      </c>
      <c r="F1772" s="23">
        <f>Parameters!F887</f>
        <v>0</v>
      </c>
      <c r="G1772" s="25">
        <f>Parameters!G887</f>
        <v>0</v>
      </c>
      <c r="H1772" s="25">
        <f>Parameters!H887</f>
        <v>0</v>
      </c>
      <c r="I1772" s="25">
        <f>Parameters!I887</f>
        <v>0</v>
      </c>
      <c r="J1772" s="25">
        <f>Parameters!J887</f>
        <v>0</v>
      </c>
      <c r="K1772" s="25">
        <f>Parameters!K887</f>
        <v>0</v>
      </c>
      <c r="L1772" s="26" t="e">
        <f t="shared" ref="L1772" si="2652">L1773</f>
        <v>#DIV/0!</v>
      </c>
      <c r="M1772" s="25">
        <f>Parameters!L887</f>
        <v>0</v>
      </c>
      <c r="N1772" s="25">
        <f>Parameters!M887</f>
        <v>0</v>
      </c>
      <c r="O1772" s="26" t="e">
        <f t="shared" ref="O1772" si="2653">O1773</f>
        <v>#DIV/0!</v>
      </c>
      <c r="P1772" s="23">
        <f>Parameters!N887</f>
        <v>0</v>
      </c>
      <c r="Q1772" s="23">
        <f>Parameters!O887</f>
        <v>0</v>
      </c>
      <c r="R1772" s="23">
        <f>Parameters!P887</f>
        <v>0</v>
      </c>
      <c r="S1772" s="23">
        <f>Parameters!Q887</f>
        <v>0</v>
      </c>
      <c r="T1772" s="23">
        <f>Parameters!R887</f>
        <v>0</v>
      </c>
      <c r="U1772" s="27">
        <f>Parameters!S887</f>
        <v>0</v>
      </c>
      <c r="V1772" s="28">
        <f>Parameters!T887</f>
        <v>0</v>
      </c>
      <c r="W1772" s="27">
        <f>Parameters!U887</f>
        <v>0</v>
      </c>
      <c r="X1772" s="28">
        <f>Parameters!V887</f>
        <v>0</v>
      </c>
      <c r="Y1772" s="25">
        <f>Parameters!W887</f>
        <v>0</v>
      </c>
      <c r="Z1772" s="23">
        <f>Parameters!X887</f>
        <v>0</v>
      </c>
      <c r="AA1772" s="27">
        <f>Parameters!Y887</f>
        <v>0</v>
      </c>
      <c r="AB1772" s="28">
        <f>Parameters!Z887</f>
        <v>0</v>
      </c>
      <c r="AC1772" s="23">
        <f>Parameters!AA887</f>
        <v>0</v>
      </c>
    </row>
    <row r="1773" spans="1:29">
      <c r="A1773" s="29" t="str">
        <f>UPPER(A1772)</f>
        <v>0</v>
      </c>
      <c r="B1773" s="29">
        <f>B1772</f>
        <v>0</v>
      </c>
      <c r="C1773" s="30">
        <f>C1772</f>
        <v>0</v>
      </c>
      <c r="D1773" s="30">
        <f>D1772</f>
        <v>0</v>
      </c>
      <c r="E1773" s="29">
        <f>E1772</f>
        <v>0</v>
      </c>
      <c r="F1773" s="29">
        <f>F1772</f>
        <v>0</v>
      </c>
      <c r="G1773" s="29" t="e">
        <f>IF(C1772=1,IF(D1772="BUY",E1772+(ROUND(F1772*G1772/B1772,0)*B1772),E1772-(ROUND(F1772*G1772/B1772,0)*B1772)),IF(D1772="BUY",E1772-(ROUND(F1772*G1772/B1772,0)*B1772),E1772+(ROUND(F1772*G1772/B1772,0)*B1772)))</f>
        <v>#DIV/0!</v>
      </c>
      <c r="H1773" s="29" t="e">
        <f>IF(C1772=1,IF(D1772="BUY",G1773-(ROUND(F1772*H1772/B1772,0)*B1772),G1773+(ROUND(F1772*H1772/B1772,0)*B1772)),IF(D1772="BUY",G1773+(ROUND(F1772*H1772/B1772,0)*B1772),G1773-(ROUND(F1772*H1772/B1772,0)*B1772)))</f>
        <v>#DIV/0!</v>
      </c>
      <c r="I1773" s="29" t="e">
        <f>IF(D1772="BUY",G1773+(ROUND(F1772*I1772/(B1772*100),0)*B1772),G1773-(ROUND(F1772*I1772/(B1772*100),0)*B1772))</f>
        <v>#DIV/0!</v>
      </c>
      <c r="J1773" s="29" t="e">
        <f>IF(C1772=1,IF(D1772="BUY",E1772+(ROUND(F1772*J1772/B1772,0)*B1772),E1772-(ROUND(F1772*J1772/B1772,0)*B1772)),IF(D1772="BUY",E1772-(ROUND(F1772*J1772/B1772,0)*B1772),E1772+(ROUND(F1772*J1772/B1772,0)*B1772)))</f>
        <v>#DIV/0!</v>
      </c>
      <c r="K1773" s="29" t="e">
        <f>IF(C1772=1,IF(D1772="BUY",E1772-(ROUND(F1772*K1772/B1772,0)*B1772),E1772+(ROUND(F1772*K1772/B1772,0)*B1772)),IF(D1772="BUY",E1772-(ROUND(F1772*K1772/B1772,0)*B1772),E1772+(ROUND(F1772*K1772/B1772,0)*B1772)))</f>
        <v>#DIV/0!</v>
      </c>
      <c r="L1773" s="29" t="e">
        <f t="shared" ref="L1773" si="2654">IF(D1773="BUY",I1773+(R1773*B1773),I1773-(R1773*B1773))</f>
        <v>#DIV/0!</v>
      </c>
      <c r="M1773" s="29" t="e">
        <f>IF(D1772="BUY",E1772+(ROUND(F1772*M1772/B1772,0)*B1772),E1772-(ROUND(F1772*M1772/B1772,0)*B1772))</f>
        <v>#DIV/0!</v>
      </c>
      <c r="N1773" s="29" t="e">
        <f>IF(D1772="BUY",E1772-(ROUND(F1772*N1772/B1772,0)*B1772),E1772+(ROUND(F1772*N1772/B1772,0)*B1772))</f>
        <v>#DIV/0!</v>
      </c>
      <c r="O1773" s="31" t="e">
        <f>IF(D1773="BUY",N1773-VLOOKUP(A1773,Symbols!A$1:D$1000,4,FALSE),N1773+VLOOKUP(A1773,Symbols!A$1:D$1000,4,FALSE))</f>
        <v>#DIV/0!</v>
      </c>
      <c r="P1773" s="29">
        <f>P1772</f>
        <v>0</v>
      </c>
      <c r="Q1773" s="29">
        <f>Q1772</f>
        <v>0</v>
      </c>
      <c r="R1773" s="29">
        <f>R1772</f>
        <v>0</v>
      </c>
      <c r="S1773" s="29">
        <f>S1772</f>
        <v>0</v>
      </c>
      <c r="T1773" s="29">
        <f>T1772</f>
        <v>0</v>
      </c>
      <c r="U1773" s="29" t="e">
        <f>DATEDIF(DATE(1970,1,1),U1772,"D")*86400</f>
        <v>#NUM!</v>
      </c>
      <c r="V1773" s="29">
        <f>HOUR(V1772)*3600+MINUTE(V1772)*60+SECOND(V1772)</f>
        <v>0</v>
      </c>
      <c r="W1773" s="29" t="e">
        <f>DATEDIF(DATE(1970,1,1),W1772,"D")*86400</f>
        <v>#NUM!</v>
      </c>
      <c r="X1773" s="29">
        <f>HOUR(X1772)*3600+MINUTE(X1772)*60+SECOND(X1772)</f>
        <v>0</v>
      </c>
      <c r="Y1773" s="31">
        <f>(Y1772*B1773)</f>
        <v>0</v>
      </c>
      <c r="Z1773" s="29">
        <f>Z1772</f>
        <v>0</v>
      </c>
      <c r="AA1773" s="29" t="e">
        <f>DATEDIF(DATE(1970,1,1),AA1772,"D")*86400</f>
        <v>#NUM!</v>
      </c>
      <c r="AB1773" s="29">
        <f>HOUR(AB1772)*3600+MINUTE(AB1772)*60+SECOND(AB1772)</f>
        <v>0</v>
      </c>
      <c r="AC1773" s="29">
        <f>AC1772</f>
        <v>0</v>
      </c>
    </row>
    <row r="1774" spans="1:29">
      <c r="A1774" s="23">
        <f>Parameters!A888</f>
        <v>0</v>
      </c>
      <c r="B1774" s="23">
        <f>Parameters!B888</f>
        <v>0</v>
      </c>
      <c r="C1774" s="24">
        <f>Parameters!C888</f>
        <v>0</v>
      </c>
      <c r="D1774" s="24">
        <f>Parameters!D888</f>
        <v>0</v>
      </c>
      <c r="E1774" s="23">
        <f>Parameters!E888</f>
        <v>0</v>
      </c>
      <c r="F1774" s="23">
        <f>Parameters!F888</f>
        <v>0</v>
      </c>
      <c r="G1774" s="25">
        <f>Parameters!G888</f>
        <v>0</v>
      </c>
      <c r="H1774" s="25">
        <f>Parameters!H888</f>
        <v>0</v>
      </c>
      <c r="I1774" s="25">
        <f>Parameters!I888</f>
        <v>0</v>
      </c>
      <c r="J1774" s="25">
        <f>Parameters!J888</f>
        <v>0</v>
      </c>
      <c r="K1774" s="25">
        <f>Parameters!K888</f>
        <v>0</v>
      </c>
      <c r="L1774" s="26" t="e">
        <f t="shared" ref="L1774" si="2655">L1775</f>
        <v>#DIV/0!</v>
      </c>
      <c r="M1774" s="25">
        <f>Parameters!L888</f>
        <v>0</v>
      </c>
      <c r="N1774" s="25">
        <f>Parameters!M888</f>
        <v>0</v>
      </c>
      <c r="O1774" s="26" t="e">
        <f t="shared" ref="O1774" si="2656">O1775</f>
        <v>#DIV/0!</v>
      </c>
      <c r="P1774" s="23">
        <f>Parameters!N888</f>
        <v>0</v>
      </c>
      <c r="Q1774" s="23">
        <f>Parameters!O888</f>
        <v>0</v>
      </c>
      <c r="R1774" s="23">
        <f>Parameters!P888</f>
        <v>0</v>
      </c>
      <c r="S1774" s="23">
        <f>Parameters!Q888</f>
        <v>0</v>
      </c>
      <c r="T1774" s="23">
        <f>Parameters!R888</f>
        <v>0</v>
      </c>
      <c r="U1774" s="27">
        <f>Parameters!S888</f>
        <v>0</v>
      </c>
      <c r="V1774" s="28">
        <f>Parameters!T888</f>
        <v>0</v>
      </c>
      <c r="W1774" s="27">
        <f>Parameters!U888</f>
        <v>0</v>
      </c>
      <c r="X1774" s="28">
        <f>Parameters!V888</f>
        <v>0</v>
      </c>
      <c r="Y1774" s="25">
        <f>Parameters!W888</f>
        <v>0</v>
      </c>
      <c r="Z1774" s="23">
        <f>Parameters!X888</f>
        <v>0</v>
      </c>
      <c r="AA1774" s="27">
        <f>Parameters!Y888</f>
        <v>0</v>
      </c>
      <c r="AB1774" s="28">
        <f>Parameters!Z888</f>
        <v>0</v>
      </c>
      <c r="AC1774" s="23">
        <f>Parameters!AA888</f>
        <v>0</v>
      </c>
    </row>
    <row r="1775" spans="1:29">
      <c r="A1775" s="29" t="str">
        <f>UPPER(A1774)</f>
        <v>0</v>
      </c>
      <c r="B1775" s="29">
        <f>B1774</f>
        <v>0</v>
      </c>
      <c r="C1775" s="30">
        <f>C1774</f>
        <v>0</v>
      </c>
      <c r="D1775" s="30">
        <f>D1774</f>
        <v>0</v>
      </c>
      <c r="E1775" s="29">
        <f>E1774</f>
        <v>0</v>
      </c>
      <c r="F1775" s="29">
        <f>F1774</f>
        <v>0</v>
      </c>
      <c r="G1775" s="29" t="e">
        <f>IF(C1774=1,IF(D1774="BUY",E1774+(ROUND(F1774*G1774/B1774,0)*B1774),E1774-(ROUND(F1774*G1774/B1774,0)*B1774)),IF(D1774="BUY",E1774-(ROUND(F1774*G1774/B1774,0)*B1774),E1774+(ROUND(F1774*G1774/B1774,0)*B1774)))</f>
        <v>#DIV/0!</v>
      </c>
      <c r="H1775" s="29" t="e">
        <f>IF(C1774=1,IF(D1774="BUY",G1775-(ROUND(F1774*H1774/B1774,0)*B1774),G1775+(ROUND(F1774*H1774/B1774,0)*B1774)),IF(D1774="BUY",G1775+(ROUND(F1774*H1774/B1774,0)*B1774),G1775-(ROUND(F1774*H1774/B1774,0)*B1774)))</f>
        <v>#DIV/0!</v>
      </c>
      <c r="I1775" s="29" t="e">
        <f>IF(D1774="BUY",G1775+(ROUND(F1774*I1774/(B1774*100),0)*B1774),G1775-(ROUND(F1774*I1774/(B1774*100),0)*B1774))</f>
        <v>#DIV/0!</v>
      </c>
      <c r="J1775" s="29" t="e">
        <f>IF(C1774=1,IF(D1774="BUY",E1774+(ROUND(F1774*J1774/B1774,0)*B1774),E1774-(ROUND(F1774*J1774/B1774,0)*B1774)),IF(D1774="BUY",E1774-(ROUND(F1774*J1774/B1774,0)*B1774),E1774+(ROUND(F1774*J1774/B1774,0)*B1774)))</f>
        <v>#DIV/0!</v>
      </c>
      <c r="K1775" s="29" t="e">
        <f>IF(C1774=1,IF(D1774="BUY",E1774-(ROUND(F1774*K1774/B1774,0)*B1774),E1774+(ROUND(F1774*K1774/B1774,0)*B1774)),IF(D1774="BUY",E1774-(ROUND(F1774*K1774/B1774,0)*B1774),E1774+(ROUND(F1774*K1774/B1774,0)*B1774)))</f>
        <v>#DIV/0!</v>
      </c>
      <c r="L1775" s="29" t="e">
        <f t="shared" ref="L1775" si="2657">IF(D1775="BUY",I1775+(R1775*B1775),I1775-(R1775*B1775))</f>
        <v>#DIV/0!</v>
      </c>
      <c r="M1775" s="29" t="e">
        <f>IF(D1774="BUY",E1774+(ROUND(F1774*M1774/B1774,0)*B1774),E1774-(ROUND(F1774*M1774/B1774,0)*B1774))</f>
        <v>#DIV/0!</v>
      </c>
      <c r="N1775" s="29" t="e">
        <f>IF(D1774="BUY",E1774-(ROUND(F1774*N1774/B1774,0)*B1774),E1774+(ROUND(F1774*N1774/B1774,0)*B1774))</f>
        <v>#DIV/0!</v>
      </c>
      <c r="O1775" s="31" t="e">
        <f>IF(D1775="BUY",N1775-VLOOKUP(A1775,Symbols!A$1:D$1000,4,FALSE),N1775+VLOOKUP(A1775,Symbols!A$1:D$1000,4,FALSE))</f>
        <v>#DIV/0!</v>
      </c>
      <c r="P1775" s="29">
        <f>P1774</f>
        <v>0</v>
      </c>
      <c r="Q1775" s="29">
        <f>Q1774</f>
        <v>0</v>
      </c>
      <c r="R1775" s="29">
        <f>R1774</f>
        <v>0</v>
      </c>
      <c r="S1775" s="29">
        <f>S1774</f>
        <v>0</v>
      </c>
      <c r="T1775" s="29">
        <f>T1774</f>
        <v>0</v>
      </c>
      <c r="U1775" s="29" t="e">
        <f>DATEDIF(DATE(1970,1,1),U1774,"D")*86400</f>
        <v>#NUM!</v>
      </c>
      <c r="V1775" s="29">
        <f>HOUR(V1774)*3600+MINUTE(V1774)*60+SECOND(V1774)</f>
        <v>0</v>
      </c>
      <c r="W1775" s="29" t="e">
        <f>DATEDIF(DATE(1970,1,1),W1774,"D")*86400</f>
        <v>#NUM!</v>
      </c>
      <c r="X1775" s="29">
        <f>HOUR(X1774)*3600+MINUTE(X1774)*60+SECOND(X1774)</f>
        <v>0</v>
      </c>
      <c r="Y1775" s="31">
        <f>(Y1774*B1775)</f>
        <v>0</v>
      </c>
      <c r="Z1775" s="29">
        <f>Z1774</f>
        <v>0</v>
      </c>
      <c r="AA1775" s="29" t="e">
        <f>DATEDIF(DATE(1970,1,1),AA1774,"D")*86400</f>
        <v>#NUM!</v>
      </c>
      <c r="AB1775" s="29">
        <f>HOUR(AB1774)*3600+MINUTE(AB1774)*60+SECOND(AB1774)</f>
        <v>0</v>
      </c>
      <c r="AC1775" s="29">
        <f>AC1774</f>
        <v>0</v>
      </c>
    </row>
    <row r="1776" spans="1:29">
      <c r="A1776" s="23">
        <f>Parameters!A889</f>
        <v>0</v>
      </c>
      <c r="B1776" s="23">
        <f>Parameters!B889</f>
        <v>0</v>
      </c>
      <c r="C1776" s="24">
        <f>Parameters!C889</f>
        <v>0</v>
      </c>
      <c r="D1776" s="24">
        <f>Parameters!D889</f>
        <v>0</v>
      </c>
      <c r="E1776" s="23">
        <f>Parameters!E889</f>
        <v>0</v>
      </c>
      <c r="F1776" s="23">
        <f>Parameters!F889</f>
        <v>0</v>
      </c>
      <c r="G1776" s="25">
        <f>Parameters!G889</f>
        <v>0</v>
      </c>
      <c r="H1776" s="25">
        <f>Parameters!H889</f>
        <v>0</v>
      </c>
      <c r="I1776" s="25">
        <f>Parameters!I889</f>
        <v>0</v>
      </c>
      <c r="J1776" s="25">
        <f>Parameters!J889</f>
        <v>0</v>
      </c>
      <c r="K1776" s="25">
        <f>Parameters!K889</f>
        <v>0</v>
      </c>
      <c r="L1776" s="26" t="e">
        <f t="shared" ref="L1776" si="2658">L1777</f>
        <v>#DIV/0!</v>
      </c>
      <c r="M1776" s="25">
        <f>Parameters!L889</f>
        <v>0</v>
      </c>
      <c r="N1776" s="25">
        <f>Parameters!M889</f>
        <v>0</v>
      </c>
      <c r="O1776" s="26" t="e">
        <f t="shared" ref="O1776" si="2659">O1777</f>
        <v>#DIV/0!</v>
      </c>
      <c r="P1776" s="23">
        <f>Parameters!N889</f>
        <v>0</v>
      </c>
      <c r="Q1776" s="23">
        <f>Parameters!O889</f>
        <v>0</v>
      </c>
      <c r="R1776" s="23">
        <f>Parameters!P889</f>
        <v>0</v>
      </c>
      <c r="S1776" s="23">
        <f>Parameters!Q889</f>
        <v>0</v>
      </c>
      <c r="T1776" s="23">
        <f>Parameters!R889</f>
        <v>0</v>
      </c>
      <c r="U1776" s="27">
        <f>Parameters!S889</f>
        <v>0</v>
      </c>
      <c r="V1776" s="28">
        <f>Parameters!T889</f>
        <v>0</v>
      </c>
      <c r="W1776" s="27">
        <f>Parameters!U889</f>
        <v>0</v>
      </c>
      <c r="X1776" s="28">
        <f>Parameters!V889</f>
        <v>0</v>
      </c>
      <c r="Y1776" s="25">
        <f>Parameters!W889</f>
        <v>0</v>
      </c>
      <c r="Z1776" s="23">
        <f>Parameters!X889</f>
        <v>0</v>
      </c>
      <c r="AA1776" s="27">
        <f>Parameters!Y889</f>
        <v>0</v>
      </c>
      <c r="AB1776" s="28">
        <f>Parameters!Z889</f>
        <v>0</v>
      </c>
      <c r="AC1776" s="23">
        <f>Parameters!AA889</f>
        <v>0</v>
      </c>
    </row>
    <row r="1777" spans="1:29">
      <c r="A1777" s="29" t="str">
        <f>UPPER(A1776)</f>
        <v>0</v>
      </c>
      <c r="B1777" s="29">
        <f>B1776</f>
        <v>0</v>
      </c>
      <c r="C1777" s="30">
        <f>C1776</f>
        <v>0</v>
      </c>
      <c r="D1777" s="30">
        <f>D1776</f>
        <v>0</v>
      </c>
      <c r="E1777" s="29">
        <f>E1776</f>
        <v>0</v>
      </c>
      <c r="F1777" s="29">
        <f>F1776</f>
        <v>0</v>
      </c>
      <c r="G1777" s="29" t="e">
        <f>IF(C1776=1,IF(D1776="BUY",E1776+(ROUND(F1776*G1776/B1776,0)*B1776),E1776-(ROUND(F1776*G1776/B1776,0)*B1776)),IF(D1776="BUY",E1776-(ROUND(F1776*G1776/B1776,0)*B1776),E1776+(ROUND(F1776*G1776/B1776,0)*B1776)))</f>
        <v>#DIV/0!</v>
      </c>
      <c r="H1777" s="29" t="e">
        <f>IF(C1776=1,IF(D1776="BUY",G1777-(ROUND(F1776*H1776/B1776,0)*B1776),G1777+(ROUND(F1776*H1776/B1776,0)*B1776)),IF(D1776="BUY",G1777+(ROUND(F1776*H1776/B1776,0)*B1776),G1777-(ROUND(F1776*H1776/B1776,0)*B1776)))</f>
        <v>#DIV/0!</v>
      </c>
      <c r="I1777" s="29" t="e">
        <f>IF(D1776="BUY",G1777+(ROUND(F1776*I1776/(B1776*100),0)*B1776),G1777-(ROUND(F1776*I1776/(B1776*100),0)*B1776))</f>
        <v>#DIV/0!</v>
      </c>
      <c r="J1777" s="29" t="e">
        <f>IF(C1776=1,IF(D1776="BUY",E1776+(ROUND(F1776*J1776/B1776,0)*B1776),E1776-(ROUND(F1776*J1776/B1776,0)*B1776)),IF(D1776="BUY",E1776-(ROUND(F1776*J1776/B1776,0)*B1776),E1776+(ROUND(F1776*J1776/B1776,0)*B1776)))</f>
        <v>#DIV/0!</v>
      </c>
      <c r="K1777" s="29" t="e">
        <f>IF(C1776=1,IF(D1776="BUY",E1776-(ROUND(F1776*K1776/B1776,0)*B1776),E1776+(ROUND(F1776*K1776/B1776,0)*B1776)),IF(D1776="BUY",E1776-(ROUND(F1776*K1776/B1776,0)*B1776),E1776+(ROUND(F1776*K1776/B1776,0)*B1776)))</f>
        <v>#DIV/0!</v>
      </c>
      <c r="L1777" s="29" t="e">
        <f t="shared" ref="L1777" si="2660">IF(D1777="BUY",I1777+(R1777*B1777),I1777-(R1777*B1777))</f>
        <v>#DIV/0!</v>
      </c>
      <c r="M1777" s="29" t="e">
        <f>IF(D1776="BUY",E1776+(ROUND(F1776*M1776/B1776,0)*B1776),E1776-(ROUND(F1776*M1776/B1776,0)*B1776))</f>
        <v>#DIV/0!</v>
      </c>
      <c r="N1777" s="29" t="e">
        <f>IF(D1776="BUY",E1776-(ROUND(F1776*N1776/B1776,0)*B1776),E1776+(ROUND(F1776*N1776/B1776,0)*B1776))</f>
        <v>#DIV/0!</v>
      </c>
      <c r="O1777" s="31" t="e">
        <f>IF(D1777="BUY",N1777-VLOOKUP(A1777,Symbols!A$1:D$1000,4,FALSE),N1777+VLOOKUP(A1777,Symbols!A$1:D$1000,4,FALSE))</f>
        <v>#DIV/0!</v>
      </c>
      <c r="P1777" s="29">
        <f>P1776</f>
        <v>0</v>
      </c>
      <c r="Q1777" s="29">
        <f>Q1776</f>
        <v>0</v>
      </c>
      <c r="R1777" s="29">
        <f>R1776</f>
        <v>0</v>
      </c>
      <c r="S1777" s="29">
        <f>S1776</f>
        <v>0</v>
      </c>
      <c r="T1777" s="29">
        <f>T1776</f>
        <v>0</v>
      </c>
      <c r="U1777" s="29" t="e">
        <f>DATEDIF(DATE(1970,1,1),U1776,"D")*86400</f>
        <v>#NUM!</v>
      </c>
      <c r="V1777" s="29">
        <f>HOUR(V1776)*3600+MINUTE(V1776)*60+SECOND(V1776)</f>
        <v>0</v>
      </c>
      <c r="W1777" s="29" t="e">
        <f>DATEDIF(DATE(1970,1,1),W1776,"D")*86400</f>
        <v>#NUM!</v>
      </c>
      <c r="X1777" s="29">
        <f>HOUR(X1776)*3600+MINUTE(X1776)*60+SECOND(X1776)</f>
        <v>0</v>
      </c>
      <c r="Y1777" s="31">
        <f>(Y1776*B1777)</f>
        <v>0</v>
      </c>
      <c r="Z1777" s="29">
        <f>Z1776</f>
        <v>0</v>
      </c>
      <c r="AA1777" s="29" t="e">
        <f>DATEDIF(DATE(1970,1,1),AA1776,"D")*86400</f>
        <v>#NUM!</v>
      </c>
      <c r="AB1777" s="29">
        <f>HOUR(AB1776)*3600+MINUTE(AB1776)*60+SECOND(AB1776)</f>
        <v>0</v>
      </c>
      <c r="AC1777" s="29">
        <f>AC1776</f>
        <v>0</v>
      </c>
    </row>
    <row r="1778" spans="1:29">
      <c r="A1778" s="23">
        <f>Parameters!A890</f>
        <v>0</v>
      </c>
      <c r="B1778" s="23">
        <f>Parameters!B890</f>
        <v>0</v>
      </c>
      <c r="C1778" s="24">
        <f>Parameters!C890</f>
        <v>0</v>
      </c>
      <c r="D1778" s="24">
        <f>Parameters!D890</f>
        <v>0</v>
      </c>
      <c r="E1778" s="23">
        <f>Parameters!E890</f>
        <v>0</v>
      </c>
      <c r="F1778" s="23">
        <f>Parameters!F890</f>
        <v>0</v>
      </c>
      <c r="G1778" s="25">
        <f>Parameters!G890</f>
        <v>0</v>
      </c>
      <c r="H1778" s="25">
        <f>Parameters!H890</f>
        <v>0</v>
      </c>
      <c r="I1778" s="25">
        <f>Parameters!I890</f>
        <v>0</v>
      </c>
      <c r="J1778" s="25">
        <f>Parameters!J890</f>
        <v>0</v>
      </c>
      <c r="K1778" s="25">
        <f>Parameters!K890</f>
        <v>0</v>
      </c>
      <c r="L1778" s="26" t="e">
        <f t="shared" ref="L1778" si="2661">L1779</f>
        <v>#DIV/0!</v>
      </c>
      <c r="M1778" s="25">
        <f>Parameters!L890</f>
        <v>0</v>
      </c>
      <c r="N1778" s="25">
        <f>Parameters!M890</f>
        <v>0</v>
      </c>
      <c r="O1778" s="26" t="e">
        <f t="shared" ref="O1778" si="2662">O1779</f>
        <v>#DIV/0!</v>
      </c>
      <c r="P1778" s="23">
        <f>Parameters!N890</f>
        <v>0</v>
      </c>
      <c r="Q1778" s="23">
        <f>Parameters!O890</f>
        <v>0</v>
      </c>
      <c r="R1778" s="23">
        <f>Parameters!P890</f>
        <v>0</v>
      </c>
      <c r="S1778" s="23">
        <f>Parameters!Q890</f>
        <v>0</v>
      </c>
      <c r="T1778" s="23">
        <f>Parameters!R890</f>
        <v>0</v>
      </c>
      <c r="U1778" s="27">
        <f>Parameters!S890</f>
        <v>0</v>
      </c>
      <c r="V1778" s="28">
        <f>Parameters!T890</f>
        <v>0</v>
      </c>
      <c r="W1778" s="27">
        <f>Parameters!U890</f>
        <v>0</v>
      </c>
      <c r="X1778" s="28">
        <f>Parameters!V890</f>
        <v>0</v>
      </c>
      <c r="Y1778" s="25">
        <f>Parameters!W890</f>
        <v>0</v>
      </c>
      <c r="Z1778" s="23">
        <f>Parameters!X890</f>
        <v>0</v>
      </c>
      <c r="AA1778" s="27">
        <f>Parameters!Y890</f>
        <v>0</v>
      </c>
      <c r="AB1778" s="28">
        <f>Parameters!Z890</f>
        <v>0</v>
      </c>
      <c r="AC1778" s="23">
        <f>Parameters!AA890</f>
        <v>0</v>
      </c>
    </row>
    <row r="1779" spans="1:29">
      <c r="A1779" s="29" t="str">
        <f>UPPER(A1778)</f>
        <v>0</v>
      </c>
      <c r="B1779" s="29">
        <f>B1778</f>
        <v>0</v>
      </c>
      <c r="C1779" s="30">
        <f>C1778</f>
        <v>0</v>
      </c>
      <c r="D1779" s="30">
        <f>D1778</f>
        <v>0</v>
      </c>
      <c r="E1779" s="29">
        <f>E1778</f>
        <v>0</v>
      </c>
      <c r="F1779" s="29">
        <f>F1778</f>
        <v>0</v>
      </c>
      <c r="G1779" s="29" t="e">
        <f>IF(C1778=1,IF(D1778="BUY",E1778+(ROUND(F1778*G1778/B1778,0)*B1778),E1778-(ROUND(F1778*G1778/B1778,0)*B1778)),IF(D1778="BUY",E1778-(ROUND(F1778*G1778/B1778,0)*B1778),E1778+(ROUND(F1778*G1778/B1778,0)*B1778)))</f>
        <v>#DIV/0!</v>
      </c>
      <c r="H1779" s="29" t="e">
        <f>IF(C1778=1,IF(D1778="BUY",G1779-(ROUND(F1778*H1778/B1778,0)*B1778),G1779+(ROUND(F1778*H1778/B1778,0)*B1778)),IF(D1778="BUY",G1779+(ROUND(F1778*H1778/B1778,0)*B1778),G1779-(ROUND(F1778*H1778/B1778,0)*B1778)))</f>
        <v>#DIV/0!</v>
      </c>
      <c r="I1779" s="29" t="e">
        <f>IF(D1778="BUY",G1779+(ROUND(F1778*I1778/(B1778*100),0)*B1778),G1779-(ROUND(F1778*I1778/(B1778*100),0)*B1778))</f>
        <v>#DIV/0!</v>
      </c>
      <c r="J1779" s="29" t="e">
        <f>IF(C1778=1,IF(D1778="BUY",E1778+(ROUND(F1778*J1778/B1778,0)*B1778),E1778-(ROUND(F1778*J1778/B1778,0)*B1778)),IF(D1778="BUY",E1778-(ROUND(F1778*J1778/B1778,0)*B1778),E1778+(ROUND(F1778*J1778/B1778,0)*B1778)))</f>
        <v>#DIV/0!</v>
      </c>
      <c r="K1779" s="29" t="e">
        <f>IF(C1778=1,IF(D1778="BUY",E1778-(ROUND(F1778*K1778/B1778,0)*B1778),E1778+(ROUND(F1778*K1778/B1778,0)*B1778)),IF(D1778="BUY",E1778-(ROUND(F1778*K1778/B1778,0)*B1778),E1778+(ROUND(F1778*K1778/B1778,0)*B1778)))</f>
        <v>#DIV/0!</v>
      </c>
      <c r="L1779" s="29" t="e">
        <f t="shared" ref="L1779" si="2663">IF(D1779="BUY",I1779+(R1779*B1779),I1779-(R1779*B1779))</f>
        <v>#DIV/0!</v>
      </c>
      <c r="M1779" s="29" t="e">
        <f>IF(D1778="BUY",E1778+(ROUND(F1778*M1778/B1778,0)*B1778),E1778-(ROUND(F1778*M1778/B1778,0)*B1778))</f>
        <v>#DIV/0!</v>
      </c>
      <c r="N1779" s="29" t="e">
        <f>IF(D1778="BUY",E1778-(ROUND(F1778*N1778/B1778,0)*B1778),E1778+(ROUND(F1778*N1778/B1778,0)*B1778))</f>
        <v>#DIV/0!</v>
      </c>
      <c r="O1779" s="31" t="e">
        <f>IF(D1779="BUY",N1779-VLOOKUP(A1779,Symbols!A$1:D$1000,4,FALSE),N1779+VLOOKUP(A1779,Symbols!A$1:D$1000,4,FALSE))</f>
        <v>#DIV/0!</v>
      </c>
      <c r="P1779" s="29">
        <f>P1778</f>
        <v>0</v>
      </c>
      <c r="Q1779" s="29">
        <f>Q1778</f>
        <v>0</v>
      </c>
      <c r="R1779" s="29">
        <f>R1778</f>
        <v>0</v>
      </c>
      <c r="S1779" s="29">
        <f>S1778</f>
        <v>0</v>
      </c>
      <c r="T1779" s="29">
        <f>T1778</f>
        <v>0</v>
      </c>
      <c r="U1779" s="29" t="e">
        <f>DATEDIF(DATE(1970,1,1),U1778,"D")*86400</f>
        <v>#NUM!</v>
      </c>
      <c r="V1779" s="29">
        <f>HOUR(V1778)*3600+MINUTE(V1778)*60+SECOND(V1778)</f>
        <v>0</v>
      </c>
      <c r="W1779" s="29" t="e">
        <f>DATEDIF(DATE(1970,1,1),W1778,"D")*86400</f>
        <v>#NUM!</v>
      </c>
      <c r="X1779" s="29">
        <f>HOUR(X1778)*3600+MINUTE(X1778)*60+SECOND(X1778)</f>
        <v>0</v>
      </c>
      <c r="Y1779" s="31">
        <f>(Y1778*B1779)</f>
        <v>0</v>
      </c>
      <c r="Z1779" s="29">
        <f>Z1778</f>
        <v>0</v>
      </c>
      <c r="AA1779" s="29" t="e">
        <f>DATEDIF(DATE(1970,1,1),AA1778,"D")*86400</f>
        <v>#NUM!</v>
      </c>
      <c r="AB1779" s="29">
        <f>HOUR(AB1778)*3600+MINUTE(AB1778)*60+SECOND(AB1778)</f>
        <v>0</v>
      </c>
      <c r="AC1779" s="29">
        <f>AC1778</f>
        <v>0</v>
      </c>
    </row>
    <row r="1780" spans="1:29">
      <c r="A1780" s="23">
        <f>Parameters!A891</f>
        <v>0</v>
      </c>
      <c r="B1780" s="23">
        <f>Parameters!B891</f>
        <v>0</v>
      </c>
      <c r="C1780" s="24">
        <f>Parameters!C891</f>
        <v>0</v>
      </c>
      <c r="D1780" s="24">
        <f>Parameters!D891</f>
        <v>0</v>
      </c>
      <c r="E1780" s="23">
        <f>Parameters!E891</f>
        <v>0</v>
      </c>
      <c r="F1780" s="23">
        <f>Parameters!F891</f>
        <v>0</v>
      </c>
      <c r="G1780" s="25">
        <f>Parameters!G891</f>
        <v>0</v>
      </c>
      <c r="H1780" s="25">
        <f>Parameters!H891</f>
        <v>0</v>
      </c>
      <c r="I1780" s="25">
        <f>Parameters!I891</f>
        <v>0</v>
      </c>
      <c r="J1780" s="25">
        <f>Parameters!J891</f>
        <v>0</v>
      </c>
      <c r="K1780" s="25">
        <f>Parameters!K891</f>
        <v>0</v>
      </c>
      <c r="L1780" s="26" t="e">
        <f t="shared" ref="L1780" si="2664">L1781</f>
        <v>#DIV/0!</v>
      </c>
      <c r="M1780" s="25">
        <f>Parameters!L891</f>
        <v>0</v>
      </c>
      <c r="N1780" s="25">
        <f>Parameters!M891</f>
        <v>0</v>
      </c>
      <c r="O1780" s="26" t="e">
        <f t="shared" ref="O1780" si="2665">O1781</f>
        <v>#DIV/0!</v>
      </c>
      <c r="P1780" s="23">
        <f>Parameters!N891</f>
        <v>0</v>
      </c>
      <c r="Q1780" s="23">
        <f>Parameters!O891</f>
        <v>0</v>
      </c>
      <c r="R1780" s="23">
        <f>Parameters!P891</f>
        <v>0</v>
      </c>
      <c r="S1780" s="23">
        <f>Parameters!Q891</f>
        <v>0</v>
      </c>
      <c r="T1780" s="23">
        <f>Parameters!R891</f>
        <v>0</v>
      </c>
      <c r="U1780" s="27">
        <f>Parameters!S891</f>
        <v>0</v>
      </c>
      <c r="V1780" s="28">
        <f>Parameters!T891</f>
        <v>0</v>
      </c>
      <c r="W1780" s="27">
        <f>Parameters!U891</f>
        <v>0</v>
      </c>
      <c r="X1780" s="28">
        <f>Parameters!V891</f>
        <v>0</v>
      </c>
      <c r="Y1780" s="25">
        <f>Parameters!W891</f>
        <v>0</v>
      </c>
      <c r="Z1780" s="23">
        <f>Parameters!X891</f>
        <v>0</v>
      </c>
      <c r="AA1780" s="27">
        <f>Parameters!Y891</f>
        <v>0</v>
      </c>
      <c r="AB1780" s="28">
        <f>Parameters!Z891</f>
        <v>0</v>
      </c>
      <c r="AC1780" s="23">
        <f>Parameters!AA891</f>
        <v>0</v>
      </c>
    </row>
    <row r="1781" spans="1:29">
      <c r="A1781" s="29" t="str">
        <f>UPPER(A1780)</f>
        <v>0</v>
      </c>
      <c r="B1781" s="29">
        <f>B1780</f>
        <v>0</v>
      </c>
      <c r="C1781" s="30">
        <f>C1780</f>
        <v>0</v>
      </c>
      <c r="D1781" s="30">
        <f>D1780</f>
        <v>0</v>
      </c>
      <c r="E1781" s="29">
        <f>E1780</f>
        <v>0</v>
      </c>
      <c r="F1781" s="29">
        <f>F1780</f>
        <v>0</v>
      </c>
      <c r="G1781" s="29" t="e">
        <f>IF(C1780=1,IF(D1780="BUY",E1780+(ROUND(F1780*G1780/B1780,0)*B1780),E1780-(ROUND(F1780*G1780/B1780,0)*B1780)),IF(D1780="BUY",E1780-(ROUND(F1780*G1780/B1780,0)*B1780),E1780+(ROUND(F1780*G1780/B1780,0)*B1780)))</f>
        <v>#DIV/0!</v>
      </c>
      <c r="H1781" s="29" t="e">
        <f>IF(C1780=1,IF(D1780="BUY",G1781-(ROUND(F1780*H1780/B1780,0)*B1780),G1781+(ROUND(F1780*H1780/B1780,0)*B1780)),IF(D1780="BUY",G1781+(ROUND(F1780*H1780/B1780,0)*B1780),G1781-(ROUND(F1780*H1780/B1780,0)*B1780)))</f>
        <v>#DIV/0!</v>
      </c>
      <c r="I1781" s="29" t="e">
        <f>IF(D1780="BUY",G1781+(ROUND(F1780*I1780/(B1780*100),0)*B1780),G1781-(ROUND(F1780*I1780/(B1780*100),0)*B1780))</f>
        <v>#DIV/0!</v>
      </c>
      <c r="J1781" s="29" t="e">
        <f>IF(C1780=1,IF(D1780="BUY",E1780+(ROUND(F1780*J1780/B1780,0)*B1780),E1780-(ROUND(F1780*J1780/B1780,0)*B1780)),IF(D1780="BUY",E1780-(ROUND(F1780*J1780/B1780,0)*B1780),E1780+(ROUND(F1780*J1780/B1780,0)*B1780)))</f>
        <v>#DIV/0!</v>
      </c>
      <c r="K1781" s="29" t="e">
        <f>IF(C1780=1,IF(D1780="BUY",E1780-(ROUND(F1780*K1780/B1780,0)*B1780),E1780+(ROUND(F1780*K1780/B1780,0)*B1780)),IF(D1780="BUY",E1780-(ROUND(F1780*K1780/B1780,0)*B1780),E1780+(ROUND(F1780*K1780/B1780,0)*B1780)))</f>
        <v>#DIV/0!</v>
      </c>
      <c r="L1781" s="29" t="e">
        <f t="shared" ref="L1781" si="2666">IF(D1781="BUY",I1781+(R1781*B1781),I1781-(R1781*B1781))</f>
        <v>#DIV/0!</v>
      </c>
      <c r="M1781" s="29" t="e">
        <f>IF(D1780="BUY",E1780+(ROUND(F1780*M1780/B1780,0)*B1780),E1780-(ROUND(F1780*M1780/B1780,0)*B1780))</f>
        <v>#DIV/0!</v>
      </c>
      <c r="N1781" s="29" t="e">
        <f>IF(D1780="BUY",E1780-(ROUND(F1780*N1780/B1780,0)*B1780),E1780+(ROUND(F1780*N1780/B1780,0)*B1780))</f>
        <v>#DIV/0!</v>
      </c>
      <c r="O1781" s="31" t="e">
        <f>IF(D1781="BUY",N1781-VLOOKUP(A1781,Symbols!A$1:D$1000,4,FALSE),N1781+VLOOKUP(A1781,Symbols!A$1:D$1000,4,FALSE))</f>
        <v>#DIV/0!</v>
      </c>
      <c r="P1781" s="29">
        <f>P1780</f>
        <v>0</v>
      </c>
      <c r="Q1781" s="29">
        <f>Q1780</f>
        <v>0</v>
      </c>
      <c r="R1781" s="29">
        <f>R1780</f>
        <v>0</v>
      </c>
      <c r="S1781" s="29">
        <f>S1780</f>
        <v>0</v>
      </c>
      <c r="T1781" s="29">
        <f>T1780</f>
        <v>0</v>
      </c>
      <c r="U1781" s="29" t="e">
        <f>DATEDIF(DATE(1970,1,1),U1780,"D")*86400</f>
        <v>#NUM!</v>
      </c>
      <c r="V1781" s="29">
        <f>HOUR(V1780)*3600+MINUTE(V1780)*60+SECOND(V1780)</f>
        <v>0</v>
      </c>
      <c r="W1781" s="29" t="e">
        <f>DATEDIF(DATE(1970,1,1),W1780,"D")*86400</f>
        <v>#NUM!</v>
      </c>
      <c r="X1781" s="29">
        <f>HOUR(X1780)*3600+MINUTE(X1780)*60+SECOND(X1780)</f>
        <v>0</v>
      </c>
      <c r="Y1781" s="31">
        <f>(Y1780*B1781)</f>
        <v>0</v>
      </c>
      <c r="Z1781" s="29">
        <f>Z1780</f>
        <v>0</v>
      </c>
      <c r="AA1781" s="29" t="e">
        <f>DATEDIF(DATE(1970,1,1),AA1780,"D")*86400</f>
        <v>#NUM!</v>
      </c>
      <c r="AB1781" s="29">
        <f>HOUR(AB1780)*3600+MINUTE(AB1780)*60+SECOND(AB1780)</f>
        <v>0</v>
      </c>
      <c r="AC1781" s="29">
        <f>AC1780</f>
        <v>0</v>
      </c>
    </row>
    <row r="1782" spans="1:29">
      <c r="A1782" s="23">
        <f>Parameters!A892</f>
        <v>0</v>
      </c>
      <c r="B1782" s="23">
        <f>Parameters!B892</f>
        <v>0</v>
      </c>
      <c r="C1782" s="24">
        <f>Parameters!C892</f>
        <v>0</v>
      </c>
      <c r="D1782" s="24">
        <f>Parameters!D892</f>
        <v>0</v>
      </c>
      <c r="E1782" s="23">
        <f>Parameters!E892</f>
        <v>0</v>
      </c>
      <c r="F1782" s="23">
        <f>Parameters!F892</f>
        <v>0</v>
      </c>
      <c r="G1782" s="25">
        <f>Parameters!G892</f>
        <v>0</v>
      </c>
      <c r="H1782" s="25">
        <f>Parameters!H892</f>
        <v>0</v>
      </c>
      <c r="I1782" s="25">
        <f>Parameters!I892</f>
        <v>0</v>
      </c>
      <c r="J1782" s="25">
        <f>Parameters!J892</f>
        <v>0</v>
      </c>
      <c r="K1782" s="25">
        <f>Parameters!K892</f>
        <v>0</v>
      </c>
      <c r="L1782" s="26" t="e">
        <f t="shared" ref="L1782" si="2667">L1783</f>
        <v>#DIV/0!</v>
      </c>
      <c r="M1782" s="25">
        <f>Parameters!L892</f>
        <v>0</v>
      </c>
      <c r="N1782" s="25">
        <f>Parameters!M892</f>
        <v>0</v>
      </c>
      <c r="O1782" s="26" t="e">
        <f t="shared" ref="O1782" si="2668">O1783</f>
        <v>#DIV/0!</v>
      </c>
      <c r="P1782" s="23">
        <f>Parameters!N892</f>
        <v>0</v>
      </c>
      <c r="Q1782" s="23">
        <f>Parameters!O892</f>
        <v>0</v>
      </c>
      <c r="R1782" s="23">
        <f>Parameters!P892</f>
        <v>0</v>
      </c>
      <c r="S1782" s="23">
        <f>Parameters!Q892</f>
        <v>0</v>
      </c>
      <c r="T1782" s="23">
        <f>Parameters!R892</f>
        <v>0</v>
      </c>
      <c r="U1782" s="27">
        <f>Parameters!S892</f>
        <v>0</v>
      </c>
      <c r="V1782" s="28">
        <f>Parameters!T892</f>
        <v>0</v>
      </c>
      <c r="W1782" s="27">
        <f>Parameters!U892</f>
        <v>0</v>
      </c>
      <c r="X1782" s="28">
        <f>Parameters!V892</f>
        <v>0</v>
      </c>
      <c r="Y1782" s="25">
        <f>Parameters!W892</f>
        <v>0</v>
      </c>
      <c r="Z1782" s="23">
        <f>Parameters!X892</f>
        <v>0</v>
      </c>
      <c r="AA1782" s="27">
        <f>Parameters!Y892</f>
        <v>0</v>
      </c>
      <c r="AB1782" s="28">
        <f>Parameters!Z892</f>
        <v>0</v>
      </c>
      <c r="AC1782" s="23">
        <f>Parameters!AA892</f>
        <v>0</v>
      </c>
    </row>
    <row r="1783" spans="1:29">
      <c r="A1783" s="29" t="str">
        <f>UPPER(A1782)</f>
        <v>0</v>
      </c>
      <c r="B1783" s="29">
        <f>B1782</f>
        <v>0</v>
      </c>
      <c r="C1783" s="30">
        <f>C1782</f>
        <v>0</v>
      </c>
      <c r="D1783" s="30">
        <f>D1782</f>
        <v>0</v>
      </c>
      <c r="E1783" s="29">
        <f>E1782</f>
        <v>0</v>
      </c>
      <c r="F1783" s="29">
        <f>F1782</f>
        <v>0</v>
      </c>
      <c r="G1783" s="29" t="e">
        <f>IF(C1782=1,IF(D1782="BUY",E1782+(ROUND(F1782*G1782/B1782,0)*B1782),E1782-(ROUND(F1782*G1782/B1782,0)*B1782)),IF(D1782="BUY",E1782-(ROUND(F1782*G1782/B1782,0)*B1782),E1782+(ROUND(F1782*G1782/B1782,0)*B1782)))</f>
        <v>#DIV/0!</v>
      </c>
      <c r="H1783" s="29" t="e">
        <f>IF(C1782=1,IF(D1782="BUY",G1783-(ROUND(F1782*H1782/B1782,0)*B1782),G1783+(ROUND(F1782*H1782/B1782,0)*B1782)),IF(D1782="BUY",G1783+(ROUND(F1782*H1782/B1782,0)*B1782),G1783-(ROUND(F1782*H1782/B1782,0)*B1782)))</f>
        <v>#DIV/0!</v>
      </c>
      <c r="I1783" s="29" t="e">
        <f>IF(D1782="BUY",G1783+(ROUND(F1782*I1782/(B1782*100),0)*B1782),G1783-(ROUND(F1782*I1782/(B1782*100),0)*B1782))</f>
        <v>#DIV/0!</v>
      </c>
      <c r="J1783" s="29" t="e">
        <f>IF(C1782=1,IF(D1782="BUY",E1782+(ROUND(F1782*J1782/B1782,0)*B1782),E1782-(ROUND(F1782*J1782/B1782,0)*B1782)),IF(D1782="BUY",E1782-(ROUND(F1782*J1782/B1782,0)*B1782),E1782+(ROUND(F1782*J1782/B1782,0)*B1782)))</f>
        <v>#DIV/0!</v>
      </c>
      <c r="K1783" s="29" t="e">
        <f>IF(C1782=1,IF(D1782="BUY",E1782-(ROUND(F1782*K1782/B1782,0)*B1782),E1782+(ROUND(F1782*K1782/B1782,0)*B1782)),IF(D1782="BUY",E1782-(ROUND(F1782*K1782/B1782,0)*B1782),E1782+(ROUND(F1782*K1782/B1782,0)*B1782)))</f>
        <v>#DIV/0!</v>
      </c>
      <c r="L1783" s="29" t="e">
        <f t="shared" ref="L1783" si="2669">IF(D1783="BUY",I1783+(R1783*B1783),I1783-(R1783*B1783))</f>
        <v>#DIV/0!</v>
      </c>
      <c r="M1783" s="29" t="e">
        <f>IF(D1782="BUY",E1782+(ROUND(F1782*M1782/B1782,0)*B1782),E1782-(ROUND(F1782*M1782/B1782,0)*B1782))</f>
        <v>#DIV/0!</v>
      </c>
      <c r="N1783" s="29" t="e">
        <f>IF(D1782="BUY",E1782-(ROUND(F1782*N1782/B1782,0)*B1782),E1782+(ROUND(F1782*N1782/B1782,0)*B1782))</f>
        <v>#DIV/0!</v>
      </c>
      <c r="O1783" s="31" t="e">
        <f>IF(D1783="BUY",N1783-VLOOKUP(A1783,Symbols!A$1:D$1000,4,FALSE),N1783+VLOOKUP(A1783,Symbols!A$1:D$1000,4,FALSE))</f>
        <v>#DIV/0!</v>
      </c>
      <c r="P1783" s="29">
        <f>P1782</f>
        <v>0</v>
      </c>
      <c r="Q1783" s="29">
        <f>Q1782</f>
        <v>0</v>
      </c>
      <c r="R1783" s="29">
        <f>R1782</f>
        <v>0</v>
      </c>
      <c r="S1783" s="29">
        <f>S1782</f>
        <v>0</v>
      </c>
      <c r="T1783" s="29">
        <f>T1782</f>
        <v>0</v>
      </c>
      <c r="U1783" s="29" t="e">
        <f>DATEDIF(DATE(1970,1,1),U1782,"D")*86400</f>
        <v>#NUM!</v>
      </c>
      <c r="V1783" s="29">
        <f>HOUR(V1782)*3600+MINUTE(V1782)*60+SECOND(V1782)</f>
        <v>0</v>
      </c>
      <c r="W1783" s="29" t="e">
        <f>DATEDIF(DATE(1970,1,1),W1782,"D")*86400</f>
        <v>#NUM!</v>
      </c>
      <c r="X1783" s="29">
        <f>HOUR(X1782)*3600+MINUTE(X1782)*60+SECOND(X1782)</f>
        <v>0</v>
      </c>
      <c r="Y1783" s="31">
        <f>(Y1782*B1783)</f>
        <v>0</v>
      </c>
      <c r="Z1783" s="29">
        <f>Z1782</f>
        <v>0</v>
      </c>
      <c r="AA1783" s="29" t="e">
        <f>DATEDIF(DATE(1970,1,1),AA1782,"D")*86400</f>
        <v>#NUM!</v>
      </c>
      <c r="AB1783" s="29">
        <f>HOUR(AB1782)*3600+MINUTE(AB1782)*60+SECOND(AB1782)</f>
        <v>0</v>
      </c>
      <c r="AC1783" s="29">
        <f>AC1782</f>
        <v>0</v>
      </c>
    </row>
    <row r="1784" spans="1:29">
      <c r="A1784" s="23">
        <f>Parameters!A893</f>
        <v>0</v>
      </c>
      <c r="B1784" s="23">
        <f>Parameters!B893</f>
        <v>0</v>
      </c>
      <c r="C1784" s="24">
        <f>Parameters!C893</f>
        <v>0</v>
      </c>
      <c r="D1784" s="24">
        <f>Parameters!D893</f>
        <v>0</v>
      </c>
      <c r="E1784" s="23">
        <f>Parameters!E893</f>
        <v>0</v>
      </c>
      <c r="F1784" s="23">
        <f>Parameters!F893</f>
        <v>0</v>
      </c>
      <c r="G1784" s="25">
        <f>Parameters!G893</f>
        <v>0</v>
      </c>
      <c r="H1784" s="25">
        <f>Parameters!H893</f>
        <v>0</v>
      </c>
      <c r="I1784" s="25">
        <f>Parameters!I893</f>
        <v>0</v>
      </c>
      <c r="J1784" s="25">
        <f>Parameters!J893</f>
        <v>0</v>
      </c>
      <c r="K1784" s="25">
        <f>Parameters!K893</f>
        <v>0</v>
      </c>
      <c r="L1784" s="26" t="e">
        <f t="shared" ref="L1784" si="2670">L1785</f>
        <v>#DIV/0!</v>
      </c>
      <c r="M1784" s="25">
        <f>Parameters!L893</f>
        <v>0</v>
      </c>
      <c r="N1784" s="25">
        <f>Parameters!M893</f>
        <v>0</v>
      </c>
      <c r="O1784" s="26" t="e">
        <f t="shared" ref="O1784" si="2671">O1785</f>
        <v>#DIV/0!</v>
      </c>
      <c r="P1784" s="23">
        <f>Parameters!N893</f>
        <v>0</v>
      </c>
      <c r="Q1784" s="23">
        <f>Parameters!O893</f>
        <v>0</v>
      </c>
      <c r="R1784" s="23">
        <f>Parameters!P893</f>
        <v>0</v>
      </c>
      <c r="S1784" s="23">
        <f>Parameters!Q893</f>
        <v>0</v>
      </c>
      <c r="T1784" s="23">
        <f>Parameters!R893</f>
        <v>0</v>
      </c>
      <c r="U1784" s="27">
        <f>Parameters!S893</f>
        <v>0</v>
      </c>
      <c r="V1784" s="28">
        <f>Parameters!T893</f>
        <v>0</v>
      </c>
      <c r="W1784" s="27">
        <f>Parameters!U893</f>
        <v>0</v>
      </c>
      <c r="X1784" s="28">
        <f>Parameters!V893</f>
        <v>0</v>
      </c>
      <c r="Y1784" s="25">
        <f>Parameters!W893</f>
        <v>0</v>
      </c>
      <c r="Z1784" s="23">
        <f>Parameters!X893</f>
        <v>0</v>
      </c>
      <c r="AA1784" s="27">
        <f>Parameters!Y893</f>
        <v>0</v>
      </c>
      <c r="AB1784" s="28">
        <f>Parameters!Z893</f>
        <v>0</v>
      </c>
      <c r="AC1784" s="23">
        <f>Parameters!AA893</f>
        <v>0</v>
      </c>
    </row>
    <row r="1785" spans="1:29">
      <c r="A1785" s="29" t="str">
        <f>UPPER(A1784)</f>
        <v>0</v>
      </c>
      <c r="B1785" s="29">
        <f>B1784</f>
        <v>0</v>
      </c>
      <c r="C1785" s="30">
        <f>C1784</f>
        <v>0</v>
      </c>
      <c r="D1785" s="30">
        <f>D1784</f>
        <v>0</v>
      </c>
      <c r="E1785" s="29">
        <f>E1784</f>
        <v>0</v>
      </c>
      <c r="F1785" s="29">
        <f>F1784</f>
        <v>0</v>
      </c>
      <c r="G1785" s="29" t="e">
        <f>IF(C1784=1,IF(D1784="BUY",E1784+(ROUND(F1784*G1784/B1784,0)*B1784),E1784-(ROUND(F1784*G1784/B1784,0)*B1784)),IF(D1784="BUY",E1784-(ROUND(F1784*G1784/B1784,0)*B1784),E1784+(ROUND(F1784*G1784/B1784,0)*B1784)))</f>
        <v>#DIV/0!</v>
      </c>
      <c r="H1785" s="29" t="e">
        <f>IF(C1784=1,IF(D1784="BUY",G1785-(ROUND(F1784*H1784/B1784,0)*B1784),G1785+(ROUND(F1784*H1784/B1784,0)*B1784)),IF(D1784="BUY",G1785+(ROUND(F1784*H1784/B1784,0)*B1784),G1785-(ROUND(F1784*H1784/B1784,0)*B1784)))</f>
        <v>#DIV/0!</v>
      </c>
      <c r="I1785" s="29" t="e">
        <f>IF(D1784="BUY",G1785+(ROUND(F1784*I1784/(B1784*100),0)*B1784),G1785-(ROUND(F1784*I1784/(B1784*100),0)*B1784))</f>
        <v>#DIV/0!</v>
      </c>
      <c r="J1785" s="29" t="e">
        <f>IF(C1784=1,IF(D1784="BUY",E1784+(ROUND(F1784*J1784/B1784,0)*B1784),E1784-(ROUND(F1784*J1784/B1784,0)*B1784)),IF(D1784="BUY",E1784-(ROUND(F1784*J1784/B1784,0)*B1784),E1784+(ROUND(F1784*J1784/B1784,0)*B1784)))</f>
        <v>#DIV/0!</v>
      </c>
      <c r="K1785" s="29" t="e">
        <f>IF(C1784=1,IF(D1784="BUY",E1784-(ROUND(F1784*K1784/B1784,0)*B1784),E1784+(ROUND(F1784*K1784/B1784,0)*B1784)),IF(D1784="BUY",E1784-(ROUND(F1784*K1784/B1784,0)*B1784),E1784+(ROUND(F1784*K1784/B1784,0)*B1784)))</f>
        <v>#DIV/0!</v>
      </c>
      <c r="L1785" s="29" t="e">
        <f t="shared" ref="L1785" si="2672">IF(D1785="BUY",I1785+(R1785*B1785),I1785-(R1785*B1785))</f>
        <v>#DIV/0!</v>
      </c>
      <c r="M1785" s="29" t="e">
        <f>IF(D1784="BUY",E1784+(ROUND(F1784*M1784/B1784,0)*B1784),E1784-(ROUND(F1784*M1784/B1784,0)*B1784))</f>
        <v>#DIV/0!</v>
      </c>
      <c r="N1785" s="29" t="e">
        <f>IF(D1784="BUY",E1784-(ROUND(F1784*N1784/B1784,0)*B1784),E1784+(ROUND(F1784*N1784/B1784,0)*B1784))</f>
        <v>#DIV/0!</v>
      </c>
      <c r="O1785" s="31" t="e">
        <f>IF(D1785="BUY",N1785-VLOOKUP(A1785,Symbols!A$1:D$1000,4,FALSE),N1785+VLOOKUP(A1785,Symbols!A$1:D$1000,4,FALSE))</f>
        <v>#DIV/0!</v>
      </c>
      <c r="P1785" s="29">
        <f>P1784</f>
        <v>0</v>
      </c>
      <c r="Q1785" s="29">
        <f>Q1784</f>
        <v>0</v>
      </c>
      <c r="R1785" s="29">
        <f>R1784</f>
        <v>0</v>
      </c>
      <c r="S1785" s="29">
        <f>S1784</f>
        <v>0</v>
      </c>
      <c r="T1785" s="29">
        <f>T1784</f>
        <v>0</v>
      </c>
      <c r="U1785" s="29" t="e">
        <f>DATEDIF(DATE(1970,1,1),U1784,"D")*86400</f>
        <v>#NUM!</v>
      </c>
      <c r="V1785" s="29">
        <f>HOUR(V1784)*3600+MINUTE(V1784)*60+SECOND(V1784)</f>
        <v>0</v>
      </c>
      <c r="W1785" s="29" t="e">
        <f>DATEDIF(DATE(1970,1,1),W1784,"D")*86400</f>
        <v>#NUM!</v>
      </c>
      <c r="X1785" s="29">
        <f>HOUR(X1784)*3600+MINUTE(X1784)*60+SECOND(X1784)</f>
        <v>0</v>
      </c>
      <c r="Y1785" s="31">
        <f>(Y1784*B1785)</f>
        <v>0</v>
      </c>
      <c r="Z1785" s="29">
        <f>Z1784</f>
        <v>0</v>
      </c>
      <c r="AA1785" s="29" t="e">
        <f>DATEDIF(DATE(1970,1,1),AA1784,"D")*86400</f>
        <v>#NUM!</v>
      </c>
      <c r="AB1785" s="29">
        <f>HOUR(AB1784)*3600+MINUTE(AB1784)*60+SECOND(AB1784)</f>
        <v>0</v>
      </c>
      <c r="AC1785" s="29">
        <f>AC1784</f>
        <v>0</v>
      </c>
    </row>
    <row r="1786" spans="1:29">
      <c r="A1786" s="23">
        <f>Parameters!A894</f>
        <v>0</v>
      </c>
      <c r="B1786" s="23">
        <f>Parameters!B894</f>
        <v>0</v>
      </c>
      <c r="C1786" s="24">
        <f>Parameters!C894</f>
        <v>0</v>
      </c>
      <c r="D1786" s="24">
        <f>Parameters!D894</f>
        <v>0</v>
      </c>
      <c r="E1786" s="23">
        <f>Parameters!E894</f>
        <v>0</v>
      </c>
      <c r="F1786" s="23">
        <f>Parameters!F894</f>
        <v>0</v>
      </c>
      <c r="G1786" s="25">
        <f>Parameters!G894</f>
        <v>0</v>
      </c>
      <c r="H1786" s="25">
        <f>Parameters!H894</f>
        <v>0</v>
      </c>
      <c r="I1786" s="25">
        <f>Parameters!I894</f>
        <v>0</v>
      </c>
      <c r="J1786" s="25">
        <f>Parameters!J894</f>
        <v>0</v>
      </c>
      <c r="K1786" s="25">
        <f>Parameters!K894</f>
        <v>0</v>
      </c>
      <c r="L1786" s="26" t="e">
        <f t="shared" ref="L1786" si="2673">L1787</f>
        <v>#DIV/0!</v>
      </c>
      <c r="M1786" s="25">
        <f>Parameters!L894</f>
        <v>0</v>
      </c>
      <c r="N1786" s="25">
        <f>Parameters!M894</f>
        <v>0</v>
      </c>
      <c r="O1786" s="26" t="e">
        <f t="shared" ref="O1786" si="2674">O1787</f>
        <v>#DIV/0!</v>
      </c>
      <c r="P1786" s="23">
        <f>Parameters!N894</f>
        <v>0</v>
      </c>
      <c r="Q1786" s="23">
        <f>Parameters!O894</f>
        <v>0</v>
      </c>
      <c r="R1786" s="23">
        <f>Parameters!P894</f>
        <v>0</v>
      </c>
      <c r="S1786" s="23">
        <f>Parameters!Q894</f>
        <v>0</v>
      </c>
      <c r="T1786" s="23">
        <f>Parameters!R894</f>
        <v>0</v>
      </c>
      <c r="U1786" s="27">
        <f>Parameters!S894</f>
        <v>0</v>
      </c>
      <c r="V1786" s="28">
        <f>Parameters!T894</f>
        <v>0</v>
      </c>
      <c r="W1786" s="27">
        <f>Parameters!U894</f>
        <v>0</v>
      </c>
      <c r="X1786" s="28">
        <f>Parameters!V894</f>
        <v>0</v>
      </c>
      <c r="Y1786" s="25">
        <f>Parameters!W894</f>
        <v>0</v>
      </c>
      <c r="Z1786" s="23">
        <f>Parameters!X894</f>
        <v>0</v>
      </c>
      <c r="AA1786" s="27">
        <f>Parameters!Y894</f>
        <v>0</v>
      </c>
      <c r="AB1786" s="28">
        <f>Parameters!Z894</f>
        <v>0</v>
      </c>
      <c r="AC1786" s="23">
        <f>Parameters!AA894</f>
        <v>0</v>
      </c>
    </row>
    <row r="1787" spans="1:29">
      <c r="A1787" s="29" t="str">
        <f>UPPER(A1786)</f>
        <v>0</v>
      </c>
      <c r="B1787" s="29">
        <f>B1786</f>
        <v>0</v>
      </c>
      <c r="C1787" s="30">
        <f>C1786</f>
        <v>0</v>
      </c>
      <c r="D1787" s="30">
        <f>D1786</f>
        <v>0</v>
      </c>
      <c r="E1787" s="29">
        <f>E1786</f>
        <v>0</v>
      </c>
      <c r="F1787" s="29">
        <f>F1786</f>
        <v>0</v>
      </c>
      <c r="G1787" s="29" t="e">
        <f>IF(C1786=1,IF(D1786="BUY",E1786+(ROUND(F1786*G1786/B1786,0)*B1786),E1786-(ROUND(F1786*G1786/B1786,0)*B1786)),IF(D1786="BUY",E1786-(ROUND(F1786*G1786/B1786,0)*B1786),E1786+(ROUND(F1786*G1786/B1786,0)*B1786)))</f>
        <v>#DIV/0!</v>
      </c>
      <c r="H1787" s="29" t="e">
        <f>IF(C1786=1,IF(D1786="BUY",G1787-(ROUND(F1786*H1786/B1786,0)*B1786),G1787+(ROUND(F1786*H1786/B1786,0)*B1786)),IF(D1786="BUY",G1787+(ROUND(F1786*H1786/B1786,0)*B1786),G1787-(ROUND(F1786*H1786/B1786,0)*B1786)))</f>
        <v>#DIV/0!</v>
      </c>
      <c r="I1787" s="29" t="e">
        <f>IF(D1786="BUY",G1787+(ROUND(F1786*I1786/(B1786*100),0)*B1786),G1787-(ROUND(F1786*I1786/(B1786*100),0)*B1786))</f>
        <v>#DIV/0!</v>
      </c>
      <c r="J1787" s="29" t="e">
        <f>IF(C1786=1,IF(D1786="BUY",E1786+(ROUND(F1786*J1786/B1786,0)*B1786),E1786-(ROUND(F1786*J1786/B1786,0)*B1786)),IF(D1786="BUY",E1786-(ROUND(F1786*J1786/B1786,0)*B1786),E1786+(ROUND(F1786*J1786/B1786,0)*B1786)))</f>
        <v>#DIV/0!</v>
      </c>
      <c r="K1787" s="29" t="e">
        <f>IF(C1786=1,IF(D1786="BUY",E1786-(ROUND(F1786*K1786/B1786,0)*B1786),E1786+(ROUND(F1786*K1786/B1786,0)*B1786)),IF(D1786="BUY",E1786-(ROUND(F1786*K1786/B1786,0)*B1786),E1786+(ROUND(F1786*K1786/B1786,0)*B1786)))</f>
        <v>#DIV/0!</v>
      </c>
      <c r="L1787" s="29" t="e">
        <f t="shared" ref="L1787" si="2675">IF(D1787="BUY",I1787+(R1787*B1787),I1787-(R1787*B1787))</f>
        <v>#DIV/0!</v>
      </c>
      <c r="M1787" s="29" t="e">
        <f>IF(D1786="BUY",E1786+(ROUND(F1786*M1786/B1786,0)*B1786),E1786-(ROUND(F1786*M1786/B1786,0)*B1786))</f>
        <v>#DIV/0!</v>
      </c>
      <c r="N1787" s="29" t="e">
        <f>IF(D1786="BUY",E1786-(ROUND(F1786*N1786/B1786,0)*B1786),E1786+(ROUND(F1786*N1786/B1786,0)*B1786))</f>
        <v>#DIV/0!</v>
      </c>
      <c r="O1787" s="31" t="e">
        <f>IF(D1787="BUY",N1787-VLOOKUP(A1787,Symbols!A$1:D$1000,4,FALSE),N1787+VLOOKUP(A1787,Symbols!A$1:D$1000,4,FALSE))</f>
        <v>#DIV/0!</v>
      </c>
      <c r="P1787" s="29">
        <f>P1786</f>
        <v>0</v>
      </c>
      <c r="Q1787" s="29">
        <f>Q1786</f>
        <v>0</v>
      </c>
      <c r="R1787" s="29">
        <f>R1786</f>
        <v>0</v>
      </c>
      <c r="S1787" s="29">
        <f>S1786</f>
        <v>0</v>
      </c>
      <c r="T1787" s="29">
        <f>T1786</f>
        <v>0</v>
      </c>
      <c r="U1787" s="29" t="e">
        <f>DATEDIF(DATE(1970,1,1),U1786,"D")*86400</f>
        <v>#NUM!</v>
      </c>
      <c r="V1787" s="29">
        <f>HOUR(V1786)*3600+MINUTE(V1786)*60+SECOND(V1786)</f>
        <v>0</v>
      </c>
      <c r="W1787" s="29" t="e">
        <f>DATEDIF(DATE(1970,1,1),W1786,"D")*86400</f>
        <v>#NUM!</v>
      </c>
      <c r="X1787" s="29">
        <f>HOUR(X1786)*3600+MINUTE(X1786)*60+SECOND(X1786)</f>
        <v>0</v>
      </c>
      <c r="Y1787" s="31">
        <f>(Y1786*B1787)</f>
        <v>0</v>
      </c>
      <c r="Z1787" s="29">
        <f>Z1786</f>
        <v>0</v>
      </c>
      <c r="AA1787" s="29" t="e">
        <f>DATEDIF(DATE(1970,1,1),AA1786,"D")*86400</f>
        <v>#NUM!</v>
      </c>
      <c r="AB1787" s="29">
        <f>HOUR(AB1786)*3600+MINUTE(AB1786)*60+SECOND(AB1786)</f>
        <v>0</v>
      </c>
      <c r="AC1787" s="29">
        <f>AC1786</f>
        <v>0</v>
      </c>
    </row>
    <row r="1788" spans="1:29">
      <c r="A1788" s="23">
        <f>Parameters!A895</f>
        <v>0</v>
      </c>
      <c r="B1788" s="23">
        <f>Parameters!B895</f>
        <v>0</v>
      </c>
      <c r="C1788" s="24">
        <f>Parameters!C895</f>
        <v>0</v>
      </c>
      <c r="D1788" s="24">
        <f>Parameters!D895</f>
        <v>0</v>
      </c>
      <c r="E1788" s="23">
        <f>Parameters!E895</f>
        <v>0</v>
      </c>
      <c r="F1788" s="23">
        <f>Parameters!F895</f>
        <v>0</v>
      </c>
      <c r="G1788" s="25">
        <f>Parameters!G895</f>
        <v>0</v>
      </c>
      <c r="H1788" s="25">
        <f>Parameters!H895</f>
        <v>0</v>
      </c>
      <c r="I1788" s="25">
        <f>Parameters!I895</f>
        <v>0</v>
      </c>
      <c r="J1788" s="25">
        <f>Parameters!J895</f>
        <v>0</v>
      </c>
      <c r="K1788" s="25">
        <f>Parameters!K895</f>
        <v>0</v>
      </c>
      <c r="L1788" s="26" t="e">
        <f t="shared" ref="L1788" si="2676">L1789</f>
        <v>#DIV/0!</v>
      </c>
      <c r="M1788" s="25">
        <f>Parameters!L895</f>
        <v>0</v>
      </c>
      <c r="N1788" s="25">
        <f>Parameters!M895</f>
        <v>0</v>
      </c>
      <c r="O1788" s="26" t="e">
        <f t="shared" ref="O1788" si="2677">O1789</f>
        <v>#DIV/0!</v>
      </c>
      <c r="P1788" s="23">
        <f>Parameters!N895</f>
        <v>0</v>
      </c>
      <c r="Q1788" s="23">
        <f>Parameters!O895</f>
        <v>0</v>
      </c>
      <c r="R1788" s="23">
        <f>Parameters!P895</f>
        <v>0</v>
      </c>
      <c r="S1788" s="23">
        <f>Parameters!Q895</f>
        <v>0</v>
      </c>
      <c r="T1788" s="23">
        <f>Parameters!R895</f>
        <v>0</v>
      </c>
      <c r="U1788" s="27">
        <f>Parameters!S895</f>
        <v>0</v>
      </c>
      <c r="V1788" s="28">
        <f>Parameters!T895</f>
        <v>0</v>
      </c>
      <c r="W1788" s="27">
        <f>Parameters!U895</f>
        <v>0</v>
      </c>
      <c r="X1788" s="28">
        <f>Parameters!V895</f>
        <v>0</v>
      </c>
      <c r="Y1788" s="25">
        <f>Parameters!W895</f>
        <v>0</v>
      </c>
      <c r="Z1788" s="23">
        <f>Parameters!X895</f>
        <v>0</v>
      </c>
      <c r="AA1788" s="27">
        <f>Parameters!Y895</f>
        <v>0</v>
      </c>
      <c r="AB1788" s="28">
        <f>Parameters!Z895</f>
        <v>0</v>
      </c>
      <c r="AC1788" s="23">
        <f>Parameters!AA895</f>
        <v>0</v>
      </c>
    </row>
    <row r="1789" spans="1:29">
      <c r="A1789" s="29" t="str">
        <f>UPPER(A1788)</f>
        <v>0</v>
      </c>
      <c r="B1789" s="29">
        <f>B1788</f>
        <v>0</v>
      </c>
      <c r="C1789" s="30">
        <f>C1788</f>
        <v>0</v>
      </c>
      <c r="D1789" s="30">
        <f>D1788</f>
        <v>0</v>
      </c>
      <c r="E1789" s="29">
        <f>E1788</f>
        <v>0</v>
      </c>
      <c r="F1789" s="29">
        <f>F1788</f>
        <v>0</v>
      </c>
      <c r="G1789" s="29" t="e">
        <f>IF(C1788=1,IF(D1788="BUY",E1788+(ROUND(F1788*G1788/B1788,0)*B1788),E1788-(ROUND(F1788*G1788/B1788,0)*B1788)),IF(D1788="BUY",E1788-(ROUND(F1788*G1788/B1788,0)*B1788),E1788+(ROUND(F1788*G1788/B1788,0)*B1788)))</f>
        <v>#DIV/0!</v>
      </c>
      <c r="H1789" s="29" t="e">
        <f>IF(C1788=1,IF(D1788="BUY",G1789-(ROUND(F1788*H1788/B1788,0)*B1788),G1789+(ROUND(F1788*H1788/B1788,0)*B1788)),IF(D1788="BUY",G1789+(ROUND(F1788*H1788/B1788,0)*B1788),G1789-(ROUND(F1788*H1788/B1788,0)*B1788)))</f>
        <v>#DIV/0!</v>
      </c>
      <c r="I1789" s="29" t="e">
        <f>IF(D1788="BUY",G1789+(ROUND(F1788*I1788/(B1788*100),0)*B1788),G1789-(ROUND(F1788*I1788/(B1788*100),0)*B1788))</f>
        <v>#DIV/0!</v>
      </c>
      <c r="J1789" s="29" t="e">
        <f>IF(C1788=1,IF(D1788="BUY",E1788+(ROUND(F1788*J1788/B1788,0)*B1788),E1788-(ROUND(F1788*J1788/B1788,0)*B1788)),IF(D1788="BUY",E1788-(ROUND(F1788*J1788/B1788,0)*B1788),E1788+(ROUND(F1788*J1788/B1788,0)*B1788)))</f>
        <v>#DIV/0!</v>
      </c>
      <c r="K1789" s="29" t="e">
        <f>IF(C1788=1,IF(D1788="BUY",E1788-(ROUND(F1788*K1788/B1788,0)*B1788),E1788+(ROUND(F1788*K1788/B1788,0)*B1788)),IF(D1788="BUY",E1788-(ROUND(F1788*K1788/B1788,0)*B1788),E1788+(ROUND(F1788*K1788/B1788,0)*B1788)))</f>
        <v>#DIV/0!</v>
      </c>
      <c r="L1789" s="29" t="e">
        <f t="shared" ref="L1789" si="2678">IF(D1789="BUY",I1789+(R1789*B1789),I1789-(R1789*B1789))</f>
        <v>#DIV/0!</v>
      </c>
      <c r="M1789" s="29" t="e">
        <f>IF(D1788="BUY",E1788+(ROUND(F1788*M1788/B1788,0)*B1788),E1788-(ROUND(F1788*M1788/B1788,0)*B1788))</f>
        <v>#DIV/0!</v>
      </c>
      <c r="N1789" s="29" t="e">
        <f>IF(D1788="BUY",E1788-(ROUND(F1788*N1788/B1788,0)*B1788),E1788+(ROUND(F1788*N1788/B1788,0)*B1788))</f>
        <v>#DIV/0!</v>
      </c>
      <c r="O1789" s="31" t="e">
        <f>IF(D1789="BUY",N1789-VLOOKUP(A1789,Symbols!A$1:D$1000,4,FALSE),N1789+VLOOKUP(A1789,Symbols!A$1:D$1000,4,FALSE))</f>
        <v>#DIV/0!</v>
      </c>
      <c r="P1789" s="29">
        <f>P1788</f>
        <v>0</v>
      </c>
      <c r="Q1789" s="29">
        <f>Q1788</f>
        <v>0</v>
      </c>
      <c r="R1789" s="29">
        <f>R1788</f>
        <v>0</v>
      </c>
      <c r="S1789" s="29">
        <f>S1788</f>
        <v>0</v>
      </c>
      <c r="T1789" s="29">
        <f>T1788</f>
        <v>0</v>
      </c>
      <c r="U1789" s="29" t="e">
        <f>DATEDIF(DATE(1970,1,1),U1788,"D")*86400</f>
        <v>#NUM!</v>
      </c>
      <c r="V1789" s="29">
        <f>HOUR(V1788)*3600+MINUTE(V1788)*60+SECOND(V1788)</f>
        <v>0</v>
      </c>
      <c r="W1789" s="29" t="e">
        <f>DATEDIF(DATE(1970,1,1),W1788,"D")*86400</f>
        <v>#NUM!</v>
      </c>
      <c r="X1789" s="29">
        <f>HOUR(X1788)*3600+MINUTE(X1788)*60+SECOND(X1788)</f>
        <v>0</v>
      </c>
      <c r="Y1789" s="31">
        <f>(Y1788*B1789)</f>
        <v>0</v>
      </c>
      <c r="Z1789" s="29">
        <f>Z1788</f>
        <v>0</v>
      </c>
      <c r="AA1789" s="29" t="e">
        <f>DATEDIF(DATE(1970,1,1),AA1788,"D")*86400</f>
        <v>#NUM!</v>
      </c>
      <c r="AB1789" s="29">
        <f>HOUR(AB1788)*3600+MINUTE(AB1788)*60+SECOND(AB1788)</f>
        <v>0</v>
      </c>
      <c r="AC1789" s="29">
        <f>AC1788</f>
        <v>0</v>
      </c>
    </row>
    <row r="1790" spans="1:29">
      <c r="A1790" s="23">
        <f>Parameters!A896</f>
        <v>0</v>
      </c>
      <c r="B1790" s="23">
        <f>Parameters!B896</f>
        <v>0</v>
      </c>
      <c r="C1790" s="24">
        <f>Parameters!C896</f>
        <v>0</v>
      </c>
      <c r="D1790" s="24">
        <f>Parameters!D896</f>
        <v>0</v>
      </c>
      <c r="E1790" s="23">
        <f>Parameters!E896</f>
        <v>0</v>
      </c>
      <c r="F1790" s="23">
        <f>Parameters!F896</f>
        <v>0</v>
      </c>
      <c r="G1790" s="25">
        <f>Parameters!G896</f>
        <v>0</v>
      </c>
      <c r="H1790" s="25">
        <f>Parameters!H896</f>
        <v>0</v>
      </c>
      <c r="I1790" s="25">
        <f>Parameters!I896</f>
        <v>0</v>
      </c>
      <c r="J1790" s="25">
        <f>Parameters!J896</f>
        <v>0</v>
      </c>
      <c r="K1790" s="25">
        <f>Parameters!K896</f>
        <v>0</v>
      </c>
      <c r="L1790" s="26" t="e">
        <f t="shared" ref="L1790" si="2679">L1791</f>
        <v>#DIV/0!</v>
      </c>
      <c r="M1790" s="25">
        <f>Parameters!L896</f>
        <v>0</v>
      </c>
      <c r="N1790" s="25">
        <f>Parameters!M896</f>
        <v>0</v>
      </c>
      <c r="O1790" s="26" t="e">
        <f t="shared" ref="O1790" si="2680">O1791</f>
        <v>#DIV/0!</v>
      </c>
      <c r="P1790" s="23">
        <f>Parameters!N896</f>
        <v>0</v>
      </c>
      <c r="Q1790" s="23">
        <f>Parameters!O896</f>
        <v>0</v>
      </c>
      <c r="R1790" s="23">
        <f>Parameters!P896</f>
        <v>0</v>
      </c>
      <c r="S1790" s="23">
        <f>Parameters!Q896</f>
        <v>0</v>
      </c>
      <c r="T1790" s="23">
        <f>Parameters!R896</f>
        <v>0</v>
      </c>
      <c r="U1790" s="27">
        <f>Parameters!S896</f>
        <v>0</v>
      </c>
      <c r="V1790" s="28">
        <f>Parameters!T896</f>
        <v>0</v>
      </c>
      <c r="W1790" s="27">
        <f>Parameters!U896</f>
        <v>0</v>
      </c>
      <c r="X1790" s="28">
        <f>Parameters!V896</f>
        <v>0</v>
      </c>
      <c r="Y1790" s="25">
        <f>Parameters!W896</f>
        <v>0</v>
      </c>
      <c r="Z1790" s="23">
        <f>Parameters!X896</f>
        <v>0</v>
      </c>
      <c r="AA1790" s="27">
        <f>Parameters!Y896</f>
        <v>0</v>
      </c>
      <c r="AB1790" s="28">
        <f>Parameters!Z896</f>
        <v>0</v>
      </c>
      <c r="AC1790" s="23">
        <f>Parameters!AA896</f>
        <v>0</v>
      </c>
    </row>
    <row r="1791" spans="1:29">
      <c r="A1791" s="29" t="str">
        <f>UPPER(A1790)</f>
        <v>0</v>
      </c>
      <c r="B1791" s="29">
        <f>B1790</f>
        <v>0</v>
      </c>
      <c r="C1791" s="30">
        <f>C1790</f>
        <v>0</v>
      </c>
      <c r="D1791" s="30">
        <f>D1790</f>
        <v>0</v>
      </c>
      <c r="E1791" s="29">
        <f>E1790</f>
        <v>0</v>
      </c>
      <c r="F1791" s="29">
        <f>F1790</f>
        <v>0</v>
      </c>
      <c r="G1791" s="29" t="e">
        <f>IF(C1790=1,IF(D1790="BUY",E1790+(ROUND(F1790*G1790/B1790,0)*B1790),E1790-(ROUND(F1790*G1790/B1790,0)*B1790)),IF(D1790="BUY",E1790-(ROUND(F1790*G1790/B1790,0)*B1790),E1790+(ROUND(F1790*G1790/B1790,0)*B1790)))</f>
        <v>#DIV/0!</v>
      </c>
      <c r="H1791" s="29" t="e">
        <f>IF(C1790=1,IF(D1790="BUY",G1791-(ROUND(F1790*H1790/B1790,0)*B1790),G1791+(ROUND(F1790*H1790/B1790,0)*B1790)),IF(D1790="BUY",G1791+(ROUND(F1790*H1790/B1790,0)*B1790),G1791-(ROUND(F1790*H1790/B1790,0)*B1790)))</f>
        <v>#DIV/0!</v>
      </c>
      <c r="I1791" s="29" t="e">
        <f>IF(D1790="BUY",G1791+(ROUND(F1790*I1790/(B1790*100),0)*B1790),G1791-(ROUND(F1790*I1790/(B1790*100),0)*B1790))</f>
        <v>#DIV/0!</v>
      </c>
      <c r="J1791" s="29" t="e">
        <f>IF(C1790=1,IF(D1790="BUY",E1790+(ROUND(F1790*J1790/B1790,0)*B1790),E1790-(ROUND(F1790*J1790/B1790,0)*B1790)),IF(D1790="BUY",E1790-(ROUND(F1790*J1790/B1790,0)*B1790),E1790+(ROUND(F1790*J1790/B1790,0)*B1790)))</f>
        <v>#DIV/0!</v>
      </c>
      <c r="K1791" s="29" t="e">
        <f>IF(C1790=1,IF(D1790="BUY",E1790-(ROUND(F1790*K1790/B1790,0)*B1790),E1790+(ROUND(F1790*K1790/B1790,0)*B1790)),IF(D1790="BUY",E1790-(ROUND(F1790*K1790/B1790,0)*B1790),E1790+(ROUND(F1790*K1790/B1790,0)*B1790)))</f>
        <v>#DIV/0!</v>
      </c>
      <c r="L1791" s="29" t="e">
        <f t="shared" ref="L1791" si="2681">IF(D1791="BUY",I1791+(R1791*B1791),I1791-(R1791*B1791))</f>
        <v>#DIV/0!</v>
      </c>
      <c r="M1791" s="29" t="e">
        <f>IF(D1790="BUY",E1790+(ROUND(F1790*M1790/B1790,0)*B1790),E1790-(ROUND(F1790*M1790/B1790,0)*B1790))</f>
        <v>#DIV/0!</v>
      </c>
      <c r="N1791" s="29" t="e">
        <f>IF(D1790="BUY",E1790-(ROUND(F1790*N1790/B1790,0)*B1790),E1790+(ROUND(F1790*N1790/B1790,0)*B1790))</f>
        <v>#DIV/0!</v>
      </c>
      <c r="O1791" s="31" t="e">
        <f>IF(D1791="BUY",N1791-VLOOKUP(A1791,Symbols!A$1:D$1000,4,FALSE),N1791+VLOOKUP(A1791,Symbols!A$1:D$1000,4,FALSE))</f>
        <v>#DIV/0!</v>
      </c>
      <c r="P1791" s="29">
        <f>P1790</f>
        <v>0</v>
      </c>
      <c r="Q1791" s="29">
        <f>Q1790</f>
        <v>0</v>
      </c>
      <c r="R1791" s="29">
        <f>R1790</f>
        <v>0</v>
      </c>
      <c r="S1791" s="29">
        <f>S1790</f>
        <v>0</v>
      </c>
      <c r="T1791" s="29">
        <f>T1790</f>
        <v>0</v>
      </c>
      <c r="U1791" s="29" t="e">
        <f>DATEDIF(DATE(1970,1,1),U1790,"D")*86400</f>
        <v>#NUM!</v>
      </c>
      <c r="V1791" s="29">
        <f>HOUR(V1790)*3600+MINUTE(V1790)*60+SECOND(V1790)</f>
        <v>0</v>
      </c>
      <c r="W1791" s="29" t="e">
        <f>DATEDIF(DATE(1970,1,1),W1790,"D")*86400</f>
        <v>#NUM!</v>
      </c>
      <c r="X1791" s="29">
        <f>HOUR(X1790)*3600+MINUTE(X1790)*60+SECOND(X1790)</f>
        <v>0</v>
      </c>
      <c r="Y1791" s="31">
        <f>(Y1790*B1791)</f>
        <v>0</v>
      </c>
      <c r="Z1791" s="29">
        <f>Z1790</f>
        <v>0</v>
      </c>
      <c r="AA1791" s="29" t="e">
        <f>DATEDIF(DATE(1970,1,1),AA1790,"D")*86400</f>
        <v>#NUM!</v>
      </c>
      <c r="AB1791" s="29">
        <f>HOUR(AB1790)*3600+MINUTE(AB1790)*60+SECOND(AB1790)</f>
        <v>0</v>
      </c>
      <c r="AC1791" s="29">
        <f>AC1790</f>
        <v>0</v>
      </c>
    </row>
    <row r="1792" spans="1:29">
      <c r="A1792" s="23">
        <f>Parameters!A897</f>
        <v>0</v>
      </c>
      <c r="B1792" s="23">
        <f>Parameters!B897</f>
        <v>0</v>
      </c>
      <c r="C1792" s="24">
        <f>Parameters!C897</f>
        <v>0</v>
      </c>
      <c r="D1792" s="24">
        <f>Parameters!D897</f>
        <v>0</v>
      </c>
      <c r="E1792" s="23">
        <f>Parameters!E897</f>
        <v>0</v>
      </c>
      <c r="F1792" s="23">
        <f>Parameters!F897</f>
        <v>0</v>
      </c>
      <c r="G1792" s="25">
        <f>Parameters!G897</f>
        <v>0</v>
      </c>
      <c r="H1792" s="25">
        <f>Parameters!H897</f>
        <v>0</v>
      </c>
      <c r="I1792" s="25">
        <f>Parameters!I897</f>
        <v>0</v>
      </c>
      <c r="J1792" s="25">
        <f>Parameters!J897</f>
        <v>0</v>
      </c>
      <c r="K1792" s="25">
        <f>Parameters!K897</f>
        <v>0</v>
      </c>
      <c r="L1792" s="26" t="e">
        <f t="shared" ref="L1792" si="2682">L1793</f>
        <v>#DIV/0!</v>
      </c>
      <c r="M1792" s="25">
        <f>Parameters!L897</f>
        <v>0</v>
      </c>
      <c r="N1792" s="25">
        <f>Parameters!M897</f>
        <v>0</v>
      </c>
      <c r="O1792" s="26" t="e">
        <f t="shared" ref="O1792" si="2683">O1793</f>
        <v>#DIV/0!</v>
      </c>
      <c r="P1792" s="23">
        <f>Parameters!N897</f>
        <v>0</v>
      </c>
      <c r="Q1792" s="23">
        <f>Parameters!O897</f>
        <v>0</v>
      </c>
      <c r="R1792" s="23">
        <f>Parameters!P897</f>
        <v>0</v>
      </c>
      <c r="S1792" s="23">
        <f>Parameters!Q897</f>
        <v>0</v>
      </c>
      <c r="T1792" s="23">
        <f>Parameters!R897</f>
        <v>0</v>
      </c>
      <c r="U1792" s="27">
        <f>Parameters!S897</f>
        <v>0</v>
      </c>
      <c r="V1792" s="28">
        <f>Parameters!T897</f>
        <v>0</v>
      </c>
      <c r="W1792" s="27">
        <f>Parameters!U897</f>
        <v>0</v>
      </c>
      <c r="X1792" s="28">
        <f>Parameters!V897</f>
        <v>0</v>
      </c>
      <c r="Y1792" s="25">
        <f>Parameters!W897</f>
        <v>0</v>
      </c>
      <c r="Z1792" s="23">
        <f>Parameters!X897</f>
        <v>0</v>
      </c>
      <c r="AA1792" s="27">
        <f>Parameters!Y897</f>
        <v>0</v>
      </c>
      <c r="AB1792" s="28">
        <f>Parameters!Z897</f>
        <v>0</v>
      </c>
      <c r="AC1792" s="23">
        <f>Parameters!AA897</f>
        <v>0</v>
      </c>
    </row>
    <row r="1793" spans="1:29">
      <c r="A1793" s="29" t="str">
        <f>UPPER(A1792)</f>
        <v>0</v>
      </c>
      <c r="B1793" s="29">
        <f>B1792</f>
        <v>0</v>
      </c>
      <c r="C1793" s="30">
        <f>C1792</f>
        <v>0</v>
      </c>
      <c r="D1793" s="30">
        <f>D1792</f>
        <v>0</v>
      </c>
      <c r="E1793" s="29">
        <f>E1792</f>
        <v>0</v>
      </c>
      <c r="F1793" s="29">
        <f>F1792</f>
        <v>0</v>
      </c>
      <c r="G1793" s="29" t="e">
        <f>IF(C1792=1,IF(D1792="BUY",E1792+(ROUND(F1792*G1792/B1792,0)*B1792),E1792-(ROUND(F1792*G1792/B1792,0)*B1792)),IF(D1792="BUY",E1792-(ROUND(F1792*G1792/B1792,0)*B1792),E1792+(ROUND(F1792*G1792/B1792,0)*B1792)))</f>
        <v>#DIV/0!</v>
      </c>
      <c r="H1793" s="29" t="e">
        <f>IF(C1792=1,IF(D1792="BUY",G1793-(ROUND(F1792*H1792/B1792,0)*B1792),G1793+(ROUND(F1792*H1792/B1792,0)*B1792)),IF(D1792="BUY",G1793+(ROUND(F1792*H1792/B1792,0)*B1792),G1793-(ROUND(F1792*H1792/B1792,0)*B1792)))</f>
        <v>#DIV/0!</v>
      </c>
      <c r="I1793" s="29" t="e">
        <f>IF(D1792="BUY",G1793+(ROUND(F1792*I1792/(B1792*100),0)*B1792),G1793-(ROUND(F1792*I1792/(B1792*100),0)*B1792))</f>
        <v>#DIV/0!</v>
      </c>
      <c r="J1793" s="29" t="e">
        <f>IF(C1792=1,IF(D1792="BUY",E1792+(ROUND(F1792*J1792/B1792,0)*B1792),E1792-(ROUND(F1792*J1792/B1792,0)*B1792)),IF(D1792="BUY",E1792-(ROUND(F1792*J1792/B1792,0)*B1792),E1792+(ROUND(F1792*J1792/B1792,0)*B1792)))</f>
        <v>#DIV/0!</v>
      </c>
      <c r="K1793" s="29" t="e">
        <f>IF(C1792=1,IF(D1792="BUY",E1792-(ROUND(F1792*K1792/B1792,0)*B1792),E1792+(ROUND(F1792*K1792/B1792,0)*B1792)),IF(D1792="BUY",E1792-(ROUND(F1792*K1792/B1792,0)*B1792),E1792+(ROUND(F1792*K1792/B1792,0)*B1792)))</f>
        <v>#DIV/0!</v>
      </c>
      <c r="L1793" s="29" t="e">
        <f t="shared" ref="L1793" si="2684">IF(D1793="BUY",I1793+(R1793*B1793),I1793-(R1793*B1793))</f>
        <v>#DIV/0!</v>
      </c>
      <c r="M1793" s="29" t="e">
        <f>IF(D1792="BUY",E1792+(ROUND(F1792*M1792/B1792,0)*B1792),E1792-(ROUND(F1792*M1792/B1792,0)*B1792))</f>
        <v>#DIV/0!</v>
      </c>
      <c r="N1793" s="29" t="e">
        <f>IF(D1792="BUY",E1792-(ROUND(F1792*N1792/B1792,0)*B1792),E1792+(ROUND(F1792*N1792/B1792,0)*B1792))</f>
        <v>#DIV/0!</v>
      </c>
      <c r="O1793" s="31" t="e">
        <f>IF(D1793="BUY",N1793-VLOOKUP(A1793,Symbols!A$1:D$1000,4,FALSE),N1793+VLOOKUP(A1793,Symbols!A$1:D$1000,4,FALSE))</f>
        <v>#DIV/0!</v>
      </c>
      <c r="P1793" s="29">
        <f>P1792</f>
        <v>0</v>
      </c>
      <c r="Q1793" s="29">
        <f>Q1792</f>
        <v>0</v>
      </c>
      <c r="R1793" s="29">
        <f>R1792</f>
        <v>0</v>
      </c>
      <c r="S1793" s="29">
        <f>S1792</f>
        <v>0</v>
      </c>
      <c r="T1793" s="29">
        <f>T1792</f>
        <v>0</v>
      </c>
      <c r="U1793" s="29" t="e">
        <f>DATEDIF(DATE(1970,1,1),U1792,"D")*86400</f>
        <v>#NUM!</v>
      </c>
      <c r="V1793" s="29">
        <f>HOUR(V1792)*3600+MINUTE(V1792)*60+SECOND(V1792)</f>
        <v>0</v>
      </c>
      <c r="W1793" s="29" t="e">
        <f>DATEDIF(DATE(1970,1,1),W1792,"D")*86400</f>
        <v>#NUM!</v>
      </c>
      <c r="X1793" s="29">
        <f>HOUR(X1792)*3600+MINUTE(X1792)*60+SECOND(X1792)</f>
        <v>0</v>
      </c>
      <c r="Y1793" s="31">
        <f>(Y1792*B1793)</f>
        <v>0</v>
      </c>
      <c r="Z1793" s="29">
        <f>Z1792</f>
        <v>0</v>
      </c>
      <c r="AA1793" s="29" t="e">
        <f>DATEDIF(DATE(1970,1,1),AA1792,"D")*86400</f>
        <v>#NUM!</v>
      </c>
      <c r="AB1793" s="29">
        <f>HOUR(AB1792)*3600+MINUTE(AB1792)*60+SECOND(AB1792)</f>
        <v>0</v>
      </c>
      <c r="AC1793" s="29">
        <f>AC1792</f>
        <v>0</v>
      </c>
    </row>
    <row r="1794" spans="1:29">
      <c r="A1794" s="23">
        <f>Parameters!A898</f>
        <v>0</v>
      </c>
      <c r="B1794" s="23">
        <f>Parameters!B898</f>
        <v>0</v>
      </c>
      <c r="C1794" s="24">
        <f>Parameters!C898</f>
        <v>0</v>
      </c>
      <c r="D1794" s="24">
        <f>Parameters!D898</f>
        <v>0</v>
      </c>
      <c r="E1794" s="23">
        <f>Parameters!E898</f>
        <v>0</v>
      </c>
      <c r="F1794" s="23">
        <f>Parameters!F898</f>
        <v>0</v>
      </c>
      <c r="G1794" s="25">
        <f>Parameters!G898</f>
        <v>0</v>
      </c>
      <c r="H1794" s="25">
        <f>Parameters!H898</f>
        <v>0</v>
      </c>
      <c r="I1794" s="25">
        <f>Parameters!I898</f>
        <v>0</v>
      </c>
      <c r="J1794" s="25">
        <f>Parameters!J898</f>
        <v>0</v>
      </c>
      <c r="K1794" s="25">
        <f>Parameters!K898</f>
        <v>0</v>
      </c>
      <c r="L1794" s="26" t="e">
        <f t="shared" ref="L1794" si="2685">L1795</f>
        <v>#DIV/0!</v>
      </c>
      <c r="M1794" s="25">
        <f>Parameters!L898</f>
        <v>0</v>
      </c>
      <c r="N1794" s="25">
        <f>Parameters!M898</f>
        <v>0</v>
      </c>
      <c r="O1794" s="26" t="e">
        <f t="shared" ref="O1794" si="2686">O1795</f>
        <v>#DIV/0!</v>
      </c>
      <c r="P1794" s="23">
        <f>Parameters!N898</f>
        <v>0</v>
      </c>
      <c r="Q1794" s="23">
        <f>Parameters!O898</f>
        <v>0</v>
      </c>
      <c r="R1794" s="23">
        <f>Parameters!P898</f>
        <v>0</v>
      </c>
      <c r="S1794" s="23">
        <f>Parameters!Q898</f>
        <v>0</v>
      </c>
      <c r="T1794" s="23">
        <f>Parameters!R898</f>
        <v>0</v>
      </c>
      <c r="U1794" s="27">
        <f>Parameters!S898</f>
        <v>0</v>
      </c>
      <c r="V1794" s="28">
        <f>Parameters!T898</f>
        <v>0</v>
      </c>
      <c r="W1794" s="27">
        <f>Parameters!U898</f>
        <v>0</v>
      </c>
      <c r="X1794" s="28">
        <f>Parameters!V898</f>
        <v>0</v>
      </c>
      <c r="Y1794" s="25">
        <f>Parameters!W898</f>
        <v>0</v>
      </c>
      <c r="Z1794" s="23">
        <f>Parameters!X898</f>
        <v>0</v>
      </c>
      <c r="AA1794" s="27">
        <f>Parameters!Y898</f>
        <v>0</v>
      </c>
      <c r="AB1794" s="28">
        <f>Parameters!Z898</f>
        <v>0</v>
      </c>
      <c r="AC1794" s="23">
        <f>Parameters!AA898</f>
        <v>0</v>
      </c>
    </row>
    <row r="1795" spans="1:29">
      <c r="A1795" s="29" t="str">
        <f>UPPER(A1794)</f>
        <v>0</v>
      </c>
      <c r="B1795" s="29">
        <f>B1794</f>
        <v>0</v>
      </c>
      <c r="C1795" s="30">
        <f>C1794</f>
        <v>0</v>
      </c>
      <c r="D1795" s="30">
        <f>D1794</f>
        <v>0</v>
      </c>
      <c r="E1795" s="29">
        <f>E1794</f>
        <v>0</v>
      </c>
      <c r="F1795" s="29">
        <f>F1794</f>
        <v>0</v>
      </c>
      <c r="G1795" s="29" t="e">
        <f>IF(C1794=1,IF(D1794="BUY",E1794+(ROUND(F1794*G1794/B1794,0)*B1794),E1794-(ROUND(F1794*G1794/B1794,0)*B1794)),IF(D1794="BUY",E1794-(ROUND(F1794*G1794/B1794,0)*B1794),E1794+(ROUND(F1794*G1794/B1794,0)*B1794)))</f>
        <v>#DIV/0!</v>
      </c>
      <c r="H1795" s="29" t="e">
        <f>IF(C1794=1,IF(D1794="BUY",G1795-(ROUND(F1794*H1794/B1794,0)*B1794),G1795+(ROUND(F1794*H1794/B1794,0)*B1794)),IF(D1794="BUY",G1795+(ROUND(F1794*H1794/B1794,0)*B1794),G1795-(ROUND(F1794*H1794/B1794,0)*B1794)))</f>
        <v>#DIV/0!</v>
      </c>
      <c r="I1795" s="29" t="e">
        <f>IF(D1794="BUY",G1795+(ROUND(F1794*I1794/(B1794*100),0)*B1794),G1795-(ROUND(F1794*I1794/(B1794*100),0)*B1794))</f>
        <v>#DIV/0!</v>
      </c>
      <c r="J1795" s="29" t="e">
        <f>IF(C1794=1,IF(D1794="BUY",E1794+(ROUND(F1794*J1794/B1794,0)*B1794),E1794-(ROUND(F1794*J1794/B1794,0)*B1794)),IF(D1794="BUY",E1794-(ROUND(F1794*J1794/B1794,0)*B1794),E1794+(ROUND(F1794*J1794/B1794,0)*B1794)))</f>
        <v>#DIV/0!</v>
      </c>
      <c r="K1795" s="29" t="e">
        <f>IF(C1794=1,IF(D1794="BUY",E1794-(ROUND(F1794*K1794/B1794,0)*B1794),E1794+(ROUND(F1794*K1794/B1794,0)*B1794)),IF(D1794="BUY",E1794-(ROUND(F1794*K1794/B1794,0)*B1794),E1794+(ROUND(F1794*K1794/B1794,0)*B1794)))</f>
        <v>#DIV/0!</v>
      </c>
      <c r="L1795" s="29" t="e">
        <f t="shared" ref="L1795" si="2687">IF(D1795="BUY",I1795+(R1795*B1795),I1795-(R1795*B1795))</f>
        <v>#DIV/0!</v>
      </c>
      <c r="M1795" s="29" t="e">
        <f>IF(D1794="BUY",E1794+(ROUND(F1794*M1794/B1794,0)*B1794),E1794-(ROUND(F1794*M1794/B1794,0)*B1794))</f>
        <v>#DIV/0!</v>
      </c>
      <c r="N1795" s="29" t="e">
        <f>IF(D1794="BUY",E1794-(ROUND(F1794*N1794/B1794,0)*B1794),E1794+(ROUND(F1794*N1794/B1794,0)*B1794))</f>
        <v>#DIV/0!</v>
      </c>
      <c r="O1795" s="31" t="e">
        <f>IF(D1795="BUY",N1795-VLOOKUP(A1795,Symbols!A$1:D$1000,4,FALSE),N1795+VLOOKUP(A1795,Symbols!A$1:D$1000,4,FALSE))</f>
        <v>#DIV/0!</v>
      </c>
      <c r="P1795" s="29">
        <f>P1794</f>
        <v>0</v>
      </c>
      <c r="Q1795" s="29">
        <f>Q1794</f>
        <v>0</v>
      </c>
      <c r="R1795" s="29">
        <f>R1794</f>
        <v>0</v>
      </c>
      <c r="S1795" s="29">
        <f>S1794</f>
        <v>0</v>
      </c>
      <c r="T1795" s="29">
        <f>T1794</f>
        <v>0</v>
      </c>
      <c r="U1795" s="29" t="e">
        <f>DATEDIF(DATE(1970,1,1),U1794,"D")*86400</f>
        <v>#NUM!</v>
      </c>
      <c r="V1795" s="29">
        <f>HOUR(V1794)*3600+MINUTE(V1794)*60+SECOND(V1794)</f>
        <v>0</v>
      </c>
      <c r="W1795" s="29" t="e">
        <f>DATEDIF(DATE(1970,1,1),W1794,"D")*86400</f>
        <v>#NUM!</v>
      </c>
      <c r="X1795" s="29">
        <f>HOUR(X1794)*3600+MINUTE(X1794)*60+SECOND(X1794)</f>
        <v>0</v>
      </c>
      <c r="Y1795" s="31">
        <f>(Y1794*B1795)</f>
        <v>0</v>
      </c>
      <c r="Z1795" s="29">
        <f>Z1794</f>
        <v>0</v>
      </c>
      <c r="AA1795" s="29" t="e">
        <f>DATEDIF(DATE(1970,1,1),AA1794,"D")*86400</f>
        <v>#NUM!</v>
      </c>
      <c r="AB1795" s="29">
        <f>HOUR(AB1794)*3600+MINUTE(AB1794)*60+SECOND(AB1794)</f>
        <v>0</v>
      </c>
      <c r="AC1795" s="29">
        <f>AC1794</f>
        <v>0</v>
      </c>
    </row>
    <row r="1796" spans="1:29">
      <c r="A1796" s="23">
        <f>Parameters!A899</f>
        <v>0</v>
      </c>
      <c r="B1796" s="23">
        <f>Parameters!B899</f>
        <v>0</v>
      </c>
      <c r="C1796" s="24">
        <f>Parameters!C899</f>
        <v>0</v>
      </c>
      <c r="D1796" s="24">
        <f>Parameters!D899</f>
        <v>0</v>
      </c>
      <c r="E1796" s="23">
        <f>Parameters!E899</f>
        <v>0</v>
      </c>
      <c r="F1796" s="23">
        <f>Parameters!F899</f>
        <v>0</v>
      </c>
      <c r="G1796" s="25">
        <f>Parameters!G899</f>
        <v>0</v>
      </c>
      <c r="H1796" s="25">
        <f>Parameters!H899</f>
        <v>0</v>
      </c>
      <c r="I1796" s="25">
        <f>Parameters!I899</f>
        <v>0</v>
      </c>
      <c r="J1796" s="25">
        <f>Parameters!J899</f>
        <v>0</v>
      </c>
      <c r="K1796" s="25">
        <f>Parameters!K899</f>
        <v>0</v>
      </c>
      <c r="L1796" s="26" t="e">
        <f t="shared" ref="L1796" si="2688">L1797</f>
        <v>#DIV/0!</v>
      </c>
      <c r="M1796" s="25">
        <f>Parameters!L899</f>
        <v>0</v>
      </c>
      <c r="N1796" s="25">
        <f>Parameters!M899</f>
        <v>0</v>
      </c>
      <c r="O1796" s="26" t="e">
        <f t="shared" ref="O1796" si="2689">O1797</f>
        <v>#DIV/0!</v>
      </c>
      <c r="P1796" s="23">
        <f>Parameters!N899</f>
        <v>0</v>
      </c>
      <c r="Q1796" s="23">
        <f>Parameters!O899</f>
        <v>0</v>
      </c>
      <c r="R1796" s="23">
        <f>Parameters!P899</f>
        <v>0</v>
      </c>
      <c r="S1796" s="23">
        <f>Parameters!Q899</f>
        <v>0</v>
      </c>
      <c r="T1796" s="23">
        <f>Parameters!R899</f>
        <v>0</v>
      </c>
      <c r="U1796" s="27">
        <f>Parameters!S899</f>
        <v>0</v>
      </c>
      <c r="V1796" s="28">
        <f>Parameters!T899</f>
        <v>0</v>
      </c>
      <c r="W1796" s="27">
        <f>Parameters!U899</f>
        <v>0</v>
      </c>
      <c r="X1796" s="28">
        <f>Parameters!V899</f>
        <v>0</v>
      </c>
      <c r="Y1796" s="25">
        <f>Parameters!W899</f>
        <v>0</v>
      </c>
      <c r="Z1796" s="23">
        <f>Parameters!X899</f>
        <v>0</v>
      </c>
      <c r="AA1796" s="27">
        <f>Parameters!Y899</f>
        <v>0</v>
      </c>
      <c r="AB1796" s="28">
        <f>Parameters!Z899</f>
        <v>0</v>
      </c>
      <c r="AC1796" s="23">
        <f>Parameters!AA899</f>
        <v>0</v>
      </c>
    </row>
    <row r="1797" spans="1:29">
      <c r="A1797" s="29" t="str">
        <f>UPPER(A1796)</f>
        <v>0</v>
      </c>
      <c r="B1797" s="29">
        <f>B1796</f>
        <v>0</v>
      </c>
      <c r="C1797" s="30">
        <f>C1796</f>
        <v>0</v>
      </c>
      <c r="D1797" s="30">
        <f>D1796</f>
        <v>0</v>
      </c>
      <c r="E1797" s="29">
        <f>E1796</f>
        <v>0</v>
      </c>
      <c r="F1797" s="29">
        <f>F1796</f>
        <v>0</v>
      </c>
      <c r="G1797" s="29" t="e">
        <f>IF(C1796=1,IF(D1796="BUY",E1796+(ROUND(F1796*G1796/B1796,0)*B1796),E1796-(ROUND(F1796*G1796/B1796,0)*B1796)),IF(D1796="BUY",E1796-(ROUND(F1796*G1796/B1796,0)*B1796),E1796+(ROUND(F1796*G1796/B1796,0)*B1796)))</f>
        <v>#DIV/0!</v>
      </c>
      <c r="H1797" s="29" t="e">
        <f>IF(C1796=1,IF(D1796="BUY",G1797-(ROUND(F1796*H1796/B1796,0)*B1796),G1797+(ROUND(F1796*H1796/B1796,0)*B1796)),IF(D1796="BUY",G1797+(ROUND(F1796*H1796/B1796,0)*B1796),G1797-(ROUND(F1796*H1796/B1796,0)*B1796)))</f>
        <v>#DIV/0!</v>
      </c>
      <c r="I1797" s="29" t="e">
        <f>IF(D1796="BUY",G1797+(ROUND(F1796*I1796/(B1796*100),0)*B1796),G1797-(ROUND(F1796*I1796/(B1796*100),0)*B1796))</f>
        <v>#DIV/0!</v>
      </c>
      <c r="J1797" s="29" t="e">
        <f>IF(C1796=1,IF(D1796="BUY",E1796+(ROUND(F1796*J1796/B1796,0)*B1796),E1796-(ROUND(F1796*J1796/B1796,0)*B1796)),IF(D1796="BUY",E1796-(ROUND(F1796*J1796/B1796,0)*B1796),E1796+(ROUND(F1796*J1796/B1796,0)*B1796)))</f>
        <v>#DIV/0!</v>
      </c>
      <c r="K1797" s="29" t="e">
        <f>IF(C1796=1,IF(D1796="BUY",E1796-(ROUND(F1796*K1796/B1796,0)*B1796),E1796+(ROUND(F1796*K1796/B1796,0)*B1796)),IF(D1796="BUY",E1796-(ROUND(F1796*K1796/B1796,0)*B1796),E1796+(ROUND(F1796*K1796/B1796,0)*B1796)))</f>
        <v>#DIV/0!</v>
      </c>
      <c r="L1797" s="29" t="e">
        <f t="shared" ref="L1797" si="2690">IF(D1797="BUY",I1797+(R1797*B1797),I1797-(R1797*B1797))</f>
        <v>#DIV/0!</v>
      </c>
      <c r="M1797" s="29" t="e">
        <f>IF(D1796="BUY",E1796+(ROUND(F1796*M1796/B1796,0)*B1796),E1796-(ROUND(F1796*M1796/B1796,0)*B1796))</f>
        <v>#DIV/0!</v>
      </c>
      <c r="N1797" s="29" t="e">
        <f>IF(D1796="BUY",E1796-(ROUND(F1796*N1796/B1796,0)*B1796),E1796+(ROUND(F1796*N1796/B1796,0)*B1796))</f>
        <v>#DIV/0!</v>
      </c>
      <c r="O1797" s="31" t="e">
        <f>IF(D1797="BUY",N1797-VLOOKUP(A1797,Symbols!A$1:D$1000,4,FALSE),N1797+VLOOKUP(A1797,Symbols!A$1:D$1000,4,FALSE))</f>
        <v>#DIV/0!</v>
      </c>
      <c r="P1797" s="29">
        <f>P1796</f>
        <v>0</v>
      </c>
      <c r="Q1797" s="29">
        <f>Q1796</f>
        <v>0</v>
      </c>
      <c r="R1797" s="29">
        <f>R1796</f>
        <v>0</v>
      </c>
      <c r="S1797" s="29">
        <f>S1796</f>
        <v>0</v>
      </c>
      <c r="T1797" s="29">
        <f>T1796</f>
        <v>0</v>
      </c>
      <c r="U1797" s="29" t="e">
        <f>DATEDIF(DATE(1970,1,1),U1796,"D")*86400</f>
        <v>#NUM!</v>
      </c>
      <c r="V1797" s="29">
        <f>HOUR(V1796)*3600+MINUTE(V1796)*60+SECOND(V1796)</f>
        <v>0</v>
      </c>
      <c r="W1797" s="29" t="e">
        <f>DATEDIF(DATE(1970,1,1),W1796,"D")*86400</f>
        <v>#NUM!</v>
      </c>
      <c r="X1797" s="29">
        <f>HOUR(X1796)*3600+MINUTE(X1796)*60+SECOND(X1796)</f>
        <v>0</v>
      </c>
      <c r="Y1797" s="31">
        <f>(Y1796*B1797)</f>
        <v>0</v>
      </c>
      <c r="Z1797" s="29">
        <f>Z1796</f>
        <v>0</v>
      </c>
      <c r="AA1797" s="29" t="e">
        <f>DATEDIF(DATE(1970,1,1),AA1796,"D")*86400</f>
        <v>#NUM!</v>
      </c>
      <c r="AB1797" s="29">
        <f>HOUR(AB1796)*3600+MINUTE(AB1796)*60+SECOND(AB1796)</f>
        <v>0</v>
      </c>
      <c r="AC1797" s="29">
        <f>AC1796</f>
        <v>0</v>
      </c>
    </row>
    <row r="1798" spans="1:29">
      <c r="A1798" s="23">
        <f>Parameters!A900</f>
        <v>0</v>
      </c>
      <c r="B1798" s="23">
        <f>Parameters!B900</f>
        <v>0</v>
      </c>
      <c r="C1798" s="24">
        <f>Parameters!C900</f>
        <v>0</v>
      </c>
      <c r="D1798" s="24">
        <f>Parameters!D900</f>
        <v>0</v>
      </c>
      <c r="E1798" s="23">
        <f>Parameters!E900</f>
        <v>0</v>
      </c>
      <c r="F1798" s="23">
        <f>Parameters!F900</f>
        <v>0</v>
      </c>
      <c r="G1798" s="25">
        <f>Parameters!G900</f>
        <v>0</v>
      </c>
      <c r="H1798" s="25">
        <f>Parameters!H900</f>
        <v>0</v>
      </c>
      <c r="I1798" s="25">
        <f>Parameters!I900</f>
        <v>0</v>
      </c>
      <c r="J1798" s="25">
        <f>Parameters!J900</f>
        <v>0</v>
      </c>
      <c r="K1798" s="25">
        <f>Parameters!K900</f>
        <v>0</v>
      </c>
      <c r="L1798" s="26" t="e">
        <f t="shared" ref="L1798" si="2691">L1799</f>
        <v>#DIV/0!</v>
      </c>
      <c r="M1798" s="25">
        <f>Parameters!L900</f>
        <v>0</v>
      </c>
      <c r="N1798" s="25">
        <f>Parameters!M900</f>
        <v>0</v>
      </c>
      <c r="O1798" s="26" t="e">
        <f t="shared" ref="O1798" si="2692">O1799</f>
        <v>#DIV/0!</v>
      </c>
      <c r="P1798" s="23">
        <f>Parameters!N900</f>
        <v>0</v>
      </c>
      <c r="Q1798" s="23">
        <f>Parameters!O900</f>
        <v>0</v>
      </c>
      <c r="R1798" s="23">
        <f>Parameters!P900</f>
        <v>0</v>
      </c>
      <c r="S1798" s="23">
        <f>Parameters!Q900</f>
        <v>0</v>
      </c>
      <c r="T1798" s="23">
        <f>Parameters!R900</f>
        <v>0</v>
      </c>
      <c r="U1798" s="27">
        <f>Parameters!S900</f>
        <v>0</v>
      </c>
      <c r="V1798" s="28">
        <f>Parameters!T900</f>
        <v>0</v>
      </c>
      <c r="W1798" s="27">
        <f>Parameters!U900</f>
        <v>0</v>
      </c>
      <c r="X1798" s="28">
        <f>Parameters!V900</f>
        <v>0</v>
      </c>
      <c r="Y1798" s="25">
        <f>Parameters!W900</f>
        <v>0</v>
      </c>
      <c r="Z1798" s="23">
        <f>Parameters!X900</f>
        <v>0</v>
      </c>
      <c r="AA1798" s="27">
        <f>Parameters!Y900</f>
        <v>0</v>
      </c>
      <c r="AB1798" s="28">
        <f>Parameters!Z900</f>
        <v>0</v>
      </c>
      <c r="AC1798" s="23">
        <f>Parameters!AA900</f>
        <v>0</v>
      </c>
    </row>
    <row r="1799" spans="1:29">
      <c r="A1799" s="29" t="str">
        <f>UPPER(A1798)</f>
        <v>0</v>
      </c>
      <c r="B1799" s="29">
        <f>B1798</f>
        <v>0</v>
      </c>
      <c r="C1799" s="30">
        <f>C1798</f>
        <v>0</v>
      </c>
      <c r="D1799" s="30">
        <f>D1798</f>
        <v>0</v>
      </c>
      <c r="E1799" s="29">
        <f>E1798</f>
        <v>0</v>
      </c>
      <c r="F1799" s="29">
        <f>F1798</f>
        <v>0</v>
      </c>
      <c r="G1799" s="29" t="e">
        <f>IF(C1798=1,IF(D1798="BUY",E1798+(ROUND(F1798*G1798/B1798,0)*B1798),E1798-(ROUND(F1798*G1798/B1798,0)*B1798)),IF(D1798="BUY",E1798-(ROUND(F1798*G1798/B1798,0)*B1798),E1798+(ROUND(F1798*G1798/B1798,0)*B1798)))</f>
        <v>#DIV/0!</v>
      </c>
      <c r="H1799" s="29" t="e">
        <f>IF(C1798=1,IF(D1798="BUY",G1799-(ROUND(F1798*H1798/B1798,0)*B1798),G1799+(ROUND(F1798*H1798/B1798,0)*B1798)),IF(D1798="BUY",G1799+(ROUND(F1798*H1798/B1798,0)*B1798),G1799-(ROUND(F1798*H1798/B1798,0)*B1798)))</f>
        <v>#DIV/0!</v>
      </c>
      <c r="I1799" s="29" t="e">
        <f>IF(D1798="BUY",G1799+(ROUND(F1798*I1798/(B1798*100),0)*B1798),G1799-(ROUND(F1798*I1798/(B1798*100),0)*B1798))</f>
        <v>#DIV/0!</v>
      </c>
      <c r="J1799" s="29" t="e">
        <f>IF(C1798=1,IF(D1798="BUY",E1798+(ROUND(F1798*J1798/B1798,0)*B1798),E1798-(ROUND(F1798*J1798/B1798,0)*B1798)),IF(D1798="BUY",E1798-(ROUND(F1798*J1798/B1798,0)*B1798),E1798+(ROUND(F1798*J1798/B1798,0)*B1798)))</f>
        <v>#DIV/0!</v>
      </c>
      <c r="K1799" s="29" t="e">
        <f>IF(C1798=1,IF(D1798="BUY",E1798-(ROUND(F1798*K1798/B1798,0)*B1798),E1798+(ROUND(F1798*K1798/B1798,0)*B1798)),IF(D1798="BUY",E1798-(ROUND(F1798*K1798/B1798,0)*B1798),E1798+(ROUND(F1798*K1798/B1798,0)*B1798)))</f>
        <v>#DIV/0!</v>
      </c>
      <c r="L1799" s="29" t="e">
        <f t="shared" ref="L1799" si="2693">IF(D1799="BUY",I1799+(R1799*B1799),I1799-(R1799*B1799))</f>
        <v>#DIV/0!</v>
      </c>
      <c r="M1799" s="29" t="e">
        <f>IF(D1798="BUY",E1798+(ROUND(F1798*M1798/B1798,0)*B1798),E1798-(ROUND(F1798*M1798/B1798,0)*B1798))</f>
        <v>#DIV/0!</v>
      </c>
      <c r="N1799" s="29" t="e">
        <f>IF(D1798="BUY",E1798-(ROUND(F1798*N1798/B1798,0)*B1798),E1798+(ROUND(F1798*N1798/B1798,0)*B1798))</f>
        <v>#DIV/0!</v>
      </c>
      <c r="O1799" s="31" t="e">
        <f>IF(D1799="BUY",N1799-VLOOKUP(A1799,Symbols!A$1:D$1000,4,FALSE),N1799+VLOOKUP(A1799,Symbols!A$1:D$1000,4,FALSE))</f>
        <v>#DIV/0!</v>
      </c>
      <c r="P1799" s="29">
        <f>P1798</f>
        <v>0</v>
      </c>
      <c r="Q1799" s="29">
        <f>Q1798</f>
        <v>0</v>
      </c>
      <c r="R1799" s="29">
        <f>R1798</f>
        <v>0</v>
      </c>
      <c r="S1799" s="29">
        <f>S1798</f>
        <v>0</v>
      </c>
      <c r="T1799" s="29">
        <f>T1798</f>
        <v>0</v>
      </c>
      <c r="U1799" s="29" t="e">
        <f>DATEDIF(DATE(1970,1,1),U1798,"D")*86400</f>
        <v>#NUM!</v>
      </c>
      <c r="V1799" s="29">
        <f>HOUR(V1798)*3600+MINUTE(V1798)*60+SECOND(V1798)</f>
        <v>0</v>
      </c>
      <c r="W1799" s="29" t="e">
        <f>DATEDIF(DATE(1970,1,1),W1798,"D")*86400</f>
        <v>#NUM!</v>
      </c>
      <c r="X1799" s="29">
        <f>HOUR(X1798)*3600+MINUTE(X1798)*60+SECOND(X1798)</f>
        <v>0</v>
      </c>
      <c r="Y1799" s="31">
        <f>(Y1798*B1799)</f>
        <v>0</v>
      </c>
      <c r="Z1799" s="29">
        <f>Z1798</f>
        <v>0</v>
      </c>
      <c r="AA1799" s="29" t="e">
        <f>DATEDIF(DATE(1970,1,1),AA1798,"D")*86400</f>
        <v>#NUM!</v>
      </c>
      <c r="AB1799" s="29">
        <f>HOUR(AB1798)*3600+MINUTE(AB1798)*60+SECOND(AB1798)</f>
        <v>0</v>
      </c>
      <c r="AC1799" s="29">
        <f>AC1798</f>
        <v>0</v>
      </c>
    </row>
    <row r="1800" spans="1:29">
      <c r="A1800" s="23">
        <f>Parameters!A901</f>
        <v>0</v>
      </c>
      <c r="B1800" s="23">
        <f>Parameters!B901</f>
        <v>0</v>
      </c>
      <c r="C1800" s="24">
        <f>Parameters!C901</f>
        <v>0</v>
      </c>
      <c r="D1800" s="24">
        <f>Parameters!D901</f>
        <v>0</v>
      </c>
      <c r="E1800" s="23">
        <f>Parameters!E901</f>
        <v>0</v>
      </c>
      <c r="F1800" s="23">
        <f>Parameters!F901</f>
        <v>0</v>
      </c>
      <c r="G1800" s="25">
        <f>Parameters!G901</f>
        <v>0</v>
      </c>
      <c r="H1800" s="25">
        <f>Parameters!H901</f>
        <v>0</v>
      </c>
      <c r="I1800" s="25">
        <f>Parameters!I901</f>
        <v>0</v>
      </c>
      <c r="J1800" s="25">
        <f>Parameters!J901</f>
        <v>0</v>
      </c>
      <c r="K1800" s="25">
        <f>Parameters!K901</f>
        <v>0</v>
      </c>
      <c r="L1800" s="26" t="e">
        <f t="shared" ref="L1800" si="2694">L1801</f>
        <v>#DIV/0!</v>
      </c>
      <c r="M1800" s="25">
        <f>Parameters!L901</f>
        <v>0</v>
      </c>
      <c r="N1800" s="25">
        <f>Parameters!M901</f>
        <v>0</v>
      </c>
      <c r="O1800" s="26" t="e">
        <f t="shared" ref="O1800" si="2695">O1801</f>
        <v>#DIV/0!</v>
      </c>
      <c r="P1800" s="23">
        <f>Parameters!N901</f>
        <v>0</v>
      </c>
      <c r="Q1800" s="23">
        <f>Parameters!O901</f>
        <v>0</v>
      </c>
      <c r="R1800" s="23">
        <f>Parameters!P901</f>
        <v>0</v>
      </c>
      <c r="S1800" s="23">
        <f>Parameters!Q901</f>
        <v>0</v>
      </c>
      <c r="T1800" s="23">
        <f>Parameters!R901</f>
        <v>0</v>
      </c>
      <c r="U1800" s="27">
        <f>Parameters!S901</f>
        <v>0</v>
      </c>
      <c r="V1800" s="28">
        <f>Parameters!T901</f>
        <v>0</v>
      </c>
      <c r="W1800" s="27">
        <f>Parameters!U901</f>
        <v>0</v>
      </c>
      <c r="X1800" s="28">
        <f>Parameters!V901</f>
        <v>0</v>
      </c>
      <c r="Y1800" s="25">
        <f>Parameters!W901</f>
        <v>0</v>
      </c>
      <c r="Z1800" s="23">
        <f>Parameters!X901</f>
        <v>0</v>
      </c>
      <c r="AA1800" s="27">
        <f>Parameters!Y901</f>
        <v>0</v>
      </c>
      <c r="AB1800" s="28">
        <f>Parameters!Z901</f>
        <v>0</v>
      </c>
      <c r="AC1800" s="23">
        <f>Parameters!AA901</f>
        <v>0</v>
      </c>
    </row>
    <row r="1801" spans="1:29">
      <c r="A1801" s="29" t="str">
        <f>UPPER(A1800)</f>
        <v>0</v>
      </c>
      <c r="B1801" s="29">
        <f>B1800</f>
        <v>0</v>
      </c>
      <c r="C1801" s="30">
        <f>C1800</f>
        <v>0</v>
      </c>
      <c r="D1801" s="30">
        <f>D1800</f>
        <v>0</v>
      </c>
      <c r="E1801" s="29">
        <f>E1800</f>
        <v>0</v>
      </c>
      <c r="F1801" s="29">
        <f>F1800</f>
        <v>0</v>
      </c>
      <c r="G1801" s="29" t="e">
        <f>IF(C1800=1,IF(D1800="BUY",E1800+(ROUND(F1800*G1800/B1800,0)*B1800),E1800-(ROUND(F1800*G1800/B1800,0)*B1800)),IF(D1800="BUY",E1800-(ROUND(F1800*G1800/B1800,0)*B1800),E1800+(ROUND(F1800*G1800/B1800,0)*B1800)))</f>
        <v>#DIV/0!</v>
      </c>
      <c r="H1801" s="29" t="e">
        <f>IF(C1800=1,IF(D1800="BUY",G1801-(ROUND(F1800*H1800/B1800,0)*B1800),G1801+(ROUND(F1800*H1800/B1800,0)*B1800)),IF(D1800="BUY",G1801+(ROUND(F1800*H1800/B1800,0)*B1800),G1801-(ROUND(F1800*H1800/B1800,0)*B1800)))</f>
        <v>#DIV/0!</v>
      </c>
      <c r="I1801" s="29" t="e">
        <f>IF(D1800="BUY",G1801+(ROUND(F1800*I1800/(B1800*100),0)*B1800),G1801-(ROUND(F1800*I1800/(B1800*100),0)*B1800))</f>
        <v>#DIV/0!</v>
      </c>
      <c r="J1801" s="29" t="e">
        <f>IF(C1800=1,IF(D1800="BUY",E1800+(ROUND(F1800*J1800/B1800,0)*B1800),E1800-(ROUND(F1800*J1800/B1800,0)*B1800)),IF(D1800="BUY",E1800-(ROUND(F1800*J1800/B1800,0)*B1800),E1800+(ROUND(F1800*J1800/B1800,0)*B1800)))</f>
        <v>#DIV/0!</v>
      </c>
      <c r="K1801" s="29" t="e">
        <f>IF(C1800=1,IF(D1800="BUY",E1800-(ROUND(F1800*K1800/B1800,0)*B1800),E1800+(ROUND(F1800*K1800/B1800,0)*B1800)),IF(D1800="BUY",E1800-(ROUND(F1800*K1800/B1800,0)*B1800),E1800+(ROUND(F1800*K1800/B1800,0)*B1800)))</f>
        <v>#DIV/0!</v>
      </c>
      <c r="L1801" s="29" t="e">
        <f t="shared" ref="L1801" si="2696">IF(D1801="BUY",I1801+(R1801*B1801),I1801-(R1801*B1801))</f>
        <v>#DIV/0!</v>
      </c>
      <c r="M1801" s="29" t="e">
        <f>IF(D1800="BUY",E1800+(ROUND(F1800*M1800/B1800,0)*B1800),E1800-(ROUND(F1800*M1800/B1800,0)*B1800))</f>
        <v>#DIV/0!</v>
      </c>
      <c r="N1801" s="29" t="e">
        <f>IF(D1800="BUY",E1800-(ROUND(F1800*N1800/B1800,0)*B1800),E1800+(ROUND(F1800*N1800/B1800,0)*B1800))</f>
        <v>#DIV/0!</v>
      </c>
      <c r="O1801" s="31" t="e">
        <f>IF(D1801="BUY",N1801-VLOOKUP(A1801,Symbols!A$1:D$1000,4,FALSE),N1801+VLOOKUP(A1801,Symbols!A$1:D$1000,4,FALSE))</f>
        <v>#DIV/0!</v>
      </c>
      <c r="P1801" s="29">
        <f>P1800</f>
        <v>0</v>
      </c>
      <c r="Q1801" s="29">
        <f>Q1800</f>
        <v>0</v>
      </c>
      <c r="R1801" s="29">
        <f>R1800</f>
        <v>0</v>
      </c>
      <c r="S1801" s="29">
        <f>S1800</f>
        <v>0</v>
      </c>
      <c r="T1801" s="29">
        <f>T1800</f>
        <v>0</v>
      </c>
      <c r="U1801" s="29" t="e">
        <f>DATEDIF(DATE(1970,1,1),U1800,"D")*86400</f>
        <v>#NUM!</v>
      </c>
      <c r="V1801" s="29">
        <f>HOUR(V1800)*3600+MINUTE(V1800)*60+SECOND(V1800)</f>
        <v>0</v>
      </c>
      <c r="W1801" s="29" t="e">
        <f>DATEDIF(DATE(1970,1,1),W1800,"D")*86400</f>
        <v>#NUM!</v>
      </c>
      <c r="X1801" s="29">
        <f>HOUR(X1800)*3600+MINUTE(X1800)*60+SECOND(X1800)</f>
        <v>0</v>
      </c>
      <c r="Y1801" s="31">
        <f>(Y1800*B1801)</f>
        <v>0</v>
      </c>
      <c r="Z1801" s="29">
        <f>Z1800</f>
        <v>0</v>
      </c>
      <c r="AA1801" s="29" t="e">
        <f>DATEDIF(DATE(1970,1,1),AA1800,"D")*86400</f>
        <v>#NUM!</v>
      </c>
      <c r="AB1801" s="29">
        <f>HOUR(AB1800)*3600+MINUTE(AB1800)*60+SECOND(AB1800)</f>
        <v>0</v>
      </c>
      <c r="AC1801" s="29">
        <f>AC1800</f>
        <v>0</v>
      </c>
    </row>
    <row r="1802" spans="1:29">
      <c r="A1802" s="23">
        <f>Parameters!A902</f>
        <v>0</v>
      </c>
      <c r="B1802" s="23">
        <f>Parameters!B902</f>
        <v>0</v>
      </c>
      <c r="C1802" s="24">
        <f>Parameters!C902</f>
        <v>0</v>
      </c>
      <c r="D1802" s="24">
        <f>Parameters!D902</f>
        <v>0</v>
      </c>
      <c r="E1802" s="23">
        <f>Parameters!E902</f>
        <v>0</v>
      </c>
      <c r="F1802" s="23">
        <f>Parameters!F902</f>
        <v>0</v>
      </c>
      <c r="G1802" s="25">
        <f>Parameters!G902</f>
        <v>0</v>
      </c>
      <c r="H1802" s="25">
        <f>Parameters!H902</f>
        <v>0</v>
      </c>
      <c r="I1802" s="25">
        <f>Parameters!I902</f>
        <v>0</v>
      </c>
      <c r="J1802" s="25">
        <f>Parameters!J902</f>
        <v>0</v>
      </c>
      <c r="K1802" s="25">
        <f>Parameters!K902</f>
        <v>0</v>
      </c>
      <c r="L1802" s="26" t="e">
        <f t="shared" ref="L1802" si="2697">L1803</f>
        <v>#DIV/0!</v>
      </c>
      <c r="M1802" s="25">
        <f>Parameters!L902</f>
        <v>0</v>
      </c>
      <c r="N1802" s="25">
        <f>Parameters!M902</f>
        <v>0</v>
      </c>
      <c r="O1802" s="26" t="e">
        <f t="shared" ref="O1802" si="2698">O1803</f>
        <v>#DIV/0!</v>
      </c>
      <c r="P1802" s="23">
        <f>Parameters!N902</f>
        <v>0</v>
      </c>
      <c r="Q1802" s="23">
        <f>Parameters!O902</f>
        <v>0</v>
      </c>
      <c r="R1802" s="23">
        <f>Parameters!P902</f>
        <v>0</v>
      </c>
      <c r="S1802" s="23">
        <f>Parameters!Q902</f>
        <v>0</v>
      </c>
      <c r="T1802" s="23">
        <f>Parameters!R902</f>
        <v>0</v>
      </c>
      <c r="U1802" s="27">
        <f>Parameters!S902</f>
        <v>0</v>
      </c>
      <c r="V1802" s="28">
        <f>Parameters!T902</f>
        <v>0</v>
      </c>
      <c r="W1802" s="27">
        <f>Parameters!U902</f>
        <v>0</v>
      </c>
      <c r="X1802" s="28">
        <f>Parameters!V902</f>
        <v>0</v>
      </c>
      <c r="Y1802" s="25">
        <f>Parameters!W902</f>
        <v>0</v>
      </c>
      <c r="Z1802" s="23">
        <f>Parameters!X902</f>
        <v>0</v>
      </c>
      <c r="AA1802" s="27">
        <f>Parameters!Y902</f>
        <v>0</v>
      </c>
      <c r="AB1802" s="28">
        <f>Parameters!Z902</f>
        <v>0</v>
      </c>
      <c r="AC1802" s="23">
        <f>Parameters!AA902</f>
        <v>0</v>
      </c>
    </row>
    <row r="1803" spans="1:29">
      <c r="A1803" s="29" t="str">
        <f>UPPER(A1802)</f>
        <v>0</v>
      </c>
      <c r="B1803" s="29">
        <f>B1802</f>
        <v>0</v>
      </c>
      <c r="C1803" s="30">
        <f>C1802</f>
        <v>0</v>
      </c>
      <c r="D1803" s="30">
        <f>D1802</f>
        <v>0</v>
      </c>
      <c r="E1803" s="29">
        <f>E1802</f>
        <v>0</v>
      </c>
      <c r="F1803" s="29">
        <f>F1802</f>
        <v>0</v>
      </c>
      <c r="G1803" s="29" t="e">
        <f>IF(C1802=1,IF(D1802="BUY",E1802+(ROUND(F1802*G1802/B1802,0)*B1802),E1802-(ROUND(F1802*G1802/B1802,0)*B1802)),IF(D1802="BUY",E1802-(ROUND(F1802*G1802/B1802,0)*B1802),E1802+(ROUND(F1802*G1802/B1802,0)*B1802)))</f>
        <v>#DIV/0!</v>
      </c>
      <c r="H1803" s="29" t="e">
        <f>IF(C1802=1,IF(D1802="BUY",G1803-(ROUND(F1802*H1802/B1802,0)*B1802),G1803+(ROUND(F1802*H1802/B1802,0)*B1802)),IF(D1802="BUY",G1803+(ROUND(F1802*H1802/B1802,0)*B1802),G1803-(ROUND(F1802*H1802/B1802,0)*B1802)))</f>
        <v>#DIV/0!</v>
      </c>
      <c r="I1803" s="29" t="e">
        <f>IF(D1802="BUY",G1803+(ROUND(F1802*I1802/(B1802*100),0)*B1802),G1803-(ROUND(F1802*I1802/(B1802*100),0)*B1802))</f>
        <v>#DIV/0!</v>
      </c>
      <c r="J1803" s="29" t="e">
        <f>IF(C1802=1,IF(D1802="BUY",E1802+(ROUND(F1802*J1802/B1802,0)*B1802),E1802-(ROUND(F1802*J1802/B1802,0)*B1802)),IF(D1802="BUY",E1802-(ROUND(F1802*J1802/B1802,0)*B1802),E1802+(ROUND(F1802*J1802/B1802,0)*B1802)))</f>
        <v>#DIV/0!</v>
      </c>
      <c r="K1803" s="29" t="e">
        <f>IF(C1802=1,IF(D1802="BUY",E1802-(ROUND(F1802*K1802/B1802,0)*B1802),E1802+(ROUND(F1802*K1802/B1802,0)*B1802)),IF(D1802="BUY",E1802-(ROUND(F1802*K1802/B1802,0)*B1802),E1802+(ROUND(F1802*K1802/B1802,0)*B1802)))</f>
        <v>#DIV/0!</v>
      </c>
      <c r="L1803" s="29" t="e">
        <f t="shared" ref="L1803" si="2699">IF(D1803="BUY",I1803+(R1803*B1803),I1803-(R1803*B1803))</f>
        <v>#DIV/0!</v>
      </c>
      <c r="M1803" s="29" t="e">
        <f>IF(D1802="BUY",E1802+(ROUND(F1802*M1802/B1802,0)*B1802),E1802-(ROUND(F1802*M1802/B1802,0)*B1802))</f>
        <v>#DIV/0!</v>
      </c>
      <c r="N1803" s="29" t="e">
        <f>IF(D1802="BUY",E1802-(ROUND(F1802*N1802/B1802,0)*B1802),E1802+(ROUND(F1802*N1802/B1802,0)*B1802))</f>
        <v>#DIV/0!</v>
      </c>
      <c r="O1803" s="31" t="e">
        <f>IF(D1803="BUY",N1803-VLOOKUP(A1803,Symbols!A$1:D$1000,4,FALSE),N1803+VLOOKUP(A1803,Symbols!A$1:D$1000,4,FALSE))</f>
        <v>#DIV/0!</v>
      </c>
      <c r="P1803" s="29">
        <f>P1802</f>
        <v>0</v>
      </c>
      <c r="Q1803" s="29">
        <f>Q1802</f>
        <v>0</v>
      </c>
      <c r="R1803" s="29">
        <f>R1802</f>
        <v>0</v>
      </c>
      <c r="S1803" s="29">
        <f>S1802</f>
        <v>0</v>
      </c>
      <c r="T1803" s="29">
        <f>T1802</f>
        <v>0</v>
      </c>
      <c r="U1803" s="29" t="e">
        <f>DATEDIF(DATE(1970,1,1),U1802,"D")*86400</f>
        <v>#NUM!</v>
      </c>
      <c r="V1803" s="29">
        <f>HOUR(V1802)*3600+MINUTE(V1802)*60+SECOND(V1802)</f>
        <v>0</v>
      </c>
      <c r="W1803" s="29" t="e">
        <f>DATEDIF(DATE(1970,1,1),W1802,"D")*86400</f>
        <v>#NUM!</v>
      </c>
      <c r="X1803" s="29">
        <f>HOUR(X1802)*3600+MINUTE(X1802)*60+SECOND(X1802)</f>
        <v>0</v>
      </c>
      <c r="Y1803" s="31">
        <f>(Y1802*B1803)</f>
        <v>0</v>
      </c>
      <c r="Z1803" s="29">
        <f>Z1802</f>
        <v>0</v>
      </c>
      <c r="AA1803" s="29" t="e">
        <f>DATEDIF(DATE(1970,1,1),AA1802,"D")*86400</f>
        <v>#NUM!</v>
      </c>
      <c r="AB1803" s="29">
        <f>HOUR(AB1802)*3600+MINUTE(AB1802)*60+SECOND(AB1802)</f>
        <v>0</v>
      </c>
      <c r="AC1803" s="29">
        <f>AC1802</f>
        <v>0</v>
      </c>
    </row>
    <row r="1804" spans="1:29">
      <c r="A1804" s="23">
        <f>Parameters!A903</f>
        <v>0</v>
      </c>
      <c r="B1804" s="23">
        <f>Parameters!B903</f>
        <v>0</v>
      </c>
      <c r="C1804" s="24">
        <f>Parameters!C903</f>
        <v>0</v>
      </c>
      <c r="D1804" s="24">
        <f>Parameters!D903</f>
        <v>0</v>
      </c>
      <c r="E1804" s="23">
        <f>Parameters!E903</f>
        <v>0</v>
      </c>
      <c r="F1804" s="23">
        <f>Parameters!F903</f>
        <v>0</v>
      </c>
      <c r="G1804" s="25">
        <f>Parameters!G903</f>
        <v>0</v>
      </c>
      <c r="H1804" s="25">
        <f>Parameters!H903</f>
        <v>0</v>
      </c>
      <c r="I1804" s="25">
        <f>Parameters!I903</f>
        <v>0</v>
      </c>
      <c r="J1804" s="25">
        <f>Parameters!J903</f>
        <v>0</v>
      </c>
      <c r="K1804" s="25">
        <f>Parameters!K903</f>
        <v>0</v>
      </c>
      <c r="L1804" s="26" t="e">
        <f t="shared" ref="L1804" si="2700">L1805</f>
        <v>#DIV/0!</v>
      </c>
      <c r="M1804" s="25">
        <f>Parameters!L903</f>
        <v>0</v>
      </c>
      <c r="N1804" s="25">
        <f>Parameters!M903</f>
        <v>0</v>
      </c>
      <c r="O1804" s="26" t="e">
        <f t="shared" ref="O1804" si="2701">O1805</f>
        <v>#DIV/0!</v>
      </c>
      <c r="P1804" s="23">
        <f>Parameters!N903</f>
        <v>0</v>
      </c>
      <c r="Q1804" s="23">
        <f>Parameters!O903</f>
        <v>0</v>
      </c>
      <c r="R1804" s="23">
        <f>Parameters!P903</f>
        <v>0</v>
      </c>
      <c r="S1804" s="23">
        <f>Parameters!Q903</f>
        <v>0</v>
      </c>
      <c r="T1804" s="23">
        <f>Parameters!R903</f>
        <v>0</v>
      </c>
      <c r="U1804" s="27">
        <f>Parameters!S903</f>
        <v>0</v>
      </c>
      <c r="V1804" s="28">
        <f>Parameters!T903</f>
        <v>0</v>
      </c>
      <c r="W1804" s="27">
        <f>Parameters!U903</f>
        <v>0</v>
      </c>
      <c r="X1804" s="28">
        <f>Parameters!V903</f>
        <v>0</v>
      </c>
      <c r="Y1804" s="25">
        <f>Parameters!W903</f>
        <v>0</v>
      </c>
      <c r="Z1804" s="23">
        <f>Parameters!X903</f>
        <v>0</v>
      </c>
      <c r="AA1804" s="27">
        <f>Parameters!Y903</f>
        <v>0</v>
      </c>
      <c r="AB1804" s="28">
        <f>Parameters!Z903</f>
        <v>0</v>
      </c>
      <c r="AC1804" s="23">
        <f>Parameters!AA903</f>
        <v>0</v>
      </c>
    </row>
    <row r="1805" spans="1:29">
      <c r="A1805" s="29" t="str">
        <f>UPPER(A1804)</f>
        <v>0</v>
      </c>
      <c r="B1805" s="29">
        <f>B1804</f>
        <v>0</v>
      </c>
      <c r="C1805" s="30">
        <f>C1804</f>
        <v>0</v>
      </c>
      <c r="D1805" s="30">
        <f>D1804</f>
        <v>0</v>
      </c>
      <c r="E1805" s="29">
        <f>E1804</f>
        <v>0</v>
      </c>
      <c r="F1805" s="29">
        <f>F1804</f>
        <v>0</v>
      </c>
      <c r="G1805" s="29" t="e">
        <f>IF(C1804=1,IF(D1804="BUY",E1804+(ROUND(F1804*G1804/B1804,0)*B1804),E1804-(ROUND(F1804*G1804/B1804,0)*B1804)),IF(D1804="BUY",E1804-(ROUND(F1804*G1804/B1804,0)*B1804),E1804+(ROUND(F1804*G1804/B1804,0)*B1804)))</f>
        <v>#DIV/0!</v>
      </c>
      <c r="H1805" s="29" t="e">
        <f>IF(C1804=1,IF(D1804="BUY",G1805-(ROUND(F1804*H1804/B1804,0)*B1804),G1805+(ROUND(F1804*H1804/B1804,0)*B1804)),IF(D1804="BUY",G1805+(ROUND(F1804*H1804/B1804,0)*B1804),G1805-(ROUND(F1804*H1804/B1804,0)*B1804)))</f>
        <v>#DIV/0!</v>
      </c>
      <c r="I1805" s="29" t="e">
        <f>IF(D1804="BUY",G1805+(ROUND(F1804*I1804/(B1804*100),0)*B1804),G1805-(ROUND(F1804*I1804/(B1804*100),0)*B1804))</f>
        <v>#DIV/0!</v>
      </c>
      <c r="J1805" s="29" t="e">
        <f>IF(C1804=1,IF(D1804="BUY",E1804+(ROUND(F1804*J1804/B1804,0)*B1804),E1804-(ROUND(F1804*J1804/B1804,0)*B1804)),IF(D1804="BUY",E1804-(ROUND(F1804*J1804/B1804,0)*B1804),E1804+(ROUND(F1804*J1804/B1804,0)*B1804)))</f>
        <v>#DIV/0!</v>
      </c>
      <c r="K1805" s="29" t="e">
        <f>IF(C1804=1,IF(D1804="BUY",E1804-(ROUND(F1804*K1804/B1804,0)*B1804),E1804+(ROUND(F1804*K1804/B1804,0)*B1804)),IF(D1804="BUY",E1804-(ROUND(F1804*K1804/B1804,0)*B1804),E1804+(ROUND(F1804*K1804/B1804,0)*B1804)))</f>
        <v>#DIV/0!</v>
      </c>
      <c r="L1805" s="29" t="e">
        <f t="shared" ref="L1805" si="2702">IF(D1805="BUY",I1805+(R1805*B1805),I1805-(R1805*B1805))</f>
        <v>#DIV/0!</v>
      </c>
      <c r="M1805" s="29" t="e">
        <f>IF(D1804="BUY",E1804+(ROUND(F1804*M1804/B1804,0)*B1804),E1804-(ROUND(F1804*M1804/B1804,0)*B1804))</f>
        <v>#DIV/0!</v>
      </c>
      <c r="N1805" s="29" t="e">
        <f>IF(D1804="BUY",E1804-(ROUND(F1804*N1804/B1804,0)*B1804),E1804+(ROUND(F1804*N1804/B1804,0)*B1804))</f>
        <v>#DIV/0!</v>
      </c>
      <c r="O1805" s="31" t="e">
        <f>IF(D1805="BUY",N1805-VLOOKUP(A1805,Symbols!A$1:D$1000,4,FALSE),N1805+VLOOKUP(A1805,Symbols!A$1:D$1000,4,FALSE))</f>
        <v>#DIV/0!</v>
      </c>
      <c r="P1805" s="29">
        <f>P1804</f>
        <v>0</v>
      </c>
      <c r="Q1805" s="29">
        <f>Q1804</f>
        <v>0</v>
      </c>
      <c r="R1805" s="29">
        <f>R1804</f>
        <v>0</v>
      </c>
      <c r="S1805" s="29">
        <f>S1804</f>
        <v>0</v>
      </c>
      <c r="T1805" s="29">
        <f>T1804</f>
        <v>0</v>
      </c>
      <c r="U1805" s="29" t="e">
        <f>DATEDIF(DATE(1970,1,1),U1804,"D")*86400</f>
        <v>#NUM!</v>
      </c>
      <c r="V1805" s="29">
        <f>HOUR(V1804)*3600+MINUTE(V1804)*60+SECOND(V1804)</f>
        <v>0</v>
      </c>
      <c r="W1805" s="29" t="e">
        <f>DATEDIF(DATE(1970,1,1),W1804,"D")*86400</f>
        <v>#NUM!</v>
      </c>
      <c r="X1805" s="29">
        <f>HOUR(X1804)*3600+MINUTE(X1804)*60+SECOND(X1804)</f>
        <v>0</v>
      </c>
      <c r="Y1805" s="31">
        <f>(Y1804*B1805)</f>
        <v>0</v>
      </c>
      <c r="Z1805" s="29">
        <f>Z1804</f>
        <v>0</v>
      </c>
      <c r="AA1805" s="29" t="e">
        <f>DATEDIF(DATE(1970,1,1),AA1804,"D")*86400</f>
        <v>#NUM!</v>
      </c>
      <c r="AB1805" s="29">
        <f>HOUR(AB1804)*3600+MINUTE(AB1804)*60+SECOND(AB1804)</f>
        <v>0</v>
      </c>
      <c r="AC1805" s="29">
        <f>AC1804</f>
        <v>0</v>
      </c>
    </row>
    <row r="1806" spans="1:29">
      <c r="A1806" s="23">
        <f>Parameters!A904</f>
        <v>0</v>
      </c>
      <c r="B1806" s="23">
        <f>Parameters!B904</f>
        <v>0</v>
      </c>
      <c r="C1806" s="24">
        <f>Parameters!C904</f>
        <v>0</v>
      </c>
      <c r="D1806" s="24">
        <f>Parameters!D904</f>
        <v>0</v>
      </c>
      <c r="E1806" s="23">
        <f>Parameters!E904</f>
        <v>0</v>
      </c>
      <c r="F1806" s="23">
        <f>Parameters!F904</f>
        <v>0</v>
      </c>
      <c r="G1806" s="25">
        <f>Parameters!G904</f>
        <v>0</v>
      </c>
      <c r="H1806" s="25">
        <f>Parameters!H904</f>
        <v>0</v>
      </c>
      <c r="I1806" s="25">
        <f>Parameters!I904</f>
        <v>0</v>
      </c>
      <c r="J1806" s="25">
        <f>Parameters!J904</f>
        <v>0</v>
      </c>
      <c r="K1806" s="25">
        <f>Parameters!K904</f>
        <v>0</v>
      </c>
      <c r="L1806" s="26" t="e">
        <f t="shared" ref="L1806" si="2703">L1807</f>
        <v>#DIV/0!</v>
      </c>
      <c r="M1806" s="25">
        <f>Parameters!L904</f>
        <v>0</v>
      </c>
      <c r="N1806" s="25">
        <f>Parameters!M904</f>
        <v>0</v>
      </c>
      <c r="O1806" s="26" t="e">
        <f t="shared" ref="O1806" si="2704">O1807</f>
        <v>#DIV/0!</v>
      </c>
      <c r="P1806" s="23">
        <f>Parameters!N904</f>
        <v>0</v>
      </c>
      <c r="Q1806" s="23">
        <f>Parameters!O904</f>
        <v>0</v>
      </c>
      <c r="R1806" s="23">
        <f>Parameters!P904</f>
        <v>0</v>
      </c>
      <c r="S1806" s="23">
        <f>Parameters!Q904</f>
        <v>0</v>
      </c>
      <c r="T1806" s="23">
        <f>Parameters!R904</f>
        <v>0</v>
      </c>
      <c r="U1806" s="27">
        <f>Parameters!S904</f>
        <v>0</v>
      </c>
      <c r="V1806" s="28">
        <f>Parameters!T904</f>
        <v>0</v>
      </c>
      <c r="W1806" s="27">
        <f>Parameters!U904</f>
        <v>0</v>
      </c>
      <c r="X1806" s="28">
        <f>Parameters!V904</f>
        <v>0</v>
      </c>
      <c r="Y1806" s="25">
        <f>Parameters!W904</f>
        <v>0</v>
      </c>
      <c r="Z1806" s="23">
        <f>Parameters!X904</f>
        <v>0</v>
      </c>
      <c r="AA1806" s="27">
        <f>Parameters!Y904</f>
        <v>0</v>
      </c>
      <c r="AB1806" s="28">
        <f>Parameters!Z904</f>
        <v>0</v>
      </c>
      <c r="AC1806" s="23">
        <f>Parameters!AA904</f>
        <v>0</v>
      </c>
    </row>
    <row r="1807" spans="1:29">
      <c r="A1807" s="29" t="str">
        <f>UPPER(A1806)</f>
        <v>0</v>
      </c>
      <c r="B1807" s="29">
        <f>B1806</f>
        <v>0</v>
      </c>
      <c r="C1807" s="30">
        <f>C1806</f>
        <v>0</v>
      </c>
      <c r="D1807" s="30">
        <f>D1806</f>
        <v>0</v>
      </c>
      <c r="E1807" s="29">
        <f>E1806</f>
        <v>0</v>
      </c>
      <c r="F1807" s="29">
        <f>F1806</f>
        <v>0</v>
      </c>
      <c r="G1807" s="29" t="e">
        <f>IF(C1806=1,IF(D1806="BUY",E1806+(ROUND(F1806*G1806/B1806,0)*B1806),E1806-(ROUND(F1806*G1806/B1806,0)*B1806)),IF(D1806="BUY",E1806-(ROUND(F1806*G1806/B1806,0)*B1806),E1806+(ROUND(F1806*G1806/B1806,0)*B1806)))</f>
        <v>#DIV/0!</v>
      </c>
      <c r="H1807" s="29" t="e">
        <f>IF(C1806=1,IF(D1806="BUY",G1807-(ROUND(F1806*H1806/B1806,0)*B1806),G1807+(ROUND(F1806*H1806/B1806,0)*B1806)),IF(D1806="BUY",G1807+(ROUND(F1806*H1806/B1806,0)*B1806),G1807-(ROUND(F1806*H1806/B1806,0)*B1806)))</f>
        <v>#DIV/0!</v>
      </c>
      <c r="I1807" s="29" t="e">
        <f>IF(D1806="BUY",G1807+(ROUND(F1806*I1806/(B1806*100),0)*B1806),G1807-(ROUND(F1806*I1806/(B1806*100),0)*B1806))</f>
        <v>#DIV/0!</v>
      </c>
      <c r="J1807" s="29" t="e">
        <f>IF(C1806=1,IF(D1806="BUY",E1806+(ROUND(F1806*J1806/B1806,0)*B1806),E1806-(ROUND(F1806*J1806/B1806,0)*B1806)),IF(D1806="BUY",E1806-(ROUND(F1806*J1806/B1806,0)*B1806),E1806+(ROUND(F1806*J1806/B1806,0)*B1806)))</f>
        <v>#DIV/0!</v>
      </c>
      <c r="K1807" s="29" t="e">
        <f>IF(C1806=1,IF(D1806="BUY",E1806-(ROUND(F1806*K1806/B1806,0)*B1806),E1806+(ROUND(F1806*K1806/B1806,0)*B1806)),IF(D1806="BUY",E1806-(ROUND(F1806*K1806/B1806,0)*B1806),E1806+(ROUND(F1806*K1806/B1806,0)*B1806)))</f>
        <v>#DIV/0!</v>
      </c>
      <c r="L1807" s="29" t="e">
        <f t="shared" ref="L1807" si="2705">IF(D1807="BUY",I1807+(R1807*B1807),I1807-(R1807*B1807))</f>
        <v>#DIV/0!</v>
      </c>
      <c r="M1807" s="29" t="e">
        <f>IF(D1806="BUY",E1806+(ROUND(F1806*M1806/B1806,0)*B1806),E1806-(ROUND(F1806*M1806/B1806,0)*B1806))</f>
        <v>#DIV/0!</v>
      </c>
      <c r="N1807" s="29" t="e">
        <f>IF(D1806="BUY",E1806-(ROUND(F1806*N1806/B1806,0)*B1806),E1806+(ROUND(F1806*N1806/B1806,0)*B1806))</f>
        <v>#DIV/0!</v>
      </c>
      <c r="O1807" s="31" t="e">
        <f>IF(D1807="BUY",N1807-VLOOKUP(A1807,Symbols!A$1:D$1000,4,FALSE),N1807+VLOOKUP(A1807,Symbols!A$1:D$1000,4,FALSE))</f>
        <v>#DIV/0!</v>
      </c>
      <c r="P1807" s="29">
        <f>P1806</f>
        <v>0</v>
      </c>
      <c r="Q1807" s="29">
        <f>Q1806</f>
        <v>0</v>
      </c>
      <c r="R1807" s="29">
        <f>R1806</f>
        <v>0</v>
      </c>
      <c r="S1807" s="29">
        <f>S1806</f>
        <v>0</v>
      </c>
      <c r="T1807" s="29">
        <f>T1806</f>
        <v>0</v>
      </c>
      <c r="U1807" s="29" t="e">
        <f>DATEDIF(DATE(1970,1,1),U1806,"D")*86400</f>
        <v>#NUM!</v>
      </c>
      <c r="V1807" s="29">
        <f>HOUR(V1806)*3600+MINUTE(V1806)*60+SECOND(V1806)</f>
        <v>0</v>
      </c>
      <c r="W1807" s="29" t="e">
        <f>DATEDIF(DATE(1970,1,1),W1806,"D")*86400</f>
        <v>#NUM!</v>
      </c>
      <c r="X1807" s="29">
        <f>HOUR(X1806)*3600+MINUTE(X1806)*60+SECOND(X1806)</f>
        <v>0</v>
      </c>
      <c r="Y1807" s="31">
        <f>(Y1806*B1807)</f>
        <v>0</v>
      </c>
      <c r="Z1807" s="29">
        <f>Z1806</f>
        <v>0</v>
      </c>
      <c r="AA1807" s="29" t="e">
        <f>DATEDIF(DATE(1970,1,1),AA1806,"D")*86400</f>
        <v>#NUM!</v>
      </c>
      <c r="AB1807" s="29">
        <f>HOUR(AB1806)*3600+MINUTE(AB1806)*60+SECOND(AB1806)</f>
        <v>0</v>
      </c>
      <c r="AC1807" s="29">
        <f>AC1806</f>
        <v>0</v>
      </c>
    </row>
    <row r="1808" spans="1:29">
      <c r="A1808" s="23">
        <f>Parameters!A905</f>
        <v>0</v>
      </c>
      <c r="B1808" s="23">
        <f>Parameters!B905</f>
        <v>0</v>
      </c>
      <c r="C1808" s="24">
        <f>Parameters!C905</f>
        <v>0</v>
      </c>
      <c r="D1808" s="24">
        <f>Parameters!D905</f>
        <v>0</v>
      </c>
      <c r="E1808" s="23">
        <f>Parameters!E905</f>
        <v>0</v>
      </c>
      <c r="F1808" s="23">
        <f>Parameters!F905</f>
        <v>0</v>
      </c>
      <c r="G1808" s="25">
        <f>Parameters!G905</f>
        <v>0</v>
      </c>
      <c r="H1808" s="25">
        <f>Parameters!H905</f>
        <v>0</v>
      </c>
      <c r="I1808" s="25">
        <f>Parameters!I905</f>
        <v>0</v>
      </c>
      <c r="J1808" s="25">
        <f>Parameters!J905</f>
        <v>0</v>
      </c>
      <c r="K1808" s="25">
        <f>Parameters!K905</f>
        <v>0</v>
      </c>
      <c r="L1808" s="26" t="e">
        <f t="shared" ref="L1808" si="2706">L1809</f>
        <v>#DIV/0!</v>
      </c>
      <c r="M1808" s="25">
        <f>Parameters!L905</f>
        <v>0</v>
      </c>
      <c r="N1808" s="25">
        <f>Parameters!M905</f>
        <v>0</v>
      </c>
      <c r="O1808" s="26" t="e">
        <f t="shared" ref="O1808" si="2707">O1809</f>
        <v>#DIV/0!</v>
      </c>
      <c r="P1808" s="23">
        <f>Parameters!N905</f>
        <v>0</v>
      </c>
      <c r="Q1808" s="23">
        <f>Parameters!O905</f>
        <v>0</v>
      </c>
      <c r="R1808" s="23">
        <f>Parameters!P905</f>
        <v>0</v>
      </c>
      <c r="S1808" s="23">
        <f>Parameters!Q905</f>
        <v>0</v>
      </c>
      <c r="T1808" s="23">
        <f>Parameters!R905</f>
        <v>0</v>
      </c>
      <c r="U1808" s="27">
        <f>Parameters!S905</f>
        <v>0</v>
      </c>
      <c r="V1808" s="28">
        <f>Parameters!T905</f>
        <v>0</v>
      </c>
      <c r="W1808" s="27">
        <f>Parameters!U905</f>
        <v>0</v>
      </c>
      <c r="X1808" s="28">
        <f>Parameters!V905</f>
        <v>0</v>
      </c>
      <c r="Y1808" s="25">
        <f>Parameters!W905</f>
        <v>0</v>
      </c>
      <c r="Z1808" s="23">
        <f>Parameters!X905</f>
        <v>0</v>
      </c>
      <c r="AA1808" s="27">
        <f>Parameters!Y905</f>
        <v>0</v>
      </c>
      <c r="AB1808" s="28">
        <f>Parameters!Z905</f>
        <v>0</v>
      </c>
      <c r="AC1808" s="23">
        <f>Parameters!AA905</f>
        <v>0</v>
      </c>
    </row>
    <row r="1809" spans="1:29">
      <c r="A1809" s="29" t="str">
        <f>UPPER(A1808)</f>
        <v>0</v>
      </c>
      <c r="B1809" s="29">
        <f>B1808</f>
        <v>0</v>
      </c>
      <c r="C1809" s="30">
        <f>C1808</f>
        <v>0</v>
      </c>
      <c r="D1809" s="30">
        <f>D1808</f>
        <v>0</v>
      </c>
      <c r="E1809" s="29">
        <f>E1808</f>
        <v>0</v>
      </c>
      <c r="F1809" s="29">
        <f>F1808</f>
        <v>0</v>
      </c>
      <c r="G1809" s="29" t="e">
        <f>IF(C1808=1,IF(D1808="BUY",E1808+(ROUND(F1808*G1808/B1808,0)*B1808),E1808-(ROUND(F1808*G1808/B1808,0)*B1808)),IF(D1808="BUY",E1808-(ROUND(F1808*G1808/B1808,0)*B1808),E1808+(ROUND(F1808*G1808/B1808,0)*B1808)))</f>
        <v>#DIV/0!</v>
      </c>
      <c r="H1809" s="29" t="e">
        <f>IF(C1808=1,IF(D1808="BUY",G1809-(ROUND(F1808*H1808/B1808,0)*B1808),G1809+(ROUND(F1808*H1808/B1808,0)*B1808)),IF(D1808="BUY",G1809+(ROUND(F1808*H1808/B1808,0)*B1808),G1809-(ROUND(F1808*H1808/B1808,0)*B1808)))</f>
        <v>#DIV/0!</v>
      </c>
      <c r="I1809" s="29" t="e">
        <f>IF(D1808="BUY",G1809+(ROUND(F1808*I1808/(B1808*100),0)*B1808),G1809-(ROUND(F1808*I1808/(B1808*100),0)*B1808))</f>
        <v>#DIV/0!</v>
      </c>
      <c r="J1809" s="29" t="e">
        <f>IF(C1808=1,IF(D1808="BUY",E1808+(ROUND(F1808*J1808/B1808,0)*B1808),E1808-(ROUND(F1808*J1808/B1808,0)*B1808)),IF(D1808="BUY",E1808-(ROUND(F1808*J1808/B1808,0)*B1808),E1808+(ROUND(F1808*J1808/B1808,0)*B1808)))</f>
        <v>#DIV/0!</v>
      </c>
      <c r="K1809" s="29" t="e">
        <f>IF(C1808=1,IF(D1808="BUY",E1808-(ROUND(F1808*K1808/B1808,0)*B1808),E1808+(ROUND(F1808*K1808/B1808,0)*B1808)),IF(D1808="BUY",E1808-(ROUND(F1808*K1808/B1808,0)*B1808),E1808+(ROUND(F1808*K1808/B1808,0)*B1808)))</f>
        <v>#DIV/0!</v>
      </c>
      <c r="L1809" s="29" t="e">
        <f t="shared" ref="L1809" si="2708">IF(D1809="BUY",I1809+(R1809*B1809),I1809-(R1809*B1809))</f>
        <v>#DIV/0!</v>
      </c>
      <c r="M1809" s="29" t="e">
        <f>IF(D1808="BUY",E1808+(ROUND(F1808*M1808/B1808,0)*B1808),E1808-(ROUND(F1808*M1808/B1808,0)*B1808))</f>
        <v>#DIV/0!</v>
      </c>
      <c r="N1809" s="29" t="e">
        <f>IF(D1808="BUY",E1808-(ROUND(F1808*N1808/B1808,0)*B1808),E1808+(ROUND(F1808*N1808/B1808,0)*B1808))</f>
        <v>#DIV/0!</v>
      </c>
      <c r="O1809" s="31" t="e">
        <f>IF(D1809="BUY",N1809-VLOOKUP(A1809,Symbols!A$1:D$1000,4,FALSE),N1809+VLOOKUP(A1809,Symbols!A$1:D$1000,4,FALSE))</f>
        <v>#DIV/0!</v>
      </c>
      <c r="P1809" s="29">
        <f>P1808</f>
        <v>0</v>
      </c>
      <c r="Q1809" s="29">
        <f>Q1808</f>
        <v>0</v>
      </c>
      <c r="R1809" s="29">
        <f>R1808</f>
        <v>0</v>
      </c>
      <c r="S1809" s="29">
        <f>S1808</f>
        <v>0</v>
      </c>
      <c r="T1809" s="29">
        <f>T1808</f>
        <v>0</v>
      </c>
      <c r="U1809" s="29" t="e">
        <f>DATEDIF(DATE(1970,1,1),U1808,"D")*86400</f>
        <v>#NUM!</v>
      </c>
      <c r="V1809" s="29">
        <f>HOUR(V1808)*3600+MINUTE(V1808)*60+SECOND(V1808)</f>
        <v>0</v>
      </c>
      <c r="W1809" s="29" t="e">
        <f>DATEDIF(DATE(1970,1,1),W1808,"D")*86400</f>
        <v>#NUM!</v>
      </c>
      <c r="X1809" s="29">
        <f>HOUR(X1808)*3600+MINUTE(X1808)*60+SECOND(X1808)</f>
        <v>0</v>
      </c>
      <c r="Y1809" s="31">
        <f>(Y1808*B1809)</f>
        <v>0</v>
      </c>
      <c r="Z1809" s="29">
        <f>Z1808</f>
        <v>0</v>
      </c>
      <c r="AA1809" s="29" t="e">
        <f>DATEDIF(DATE(1970,1,1),AA1808,"D")*86400</f>
        <v>#NUM!</v>
      </c>
      <c r="AB1809" s="29">
        <f>HOUR(AB1808)*3600+MINUTE(AB1808)*60+SECOND(AB1808)</f>
        <v>0</v>
      </c>
      <c r="AC1809" s="29">
        <f>AC1808</f>
        <v>0</v>
      </c>
    </row>
    <row r="1810" spans="1:29">
      <c r="A1810" s="23">
        <f>Parameters!A906</f>
        <v>0</v>
      </c>
      <c r="B1810" s="23">
        <f>Parameters!B906</f>
        <v>0</v>
      </c>
      <c r="C1810" s="24">
        <f>Parameters!C906</f>
        <v>0</v>
      </c>
      <c r="D1810" s="24">
        <f>Parameters!D906</f>
        <v>0</v>
      </c>
      <c r="E1810" s="23">
        <f>Parameters!E906</f>
        <v>0</v>
      </c>
      <c r="F1810" s="23">
        <f>Parameters!F906</f>
        <v>0</v>
      </c>
      <c r="G1810" s="25">
        <f>Parameters!G906</f>
        <v>0</v>
      </c>
      <c r="H1810" s="25">
        <f>Parameters!H906</f>
        <v>0</v>
      </c>
      <c r="I1810" s="25">
        <f>Parameters!I906</f>
        <v>0</v>
      </c>
      <c r="J1810" s="25">
        <f>Parameters!J906</f>
        <v>0</v>
      </c>
      <c r="K1810" s="25">
        <f>Parameters!K906</f>
        <v>0</v>
      </c>
      <c r="L1810" s="26" t="e">
        <f t="shared" ref="L1810" si="2709">L1811</f>
        <v>#DIV/0!</v>
      </c>
      <c r="M1810" s="25">
        <f>Parameters!L906</f>
        <v>0</v>
      </c>
      <c r="N1810" s="25">
        <f>Parameters!M906</f>
        <v>0</v>
      </c>
      <c r="O1810" s="26" t="e">
        <f t="shared" ref="O1810" si="2710">O1811</f>
        <v>#DIV/0!</v>
      </c>
      <c r="P1810" s="23">
        <f>Parameters!N906</f>
        <v>0</v>
      </c>
      <c r="Q1810" s="23">
        <f>Parameters!O906</f>
        <v>0</v>
      </c>
      <c r="R1810" s="23">
        <f>Parameters!P906</f>
        <v>0</v>
      </c>
      <c r="S1810" s="23">
        <f>Parameters!Q906</f>
        <v>0</v>
      </c>
      <c r="T1810" s="23">
        <f>Parameters!R906</f>
        <v>0</v>
      </c>
      <c r="U1810" s="27">
        <f>Parameters!S906</f>
        <v>0</v>
      </c>
      <c r="V1810" s="28">
        <f>Parameters!T906</f>
        <v>0</v>
      </c>
      <c r="W1810" s="27">
        <f>Parameters!U906</f>
        <v>0</v>
      </c>
      <c r="X1810" s="28">
        <f>Parameters!V906</f>
        <v>0</v>
      </c>
      <c r="Y1810" s="25">
        <f>Parameters!W906</f>
        <v>0</v>
      </c>
      <c r="Z1810" s="23">
        <f>Parameters!X906</f>
        <v>0</v>
      </c>
      <c r="AA1810" s="27">
        <f>Parameters!Y906</f>
        <v>0</v>
      </c>
      <c r="AB1810" s="28">
        <f>Parameters!Z906</f>
        <v>0</v>
      </c>
      <c r="AC1810" s="23">
        <f>Parameters!AA906</f>
        <v>0</v>
      </c>
    </row>
    <row r="1811" spans="1:29">
      <c r="A1811" s="29" t="str">
        <f>UPPER(A1810)</f>
        <v>0</v>
      </c>
      <c r="B1811" s="29">
        <f>B1810</f>
        <v>0</v>
      </c>
      <c r="C1811" s="30">
        <f>C1810</f>
        <v>0</v>
      </c>
      <c r="D1811" s="30">
        <f>D1810</f>
        <v>0</v>
      </c>
      <c r="E1811" s="29">
        <f>E1810</f>
        <v>0</v>
      </c>
      <c r="F1811" s="29">
        <f>F1810</f>
        <v>0</v>
      </c>
      <c r="G1811" s="29" t="e">
        <f>IF(C1810=1,IF(D1810="BUY",E1810+(ROUND(F1810*G1810/B1810,0)*B1810),E1810-(ROUND(F1810*G1810/B1810,0)*B1810)),IF(D1810="BUY",E1810-(ROUND(F1810*G1810/B1810,0)*B1810),E1810+(ROUND(F1810*G1810/B1810,0)*B1810)))</f>
        <v>#DIV/0!</v>
      </c>
      <c r="H1811" s="29" t="e">
        <f>IF(C1810=1,IF(D1810="BUY",G1811-(ROUND(F1810*H1810/B1810,0)*B1810),G1811+(ROUND(F1810*H1810/B1810,0)*B1810)),IF(D1810="BUY",G1811+(ROUND(F1810*H1810/B1810,0)*B1810),G1811-(ROUND(F1810*H1810/B1810,0)*B1810)))</f>
        <v>#DIV/0!</v>
      </c>
      <c r="I1811" s="29" t="e">
        <f>IF(D1810="BUY",G1811+(ROUND(F1810*I1810/(B1810*100),0)*B1810),G1811-(ROUND(F1810*I1810/(B1810*100),0)*B1810))</f>
        <v>#DIV/0!</v>
      </c>
      <c r="J1811" s="29" t="e">
        <f>IF(C1810=1,IF(D1810="BUY",E1810+(ROUND(F1810*J1810/B1810,0)*B1810),E1810-(ROUND(F1810*J1810/B1810,0)*B1810)),IF(D1810="BUY",E1810-(ROUND(F1810*J1810/B1810,0)*B1810),E1810+(ROUND(F1810*J1810/B1810,0)*B1810)))</f>
        <v>#DIV/0!</v>
      </c>
      <c r="K1811" s="29" t="e">
        <f>IF(C1810=1,IF(D1810="BUY",E1810-(ROUND(F1810*K1810/B1810,0)*B1810),E1810+(ROUND(F1810*K1810/B1810,0)*B1810)),IF(D1810="BUY",E1810-(ROUND(F1810*K1810/B1810,0)*B1810),E1810+(ROUND(F1810*K1810/B1810,0)*B1810)))</f>
        <v>#DIV/0!</v>
      </c>
      <c r="L1811" s="29" t="e">
        <f t="shared" ref="L1811" si="2711">IF(D1811="BUY",I1811+(R1811*B1811),I1811-(R1811*B1811))</f>
        <v>#DIV/0!</v>
      </c>
      <c r="M1811" s="29" t="e">
        <f>IF(D1810="BUY",E1810+(ROUND(F1810*M1810/B1810,0)*B1810),E1810-(ROUND(F1810*M1810/B1810,0)*B1810))</f>
        <v>#DIV/0!</v>
      </c>
      <c r="N1811" s="29" t="e">
        <f>IF(D1810="BUY",E1810-(ROUND(F1810*N1810/B1810,0)*B1810),E1810+(ROUND(F1810*N1810/B1810,0)*B1810))</f>
        <v>#DIV/0!</v>
      </c>
      <c r="O1811" s="31" t="e">
        <f>IF(D1811="BUY",N1811-VLOOKUP(A1811,Symbols!A$1:D$1000,4,FALSE),N1811+VLOOKUP(A1811,Symbols!A$1:D$1000,4,FALSE))</f>
        <v>#DIV/0!</v>
      </c>
      <c r="P1811" s="29">
        <f>P1810</f>
        <v>0</v>
      </c>
      <c r="Q1811" s="29">
        <f>Q1810</f>
        <v>0</v>
      </c>
      <c r="R1811" s="29">
        <f>R1810</f>
        <v>0</v>
      </c>
      <c r="S1811" s="29">
        <f>S1810</f>
        <v>0</v>
      </c>
      <c r="T1811" s="29">
        <f>T1810</f>
        <v>0</v>
      </c>
      <c r="U1811" s="29" t="e">
        <f>DATEDIF(DATE(1970,1,1),U1810,"D")*86400</f>
        <v>#NUM!</v>
      </c>
      <c r="V1811" s="29">
        <f>HOUR(V1810)*3600+MINUTE(V1810)*60+SECOND(V1810)</f>
        <v>0</v>
      </c>
      <c r="W1811" s="29" t="e">
        <f>DATEDIF(DATE(1970,1,1),W1810,"D")*86400</f>
        <v>#NUM!</v>
      </c>
      <c r="X1811" s="29">
        <f>HOUR(X1810)*3600+MINUTE(X1810)*60+SECOND(X1810)</f>
        <v>0</v>
      </c>
      <c r="Y1811" s="31">
        <f>(Y1810*B1811)</f>
        <v>0</v>
      </c>
      <c r="Z1811" s="29">
        <f>Z1810</f>
        <v>0</v>
      </c>
      <c r="AA1811" s="29" t="e">
        <f>DATEDIF(DATE(1970,1,1),AA1810,"D")*86400</f>
        <v>#NUM!</v>
      </c>
      <c r="AB1811" s="29">
        <f>HOUR(AB1810)*3600+MINUTE(AB1810)*60+SECOND(AB1810)</f>
        <v>0</v>
      </c>
      <c r="AC1811" s="29">
        <f>AC1810</f>
        <v>0</v>
      </c>
    </row>
    <row r="1812" spans="1:29">
      <c r="A1812" s="23">
        <f>Parameters!A907</f>
        <v>0</v>
      </c>
      <c r="B1812" s="23">
        <f>Parameters!B907</f>
        <v>0</v>
      </c>
      <c r="C1812" s="24">
        <f>Parameters!C907</f>
        <v>0</v>
      </c>
      <c r="D1812" s="24">
        <f>Parameters!D907</f>
        <v>0</v>
      </c>
      <c r="E1812" s="23">
        <f>Parameters!E907</f>
        <v>0</v>
      </c>
      <c r="F1812" s="23">
        <f>Parameters!F907</f>
        <v>0</v>
      </c>
      <c r="G1812" s="25">
        <f>Parameters!G907</f>
        <v>0</v>
      </c>
      <c r="H1812" s="25">
        <f>Parameters!H907</f>
        <v>0</v>
      </c>
      <c r="I1812" s="25">
        <f>Parameters!I907</f>
        <v>0</v>
      </c>
      <c r="J1812" s="25">
        <f>Parameters!J907</f>
        <v>0</v>
      </c>
      <c r="K1812" s="25">
        <f>Parameters!K907</f>
        <v>0</v>
      </c>
      <c r="L1812" s="26" t="e">
        <f t="shared" ref="L1812" si="2712">L1813</f>
        <v>#DIV/0!</v>
      </c>
      <c r="M1812" s="25">
        <f>Parameters!L907</f>
        <v>0</v>
      </c>
      <c r="N1812" s="25">
        <f>Parameters!M907</f>
        <v>0</v>
      </c>
      <c r="O1812" s="26" t="e">
        <f t="shared" ref="O1812" si="2713">O1813</f>
        <v>#DIV/0!</v>
      </c>
      <c r="P1812" s="23">
        <f>Parameters!N907</f>
        <v>0</v>
      </c>
      <c r="Q1812" s="23">
        <f>Parameters!O907</f>
        <v>0</v>
      </c>
      <c r="R1812" s="23">
        <f>Parameters!P907</f>
        <v>0</v>
      </c>
      <c r="S1812" s="23">
        <f>Parameters!Q907</f>
        <v>0</v>
      </c>
      <c r="T1812" s="23">
        <f>Parameters!R907</f>
        <v>0</v>
      </c>
      <c r="U1812" s="27">
        <f>Parameters!S907</f>
        <v>0</v>
      </c>
      <c r="V1812" s="28">
        <f>Parameters!T907</f>
        <v>0</v>
      </c>
      <c r="W1812" s="27">
        <f>Parameters!U907</f>
        <v>0</v>
      </c>
      <c r="X1812" s="28">
        <f>Parameters!V907</f>
        <v>0</v>
      </c>
      <c r="Y1812" s="25">
        <f>Parameters!W907</f>
        <v>0</v>
      </c>
      <c r="Z1812" s="23">
        <f>Parameters!X907</f>
        <v>0</v>
      </c>
      <c r="AA1812" s="27">
        <f>Parameters!Y907</f>
        <v>0</v>
      </c>
      <c r="AB1812" s="28">
        <f>Parameters!Z907</f>
        <v>0</v>
      </c>
      <c r="AC1812" s="23">
        <f>Parameters!AA907</f>
        <v>0</v>
      </c>
    </row>
    <row r="1813" spans="1:29">
      <c r="A1813" s="29" t="str">
        <f>UPPER(A1812)</f>
        <v>0</v>
      </c>
      <c r="B1813" s="29">
        <f>B1812</f>
        <v>0</v>
      </c>
      <c r="C1813" s="30">
        <f>C1812</f>
        <v>0</v>
      </c>
      <c r="D1813" s="30">
        <f>D1812</f>
        <v>0</v>
      </c>
      <c r="E1813" s="29">
        <f>E1812</f>
        <v>0</v>
      </c>
      <c r="F1813" s="29">
        <f>F1812</f>
        <v>0</v>
      </c>
      <c r="G1813" s="29" t="e">
        <f>IF(C1812=1,IF(D1812="BUY",E1812+(ROUND(F1812*G1812/B1812,0)*B1812),E1812-(ROUND(F1812*G1812/B1812,0)*B1812)),IF(D1812="BUY",E1812-(ROUND(F1812*G1812/B1812,0)*B1812),E1812+(ROUND(F1812*G1812/B1812,0)*B1812)))</f>
        <v>#DIV/0!</v>
      </c>
      <c r="H1813" s="29" t="e">
        <f>IF(C1812=1,IF(D1812="BUY",G1813-(ROUND(F1812*H1812/B1812,0)*B1812),G1813+(ROUND(F1812*H1812/B1812,0)*B1812)),IF(D1812="BUY",G1813+(ROUND(F1812*H1812/B1812,0)*B1812),G1813-(ROUND(F1812*H1812/B1812,0)*B1812)))</f>
        <v>#DIV/0!</v>
      </c>
      <c r="I1813" s="29" t="e">
        <f>IF(D1812="BUY",G1813+(ROUND(F1812*I1812/(B1812*100),0)*B1812),G1813-(ROUND(F1812*I1812/(B1812*100),0)*B1812))</f>
        <v>#DIV/0!</v>
      </c>
      <c r="J1813" s="29" t="e">
        <f>IF(C1812=1,IF(D1812="BUY",E1812+(ROUND(F1812*J1812/B1812,0)*B1812),E1812-(ROUND(F1812*J1812/B1812,0)*B1812)),IF(D1812="BUY",E1812-(ROUND(F1812*J1812/B1812,0)*B1812),E1812+(ROUND(F1812*J1812/B1812,0)*B1812)))</f>
        <v>#DIV/0!</v>
      </c>
      <c r="K1813" s="29" t="e">
        <f>IF(C1812=1,IF(D1812="BUY",E1812-(ROUND(F1812*K1812/B1812,0)*B1812),E1812+(ROUND(F1812*K1812/B1812,0)*B1812)),IF(D1812="BUY",E1812-(ROUND(F1812*K1812/B1812,0)*B1812),E1812+(ROUND(F1812*K1812/B1812,0)*B1812)))</f>
        <v>#DIV/0!</v>
      </c>
      <c r="L1813" s="29" t="e">
        <f t="shared" ref="L1813" si="2714">IF(D1813="BUY",I1813+(R1813*B1813),I1813-(R1813*B1813))</f>
        <v>#DIV/0!</v>
      </c>
      <c r="M1813" s="29" t="e">
        <f>IF(D1812="BUY",E1812+(ROUND(F1812*M1812/B1812,0)*B1812),E1812-(ROUND(F1812*M1812/B1812,0)*B1812))</f>
        <v>#DIV/0!</v>
      </c>
      <c r="N1813" s="29" t="e">
        <f>IF(D1812="BUY",E1812-(ROUND(F1812*N1812/B1812,0)*B1812),E1812+(ROUND(F1812*N1812/B1812,0)*B1812))</f>
        <v>#DIV/0!</v>
      </c>
      <c r="O1813" s="31" t="e">
        <f>IF(D1813="BUY",N1813-VLOOKUP(A1813,Symbols!A$1:D$1000,4,FALSE),N1813+VLOOKUP(A1813,Symbols!A$1:D$1000,4,FALSE))</f>
        <v>#DIV/0!</v>
      </c>
      <c r="P1813" s="29">
        <f>P1812</f>
        <v>0</v>
      </c>
      <c r="Q1813" s="29">
        <f>Q1812</f>
        <v>0</v>
      </c>
      <c r="R1813" s="29">
        <f>R1812</f>
        <v>0</v>
      </c>
      <c r="S1813" s="29">
        <f>S1812</f>
        <v>0</v>
      </c>
      <c r="T1813" s="29">
        <f>T1812</f>
        <v>0</v>
      </c>
      <c r="U1813" s="29" t="e">
        <f>DATEDIF(DATE(1970,1,1),U1812,"D")*86400</f>
        <v>#NUM!</v>
      </c>
      <c r="V1813" s="29">
        <f>HOUR(V1812)*3600+MINUTE(V1812)*60+SECOND(V1812)</f>
        <v>0</v>
      </c>
      <c r="W1813" s="29" t="e">
        <f>DATEDIF(DATE(1970,1,1),W1812,"D")*86400</f>
        <v>#NUM!</v>
      </c>
      <c r="X1813" s="29">
        <f>HOUR(X1812)*3600+MINUTE(X1812)*60+SECOND(X1812)</f>
        <v>0</v>
      </c>
      <c r="Y1813" s="31">
        <f>(Y1812*B1813)</f>
        <v>0</v>
      </c>
      <c r="Z1813" s="29">
        <f>Z1812</f>
        <v>0</v>
      </c>
      <c r="AA1813" s="29" t="e">
        <f>DATEDIF(DATE(1970,1,1),AA1812,"D")*86400</f>
        <v>#NUM!</v>
      </c>
      <c r="AB1813" s="29">
        <f>HOUR(AB1812)*3600+MINUTE(AB1812)*60+SECOND(AB1812)</f>
        <v>0</v>
      </c>
      <c r="AC1813" s="29">
        <f>AC1812</f>
        <v>0</v>
      </c>
    </row>
    <row r="1814" spans="1:29">
      <c r="A1814" s="23">
        <f>Parameters!A908</f>
        <v>0</v>
      </c>
      <c r="B1814" s="23">
        <f>Parameters!B908</f>
        <v>0</v>
      </c>
      <c r="C1814" s="24">
        <f>Parameters!C908</f>
        <v>0</v>
      </c>
      <c r="D1814" s="24">
        <f>Parameters!D908</f>
        <v>0</v>
      </c>
      <c r="E1814" s="23">
        <f>Parameters!E908</f>
        <v>0</v>
      </c>
      <c r="F1814" s="23">
        <f>Parameters!F908</f>
        <v>0</v>
      </c>
      <c r="G1814" s="25">
        <f>Parameters!G908</f>
        <v>0</v>
      </c>
      <c r="H1814" s="25">
        <f>Parameters!H908</f>
        <v>0</v>
      </c>
      <c r="I1814" s="25">
        <f>Parameters!I908</f>
        <v>0</v>
      </c>
      <c r="J1814" s="25">
        <f>Parameters!J908</f>
        <v>0</v>
      </c>
      <c r="K1814" s="25">
        <f>Parameters!K908</f>
        <v>0</v>
      </c>
      <c r="L1814" s="26" t="e">
        <f t="shared" ref="L1814" si="2715">L1815</f>
        <v>#DIV/0!</v>
      </c>
      <c r="M1814" s="25">
        <f>Parameters!L908</f>
        <v>0</v>
      </c>
      <c r="N1814" s="25">
        <f>Parameters!M908</f>
        <v>0</v>
      </c>
      <c r="O1814" s="26" t="e">
        <f t="shared" ref="O1814" si="2716">O1815</f>
        <v>#DIV/0!</v>
      </c>
      <c r="P1814" s="23">
        <f>Parameters!N908</f>
        <v>0</v>
      </c>
      <c r="Q1814" s="23">
        <f>Parameters!O908</f>
        <v>0</v>
      </c>
      <c r="R1814" s="23">
        <f>Parameters!P908</f>
        <v>0</v>
      </c>
      <c r="S1814" s="23">
        <f>Parameters!Q908</f>
        <v>0</v>
      </c>
      <c r="T1814" s="23">
        <f>Parameters!R908</f>
        <v>0</v>
      </c>
      <c r="U1814" s="27">
        <f>Parameters!S908</f>
        <v>0</v>
      </c>
      <c r="V1814" s="28">
        <f>Parameters!T908</f>
        <v>0</v>
      </c>
      <c r="W1814" s="27">
        <f>Parameters!U908</f>
        <v>0</v>
      </c>
      <c r="X1814" s="28">
        <f>Parameters!V908</f>
        <v>0</v>
      </c>
      <c r="Y1814" s="25">
        <f>Parameters!W908</f>
        <v>0</v>
      </c>
      <c r="Z1814" s="23">
        <f>Parameters!X908</f>
        <v>0</v>
      </c>
      <c r="AA1814" s="27">
        <f>Parameters!Y908</f>
        <v>0</v>
      </c>
      <c r="AB1814" s="28">
        <f>Parameters!Z908</f>
        <v>0</v>
      </c>
      <c r="AC1814" s="23">
        <f>Parameters!AA908</f>
        <v>0</v>
      </c>
    </row>
    <row r="1815" spans="1:29">
      <c r="A1815" s="29" t="str">
        <f>UPPER(A1814)</f>
        <v>0</v>
      </c>
      <c r="B1815" s="29">
        <f>B1814</f>
        <v>0</v>
      </c>
      <c r="C1815" s="30">
        <f>C1814</f>
        <v>0</v>
      </c>
      <c r="D1815" s="30">
        <f>D1814</f>
        <v>0</v>
      </c>
      <c r="E1815" s="29">
        <f>E1814</f>
        <v>0</v>
      </c>
      <c r="F1815" s="29">
        <f>F1814</f>
        <v>0</v>
      </c>
      <c r="G1815" s="29" t="e">
        <f>IF(C1814=1,IF(D1814="BUY",E1814+(ROUND(F1814*G1814/B1814,0)*B1814),E1814-(ROUND(F1814*G1814/B1814,0)*B1814)),IF(D1814="BUY",E1814-(ROUND(F1814*G1814/B1814,0)*B1814),E1814+(ROUND(F1814*G1814/B1814,0)*B1814)))</f>
        <v>#DIV/0!</v>
      </c>
      <c r="H1815" s="29" t="e">
        <f>IF(C1814=1,IF(D1814="BUY",G1815-(ROUND(F1814*H1814/B1814,0)*B1814),G1815+(ROUND(F1814*H1814/B1814,0)*B1814)),IF(D1814="BUY",G1815+(ROUND(F1814*H1814/B1814,0)*B1814),G1815-(ROUND(F1814*H1814/B1814,0)*B1814)))</f>
        <v>#DIV/0!</v>
      </c>
      <c r="I1815" s="29" t="e">
        <f>IF(D1814="BUY",G1815+(ROUND(F1814*I1814/(B1814*100),0)*B1814),G1815-(ROUND(F1814*I1814/(B1814*100),0)*B1814))</f>
        <v>#DIV/0!</v>
      </c>
      <c r="J1815" s="29" t="e">
        <f>IF(C1814=1,IF(D1814="BUY",E1814+(ROUND(F1814*J1814/B1814,0)*B1814),E1814-(ROUND(F1814*J1814/B1814,0)*B1814)),IF(D1814="BUY",E1814-(ROUND(F1814*J1814/B1814,0)*B1814),E1814+(ROUND(F1814*J1814/B1814,0)*B1814)))</f>
        <v>#DIV/0!</v>
      </c>
      <c r="K1815" s="29" t="e">
        <f>IF(C1814=1,IF(D1814="BUY",E1814-(ROUND(F1814*K1814/B1814,0)*B1814),E1814+(ROUND(F1814*K1814/B1814,0)*B1814)),IF(D1814="BUY",E1814-(ROUND(F1814*K1814/B1814,0)*B1814),E1814+(ROUND(F1814*K1814/B1814,0)*B1814)))</f>
        <v>#DIV/0!</v>
      </c>
      <c r="L1815" s="29" t="e">
        <f t="shared" ref="L1815" si="2717">IF(D1815="BUY",I1815+(R1815*B1815),I1815-(R1815*B1815))</f>
        <v>#DIV/0!</v>
      </c>
      <c r="M1815" s="29" t="e">
        <f>IF(D1814="BUY",E1814+(ROUND(F1814*M1814/B1814,0)*B1814),E1814-(ROUND(F1814*M1814/B1814,0)*B1814))</f>
        <v>#DIV/0!</v>
      </c>
      <c r="N1815" s="29" t="e">
        <f>IF(D1814="BUY",E1814-(ROUND(F1814*N1814/B1814,0)*B1814),E1814+(ROUND(F1814*N1814/B1814,0)*B1814))</f>
        <v>#DIV/0!</v>
      </c>
      <c r="O1815" s="31" t="e">
        <f>IF(D1815="BUY",N1815-VLOOKUP(A1815,Symbols!A$1:D$1000,4,FALSE),N1815+VLOOKUP(A1815,Symbols!A$1:D$1000,4,FALSE))</f>
        <v>#DIV/0!</v>
      </c>
      <c r="P1815" s="29">
        <f>P1814</f>
        <v>0</v>
      </c>
      <c r="Q1815" s="29">
        <f>Q1814</f>
        <v>0</v>
      </c>
      <c r="R1815" s="29">
        <f>R1814</f>
        <v>0</v>
      </c>
      <c r="S1815" s="29">
        <f>S1814</f>
        <v>0</v>
      </c>
      <c r="T1815" s="29">
        <f>T1814</f>
        <v>0</v>
      </c>
      <c r="U1815" s="29" t="e">
        <f>DATEDIF(DATE(1970,1,1),U1814,"D")*86400</f>
        <v>#NUM!</v>
      </c>
      <c r="V1815" s="29">
        <f>HOUR(V1814)*3600+MINUTE(V1814)*60+SECOND(V1814)</f>
        <v>0</v>
      </c>
      <c r="W1815" s="29" t="e">
        <f>DATEDIF(DATE(1970,1,1),W1814,"D")*86400</f>
        <v>#NUM!</v>
      </c>
      <c r="X1815" s="29">
        <f>HOUR(X1814)*3600+MINUTE(X1814)*60+SECOND(X1814)</f>
        <v>0</v>
      </c>
      <c r="Y1815" s="31">
        <f>(Y1814*B1815)</f>
        <v>0</v>
      </c>
      <c r="Z1815" s="29">
        <f>Z1814</f>
        <v>0</v>
      </c>
      <c r="AA1815" s="29" t="e">
        <f>DATEDIF(DATE(1970,1,1),AA1814,"D")*86400</f>
        <v>#NUM!</v>
      </c>
      <c r="AB1815" s="29">
        <f>HOUR(AB1814)*3600+MINUTE(AB1814)*60+SECOND(AB1814)</f>
        <v>0</v>
      </c>
      <c r="AC1815" s="29">
        <f>AC1814</f>
        <v>0</v>
      </c>
    </row>
    <row r="1816" spans="1:29">
      <c r="A1816" s="23">
        <f>Parameters!A909</f>
        <v>0</v>
      </c>
      <c r="B1816" s="23">
        <f>Parameters!B909</f>
        <v>0</v>
      </c>
      <c r="C1816" s="24">
        <f>Parameters!C909</f>
        <v>0</v>
      </c>
      <c r="D1816" s="24">
        <f>Parameters!D909</f>
        <v>0</v>
      </c>
      <c r="E1816" s="23">
        <f>Parameters!E909</f>
        <v>0</v>
      </c>
      <c r="F1816" s="23">
        <f>Parameters!F909</f>
        <v>0</v>
      </c>
      <c r="G1816" s="25">
        <f>Parameters!G909</f>
        <v>0</v>
      </c>
      <c r="H1816" s="25">
        <f>Parameters!H909</f>
        <v>0</v>
      </c>
      <c r="I1816" s="25">
        <f>Parameters!I909</f>
        <v>0</v>
      </c>
      <c r="J1816" s="25">
        <f>Parameters!J909</f>
        <v>0</v>
      </c>
      <c r="K1816" s="25">
        <f>Parameters!K909</f>
        <v>0</v>
      </c>
      <c r="L1816" s="26" t="e">
        <f t="shared" ref="L1816" si="2718">L1817</f>
        <v>#DIV/0!</v>
      </c>
      <c r="M1816" s="25">
        <f>Parameters!L909</f>
        <v>0</v>
      </c>
      <c r="N1816" s="25">
        <f>Parameters!M909</f>
        <v>0</v>
      </c>
      <c r="O1816" s="26" t="e">
        <f t="shared" ref="O1816" si="2719">O1817</f>
        <v>#DIV/0!</v>
      </c>
      <c r="P1816" s="23">
        <f>Parameters!N909</f>
        <v>0</v>
      </c>
      <c r="Q1816" s="23">
        <f>Parameters!O909</f>
        <v>0</v>
      </c>
      <c r="R1816" s="23">
        <f>Parameters!P909</f>
        <v>0</v>
      </c>
      <c r="S1816" s="23">
        <f>Parameters!Q909</f>
        <v>0</v>
      </c>
      <c r="T1816" s="23">
        <f>Parameters!R909</f>
        <v>0</v>
      </c>
      <c r="U1816" s="27">
        <f>Parameters!S909</f>
        <v>0</v>
      </c>
      <c r="V1816" s="28">
        <f>Parameters!T909</f>
        <v>0</v>
      </c>
      <c r="W1816" s="27">
        <f>Parameters!U909</f>
        <v>0</v>
      </c>
      <c r="X1816" s="28">
        <f>Parameters!V909</f>
        <v>0</v>
      </c>
      <c r="Y1816" s="25">
        <f>Parameters!W909</f>
        <v>0</v>
      </c>
      <c r="Z1816" s="23">
        <f>Parameters!X909</f>
        <v>0</v>
      </c>
      <c r="AA1816" s="27">
        <f>Parameters!Y909</f>
        <v>0</v>
      </c>
      <c r="AB1816" s="28">
        <f>Parameters!Z909</f>
        <v>0</v>
      </c>
      <c r="AC1816" s="23">
        <f>Parameters!AA909</f>
        <v>0</v>
      </c>
    </row>
    <row r="1817" spans="1:29">
      <c r="A1817" s="29" t="str">
        <f>UPPER(A1816)</f>
        <v>0</v>
      </c>
      <c r="B1817" s="29">
        <f>B1816</f>
        <v>0</v>
      </c>
      <c r="C1817" s="30">
        <f>C1816</f>
        <v>0</v>
      </c>
      <c r="D1817" s="30">
        <f>D1816</f>
        <v>0</v>
      </c>
      <c r="E1817" s="29">
        <f>E1816</f>
        <v>0</v>
      </c>
      <c r="F1817" s="29">
        <f>F1816</f>
        <v>0</v>
      </c>
      <c r="G1817" s="29" t="e">
        <f>IF(C1816=1,IF(D1816="BUY",E1816+(ROUND(F1816*G1816/B1816,0)*B1816),E1816-(ROUND(F1816*G1816/B1816,0)*B1816)),IF(D1816="BUY",E1816-(ROUND(F1816*G1816/B1816,0)*B1816),E1816+(ROUND(F1816*G1816/B1816,0)*B1816)))</f>
        <v>#DIV/0!</v>
      </c>
      <c r="H1817" s="29" t="e">
        <f>IF(C1816=1,IF(D1816="BUY",G1817-(ROUND(F1816*H1816/B1816,0)*B1816),G1817+(ROUND(F1816*H1816/B1816,0)*B1816)),IF(D1816="BUY",G1817+(ROUND(F1816*H1816/B1816,0)*B1816),G1817-(ROUND(F1816*H1816/B1816,0)*B1816)))</f>
        <v>#DIV/0!</v>
      </c>
      <c r="I1817" s="29" t="e">
        <f>IF(D1816="BUY",G1817+(ROUND(F1816*I1816/(B1816*100),0)*B1816),G1817-(ROUND(F1816*I1816/(B1816*100),0)*B1816))</f>
        <v>#DIV/0!</v>
      </c>
      <c r="J1817" s="29" t="e">
        <f>IF(C1816=1,IF(D1816="BUY",E1816+(ROUND(F1816*J1816/B1816,0)*B1816),E1816-(ROUND(F1816*J1816/B1816,0)*B1816)),IF(D1816="BUY",E1816-(ROUND(F1816*J1816/B1816,0)*B1816),E1816+(ROUND(F1816*J1816/B1816,0)*B1816)))</f>
        <v>#DIV/0!</v>
      </c>
      <c r="K1817" s="29" t="e">
        <f>IF(C1816=1,IF(D1816="BUY",E1816-(ROUND(F1816*K1816/B1816,0)*B1816),E1816+(ROUND(F1816*K1816/B1816,0)*B1816)),IF(D1816="BUY",E1816-(ROUND(F1816*K1816/B1816,0)*B1816),E1816+(ROUND(F1816*K1816/B1816,0)*B1816)))</f>
        <v>#DIV/0!</v>
      </c>
      <c r="L1817" s="29" t="e">
        <f t="shared" ref="L1817" si="2720">IF(D1817="BUY",I1817+(R1817*B1817),I1817-(R1817*B1817))</f>
        <v>#DIV/0!</v>
      </c>
      <c r="M1817" s="29" t="e">
        <f>IF(D1816="BUY",E1816+(ROUND(F1816*M1816/B1816,0)*B1816),E1816-(ROUND(F1816*M1816/B1816,0)*B1816))</f>
        <v>#DIV/0!</v>
      </c>
      <c r="N1817" s="29" t="e">
        <f>IF(D1816="BUY",E1816-(ROUND(F1816*N1816/B1816,0)*B1816),E1816+(ROUND(F1816*N1816/B1816,0)*B1816))</f>
        <v>#DIV/0!</v>
      </c>
      <c r="O1817" s="31" t="e">
        <f>IF(D1817="BUY",N1817-VLOOKUP(A1817,Symbols!A$1:D$1000,4,FALSE),N1817+VLOOKUP(A1817,Symbols!A$1:D$1000,4,FALSE))</f>
        <v>#DIV/0!</v>
      </c>
      <c r="P1817" s="29">
        <f>P1816</f>
        <v>0</v>
      </c>
      <c r="Q1817" s="29">
        <f>Q1816</f>
        <v>0</v>
      </c>
      <c r="R1817" s="29">
        <f>R1816</f>
        <v>0</v>
      </c>
      <c r="S1817" s="29">
        <f>S1816</f>
        <v>0</v>
      </c>
      <c r="T1817" s="29">
        <f>T1816</f>
        <v>0</v>
      </c>
      <c r="U1817" s="29" t="e">
        <f>DATEDIF(DATE(1970,1,1),U1816,"D")*86400</f>
        <v>#NUM!</v>
      </c>
      <c r="V1817" s="29">
        <f>HOUR(V1816)*3600+MINUTE(V1816)*60+SECOND(V1816)</f>
        <v>0</v>
      </c>
      <c r="W1817" s="29" t="e">
        <f>DATEDIF(DATE(1970,1,1),W1816,"D")*86400</f>
        <v>#NUM!</v>
      </c>
      <c r="X1817" s="29">
        <f>HOUR(X1816)*3600+MINUTE(X1816)*60+SECOND(X1816)</f>
        <v>0</v>
      </c>
      <c r="Y1817" s="31">
        <f>(Y1816*B1817)</f>
        <v>0</v>
      </c>
      <c r="Z1817" s="29">
        <f>Z1816</f>
        <v>0</v>
      </c>
      <c r="AA1817" s="29" t="e">
        <f>DATEDIF(DATE(1970,1,1),AA1816,"D")*86400</f>
        <v>#NUM!</v>
      </c>
      <c r="AB1817" s="29">
        <f>HOUR(AB1816)*3600+MINUTE(AB1816)*60+SECOND(AB1816)</f>
        <v>0</v>
      </c>
      <c r="AC1817" s="29">
        <f>AC1816</f>
        <v>0</v>
      </c>
    </row>
    <row r="1818" spans="1:29">
      <c r="A1818" s="23">
        <f>Parameters!A910</f>
        <v>0</v>
      </c>
      <c r="B1818" s="23">
        <f>Parameters!B910</f>
        <v>0</v>
      </c>
      <c r="C1818" s="24">
        <f>Parameters!C910</f>
        <v>0</v>
      </c>
      <c r="D1818" s="24">
        <f>Parameters!D910</f>
        <v>0</v>
      </c>
      <c r="E1818" s="23">
        <f>Parameters!E910</f>
        <v>0</v>
      </c>
      <c r="F1818" s="23">
        <f>Parameters!F910</f>
        <v>0</v>
      </c>
      <c r="G1818" s="25">
        <f>Parameters!G910</f>
        <v>0</v>
      </c>
      <c r="H1818" s="25">
        <f>Parameters!H910</f>
        <v>0</v>
      </c>
      <c r="I1818" s="25">
        <f>Parameters!I910</f>
        <v>0</v>
      </c>
      <c r="J1818" s="25">
        <f>Parameters!J910</f>
        <v>0</v>
      </c>
      <c r="K1818" s="25">
        <f>Parameters!K910</f>
        <v>0</v>
      </c>
      <c r="L1818" s="26" t="e">
        <f t="shared" ref="L1818" si="2721">L1819</f>
        <v>#DIV/0!</v>
      </c>
      <c r="M1818" s="25">
        <f>Parameters!L910</f>
        <v>0</v>
      </c>
      <c r="N1818" s="25">
        <f>Parameters!M910</f>
        <v>0</v>
      </c>
      <c r="O1818" s="26" t="e">
        <f t="shared" ref="O1818" si="2722">O1819</f>
        <v>#DIV/0!</v>
      </c>
      <c r="P1818" s="23">
        <f>Parameters!N910</f>
        <v>0</v>
      </c>
      <c r="Q1818" s="23">
        <f>Parameters!O910</f>
        <v>0</v>
      </c>
      <c r="R1818" s="23">
        <f>Parameters!P910</f>
        <v>0</v>
      </c>
      <c r="S1818" s="23">
        <f>Parameters!Q910</f>
        <v>0</v>
      </c>
      <c r="T1818" s="23">
        <f>Parameters!R910</f>
        <v>0</v>
      </c>
      <c r="U1818" s="27">
        <f>Parameters!S910</f>
        <v>0</v>
      </c>
      <c r="V1818" s="28">
        <f>Parameters!T910</f>
        <v>0</v>
      </c>
      <c r="W1818" s="27">
        <f>Parameters!U910</f>
        <v>0</v>
      </c>
      <c r="X1818" s="28">
        <f>Parameters!V910</f>
        <v>0</v>
      </c>
      <c r="Y1818" s="25">
        <f>Parameters!W910</f>
        <v>0</v>
      </c>
      <c r="Z1818" s="23">
        <f>Parameters!X910</f>
        <v>0</v>
      </c>
      <c r="AA1818" s="27">
        <f>Parameters!Y910</f>
        <v>0</v>
      </c>
      <c r="AB1818" s="28">
        <f>Parameters!Z910</f>
        <v>0</v>
      </c>
      <c r="AC1818" s="23">
        <f>Parameters!AA910</f>
        <v>0</v>
      </c>
    </row>
    <row r="1819" spans="1:29">
      <c r="A1819" s="29" t="str">
        <f>UPPER(A1818)</f>
        <v>0</v>
      </c>
      <c r="B1819" s="29">
        <f>B1818</f>
        <v>0</v>
      </c>
      <c r="C1819" s="30">
        <f>C1818</f>
        <v>0</v>
      </c>
      <c r="D1819" s="30">
        <f>D1818</f>
        <v>0</v>
      </c>
      <c r="E1819" s="29">
        <f>E1818</f>
        <v>0</v>
      </c>
      <c r="F1819" s="29">
        <f>F1818</f>
        <v>0</v>
      </c>
      <c r="G1819" s="29" t="e">
        <f>IF(C1818=1,IF(D1818="BUY",E1818+(ROUND(F1818*G1818/B1818,0)*B1818),E1818-(ROUND(F1818*G1818/B1818,0)*B1818)),IF(D1818="BUY",E1818-(ROUND(F1818*G1818/B1818,0)*B1818),E1818+(ROUND(F1818*G1818/B1818,0)*B1818)))</f>
        <v>#DIV/0!</v>
      </c>
      <c r="H1819" s="29" t="e">
        <f>IF(C1818=1,IF(D1818="BUY",G1819-(ROUND(F1818*H1818/B1818,0)*B1818),G1819+(ROUND(F1818*H1818/B1818,0)*B1818)),IF(D1818="BUY",G1819+(ROUND(F1818*H1818/B1818,0)*B1818),G1819-(ROUND(F1818*H1818/B1818,0)*B1818)))</f>
        <v>#DIV/0!</v>
      </c>
      <c r="I1819" s="29" t="e">
        <f>IF(D1818="BUY",G1819+(ROUND(F1818*I1818/(B1818*100),0)*B1818),G1819-(ROUND(F1818*I1818/(B1818*100),0)*B1818))</f>
        <v>#DIV/0!</v>
      </c>
      <c r="J1819" s="29" t="e">
        <f>IF(C1818=1,IF(D1818="BUY",E1818+(ROUND(F1818*J1818/B1818,0)*B1818),E1818-(ROUND(F1818*J1818/B1818,0)*B1818)),IF(D1818="BUY",E1818-(ROUND(F1818*J1818/B1818,0)*B1818),E1818+(ROUND(F1818*J1818/B1818,0)*B1818)))</f>
        <v>#DIV/0!</v>
      </c>
      <c r="K1819" s="29" t="e">
        <f>IF(C1818=1,IF(D1818="BUY",E1818-(ROUND(F1818*K1818/B1818,0)*B1818),E1818+(ROUND(F1818*K1818/B1818,0)*B1818)),IF(D1818="BUY",E1818-(ROUND(F1818*K1818/B1818,0)*B1818),E1818+(ROUND(F1818*K1818/B1818,0)*B1818)))</f>
        <v>#DIV/0!</v>
      </c>
      <c r="L1819" s="29" t="e">
        <f t="shared" ref="L1819" si="2723">IF(D1819="BUY",I1819+(R1819*B1819),I1819-(R1819*B1819))</f>
        <v>#DIV/0!</v>
      </c>
      <c r="M1819" s="29" t="e">
        <f>IF(D1818="BUY",E1818+(ROUND(F1818*M1818/B1818,0)*B1818),E1818-(ROUND(F1818*M1818/B1818,0)*B1818))</f>
        <v>#DIV/0!</v>
      </c>
      <c r="N1819" s="29" t="e">
        <f>IF(D1818="BUY",E1818-(ROUND(F1818*N1818/B1818,0)*B1818),E1818+(ROUND(F1818*N1818/B1818,0)*B1818))</f>
        <v>#DIV/0!</v>
      </c>
      <c r="O1819" s="31" t="e">
        <f>IF(D1819="BUY",N1819-VLOOKUP(A1819,Symbols!A$1:D$1000,4,FALSE),N1819+VLOOKUP(A1819,Symbols!A$1:D$1000,4,FALSE))</f>
        <v>#DIV/0!</v>
      </c>
      <c r="P1819" s="29">
        <f>P1818</f>
        <v>0</v>
      </c>
      <c r="Q1819" s="29">
        <f>Q1818</f>
        <v>0</v>
      </c>
      <c r="R1819" s="29">
        <f>R1818</f>
        <v>0</v>
      </c>
      <c r="S1819" s="29">
        <f>S1818</f>
        <v>0</v>
      </c>
      <c r="T1819" s="29">
        <f>T1818</f>
        <v>0</v>
      </c>
      <c r="U1819" s="29" t="e">
        <f>DATEDIF(DATE(1970,1,1),U1818,"D")*86400</f>
        <v>#NUM!</v>
      </c>
      <c r="V1819" s="29">
        <f>HOUR(V1818)*3600+MINUTE(V1818)*60+SECOND(V1818)</f>
        <v>0</v>
      </c>
      <c r="W1819" s="29" t="e">
        <f>DATEDIF(DATE(1970,1,1),W1818,"D")*86400</f>
        <v>#NUM!</v>
      </c>
      <c r="X1819" s="29">
        <f>HOUR(X1818)*3600+MINUTE(X1818)*60+SECOND(X1818)</f>
        <v>0</v>
      </c>
      <c r="Y1819" s="31">
        <f>(Y1818*B1819)</f>
        <v>0</v>
      </c>
      <c r="Z1819" s="29">
        <f>Z1818</f>
        <v>0</v>
      </c>
      <c r="AA1819" s="29" t="e">
        <f>DATEDIF(DATE(1970,1,1),AA1818,"D")*86400</f>
        <v>#NUM!</v>
      </c>
      <c r="AB1819" s="29">
        <f>HOUR(AB1818)*3600+MINUTE(AB1818)*60+SECOND(AB1818)</f>
        <v>0</v>
      </c>
      <c r="AC1819" s="29">
        <f>AC1818</f>
        <v>0</v>
      </c>
    </row>
    <row r="1820" spans="1:29">
      <c r="A1820" s="23">
        <f>Parameters!A911</f>
        <v>0</v>
      </c>
      <c r="B1820" s="23">
        <f>Parameters!B911</f>
        <v>0</v>
      </c>
      <c r="C1820" s="24">
        <f>Parameters!C911</f>
        <v>0</v>
      </c>
      <c r="D1820" s="24">
        <f>Parameters!D911</f>
        <v>0</v>
      </c>
      <c r="E1820" s="23">
        <f>Parameters!E911</f>
        <v>0</v>
      </c>
      <c r="F1820" s="23">
        <f>Parameters!F911</f>
        <v>0</v>
      </c>
      <c r="G1820" s="25">
        <f>Parameters!G911</f>
        <v>0</v>
      </c>
      <c r="H1820" s="25">
        <f>Parameters!H911</f>
        <v>0</v>
      </c>
      <c r="I1820" s="25">
        <f>Parameters!I911</f>
        <v>0</v>
      </c>
      <c r="J1820" s="25">
        <f>Parameters!J911</f>
        <v>0</v>
      </c>
      <c r="K1820" s="25">
        <f>Parameters!K911</f>
        <v>0</v>
      </c>
      <c r="L1820" s="26" t="e">
        <f t="shared" ref="L1820" si="2724">L1821</f>
        <v>#DIV/0!</v>
      </c>
      <c r="M1820" s="25">
        <f>Parameters!L911</f>
        <v>0</v>
      </c>
      <c r="N1820" s="25">
        <f>Parameters!M911</f>
        <v>0</v>
      </c>
      <c r="O1820" s="26" t="e">
        <f t="shared" ref="O1820" si="2725">O1821</f>
        <v>#DIV/0!</v>
      </c>
      <c r="P1820" s="23">
        <f>Parameters!N911</f>
        <v>0</v>
      </c>
      <c r="Q1820" s="23">
        <f>Parameters!O911</f>
        <v>0</v>
      </c>
      <c r="R1820" s="23">
        <f>Parameters!P911</f>
        <v>0</v>
      </c>
      <c r="S1820" s="23">
        <f>Parameters!Q911</f>
        <v>0</v>
      </c>
      <c r="T1820" s="23">
        <f>Parameters!R911</f>
        <v>0</v>
      </c>
      <c r="U1820" s="27">
        <f>Parameters!S911</f>
        <v>0</v>
      </c>
      <c r="V1820" s="28">
        <f>Parameters!T911</f>
        <v>0</v>
      </c>
      <c r="W1820" s="27">
        <f>Parameters!U911</f>
        <v>0</v>
      </c>
      <c r="X1820" s="28">
        <f>Parameters!V911</f>
        <v>0</v>
      </c>
      <c r="Y1820" s="25">
        <f>Parameters!W911</f>
        <v>0</v>
      </c>
      <c r="Z1820" s="23">
        <f>Parameters!X911</f>
        <v>0</v>
      </c>
      <c r="AA1820" s="27">
        <f>Parameters!Y911</f>
        <v>0</v>
      </c>
      <c r="AB1820" s="28">
        <f>Parameters!Z911</f>
        <v>0</v>
      </c>
      <c r="AC1820" s="23">
        <f>Parameters!AA911</f>
        <v>0</v>
      </c>
    </row>
    <row r="1821" spans="1:29">
      <c r="A1821" s="29" t="str">
        <f>UPPER(A1820)</f>
        <v>0</v>
      </c>
      <c r="B1821" s="29">
        <f>B1820</f>
        <v>0</v>
      </c>
      <c r="C1821" s="30">
        <f>C1820</f>
        <v>0</v>
      </c>
      <c r="D1821" s="30">
        <f>D1820</f>
        <v>0</v>
      </c>
      <c r="E1821" s="29">
        <f>E1820</f>
        <v>0</v>
      </c>
      <c r="F1821" s="29">
        <f>F1820</f>
        <v>0</v>
      </c>
      <c r="G1821" s="29" t="e">
        <f>IF(C1820=1,IF(D1820="BUY",E1820+(ROUND(F1820*G1820/B1820,0)*B1820),E1820-(ROUND(F1820*G1820/B1820,0)*B1820)),IF(D1820="BUY",E1820-(ROUND(F1820*G1820/B1820,0)*B1820),E1820+(ROUND(F1820*G1820/B1820,0)*B1820)))</f>
        <v>#DIV/0!</v>
      </c>
      <c r="H1821" s="29" t="e">
        <f>IF(C1820=1,IF(D1820="BUY",G1821-(ROUND(F1820*H1820/B1820,0)*B1820),G1821+(ROUND(F1820*H1820/B1820,0)*B1820)),IF(D1820="BUY",G1821+(ROUND(F1820*H1820/B1820,0)*B1820),G1821-(ROUND(F1820*H1820/B1820,0)*B1820)))</f>
        <v>#DIV/0!</v>
      </c>
      <c r="I1821" s="29" t="e">
        <f>IF(D1820="BUY",G1821+(ROUND(F1820*I1820/(B1820*100),0)*B1820),G1821-(ROUND(F1820*I1820/(B1820*100),0)*B1820))</f>
        <v>#DIV/0!</v>
      </c>
      <c r="J1821" s="29" t="e">
        <f>IF(C1820=1,IF(D1820="BUY",E1820+(ROUND(F1820*J1820/B1820,0)*B1820),E1820-(ROUND(F1820*J1820/B1820,0)*B1820)),IF(D1820="BUY",E1820-(ROUND(F1820*J1820/B1820,0)*B1820),E1820+(ROUND(F1820*J1820/B1820,0)*B1820)))</f>
        <v>#DIV/0!</v>
      </c>
      <c r="K1821" s="29" t="e">
        <f>IF(C1820=1,IF(D1820="BUY",E1820-(ROUND(F1820*K1820/B1820,0)*B1820),E1820+(ROUND(F1820*K1820/B1820,0)*B1820)),IF(D1820="BUY",E1820-(ROUND(F1820*K1820/B1820,0)*B1820),E1820+(ROUND(F1820*K1820/B1820,0)*B1820)))</f>
        <v>#DIV/0!</v>
      </c>
      <c r="L1821" s="29" t="e">
        <f t="shared" ref="L1821" si="2726">IF(D1821="BUY",I1821+(R1821*B1821),I1821-(R1821*B1821))</f>
        <v>#DIV/0!</v>
      </c>
      <c r="M1821" s="29" t="e">
        <f>IF(D1820="BUY",E1820+(ROUND(F1820*M1820/B1820,0)*B1820),E1820-(ROUND(F1820*M1820/B1820,0)*B1820))</f>
        <v>#DIV/0!</v>
      </c>
      <c r="N1821" s="29" t="e">
        <f>IF(D1820="BUY",E1820-(ROUND(F1820*N1820/B1820,0)*B1820),E1820+(ROUND(F1820*N1820/B1820,0)*B1820))</f>
        <v>#DIV/0!</v>
      </c>
      <c r="O1821" s="31" t="e">
        <f>IF(D1821="BUY",N1821-VLOOKUP(A1821,Symbols!A$1:D$1000,4,FALSE),N1821+VLOOKUP(A1821,Symbols!A$1:D$1000,4,FALSE))</f>
        <v>#DIV/0!</v>
      </c>
      <c r="P1821" s="29">
        <f>P1820</f>
        <v>0</v>
      </c>
      <c r="Q1821" s="29">
        <f>Q1820</f>
        <v>0</v>
      </c>
      <c r="R1821" s="29">
        <f>R1820</f>
        <v>0</v>
      </c>
      <c r="S1821" s="29">
        <f>S1820</f>
        <v>0</v>
      </c>
      <c r="T1821" s="29">
        <f>T1820</f>
        <v>0</v>
      </c>
      <c r="U1821" s="29" t="e">
        <f>DATEDIF(DATE(1970,1,1),U1820,"D")*86400</f>
        <v>#NUM!</v>
      </c>
      <c r="V1821" s="29">
        <f>HOUR(V1820)*3600+MINUTE(V1820)*60+SECOND(V1820)</f>
        <v>0</v>
      </c>
      <c r="W1821" s="29" t="e">
        <f>DATEDIF(DATE(1970,1,1),W1820,"D")*86400</f>
        <v>#NUM!</v>
      </c>
      <c r="X1821" s="29">
        <f>HOUR(X1820)*3600+MINUTE(X1820)*60+SECOND(X1820)</f>
        <v>0</v>
      </c>
      <c r="Y1821" s="31">
        <f>(Y1820*B1821)</f>
        <v>0</v>
      </c>
      <c r="Z1821" s="29">
        <f>Z1820</f>
        <v>0</v>
      </c>
      <c r="AA1821" s="29" t="e">
        <f>DATEDIF(DATE(1970,1,1),AA1820,"D")*86400</f>
        <v>#NUM!</v>
      </c>
      <c r="AB1821" s="29">
        <f>HOUR(AB1820)*3600+MINUTE(AB1820)*60+SECOND(AB1820)</f>
        <v>0</v>
      </c>
      <c r="AC1821" s="29">
        <f>AC1820</f>
        <v>0</v>
      </c>
    </row>
    <row r="1822" spans="1:29">
      <c r="A1822" s="23">
        <f>Parameters!A912</f>
        <v>0</v>
      </c>
      <c r="B1822" s="23">
        <f>Parameters!B912</f>
        <v>0</v>
      </c>
      <c r="C1822" s="24">
        <f>Parameters!C912</f>
        <v>0</v>
      </c>
      <c r="D1822" s="24">
        <f>Parameters!D912</f>
        <v>0</v>
      </c>
      <c r="E1822" s="23">
        <f>Parameters!E912</f>
        <v>0</v>
      </c>
      <c r="F1822" s="23">
        <f>Parameters!F912</f>
        <v>0</v>
      </c>
      <c r="G1822" s="25">
        <f>Parameters!G912</f>
        <v>0</v>
      </c>
      <c r="H1822" s="25">
        <f>Parameters!H912</f>
        <v>0</v>
      </c>
      <c r="I1822" s="25">
        <f>Parameters!I912</f>
        <v>0</v>
      </c>
      <c r="J1822" s="25">
        <f>Parameters!J912</f>
        <v>0</v>
      </c>
      <c r="K1822" s="25">
        <f>Parameters!K912</f>
        <v>0</v>
      </c>
      <c r="L1822" s="26" t="e">
        <f t="shared" ref="L1822" si="2727">L1823</f>
        <v>#DIV/0!</v>
      </c>
      <c r="M1822" s="25">
        <f>Parameters!L912</f>
        <v>0</v>
      </c>
      <c r="N1822" s="25">
        <f>Parameters!M912</f>
        <v>0</v>
      </c>
      <c r="O1822" s="26" t="e">
        <f t="shared" ref="O1822" si="2728">O1823</f>
        <v>#DIV/0!</v>
      </c>
      <c r="P1822" s="23">
        <f>Parameters!N912</f>
        <v>0</v>
      </c>
      <c r="Q1822" s="23">
        <f>Parameters!O912</f>
        <v>0</v>
      </c>
      <c r="R1822" s="23">
        <f>Parameters!P912</f>
        <v>0</v>
      </c>
      <c r="S1822" s="23">
        <f>Parameters!Q912</f>
        <v>0</v>
      </c>
      <c r="T1822" s="23">
        <f>Parameters!R912</f>
        <v>0</v>
      </c>
      <c r="U1822" s="27">
        <f>Parameters!S912</f>
        <v>0</v>
      </c>
      <c r="V1822" s="28">
        <f>Parameters!T912</f>
        <v>0</v>
      </c>
      <c r="W1822" s="27">
        <f>Parameters!U912</f>
        <v>0</v>
      </c>
      <c r="X1822" s="28">
        <f>Parameters!V912</f>
        <v>0</v>
      </c>
      <c r="Y1822" s="25">
        <f>Parameters!W912</f>
        <v>0</v>
      </c>
      <c r="Z1822" s="23">
        <f>Parameters!X912</f>
        <v>0</v>
      </c>
      <c r="AA1822" s="27">
        <f>Parameters!Y912</f>
        <v>0</v>
      </c>
      <c r="AB1822" s="28">
        <f>Parameters!Z912</f>
        <v>0</v>
      </c>
      <c r="AC1822" s="23">
        <f>Parameters!AA912</f>
        <v>0</v>
      </c>
    </row>
    <row r="1823" spans="1:29">
      <c r="A1823" s="29" t="str">
        <f>UPPER(A1822)</f>
        <v>0</v>
      </c>
      <c r="B1823" s="29">
        <f>B1822</f>
        <v>0</v>
      </c>
      <c r="C1823" s="30">
        <f>C1822</f>
        <v>0</v>
      </c>
      <c r="D1823" s="30">
        <f>D1822</f>
        <v>0</v>
      </c>
      <c r="E1823" s="29">
        <f>E1822</f>
        <v>0</v>
      </c>
      <c r="F1823" s="29">
        <f>F1822</f>
        <v>0</v>
      </c>
      <c r="G1823" s="29" t="e">
        <f>IF(C1822=1,IF(D1822="BUY",E1822+(ROUND(F1822*G1822/B1822,0)*B1822),E1822-(ROUND(F1822*G1822/B1822,0)*B1822)),IF(D1822="BUY",E1822-(ROUND(F1822*G1822/B1822,0)*B1822),E1822+(ROUND(F1822*G1822/B1822,0)*B1822)))</f>
        <v>#DIV/0!</v>
      </c>
      <c r="H1823" s="29" t="e">
        <f>IF(C1822=1,IF(D1822="BUY",G1823-(ROUND(F1822*H1822/B1822,0)*B1822),G1823+(ROUND(F1822*H1822/B1822,0)*B1822)),IF(D1822="BUY",G1823+(ROUND(F1822*H1822/B1822,0)*B1822),G1823-(ROUND(F1822*H1822/B1822,0)*B1822)))</f>
        <v>#DIV/0!</v>
      </c>
      <c r="I1823" s="29" t="e">
        <f>IF(D1822="BUY",G1823+(ROUND(F1822*I1822/(B1822*100),0)*B1822),G1823-(ROUND(F1822*I1822/(B1822*100),0)*B1822))</f>
        <v>#DIV/0!</v>
      </c>
      <c r="J1823" s="29" t="e">
        <f>IF(C1822=1,IF(D1822="BUY",E1822+(ROUND(F1822*J1822/B1822,0)*B1822),E1822-(ROUND(F1822*J1822/B1822,0)*B1822)),IF(D1822="BUY",E1822-(ROUND(F1822*J1822/B1822,0)*B1822),E1822+(ROUND(F1822*J1822/B1822,0)*B1822)))</f>
        <v>#DIV/0!</v>
      </c>
      <c r="K1823" s="29" t="e">
        <f>IF(C1822=1,IF(D1822="BUY",E1822-(ROUND(F1822*K1822/B1822,0)*B1822),E1822+(ROUND(F1822*K1822/B1822,0)*B1822)),IF(D1822="BUY",E1822-(ROUND(F1822*K1822/B1822,0)*B1822),E1822+(ROUND(F1822*K1822/B1822,0)*B1822)))</f>
        <v>#DIV/0!</v>
      </c>
      <c r="L1823" s="29" t="e">
        <f t="shared" ref="L1823" si="2729">IF(D1823="BUY",I1823+(R1823*B1823),I1823-(R1823*B1823))</f>
        <v>#DIV/0!</v>
      </c>
      <c r="M1823" s="29" t="e">
        <f>IF(D1822="BUY",E1822+(ROUND(F1822*M1822/B1822,0)*B1822),E1822-(ROUND(F1822*M1822/B1822,0)*B1822))</f>
        <v>#DIV/0!</v>
      </c>
      <c r="N1823" s="29" t="e">
        <f>IF(D1822="BUY",E1822-(ROUND(F1822*N1822/B1822,0)*B1822),E1822+(ROUND(F1822*N1822/B1822,0)*B1822))</f>
        <v>#DIV/0!</v>
      </c>
      <c r="O1823" s="31" t="e">
        <f>IF(D1823="BUY",N1823-VLOOKUP(A1823,Symbols!A$1:D$1000,4,FALSE),N1823+VLOOKUP(A1823,Symbols!A$1:D$1000,4,FALSE))</f>
        <v>#DIV/0!</v>
      </c>
      <c r="P1823" s="29">
        <f>P1822</f>
        <v>0</v>
      </c>
      <c r="Q1823" s="29">
        <f>Q1822</f>
        <v>0</v>
      </c>
      <c r="R1823" s="29">
        <f>R1822</f>
        <v>0</v>
      </c>
      <c r="S1823" s="29">
        <f>S1822</f>
        <v>0</v>
      </c>
      <c r="T1823" s="29">
        <f>T1822</f>
        <v>0</v>
      </c>
      <c r="U1823" s="29" t="e">
        <f>DATEDIF(DATE(1970,1,1),U1822,"D")*86400</f>
        <v>#NUM!</v>
      </c>
      <c r="V1823" s="29">
        <f>HOUR(V1822)*3600+MINUTE(V1822)*60+SECOND(V1822)</f>
        <v>0</v>
      </c>
      <c r="W1823" s="29" t="e">
        <f>DATEDIF(DATE(1970,1,1),W1822,"D")*86400</f>
        <v>#NUM!</v>
      </c>
      <c r="X1823" s="29">
        <f>HOUR(X1822)*3600+MINUTE(X1822)*60+SECOND(X1822)</f>
        <v>0</v>
      </c>
      <c r="Y1823" s="31">
        <f>(Y1822*B1823)</f>
        <v>0</v>
      </c>
      <c r="Z1823" s="29">
        <f>Z1822</f>
        <v>0</v>
      </c>
      <c r="AA1823" s="29" t="e">
        <f>DATEDIF(DATE(1970,1,1),AA1822,"D")*86400</f>
        <v>#NUM!</v>
      </c>
      <c r="AB1823" s="29">
        <f>HOUR(AB1822)*3600+MINUTE(AB1822)*60+SECOND(AB1822)</f>
        <v>0</v>
      </c>
      <c r="AC1823" s="29">
        <f>AC1822</f>
        <v>0</v>
      </c>
    </row>
    <row r="1824" spans="1:29">
      <c r="A1824" s="23">
        <f>Parameters!A913</f>
        <v>0</v>
      </c>
      <c r="B1824" s="23">
        <f>Parameters!B913</f>
        <v>0</v>
      </c>
      <c r="C1824" s="24">
        <f>Parameters!C913</f>
        <v>0</v>
      </c>
      <c r="D1824" s="24">
        <f>Parameters!D913</f>
        <v>0</v>
      </c>
      <c r="E1824" s="23">
        <f>Parameters!E913</f>
        <v>0</v>
      </c>
      <c r="F1824" s="23">
        <f>Parameters!F913</f>
        <v>0</v>
      </c>
      <c r="G1824" s="25">
        <f>Parameters!G913</f>
        <v>0</v>
      </c>
      <c r="H1824" s="25">
        <f>Parameters!H913</f>
        <v>0</v>
      </c>
      <c r="I1824" s="25">
        <f>Parameters!I913</f>
        <v>0</v>
      </c>
      <c r="J1824" s="25">
        <f>Parameters!J913</f>
        <v>0</v>
      </c>
      <c r="K1824" s="25">
        <f>Parameters!K913</f>
        <v>0</v>
      </c>
      <c r="L1824" s="26" t="e">
        <f t="shared" ref="L1824" si="2730">L1825</f>
        <v>#DIV/0!</v>
      </c>
      <c r="M1824" s="25">
        <f>Parameters!L913</f>
        <v>0</v>
      </c>
      <c r="N1824" s="25">
        <f>Parameters!M913</f>
        <v>0</v>
      </c>
      <c r="O1824" s="26" t="e">
        <f t="shared" ref="O1824" si="2731">O1825</f>
        <v>#DIV/0!</v>
      </c>
      <c r="P1824" s="23">
        <f>Parameters!N913</f>
        <v>0</v>
      </c>
      <c r="Q1824" s="23">
        <f>Parameters!O913</f>
        <v>0</v>
      </c>
      <c r="R1824" s="23">
        <f>Parameters!P913</f>
        <v>0</v>
      </c>
      <c r="S1824" s="23">
        <f>Parameters!Q913</f>
        <v>0</v>
      </c>
      <c r="T1824" s="23">
        <f>Parameters!R913</f>
        <v>0</v>
      </c>
      <c r="U1824" s="27">
        <f>Parameters!S913</f>
        <v>0</v>
      </c>
      <c r="V1824" s="28">
        <f>Parameters!T913</f>
        <v>0</v>
      </c>
      <c r="W1824" s="27">
        <f>Parameters!U913</f>
        <v>0</v>
      </c>
      <c r="X1824" s="28">
        <f>Parameters!V913</f>
        <v>0</v>
      </c>
      <c r="Y1824" s="25">
        <f>Parameters!W913</f>
        <v>0</v>
      </c>
      <c r="Z1824" s="23">
        <f>Parameters!X913</f>
        <v>0</v>
      </c>
      <c r="AA1824" s="27">
        <f>Parameters!Y913</f>
        <v>0</v>
      </c>
      <c r="AB1824" s="28">
        <f>Parameters!Z913</f>
        <v>0</v>
      </c>
      <c r="AC1824" s="23">
        <f>Parameters!AA913</f>
        <v>0</v>
      </c>
    </row>
    <row r="1825" spans="1:29">
      <c r="A1825" s="29" t="str">
        <f>UPPER(A1824)</f>
        <v>0</v>
      </c>
      <c r="B1825" s="29">
        <f>B1824</f>
        <v>0</v>
      </c>
      <c r="C1825" s="30">
        <f>C1824</f>
        <v>0</v>
      </c>
      <c r="D1825" s="30">
        <f>D1824</f>
        <v>0</v>
      </c>
      <c r="E1825" s="29">
        <f>E1824</f>
        <v>0</v>
      </c>
      <c r="F1825" s="29">
        <f>F1824</f>
        <v>0</v>
      </c>
      <c r="G1825" s="29" t="e">
        <f>IF(C1824=1,IF(D1824="BUY",E1824+(ROUND(F1824*G1824/B1824,0)*B1824),E1824-(ROUND(F1824*G1824/B1824,0)*B1824)),IF(D1824="BUY",E1824-(ROUND(F1824*G1824/B1824,0)*B1824),E1824+(ROUND(F1824*G1824/B1824,0)*B1824)))</f>
        <v>#DIV/0!</v>
      </c>
      <c r="H1825" s="29" t="e">
        <f>IF(C1824=1,IF(D1824="BUY",G1825-(ROUND(F1824*H1824/B1824,0)*B1824),G1825+(ROUND(F1824*H1824/B1824,0)*B1824)),IF(D1824="BUY",G1825+(ROUND(F1824*H1824/B1824,0)*B1824),G1825-(ROUND(F1824*H1824/B1824,0)*B1824)))</f>
        <v>#DIV/0!</v>
      </c>
      <c r="I1825" s="29" t="e">
        <f>IF(D1824="BUY",G1825+(ROUND(F1824*I1824/(B1824*100),0)*B1824),G1825-(ROUND(F1824*I1824/(B1824*100),0)*B1824))</f>
        <v>#DIV/0!</v>
      </c>
      <c r="J1825" s="29" t="e">
        <f>IF(C1824=1,IF(D1824="BUY",E1824+(ROUND(F1824*J1824/B1824,0)*B1824),E1824-(ROUND(F1824*J1824/B1824,0)*B1824)),IF(D1824="BUY",E1824-(ROUND(F1824*J1824/B1824,0)*B1824),E1824+(ROUND(F1824*J1824/B1824,0)*B1824)))</f>
        <v>#DIV/0!</v>
      </c>
      <c r="K1825" s="29" t="e">
        <f>IF(C1824=1,IF(D1824="BUY",E1824-(ROUND(F1824*K1824/B1824,0)*B1824),E1824+(ROUND(F1824*K1824/B1824,0)*B1824)),IF(D1824="BUY",E1824-(ROUND(F1824*K1824/B1824,0)*B1824),E1824+(ROUND(F1824*K1824/B1824,0)*B1824)))</f>
        <v>#DIV/0!</v>
      </c>
      <c r="L1825" s="29" t="e">
        <f t="shared" ref="L1825" si="2732">IF(D1825="BUY",I1825+(R1825*B1825),I1825-(R1825*B1825))</f>
        <v>#DIV/0!</v>
      </c>
      <c r="M1825" s="29" t="e">
        <f>IF(D1824="BUY",E1824+(ROUND(F1824*M1824/B1824,0)*B1824),E1824-(ROUND(F1824*M1824/B1824,0)*B1824))</f>
        <v>#DIV/0!</v>
      </c>
      <c r="N1825" s="29" t="e">
        <f>IF(D1824="BUY",E1824-(ROUND(F1824*N1824/B1824,0)*B1824),E1824+(ROUND(F1824*N1824/B1824,0)*B1824))</f>
        <v>#DIV/0!</v>
      </c>
      <c r="O1825" s="31" t="e">
        <f>IF(D1825="BUY",N1825-VLOOKUP(A1825,Symbols!A$1:D$1000,4,FALSE),N1825+VLOOKUP(A1825,Symbols!A$1:D$1000,4,FALSE))</f>
        <v>#DIV/0!</v>
      </c>
      <c r="P1825" s="29">
        <f>P1824</f>
        <v>0</v>
      </c>
      <c r="Q1825" s="29">
        <f>Q1824</f>
        <v>0</v>
      </c>
      <c r="R1825" s="29">
        <f>R1824</f>
        <v>0</v>
      </c>
      <c r="S1825" s="29">
        <f>S1824</f>
        <v>0</v>
      </c>
      <c r="T1825" s="29">
        <f>T1824</f>
        <v>0</v>
      </c>
      <c r="U1825" s="29" t="e">
        <f>DATEDIF(DATE(1970,1,1),U1824,"D")*86400</f>
        <v>#NUM!</v>
      </c>
      <c r="V1825" s="29">
        <f>HOUR(V1824)*3600+MINUTE(V1824)*60+SECOND(V1824)</f>
        <v>0</v>
      </c>
      <c r="W1825" s="29" t="e">
        <f>DATEDIF(DATE(1970,1,1),W1824,"D")*86400</f>
        <v>#NUM!</v>
      </c>
      <c r="X1825" s="29">
        <f>HOUR(X1824)*3600+MINUTE(X1824)*60+SECOND(X1824)</f>
        <v>0</v>
      </c>
      <c r="Y1825" s="31">
        <f>(Y1824*B1825)</f>
        <v>0</v>
      </c>
      <c r="Z1825" s="29">
        <f>Z1824</f>
        <v>0</v>
      </c>
      <c r="AA1825" s="29" t="e">
        <f>DATEDIF(DATE(1970,1,1),AA1824,"D")*86400</f>
        <v>#NUM!</v>
      </c>
      <c r="AB1825" s="29">
        <f>HOUR(AB1824)*3600+MINUTE(AB1824)*60+SECOND(AB1824)</f>
        <v>0</v>
      </c>
      <c r="AC1825" s="29">
        <f>AC1824</f>
        <v>0</v>
      </c>
    </row>
    <row r="1826" spans="1:29">
      <c r="A1826" s="23">
        <f>Parameters!A914</f>
        <v>0</v>
      </c>
      <c r="B1826" s="23">
        <f>Parameters!B914</f>
        <v>0</v>
      </c>
      <c r="C1826" s="24">
        <f>Parameters!C914</f>
        <v>0</v>
      </c>
      <c r="D1826" s="24">
        <f>Parameters!D914</f>
        <v>0</v>
      </c>
      <c r="E1826" s="23">
        <f>Parameters!E914</f>
        <v>0</v>
      </c>
      <c r="F1826" s="23">
        <f>Parameters!F914</f>
        <v>0</v>
      </c>
      <c r="G1826" s="25">
        <f>Parameters!G914</f>
        <v>0</v>
      </c>
      <c r="H1826" s="25">
        <f>Parameters!H914</f>
        <v>0</v>
      </c>
      <c r="I1826" s="25">
        <f>Parameters!I914</f>
        <v>0</v>
      </c>
      <c r="J1826" s="25">
        <f>Parameters!J914</f>
        <v>0</v>
      </c>
      <c r="K1826" s="25">
        <f>Parameters!K914</f>
        <v>0</v>
      </c>
      <c r="L1826" s="26" t="e">
        <f t="shared" ref="L1826" si="2733">L1827</f>
        <v>#DIV/0!</v>
      </c>
      <c r="M1826" s="25">
        <f>Parameters!L914</f>
        <v>0</v>
      </c>
      <c r="N1826" s="25">
        <f>Parameters!M914</f>
        <v>0</v>
      </c>
      <c r="O1826" s="26" t="e">
        <f t="shared" ref="O1826" si="2734">O1827</f>
        <v>#DIV/0!</v>
      </c>
      <c r="P1826" s="23">
        <f>Parameters!N914</f>
        <v>0</v>
      </c>
      <c r="Q1826" s="23">
        <f>Parameters!O914</f>
        <v>0</v>
      </c>
      <c r="R1826" s="23">
        <f>Parameters!P914</f>
        <v>0</v>
      </c>
      <c r="S1826" s="23">
        <f>Parameters!Q914</f>
        <v>0</v>
      </c>
      <c r="T1826" s="23">
        <f>Parameters!R914</f>
        <v>0</v>
      </c>
      <c r="U1826" s="27">
        <f>Parameters!S914</f>
        <v>0</v>
      </c>
      <c r="V1826" s="28">
        <f>Parameters!T914</f>
        <v>0</v>
      </c>
      <c r="W1826" s="27">
        <f>Parameters!U914</f>
        <v>0</v>
      </c>
      <c r="X1826" s="28">
        <f>Parameters!V914</f>
        <v>0</v>
      </c>
      <c r="Y1826" s="25">
        <f>Parameters!W914</f>
        <v>0</v>
      </c>
      <c r="Z1826" s="23">
        <f>Parameters!X914</f>
        <v>0</v>
      </c>
      <c r="AA1826" s="27">
        <f>Parameters!Y914</f>
        <v>0</v>
      </c>
      <c r="AB1826" s="28">
        <f>Parameters!Z914</f>
        <v>0</v>
      </c>
      <c r="AC1826" s="23">
        <f>Parameters!AA914</f>
        <v>0</v>
      </c>
    </row>
    <row r="1827" spans="1:29">
      <c r="A1827" s="29" t="str">
        <f>UPPER(A1826)</f>
        <v>0</v>
      </c>
      <c r="B1827" s="29">
        <f>B1826</f>
        <v>0</v>
      </c>
      <c r="C1827" s="30">
        <f>C1826</f>
        <v>0</v>
      </c>
      <c r="D1827" s="30">
        <f>D1826</f>
        <v>0</v>
      </c>
      <c r="E1827" s="29">
        <f>E1826</f>
        <v>0</v>
      </c>
      <c r="F1827" s="29">
        <f>F1826</f>
        <v>0</v>
      </c>
      <c r="G1827" s="29" t="e">
        <f>IF(C1826=1,IF(D1826="BUY",E1826+(ROUND(F1826*G1826/B1826,0)*B1826),E1826-(ROUND(F1826*G1826/B1826,0)*B1826)),IF(D1826="BUY",E1826-(ROUND(F1826*G1826/B1826,0)*B1826),E1826+(ROUND(F1826*G1826/B1826,0)*B1826)))</f>
        <v>#DIV/0!</v>
      </c>
      <c r="H1827" s="29" t="e">
        <f>IF(C1826=1,IF(D1826="BUY",G1827-(ROUND(F1826*H1826/B1826,0)*B1826),G1827+(ROUND(F1826*H1826/B1826,0)*B1826)),IF(D1826="BUY",G1827+(ROUND(F1826*H1826/B1826,0)*B1826),G1827-(ROUND(F1826*H1826/B1826,0)*B1826)))</f>
        <v>#DIV/0!</v>
      </c>
      <c r="I1827" s="29" t="e">
        <f>IF(D1826="BUY",G1827+(ROUND(F1826*I1826/(B1826*100),0)*B1826),G1827-(ROUND(F1826*I1826/(B1826*100),0)*B1826))</f>
        <v>#DIV/0!</v>
      </c>
      <c r="J1827" s="29" t="e">
        <f>IF(C1826=1,IF(D1826="BUY",E1826+(ROUND(F1826*J1826/B1826,0)*B1826),E1826-(ROUND(F1826*J1826/B1826,0)*B1826)),IF(D1826="BUY",E1826-(ROUND(F1826*J1826/B1826,0)*B1826),E1826+(ROUND(F1826*J1826/B1826,0)*B1826)))</f>
        <v>#DIV/0!</v>
      </c>
      <c r="K1827" s="29" t="e">
        <f>IF(C1826=1,IF(D1826="BUY",E1826-(ROUND(F1826*K1826/B1826,0)*B1826),E1826+(ROUND(F1826*K1826/B1826,0)*B1826)),IF(D1826="BUY",E1826-(ROUND(F1826*K1826/B1826,0)*B1826),E1826+(ROUND(F1826*K1826/B1826,0)*B1826)))</f>
        <v>#DIV/0!</v>
      </c>
      <c r="L1827" s="29" t="e">
        <f t="shared" ref="L1827" si="2735">IF(D1827="BUY",I1827+(R1827*B1827),I1827-(R1827*B1827))</f>
        <v>#DIV/0!</v>
      </c>
      <c r="M1827" s="29" t="e">
        <f>IF(D1826="BUY",E1826+(ROUND(F1826*M1826/B1826,0)*B1826),E1826-(ROUND(F1826*M1826/B1826,0)*B1826))</f>
        <v>#DIV/0!</v>
      </c>
      <c r="N1827" s="29" t="e">
        <f>IF(D1826="BUY",E1826-(ROUND(F1826*N1826/B1826,0)*B1826),E1826+(ROUND(F1826*N1826/B1826,0)*B1826))</f>
        <v>#DIV/0!</v>
      </c>
      <c r="O1827" s="31" t="e">
        <f>IF(D1827="BUY",N1827-VLOOKUP(A1827,Symbols!A$1:D$1000,4,FALSE),N1827+VLOOKUP(A1827,Symbols!A$1:D$1000,4,FALSE))</f>
        <v>#DIV/0!</v>
      </c>
      <c r="P1827" s="29">
        <f>P1826</f>
        <v>0</v>
      </c>
      <c r="Q1827" s="29">
        <f>Q1826</f>
        <v>0</v>
      </c>
      <c r="R1827" s="29">
        <f>R1826</f>
        <v>0</v>
      </c>
      <c r="S1827" s="29">
        <f>S1826</f>
        <v>0</v>
      </c>
      <c r="T1827" s="29">
        <f>T1826</f>
        <v>0</v>
      </c>
      <c r="U1827" s="29" t="e">
        <f>DATEDIF(DATE(1970,1,1),U1826,"D")*86400</f>
        <v>#NUM!</v>
      </c>
      <c r="V1827" s="29">
        <f>HOUR(V1826)*3600+MINUTE(V1826)*60+SECOND(V1826)</f>
        <v>0</v>
      </c>
      <c r="W1827" s="29" t="e">
        <f>DATEDIF(DATE(1970,1,1),W1826,"D")*86400</f>
        <v>#NUM!</v>
      </c>
      <c r="X1827" s="29">
        <f>HOUR(X1826)*3600+MINUTE(X1826)*60+SECOND(X1826)</f>
        <v>0</v>
      </c>
      <c r="Y1827" s="31">
        <f>(Y1826*B1827)</f>
        <v>0</v>
      </c>
      <c r="Z1827" s="29">
        <f>Z1826</f>
        <v>0</v>
      </c>
      <c r="AA1827" s="29" t="e">
        <f>DATEDIF(DATE(1970,1,1),AA1826,"D")*86400</f>
        <v>#NUM!</v>
      </c>
      <c r="AB1827" s="29">
        <f>HOUR(AB1826)*3600+MINUTE(AB1826)*60+SECOND(AB1826)</f>
        <v>0</v>
      </c>
      <c r="AC1827" s="29">
        <f>AC1826</f>
        <v>0</v>
      </c>
    </row>
    <row r="1828" spans="1:29">
      <c r="A1828" s="23">
        <f>Parameters!A915</f>
        <v>0</v>
      </c>
      <c r="B1828" s="23">
        <f>Parameters!B915</f>
        <v>0</v>
      </c>
      <c r="C1828" s="24">
        <f>Parameters!C915</f>
        <v>0</v>
      </c>
      <c r="D1828" s="24">
        <f>Parameters!D915</f>
        <v>0</v>
      </c>
      <c r="E1828" s="23">
        <f>Parameters!E915</f>
        <v>0</v>
      </c>
      <c r="F1828" s="23">
        <f>Parameters!F915</f>
        <v>0</v>
      </c>
      <c r="G1828" s="25">
        <f>Parameters!G915</f>
        <v>0</v>
      </c>
      <c r="H1828" s="25">
        <f>Parameters!H915</f>
        <v>0</v>
      </c>
      <c r="I1828" s="25">
        <f>Parameters!I915</f>
        <v>0</v>
      </c>
      <c r="J1828" s="25">
        <f>Parameters!J915</f>
        <v>0</v>
      </c>
      <c r="K1828" s="25">
        <f>Parameters!K915</f>
        <v>0</v>
      </c>
      <c r="L1828" s="26" t="e">
        <f t="shared" ref="L1828" si="2736">L1829</f>
        <v>#DIV/0!</v>
      </c>
      <c r="M1828" s="25">
        <f>Parameters!L915</f>
        <v>0</v>
      </c>
      <c r="N1828" s="25">
        <f>Parameters!M915</f>
        <v>0</v>
      </c>
      <c r="O1828" s="26" t="e">
        <f t="shared" ref="O1828" si="2737">O1829</f>
        <v>#DIV/0!</v>
      </c>
      <c r="P1828" s="23">
        <f>Parameters!N915</f>
        <v>0</v>
      </c>
      <c r="Q1828" s="23">
        <f>Parameters!O915</f>
        <v>0</v>
      </c>
      <c r="R1828" s="23">
        <f>Parameters!P915</f>
        <v>0</v>
      </c>
      <c r="S1828" s="23">
        <f>Parameters!Q915</f>
        <v>0</v>
      </c>
      <c r="T1828" s="23">
        <f>Parameters!R915</f>
        <v>0</v>
      </c>
      <c r="U1828" s="27">
        <f>Parameters!S915</f>
        <v>0</v>
      </c>
      <c r="V1828" s="28">
        <f>Parameters!T915</f>
        <v>0</v>
      </c>
      <c r="W1828" s="27">
        <f>Parameters!U915</f>
        <v>0</v>
      </c>
      <c r="X1828" s="28">
        <f>Parameters!V915</f>
        <v>0</v>
      </c>
      <c r="Y1828" s="25">
        <f>Parameters!W915</f>
        <v>0</v>
      </c>
      <c r="Z1828" s="23">
        <f>Parameters!X915</f>
        <v>0</v>
      </c>
      <c r="AA1828" s="27">
        <f>Parameters!Y915</f>
        <v>0</v>
      </c>
      <c r="AB1828" s="28">
        <f>Parameters!Z915</f>
        <v>0</v>
      </c>
      <c r="AC1828" s="23">
        <f>Parameters!AA915</f>
        <v>0</v>
      </c>
    </row>
    <row r="1829" spans="1:29">
      <c r="A1829" s="29" t="str">
        <f>UPPER(A1828)</f>
        <v>0</v>
      </c>
      <c r="B1829" s="29">
        <f>B1828</f>
        <v>0</v>
      </c>
      <c r="C1829" s="30">
        <f>C1828</f>
        <v>0</v>
      </c>
      <c r="D1829" s="30">
        <f>D1828</f>
        <v>0</v>
      </c>
      <c r="E1829" s="29">
        <f>E1828</f>
        <v>0</v>
      </c>
      <c r="F1829" s="29">
        <f>F1828</f>
        <v>0</v>
      </c>
      <c r="G1829" s="29" t="e">
        <f>IF(C1828=1,IF(D1828="BUY",E1828+(ROUND(F1828*G1828/B1828,0)*B1828),E1828-(ROUND(F1828*G1828/B1828,0)*B1828)),IF(D1828="BUY",E1828-(ROUND(F1828*G1828/B1828,0)*B1828),E1828+(ROUND(F1828*G1828/B1828,0)*B1828)))</f>
        <v>#DIV/0!</v>
      </c>
      <c r="H1829" s="29" t="e">
        <f>IF(C1828=1,IF(D1828="BUY",G1829-(ROUND(F1828*H1828/B1828,0)*B1828),G1829+(ROUND(F1828*H1828/B1828,0)*B1828)),IF(D1828="BUY",G1829+(ROUND(F1828*H1828/B1828,0)*B1828),G1829-(ROUND(F1828*H1828/B1828,0)*B1828)))</f>
        <v>#DIV/0!</v>
      </c>
      <c r="I1829" s="29" t="e">
        <f>IF(D1828="BUY",G1829+(ROUND(F1828*I1828/(B1828*100),0)*B1828),G1829-(ROUND(F1828*I1828/(B1828*100),0)*B1828))</f>
        <v>#DIV/0!</v>
      </c>
      <c r="J1829" s="29" t="e">
        <f>IF(C1828=1,IF(D1828="BUY",E1828+(ROUND(F1828*J1828/B1828,0)*B1828),E1828-(ROUND(F1828*J1828/B1828,0)*B1828)),IF(D1828="BUY",E1828-(ROUND(F1828*J1828/B1828,0)*B1828),E1828+(ROUND(F1828*J1828/B1828,0)*B1828)))</f>
        <v>#DIV/0!</v>
      </c>
      <c r="K1829" s="29" t="e">
        <f>IF(C1828=1,IF(D1828="BUY",E1828-(ROUND(F1828*K1828/B1828,0)*B1828),E1828+(ROUND(F1828*K1828/B1828,0)*B1828)),IF(D1828="BUY",E1828-(ROUND(F1828*K1828/B1828,0)*B1828),E1828+(ROUND(F1828*K1828/B1828,0)*B1828)))</f>
        <v>#DIV/0!</v>
      </c>
      <c r="L1829" s="29" t="e">
        <f t="shared" ref="L1829" si="2738">IF(D1829="BUY",I1829+(R1829*B1829),I1829-(R1829*B1829))</f>
        <v>#DIV/0!</v>
      </c>
      <c r="M1829" s="29" t="e">
        <f>IF(D1828="BUY",E1828+(ROUND(F1828*M1828/B1828,0)*B1828),E1828-(ROUND(F1828*M1828/B1828,0)*B1828))</f>
        <v>#DIV/0!</v>
      </c>
      <c r="N1829" s="29" t="e">
        <f>IF(D1828="BUY",E1828-(ROUND(F1828*N1828/B1828,0)*B1828),E1828+(ROUND(F1828*N1828/B1828,0)*B1828))</f>
        <v>#DIV/0!</v>
      </c>
      <c r="O1829" s="31" t="e">
        <f>IF(D1829="BUY",N1829-VLOOKUP(A1829,Symbols!A$1:D$1000,4,FALSE),N1829+VLOOKUP(A1829,Symbols!A$1:D$1000,4,FALSE))</f>
        <v>#DIV/0!</v>
      </c>
      <c r="P1829" s="29">
        <f>P1828</f>
        <v>0</v>
      </c>
      <c r="Q1829" s="29">
        <f>Q1828</f>
        <v>0</v>
      </c>
      <c r="R1829" s="29">
        <f>R1828</f>
        <v>0</v>
      </c>
      <c r="S1829" s="29">
        <f>S1828</f>
        <v>0</v>
      </c>
      <c r="T1829" s="29">
        <f>T1828</f>
        <v>0</v>
      </c>
      <c r="U1829" s="29" t="e">
        <f>DATEDIF(DATE(1970,1,1),U1828,"D")*86400</f>
        <v>#NUM!</v>
      </c>
      <c r="V1829" s="29">
        <f>HOUR(V1828)*3600+MINUTE(V1828)*60+SECOND(V1828)</f>
        <v>0</v>
      </c>
      <c r="W1829" s="29" t="e">
        <f>DATEDIF(DATE(1970,1,1),W1828,"D")*86400</f>
        <v>#NUM!</v>
      </c>
      <c r="X1829" s="29">
        <f>HOUR(X1828)*3600+MINUTE(X1828)*60+SECOND(X1828)</f>
        <v>0</v>
      </c>
      <c r="Y1829" s="31">
        <f>(Y1828*B1829)</f>
        <v>0</v>
      </c>
      <c r="Z1829" s="29">
        <f>Z1828</f>
        <v>0</v>
      </c>
      <c r="AA1829" s="29" t="e">
        <f>DATEDIF(DATE(1970,1,1),AA1828,"D")*86400</f>
        <v>#NUM!</v>
      </c>
      <c r="AB1829" s="29">
        <f>HOUR(AB1828)*3600+MINUTE(AB1828)*60+SECOND(AB1828)</f>
        <v>0</v>
      </c>
      <c r="AC1829" s="29">
        <f>AC1828</f>
        <v>0</v>
      </c>
    </row>
    <row r="1830" spans="1:29">
      <c r="A1830" s="23">
        <f>Parameters!A916</f>
        <v>0</v>
      </c>
      <c r="B1830" s="23">
        <f>Parameters!B916</f>
        <v>0</v>
      </c>
      <c r="C1830" s="24">
        <f>Parameters!C916</f>
        <v>0</v>
      </c>
      <c r="D1830" s="24">
        <f>Parameters!D916</f>
        <v>0</v>
      </c>
      <c r="E1830" s="23">
        <f>Parameters!E916</f>
        <v>0</v>
      </c>
      <c r="F1830" s="23">
        <f>Parameters!F916</f>
        <v>0</v>
      </c>
      <c r="G1830" s="25">
        <f>Parameters!G916</f>
        <v>0</v>
      </c>
      <c r="H1830" s="25">
        <f>Parameters!H916</f>
        <v>0</v>
      </c>
      <c r="I1830" s="25">
        <f>Parameters!I916</f>
        <v>0</v>
      </c>
      <c r="J1830" s="25">
        <f>Parameters!J916</f>
        <v>0</v>
      </c>
      <c r="K1830" s="25">
        <f>Parameters!K916</f>
        <v>0</v>
      </c>
      <c r="L1830" s="26" t="e">
        <f t="shared" ref="L1830" si="2739">L1831</f>
        <v>#DIV/0!</v>
      </c>
      <c r="M1830" s="25">
        <f>Parameters!L916</f>
        <v>0</v>
      </c>
      <c r="N1830" s="25">
        <f>Parameters!M916</f>
        <v>0</v>
      </c>
      <c r="O1830" s="26" t="e">
        <f t="shared" ref="O1830" si="2740">O1831</f>
        <v>#DIV/0!</v>
      </c>
      <c r="P1830" s="23">
        <f>Parameters!N916</f>
        <v>0</v>
      </c>
      <c r="Q1830" s="23">
        <f>Parameters!O916</f>
        <v>0</v>
      </c>
      <c r="R1830" s="23">
        <f>Parameters!P916</f>
        <v>0</v>
      </c>
      <c r="S1830" s="23">
        <f>Parameters!Q916</f>
        <v>0</v>
      </c>
      <c r="T1830" s="23">
        <f>Parameters!R916</f>
        <v>0</v>
      </c>
      <c r="U1830" s="27">
        <f>Parameters!S916</f>
        <v>0</v>
      </c>
      <c r="V1830" s="28">
        <f>Parameters!T916</f>
        <v>0</v>
      </c>
      <c r="W1830" s="27">
        <f>Parameters!U916</f>
        <v>0</v>
      </c>
      <c r="X1830" s="28">
        <f>Parameters!V916</f>
        <v>0</v>
      </c>
      <c r="Y1830" s="25">
        <f>Parameters!W916</f>
        <v>0</v>
      </c>
      <c r="Z1830" s="23">
        <f>Parameters!X916</f>
        <v>0</v>
      </c>
      <c r="AA1830" s="27">
        <f>Parameters!Y916</f>
        <v>0</v>
      </c>
      <c r="AB1830" s="28">
        <f>Parameters!Z916</f>
        <v>0</v>
      </c>
      <c r="AC1830" s="23">
        <f>Parameters!AA916</f>
        <v>0</v>
      </c>
    </row>
    <row r="1831" spans="1:29">
      <c r="A1831" s="29" t="str">
        <f>UPPER(A1830)</f>
        <v>0</v>
      </c>
      <c r="B1831" s="29">
        <f>B1830</f>
        <v>0</v>
      </c>
      <c r="C1831" s="30">
        <f>C1830</f>
        <v>0</v>
      </c>
      <c r="D1831" s="30">
        <f>D1830</f>
        <v>0</v>
      </c>
      <c r="E1831" s="29">
        <f>E1830</f>
        <v>0</v>
      </c>
      <c r="F1831" s="29">
        <f>F1830</f>
        <v>0</v>
      </c>
      <c r="G1831" s="29" t="e">
        <f>IF(C1830=1,IF(D1830="BUY",E1830+(ROUND(F1830*G1830/B1830,0)*B1830),E1830-(ROUND(F1830*G1830/B1830,0)*B1830)),IF(D1830="BUY",E1830-(ROUND(F1830*G1830/B1830,0)*B1830),E1830+(ROUND(F1830*G1830/B1830,0)*B1830)))</f>
        <v>#DIV/0!</v>
      </c>
      <c r="H1831" s="29" t="e">
        <f>IF(C1830=1,IF(D1830="BUY",G1831-(ROUND(F1830*H1830/B1830,0)*B1830),G1831+(ROUND(F1830*H1830/B1830,0)*B1830)),IF(D1830="BUY",G1831+(ROUND(F1830*H1830/B1830,0)*B1830),G1831-(ROUND(F1830*H1830/B1830,0)*B1830)))</f>
        <v>#DIV/0!</v>
      </c>
      <c r="I1831" s="29" t="e">
        <f>IF(D1830="BUY",G1831+(ROUND(F1830*I1830/(B1830*100),0)*B1830),G1831-(ROUND(F1830*I1830/(B1830*100),0)*B1830))</f>
        <v>#DIV/0!</v>
      </c>
      <c r="J1831" s="29" t="e">
        <f>IF(C1830=1,IF(D1830="BUY",E1830+(ROUND(F1830*J1830/B1830,0)*B1830),E1830-(ROUND(F1830*J1830/B1830,0)*B1830)),IF(D1830="BUY",E1830-(ROUND(F1830*J1830/B1830,0)*B1830),E1830+(ROUND(F1830*J1830/B1830,0)*B1830)))</f>
        <v>#DIV/0!</v>
      </c>
      <c r="K1831" s="29" t="e">
        <f>IF(C1830=1,IF(D1830="BUY",E1830-(ROUND(F1830*K1830/B1830,0)*B1830),E1830+(ROUND(F1830*K1830/B1830,0)*B1830)),IF(D1830="BUY",E1830-(ROUND(F1830*K1830/B1830,0)*B1830),E1830+(ROUND(F1830*K1830/B1830,0)*B1830)))</f>
        <v>#DIV/0!</v>
      </c>
      <c r="L1831" s="29" t="e">
        <f t="shared" ref="L1831" si="2741">IF(D1831="BUY",I1831+(R1831*B1831),I1831-(R1831*B1831))</f>
        <v>#DIV/0!</v>
      </c>
      <c r="M1831" s="29" t="e">
        <f>IF(D1830="BUY",E1830+(ROUND(F1830*M1830/B1830,0)*B1830),E1830-(ROUND(F1830*M1830/B1830,0)*B1830))</f>
        <v>#DIV/0!</v>
      </c>
      <c r="N1831" s="29" t="e">
        <f>IF(D1830="BUY",E1830-(ROUND(F1830*N1830/B1830,0)*B1830),E1830+(ROUND(F1830*N1830/B1830,0)*B1830))</f>
        <v>#DIV/0!</v>
      </c>
      <c r="O1831" s="31" t="e">
        <f>IF(D1831="BUY",N1831-VLOOKUP(A1831,Symbols!A$1:D$1000,4,FALSE),N1831+VLOOKUP(A1831,Symbols!A$1:D$1000,4,FALSE))</f>
        <v>#DIV/0!</v>
      </c>
      <c r="P1831" s="29">
        <f>P1830</f>
        <v>0</v>
      </c>
      <c r="Q1831" s="29">
        <f>Q1830</f>
        <v>0</v>
      </c>
      <c r="R1831" s="29">
        <f>R1830</f>
        <v>0</v>
      </c>
      <c r="S1831" s="29">
        <f>S1830</f>
        <v>0</v>
      </c>
      <c r="T1831" s="29">
        <f>T1830</f>
        <v>0</v>
      </c>
      <c r="U1831" s="29" t="e">
        <f>DATEDIF(DATE(1970,1,1),U1830,"D")*86400</f>
        <v>#NUM!</v>
      </c>
      <c r="V1831" s="29">
        <f>HOUR(V1830)*3600+MINUTE(V1830)*60+SECOND(V1830)</f>
        <v>0</v>
      </c>
      <c r="W1831" s="29" t="e">
        <f>DATEDIF(DATE(1970,1,1),W1830,"D")*86400</f>
        <v>#NUM!</v>
      </c>
      <c r="X1831" s="29">
        <f>HOUR(X1830)*3600+MINUTE(X1830)*60+SECOND(X1830)</f>
        <v>0</v>
      </c>
      <c r="Y1831" s="31">
        <f>(Y1830*B1831)</f>
        <v>0</v>
      </c>
      <c r="Z1831" s="29">
        <f>Z1830</f>
        <v>0</v>
      </c>
      <c r="AA1831" s="29" t="e">
        <f>DATEDIF(DATE(1970,1,1),AA1830,"D")*86400</f>
        <v>#NUM!</v>
      </c>
      <c r="AB1831" s="29">
        <f>HOUR(AB1830)*3600+MINUTE(AB1830)*60+SECOND(AB1830)</f>
        <v>0</v>
      </c>
      <c r="AC1831" s="29">
        <f>AC1830</f>
        <v>0</v>
      </c>
    </row>
    <row r="1832" spans="1:29">
      <c r="A1832" s="23">
        <f>Parameters!A917</f>
        <v>0</v>
      </c>
      <c r="B1832" s="23">
        <f>Parameters!B917</f>
        <v>0</v>
      </c>
      <c r="C1832" s="24">
        <f>Parameters!C917</f>
        <v>0</v>
      </c>
      <c r="D1832" s="24">
        <f>Parameters!D917</f>
        <v>0</v>
      </c>
      <c r="E1832" s="23">
        <f>Parameters!E917</f>
        <v>0</v>
      </c>
      <c r="F1832" s="23">
        <f>Parameters!F917</f>
        <v>0</v>
      </c>
      <c r="G1832" s="25">
        <f>Parameters!G917</f>
        <v>0</v>
      </c>
      <c r="H1832" s="25">
        <f>Parameters!H917</f>
        <v>0</v>
      </c>
      <c r="I1832" s="25">
        <f>Parameters!I917</f>
        <v>0</v>
      </c>
      <c r="J1832" s="25">
        <f>Parameters!J917</f>
        <v>0</v>
      </c>
      <c r="K1832" s="25">
        <f>Parameters!K917</f>
        <v>0</v>
      </c>
      <c r="L1832" s="26" t="e">
        <f t="shared" ref="L1832" si="2742">L1833</f>
        <v>#DIV/0!</v>
      </c>
      <c r="M1832" s="25">
        <f>Parameters!L917</f>
        <v>0</v>
      </c>
      <c r="N1832" s="25">
        <f>Parameters!M917</f>
        <v>0</v>
      </c>
      <c r="O1832" s="26" t="e">
        <f t="shared" ref="O1832" si="2743">O1833</f>
        <v>#DIV/0!</v>
      </c>
      <c r="P1832" s="23">
        <f>Parameters!N917</f>
        <v>0</v>
      </c>
      <c r="Q1832" s="23">
        <f>Parameters!O917</f>
        <v>0</v>
      </c>
      <c r="R1832" s="23">
        <f>Parameters!P917</f>
        <v>0</v>
      </c>
      <c r="S1832" s="23">
        <f>Parameters!Q917</f>
        <v>0</v>
      </c>
      <c r="T1832" s="23">
        <f>Parameters!R917</f>
        <v>0</v>
      </c>
      <c r="U1832" s="27">
        <f>Parameters!S917</f>
        <v>0</v>
      </c>
      <c r="V1832" s="28">
        <f>Parameters!T917</f>
        <v>0</v>
      </c>
      <c r="W1832" s="27">
        <f>Parameters!U917</f>
        <v>0</v>
      </c>
      <c r="X1832" s="28">
        <f>Parameters!V917</f>
        <v>0</v>
      </c>
      <c r="Y1832" s="25">
        <f>Parameters!W917</f>
        <v>0</v>
      </c>
      <c r="Z1832" s="23">
        <f>Parameters!X917</f>
        <v>0</v>
      </c>
      <c r="AA1832" s="27">
        <f>Parameters!Y917</f>
        <v>0</v>
      </c>
      <c r="AB1832" s="28">
        <f>Parameters!Z917</f>
        <v>0</v>
      </c>
      <c r="AC1832" s="23">
        <f>Parameters!AA917</f>
        <v>0</v>
      </c>
    </row>
    <row r="1833" spans="1:29">
      <c r="A1833" s="29" t="str">
        <f>UPPER(A1832)</f>
        <v>0</v>
      </c>
      <c r="B1833" s="29">
        <f>B1832</f>
        <v>0</v>
      </c>
      <c r="C1833" s="30">
        <f>C1832</f>
        <v>0</v>
      </c>
      <c r="D1833" s="30">
        <f>D1832</f>
        <v>0</v>
      </c>
      <c r="E1833" s="29">
        <f>E1832</f>
        <v>0</v>
      </c>
      <c r="F1833" s="29">
        <f>F1832</f>
        <v>0</v>
      </c>
      <c r="G1833" s="29" t="e">
        <f>IF(C1832=1,IF(D1832="BUY",E1832+(ROUND(F1832*G1832/B1832,0)*B1832),E1832-(ROUND(F1832*G1832/B1832,0)*B1832)),IF(D1832="BUY",E1832-(ROUND(F1832*G1832/B1832,0)*B1832),E1832+(ROUND(F1832*G1832/B1832,0)*B1832)))</f>
        <v>#DIV/0!</v>
      </c>
      <c r="H1833" s="29" t="e">
        <f>IF(C1832=1,IF(D1832="BUY",G1833-(ROUND(F1832*H1832/B1832,0)*B1832),G1833+(ROUND(F1832*H1832/B1832,0)*B1832)),IF(D1832="BUY",G1833+(ROUND(F1832*H1832/B1832,0)*B1832),G1833-(ROUND(F1832*H1832/B1832,0)*B1832)))</f>
        <v>#DIV/0!</v>
      </c>
      <c r="I1833" s="29" t="e">
        <f>IF(D1832="BUY",G1833+(ROUND(F1832*I1832/(B1832*100),0)*B1832),G1833-(ROUND(F1832*I1832/(B1832*100),0)*B1832))</f>
        <v>#DIV/0!</v>
      </c>
      <c r="J1833" s="29" t="e">
        <f>IF(C1832=1,IF(D1832="BUY",E1832+(ROUND(F1832*J1832/B1832,0)*B1832),E1832-(ROUND(F1832*J1832/B1832,0)*B1832)),IF(D1832="BUY",E1832-(ROUND(F1832*J1832/B1832,0)*B1832),E1832+(ROUND(F1832*J1832/B1832,0)*B1832)))</f>
        <v>#DIV/0!</v>
      </c>
      <c r="K1833" s="29" t="e">
        <f>IF(C1832=1,IF(D1832="BUY",E1832-(ROUND(F1832*K1832/B1832,0)*B1832),E1832+(ROUND(F1832*K1832/B1832,0)*B1832)),IF(D1832="BUY",E1832-(ROUND(F1832*K1832/B1832,0)*B1832),E1832+(ROUND(F1832*K1832/B1832,0)*B1832)))</f>
        <v>#DIV/0!</v>
      </c>
      <c r="L1833" s="29" t="e">
        <f t="shared" ref="L1833" si="2744">IF(D1833="BUY",I1833+(R1833*B1833),I1833-(R1833*B1833))</f>
        <v>#DIV/0!</v>
      </c>
      <c r="M1833" s="29" t="e">
        <f>IF(D1832="BUY",E1832+(ROUND(F1832*M1832/B1832,0)*B1832),E1832-(ROUND(F1832*M1832/B1832,0)*B1832))</f>
        <v>#DIV/0!</v>
      </c>
      <c r="N1833" s="29" t="e">
        <f>IF(D1832="BUY",E1832-(ROUND(F1832*N1832/B1832,0)*B1832),E1832+(ROUND(F1832*N1832/B1832,0)*B1832))</f>
        <v>#DIV/0!</v>
      </c>
      <c r="O1833" s="31" t="e">
        <f>IF(D1833="BUY",N1833-VLOOKUP(A1833,Symbols!A$1:D$1000,4,FALSE),N1833+VLOOKUP(A1833,Symbols!A$1:D$1000,4,FALSE))</f>
        <v>#DIV/0!</v>
      </c>
      <c r="P1833" s="29">
        <f>P1832</f>
        <v>0</v>
      </c>
      <c r="Q1833" s="29">
        <f>Q1832</f>
        <v>0</v>
      </c>
      <c r="R1833" s="29">
        <f>R1832</f>
        <v>0</v>
      </c>
      <c r="S1833" s="29">
        <f>S1832</f>
        <v>0</v>
      </c>
      <c r="T1833" s="29">
        <f>T1832</f>
        <v>0</v>
      </c>
      <c r="U1833" s="29" t="e">
        <f>DATEDIF(DATE(1970,1,1),U1832,"D")*86400</f>
        <v>#NUM!</v>
      </c>
      <c r="V1833" s="29">
        <f>HOUR(V1832)*3600+MINUTE(V1832)*60+SECOND(V1832)</f>
        <v>0</v>
      </c>
      <c r="W1833" s="29" t="e">
        <f>DATEDIF(DATE(1970,1,1),W1832,"D")*86400</f>
        <v>#NUM!</v>
      </c>
      <c r="X1833" s="29">
        <f>HOUR(X1832)*3600+MINUTE(X1832)*60+SECOND(X1832)</f>
        <v>0</v>
      </c>
      <c r="Y1833" s="31">
        <f>(Y1832*B1833)</f>
        <v>0</v>
      </c>
      <c r="Z1833" s="29">
        <f>Z1832</f>
        <v>0</v>
      </c>
      <c r="AA1833" s="29" t="e">
        <f>DATEDIF(DATE(1970,1,1),AA1832,"D")*86400</f>
        <v>#NUM!</v>
      </c>
      <c r="AB1833" s="29">
        <f>HOUR(AB1832)*3600+MINUTE(AB1832)*60+SECOND(AB1832)</f>
        <v>0</v>
      </c>
      <c r="AC1833" s="29">
        <f>AC1832</f>
        <v>0</v>
      </c>
    </row>
    <row r="1834" spans="1:29">
      <c r="A1834" s="23">
        <f>Parameters!A918</f>
        <v>0</v>
      </c>
      <c r="B1834" s="23">
        <f>Parameters!B918</f>
        <v>0</v>
      </c>
      <c r="C1834" s="24">
        <f>Parameters!C918</f>
        <v>0</v>
      </c>
      <c r="D1834" s="24">
        <f>Parameters!D918</f>
        <v>0</v>
      </c>
      <c r="E1834" s="23">
        <f>Parameters!E918</f>
        <v>0</v>
      </c>
      <c r="F1834" s="23">
        <f>Parameters!F918</f>
        <v>0</v>
      </c>
      <c r="G1834" s="25">
        <f>Parameters!G918</f>
        <v>0</v>
      </c>
      <c r="H1834" s="25">
        <f>Parameters!H918</f>
        <v>0</v>
      </c>
      <c r="I1834" s="25">
        <f>Parameters!I918</f>
        <v>0</v>
      </c>
      <c r="J1834" s="25">
        <f>Parameters!J918</f>
        <v>0</v>
      </c>
      <c r="K1834" s="25">
        <f>Parameters!K918</f>
        <v>0</v>
      </c>
      <c r="L1834" s="26" t="e">
        <f t="shared" ref="L1834" si="2745">L1835</f>
        <v>#DIV/0!</v>
      </c>
      <c r="M1834" s="25">
        <f>Parameters!L918</f>
        <v>0</v>
      </c>
      <c r="N1834" s="25">
        <f>Parameters!M918</f>
        <v>0</v>
      </c>
      <c r="O1834" s="26" t="e">
        <f t="shared" ref="O1834" si="2746">O1835</f>
        <v>#DIV/0!</v>
      </c>
      <c r="P1834" s="23">
        <f>Parameters!N918</f>
        <v>0</v>
      </c>
      <c r="Q1834" s="23">
        <f>Parameters!O918</f>
        <v>0</v>
      </c>
      <c r="R1834" s="23">
        <f>Parameters!P918</f>
        <v>0</v>
      </c>
      <c r="S1834" s="23">
        <f>Parameters!Q918</f>
        <v>0</v>
      </c>
      <c r="T1834" s="23">
        <f>Parameters!R918</f>
        <v>0</v>
      </c>
      <c r="U1834" s="27">
        <f>Parameters!S918</f>
        <v>0</v>
      </c>
      <c r="V1834" s="28">
        <f>Parameters!T918</f>
        <v>0</v>
      </c>
      <c r="W1834" s="27">
        <f>Parameters!U918</f>
        <v>0</v>
      </c>
      <c r="X1834" s="28">
        <f>Parameters!V918</f>
        <v>0</v>
      </c>
      <c r="Y1834" s="25">
        <f>Parameters!W918</f>
        <v>0</v>
      </c>
      <c r="Z1834" s="23">
        <f>Parameters!X918</f>
        <v>0</v>
      </c>
      <c r="AA1834" s="27">
        <f>Parameters!Y918</f>
        <v>0</v>
      </c>
      <c r="AB1834" s="28">
        <f>Parameters!Z918</f>
        <v>0</v>
      </c>
      <c r="AC1834" s="23">
        <f>Parameters!AA918</f>
        <v>0</v>
      </c>
    </row>
    <row r="1835" spans="1:29">
      <c r="A1835" s="29" t="str">
        <f>UPPER(A1834)</f>
        <v>0</v>
      </c>
      <c r="B1835" s="29">
        <f>B1834</f>
        <v>0</v>
      </c>
      <c r="C1835" s="30">
        <f>C1834</f>
        <v>0</v>
      </c>
      <c r="D1835" s="30">
        <f>D1834</f>
        <v>0</v>
      </c>
      <c r="E1835" s="29">
        <f>E1834</f>
        <v>0</v>
      </c>
      <c r="F1835" s="29">
        <f>F1834</f>
        <v>0</v>
      </c>
      <c r="G1835" s="29" t="e">
        <f>IF(C1834=1,IF(D1834="BUY",E1834+(ROUND(F1834*G1834/B1834,0)*B1834),E1834-(ROUND(F1834*G1834/B1834,0)*B1834)),IF(D1834="BUY",E1834-(ROUND(F1834*G1834/B1834,0)*B1834),E1834+(ROUND(F1834*G1834/B1834,0)*B1834)))</f>
        <v>#DIV/0!</v>
      </c>
      <c r="H1835" s="29" t="e">
        <f>IF(C1834=1,IF(D1834="BUY",G1835-(ROUND(F1834*H1834/B1834,0)*B1834),G1835+(ROUND(F1834*H1834/B1834,0)*B1834)),IF(D1834="BUY",G1835+(ROUND(F1834*H1834/B1834,0)*B1834),G1835-(ROUND(F1834*H1834/B1834,0)*B1834)))</f>
        <v>#DIV/0!</v>
      </c>
      <c r="I1835" s="29" t="e">
        <f>IF(D1834="BUY",G1835+(ROUND(F1834*I1834/(B1834*100),0)*B1834),G1835-(ROUND(F1834*I1834/(B1834*100),0)*B1834))</f>
        <v>#DIV/0!</v>
      </c>
      <c r="J1835" s="29" t="e">
        <f>IF(C1834=1,IF(D1834="BUY",E1834+(ROUND(F1834*J1834/B1834,0)*B1834),E1834-(ROUND(F1834*J1834/B1834,0)*B1834)),IF(D1834="BUY",E1834-(ROUND(F1834*J1834/B1834,0)*B1834),E1834+(ROUND(F1834*J1834/B1834,0)*B1834)))</f>
        <v>#DIV/0!</v>
      </c>
      <c r="K1835" s="29" t="e">
        <f>IF(C1834=1,IF(D1834="BUY",E1834-(ROUND(F1834*K1834/B1834,0)*B1834),E1834+(ROUND(F1834*K1834/B1834,0)*B1834)),IF(D1834="BUY",E1834-(ROUND(F1834*K1834/B1834,0)*B1834),E1834+(ROUND(F1834*K1834/B1834,0)*B1834)))</f>
        <v>#DIV/0!</v>
      </c>
      <c r="L1835" s="29" t="e">
        <f t="shared" ref="L1835" si="2747">IF(D1835="BUY",I1835+(R1835*B1835),I1835-(R1835*B1835))</f>
        <v>#DIV/0!</v>
      </c>
      <c r="M1835" s="29" t="e">
        <f>IF(D1834="BUY",E1834+(ROUND(F1834*M1834/B1834,0)*B1834),E1834-(ROUND(F1834*M1834/B1834,0)*B1834))</f>
        <v>#DIV/0!</v>
      </c>
      <c r="N1835" s="29" t="e">
        <f>IF(D1834="BUY",E1834-(ROUND(F1834*N1834/B1834,0)*B1834),E1834+(ROUND(F1834*N1834/B1834,0)*B1834))</f>
        <v>#DIV/0!</v>
      </c>
      <c r="O1835" s="31" t="e">
        <f>IF(D1835="BUY",N1835-VLOOKUP(A1835,Symbols!A$1:D$1000,4,FALSE),N1835+VLOOKUP(A1835,Symbols!A$1:D$1000,4,FALSE))</f>
        <v>#DIV/0!</v>
      </c>
      <c r="P1835" s="29">
        <f>P1834</f>
        <v>0</v>
      </c>
      <c r="Q1835" s="29">
        <f>Q1834</f>
        <v>0</v>
      </c>
      <c r="R1835" s="29">
        <f>R1834</f>
        <v>0</v>
      </c>
      <c r="S1835" s="29">
        <f>S1834</f>
        <v>0</v>
      </c>
      <c r="T1835" s="29">
        <f>T1834</f>
        <v>0</v>
      </c>
      <c r="U1835" s="29" t="e">
        <f>DATEDIF(DATE(1970,1,1),U1834,"D")*86400</f>
        <v>#NUM!</v>
      </c>
      <c r="V1835" s="29">
        <f>HOUR(V1834)*3600+MINUTE(V1834)*60+SECOND(V1834)</f>
        <v>0</v>
      </c>
      <c r="W1835" s="29" t="e">
        <f>DATEDIF(DATE(1970,1,1),W1834,"D")*86400</f>
        <v>#NUM!</v>
      </c>
      <c r="X1835" s="29">
        <f>HOUR(X1834)*3600+MINUTE(X1834)*60+SECOND(X1834)</f>
        <v>0</v>
      </c>
      <c r="Y1835" s="31">
        <f>(Y1834*B1835)</f>
        <v>0</v>
      </c>
      <c r="Z1835" s="29">
        <f>Z1834</f>
        <v>0</v>
      </c>
      <c r="AA1835" s="29" t="e">
        <f>DATEDIF(DATE(1970,1,1),AA1834,"D")*86400</f>
        <v>#NUM!</v>
      </c>
      <c r="AB1835" s="29">
        <f>HOUR(AB1834)*3600+MINUTE(AB1834)*60+SECOND(AB1834)</f>
        <v>0</v>
      </c>
      <c r="AC1835" s="29">
        <f>AC1834</f>
        <v>0</v>
      </c>
    </row>
    <row r="1836" spans="1:29">
      <c r="A1836" s="23">
        <f>Parameters!A919</f>
        <v>0</v>
      </c>
      <c r="B1836" s="23">
        <f>Parameters!B919</f>
        <v>0</v>
      </c>
      <c r="C1836" s="24">
        <f>Parameters!C919</f>
        <v>0</v>
      </c>
      <c r="D1836" s="24">
        <f>Parameters!D919</f>
        <v>0</v>
      </c>
      <c r="E1836" s="23">
        <f>Parameters!E919</f>
        <v>0</v>
      </c>
      <c r="F1836" s="23">
        <f>Parameters!F919</f>
        <v>0</v>
      </c>
      <c r="G1836" s="25">
        <f>Parameters!G919</f>
        <v>0</v>
      </c>
      <c r="H1836" s="25">
        <f>Parameters!H919</f>
        <v>0</v>
      </c>
      <c r="I1836" s="25">
        <f>Parameters!I919</f>
        <v>0</v>
      </c>
      <c r="J1836" s="25">
        <f>Parameters!J919</f>
        <v>0</v>
      </c>
      <c r="K1836" s="25">
        <f>Parameters!K919</f>
        <v>0</v>
      </c>
      <c r="L1836" s="26" t="e">
        <f t="shared" ref="L1836" si="2748">L1837</f>
        <v>#DIV/0!</v>
      </c>
      <c r="M1836" s="25">
        <f>Parameters!L919</f>
        <v>0</v>
      </c>
      <c r="N1836" s="25">
        <f>Parameters!M919</f>
        <v>0</v>
      </c>
      <c r="O1836" s="26" t="e">
        <f t="shared" ref="O1836" si="2749">O1837</f>
        <v>#DIV/0!</v>
      </c>
      <c r="P1836" s="23">
        <f>Parameters!N919</f>
        <v>0</v>
      </c>
      <c r="Q1836" s="23">
        <f>Parameters!O919</f>
        <v>0</v>
      </c>
      <c r="R1836" s="23">
        <f>Parameters!P919</f>
        <v>0</v>
      </c>
      <c r="S1836" s="23">
        <f>Parameters!Q919</f>
        <v>0</v>
      </c>
      <c r="T1836" s="23">
        <f>Parameters!R919</f>
        <v>0</v>
      </c>
      <c r="U1836" s="27">
        <f>Parameters!S919</f>
        <v>0</v>
      </c>
      <c r="V1836" s="28">
        <f>Parameters!T919</f>
        <v>0</v>
      </c>
      <c r="W1836" s="27">
        <f>Parameters!U919</f>
        <v>0</v>
      </c>
      <c r="X1836" s="28">
        <f>Parameters!V919</f>
        <v>0</v>
      </c>
      <c r="Y1836" s="25">
        <f>Parameters!W919</f>
        <v>0</v>
      </c>
      <c r="Z1836" s="23">
        <f>Parameters!X919</f>
        <v>0</v>
      </c>
      <c r="AA1836" s="27">
        <f>Parameters!Y919</f>
        <v>0</v>
      </c>
      <c r="AB1836" s="28">
        <f>Parameters!Z919</f>
        <v>0</v>
      </c>
      <c r="AC1836" s="23">
        <f>Parameters!AA919</f>
        <v>0</v>
      </c>
    </row>
    <row r="1837" spans="1:29">
      <c r="A1837" s="29" t="str">
        <f>UPPER(A1836)</f>
        <v>0</v>
      </c>
      <c r="B1837" s="29">
        <f>B1836</f>
        <v>0</v>
      </c>
      <c r="C1837" s="30">
        <f>C1836</f>
        <v>0</v>
      </c>
      <c r="D1837" s="30">
        <f>D1836</f>
        <v>0</v>
      </c>
      <c r="E1837" s="29">
        <f>E1836</f>
        <v>0</v>
      </c>
      <c r="F1837" s="29">
        <f>F1836</f>
        <v>0</v>
      </c>
      <c r="G1837" s="29" t="e">
        <f>IF(C1836=1,IF(D1836="BUY",E1836+(ROUND(F1836*G1836/B1836,0)*B1836),E1836-(ROUND(F1836*G1836/B1836,0)*B1836)),IF(D1836="BUY",E1836-(ROUND(F1836*G1836/B1836,0)*B1836),E1836+(ROUND(F1836*G1836/B1836,0)*B1836)))</f>
        <v>#DIV/0!</v>
      </c>
      <c r="H1837" s="29" t="e">
        <f>IF(C1836=1,IF(D1836="BUY",G1837-(ROUND(F1836*H1836/B1836,0)*B1836),G1837+(ROUND(F1836*H1836/B1836,0)*B1836)),IF(D1836="BUY",G1837+(ROUND(F1836*H1836/B1836,0)*B1836),G1837-(ROUND(F1836*H1836/B1836,0)*B1836)))</f>
        <v>#DIV/0!</v>
      </c>
      <c r="I1837" s="29" t="e">
        <f>IF(D1836="BUY",G1837+(ROUND(F1836*I1836/(B1836*100),0)*B1836),G1837-(ROUND(F1836*I1836/(B1836*100),0)*B1836))</f>
        <v>#DIV/0!</v>
      </c>
      <c r="J1837" s="29" t="e">
        <f>IF(C1836=1,IF(D1836="BUY",E1836+(ROUND(F1836*J1836/B1836,0)*B1836),E1836-(ROUND(F1836*J1836/B1836,0)*B1836)),IF(D1836="BUY",E1836-(ROUND(F1836*J1836/B1836,0)*B1836),E1836+(ROUND(F1836*J1836/B1836,0)*B1836)))</f>
        <v>#DIV/0!</v>
      </c>
      <c r="K1837" s="29" t="e">
        <f>IF(C1836=1,IF(D1836="BUY",E1836-(ROUND(F1836*K1836/B1836,0)*B1836),E1836+(ROUND(F1836*K1836/B1836,0)*B1836)),IF(D1836="BUY",E1836-(ROUND(F1836*K1836/B1836,0)*B1836),E1836+(ROUND(F1836*K1836/B1836,0)*B1836)))</f>
        <v>#DIV/0!</v>
      </c>
      <c r="L1837" s="29" t="e">
        <f t="shared" ref="L1837" si="2750">IF(D1837="BUY",I1837+(R1837*B1837),I1837-(R1837*B1837))</f>
        <v>#DIV/0!</v>
      </c>
      <c r="M1837" s="29" t="e">
        <f>IF(D1836="BUY",E1836+(ROUND(F1836*M1836/B1836,0)*B1836),E1836-(ROUND(F1836*M1836/B1836,0)*B1836))</f>
        <v>#DIV/0!</v>
      </c>
      <c r="N1837" s="29" t="e">
        <f>IF(D1836="BUY",E1836-(ROUND(F1836*N1836/B1836,0)*B1836),E1836+(ROUND(F1836*N1836/B1836,0)*B1836))</f>
        <v>#DIV/0!</v>
      </c>
      <c r="O1837" s="31" t="e">
        <f>IF(D1837="BUY",N1837-VLOOKUP(A1837,Symbols!A$1:D$1000,4,FALSE),N1837+VLOOKUP(A1837,Symbols!A$1:D$1000,4,FALSE))</f>
        <v>#DIV/0!</v>
      </c>
      <c r="P1837" s="29">
        <f>P1836</f>
        <v>0</v>
      </c>
      <c r="Q1837" s="29">
        <f>Q1836</f>
        <v>0</v>
      </c>
      <c r="R1837" s="29">
        <f>R1836</f>
        <v>0</v>
      </c>
      <c r="S1837" s="29">
        <f>S1836</f>
        <v>0</v>
      </c>
      <c r="T1837" s="29">
        <f>T1836</f>
        <v>0</v>
      </c>
      <c r="U1837" s="29" t="e">
        <f>DATEDIF(DATE(1970,1,1),U1836,"D")*86400</f>
        <v>#NUM!</v>
      </c>
      <c r="V1837" s="29">
        <f>HOUR(V1836)*3600+MINUTE(V1836)*60+SECOND(V1836)</f>
        <v>0</v>
      </c>
      <c r="W1837" s="29" t="e">
        <f>DATEDIF(DATE(1970,1,1),W1836,"D")*86400</f>
        <v>#NUM!</v>
      </c>
      <c r="X1837" s="29">
        <f>HOUR(X1836)*3600+MINUTE(X1836)*60+SECOND(X1836)</f>
        <v>0</v>
      </c>
      <c r="Y1837" s="31">
        <f>(Y1836*B1837)</f>
        <v>0</v>
      </c>
      <c r="Z1837" s="29">
        <f>Z1836</f>
        <v>0</v>
      </c>
      <c r="AA1837" s="29" t="e">
        <f>DATEDIF(DATE(1970,1,1),AA1836,"D")*86400</f>
        <v>#NUM!</v>
      </c>
      <c r="AB1837" s="29">
        <f>HOUR(AB1836)*3600+MINUTE(AB1836)*60+SECOND(AB1836)</f>
        <v>0</v>
      </c>
      <c r="AC1837" s="29">
        <f>AC1836</f>
        <v>0</v>
      </c>
    </row>
    <row r="1838" spans="1:29">
      <c r="A1838" s="23">
        <f>Parameters!A920</f>
        <v>0</v>
      </c>
      <c r="B1838" s="23">
        <f>Parameters!B920</f>
        <v>0</v>
      </c>
      <c r="C1838" s="24">
        <f>Parameters!C920</f>
        <v>0</v>
      </c>
      <c r="D1838" s="24">
        <f>Parameters!D920</f>
        <v>0</v>
      </c>
      <c r="E1838" s="23">
        <f>Parameters!E920</f>
        <v>0</v>
      </c>
      <c r="F1838" s="23">
        <f>Parameters!F920</f>
        <v>0</v>
      </c>
      <c r="G1838" s="25">
        <f>Parameters!G920</f>
        <v>0</v>
      </c>
      <c r="H1838" s="25">
        <f>Parameters!H920</f>
        <v>0</v>
      </c>
      <c r="I1838" s="25">
        <f>Parameters!I920</f>
        <v>0</v>
      </c>
      <c r="J1838" s="25">
        <f>Parameters!J920</f>
        <v>0</v>
      </c>
      <c r="K1838" s="25">
        <f>Parameters!K920</f>
        <v>0</v>
      </c>
      <c r="L1838" s="26" t="e">
        <f t="shared" ref="L1838" si="2751">L1839</f>
        <v>#DIV/0!</v>
      </c>
      <c r="M1838" s="25">
        <f>Parameters!L920</f>
        <v>0</v>
      </c>
      <c r="N1838" s="25">
        <f>Parameters!M920</f>
        <v>0</v>
      </c>
      <c r="O1838" s="26" t="e">
        <f t="shared" ref="O1838" si="2752">O1839</f>
        <v>#DIV/0!</v>
      </c>
      <c r="P1838" s="23">
        <f>Parameters!N920</f>
        <v>0</v>
      </c>
      <c r="Q1838" s="23">
        <f>Parameters!O920</f>
        <v>0</v>
      </c>
      <c r="R1838" s="23">
        <f>Parameters!P920</f>
        <v>0</v>
      </c>
      <c r="S1838" s="23">
        <f>Parameters!Q920</f>
        <v>0</v>
      </c>
      <c r="T1838" s="23">
        <f>Parameters!R920</f>
        <v>0</v>
      </c>
      <c r="U1838" s="27">
        <f>Parameters!S920</f>
        <v>0</v>
      </c>
      <c r="V1838" s="28">
        <f>Parameters!T920</f>
        <v>0</v>
      </c>
      <c r="W1838" s="27">
        <f>Parameters!U920</f>
        <v>0</v>
      </c>
      <c r="X1838" s="28">
        <f>Parameters!V920</f>
        <v>0</v>
      </c>
      <c r="Y1838" s="25">
        <f>Parameters!W920</f>
        <v>0</v>
      </c>
      <c r="Z1838" s="23">
        <f>Parameters!X920</f>
        <v>0</v>
      </c>
      <c r="AA1838" s="27">
        <f>Parameters!Y920</f>
        <v>0</v>
      </c>
      <c r="AB1838" s="28">
        <f>Parameters!Z920</f>
        <v>0</v>
      </c>
      <c r="AC1838" s="23">
        <f>Parameters!AA920</f>
        <v>0</v>
      </c>
    </row>
    <row r="1839" spans="1:29">
      <c r="A1839" s="29" t="str">
        <f>UPPER(A1838)</f>
        <v>0</v>
      </c>
      <c r="B1839" s="29">
        <f>B1838</f>
        <v>0</v>
      </c>
      <c r="C1839" s="30">
        <f>C1838</f>
        <v>0</v>
      </c>
      <c r="D1839" s="30">
        <f>D1838</f>
        <v>0</v>
      </c>
      <c r="E1839" s="29">
        <f>E1838</f>
        <v>0</v>
      </c>
      <c r="F1839" s="29">
        <f>F1838</f>
        <v>0</v>
      </c>
      <c r="G1839" s="29" t="e">
        <f>IF(C1838=1,IF(D1838="BUY",E1838+(ROUND(F1838*G1838/B1838,0)*B1838),E1838-(ROUND(F1838*G1838/B1838,0)*B1838)),IF(D1838="BUY",E1838-(ROUND(F1838*G1838/B1838,0)*B1838),E1838+(ROUND(F1838*G1838/B1838,0)*B1838)))</f>
        <v>#DIV/0!</v>
      </c>
      <c r="H1839" s="29" t="e">
        <f>IF(C1838=1,IF(D1838="BUY",G1839-(ROUND(F1838*H1838/B1838,0)*B1838),G1839+(ROUND(F1838*H1838/B1838,0)*B1838)),IF(D1838="BUY",G1839+(ROUND(F1838*H1838/B1838,0)*B1838),G1839-(ROUND(F1838*H1838/B1838,0)*B1838)))</f>
        <v>#DIV/0!</v>
      </c>
      <c r="I1839" s="29" t="e">
        <f>IF(D1838="BUY",G1839+(ROUND(F1838*I1838/(B1838*100),0)*B1838),G1839-(ROUND(F1838*I1838/(B1838*100),0)*B1838))</f>
        <v>#DIV/0!</v>
      </c>
      <c r="J1839" s="29" t="e">
        <f>IF(C1838=1,IF(D1838="BUY",E1838+(ROUND(F1838*J1838/B1838,0)*B1838),E1838-(ROUND(F1838*J1838/B1838,0)*B1838)),IF(D1838="BUY",E1838-(ROUND(F1838*J1838/B1838,0)*B1838),E1838+(ROUND(F1838*J1838/B1838,0)*B1838)))</f>
        <v>#DIV/0!</v>
      </c>
      <c r="K1839" s="29" t="e">
        <f>IF(C1838=1,IF(D1838="BUY",E1838-(ROUND(F1838*K1838/B1838,0)*B1838),E1838+(ROUND(F1838*K1838/B1838,0)*B1838)),IF(D1838="BUY",E1838-(ROUND(F1838*K1838/B1838,0)*B1838),E1838+(ROUND(F1838*K1838/B1838,0)*B1838)))</f>
        <v>#DIV/0!</v>
      </c>
      <c r="L1839" s="29" t="e">
        <f t="shared" ref="L1839" si="2753">IF(D1839="BUY",I1839+(R1839*B1839),I1839-(R1839*B1839))</f>
        <v>#DIV/0!</v>
      </c>
      <c r="M1839" s="29" t="e">
        <f>IF(D1838="BUY",E1838+(ROUND(F1838*M1838/B1838,0)*B1838),E1838-(ROUND(F1838*M1838/B1838,0)*B1838))</f>
        <v>#DIV/0!</v>
      </c>
      <c r="N1839" s="29" t="e">
        <f>IF(D1838="BUY",E1838-(ROUND(F1838*N1838/B1838,0)*B1838),E1838+(ROUND(F1838*N1838/B1838,0)*B1838))</f>
        <v>#DIV/0!</v>
      </c>
      <c r="O1839" s="31" t="e">
        <f>IF(D1839="BUY",N1839-VLOOKUP(A1839,Symbols!A$1:D$1000,4,FALSE),N1839+VLOOKUP(A1839,Symbols!A$1:D$1000,4,FALSE))</f>
        <v>#DIV/0!</v>
      </c>
      <c r="P1839" s="29">
        <f>P1838</f>
        <v>0</v>
      </c>
      <c r="Q1839" s="29">
        <f>Q1838</f>
        <v>0</v>
      </c>
      <c r="R1839" s="29">
        <f>R1838</f>
        <v>0</v>
      </c>
      <c r="S1839" s="29">
        <f>S1838</f>
        <v>0</v>
      </c>
      <c r="T1839" s="29">
        <f>T1838</f>
        <v>0</v>
      </c>
      <c r="U1839" s="29" t="e">
        <f>DATEDIF(DATE(1970,1,1),U1838,"D")*86400</f>
        <v>#NUM!</v>
      </c>
      <c r="V1839" s="29">
        <f>HOUR(V1838)*3600+MINUTE(V1838)*60+SECOND(V1838)</f>
        <v>0</v>
      </c>
      <c r="W1839" s="29" t="e">
        <f>DATEDIF(DATE(1970,1,1),W1838,"D")*86400</f>
        <v>#NUM!</v>
      </c>
      <c r="X1839" s="29">
        <f>HOUR(X1838)*3600+MINUTE(X1838)*60+SECOND(X1838)</f>
        <v>0</v>
      </c>
      <c r="Y1839" s="31">
        <f>(Y1838*B1839)</f>
        <v>0</v>
      </c>
      <c r="Z1839" s="29">
        <f>Z1838</f>
        <v>0</v>
      </c>
      <c r="AA1839" s="29" t="e">
        <f>DATEDIF(DATE(1970,1,1),AA1838,"D")*86400</f>
        <v>#NUM!</v>
      </c>
      <c r="AB1839" s="29">
        <f>HOUR(AB1838)*3600+MINUTE(AB1838)*60+SECOND(AB1838)</f>
        <v>0</v>
      </c>
      <c r="AC1839" s="29">
        <f>AC1838</f>
        <v>0</v>
      </c>
    </row>
    <row r="1840" spans="1:29">
      <c r="A1840" s="23">
        <f>Parameters!A921</f>
        <v>0</v>
      </c>
      <c r="B1840" s="23">
        <f>Parameters!B921</f>
        <v>0</v>
      </c>
      <c r="C1840" s="24">
        <f>Parameters!C921</f>
        <v>0</v>
      </c>
      <c r="D1840" s="24">
        <f>Parameters!D921</f>
        <v>0</v>
      </c>
      <c r="E1840" s="23">
        <f>Parameters!E921</f>
        <v>0</v>
      </c>
      <c r="F1840" s="23">
        <f>Parameters!F921</f>
        <v>0</v>
      </c>
      <c r="G1840" s="25">
        <f>Parameters!G921</f>
        <v>0</v>
      </c>
      <c r="H1840" s="25">
        <f>Parameters!H921</f>
        <v>0</v>
      </c>
      <c r="I1840" s="25">
        <f>Parameters!I921</f>
        <v>0</v>
      </c>
      <c r="J1840" s="25">
        <f>Parameters!J921</f>
        <v>0</v>
      </c>
      <c r="K1840" s="25">
        <f>Parameters!K921</f>
        <v>0</v>
      </c>
      <c r="L1840" s="26" t="e">
        <f t="shared" ref="L1840" si="2754">L1841</f>
        <v>#DIV/0!</v>
      </c>
      <c r="M1840" s="25">
        <f>Parameters!L921</f>
        <v>0</v>
      </c>
      <c r="N1840" s="25">
        <f>Parameters!M921</f>
        <v>0</v>
      </c>
      <c r="O1840" s="26" t="e">
        <f t="shared" ref="O1840" si="2755">O1841</f>
        <v>#DIV/0!</v>
      </c>
      <c r="P1840" s="23">
        <f>Parameters!N921</f>
        <v>0</v>
      </c>
      <c r="Q1840" s="23">
        <f>Parameters!O921</f>
        <v>0</v>
      </c>
      <c r="R1840" s="23">
        <f>Parameters!P921</f>
        <v>0</v>
      </c>
      <c r="S1840" s="23">
        <f>Parameters!Q921</f>
        <v>0</v>
      </c>
      <c r="T1840" s="23">
        <f>Parameters!R921</f>
        <v>0</v>
      </c>
      <c r="U1840" s="27">
        <f>Parameters!S921</f>
        <v>0</v>
      </c>
      <c r="V1840" s="28">
        <f>Parameters!T921</f>
        <v>0</v>
      </c>
      <c r="W1840" s="27">
        <f>Parameters!U921</f>
        <v>0</v>
      </c>
      <c r="X1840" s="28">
        <f>Parameters!V921</f>
        <v>0</v>
      </c>
      <c r="Y1840" s="25">
        <f>Parameters!W921</f>
        <v>0</v>
      </c>
      <c r="Z1840" s="23">
        <f>Parameters!X921</f>
        <v>0</v>
      </c>
      <c r="AA1840" s="27">
        <f>Parameters!Y921</f>
        <v>0</v>
      </c>
      <c r="AB1840" s="28">
        <f>Parameters!Z921</f>
        <v>0</v>
      </c>
      <c r="AC1840" s="23">
        <f>Parameters!AA921</f>
        <v>0</v>
      </c>
    </row>
    <row r="1841" spans="1:29">
      <c r="A1841" s="29" t="str">
        <f>UPPER(A1840)</f>
        <v>0</v>
      </c>
      <c r="B1841" s="29">
        <f>B1840</f>
        <v>0</v>
      </c>
      <c r="C1841" s="30">
        <f>C1840</f>
        <v>0</v>
      </c>
      <c r="D1841" s="30">
        <f>D1840</f>
        <v>0</v>
      </c>
      <c r="E1841" s="29">
        <f>E1840</f>
        <v>0</v>
      </c>
      <c r="F1841" s="29">
        <f>F1840</f>
        <v>0</v>
      </c>
      <c r="G1841" s="29" t="e">
        <f>IF(C1840=1,IF(D1840="BUY",E1840+(ROUND(F1840*G1840/B1840,0)*B1840),E1840-(ROUND(F1840*G1840/B1840,0)*B1840)),IF(D1840="BUY",E1840-(ROUND(F1840*G1840/B1840,0)*B1840),E1840+(ROUND(F1840*G1840/B1840,0)*B1840)))</f>
        <v>#DIV/0!</v>
      </c>
      <c r="H1841" s="29" t="e">
        <f>IF(C1840=1,IF(D1840="BUY",G1841-(ROUND(F1840*H1840/B1840,0)*B1840),G1841+(ROUND(F1840*H1840/B1840,0)*B1840)),IF(D1840="BUY",G1841+(ROUND(F1840*H1840/B1840,0)*B1840),G1841-(ROUND(F1840*H1840/B1840,0)*B1840)))</f>
        <v>#DIV/0!</v>
      </c>
      <c r="I1841" s="29" t="e">
        <f>IF(D1840="BUY",G1841+(ROUND(F1840*I1840/(B1840*100),0)*B1840),G1841-(ROUND(F1840*I1840/(B1840*100),0)*B1840))</f>
        <v>#DIV/0!</v>
      </c>
      <c r="J1841" s="29" t="e">
        <f>IF(C1840=1,IF(D1840="BUY",E1840+(ROUND(F1840*J1840/B1840,0)*B1840),E1840-(ROUND(F1840*J1840/B1840,0)*B1840)),IF(D1840="BUY",E1840-(ROUND(F1840*J1840/B1840,0)*B1840),E1840+(ROUND(F1840*J1840/B1840,0)*B1840)))</f>
        <v>#DIV/0!</v>
      </c>
      <c r="K1841" s="29" t="e">
        <f>IF(C1840=1,IF(D1840="BUY",E1840-(ROUND(F1840*K1840/B1840,0)*B1840),E1840+(ROUND(F1840*K1840/B1840,0)*B1840)),IF(D1840="BUY",E1840-(ROUND(F1840*K1840/B1840,0)*B1840),E1840+(ROUND(F1840*K1840/B1840,0)*B1840)))</f>
        <v>#DIV/0!</v>
      </c>
      <c r="L1841" s="29" t="e">
        <f t="shared" ref="L1841" si="2756">IF(D1841="BUY",I1841+(R1841*B1841),I1841-(R1841*B1841))</f>
        <v>#DIV/0!</v>
      </c>
      <c r="M1841" s="29" t="e">
        <f>IF(D1840="BUY",E1840+(ROUND(F1840*M1840/B1840,0)*B1840),E1840-(ROUND(F1840*M1840/B1840,0)*B1840))</f>
        <v>#DIV/0!</v>
      </c>
      <c r="N1841" s="29" t="e">
        <f>IF(D1840="BUY",E1840-(ROUND(F1840*N1840/B1840,0)*B1840),E1840+(ROUND(F1840*N1840/B1840,0)*B1840))</f>
        <v>#DIV/0!</v>
      </c>
      <c r="O1841" s="31" t="e">
        <f>IF(D1841="BUY",N1841-VLOOKUP(A1841,Symbols!A$1:D$1000,4,FALSE),N1841+VLOOKUP(A1841,Symbols!A$1:D$1000,4,FALSE))</f>
        <v>#DIV/0!</v>
      </c>
      <c r="P1841" s="29">
        <f>P1840</f>
        <v>0</v>
      </c>
      <c r="Q1841" s="29">
        <f>Q1840</f>
        <v>0</v>
      </c>
      <c r="R1841" s="29">
        <f>R1840</f>
        <v>0</v>
      </c>
      <c r="S1841" s="29">
        <f>S1840</f>
        <v>0</v>
      </c>
      <c r="T1841" s="29">
        <f>T1840</f>
        <v>0</v>
      </c>
      <c r="U1841" s="29" t="e">
        <f>DATEDIF(DATE(1970,1,1),U1840,"D")*86400</f>
        <v>#NUM!</v>
      </c>
      <c r="V1841" s="29">
        <f>HOUR(V1840)*3600+MINUTE(V1840)*60+SECOND(V1840)</f>
        <v>0</v>
      </c>
      <c r="W1841" s="29" t="e">
        <f>DATEDIF(DATE(1970,1,1),W1840,"D")*86400</f>
        <v>#NUM!</v>
      </c>
      <c r="X1841" s="29">
        <f>HOUR(X1840)*3600+MINUTE(X1840)*60+SECOND(X1840)</f>
        <v>0</v>
      </c>
      <c r="Y1841" s="31">
        <f>(Y1840*B1841)</f>
        <v>0</v>
      </c>
      <c r="Z1841" s="29">
        <f>Z1840</f>
        <v>0</v>
      </c>
      <c r="AA1841" s="29" t="e">
        <f>DATEDIF(DATE(1970,1,1),AA1840,"D")*86400</f>
        <v>#NUM!</v>
      </c>
      <c r="AB1841" s="29">
        <f>HOUR(AB1840)*3600+MINUTE(AB1840)*60+SECOND(AB1840)</f>
        <v>0</v>
      </c>
      <c r="AC1841" s="29">
        <f>AC1840</f>
        <v>0</v>
      </c>
    </row>
    <row r="1842" spans="1:29">
      <c r="A1842" s="23">
        <f>Parameters!A922</f>
        <v>0</v>
      </c>
      <c r="B1842" s="23">
        <f>Parameters!B922</f>
        <v>0</v>
      </c>
      <c r="C1842" s="24">
        <f>Parameters!C922</f>
        <v>0</v>
      </c>
      <c r="D1842" s="24">
        <f>Parameters!D922</f>
        <v>0</v>
      </c>
      <c r="E1842" s="23">
        <f>Parameters!E922</f>
        <v>0</v>
      </c>
      <c r="F1842" s="23">
        <f>Parameters!F922</f>
        <v>0</v>
      </c>
      <c r="G1842" s="25">
        <f>Parameters!G922</f>
        <v>0</v>
      </c>
      <c r="H1842" s="25">
        <f>Parameters!H922</f>
        <v>0</v>
      </c>
      <c r="I1842" s="25">
        <f>Parameters!I922</f>
        <v>0</v>
      </c>
      <c r="J1842" s="25">
        <f>Parameters!J922</f>
        <v>0</v>
      </c>
      <c r="K1842" s="25">
        <f>Parameters!K922</f>
        <v>0</v>
      </c>
      <c r="L1842" s="26" t="e">
        <f t="shared" ref="L1842" si="2757">L1843</f>
        <v>#DIV/0!</v>
      </c>
      <c r="M1842" s="25">
        <f>Parameters!L922</f>
        <v>0</v>
      </c>
      <c r="N1842" s="25">
        <f>Parameters!M922</f>
        <v>0</v>
      </c>
      <c r="O1842" s="26" t="e">
        <f t="shared" ref="O1842" si="2758">O1843</f>
        <v>#DIV/0!</v>
      </c>
      <c r="P1842" s="23">
        <f>Parameters!N922</f>
        <v>0</v>
      </c>
      <c r="Q1842" s="23">
        <f>Parameters!O922</f>
        <v>0</v>
      </c>
      <c r="R1842" s="23">
        <f>Parameters!P922</f>
        <v>0</v>
      </c>
      <c r="S1842" s="23">
        <f>Parameters!Q922</f>
        <v>0</v>
      </c>
      <c r="T1842" s="23">
        <f>Parameters!R922</f>
        <v>0</v>
      </c>
      <c r="U1842" s="27">
        <f>Parameters!S922</f>
        <v>0</v>
      </c>
      <c r="V1842" s="28">
        <f>Parameters!T922</f>
        <v>0</v>
      </c>
      <c r="W1842" s="27">
        <f>Parameters!U922</f>
        <v>0</v>
      </c>
      <c r="X1842" s="28">
        <f>Parameters!V922</f>
        <v>0</v>
      </c>
      <c r="Y1842" s="25">
        <f>Parameters!W922</f>
        <v>0</v>
      </c>
      <c r="Z1842" s="23">
        <f>Parameters!X922</f>
        <v>0</v>
      </c>
      <c r="AA1842" s="27">
        <f>Parameters!Y922</f>
        <v>0</v>
      </c>
      <c r="AB1842" s="28">
        <f>Parameters!Z922</f>
        <v>0</v>
      </c>
      <c r="AC1842" s="23">
        <f>Parameters!AA922</f>
        <v>0</v>
      </c>
    </row>
    <row r="1843" spans="1:29">
      <c r="A1843" s="29" t="str">
        <f>UPPER(A1842)</f>
        <v>0</v>
      </c>
      <c r="B1843" s="29">
        <f>B1842</f>
        <v>0</v>
      </c>
      <c r="C1843" s="30">
        <f>C1842</f>
        <v>0</v>
      </c>
      <c r="D1843" s="30">
        <f>D1842</f>
        <v>0</v>
      </c>
      <c r="E1843" s="29">
        <f>E1842</f>
        <v>0</v>
      </c>
      <c r="F1843" s="29">
        <f>F1842</f>
        <v>0</v>
      </c>
      <c r="G1843" s="29" t="e">
        <f>IF(C1842=1,IF(D1842="BUY",E1842+(ROUND(F1842*G1842/B1842,0)*B1842),E1842-(ROUND(F1842*G1842/B1842,0)*B1842)),IF(D1842="BUY",E1842-(ROUND(F1842*G1842/B1842,0)*B1842),E1842+(ROUND(F1842*G1842/B1842,0)*B1842)))</f>
        <v>#DIV/0!</v>
      </c>
      <c r="H1843" s="29" t="e">
        <f>IF(C1842=1,IF(D1842="BUY",G1843-(ROUND(F1842*H1842/B1842,0)*B1842),G1843+(ROUND(F1842*H1842/B1842,0)*B1842)),IF(D1842="BUY",G1843+(ROUND(F1842*H1842/B1842,0)*B1842),G1843-(ROUND(F1842*H1842/B1842,0)*B1842)))</f>
        <v>#DIV/0!</v>
      </c>
      <c r="I1843" s="29" t="e">
        <f>IF(D1842="BUY",G1843+(ROUND(F1842*I1842/(B1842*100),0)*B1842),G1843-(ROUND(F1842*I1842/(B1842*100),0)*B1842))</f>
        <v>#DIV/0!</v>
      </c>
      <c r="J1843" s="29" t="e">
        <f>IF(C1842=1,IF(D1842="BUY",E1842+(ROUND(F1842*J1842/B1842,0)*B1842),E1842-(ROUND(F1842*J1842/B1842,0)*B1842)),IF(D1842="BUY",E1842-(ROUND(F1842*J1842/B1842,0)*B1842),E1842+(ROUND(F1842*J1842/B1842,0)*B1842)))</f>
        <v>#DIV/0!</v>
      </c>
      <c r="K1843" s="29" t="e">
        <f>IF(C1842=1,IF(D1842="BUY",E1842-(ROUND(F1842*K1842/B1842,0)*B1842),E1842+(ROUND(F1842*K1842/B1842,0)*B1842)),IF(D1842="BUY",E1842-(ROUND(F1842*K1842/B1842,0)*B1842),E1842+(ROUND(F1842*K1842/B1842,0)*B1842)))</f>
        <v>#DIV/0!</v>
      </c>
      <c r="L1843" s="29" t="e">
        <f t="shared" ref="L1843" si="2759">IF(D1843="BUY",I1843+(R1843*B1843),I1843-(R1843*B1843))</f>
        <v>#DIV/0!</v>
      </c>
      <c r="M1843" s="29" t="e">
        <f>IF(D1842="BUY",E1842+(ROUND(F1842*M1842/B1842,0)*B1842),E1842-(ROUND(F1842*M1842/B1842,0)*B1842))</f>
        <v>#DIV/0!</v>
      </c>
      <c r="N1843" s="29" t="e">
        <f>IF(D1842="BUY",E1842-(ROUND(F1842*N1842/B1842,0)*B1842),E1842+(ROUND(F1842*N1842/B1842,0)*B1842))</f>
        <v>#DIV/0!</v>
      </c>
      <c r="O1843" s="31" t="e">
        <f>IF(D1843="BUY",N1843-VLOOKUP(A1843,Symbols!A$1:D$1000,4,FALSE),N1843+VLOOKUP(A1843,Symbols!A$1:D$1000,4,FALSE))</f>
        <v>#DIV/0!</v>
      </c>
      <c r="P1843" s="29">
        <f>P1842</f>
        <v>0</v>
      </c>
      <c r="Q1843" s="29">
        <f>Q1842</f>
        <v>0</v>
      </c>
      <c r="R1843" s="29">
        <f>R1842</f>
        <v>0</v>
      </c>
      <c r="S1843" s="29">
        <f>S1842</f>
        <v>0</v>
      </c>
      <c r="T1843" s="29">
        <f>T1842</f>
        <v>0</v>
      </c>
      <c r="U1843" s="29" t="e">
        <f>DATEDIF(DATE(1970,1,1),U1842,"D")*86400</f>
        <v>#NUM!</v>
      </c>
      <c r="V1843" s="29">
        <f>HOUR(V1842)*3600+MINUTE(V1842)*60+SECOND(V1842)</f>
        <v>0</v>
      </c>
      <c r="W1843" s="29" t="e">
        <f>DATEDIF(DATE(1970,1,1),W1842,"D")*86400</f>
        <v>#NUM!</v>
      </c>
      <c r="X1843" s="29">
        <f>HOUR(X1842)*3600+MINUTE(X1842)*60+SECOND(X1842)</f>
        <v>0</v>
      </c>
      <c r="Y1843" s="31">
        <f>(Y1842*B1843)</f>
        <v>0</v>
      </c>
      <c r="Z1843" s="29">
        <f>Z1842</f>
        <v>0</v>
      </c>
      <c r="AA1843" s="29" t="e">
        <f>DATEDIF(DATE(1970,1,1),AA1842,"D")*86400</f>
        <v>#NUM!</v>
      </c>
      <c r="AB1843" s="29">
        <f>HOUR(AB1842)*3600+MINUTE(AB1842)*60+SECOND(AB1842)</f>
        <v>0</v>
      </c>
      <c r="AC1843" s="29">
        <f>AC1842</f>
        <v>0</v>
      </c>
    </row>
    <row r="1844" spans="1:29">
      <c r="A1844" s="23">
        <f>Parameters!A923</f>
        <v>0</v>
      </c>
      <c r="B1844" s="23">
        <f>Parameters!B923</f>
        <v>0</v>
      </c>
      <c r="C1844" s="24">
        <f>Parameters!C923</f>
        <v>0</v>
      </c>
      <c r="D1844" s="24">
        <f>Parameters!D923</f>
        <v>0</v>
      </c>
      <c r="E1844" s="23">
        <f>Parameters!E923</f>
        <v>0</v>
      </c>
      <c r="F1844" s="23">
        <f>Parameters!F923</f>
        <v>0</v>
      </c>
      <c r="G1844" s="25">
        <f>Parameters!G923</f>
        <v>0</v>
      </c>
      <c r="H1844" s="25">
        <f>Parameters!H923</f>
        <v>0</v>
      </c>
      <c r="I1844" s="25">
        <f>Parameters!I923</f>
        <v>0</v>
      </c>
      <c r="J1844" s="25">
        <f>Parameters!J923</f>
        <v>0</v>
      </c>
      <c r="K1844" s="25">
        <f>Parameters!K923</f>
        <v>0</v>
      </c>
      <c r="L1844" s="26" t="e">
        <f t="shared" ref="L1844" si="2760">L1845</f>
        <v>#DIV/0!</v>
      </c>
      <c r="M1844" s="25">
        <f>Parameters!L923</f>
        <v>0</v>
      </c>
      <c r="N1844" s="25">
        <f>Parameters!M923</f>
        <v>0</v>
      </c>
      <c r="O1844" s="26" t="e">
        <f t="shared" ref="O1844" si="2761">O1845</f>
        <v>#DIV/0!</v>
      </c>
      <c r="P1844" s="23">
        <f>Parameters!N923</f>
        <v>0</v>
      </c>
      <c r="Q1844" s="23">
        <f>Parameters!O923</f>
        <v>0</v>
      </c>
      <c r="R1844" s="23">
        <f>Parameters!P923</f>
        <v>0</v>
      </c>
      <c r="S1844" s="23">
        <f>Parameters!Q923</f>
        <v>0</v>
      </c>
      <c r="T1844" s="23">
        <f>Parameters!R923</f>
        <v>0</v>
      </c>
      <c r="U1844" s="27">
        <f>Parameters!S923</f>
        <v>0</v>
      </c>
      <c r="V1844" s="28">
        <f>Parameters!T923</f>
        <v>0</v>
      </c>
      <c r="W1844" s="27">
        <f>Parameters!U923</f>
        <v>0</v>
      </c>
      <c r="X1844" s="28">
        <f>Parameters!V923</f>
        <v>0</v>
      </c>
      <c r="Y1844" s="25">
        <f>Parameters!W923</f>
        <v>0</v>
      </c>
      <c r="Z1844" s="23">
        <f>Parameters!X923</f>
        <v>0</v>
      </c>
      <c r="AA1844" s="27">
        <f>Parameters!Y923</f>
        <v>0</v>
      </c>
      <c r="AB1844" s="28">
        <f>Parameters!Z923</f>
        <v>0</v>
      </c>
      <c r="AC1844" s="23">
        <f>Parameters!AA923</f>
        <v>0</v>
      </c>
    </row>
    <row r="1845" spans="1:29">
      <c r="A1845" s="29" t="str">
        <f>UPPER(A1844)</f>
        <v>0</v>
      </c>
      <c r="B1845" s="29">
        <f>B1844</f>
        <v>0</v>
      </c>
      <c r="C1845" s="30">
        <f>C1844</f>
        <v>0</v>
      </c>
      <c r="D1845" s="30">
        <f>D1844</f>
        <v>0</v>
      </c>
      <c r="E1845" s="29">
        <f>E1844</f>
        <v>0</v>
      </c>
      <c r="F1845" s="29">
        <f>F1844</f>
        <v>0</v>
      </c>
      <c r="G1845" s="29" t="e">
        <f>IF(C1844=1,IF(D1844="BUY",E1844+(ROUND(F1844*G1844/B1844,0)*B1844),E1844-(ROUND(F1844*G1844/B1844,0)*B1844)),IF(D1844="BUY",E1844-(ROUND(F1844*G1844/B1844,0)*B1844),E1844+(ROUND(F1844*G1844/B1844,0)*B1844)))</f>
        <v>#DIV/0!</v>
      </c>
      <c r="H1845" s="29" t="e">
        <f>IF(C1844=1,IF(D1844="BUY",G1845-(ROUND(F1844*H1844/B1844,0)*B1844),G1845+(ROUND(F1844*H1844/B1844,0)*B1844)),IF(D1844="BUY",G1845+(ROUND(F1844*H1844/B1844,0)*B1844),G1845-(ROUND(F1844*H1844/B1844,0)*B1844)))</f>
        <v>#DIV/0!</v>
      </c>
      <c r="I1845" s="29" t="e">
        <f>IF(D1844="BUY",G1845+(ROUND(F1844*I1844/(B1844*100),0)*B1844),G1845-(ROUND(F1844*I1844/(B1844*100),0)*B1844))</f>
        <v>#DIV/0!</v>
      </c>
      <c r="J1845" s="29" t="e">
        <f>IF(C1844=1,IF(D1844="BUY",E1844+(ROUND(F1844*J1844/B1844,0)*B1844),E1844-(ROUND(F1844*J1844/B1844,0)*B1844)),IF(D1844="BUY",E1844-(ROUND(F1844*J1844/B1844,0)*B1844),E1844+(ROUND(F1844*J1844/B1844,0)*B1844)))</f>
        <v>#DIV/0!</v>
      </c>
      <c r="K1845" s="29" t="e">
        <f>IF(C1844=1,IF(D1844="BUY",E1844-(ROUND(F1844*K1844/B1844,0)*B1844),E1844+(ROUND(F1844*K1844/B1844,0)*B1844)),IF(D1844="BUY",E1844-(ROUND(F1844*K1844/B1844,0)*B1844),E1844+(ROUND(F1844*K1844/B1844,0)*B1844)))</f>
        <v>#DIV/0!</v>
      </c>
      <c r="L1845" s="29" t="e">
        <f t="shared" ref="L1845" si="2762">IF(D1845="BUY",I1845+(R1845*B1845),I1845-(R1845*B1845))</f>
        <v>#DIV/0!</v>
      </c>
      <c r="M1845" s="29" t="e">
        <f>IF(D1844="BUY",E1844+(ROUND(F1844*M1844/B1844,0)*B1844),E1844-(ROUND(F1844*M1844/B1844,0)*B1844))</f>
        <v>#DIV/0!</v>
      </c>
      <c r="N1845" s="29" t="e">
        <f>IF(D1844="BUY",E1844-(ROUND(F1844*N1844/B1844,0)*B1844),E1844+(ROUND(F1844*N1844/B1844,0)*B1844))</f>
        <v>#DIV/0!</v>
      </c>
      <c r="O1845" s="31" t="e">
        <f>IF(D1845="BUY",N1845-VLOOKUP(A1845,Symbols!A$1:D$1000,4,FALSE),N1845+VLOOKUP(A1845,Symbols!A$1:D$1000,4,FALSE))</f>
        <v>#DIV/0!</v>
      </c>
      <c r="P1845" s="29">
        <f>P1844</f>
        <v>0</v>
      </c>
      <c r="Q1845" s="29">
        <f>Q1844</f>
        <v>0</v>
      </c>
      <c r="R1845" s="29">
        <f>R1844</f>
        <v>0</v>
      </c>
      <c r="S1845" s="29">
        <f>S1844</f>
        <v>0</v>
      </c>
      <c r="T1845" s="29">
        <f>T1844</f>
        <v>0</v>
      </c>
      <c r="U1845" s="29" t="e">
        <f>DATEDIF(DATE(1970,1,1),U1844,"D")*86400</f>
        <v>#NUM!</v>
      </c>
      <c r="V1845" s="29">
        <f>HOUR(V1844)*3600+MINUTE(V1844)*60+SECOND(V1844)</f>
        <v>0</v>
      </c>
      <c r="W1845" s="29" t="e">
        <f>DATEDIF(DATE(1970,1,1),W1844,"D")*86400</f>
        <v>#NUM!</v>
      </c>
      <c r="X1845" s="29">
        <f>HOUR(X1844)*3600+MINUTE(X1844)*60+SECOND(X1844)</f>
        <v>0</v>
      </c>
      <c r="Y1845" s="31">
        <f>(Y1844*B1845)</f>
        <v>0</v>
      </c>
      <c r="Z1845" s="29">
        <f>Z1844</f>
        <v>0</v>
      </c>
      <c r="AA1845" s="29" t="e">
        <f>DATEDIF(DATE(1970,1,1),AA1844,"D")*86400</f>
        <v>#NUM!</v>
      </c>
      <c r="AB1845" s="29">
        <f>HOUR(AB1844)*3600+MINUTE(AB1844)*60+SECOND(AB1844)</f>
        <v>0</v>
      </c>
      <c r="AC1845" s="29">
        <f>AC1844</f>
        <v>0</v>
      </c>
    </row>
    <row r="1846" spans="1:29">
      <c r="A1846" s="23">
        <f>Parameters!A924</f>
        <v>0</v>
      </c>
      <c r="B1846" s="23">
        <f>Parameters!B924</f>
        <v>0</v>
      </c>
      <c r="C1846" s="24">
        <f>Parameters!C924</f>
        <v>0</v>
      </c>
      <c r="D1846" s="24">
        <f>Parameters!D924</f>
        <v>0</v>
      </c>
      <c r="E1846" s="23">
        <f>Parameters!E924</f>
        <v>0</v>
      </c>
      <c r="F1846" s="23">
        <f>Parameters!F924</f>
        <v>0</v>
      </c>
      <c r="G1846" s="25">
        <f>Parameters!G924</f>
        <v>0</v>
      </c>
      <c r="H1846" s="25">
        <f>Parameters!H924</f>
        <v>0</v>
      </c>
      <c r="I1846" s="25">
        <f>Parameters!I924</f>
        <v>0</v>
      </c>
      <c r="J1846" s="25">
        <f>Parameters!J924</f>
        <v>0</v>
      </c>
      <c r="K1846" s="25">
        <f>Parameters!K924</f>
        <v>0</v>
      </c>
      <c r="L1846" s="26" t="e">
        <f t="shared" ref="L1846" si="2763">L1847</f>
        <v>#DIV/0!</v>
      </c>
      <c r="M1846" s="25">
        <f>Parameters!L924</f>
        <v>0</v>
      </c>
      <c r="N1846" s="25">
        <f>Parameters!M924</f>
        <v>0</v>
      </c>
      <c r="O1846" s="26" t="e">
        <f t="shared" ref="O1846" si="2764">O1847</f>
        <v>#DIV/0!</v>
      </c>
      <c r="P1846" s="23">
        <f>Parameters!N924</f>
        <v>0</v>
      </c>
      <c r="Q1846" s="23">
        <f>Parameters!O924</f>
        <v>0</v>
      </c>
      <c r="R1846" s="23">
        <f>Parameters!P924</f>
        <v>0</v>
      </c>
      <c r="S1846" s="23">
        <f>Parameters!Q924</f>
        <v>0</v>
      </c>
      <c r="T1846" s="23">
        <f>Parameters!R924</f>
        <v>0</v>
      </c>
      <c r="U1846" s="27">
        <f>Parameters!S924</f>
        <v>0</v>
      </c>
      <c r="V1846" s="28">
        <f>Parameters!T924</f>
        <v>0</v>
      </c>
      <c r="W1846" s="27">
        <f>Parameters!U924</f>
        <v>0</v>
      </c>
      <c r="X1846" s="28">
        <f>Parameters!V924</f>
        <v>0</v>
      </c>
      <c r="Y1846" s="25">
        <f>Parameters!W924</f>
        <v>0</v>
      </c>
      <c r="Z1846" s="23">
        <f>Parameters!X924</f>
        <v>0</v>
      </c>
      <c r="AA1846" s="27">
        <f>Parameters!Y924</f>
        <v>0</v>
      </c>
      <c r="AB1846" s="28">
        <f>Parameters!Z924</f>
        <v>0</v>
      </c>
      <c r="AC1846" s="23">
        <f>Parameters!AA924</f>
        <v>0</v>
      </c>
    </row>
    <row r="1847" spans="1:29">
      <c r="A1847" s="29" t="str">
        <f>UPPER(A1846)</f>
        <v>0</v>
      </c>
      <c r="B1847" s="29">
        <f>B1846</f>
        <v>0</v>
      </c>
      <c r="C1847" s="30">
        <f>C1846</f>
        <v>0</v>
      </c>
      <c r="D1847" s="30">
        <f>D1846</f>
        <v>0</v>
      </c>
      <c r="E1847" s="29">
        <f>E1846</f>
        <v>0</v>
      </c>
      <c r="F1847" s="29">
        <f>F1846</f>
        <v>0</v>
      </c>
      <c r="G1847" s="29" t="e">
        <f>IF(C1846=1,IF(D1846="BUY",E1846+(ROUND(F1846*G1846/B1846,0)*B1846),E1846-(ROUND(F1846*G1846/B1846,0)*B1846)),IF(D1846="BUY",E1846-(ROUND(F1846*G1846/B1846,0)*B1846),E1846+(ROUND(F1846*G1846/B1846,0)*B1846)))</f>
        <v>#DIV/0!</v>
      </c>
      <c r="H1847" s="29" t="e">
        <f>IF(C1846=1,IF(D1846="BUY",G1847-(ROUND(F1846*H1846/B1846,0)*B1846),G1847+(ROUND(F1846*H1846/B1846,0)*B1846)),IF(D1846="BUY",G1847+(ROUND(F1846*H1846/B1846,0)*B1846),G1847-(ROUND(F1846*H1846/B1846,0)*B1846)))</f>
        <v>#DIV/0!</v>
      </c>
      <c r="I1847" s="29" t="e">
        <f>IF(D1846="BUY",G1847+(ROUND(F1846*I1846/(B1846*100),0)*B1846),G1847-(ROUND(F1846*I1846/(B1846*100),0)*B1846))</f>
        <v>#DIV/0!</v>
      </c>
      <c r="J1847" s="29" t="e">
        <f>IF(C1846=1,IF(D1846="BUY",E1846+(ROUND(F1846*J1846/B1846,0)*B1846),E1846-(ROUND(F1846*J1846/B1846,0)*B1846)),IF(D1846="BUY",E1846-(ROUND(F1846*J1846/B1846,0)*B1846),E1846+(ROUND(F1846*J1846/B1846,0)*B1846)))</f>
        <v>#DIV/0!</v>
      </c>
      <c r="K1847" s="29" t="e">
        <f>IF(C1846=1,IF(D1846="BUY",E1846-(ROUND(F1846*K1846/B1846,0)*B1846),E1846+(ROUND(F1846*K1846/B1846,0)*B1846)),IF(D1846="BUY",E1846-(ROUND(F1846*K1846/B1846,0)*B1846),E1846+(ROUND(F1846*K1846/B1846,0)*B1846)))</f>
        <v>#DIV/0!</v>
      </c>
      <c r="L1847" s="29" t="e">
        <f t="shared" ref="L1847" si="2765">IF(D1847="BUY",I1847+(R1847*B1847),I1847-(R1847*B1847))</f>
        <v>#DIV/0!</v>
      </c>
      <c r="M1847" s="29" t="e">
        <f>IF(D1846="BUY",E1846+(ROUND(F1846*M1846/B1846,0)*B1846),E1846-(ROUND(F1846*M1846/B1846,0)*B1846))</f>
        <v>#DIV/0!</v>
      </c>
      <c r="N1847" s="29" t="e">
        <f>IF(D1846="BUY",E1846-(ROUND(F1846*N1846/B1846,0)*B1846),E1846+(ROUND(F1846*N1846/B1846,0)*B1846))</f>
        <v>#DIV/0!</v>
      </c>
      <c r="O1847" s="31" t="e">
        <f>IF(D1847="BUY",N1847-VLOOKUP(A1847,Symbols!A$1:D$1000,4,FALSE),N1847+VLOOKUP(A1847,Symbols!A$1:D$1000,4,FALSE))</f>
        <v>#DIV/0!</v>
      </c>
      <c r="P1847" s="29">
        <f>P1846</f>
        <v>0</v>
      </c>
      <c r="Q1847" s="29">
        <f>Q1846</f>
        <v>0</v>
      </c>
      <c r="R1847" s="29">
        <f>R1846</f>
        <v>0</v>
      </c>
      <c r="S1847" s="29">
        <f>S1846</f>
        <v>0</v>
      </c>
      <c r="T1847" s="29">
        <f>T1846</f>
        <v>0</v>
      </c>
      <c r="U1847" s="29" t="e">
        <f>DATEDIF(DATE(1970,1,1),U1846,"D")*86400</f>
        <v>#NUM!</v>
      </c>
      <c r="V1847" s="29">
        <f>HOUR(V1846)*3600+MINUTE(V1846)*60+SECOND(V1846)</f>
        <v>0</v>
      </c>
      <c r="W1847" s="29" t="e">
        <f>DATEDIF(DATE(1970,1,1),W1846,"D")*86400</f>
        <v>#NUM!</v>
      </c>
      <c r="X1847" s="29">
        <f>HOUR(X1846)*3600+MINUTE(X1846)*60+SECOND(X1846)</f>
        <v>0</v>
      </c>
      <c r="Y1847" s="31">
        <f>(Y1846*B1847)</f>
        <v>0</v>
      </c>
      <c r="Z1847" s="29">
        <f>Z1846</f>
        <v>0</v>
      </c>
      <c r="AA1847" s="29" t="e">
        <f>DATEDIF(DATE(1970,1,1),AA1846,"D")*86400</f>
        <v>#NUM!</v>
      </c>
      <c r="AB1847" s="29">
        <f>HOUR(AB1846)*3600+MINUTE(AB1846)*60+SECOND(AB1846)</f>
        <v>0</v>
      </c>
      <c r="AC1847" s="29">
        <f>AC1846</f>
        <v>0</v>
      </c>
    </row>
    <row r="1848" spans="1:29">
      <c r="A1848" s="23">
        <f>Parameters!A925</f>
        <v>0</v>
      </c>
      <c r="B1848" s="23">
        <f>Parameters!B925</f>
        <v>0</v>
      </c>
      <c r="C1848" s="24">
        <f>Parameters!C925</f>
        <v>0</v>
      </c>
      <c r="D1848" s="24">
        <f>Parameters!D925</f>
        <v>0</v>
      </c>
      <c r="E1848" s="23">
        <f>Parameters!E925</f>
        <v>0</v>
      </c>
      <c r="F1848" s="23">
        <f>Parameters!F925</f>
        <v>0</v>
      </c>
      <c r="G1848" s="25">
        <f>Parameters!G925</f>
        <v>0</v>
      </c>
      <c r="H1848" s="25">
        <f>Parameters!H925</f>
        <v>0</v>
      </c>
      <c r="I1848" s="25">
        <f>Parameters!I925</f>
        <v>0</v>
      </c>
      <c r="J1848" s="25">
        <f>Parameters!J925</f>
        <v>0</v>
      </c>
      <c r="K1848" s="25">
        <f>Parameters!K925</f>
        <v>0</v>
      </c>
      <c r="L1848" s="26" t="e">
        <f t="shared" ref="L1848" si="2766">L1849</f>
        <v>#DIV/0!</v>
      </c>
      <c r="M1848" s="25">
        <f>Parameters!L925</f>
        <v>0</v>
      </c>
      <c r="N1848" s="25">
        <f>Parameters!M925</f>
        <v>0</v>
      </c>
      <c r="O1848" s="26" t="e">
        <f t="shared" ref="O1848" si="2767">O1849</f>
        <v>#DIV/0!</v>
      </c>
      <c r="P1848" s="23">
        <f>Parameters!N925</f>
        <v>0</v>
      </c>
      <c r="Q1848" s="23">
        <f>Parameters!O925</f>
        <v>0</v>
      </c>
      <c r="R1848" s="23">
        <f>Parameters!P925</f>
        <v>0</v>
      </c>
      <c r="S1848" s="23">
        <f>Parameters!Q925</f>
        <v>0</v>
      </c>
      <c r="T1848" s="23">
        <f>Parameters!R925</f>
        <v>0</v>
      </c>
      <c r="U1848" s="27">
        <f>Parameters!S925</f>
        <v>0</v>
      </c>
      <c r="V1848" s="28">
        <f>Parameters!T925</f>
        <v>0</v>
      </c>
      <c r="W1848" s="27">
        <f>Parameters!U925</f>
        <v>0</v>
      </c>
      <c r="X1848" s="28">
        <f>Parameters!V925</f>
        <v>0</v>
      </c>
      <c r="Y1848" s="25">
        <f>Parameters!W925</f>
        <v>0</v>
      </c>
      <c r="Z1848" s="23">
        <f>Parameters!X925</f>
        <v>0</v>
      </c>
      <c r="AA1848" s="27">
        <f>Parameters!Y925</f>
        <v>0</v>
      </c>
      <c r="AB1848" s="28">
        <f>Parameters!Z925</f>
        <v>0</v>
      </c>
      <c r="AC1848" s="23">
        <f>Parameters!AA925</f>
        <v>0</v>
      </c>
    </row>
    <row r="1849" spans="1:29">
      <c r="A1849" s="29" t="str">
        <f>UPPER(A1848)</f>
        <v>0</v>
      </c>
      <c r="B1849" s="29">
        <f>B1848</f>
        <v>0</v>
      </c>
      <c r="C1849" s="30">
        <f>C1848</f>
        <v>0</v>
      </c>
      <c r="D1849" s="30">
        <f>D1848</f>
        <v>0</v>
      </c>
      <c r="E1849" s="29">
        <f>E1848</f>
        <v>0</v>
      </c>
      <c r="F1849" s="29">
        <f>F1848</f>
        <v>0</v>
      </c>
      <c r="G1849" s="29" t="e">
        <f>IF(C1848=1,IF(D1848="BUY",E1848+(ROUND(F1848*G1848/B1848,0)*B1848),E1848-(ROUND(F1848*G1848/B1848,0)*B1848)),IF(D1848="BUY",E1848-(ROUND(F1848*G1848/B1848,0)*B1848),E1848+(ROUND(F1848*G1848/B1848,0)*B1848)))</f>
        <v>#DIV/0!</v>
      </c>
      <c r="H1849" s="29" t="e">
        <f>IF(C1848=1,IF(D1848="BUY",G1849-(ROUND(F1848*H1848/B1848,0)*B1848),G1849+(ROUND(F1848*H1848/B1848,0)*B1848)),IF(D1848="BUY",G1849+(ROUND(F1848*H1848/B1848,0)*B1848),G1849-(ROUND(F1848*H1848/B1848,0)*B1848)))</f>
        <v>#DIV/0!</v>
      </c>
      <c r="I1849" s="29" t="e">
        <f>IF(D1848="BUY",G1849+(ROUND(F1848*I1848/(B1848*100),0)*B1848),G1849-(ROUND(F1848*I1848/(B1848*100),0)*B1848))</f>
        <v>#DIV/0!</v>
      </c>
      <c r="J1849" s="29" t="e">
        <f>IF(C1848=1,IF(D1848="BUY",E1848+(ROUND(F1848*J1848/B1848,0)*B1848),E1848-(ROUND(F1848*J1848/B1848,0)*B1848)),IF(D1848="BUY",E1848-(ROUND(F1848*J1848/B1848,0)*B1848),E1848+(ROUND(F1848*J1848/B1848,0)*B1848)))</f>
        <v>#DIV/0!</v>
      </c>
      <c r="K1849" s="29" t="e">
        <f>IF(C1848=1,IF(D1848="BUY",E1848-(ROUND(F1848*K1848/B1848,0)*B1848),E1848+(ROUND(F1848*K1848/B1848,0)*B1848)),IF(D1848="BUY",E1848-(ROUND(F1848*K1848/B1848,0)*B1848),E1848+(ROUND(F1848*K1848/B1848,0)*B1848)))</f>
        <v>#DIV/0!</v>
      </c>
      <c r="L1849" s="29" t="e">
        <f t="shared" ref="L1849" si="2768">IF(D1849="BUY",I1849+(R1849*B1849),I1849-(R1849*B1849))</f>
        <v>#DIV/0!</v>
      </c>
      <c r="M1849" s="29" t="e">
        <f>IF(D1848="BUY",E1848+(ROUND(F1848*M1848/B1848,0)*B1848),E1848-(ROUND(F1848*M1848/B1848,0)*B1848))</f>
        <v>#DIV/0!</v>
      </c>
      <c r="N1849" s="29" t="e">
        <f>IF(D1848="BUY",E1848-(ROUND(F1848*N1848/B1848,0)*B1848),E1848+(ROUND(F1848*N1848/B1848,0)*B1848))</f>
        <v>#DIV/0!</v>
      </c>
      <c r="O1849" s="31" t="e">
        <f>IF(D1849="BUY",N1849-VLOOKUP(A1849,Symbols!A$1:D$1000,4,FALSE),N1849+VLOOKUP(A1849,Symbols!A$1:D$1000,4,FALSE))</f>
        <v>#DIV/0!</v>
      </c>
      <c r="P1849" s="29">
        <f>P1848</f>
        <v>0</v>
      </c>
      <c r="Q1849" s="29">
        <f>Q1848</f>
        <v>0</v>
      </c>
      <c r="R1849" s="29">
        <f>R1848</f>
        <v>0</v>
      </c>
      <c r="S1849" s="29">
        <f>S1848</f>
        <v>0</v>
      </c>
      <c r="T1849" s="29">
        <f>T1848</f>
        <v>0</v>
      </c>
      <c r="U1849" s="29" t="e">
        <f>DATEDIF(DATE(1970,1,1),U1848,"D")*86400</f>
        <v>#NUM!</v>
      </c>
      <c r="V1849" s="29">
        <f>HOUR(V1848)*3600+MINUTE(V1848)*60+SECOND(V1848)</f>
        <v>0</v>
      </c>
      <c r="W1849" s="29" t="e">
        <f>DATEDIF(DATE(1970,1,1),W1848,"D")*86400</f>
        <v>#NUM!</v>
      </c>
      <c r="X1849" s="29">
        <f>HOUR(X1848)*3600+MINUTE(X1848)*60+SECOND(X1848)</f>
        <v>0</v>
      </c>
      <c r="Y1849" s="31">
        <f>(Y1848*B1849)</f>
        <v>0</v>
      </c>
      <c r="Z1849" s="29">
        <f>Z1848</f>
        <v>0</v>
      </c>
      <c r="AA1849" s="29" t="e">
        <f>DATEDIF(DATE(1970,1,1),AA1848,"D")*86400</f>
        <v>#NUM!</v>
      </c>
      <c r="AB1849" s="29">
        <f>HOUR(AB1848)*3600+MINUTE(AB1848)*60+SECOND(AB1848)</f>
        <v>0</v>
      </c>
      <c r="AC1849" s="29">
        <f>AC1848</f>
        <v>0</v>
      </c>
    </row>
    <row r="1850" spans="1:29">
      <c r="A1850" s="23">
        <f>Parameters!A926</f>
        <v>0</v>
      </c>
      <c r="B1850" s="23">
        <f>Parameters!B926</f>
        <v>0</v>
      </c>
      <c r="C1850" s="24">
        <f>Parameters!C926</f>
        <v>0</v>
      </c>
      <c r="D1850" s="24">
        <f>Parameters!D926</f>
        <v>0</v>
      </c>
      <c r="E1850" s="23">
        <f>Parameters!E926</f>
        <v>0</v>
      </c>
      <c r="F1850" s="23">
        <f>Parameters!F926</f>
        <v>0</v>
      </c>
      <c r="G1850" s="25">
        <f>Parameters!G926</f>
        <v>0</v>
      </c>
      <c r="H1850" s="25">
        <f>Parameters!H926</f>
        <v>0</v>
      </c>
      <c r="I1850" s="25">
        <f>Parameters!I926</f>
        <v>0</v>
      </c>
      <c r="J1850" s="25">
        <f>Parameters!J926</f>
        <v>0</v>
      </c>
      <c r="K1850" s="25">
        <f>Parameters!K926</f>
        <v>0</v>
      </c>
      <c r="L1850" s="26" t="e">
        <f t="shared" ref="L1850" si="2769">L1851</f>
        <v>#DIV/0!</v>
      </c>
      <c r="M1850" s="25">
        <f>Parameters!L926</f>
        <v>0</v>
      </c>
      <c r="N1850" s="25">
        <f>Parameters!M926</f>
        <v>0</v>
      </c>
      <c r="O1850" s="26" t="e">
        <f t="shared" ref="O1850" si="2770">O1851</f>
        <v>#DIV/0!</v>
      </c>
      <c r="P1850" s="23">
        <f>Parameters!N926</f>
        <v>0</v>
      </c>
      <c r="Q1850" s="23">
        <f>Parameters!O926</f>
        <v>0</v>
      </c>
      <c r="R1850" s="23">
        <f>Parameters!P926</f>
        <v>0</v>
      </c>
      <c r="S1850" s="23">
        <f>Parameters!Q926</f>
        <v>0</v>
      </c>
      <c r="T1850" s="23">
        <f>Parameters!R926</f>
        <v>0</v>
      </c>
      <c r="U1850" s="27">
        <f>Parameters!S926</f>
        <v>0</v>
      </c>
      <c r="V1850" s="28">
        <f>Parameters!T926</f>
        <v>0</v>
      </c>
      <c r="W1850" s="27">
        <f>Parameters!U926</f>
        <v>0</v>
      </c>
      <c r="X1850" s="28">
        <f>Parameters!V926</f>
        <v>0</v>
      </c>
      <c r="Y1850" s="25">
        <f>Parameters!W926</f>
        <v>0</v>
      </c>
      <c r="Z1850" s="23">
        <f>Parameters!X926</f>
        <v>0</v>
      </c>
      <c r="AA1850" s="27">
        <f>Parameters!Y926</f>
        <v>0</v>
      </c>
      <c r="AB1850" s="28">
        <f>Parameters!Z926</f>
        <v>0</v>
      </c>
      <c r="AC1850" s="23">
        <f>Parameters!AA926</f>
        <v>0</v>
      </c>
    </row>
    <row r="1851" spans="1:29">
      <c r="A1851" s="29" t="str">
        <f>UPPER(A1850)</f>
        <v>0</v>
      </c>
      <c r="B1851" s="29">
        <f>B1850</f>
        <v>0</v>
      </c>
      <c r="C1851" s="30">
        <f>C1850</f>
        <v>0</v>
      </c>
      <c r="D1851" s="30">
        <f>D1850</f>
        <v>0</v>
      </c>
      <c r="E1851" s="29">
        <f>E1850</f>
        <v>0</v>
      </c>
      <c r="F1851" s="29">
        <f>F1850</f>
        <v>0</v>
      </c>
      <c r="G1851" s="29" t="e">
        <f>IF(C1850=1,IF(D1850="BUY",E1850+(ROUND(F1850*G1850/B1850,0)*B1850),E1850-(ROUND(F1850*G1850/B1850,0)*B1850)),IF(D1850="BUY",E1850-(ROUND(F1850*G1850/B1850,0)*B1850),E1850+(ROUND(F1850*G1850/B1850,0)*B1850)))</f>
        <v>#DIV/0!</v>
      </c>
      <c r="H1851" s="29" t="e">
        <f>IF(C1850=1,IF(D1850="BUY",G1851-(ROUND(F1850*H1850/B1850,0)*B1850),G1851+(ROUND(F1850*H1850/B1850,0)*B1850)),IF(D1850="BUY",G1851+(ROUND(F1850*H1850/B1850,0)*B1850),G1851-(ROUND(F1850*H1850/B1850,0)*B1850)))</f>
        <v>#DIV/0!</v>
      </c>
      <c r="I1851" s="29" t="e">
        <f>IF(D1850="BUY",G1851+(ROUND(F1850*I1850/(B1850*100),0)*B1850),G1851-(ROUND(F1850*I1850/(B1850*100),0)*B1850))</f>
        <v>#DIV/0!</v>
      </c>
      <c r="J1851" s="29" t="e">
        <f>IF(C1850=1,IF(D1850="BUY",E1850+(ROUND(F1850*J1850/B1850,0)*B1850),E1850-(ROUND(F1850*J1850/B1850,0)*B1850)),IF(D1850="BUY",E1850-(ROUND(F1850*J1850/B1850,0)*B1850),E1850+(ROUND(F1850*J1850/B1850,0)*B1850)))</f>
        <v>#DIV/0!</v>
      </c>
      <c r="K1851" s="29" t="e">
        <f>IF(C1850=1,IF(D1850="BUY",E1850-(ROUND(F1850*K1850/B1850,0)*B1850),E1850+(ROUND(F1850*K1850/B1850,0)*B1850)),IF(D1850="BUY",E1850-(ROUND(F1850*K1850/B1850,0)*B1850),E1850+(ROUND(F1850*K1850/B1850,0)*B1850)))</f>
        <v>#DIV/0!</v>
      </c>
      <c r="L1851" s="29" t="e">
        <f t="shared" ref="L1851" si="2771">IF(D1851="BUY",I1851+(R1851*B1851),I1851-(R1851*B1851))</f>
        <v>#DIV/0!</v>
      </c>
      <c r="M1851" s="29" t="e">
        <f>IF(D1850="BUY",E1850+(ROUND(F1850*M1850/B1850,0)*B1850),E1850-(ROUND(F1850*M1850/B1850,0)*B1850))</f>
        <v>#DIV/0!</v>
      </c>
      <c r="N1851" s="29" t="e">
        <f>IF(D1850="BUY",E1850-(ROUND(F1850*N1850/B1850,0)*B1850),E1850+(ROUND(F1850*N1850/B1850,0)*B1850))</f>
        <v>#DIV/0!</v>
      </c>
      <c r="O1851" s="31" t="e">
        <f>IF(D1851="BUY",N1851-VLOOKUP(A1851,Symbols!A$1:D$1000,4,FALSE),N1851+VLOOKUP(A1851,Symbols!A$1:D$1000,4,FALSE))</f>
        <v>#DIV/0!</v>
      </c>
      <c r="P1851" s="29">
        <f>P1850</f>
        <v>0</v>
      </c>
      <c r="Q1851" s="29">
        <f>Q1850</f>
        <v>0</v>
      </c>
      <c r="R1851" s="29">
        <f>R1850</f>
        <v>0</v>
      </c>
      <c r="S1851" s="29">
        <f>S1850</f>
        <v>0</v>
      </c>
      <c r="T1851" s="29">
        <f>T1850</f>
        <v>0</v>
      </c>
      <c r="U1851" s="29" t="e">
        <f>DATEDIF(DATE(1970,1,1),U1850,"D")*86400</f>
        <v>#NUM!</v>
      </c>
      <c r="V1851" s="29">
        <f>HOUR(V1850)*3600+MINUTE(V1850)*60+SECOND(V1850)</f>
        <v>0</v>
      </c>
      <c r="W1851" s="29" t="e">
        <f>DATEDIF(DATE(1970,1,1),W1850,"D")*86400</f>
        <v>#NUM!</v>
      </c>
      <c r="X1851" s="29">
        <f>HOUR(X1850)*3600+MINUTE(X1850)*60+SECOND(X1850)</f>
        <v>0</v>
      </c>
      <c r="Y1851" s="31">
        <f>(Y1850*B1851)</f>
        <v>0</v>
      </c>
      <c r="Z1851" s="29">
        <f>Z1850</f>
        <v>0</v>
      </c>
      <c r="AA1851" s="29" t="e">
        <f>DATEDIF(DATE(1970,1,1),AA1850,"D")*86400</f>
        <v>#NUM!</v>
      </c>
      <c r="AB1851" s="29">
        <f>HOUR(AB1850)*3600+MINUTE(AB1850)*60+SECOND(AB1850)</f>
        <v>0</v>
      </c>
      <c r="AC1851" s="29">
        <f>AC1850</f>
        <v>0</v>
      </c>
    </row>
    <row r="1852" spans="1:29">
      <c r="A1852" s="23">
        <f>Parameters!A927</f>
        <v>0</v>
      </c>
      <c r="B1852" s="23">
        <f>Parameters!B927</f>
        <v>0</v>
      </c>
      <c r="C1852" s="24">
        <f>Parameters!C927</f>
        <v>0</v>
      </c>
      <c r="D1852" s="24">
        <f>Parameters!D927</f>
        <v>0</v>
      </c>
      <c r="E1852" s="23">
        <f>Parameters!E927</f>
        <v>0</v>
      </c>
      <c r="F1852" s="23">
        <f>Parameters!F927</f>
        <v>0</v>
      </c>
      <c r="G1852" s="25">
        <f>Parameters!G927</f>
        <v>0</v>
      </c>
      <c r="H1852" s="25">
        <f>Parameters!H927</f>
        <v>0</v>
      </c>
      <c r="I1852" s="25">
        <f>Parameters!I927</f>
        <v>0</v>
      </c>
      <c r="J1852" s="25">
        <f>Parameters!J927</f>
        <v>0</v>
      </c>
      <c r="K1852" s="25">
        <f>Parameters!K927</f>
        <v>0</v>
      </c>
      <c r="L1852" s="26" t="e">
        <f t="shared" ref="L1852" si="2772">L1853</f>
        <v>#DIV/0!</v>
      </c>
      <c r="M1852" s="25">
        <f>Parameters!L927</f>
        <v>0</v>
      </c>
      <c r="N1852" s="25">
        <f>Parameters!M927</f>
        <v>0</v>
      </c>
      <c r="O1852" s="26" t="e">
        <f t="shared" ref="O1852" si="2773">O1853</f>
        <v>#DIV/0!</v>
      </c>
      <c r="P1852" s="23">
        <f>Parameters!N927</f>
        <v>0</v>
      </c>
      <c r="Q1852" s="23">
        <f>Parameters!O927</f>
        <v>0</v>
      </c>
      <c r="R1852" s="23">
        <f>Parameters!P927</f>
        <v>0</v>
      </c>
      <c r="S1852" s="23">
        <f>Parameters!Q927</f>
        <v>0</v>
      </c>
      <c r="T1852" s="23">
        <f>Parameters!R927</f>
        <v>0</v>
      </c>
      <c r="U1852" s="27">
        <f>Parameters!S927</f>
        <v>0</v>
      </c>
      <c r="V1852" s="28">
        <f>Parameters!T927</f>
        <v>0</v>
      </c>
      <c r="W1852" s="27">
        <f>Parameters!U927</f>
        <v>0</v>
      </c>
      <c r="X1852" s="28">
        <f>Parameters!V927</f>
        <v>0</v>
      </c>
      <c r="Y1852" s="25">
        <f>Parameters!W927</f>
        <v>0</v>
      </c>
      <c r="Z1852" s="23">
        <f>Parameters!X927</f>
        <v>0</v>
      </c>
      <c r="AA1852" s="27">
        <f>Parameters!Y927</f>
        <v>0</v>
      </c>
      <c r="AB1852" s="28">
        <f>Parameters!Z927</f>
        <v>0</v>
      </c>
      <c r="AC1852" s="23">
        <f>Parameters!AA927</f>
        <v>0</v>
      </c>
    </row>
    <row r="1853" spans="1:29">
      <c r="A1853" s="29" t="str">
        <f>UPPER(A1852)</f>
        <v>0</v>
      </c>
      <c r="B1853" s="29">
        <f>B1852</f>
        <v>0</v>
      </c>
      <c r="C1853" s="30">
        <f>C1852</f>
        <v>0</v>
      </c>
      <c r="D1853" s="30">
        <f>D1852</f>
        <v>0</v>
      </c>
      <c r="E1853" s="29">
        <f>E1852</f>
        <v>0</v>
      </c>
      <c r="F1853" s="29">
        <f>F1852</f>
        <v>0</v>
      </c>
      <c r="G1853" s="29" t="e">
        <f>IF(C1852=1,IF(D1852="BUY",E1852+(ROUND(F1852*G1852/B1852,0)*B1852),E1852-(ROUND(F1852*G1852/B1852,0)*B1852)),IF(D1852="BUY",E1852-(ROUND(F1852*G1852/B1852,0)*B1852),E1852+(ROUND(F1852*G1852/B1852,0)*B1852)))</f>
        <v>#DIV/0!</v>
      </c>
      <c r="H1853" s="29" t="e">
        <f>IF(C1852=1,IF(D1852="BUY",G1853-(ROUND(F1852*H1852/B1852,0)*B1852),G1853+(ROUND(F1852*H1852/B1852,0)*B1852)),IF(D1852="BUY",G1853+(ROUND(F1852*H1852/B1852,0)*B1852),G1853-(ROUND(F1852*H1852/B1852,0)*B1852)))</f>
        <v>#DIV/0!</v>
      </c>
      <c r="I1853" s="29" t="e">
        <f>IF(D1852="BUY",G1853+(ROUND(F1852*I1852/(B1852*100),0)*B1852),G1853-(ROUND(F1852*I1852/(B1852*100),0)*B1852))</f>
        <v>#DIV/0!</v>
      </c>
      <c r="J1853" s="29" t="e">
        <f>IF(C1852=1,IF(D1852="BUY",E1852+(ROUND(F1852*J1852/B1852,0)*B1852),E1852-(ROUND(F1852*J1852/B1852,0)*B1852)),IF(D1852="BUY",E1852-(ROUND(F1852*J1852/B1852,0)*B1852),E1852+(ROUND(F1852*J1852/B1852,0)*B1852)))</f>
        <v>#DIV/0!</v>
      </c>
      <c r="K1853" s="29" t="e">
        <f>IF(C1852=1,IF(D1852="BUY",E1852-(ROUND(F1852*K1852/B1852,0)*B1852),E1852+(ROUND(F1852*K1852/B1852,0)*B1852)),IF(D1852="BUY",E1852-(ROUND(F1852*K1852/B1852,0)*B1852),E1852+(ROUND(F1852*K1852/B1852,0)*B1852)))</f>
        <v>#DIV/0!</v>
      </c>
      <c r="L1853" s="29" t="e">
        <f t="shared" ref="L1853" si="2774">IF(D1853="BUY",I1853+(R1853*B1853),I1853-(R1853*B1853))</f>
        <v>#DIV/0!</v>
      </c>
      <c r="M1853" s="29" t="e">
        <f>IF(D1852="BUY",E1852+(ROUND(F1852*M1852/B1852,0)*B1852),E1852-(ROUND(F1852*M1852/B1852,0)*B1852))</f>
        <v>#DIV/0!</v>
      </c>
      <c r="N1853" s="29" t="e">
        <f>IF(D1852="BUY",E1852-(ROUND(F1852*N1852/B1852,0)*B1852),E1852+(ROUND(F1852*N1852/B1852,0)*B1852))</f>
        <v>#DIV/0!</v>
      </c>
      <c r="O1853" s="31" t="e">
        <f>IF(D1853="BUY",N1853-VLOOKUP(A1853,Symbols!A$1:D$1000,4,FALSE),N1853+VLOOKUP(A1853,Symbols!A$1:D$1000,4,FALSE))</f>
        <v>#DIV/0!</v>
      </c>
      <c r="P1853" s="29">
        <f>P1852</f>
        <v>0</v>
      </c>
      <c r="Q1853" s="29">
        <f>Q1852</f>
        <v>0</v>
      </c>
      <c r="R1853" s="29">
        <f>R1852</f>
        <v>0</v>
      </c>
      <c r="S1853" s="29">
        <f>S1852</f>
        <v>0</v>
      </c>
      <c r="T1853" s="29">
        <f>T1852</f>
        <v>0</v>
      </c>
      <c r="U1853" s="29" t="e">
        <f>DATEDIF(DATE(1970,1,1),U1852,"D")*86400</f>
        <v>#NUM!</v>
      </c>
      <c r="V1853" s="29">
        <f>HOUR(V1852)*3600+MINUTE(V1852)*60+SECOND(V1852)</f>
        <v>0</v>
      </c>
      <c r="W1853" s="29" t="e">
        <f>DATEDIF(DATE(1970,1,1),W1852,"D")*86400</f>
        <v>#NUM!</v>
      </c>
      <c r="X1853" s="29">
        <f>HOUR(X1852)*3600+MINUTE(X1852)*60+SECOND(X1852)</f>
        <v>0</v>
      </c>
      <c r="Y1853" s="31">
        <f>(Y1852*B1853)</f>
        <v>0</v>
      </c>
      <c r="Z1853" s="29">
        <f>Z1852</f>
        <v>0</v>
      </c>
      <c r="AA1853" s="29" t="e">
        <f>DATEDIF(DATE(1970,1,1),AA1852,"D")*86400</f>
        <v>#NUM!</v>
      </c>
      <c r="AB1853" s="29">
        <f>HOUR(AB1852)*3600+MINUTE(AB1852)*60+SECOND(AB1852)</f>
        <v>0</v>
      </c>
      <c r="AC1853" s="29">
        <f>AC1852</f>
        <v>0</v>
      </c>
    </row>
    <row r="1854" spans="1:29">
      <c r="A1854" s="23">
        <f>Parameters!A928</f>
        <v>0</v>
      </c>
      <c r="B1854" s="23">
        <f>Parameters!B928</f>
        <v>0</v>
      </c>
      <c r="C1854" s="24">
        <f>Parameters!C928</f>
        <v>0</v>
      </c>
      <c r="D1854" s="24">
        <f>Parameters!D928</f>
        <v>0</v>
      </c>
      <c r="E1854" s="23">
        <f>Parameters!E928</f>
        <v>0</v>
      </c>
      <c r="F1854" s="23">
        <f>Parameters!F928</f>
        <v>0</v>
      </c>
      <c r="G1854" s="25">
        <f>Parameters!G928</f>
        <v>0</v>
      </c>
      <c r="H1854" s="25">
        <f>Parameters!H928</f>
        <v>0</v>
      </c>
      <c r="I1854" s="25">
        <f>Parameters!I928</f>
        <v>0</v>
      </c>
      <c r="J1854" s="25">
        <f>Parameters!J928</f>
        <v>0</v>
      </c>
      <c r="K1854" s="25">
        <f>Parameters!K928</f>
        <v>0</v>
      </c>
      <c r="L1854" s="26" t="e">
        <f t="shared" ref="L1854" si="2775">L1855</f>
        <v>#DIV/0!</v>
      </c>
      <c r="M1854" s="25">
        <f>Parameters!L928</f>
        <v>0</v>
      </c>
      <c r="N1854" s="25">
        <f>Parameters!M928</f>
        <v>0</v>
      </c>
      <c r="O1854" s="26" t="e">
        <f t="shared" ref="O1854" si="2776">O1855</f>
        <v>#DIV/0!</v>
      </c>
      <c r="P1854" s="23">
        <f>Parameters!N928</f>
        <v>0</v>
      </c>
      <c r="Q1854" s="23">
        <f>Parameters!O928</f>
        <v>0</v>
      </c>
      <c r="R1854" s="23">
        <f>Parameters!P928</f>
        <v>0</v>
      </c>
      <c r="S1854" s="23">
        <f>Parameters!Q928</f>
        <v>0</v>
      </c>
      <c r="T1854" s="23">
        <f>Parameters!R928</f>
        <v>0</v>
      </c>
      <c r="U1854" s="27">
        <f>Parameters!S928</f>
        <v>0</v>
      </c>
      <c r="V1854" s="28">
        <f>Parameters!T928</f>
        <v>0</v>
      </c>
      <c r="W1854" s="27">
        <f>Parameters!U928</f>
        <v>0</v>
      </c>
      <c r="X1854" s="28">
        <f>Parameters!V928</f>
        <v>0</v>
      </c>
      <c r="Y1854" s="25">
        <f>Parameters!W928</f>
        <v>0</v>
      </c>
      <c r="Z1854" s="23">
        <f>Parameters!X928</f>
        <v>0</v>
      </c>
      <c r="AA1854" s="27">
        <f>Parameters!Y928</f>
        <v>0</v>
      </c>
      <c r="AB1854" s="28">
        <f>Parameters!Z928</f>
        <v>0</v>
      </c>
      <c r="AC1854" s="23">
        <f>Parameters!AA928</f>
        <v>0</v>
      </c>
    </row>
    <row r="1855" spans="1:29">
      <c r="A1855" s="29" t="str">
        <f>UPPER(A1854)</f>
        <v>0</v>
      </c>
      <c r="B1855" s="29">
        <f>B1854</f>
        <v>0</v>
      </c>
      <c r="C1855" s="30">
        <f>C1854</f>
        <v>0</v>
      </c>
      <c r="D1855" s="30">
        <f>D1854</f>
        <v>0</v>
      </c>
      <c r="E1855" s="29">
        <f>E1854</f>
        <v>0</v>
      </c>
      <c r="F1855" s="29">
        <f>F1854</f>
        <v>0</v>
      </c>
      <c r="G1855" s="29" t="e">
        <f>IF(C1854=1,IF(D1854="BUY",E1854+(ROUND(F1854*G1854/B1854,0)*B1854),E1854-(ROUND(F1854*G1854/B1854,0)*B1854)),IF(D1854="BUY",E1854-(ROUND(F1854*G1854/B1854,0)*B1854),E1854+(ROUND(F1854*G1854/B1854,0)*B1854)))</f>
        <v>#DIV/0!</v>
      </c>
      <c r="H1855" s="29" t="e">
        <f>IF(C1854=1,IF(D1854="BUY",G1855-(ROUND(F1854*H1854/B1854,0)*B1854),G1855+(ROUND(F1854*H1854/B1854,0)*B1854)),IF(D1854="BUY",G1855+(ROUND(F1854*H1854/B1854,0)*B1854),G1855-(ROUND(F1854*H1854/B1854,0)*B1854)))</f>
        <v>#DIV/0!</v>
      </c>
      <c r="I1855" s="29" t="e">
        <f>IF(D1854="BUY",G1855+(ROUND(F1854*I1854/(B1854*100),0)*B1854),G1855-(ROUND(F1854*I1854/(B1854*100),0)*B1854))</f>
        <v>#DIV/0!</v>
      </c>
      <c r="J1855" s="29" t="e">
        <f>IF(C1854=1,IF(D1854="BUY",E1854+(ROUND(F1854*J1854/B1854,0)*B1854),E1854-(ROUND(F1854*J1854/B1854,0)*B1854)),IF(D1854="BUY",E1854-(ROUND(F1854*J1854/B1854,0)*B1854),E1854+(ROUND(F1854*J1854/B1854,0)*B1854)))</f>
        <v>#DIV/0!</v>
      </c>
      <c r="K1855" s="29" t="e">
        <f>IF(C1854=1,IF(D1854="BUY",E1854-(ROUND(F1854*K1854/B1854,0)*B1854),E1854+(ROUND(F1854*K1854/B1854,0)*B1854)),IF(D1854="BUY",E1854-(ROUND(F1854*K1854/B1854,0)*B1854),E1854+(ROUND(F1854*K1854/B1854,0)*B1854)))</f>
        <v>#DIV/0!</v>
      </c>
      <c r="L1855" s="29" t="e">
        <f t="shared" ref="L1855" si="2777">IF(D1855="BUY",I1855+(R1855*B1855),I1855-(R1855*B1855))</f>
        <v>#DIV/0!</v>
      </c>
      <c r="M1855" s="29" t="e">
        <f>IF(D1854="BUY",E1854+(ROUND(F1854*M1854/B1854,0)*B1854),E1854-(ROUND(F1854*M1854/B1854,0)*B1854))</f>
        <v>#DIV/0!</v>
      </c>
      <c r="N1855" s="29" t="e">
        <f>IF(D1854="BUY",E1854-(ROUND(F1854*N1854/B1854,0)*B1854),E1854+(ROUND(F1854*N1854/B1854,0)*B1854))</f>
        <v>#DIV/0!</v>
      </c>
      <c r="O1855" s="31" t="e">
        <f>IF(D1855="BUY",N1855-VLOOKUP(A1855,Symbols!A$1:D$1000,4,FALSE),N1855+VLOOKUP(A1855,Symbols!A$1:D$1000,4,FALSE))</f>
        <v>#DIV/0!</v>
      </c>
      <c r="P1855" s="29">
        <f>P1854</f>
        <v>0</v>
      </c>
      <c r="Q1855" s="29">
        <f>Q1854</f>
        <v>0</v>
      </c>
      <c r="R1855" s="29">
        <f>R1854</f>
        <v>0</v>
      </c>
      <c r="S1855" s="29">
        <f>S1854</f>
        <v>0</v>
      </c>
      <c r="T1855" s="29">
        <f>T1854</f>
        <v>0</v>
      </c>
      <c r="U1855" s="29" t="e">
        <f>DATEDIF(DATE(1970,1,1),U1854,"D")*86400</f>
        <v>#NUM!</v>
      </c>
      <c r="V1855" s="29">
        <f>HOUR(V1854)*3600+MINUTE(V1854)*60+SECOND(V1854)</f>
        <v>0</v>
      </c>
      <c r="W1855" s="29" t="e">
        <f>DATEDIF(DATE(1970,1,1),W1854,"D")*86400</f>
        <v>#NUM!</v>
      </c>
      <c r="X1855" s="29">
        <f>HOUR(X1854)*3600+MINUTE(X1854)*60+SECOND(X1854)</f>
        <v>0</v>
      </c>
      <c r="Y1855" s="31">
        <f>(Y1854*B1855)</f>
        <v>0</v>
      </c>
      <c r="Z1855" s="29">
        <f>Z1854</f>
        <v>0</v>
      </c>
      <c r="AA1855" s="29" t="e">
        <f>DATEDIF(DATE(1970,1,1),AA1854,"D")*86400</f>
        <v>#NUM!</v>
      </c>
      <c r="AB1855" s="29">
        <f>HOUR(AB1854)*3600+MINUTE(AB1854)*60+SECOND(AB1854)</f>
        <v>0</v>
      </c>
      <c r="AC1855" s="29">
        <f>AC1854</f>
        <v>0</v>
      </c>
    </row>
    <row r="1856" spans="1:29">
      <c r="A1856" s="23">
        <f>Parameters!A929</f>
        <v>0</v>
      </c>
      <c r="B1856" s="23">
        <f>Parameters!B929</f>
        <v>0</v>
      </c>
      <c r="C1856" s="24">
        <f>Parameters!C929</f>
        <v>0</v>
      </c>
      <c r="D1856" s="24">
        <f>Parameters!D929</f>
        <v>0</v>
      </c>
      <c r="E1856" s="23">
        <f>Parameters!E929</f>
        <v>0</v>
      </c>
      <c r="F1856" s="23">
        <f>Parameters!F929</f>
        <v>0</v>
      </c>
      <c r="G1856" s="25">
        <f>Parameters!G929</f>
        <v>0</v>
      </c>
      <c r="H1856" s="25">
        <f>Parameters!H929</f>
        <v>0</v>
      </c>
      <c r="I1856" s="25">
        <f>Parameters!I929</f>
        <v>0</v>
      </c>
      <c r="J1856" s="25">
        <f>Parameters!J929</f>
        <v>0</v>
      </c>
      <c r="K1856" s="25">
        <f>Parameters!K929</f>
        <v>0</v>
      </c>
      <c r="L1856" s="26" t="e">
        <f t="shared" ref="L1856" si="2778">L1857</f>
        <v>#DIV/0!</v>
      </c>
      <c r="M1856" s="25">
        <f>Parameters!L929</f>
        <v>0</v>
      </c>
      <c r="N1856" s="25">
        <f>Parameters!M929</f>
        <v>0</v>
      </c>
      <c r="O1856" s="26" t="e">
        <f t="shared" ref="O1856" si="2779">O1857</f>
        <v>#DIV/0!</v>
      </c>
      <c r="P1856" s="23">
        <f>Parameters!N929</f>
        <v>0</v>
      </c>
      <c r="Q1856" s="23">
        <f>Parameters!O929</f>
        <v>0</v>
      </c>
      <c r="R1856" s="23">
        <f>Parameters!P929</f>
        <v>0</v>
      </c>
      <c r="S1856" s="23">
        <f>Parameters!Q929</f>
        <v>0</v>
      </c>
      <c r="T1856" s="23">
        <f>Parameters!R929</f>
        <v>0</v>
      </c>
      <c r="U1856" s="27">
        <f>Parameters!S929</f>
        <v>0</v>
      </c>
      <c r="V1856" s="28">
        <f>Parameters!T929</f>
        <v>0</v>
      </c>
      <c r="W1856" s="27">
        <f>Parameters!U929</f>
        <v>0</v>
      </c>
      <c r="X1856" s="28">
        <f>Parameters!V929</f>
        <v>0</v>
      </c>
      <c r="Y1856" s="25">
        <f>Parameters!W929</f>
        <v>0</v>
      </c>
      <c r="Z1856" s="23">
        <f>Parameters!X929</f>
        <v>0</v>
      </c>
      <c r="AA1856" s="27">
        <f>Parameters!Y929</f>
        <v>0</v>
      </c>
      <c r="AB1856" s="28">
        <f>Parameters!Z929</f>
        <v>0</v>
      </c>
      <c r="AC1856" s="23">
        <f>Parameters!AA929</f>
        <v>0</v>
      </c>
    </row>
    <row r="1857" spans="1:29">
      <c r="A1857" s="29" t="str">
        <f>UPPER(A1856)</f>
        <v>0</v>
      </c>
      <c r="B1857" s="29">
        <f>B1856</f>
        <v>0</v>
      </c>
      <c r="C1857" s="30">
        <f>C1856</f>
        <v>0</v>
      </c>
      <c r="D1857" s="30">
        <f>D1856</f>
        <v>0</v>
      </c>
      <c r="E1857" s="29">
        <f>E1856</f>
        <v>0</v>
      </c>
      <c r="F1857" s="29">
        <f>F1856</f>
        <v>0</v>
      </c>
      <c r="G1857" s="29" t="e">
        <f>IF(C1856=1,IF(D1856="BUY",E1856+(ROUND(F1856*G1856/B1856,0)*B1856),E1856-(ROUND(F1856*G1856/B1856,0)*B1856)),IF(D1856="BUY",E1856-(ROUND(F1856*G1856/B1856,0)*B1856),E1856+(ROUND(F1856*G1856/B1856,0)*B1856)))</f>
        <v>#DIV/0!</v>
      </c>
      <c r="H1857" s="29" t="e">
        <f>IF(C1856=1,IF(D1856="BUY",G1857-(ROUND(F1856*H1856/B1856,0)*B1856),G1857+(ROUND(F1856*H1856/B1856,0)*B1856)),IF(D1856="BUY",G1857+(ROUND(F1856*H1856/B1856,0)*B1856),G1857-(ROUND(F1856*H1856/B1856,0)*B1856)))</f>
        <v>#DIV/0!</v>
      </c>
      <c r="I1857" s="29" t="e">
        <f>IF(D1856="BUY",G1857+(ROUND(F1856*I1856/(B1856*100),0)*B1856),G1857-(ROUND(F1856*I1856/(B1856*100),0)*B1856))</f>
        <v>#DIV/0!</v>
      </c>
      <c r="J1857" s="29" t="e">
        <f>IF(C1856=1,IF(D1856="BUY",E1856+(ROUND(F1856*J1856/B1856,0)*B1856),E1856-(ROUND(F1856*J1856/B1856,0)*B1856)),IF(D1856="BUY",E1856-(ROUND(F1856*J1856/B1856,0)*B1856),E1856+(ROUND(F1856*J1856/B1856,0)*B1856)))</f>
        <v>#DIV/0!</v>
      </c>
      <c r="K1857" s="29" t="e">
        <f>IF(C1856=1,IF(D1856="BUY",E1856-(ROUND(F1856*K1856/B1856,0)*B1856),E1856+(ROUND(F1856*K1856/B1856,0)*B1856)),IF(D1856="BUY",E1856-(ROUND(F1856*K1856/B1856,0)*B1856),E1856+(ROUND(F1856*K1856/B1856,0)*B1856)))</f>
        <v>#DIV/0!</v>
      </c>
      <c r="L1857" s="29" t="e">
        <f t="shared" ref="L1857" si="2780">IF(D1857="BUY",I1857+(R1857*B1857),I1857-(R1857*B1857))</f>
        <v>#DIV/0!</v>
      </c>
      <c r="M1857" s="29" t="e">
        <f>IF(D1856="BUY",E1856+(ROUND(F1856*M1856/B1856,0)*B1856),E1856-(ROUND(F1856*M1856/B1856,0)*B1856))</f>
        <v>#DIV/0!</v>
      </c>
      <c r="N1857" s="29" t="e">
        <f>IF(D1856="BUY",E1856-(ROUND(F1856*N1856/B1856,0)*B1856),E1856+(ROUND(F1856*N1856/B1856,0)*B1856))</f>
        <v>#DIV/0!</v>
      </c>
      <c r="O1857" s="31" t="e">
        <f>IF(D1857="BUY",N1857-VLOOKUP(A1857,Symbols!A$1:D$1000,4,FALSE),N1857+VLOOKUP(A1857,Symbols!A$1:D$1000,4,FALSE))</f>
        <v>#DIV/0!</v>
      </c>
      <c r="P1857" s="29">
        <f>P1856</f>
        <v>0</v>
      </c>
      <c r="Q1857" s="29">
        <f>Q1856</f>
        <v>0</v>
      </c>
      <c r="R1857" s="29">
        <f>R1856</f>
        <v>0</v>
      </c>
      <c r="S1857" s="29">
        <f>S1856</f>
        <v>0</v>
      </c>
      <c r="T1857" s="29">
        <f>T1856</f>
        <v>0</v>
      </c>
      <c r="U1857" s="29" t="e">
        <f>DATEDIF(DATE(1970,1,1),U1856,"D")*86400</f>
        <v>#NUM!</v>
      </c>
      <c r="V1857" s="29">
        <f>HOUR(V1856)*3600+MINUTE(V1856)*60+SECOND(V1856)</f>
        <v>0</v>
      </c>
      <c r="W1857" s="29" t="e">
        <f>DATEDIF(DATE(1970,1,1),W1856,"D")*86400</f>
        <v>#NUM!</v>
      </c>
      <c r="X1857" s="29">
        <f>HOUR(X1856)*3600+MINUTE(X1856)*60+SECOND(X1856)</f>
        <v>0</v>
      </c>
      <c r="Y1857" s="31">
        <f>(Y1856*B1857)</f>
        <v>0</v>
      </c>
      <c r="Z1857" s="29">
        <f>Z1856</f>
        <v>0</v>
      </c>
      <c r="AA1857" s="29" t="e">
        <f>DATEDIF(DATE(1970,1,1),AA1856,"D")*86400</f>
        <v>#NUM!</v>
      </c>
      <c r="AB1857" s="29">
        <f>HOUR(AB1856)*3600+MINUTE(AB1856)*60+SECOND(AB1856)</f>
        <v>0</v>
      </c>
      <c r="AC1857" s="29">
        <f>AC1856</f>
        <v>0</v>
      </c>
    </row>
    <row r="1858" spans="1:29">
      <c r="A1858" s="23">
        <f>Parameters!A930</f>
        <v>0</v>
      </c>
      <c r="B1858" s="23">
        <f>Parameters!B930</f>
        <v>0</v>
      </c>
      <c r="C1858" s="24">
        <f>Parameters!C930</f>
        <v>0</v>
      </c>
      <c r="D1858" s="24">
        <f>Parameters!D930</f>
        <v>0</v>
      </c>
      <c r="E1858" s="23">
        <f>Parameters!E930</f>
        <v>0</v>
      </c>
      <c r="F1858" s="23">
        <f>Parameters!F930</f>
        <v>0</v>
      </c>
      <c r="G1858" s="25">
        <f>Parameters!G930</f>
        <v>0</v>
      </c>
      <c r="H1858" s="25">
        <f>Parameters!H930</f>
        <v>0</v>
      </c>
      <c r="I1858" s="25">
        <f>Parameters!I930</f>
        <v>0</v>
      </c>
      <c r="J1858" s="25">
        <f>Parameters!J930</f>
        <v>0</v>
      </c>
      <c r="K1858" s="25">
        <f>Parameters!K930</f>
        <v>0</v>
      </c>
      <c r="L1858" s="26" t="e">
        <f t="shared" ref="L1858" si="2781">L1859</f>
        <v>#DIV/0!</v>
      </c>
      <c r="M1858" s="25">
        <f>Parameters!L930</f>
        <v>0</v>
      </c>
      <c r="N1858" s="25">
        <f>Parameters!M930</f>
        <v>0</v>
      </c>
      <c r="O1858" s="26" t="e">
        <f t="shared" ref="O1858" si="2782">O1859</f>
        <v>#DIV/0!</v>
      </c>
      <c r="P1858" s="23">
        <f>Parameters!N930</f>
        <v>0</v>
      </c>
      <c r="Q1858" s="23">
        <f>Parameters!O930</f>
        <v>0</v>
      </c>
      <c r="R1858" s="23">
        <f>Parameters!P930</f>
        <v>0</v>
      </c>
      <c r="S1858" s="23">
        <f>Parameters!Q930</f>
        <v>0</v>
      </c>
      <c r="T1858" s="23">
        <f>Parameters!R930</f>
        <v>0</v>
      </c>
      <c r="U1858" s="27">
        <f>Parameters!S930</f>
        <v>0</v>
      </c>
      <c r="V1858" s="28">
        <f>Parameters!T930</f>
        <v>0</v>
      </c>
      <c r="W1858" s="27">
        <f>Parameters!U930</f>
        <v>0</v>
      </c>
      <c r="X1858" s="28">
        <f>Parameters!V930</f>
        <v>0</v>
      </c>
      <c r="Y1858" s="25">
        <f>Parameters!W930</f>
        <v>0</v>
      </c>
      <c r="Z1858" s="23">
        <f>Parameters!X930</f>
        <v>0</v>
      </c>
      <c r="AA1858" s="27">
        <f>Parameters!Y930</f>
        <v>0</v>
      </c>
      <c r="AB1858" s="28">
        <f>Parameters!Z930</f>
        <v>0</v>
      </c>
      <c r="AC1858" s="23">
        <f>Parameters!AA930</f>
        <v>0</v>
      </c>
    </row>
    <row r="1859" spans="1:29">
      <c r="A1859" s="29" t="str">
        <f>UPPER(A1858)</f>
        <v>0</v>
      </c>
      <c r="B1859" s="29">
        <f>B1858</f>
        <v>0</v>
      </c>
      <c r="C1859" s="30">
        <f>C1858</f>
        <v>0</v>
      </c>
      <c r="D1859" s="30">
        <f>D1858</f>
        <v>0</v>
      </c>
      <c r="E1859" s="29">
        <f>E1858</f>
        <v>0</v>
      </c>
      <c r="F1859" s="29">
        <f>F1858</f>
        <v>0</v>
      </c>
      <c r="G1859" s="29" t="e">
        <f>IF(C1858=1,IF(D1858="BUY",E1858+(ROUND(F1858*G1858/B1858,0)*B1858),E1858-(ROUND(F1858*G1858/B1858,0)*B1858)),IF(D1858="BUY",E1858-(ROUND(F1858*G1858/B1858,0)*B1858),E1858+(ROUND(F1858*G1858/B1858,0)*B1858)))</f>
        <v>#DIV/0!</v>
      </c>
      <c r="H1859" s="29" t="e">
        <f>IF(C1858=1,IF(D1858="BUY",G1859-(ROUND(F1858*H1858/B1858,0)*B1858),G1859+(ROUND(F1858*H1858/B1858,0)*B1858)),IF(D1858="BUY",G1859+(ROUND(F1858*H1858/B1858,0)*B1858),G1859-(ROUND(F1858*H1858/B1858,0)*B1858)))</f>
        <v>#DIV/0!</v>
      </c>
      <c r="I1859" s="29" t="e">
        <f>IF(D1858="BUY",G1859+(ROUND(F1858*I1858/(B1858*100),0)*B1858),G1859-(ROUND(F1858*I1858/(B1858*100),0)*B1858))</f>
        <v>#DIV/0!</v>
      </c>
      <c r="J1859" s="29" t="e">
        <f>IF(C1858=1,IF(D1858="BUY",E1858+(ROUND(F1858*J1858/B1858,0)*B1858),E1858-(ROUND(F1858*J1858/B1858,0)*B1858)),IF(D1858="BUY",E1858-(ROUND(F1858*J1858/B1858,0)*B1858),E1858+(ROUND(F1858*J1858/B1858,0)*B1858)))</f>
        <v>#DIV/0!</v>
      </c>
      <c r="K1859" s="29" t="e">
        <f>IF(C1858=1,IF(D1858="BUY",E1858-(ROUND(F1858*K1858/B1858,0)*B1858),E1858+(ROUND(F1858*K1858/B1858,0)*B1858)),IF(D1858="BUY",E1858-(ROUND(F1858*K1858/B1858,0)*B1858),E1858+(ROUND(F1858*K1858/B1858,0)*B1858)))</f>
        <v>#DIV/0!</v>
      </c>
      <c r="L1859" s="29" t="e">
        <f t="shared" ref="L1859" si="2783">IF(D1859="BUY",I1859+(R1859*B1859),I1859-(R1859*B1859))</f>
        <v>#DIV/0!</v>
      </c>
      <c r="M1859" s="29" t="e">
        <f>IF(D1858="BUY",E1858+(ROUND(F1858*M1858/B1858,0)*B1858),E1858-(ROUND(F1858*M1858/B1858,0)*B1858))</f>
        <v>#DIV/0!</v>
      </c>
      <c r="N1859" s="29" t="e">
        <f>IF(D1858="BUY",E1858-(ROUND(F1858*N1858/B1858,0)*B1858),E1858+(ROUND(F1858*N1858/B1858,0)*B1858))</f>
        <v>#DIV/0!</v>
      </c>
      <c r="O1859" s="31" t="e">
        <f>IF(D1859="BUY",N1859-VLOOKUP(A1859,Symbols!A$1:D$1000,4,FALSE),N1859+VLOOKUP(A1859,Symbols!A$1:D$1000,4,FALSE))</f>
        <v>#DIV/0!</v>
      </c>
      <c r="P1859" s="29">
        <f>P1858</f>
        <v>0</v>
      </c>
      <c r="Q1859" s="29">
        <f>Q1858</f>
        <v>0</v>
      </c>
      <c r="R1859" s="29">
        <f>R1858</f>
        <v>0</v>
      </c>
      <c r="S1859" s="29">
        <f>S1858</f>
        <v>0</v>
      </c>
      <c r="T1859" s="29">
        <f>T1858</f>
        <v>0</v>
      </c>
      <c r="U1859" s="29" t="e">
        <f>DATEDIF(DATE(1970,1,1),U1858,"D")*86400</f>
        <v>#NUM!</v>
      </c>
      <c r="V1859" s="29">
        <f>HOUR(V1858)*3600+MINUTE(V1858)*60+SECOND(V1858)</f>
        <v>0</v>
      </c>
      <c r="W1859" s="29" t="e">
        <f>DATEDIF(DATE(1970,1,1),W1858,"D")*86400</f>
        <v>#NUM!</v>
      </c>
      <c r="X1859" s="29">
        <f>HOUR(X1858)*3600+MINUTE(X1858)*60+SECOND(X1858)</f>
        <v>0</v>
      </c>
      <c r="Y1859" s="31">
        <f>(Y1858*B1859)</f>
        <v>0</v>
      </c>
      <c r="Z1859" s="29">
        <f>Z1858</f>
        <v>0</v>
      </c>
      <c r="AA1859" s="29" t="e">
        <f>DATEDIF(DATE(1970,1,1),AA1858,"D")*86400</f>
        <v>#NUM!</v>
      </c>
      <c r="AB1859" s="29">
        <f>HOUR(AB1858)*3600+MINUTE(AB1858)*60+SECOND(AB1858)</f>
        <v>0</v>
      </c>
      <c r="AC1859" s="29">
        <f>AC1858</f>
        <v>0</v>
      </c>
    </row>
    <row r="1860" spans="1:29">
      <c r="A1860" s="23">
        <f>Parameters!A931</f>
        <v>0</v>
      </c>
      <c r="B1860" s="23">
        <f>Parameters!B931</f>
        <v>0</v>
      </c>
      <c r="C1860" s="24">
        <f>Parameters!C931</f>
        <v>0</v>
      </c>
      <c r="D1860" s="24">
        <f>Parameters!D931</f>
        <v>0</v>
      </c>
      <c r="E1860" s="23">
        <f>Parameters!E931</f>
        <v>0</v>
      </c>
      <c r="F1860" s="23">
        <f>Parameters!F931</f>
        <v>0</v>
      </c>
      <c r="G1860" s="25">
        <f>Parameters!G931</f>
        <v>0</v>
      </c>
      <c r="H1860" s="25">
        <f>Parameters!H931</f>
        <v>0</v>
      </c>
      <c r="I1860" s="25">
        <f>Parameters!I931</f>
        <v>0</v>
      </c>
      <c r="J1860" s="25">
        <f>Parameters!J931</f>
        <v>0</v>
      </c>
      <c r="K1860" s="25">
        <f>Parameters!K931</f>
        <v>0</v>
      </c>
      <c r="L1860" s="26" t="e">
        <f t="shared" ref="L1860" si="2784">L1861</f>
        <v>#DIV/0!</v>
      </c>
      <c r="M1860" s="25">
        <f>Parameters!L931</f>
        <v>0</v>
      </c>
      <c r="N1860" s="25">
        <f>Parameters!M931</f>
        <v>0</v>
      </c>
      <c r="O1860" s="26" t="e">
        <f t="shared" ref="O1860" si="2785">O1861</f>
        <v>#DIV/0!</v>
      </c>
      <c r="P1860" s="23">
        <f>Parameters!N931</f>
        <v>0</v>
      </c>
      <c r="Q1860" s="23">
        <f>Parameters!O931</f>
        <v>0</v>
      </c>
      <c r="R1860" s="23">
        <f>Parameters!P931</f>
        <v>0</v>
      </c>
      <c r="S1860" s="23">
        <f>Parameters!Q931</f>
        <v>0</v>
      </c>
      <c r="T1860" s="23">
        <f>Parameters!R931</f>
        <v>0</v>
      </c>
      <c r="U1860" s="27">
        <f>Parameters!S931</f>
        <v>0</v>
      </c>
      <c r="V1860" s="28">
        <f>Parameters!T931</f>
        <v>0</v>
      </c>
      <c r="W1860" s="27">
        <f>Parameters!U931</f>
        <v>0</v>
      </c>
      <c r="X1860" s="28">
        <f>Parameters!V931</f>
        <v>0</v>
      </c>
      <c r="Y1860" s="25">
        <f>Parameters!W931</f>
        <v>0</v>
      </c>
      <c r="Z1860" s="23">
        <f>Parameters!X931</f>
        <v>0</v>
      </c>
      <c r="AA1860" s="27">
        <f>Parameters!Y931</f>
        <v>0</v>
      </c>
      <c r="AB1860" s="28">
        <f>Parameters!Z931</f>
        <v>0</v>
      </c>
      <c r="AC1860" s="23">
        <f>Parameters!AA931</f>
        <v>0</v>
      </c>
    </row>
    <row r="1861" spans="1:29">
      <c r="A1861" s="29" t="str">
        <f>UPPER(A1860)</f>
        <v>0</v>
      </c>
      <c r="B1861" s="29">
        <f>B1860</f>
        <v>0</v>
      </c>
      <c r="C1861" s="30">
        <f>C1860</f>
        <v>0</v>
      </c>
      <c r="D1861" s="30">
        <f>D1860</f>
        <v>0</v>
      </c>
      <c r="E1861" s="29">
        <f>E1860</f>
        <v>0</v>
      </c>
      <c r="F1861" s="29">
        <f>F1860</f>
        <v>0</v>
      </c>
      <c r="G1861" s="29" t="e">
        <f>IF(C1860=1,IF(D1860="BUY",E1860+(ROUND(F1860*G1860/B1860,0)*B1860),E1860-(ROUND(F1860*G1860/B1860,0)*B1860)),IF(D1860="BUY",E1860-(ROUND(F1860*G1860/B1860,0)*B1860),E1860+(ROUND(F1860*G1860/B1860,0)*B1860)))</f>
        <v>#DIV/0!</v>
      </c>
      <c r="H1861" s="29" t="e">
        <f>IF(C1860=1,IF(D1860="BUY",G1861-(ROUND(F1860*H1860/B1860,0)*B1860),G1861+(ROUND(F1860*H1860/B1860,0)*B1860)),IF(D1860="BUY",G1861+(ROUND(F1860*H1860/B1860,0)*B1860),G1861-(ROUND(F1860*H1860/B1860,0)*B1860)))</f>
        <v>#DIV/0!</v>
      </c>
      <c r="I1861" s="29" t="e">
        <f>IF(D1860="BUY",G1861+(ROUND(F1860*I1860/(B1860*100),0)*B1860),G1861-(ROUND(F1860*I1860/(B1860*100),0)*B1860))</f>
        <v>#DIV/0!</v>
      </c>
      <c r="J1861" s="29" t="e">
        <f>IF(C1860=1,IF(D1860="BUY",E1860+(ROUND(F1860*J1860/B1860,0)*B1860),E1860-(ROUND(F1860*J1860/B1860,0)*B1860)),IF(D1860="BUY",E1860-(ROUND(F1860*J1860/B1860,0)*B1860),E1860+(ROUND(F1860*J1860/B1860,0)*B1860)))</f>
        <v>#DIV/0!</v>
      </c>
      <c r="K1861" s="29" t="e">
        <f>IF(C1860=1,IF(D1860="BUY",E1860-(ROUND(F1860*K1860/B1860,0)*B1860),E1860+(ROUND(F1860*K1860/B1860,0)*B1860)),IF(D1860="BUY",E1860-(ROUND(F1860*K1860/B1860,0)*B1860),E1860+(ROUND(F1860*K1860/B1860,0)*B1860)))</f>
        <v>#DIV/0!</v>
      </c>
      <c r="L1861" s="29" t="e">
        <f t="shared" ref="L1861" si="2786">IF(D1861="BUY",I1861+(R1861*B1861),I1861-(R1861*B1861))</f>
        <v>#DIV/0!</v>
      </c>
      <c r="M1861" s="29" t="e">
        <f>IF(D1860="BUY",E1860+(ROUND(F1860*M1860/B1860,0)*B1860),E1860-(ROUND(F1860*M1860/B1860,0)*B1860))</f>
        <v>#DIV/0!</v>
      </c>
      <c r="N1861" s="29" t="e">
        <f>IF(D1860="BUY",E1860-(ROUND(F1860*N1860/B1860,0)*B1860),E1860+(ROUND(F1860*N1860/B1860,0)*B1860))</f>
        <v>#DIV/0!</v>
      </c>
      <c r="O1861" s="31" t="e">
        <f>IF(D1861="BUY",N1861-VLOOKUP(A1861,Symbols!A$1:D$1000,4,FALSE),N1861+VLOOKUP(A1861,Symbols!A$1:D$1000,4,FALSE))</f>
        <v>#DIV/0!</v>
      </c>
      <c r="P1861" s="29">
        <f>P1860</f>
        <v>0</v>
      </c>
      <c r="Q1861" s="29">
        <f>Q1860</f>
        <v>0</v>
      </c>
      <c r="R1861" s="29">
        <f>R1860</f>
        <v>0</v>
      </c>
      <c r="S1861" s="29">
        <f>S1860</f>
        <v>0</v>
      </c>
      <c r="T1861" s="29">
        <f>T1860</f>
        <v>0</v>
      </c>
      <c r="U1861" s="29" t="e">
        <f>DATEDIF(DATE(1970,1,1),U1860,"D")*86400</f>
        <v>#NUM!</v>
      </c>
      <c r="V1861" s="29">
        <f>HOUR(V1860)*3600+MINUTE(V1860)*60+SECOND(V1860)</f>
        <v>0</v>
      </c>
      <c r="W1861" s="29" t="e">
        <f>DATEDIF(DATE(1970,1,1),W1860,"D")*86400</f>
        <v>#NUM!</v>
      </c>
      <c r="X1861" s="29">
        <f>HOUR(X1860)*3600+MINUTE(X1860)*60+SECOND(X1860)</f>
        <v>0</v>
      </c>
      <c r="Y1861" s="31">
        <f>(Y1860*B1861)</f>
        <v>0</v>
      </c>
      <c r="Z1861" s="29">
        <f>Z1860</f>
        <v>0</v>
      </c>
      <c r="AA1861" s="29" t="e">
        <f>DATEDIF(DATE(1970,1,1),AA1860,"D")*86400</f>
        <v>#NUM!</v>
      </c>
      <c r="AB1861" s="29">
        <f>HOUR(AB1860)*3600+MINUTE(AB1860)*60+SECOND(AB1860)</f>
        <v>0</v>
      </c>
      <c r="AC1861" s="29">
        <f>AC1860</f>
        <v>0</v>
      </c>
    </row>
    <row r="1862" spans="1:29">
      <c r="A1862" s="23">
        <f>Parameters!A932</f>
        <v>0</v>
      </c>
      <c r="B1862" s="23">
        <f>Parameters!B932</f>
        <v>0</v>
      </c>
      <c r="C1862" s="24">
        <f>Parameters!C932</f>
        <v>0</v>
      </c>
      <c r="D1862" s="24">
        <f>Parameters!D932</f>
        <v>0</v>
      </c>
      <c r="E1862" s="23">
        <f>Parameters!E932</f>
        <v>0</v>
      </c>
      <c r="F1862" s="23">
        <f>Parameters!F932</f>
        <v>0</v>
      </c>
      <c r="G1862" s="25">
        <f>Parameters!G932</f>
        <v>0</v>
      </c>
      <c r="H1862" s="25">
        <f>Parameters!H932</f>
        <v>0</v>
      </c>
      <c r="I1862" s="25">
        <f>Parameters!I932</f>
        <v>0</v>
      </c>
      <c r="J1862" s="25">
        <f>Parameters!J932</f>
        <v>0</v>
      </c>
      <c r="K1862" s="25">
        <f>Parameters!K932</f>
        <v>0</v>
      </c>
      <c r="L1862" s="26" t="e">
        <f t="shared" ref="L1862" si="2787">L1863</f>
        <v>#DIV/0!</v>
      </c>
      <c r="M1862" s="25">
        <f>Parameters!L932</f>
        <v>0</v>
      </c>
      <c r="N1862" s="25">
        <f>Parameters!M932</f>
        <v>0</v>
      </c>
      <c r="O1862" s="26" t="e">
        <f t="shared" ref="O1862" si="2788">O1863</f>
        <v>#DIV/0!</v>
      </c>
      <c r="P1862" s="23">
        <f>Parameters!N932</f>
        <v>0</v>
      </c>
      <c r="Q1862" s="23">
        <f>Parameters!O932</f>
        <v>0</v>
      </c>
      <c r="R1862" s="23">
        <f>Parameters!P932</f>
        <v>0</v>
      </c>
      <c r="S1862" s="23">
        <f>Parameters!Q932</f>
        <v>0</v>
      </c>
      <c r="T1862" s="23">
        <f>Parameters!R932</f>
        <v>0</v>
      </c>
      <c r="U1862" s="27">
        <f>Parameters!S932</f>
        <v>0</v>
      </c>
      <c r="V1862" s="28">
        <f>Parameters!T932</f>
        <v>0</v>
      </c>
      <c r="W1862" s="27">
        <f>Parameters!U932</f>
        <v>0</v>
      </c>
      <c r="X1862" s="28">
        <f>Parameters!V932</f>
        <v>0</v>
      </c>
      <c r="Y1862" s="25">
        <f>Parameters!W932</f>
        <v>0</v>
      </c>
      <c r="Z1862" s="23">
        <f>Parameters!X932</f>
        <v>0</v>
      </c>
      <c r="AA1862" s="27">
        <f>Parameters!Y932</f>
        <v>0</v>
      </c>
      <c r="AB1862" s="28">
        <f>Parameters!Z932</f>
        <v>0</v>
      </c>
      <c r="AC1862" s="23">
        <f>Parameters!AA932</f>
        <v>0</v>
      </c>
    </row>
    <row r="1863" spans="1:29">
      <c r="A1863" s="29" t="str">
        <f>UPPER(A1862)</f>
        <v>0</v>
      </c>
      <c r="B1863" s="29">
        <f>B1862</f>
        <v>0</v>
      </c>
      <c r="C1863" s="30">
        <f>C1862</f>
        <v>0</v>
      </c>
      <c r="D1863" s="30">
        <f>D1862</f>
        <v>0</v>
      </c>
      <c r="E1863" s="29">
        <f>E1862</f>
        <v>0</v>
      </c>
      <c r="F1863" s="29">
        <f>F1862</f>
        <v>0</v>
      </c>
      <c r="G1863" s="29" t="e">
        <f>IF(C1862=1,IF(D1862="BUY",E1862+(ROUND(F1862*G1862/B1862,0)*B1862),E1862-(ROUND(F1862*G1862/B1862,0)*B1862)),IF(D1862="BUY",E1862-(ROUND(F1862*G1862/B1862,0)*B1862),E1862+(ROUND(F1862*G1862/B1862,0)*B1862)))</f>
        <v>#DIV/0!</v>
      </c>
      <c r="H1863" s="29" t="e">
        <f>IF(C1862=1,IF(D1862="BUY",G1863-(ROUND(F1862*H1862/B1862,0)*B1862),G1863+(ROUND(F1862*H1862/B1862,0)*B1862)),IF(D1862="BUY",G1863+(ROUND(F1862*H1862/B1862,0)*B1862),G1863-(ROUND(F1862*H1862/B1862,0)*B1862)))</f>
        <v>#DIV/0!</v>
      </c>
      <c r="I1863" s="29" t="e">
        <f>IF(D1862="BUY",G1863+(ROUND(F1862*I1862/(B1862*100),0)*B1862),G1863-(ROUND(F1862*I1862/(B1862*100),0)*B1862))</f>
        <v>#DIV/0!</v>
      </c>
      <c r="J1863" s="29" t="e">
        <f>IF(C1862=1,IF(D1862="BUY",E1862+(ROUND(F1862*J1862/B1862,0)*B1862),E1862-(ROUND(F1862*J1862/B1862,0)*B1862)),IF(D1862="BUY",E1862-(ROUND(F1862*J1862/B1862,0)*B1862),E1862+(ROUND(F1862*J1862/B1862,0)*B1862)))</f>
        <v>#DIV/0!</v>
      </c>
      <c r="K1863" s="29" t="e">
        <f>IF(C1862=1,IF(D1862="BUY",E1862-(ROUND(F1862*K1862/B1862,0)*B1862),E1862+(ROUND(F1862*K1862/B1862,0)*B1862)),IF(D1862="BUY",E1862-(ROUND(F1862*K1862/B1862,0)*B1862),E1862+(ROUND(F1862*K1862/B1862,0)*B1862)))</f>
        <v>#DIV/0!</v>
      </c>
      <c r="L1863" s="29" t="e">
        <f t="shared" ref="L1863" si="2789">IF(D1863="BUY",I1863+(R1863*B1863),I1863-(R1863*B1863))</f>
        <v>#DIV/0!</v>
      </c>
      <c r="M1863" s="29" t="e">
        <f>IF(D1862="BUY",E1862+(ROUND(F1862*M1862/B1862,0)*B1862),E1862-(ROUND(F1862*M1862/B1862,0)*B1862))</f>
        <v>#DIV/0!</v>
      </c>
      <c r="N1863" s="29" t="e">
        <f>IF(D1862="BUY",E1862-(ROUND(F1862*N1862/B1862,0)*B1862),E1862+(ROUND(F1862*N1862/B1862,0)*B1862))</f>
        <v>#DIV/0!</v>
      </c>
      <c r="O1863" s="31" t="e">
        <f>IF(D1863="BUY",N1863-VLOOKUP(A1863,Symbols!A$1:D$1000,4,FALSE),N1863+VLOOKUP(A1863,Symbols!A$1:D$1000,4,FALSE))</f>
        <v>#DIV/0!</v>
      </c>
      <c r="P1863" s="29">
        <f>P1862</f>
        <v>0</v>
      </c>
      <c r="Q1863" s="29">
        <f>Q1862</f>
        <v>0</v>
      </c>
      <c r="R1863" s="29">
        <f>R1862</f>
        <v>0</v>
      </c>
      <c r="S1863" s="29">
        <f>S1862</f>
        <v>0</v>
      </c>
      <c r="T1863" s="29">
        <f>T1862</f>
        <v>0</v>
      </c>
      <c r="U1863" s="29" t="e">
        <f>DATEDIF(DATE(1970,1,1),U1862,"D")*86400</f>
        <v>#NUM!</v>
      </c>
      <c r="V1863" s="29">
        <f>HOUR(V1862)*3600+MINUTE(V1862)*60+SECOND(V1862)</f>
        <v>0</v>
      </c>
      <c r="W1863" s="29" t="e">
        <f>DATEDIF(DATE(1970,1,1),W1862,"D")*86400</f>
        <v>#NUM!</v>
      </c>
      <c r="X1863" s="29">
        <f>HOUR(X1862)*3600+MINUTE(X1862)*60+SECOND(X1862)</f>
        <v>0</v>
      </c>
      <c r="Y1863" s="31">
        <f>(Y1862*B1863)</f>
        <v>0</v>
      </c>
      <c r="Z1863" s="29">
        <f>Z1862</f>
        <v>0</v>
      </c>
      <c r="AA1863" s="29" t="e">
        <f>DATEDIF(DATE(1970,1,1),AA1862,"D")*86400</f>
        <v>#NUM!</v>
      </c>
      <c r="AB1863" s="29">
        <f>HOUR(AB1862)*3600+MINUTE(AB1862)*60+SECOND(AB1862)</f>
        <v>0</v>
      </c>
      <c r="AC1863" s="29">
        <f>AC1862</f>
        <v>0</v>
      </c>
    </row>
    <row r="1864" spans="1:29">
      <c r="A1864" s="23">
        <f>Parameters!A933</f>
        <v>0</v>
      </c>
      <c r="B1864" s="23">
        <f>Parameters!B933</f>
        <v>0</v>
      </c>
      <c r="C1864" s="24">
        <f>Parameters!C933</f>
        <v>0</v>
      </c>
      <c r="D1864" s="24">
        <f>Parameters!D933</f>
        <v>0</v>
      </c>
      <c r="E1864" s="23">
        <f>Parameters!E933</f>
        <v>0</v>
      </c>
      <c r="F1864" s="23">
        <f>Parameters!F933</f>
        <v>0</v>
      </c>
      <c r="G1864" s="25">
        <f>Parameters!G933</f>
        <v>0</v>
      </c>
      <c r="H1864" s="25">
        <f>Parameters!H933</f>
        <v>0</v>
      </c>
      <c r="I1864" s="25">
        <f>Parameters!I933</f>
        <v>0</v>
      </c>
      <c r="J1864" s="25">
        <f>Parameters!J933</f>
        <v>0</v>
      </c>
      <c r="K1864" s="25">
        <f>Parameters!K933</f>
        <v>0</v>
      </c>
      <c r="L1864" s="26" t="e">
        <f t="shared" ref="L1864" si="2790">L1865</f>
        <v>#DIV/0!</v>
      </c>
      <c r="M1864" s="25">
        <f>Parameters!L933</f>
        <v>0</v>
      </c>
      <c r="N1864" s="25">
        <f>Parameters!M933</f>
        <v>0</v>
      </c>
      <c r="O1864" s="26" t="e">
        <f t="shared" ref="O1864" si="2791">O1865</f>
        <v>#DIV/0!</v>
      </c>
      <c r="P1864" s="23">
        <f>Parameters!N933</f>
        <v>0</v>
      </c>
      <c r="Q1864" s="23">
        <f>Parameters!O933</f>
        <v>0</v>
      </c>
      <c r="R1864" s="23">
        <f>Parameters!P933</f>
        <v>0</v>
      </c>
      <c r="S1864" s="23">
        <f>Parameters!Q933</f>
        <v>0</v>
      </c>
      <c r="T1864" s="23">
        <f>Parameters!R933</f>
        <v>0</v>
      </c>
      <c r="U1864" s="27">
        <f>Parameters!S933</f>
        <v>0</v>
      </c>
      <c r="V1864" s="28">
        <f>Parameters!T933</f>
        <v>0</v>
      </c>
      <c r="W1864" s="27">
        <f>Parameters!U933</f>
        <v>0</v>
      </c>
      <c r="X1864" s="28">
        <f>Parameters!V933</f>
        <v>0</v>
      </c>
      <c r="Y1864" s="25">
        <f>Parameters!W933</f>
        <v>0</v>
      </c>
      <c r="Z1864" s="23">
        <f>Parameters!X933</f>
        <v>0</v>
      </c>
      <c r="AA1864" s="27">
        <f>Parameters!Y933</f>
        <v>0</v>
      </c>
      <c r="AB1864" s="28">
        <f>Parameters!Z933</f>
        <v>0</v>
      </c>
      <c r="AC1864" s="23">
        <f>Parameters!AA933</f>
        <v>0</v>
      </c>
    </row>
    <row r="1865" spans="1:29">
      <c r="A1865" s="29" t="str">
        <f>UPPER(A1864)</f>
        <v>0</v>
      </c>
      <c r="B1865" s="29">
        <f>B1864</f>
        <v>0</v>
      </c>
      <c r="C1865" s="30">
        <f>C1864</f>
        <v>0</v>
      </c>
      <c r="D1865" s="30">
        <f>D1864</f>
        <v>0</v>
      </c>
      <c r="E1865" s="29">
        <f>E1864</f>
        <v>0</v>
      </c>
      <c r="F1865" s="29">
        <f>F1864</f>
        <v>0</v>
      </c>
      <c r="G1865" s="29" t="e">
        <f>IF(C1864=1,IF(D1864="BUY",E1864+(ROUND(F1864*G1864/B1864,0)*B1864),E1864-(ROUND(F1864*G1864/B1864,0)*B1864)),IF(D1864="BUY",E1864-(ROUND(F1864*G1864/B1864,0)*B1864),E1864+(ROUND(F1864*G1864/B1864,0)*B1864)))</f>
        <v>#DIV/0!</v>
      </c>
      <c r="H1865" s="29" t="e">
        <f>IF(C1864=1,IF(D1864="BUY",G1865-(ROUND(F1864*H1864/B1864,0)*B1864),G1865+(ROUND(F1864*H1864/B1864,0)*B1864)),IF(D1864="BUY",G1865+(ROUND(F1864*H1864/B1864,0)*B1864),G1865-(ROUND(F1864*H1864/B1864,0)*B1864)))</f>
        <v>#DIV/0!</v>
      </c>
      <c r="I1865" s="29" t="e">
        <f>IF(D1864="BUY",G1865+(ROUND(F1864*I1864/(B1864*100),0)*B1864),G1865-(ROUND(F1864*I1864/(B1864*100),0)*B1864))</f>
        <v>#DIV/0!</v>
      </c>
      <c r="J1865" s="29" t="e">
        <f>IF(C1864=1,IF(D1864="BUY",E1864+(ROUND(F1864*J1864/B1864,0)*B1864),E1864-(ROUND(F1864*J1864/B1864,0)*B1864)),IF(D1864="BUY",E1864-(ROUND(F1864*J1864/B1864,0)*B1864),E1864+(ROUND(F1864*J1864/B1864,0)*B1864)))</f>
        <v>#DIV/0!</v>
      </c>
      <c r="K1865" s="29" t="e">
        <f>IF(C1864=1,IF(D1864="BUY",E1864-(ROUND(F1864*K1864/B1864,0)*B1864),E1864+(ROUND(F1864*K1864/B1864,0)*B1864)),IF(D1864="BUY",E1864-(ROUND(F1864*K1864/B1864,0)*B1864),E1864+(ROUND(F1864*K1864/B1864,0)*B1864)))</f>
        <v>#DIV/0!</v>
      </c>
      <c r="L1865" s="29" t="e">
        <f t="shared" ref="L1865" si="2792">IF(D1865="BUY",I1865+(R1865*B1865),I1865-(R1865*B1865))</f>
        <v>#DIV/0!</v>
      </c>
      <c r="M1865" s="29" t="e">
        <f>IF(D1864="BUY",E1864+(ROUND(F1864*M1864/B1864,0)*B1864),E1864-(ROUND(F1864*M1864/B1864,0)*B1864))</f>
        <v>#DIV/0!</v>
      </c>
      <c r="N1865" s="29" t="e">
        <f>IF(D1864="BUY",E1864-(ROUND(F1864*N1864/B1864,0)*B1864),E1864+(ROUND(F1864*N1864/B1864,0)*B1864))</f>
        <v>#DIV/0!</v>
      </c>
      <c r="O1865" s="31" t="e">
        <f>IF(D1865="BUY",N1865-VLOOKUP(A1865,Symbols!A$1:D$1000,4,FALSE),N1865+VLOOKUP(A1865,Symbols!A$1:D$1000,4,FALSE))</f>
        <v>#DIV/0!</v>
      </c>
      <c r="P1865" s="29">
        <f>P1864</f>
        <v>0</v>
      </c>
      <c r="Q1865" s="29">
        <f>Q1864</f>
        <v>0</v>
      </c>
      <c r="R1865" s="29">
        <f>R1864</f>
        <v>0</v>
      </c>
      <c r="S1865" s="29">
        <f>S1864</f>
        <v>0</v>
      </c>
      <c r="T1865" s="29">
        <f>T1864</f>
        <v>0</v>
      </c>
      <c r="U1865" s="29" t="e">
        <f>DATEDIF(DATE(1970,1,1),U1864,"D")*86400</f>
        <v>#NUM!</v>
      </c>
      <c r="V1865" s="29">
        <f>HOUR(V1864)*3600+MINUTE(V1864)*60+SECOND(V1864)</f>
        <v>0</v>
      </c>
      <c r="W1865" s="29" t="e">
        <f>DATEDIF(DATE(1970,1,1),W1864,"D")*86400</f>
        <v>#NUM!</v>
      </c>
      <c r="X1865" s="29">
        <f>HOUR(X1864)*3600+MINUTE(X1864)*60+SECOND(X1864)</f>
        <v>0</v>
      </c>
      <c r="Y1865" s="31">
        <f>(Y1864*B1865)</f>
        <v>0</v>
      </c>
      <c r="Z1865" s="29">
        <f>Z1864</f>
        <v>0</v>
      </c>
      <c r="AA1865" s="29" t="e">
        <f>DATEDIF(DATE(1970,1,1),AA1864,"D")*86400</f>
        <v>#NUM!</v>
      </c>
      <c r="AB1865" s="29">
        <f>HOUR(AB1864)*3600+MINUTE(AB1864)*60+SECOND(AB1864)</f>
        <v>0</v>
      </c>
      <c r="AC1865" s="29">
        <f>AC1864</f>
        <v>0</v>
      </c>
    </row>
    <row r="1866" spans="1:29">
      <c r="A1866" s="23">
        <f>Parameters!A934</f>
        <v>0</v>
      </c>
      <c r="B1866" s="23">
        <f>Parameters!B934</f>
        <v>0</v>
      </c>
      <c r="C1866" s="24">
        <f>Parameters!C934</f>
        <v>0</v>
      </c>
      <c r="D1866" s="24">
        <f>Parameters!D934</f>
        <v>0</v>
      </c>
      <c r="E1866" s="23">
        <f>Parameters!E934</f>
        <v>0</v>
      </c>
      <c r="F1866" s="23">
        <f>Parameters!F934</f>
        <v>0</v>
      </c>
      <c r="G1866" s="25">
        <f>Parameters!G934</f>
        <v>0</v>
      </c>
      <c r="H1866" s="25">
        <f>Parameters!H934</f>
        <v>0</v>
      </c>
      <c r="I1866" s="25">
        <f>Parameters!I934</f>
        <v>0</v>
      </c>
      <c r="J1866" s="25">
        <f>Parameters!J934</f>
        <v>0</v>
      </c>
      <c r="K1866" s="25">
        <f>Parameters!K934</f>
        <v>0</v>
      </c>
      <c r="L1866" s="26" t="e">
        <f t="shared" ref="L1866" si="2793">L1867</f>
        <v>#DIV/0!</v>
      </c>
      <c r="M1866" s="25">
        <f>Parameters!L934</f>
        <v>0</v>
      </c>
      <c r="N1866" s="25">
        <f>Parameters!M934</f>
        <v>0</v>
      </c>
      <c r="O1866" s="26" t="e">
        <f t="shared" ref="O1866" si="2794">O1867</f>
        <v>#DIV/0!</v>
      </c>
      <c r="P1866" s="23">
        <f>Parameters!N934</f>
        <v>0</v>
      </c>
      <c r="Q1866" s="23">
        <f>Parameters!O934</f>
        <v>0</v>
      </c>
      <c r="R1866" s="23">
        <f>Parameters!P934</f>
        <v>0</v>
      </c>
      <c r="S1866" s="23">
        <f>Parameters!Q934</f>
        <v>0</v>
      </c>
      <c r="T1866" s="23">
        <f>Parameters!R934</f>
        <v>0</v>
      </c>
      <c r="U1866" s="27">
        <f>Parameters!S934</f>
        <v>0</v>
      </c>
      <c r="V1866" s="28">
        <f>Parameters!T934</f>
        <v>0</v>
      </c>
      <c r="W1866" s="27">
        <f>Parameters!U934</f>
        <v>0</v>
      </c>
      <c r="X1866" s="28">
        <f>Parameters!V934</f>
        <v>0</v>
      </c>
      <c r="Y1866" s="25">
        <f>Parameters!W934</f>
        <v>0</v>
      </c>
      <c r="Z1866" s="23">
        <f>Parameters!X934</f>
        <v>0</v>
      </c>
      <c r="AA1866" s="27">
        <f>Parameters!Y934</f>
        <v>0</v>
      </c>
      <c r="AB1866" s="28">
        <f>Parameters!Z934</f>
        <v>0</v>
      </c>
      <c r="AC1866" s="23">
        <f>Parameters!AA934</f>
        <v>0</v>
      </c>
    </row>
    <row r="1867" spans="1:29">
      <c r="A1867" s="29" t="str">
        <f>UPPER(A1866)</f>
        <v>0</v>
      </c>
      <c r="B1867" s="29">
        <f>B1866</f>
        <v>0</v>
      </c>
      <c r="C1867" s="30">
        <f>C1866</f>
        <v>0</v>
      </c>
      <c r="D1867" s="30">
        <f>D1866</f>
        <v>0</v>
      </c>
      <c r="E1867" s="29">
        <f>E1866</f>
        <v>0</v>
      </c>
      <c r="F1867" s="29">
        <f>F1866</f>
        <v>0</v>
      </c>
      <c r="G1867" s="29" t="e">
        <f>IF(C1866=1,IF(D1866="BUY",E1866+(ROUND(F1866*G1866/B1866,0)*B1866),E1866-(ROUND(F1866*G1866/B1866,0)*B1866)),IF(D1866="BUY",E1866-(ROUND(F1866*G1866/B1866,0)*B1866),E1866+(ROUND(F1866*G1866/B1866,0)*B1866)))</f>
        <v>#DIV/0!</v>
      </c>
      <c r="H1867" s="29" t="e">
        <f>IF(C1866=1,IF(D1866="BUY",G1867-(ROUND(F1866*H1866/B1866,0)*B1866),G1867+(ROUND(F1866*H1866/B1866,0)*B1866)),IF(D1866="BUY",G1867+(ROUND(F1866*H1866/B1866,0)*B1866),G1867-(ROUND(F1866*H1866/B1866,0)*B1866)))</f>
        <v>#DIV/0!</v>
      </c>
      <c r="I1867" s="29" t="e">
        <f>IF(D1866="BUY",G1867+(ROUND(F1866*I1866/(B1866*100),0)*B1866),G1867-(ROUND(F1866*I1866/(B1866*100),0)*B1866))</f>
        <v>#DIV/0!</v>
      </c>
      <c r="J1867" s="29" t="e">
        <f>IF(C1866=1,IF(D1866="BUY",E1866+(ROUND(F1866*J1866/B1866,0)*B1866),E1866-(ROUND(F1866*J1866/B1866,0)*B1866)),IF(D1866="BUY",E1866-(ROUND(F1866*J1866/B1866,0)*B1866),E1866+(ROUND(F1866*J1866/B1866,0)*B1866)))</f>
        <v>#DIV/0!</v>
      </c>
      <c r="K1867" s="29" t="e">
        <f>IF(C1866=1,IF(D1866="BUY",E1866-(ROUND(F1866*K1866/B1866,0)*B1866),E1866+(ROUND(F1866*K1866/B1866,0)*B1866)),IF(D1866="BUY",E1866-(ROUND(F1866*K1866/B1866,0)*B1866),E1866+(ROUND(F1866*K1866/B1866,0)*B1866)))</f>
        <v>#DIV/0!</v>
      </c>
      <c r="L1867" s="29" t="e">
        <f t="shared" ref="L1867" si="2795">IF(D1867="BUY",I1867+(R1867*B1867),I1867-(R1867*B1867))</f>
        <v>#DIV/0!</v>
      </c>
      <c r="M1867" s="29" t="e">
        <f>IF(D1866="BUY",E1866+(ROUND(F1866*M1866/B1866,0)*B1866),E1866-(ROUND(F1866*M1866/B1866,0)*B1866))</f>
        <v>#DIV/0!</v>
      </c>
      <c r="N1867" s="29" t="e">
        <f>IF(D1866="BUY",E1866-(ROUND(F1866*N1866/B1866,0)*B1866),E1866+(ROUND(F1866*N1866/B1866,0)*B1866))</f>
        <v>#DIV/0!</v>
      </c>
      <c r="O1867" s="31" t="e">
        <f>IF(D1867="BUY",N1867-VLOOKUP(A1867,Symbols!A$1:D$1000,4,FALSE),N1867+VLOOKUP(A1867,Symbols!A$1:D$1000,4,FALSE))</f>
        <v>#DIV/0!</v>
      </c>
      <c r="P1867" s="29">
        <f>P1866</f>
        <v>0</v>
      </c>
      <c r="Q1867" s="29">
        <f>Q1866</f>
        <v>0</v>
      </c>
      <c r="R1867" s="29">
        <f>R1866</f>
        <v>0</v>
      </c>
      <c r="S1867" s="29">
        <f>S1866</f>
        <v>0</v>
      </c>
      <c r="T1867" s="29">
        <f>T1866</f>
        <v>0</v>
      </c>
      <c r="U1867" s="29" t="e">
        <f>DATEDIF(DATE(1970,1,1),U1866,"D")*86400</f>
        <v>#NUM!</v>
      </c>
      <c r="V1867" s="29">
        <f>HOUR(V1866)*3600+MINUTE(V1866)*60+SECOND(V1866)</f>
        <v>0</v>
      </c>
      <c r="W1867" s="29" t="e">
        <f>DATEDIF(DATE(1970,1,1),W1866,"D")*86400</f>
        <v>#NUM!</v>
      </c>
      <c r="X1867" s="29">
        <f>HOUR(X1866)*3600+MINUTE(X1866)*60+SECOND(X1866)</f>
        <v>0</v>
      </c>
      <c r="Y1867" s="31">
        <f>(Y1866*B1867)</f>
        <v>0</v>
      </c>
      <c r="Z1867" s="29">
        <f>Z1866</f>
        <v>0</v>
      </c>
      <c r="AA1867" s="29" t="e">
        <f>DATEDIF(DATE(1970,1,1),AA1866,"D")*86400</f>
        <v>#NUM!</v>
      </c>
      <c r="AB1867" s="29">
        <f>HOUR(AB1866)*3600+MINUTE(AB1866)*60+SECOND(AB1866)</f>
        <v>0</v>
      </c>
      <c r="AC1867" s="29">
        <f>AC1866</f>
        <v>0</v>
      </c>
    </row>
    <row r="1868" spans="1:29">
      <c r="A1868" s="23">
        <f>Parameters!A935</f>
        <v>0</v>
      </c>
      <c r="B1868" s="23">
        <f>Parameters!B935</f>
        <v>0</v>
      </c>
      <c r="C1868" s="24">
        <f>Parameters!C935</f>
        <v>0</v>
      </c>
      <c r="D1868" s="24">
        <f>Parameters!D935</f>
        <v>0</v>
      </c>
      <c r="E1868" s="23">
        <f>Parameters!E935</f>
        <v>0</v>
      </c>
      <c r="F1868" s="23">
        <f>Parameters!F935</f>
        <v>0</v>
      </c>
      <c r="G1868" s="25">
        <f>Parameters!G935</f>
        <v>0</v>
      </c>
      <c r="H1868" s="25">
        <f>Parameters!H935</f>
        <v>0</v>
      </c>
      <c r="I1868" s="25">
        <f>Parameters!I935</f>
        <v>0</v>
      </c>
      <c r="J1868" s="25">
        <f>Parameters!J935</f>
        <v>0</v>
      </c>
      <c r="K1868" s="25">
        <f>Parameters!K935</f>
        <v>0</v>
      </c>
      <c r="L1868" s="26" t="e">
        <f t="shared" ref="L1868" si="2796">L1869</f>
        <v>#DIV/0!</v>
      </c>
      <c r="M1868" s="25">
        <f>Parameters!L935</f>
        <v>0</v>
      </c>
      <c r="N1868" s="25">
        <f>Parameters!M935</f>
        <v>0</v>
      </c>
      <c r="O1868" s="26" t="e">
        <f t="shared" ref="O1868" si="2797">O1869</f>
        <v>#DIV/0!</v>
      </c>
      <c r="P1868" s="23">
        <f>Parameters!N935</f>
        <v>0</v>
      </c>
      <c r="Q1868" s="23">
        <f>Parameters!O935</f>
        <v>0</v>
      </c>
      <c r="R1868" s="23">
        <f>Parameters!P935</f>
        <v>0</v>
      </c>
      <c r="S1868" s="23">
        <f>Parameters!Q935</f>
        <v>0</v>
      </c>
      <c r="T1868" s="23">
        <f>Parameters!R935</f>
        <v>0</v>
      </c>
      <c r="U1868" s="27">
        <f>Parameters!S935</f>
        <v>0</v>
      </c>
      <c r="V1868" s="28">
        <f>Parameters!T935</f>
        <v>0</v>
      </c>
      <c r="W1868" s="27">
        <f>Parameters!U935</f>
        <v>0</v>
      </c>
      <c r="X1868" s="28">
        <f>Parameters!V935</f>
        <v>0</v>
      </c>
      <c r="Y1868" s="25">
        <f>Parameters!W935</f>
        <v>0</v>
      </c>
      <c r="Z1868" s="23">
        <f>Parameters!X935</f>
        <v>0</v>
      </c>
      <c r="AA1868" s="27">
        <f>Parameters!Y935</f>
        <v>0</v>
      </c>
      <c r="AB1868" s="28">
        <f>Parameters!Z935</f>
        <v>0</v>
      </c>
      <c r="AC1868" s="23">
        <f>Parameters!AA935</f>
        <v>0</v>
      </c>
    </row>
    <row r="1869" spans="1:29">
      <c r="A1869" s="29" t="str">
        <f>UPPER(A1868)</f>
        <v>0</v>
      </c>
      <c r="B1869" s="29">
        <f>B1868</f>
        <v>0</v>
      </c>
      <c r="C1869" s="30">
        <f>C1868</f>
        <v>0</v>
      </c>
      <c r="D1869" s="30">
        <f>D1868</f>
        <v>0</v>
      </c>
      <c r="E1869" s="29">
        <f>E1868</f>
        <v>0</v>
      </c>
      <c r="F1869" s="29">
        <f>F1868</f>
        <v>0</v>
      </c>
      <c r="G1869" s="29" t="e">
        <f>IF(C1868=1,IF(D1868="BUY",E1868+(ROUND(F1868*G1868/B1868,0)*B1868),E1868-(ROUND(F1868*G1868/B1868,0)*B1868)),IF(D1868="BUY",E1868-(ROUND(F1868*G1868/B1868,0)*B1868),E1868+(ROUND(F1868*G1868/B1868,0)*B1868)))</f>
        <v>#DIV/0!</v>
      </c>
      <c r="H1869" s="29" t="e">
        <f>IF(C1868=1,IF(D1868="BUY",G1869-(ROUND(F1868*H1868/B1868,0)*B1868),G1869+(ROUND(F1868*H1868/B1868,0)*B1868)),IF(D1868="BUY",G1869+(ROUND(F1868*H1868/B1868,0)*B1868),G1869-(ROUND(F1868*H1868/B1868,0)*B1868)))</f>
        <v>#DIV/0!</v>
      </c>
      <c r="I1869" s="29" t="e">
        <f>IF(D1868="BUY",G1869+(ROUND(F1868*I1868/(B1868*100),0)*B1868),G1869-(ROUND(F1868*I1868/(B1868*100),0)*B1868))</f>
        <v>#DIV/0!</v>
      </c>
      <c r="J1869" s="29" t="e">
        <f>IF(C1868=1,IF(D1868="BUY",E1868+(ROUND(F1868*J1868/B1868,0)*B1868),E1868-(ROUND(F1868*J1868/B1868,0)*B1868)),IF(D1868="BUY",E1868-(ROUND(F1868*J1868/B1868,0)*B1868),E1868+(ROUND(F1868*J1868/B1868,0)*B1868)))</f>
        <v>#DIV/0!</v>
      </c>
      <c r="K1869" s="29" t="e">
        <f>IF(C1868=1,IF(D1868="BUY",E1868-(ROUND(F1868*K1868/B1868,0)*B1868),E1868+(ROUND(F1868*K1868/B1868,0)*B1868)),IF(D1868="BUY",E1868-(ROUND(F1868*K1868/B1868,0)*B1868),E1868+(ROUND(F1868*K1868/B1868,0)*B1868)))</f>
        <v>#DIV/0!</v>
      </c>
      <c r="L1869" s="29" t="e">
        <f t="shared" ref="L1869" si="2798">IF(D1869="BUY",I1869+(R1869*B1869),I1869-(R1869*B1869))</f>
        <v>#DIV/0!</v>
      </c>
      <c r="M1869" s="29" t="e">
        <f>IF(D1868="BUY",E1868+(ROUND(F1868*M1868/B1868,0)*B1868),E1868-(ROUND(F1868*M1868/B1868,0)*B1868))</f>
        <v>#DIV/0!</v>
      </c>
      <c r="N1869" s="29" t="e">
        <f>IF(D1868="BUY",E1868-(ROUND(F1868*N1868/B1868,0)*B1868),E1868+(ROUND(F1868*N1868/B1868,0)*B1868))</f>
        <v>#DIV/0!</v>
      </c>
      <c r="O1869" s="31" t="e">
        <f>IF(D1869="BUY",N1869-VLOOKUP(A1869,Symbols!A$1:D$1000,4,FALSE),N1869+VLOOKUP(A1869,Symbols!A$1:D$1000,4,FALSE))</f>
        <v>#DIV/0!</v>
      </c>
      <c r="P1869" s="29">
        <f>P1868</f>
        <v>0</v>
      </c>
      <c r="Q1869" s="29">
        <f>Q1868</f>
        <v>0</v>
      </c>
      <c r="R1869" s="29">
        <f>R1868</f>
        <v>0</v>
      </c>
      <c r="S1869" s="29">
        <f>S1868</f>
        <v>0</v>
      </c>
      <c r="T1869" s="29">
        <f>T1868</f>
        <v>0</v>
      </c>
      <c r="U1869" s="29" t="e">
        <f>DATEDIF(DATE(1970,1,1),U1868,"D")*86400</f>
        <v>#NUM!</v>
      </c>
      <c r="V1869" s="29">
        <f>HOUR(V1868)*3600+MINUTE(V1868)*60+SECOND(V1868)</f>
        <v>0</v>
      </c>
      <c r="W1869" s="29" t="e">
        <f>DATEDIF(DATE(1970,1,1),W1868,"D")*86400</f>
        <v>#NUM!</v>
      </c>
      <c r="X1869" s="29">
        <f>HOUR(X1868)*3600+MINUTE(X1868)*60+SECOND(X1868)</f>
        <v>0</v>
      </c>
      <c r="Y1869" s="31">
        <f>(Y1868*B1869)</f>
        <v>0</v>
      </c>
      <c r="Z1869" s="29">
        <f>Z1868</f>
        <v>0</v>
      </c>
      <c r="AA1869" s="29" t="e">
        <f>DATEDIF(DATE(1970,1,1),AA1868,"D")*86400</f>
        <v>#NUM!</v>
      </c>
      <c r="AB1869" s="29">
        <f>HOUR(AB1868)*3600+MINUTE(AB1868)*60+SECOND(AB1868)</f>
        <v>0</v>
      </c>
      <c r="AC1869" s="29">
        <f>AC1868</f>
        <v>0</v>
      </c>
    </row>
    <row r="1870" spans="1:29">
      <c r="A1870" s="23">
        <f>Parameters!A936</f>
        <v>0</v>
      </c>
      <c r="B1870" s="23">
        <f>Parameters!B936</f>
        <v>0</v>
      </c>
      <c r="C1870" s="24">
        <f>Parameters!C936</f>
        <v>0</v>
      </c>
      <c r="D1870" s="24">
        <f>Parameters!D936</f>
        <v>0</v>
      </c>
      <c r="E1870" s="23">
        <f>Parameters!E936</f>
        <v>0</v>
      </c>
      <c r="F1870" s="23">
        <f>Parameters!F936</f>
        <v>0</v>
      </c>
      <c r="G1870" s="25">
        <f>Parameters!G936</f>
        <v>0</v>
      </c>
      <c r="H1870" s="25">
        <f>Parameters!H936</f>
        <v>0</v>
      </c>
      <c r="I1870" s="25">
        <f>Parameters!I936</f>
        <v>0</v>
      </c>
      <c r="J1870" s="25">
        <f>Parameters!J936</f>
        <v>0</v>
      </c>
      <c r="K1870" s="25">
        <f>Parameters!K936</f>
        <v>0</v>
      </c>
      <c r="L1870" s="26" t="e">
        <f t="shared" ref="L1870" si="2799">L1871</f>
        <v>#DIV/0!</v>
      </c>
      <c r="M1870" s="25">
        <f>Parameters!L936</f>
        <v>0</v>
      </c>
      <c r="N1870" s="25">
        <f>Parameters!M936</f>
        <v>0</v>
      </c>
      <c r="O1870" s="26" t="e">
        <f t="shared" ref="O1870" si="2800">O1871</f>
        <v>#DIV/0!</v>
      </c>
      <c r="P1870" s="23">
        <f>Parameters!N936</f>
        <v>0</v>
      </c>
      <c r="Q1870" s="23">
        <f>Parameters!O936</f>
        <v>0</v>
      </c>
      <c r="R1870" s="23">
        <f>Parameters!P936</f>
        <v>0</v>
      </c>
      <c r="S1870" s="23">
        <f>Parameters!Q936</f>
        <v>0</v>
      </c>
      <c r="T1870" s="23">
        <f>Parameters!R936</f>
        <v>0</v>
      </c>
      <c r="U1870" s="27">
        <f>Parameters!S936</f>
        <v>0</v>
      </c>
      <c r="V1870" s="28">
        <f>Parameters!T936</f>
        <v>0</v>
      </c>
      <c r="W1870" s="27">
        <f>Parameters!U936</f>
        <v>0</v>
      </c>
      <c r="X1870" s="28">
        <f>Parameters!V936</f>
        <v>0</v>
      </c>
      <c r="Y1870" s="25">
        <f>Parameters!W936</f>
        <v>0</v>
      </c>
      <c r="Z1870" s="23">
        <f>Parameters!X936</f>
        <v>0</v>
      </c>
      <c r="AA1870" s="27">
        <f>Parameters!Y936</f>
        <v>0</v>
      </c>
      <c r="AB1870" s="28">
        <f>Parameters!Z936</f>
        <v>0</v>
      </c>
      <c r="AC1870" s="23">
        <f>Parameters!AA936</f>
        <v>0</v>
      </c>
    </row>
    <row r="1871" spans="1:29">
      <c r="A1871" s="29" t="str">
        <f>UPPER(A1870)</f>
        <v>0</v>
      </c>
      <c r="B1871" s="29">
        <f>B1870</f>
        <v>0</v>
      </c>
      <c r="C1871" s="30">
        <f>C1870</f>
        <v>0</v>
      </c>
      <c r="D1871" s="30">
        <f>D1870</f>
        <v>0</v>
      </c>
      <c r="E1871" s="29">
        <f>E1870</f>
        <v>0</v>
      </c>
      <c r="F1871" s="29">
        <f>F1870</f>
        <v>0</v>
      </c>
      <c r="G1871" s="29" t="e">
        <f>IF(C1870=1,IF(D1870="BUY",E1870+(ROUND(F1870*G1870/B1870,0)*B1870),E1870-(ROUND(F1870*G1870/B1870,0)*B1870)),IF(D1870="BUY",E1870-(ROUND(F1870*G1870/B1870,0)*B1870),E1870+(ROUND(F1870*G1870/B1870,0)*B1870)))</f>
        <v>#DIV/0!</v>
      </c>
      <c r="H1871" s="29" t="e">
        <f>IF(C1870=1,IF(D1870="BUY",G1871-(ROUND(F1870*H1870/B1870,0)*B1870),G1871+(ROUND(F1870*H1870/B1870,0)*B1870)),IF(D1870="BUY",G1871+(ROUND(F1870*H1870/B1870,0)*B1870),G1871-(ROUND(F1870*H1870/B1870,0)*B1870)))</f>
        <v>#DIV/0!</v>
      </c>
      <c r="I1871" s="29" t="e">
        <f>IF(D1870="BUY",G1871+(ROUND(F1870*I1870/(B1870*100),0)*B1870),G1871-(ROUND(F1870*I1870/(B1870*100),0)*B1870))</f>
        <v>#DIV/0!</v>
      </c>
      <c r="J1871" s="29" t="e">
        <f>IF(C1870=1,IF(D1870="BUY",E1870+(ROUND(F1870*J1870/B1870,0)*B1870),E1870-(ROUND(F1870*J1870/B1870,0)*B1870)),IF(D1870="BUY",E1870-(ROUND(F1870*J1870/B1870,0)*B1870),E1870+(ROUND(F1870*J1870/B1870,0)*B1870)))</f>
        <v>#DIV/0!</v>
      </c>
      <c r="K1871" s="29" t="e">
        <f>IF(C1870=1,IF(D1870="BUY",E1870-(ROUND(F1870*K1870/B1870,0)*B1870),E1870+(ROUND(F1870*K1870/B1870,0)*B1870)),IF(D1870="BUY",E1870-(ROUND(F1870*K1870/B1870,0)*B1870),E1870+(ROUND(F1870*K1870/B1870,0)*B1870)))</f>
        <v>#DIV/0!</v>
      </c>
      <c r="L1871" s="29" t="e">
        <f t="shared" ref="L1871" si="2801">IF(D1871="BUY",I1871+(R1871*B1871),I1871-(R1871*B1871))</f>
        <v>#DIV/0!</v>
      </c>
      <c r="M1871" s="29" t="e">
        <f>IF(D1870="BUY",E1870+(ROUND(F1870*M1870/B1870,0)*B1870),E1870-(ROUND(F1870*M1870/B1870,0)*B1870))</f>
        <v>#DIV/0!</v>
      </c>
      <c r="N1871" s="29" t="e">
        <f>IF(D1870="BUY",E1870-(ROUND(F1870*N1870/B1870,0)*B1870),E1870+(ROUND(F1870*N1870/B1870,0)*B1870))</f>
        <v>#DIV/0!</v>
      </c>
      <c r="O1871" s="31" t="e">
        <f>IF(D1871="BUY",N1871-VLOOKUP(A1871,Symbols!A$1:D$1000,4,FALSE),N1871+VLOOKUP(A1871,Symbols!A$1:D$1000,4,FALSE))</f>
        <v>#DIV/0!</v>
      </c>
      <c r="P1871" s="29">
        <f>P1870</f>
        <v>0</v>
      </c>
      <c r="Q1871" s="29">
        <f>Q1870</f>
        <v>0</v>
      </c>
      <c r="R1871" s="29">
        <f>R1870</f>
        <v>0</v>
      </c>
      <c r="S1871" s="29">
        <f>S1870</f>
        <v>0</v>
      </c>
      <c r="T1871" s="29">
        <f>T1870</f>
        <v>0</v>
      </c>
      <c r="U1871" s="29" t="e">
        <f>DATEDIF(DATE(1970,1,1),U1870,"D")*86400</f>
        <v>#NUM!</v>
      </c>
      <c r="V1871" s="29">
        <f>HOUR(V1870)*3600+MINUTE(V1870)*60+SECOND(V1870)</f>
        <v>0</v>
      </c>
      <c r="W1871" s="29" t="e">
        <f>DATEDIF(DATE(1970,1,1),W1870,"D")*86400</f>
        <v>#NUM!</v>
      </c>
      <c r="X1871" s="29">
        <f>HOUR(X1870)*3600+MINUTE(X1870)*60+SECOND(X1870)</f>
        <v>0</v>
      </c>
      <c r="Y1871" s="31">
        <f>(Y1870*B1871)</f>
        <v>0</v>
      </c>
      <c r="Z1871" s="29">
        <f>Z1870</f>
        <v>0</v>
      </c>
      <c r="AA1871" s="29" t="e">
        <f>DATEDIF(DATE(1970,1,1),AA1870,"D")*86400</f>
        <v>#NUM!</v>
      </c>
      <c r="AB1871" s="29">
        <f>HOUR(AB1870)*3600+MINUTE(AB1870)*60+SECOND(AB1870)</f>
        <v>0</v>
      </c>
      <c r="AC1871" s="29">
        <f>AC1870</f>
        <v>0</v>
      </c>
    </row>
    <row r="1872" spans="1:29">
      <c r="A1872" s="23">
        <f>Parameters!A937</f>
        <v>0</v>
      </c>
      <c r="B1872" s="23">
        <f>Parameters!B937</f>
        <v>0</v>
      </c>
      <c r="C1872" s="24">
        <f>Parameters!C937</f>
        <v>0</v>
      </c>
      <c r="D1872" s="24">
        <f>Parameters!D937</f>
        <v>0</v>
      </c>
      <c r="E1872" s="23">
        <f>Parameters!E937</f>
        <v>0</v>
      </c>
      <c r="F1872" s="23">
        <f>Parameters!F937</f>
        <v>0</v>
      </c>
      <c r="G1872" s="25">
        <f>Parameters!G937</f>
        <v>0</v>
      </c>
      <c r="H1872" s="25">
        <f>Parameters!H937</f>
        <v>0</v>
      </c>
      <c r="I1872" s="25">
        <f>Parameters!I937</f>
        <v>0</v>
      </c>
      <c r="J1872" s="25">
        <f>Parameters!J937</f>
        <v>0</v>
      </c>
      <c r="K1872" s="25">
        <f>Parameters!K937</f>
        <v>0</v>
      </c>
      <c r="L1872" s="26" t="e">
        <f t="shared" ref="L1872" si="2802">L1873</f>
        <v>#DIV/0!</v>
      </c>
      <c r="M1872" s="25">
        <f>Parameters!L937</f>
        <v>0</v>
      </c>
      <c r="N1872" s="25">
        <f>Parameters!M937</f>
        <v>0</v>
      </c>
      <c r="O1872" s="26" t="e">
        <f t="shared" ref="O1872" si="2803">O1873</f>
        <v>#DIV/0!</v>
      </c>
      <c r="P1872" s="23">
        <f>Parameters!N937</f>
        <v>0</v>
      </c>
      <c r="Q1872" s="23">
        <f>Parameters!O937</f>
        <v>0</v>
      </c>
      <c r="R1872" s="23">
        <f>Parameters!P937</f>
        <v>0</v>
      </c>
      <c r="S1872" s="23">
        <f>Parameters!Q937</f>
        <v>0</v>
      </c>
      <c r="T1872" s="23">
        <f>Parameters!R937</f>
        <v>0</v>
      </c>
      <c r="U1872" s="27">
        <f>Parameters!S937</f>
        <v>0</v>
      </c>
      <c r="V1872" s="28">
        <f>Parameters!T937</f>
        <v>0</v>
      </c>
      <c r="W1872" s="27">
        <f>Parameters!U937</f>
        <v>0</v>
      </c>
      <c r="X1872" s="28">
        <f>Parameters!V937</f>
        <v>0</v>
      </c>
      <c r="Y1872" s="25">
        <f>Parameters!W937</f>
        <v>0</v>
      </c>
      <c r="Z1872" s="23">
        <f>Parameters!X937</f>
        <v>0</v>
      </c>
      <c r="AA1872" s="27">
        <f>Parameters!Y937</f>
        <v>0</v>
      </c>
      <c r="AB1872" s="28">
        <f>Parameters!Z937</f>
        <v>0</v>
      </c>
      <c r="AC1872" s="23">
        <f>Parameters!AA937</f>
        <v>0</v>
      </c>
    </row>
    <row r="1873" spans="1:29">
      <c r="A1873" s="29" t="str">
        <f>UPPER(A1872)</f>
        <v>0</v>
      </c>
      <c r="B1873" s="29">
        <f>B1872</f>
        <v>0</v>
      </c>
      <c r="C1873" s="30">
        <f>C1872</f>
        <v>0</v>
      </c>
      <c r="D1873" s="30">
        <f>D1872</f>
        <v>0</v>
      </c>
      <c r="E1873" s="29">
        <f>E1872</f>
        <v>0</v>
      </c>
      <c r="F1873" s="29">
        <f>F1872</f>
        <v>0</v>
      </c>
      <c r="G1873" s="29" t="e">
        <f>IF(C1872=1,IF(D1872="BUY",E1872+(ROUND(F1872*G1872/B1872,0)*B1872),E1872-(ROUND(F1872*G1872/B1872,0)*B1872)),IF(D1872="BUY",E1872-(ROUND(F1872*G1872/B1872,0)*B1872),E1872+(ROUND(F1872*G1872/B1872,0)*B1872)))</f>
        <v>#DIV/0!</v>
      </c>
      <c r="H1873" s="29" t="e">
        <f>IF(C1872=1,IF(D1872="BUY",G1873-(ROUND(F1872*H1872/B1872,0)*B1872),G1873+(ROUND(F1872*H1872/B1872,0)*B1872)),IF(D1872="BUY",G1873+(ROUND(F1872*H1872/B1872,0)*B1872),G1873-(ROUND(F1872*H1872/B1872,0)*B1872)))</f>
        <v>#DIV/0!</v>
      </c>
      <c r="I1873" s="29" t="e">
        <f>IF(D1872="BUY",G1873+(ROUND(F1872*I1872/(B1872*100),0)*B1872),G1873-(ROUND(F1872*I1872/(B1872*100),0)*B1872))</f>
        <v>#DIV/0!</v>
      </c>
      <c r="J1873" s="29" t="e">
        <f>IF(C1872=1,IF(D1872="BUY",E1872+(ROUND(F1872*J1872/B1872,0)*B1872),E1872-(ROUND(F1872*J1872/B1872,0)*B1872)),IF(D1872="BUY",E1872-(ROUND(F1872*J1872/B1872,0)*B1872),E1872+(ROUND(F1872*J1872/B1872,0)*B1872)))</f>
        <v>#DIV/0!</v>
      </c>
      <c r="K1873" s="29" t="e">
        <f>IF(C1872=1,IF(D1872="BUY",E1872-(ROUND(F1872*K1872/B1872,0)*B1872),E1872+(ROUND(F1872*K1872/B1872,0)*B1872)),IF(D1872="BUY",E1872-(ROUND(F1872*K1872/B1872,0)*B1872),E1872+(ROUND(F1872*K1872/B1872,0)*B1872)))</f>
        <v>#DIV/0!</v>
      </c>
      <c r="L1873" s="29" t="e">
        <f t="shared" ref="L1873" si="2804">IF(D1873="BUY",I1873+(R1873*B1873),I1873-(R1873*B1873))</f>
        <v>#DIV/0!</v>
      </c>
      <c r="M1873" s="29" t="e">
        <f>IF(D1872="BUY",E1872+(ROUND(F1872*M1872/B1872,0)*B1872),E1872-(ROUND(F1872*M1872/B1872,0)*B1872))</f>
        <v>#DIV/0!</v>
      </c>
      <c r="N1873" s="29" t="e">
        <f>IF(D1872="BUY",E1872-(ROUND(F1872*N1872/B1872,0)*B1872),E1872+(ROUND(F1872*N1872/B1872,0)*B1872))</f>
        <v>#DIV/0!</v>
      </c>
      <c r="O1873" s="31" t="e">
        <f>IF(D1873="BUY",N1873-VLOOKUP(A1873,Symbols!A$1:D$1000,4,FALSE),N1873+VLOOKUP(A1873,Symbols!A$1:D$1000,4,FALSE))</f>
        <v>#DIV/0!</v>
      </c>
      <c r="P1873" s="29">
        <f>P1872</f>
        <v>0</v>
      </c>
      <c r="Q1873" s="29">
        <f>Q1872</f>
        <v>0</v>
      </c>
      <c r="R1873" s="29">
        <f>R1872</f>
        <v>0</v>
      </c>
      <c r="S1873" s="29">
        <f>S1872</f>
        <v>0</v>
      </c>
      <c r="T1873" s="29">
        <f>T1872</f>
        <v>0</v>
      </c>
      <c r="U1873" s="29" t="e">
        <f>DATEDIF(DATE(1970,1,1),U1872,"D")*86400</f>
        <v>#NUM!</v>
      </c>
      <c r="V1873" s="29">
        <f>HOUR(V1872)*3600+MINUTE(V1872)*60+SECOND(V1872)</f>
        <v>0</v>
      </c>
      <c r="W1873" s="29" t="e">
        <f>DATEDIF(DATE(1970,1,1),W1872,"D")*86400</f>
        <v>#NUM!</v>
      </c>
      <c r="X1873" s="29">
        <f>HOUR(X1872)*3600+MINUTE(X1872)*60+SECOND(X1872)</f>
        <v>0</v>
      </c>
      <c r="Y1873" s="31">
        <f>(Y1872*B1873)</f>
        <v>0</v>
      </c>
      <c r="Z1873" s="29">
        <f>Z1872</f>
        <v>0</v>
      </c>
      <c r="AA1873" s="29" t="e">
        <f>DATEDIF(DATE(1970,1,1),AA1872,"D")*86400</f>
        <v>#NUM!</v>
      </c>
      <c r="AB1873" s="29">
        <f>HOUR(AB1872)*3600+MINUTE(AB1872)*60+SECOND(AB1872)</f>
        <v>0</v>
      </c>
      <c r="AC1873" s="29">
        <f>AC1872</f>
        <v>0</v>
      </c>
    </row>
    <row r="1874" spans="1:29">
      <c r="A1874" s="23">
        <f>Parameters!A938</f>
        <v>0</v>
      </c>
      <c r="B1874" s="23">
        <f>Parameters!B938</f>
        <v>0</v>
      </c>
      <c r="C1874" s="24">
        <f>Parameters!C938</f>
        <v>0</v>
      </c>
      <c r="D1874" s="24">
        <f>Parameters!D938</f>
        <v>0</v>
      </c>
      <c r="E1874" s="23">
        <f>Parameters!E938</f>
        <v>0</v>
      </c>
      <c r="F1874" s="23">
        <f>Parameters!F938</f>
        <v>0</v>
      </c>
      <c r="G1874" s="25">
        <f>Parameters!G938</f>
        <v>0</v>
      </c>
      <c r="H1874" s="25">
        <f>Parameters!H938</f>
        <v>0</v>
      </c>
      <c r="I1874" s="25">
        <f>Parameters!I938</f>
        <v>0</v>
      </c>
      <c r="J1874" s="25">
        <f>Parameters!J938</f>
        <v>0</v>
      </c>
      <c r="K1874" s="25">
        <f>Parameters!K938</f>
        <v>0</v>
      </c>
      <c r="L1874" s="26" t="e">
        <f t="shared" ref="L1874" si="2805">L1875</f>
        <v>#DIV/0!</v>
      </c>
      <c r="M1874" s="25">
        <f>Parameters!L938</f>
        <v>0</v>
      </c>
      <c r="N1874" s="25">
        <f>Parameters!M938</f>
        <v>0</v>
      </c>
      <c r="O1874" s="26" t="e">
        <f t="shared" ref="O1874" si="2806">O1875</f>
        <v>#DIV/0!</v>
      </c>
      <c r="P1874" s="23">
        <f>Parameters!N938</f>
        <v>0</v>
      </c>
      <c r="Q1874" s="23">
        <f>Parameters!O938</f>
        <v>0</v>
      </c>
      <c r="R1874" s="23">
        <f>Parameters!P938</f>
        <v>0</v>
      </c>
      <c r="S1874" s="23">
        <f>Parameters!Q938</f>
        <v>0</v>
      </c>
      <c r="T1874" s="23">
        <f>Parameters!R938</f>
        <v>0</v>
      </c>
      <c r="U1874" s="27">
        <f>Parameters!S938</f>
        <v>0</v>
      </c>
      <c r="V1874" s="28">
        <f>Parameters!T938</f>
        <v>0</v>
      </c>
      <c r="W1874" s="27">
        <f>Parameters!U938</f>
        <v>0</v>
      </c>
      <c r="X1874" s="28">
        <f>Parameters!V938</f>
        <v>0</v>
      </c>
      <c r="Y1874" s="25">
        <f>Parameters!W938</f>
        <v>0</v>
      </c>
      <c r="Z1874" s="23">
        <f>Parameters!X938</f>
        <v>0</v>
      </c>
      <c r="AA1874" s="27">
        <f>Parameters!Y938</f>
        <v>0</v>
      </c>
      <c r="AB1874" s="28">
        <f>Parameters!Z938</f>
        <v>0</v>
      </c>
      <c r="AC1874" s="23">
        <f>Parameters!AA938</f>
        <v>0</v>
      </c>
    </row>
    <row r="1875" spans="1:29">
      <c r="A1875" s="29" t="str">
        <f>UPPER(A1874)</f>
        <v>0</v>
      </c>
      <c r="B1875" s="29">
        <f>B1874</f>
        <v>0</v>
      </c>
      <c r="C1875" s="30">
        <f>C1874</f>
        <v>0</v>
      </c>
      <c r="D1875" s="30">
        <f>D1874</f>
        <v>0</v>
      </c>
      <c r="E1875" s="29">
        <f>E1874</f>
        <v>0</v>
      </c>
      <c r="F1875" s="29">
        <f>F1874</f>
        <v>0</v>
      </c>
      <c r="G1875" s="29" t="e">
        <f>IF(C1874=1,IF(D1874="BUY",E1874+(ROUND(F1874*G1874/B1874,0)*B1874),E1874-(ROUND(F1874*G1874/B1874,0)*B1874)),IF(D1874="BUY",E1874-(ROUND(F1874*G1874/B1874,0)*B1874),E1874+(ROUND(F1874*G1874/B1874,0)*B1874)))</f>
        <v>#DIV/0!</v>
      </c>
      <c r="H1875" s="29" t="e">
        <f>IF(C1874=1,IF(D1874="BUY",G1875-(ROUND(F1874*H1874/B1874,0)*B1874),G1875+(ROUND(F1874*H1874/B1874,0)*B1874)),IF(D1874="BUY",G1875+(ROUND(F1874*H1874/B1874,0)*B1874),G1875-(ROUND(F1874*H1874/B1874,0)*B1874)))</f>
        <v>#DIV/0!</v>
      </c>
      <c r="I1875" s="29" t="e">
        <f>IF(D1874="BUY",G1875+(ROUND(F1874*I1874/(B1874*100),0)*B1874),G1875-(ROUND(F1874*I1874/(B1874*100),0)*B1874))</f>
        <v>#DIV/0!</v>
      </c>
      <c r="J1875" s="29" t="e">
        <f>IF(C1874=1,IF(D1874="BUY",E1874+(ROUND(F1874*J1874/B1874,0)*B1874),E1874-(ROUND(F1874*J1874/B1874,0)*B1874)),IF(D1874="BUY",E1874-(ROUND(F1874*J1874/B1874,0)*B1874),E1874+(ROUND(F1874*J1874/B1874,0)*B1874)))</f>
        <v>#DIV/0!</v>
      </c>
      <c r="K1875" s="29" t="e">
        <f>IF(C1874=1,IF(D1874="BUY",E1874-(ROUND(F1874*K1874/B1874,0)*B1874),E1874+(ROUND(F1874*K1874/B1874,0)*B1874)),IF(D1874="BUY",E1874-(ROUND(F1874*K1874/B1874,0)*B1874),E1874+(ROUND(F1874*K1874/B1874,0)*B1874)))</f>
        <v>#DIV/0!</v>
      </c>
      <c r="L1875" s="29" t="e">
        <f t="shared" ref="L1875" si="2807">IF(D1875="BUY",I1875+(R1875*B1875),I1875-(R1875*B1875))</f>
        <v>#DIV/0!</v>
      </c>
      <c r="M1875" s="29" t="e">
        <f>IF(D1874="BUY",E1874+(ROUND(F1874*M1874/B1874,0)*B1874),E1874-(ROUND(F1874*M1874/B1874,0)*B1874))</f>
        <v>#DIV/0!</v>
      </c>
      <c r="N1875" s="29" t="e">
        <f>IF(D1874="BUY",E1874-(ROUND(F1874*N1874/B1874,0)*B1874),E1874+(ROUND(F1874*N1874/B1874,0)*B1874))</f>
        <v>#DIV/0!</v>
      </c>
      <c r="O1875" s="31" t="e">
        <f>IF(D1875="BUY",N1875-VLOOKUP(A1875,Symbols!A$1:D$1000,4,FALSE),N1875+VLOOKUP(A1875,Symbols!A$1:D$1000,4,FALSE))</f>
        <v>#DIV/0!</v>
      </c>
      <c r="P1875" s="29">
        <f>P1874</f>
        <v>0</v>
      </c>
      <c r="Q1875" s="29">
        <f>Q1874</f>
        <v>0</v>
      </c>
      <c r="R1875" s="29">
        <f>R1874</f>
        <v>0</v>
      </c>
      <c r="S1875" s="29">
        <f>S1874</f>
        <v>0</v>
      </c>
      <c r="T1875" s="29">
        <f>T1874</f>
        <v>0</v>
      </c>
      <c r="U1875" s="29" t="e">
        <f>DATEDIF(DATE(1970,1,1),U1874,"D")*86400</f>
        <v>#NUM!</v>
      </c>
      <c r="V1875" s="29">
        <f>HOUR(V1874)*3600+MINUTE(V1874)*60+SECOND(V1874)</f>
        <v>0</v>
      </c>
      <c r="W1875" s="29" t="e">
        <f>DATEDIF(DATE(1970,1,1),W1874,"D")*86400</f>
        <v>#NUM!</v>
      </c>
      <c r="X1875" s="29">
        <f>HOUR(X1874)*3600+MINUTE(X1874)*60+SECOND(X1874)</f>
        <v>0</v>
      </c>
      <c r="Y1875" s="31">
        <f>(Y1874*B1875)</f>
        <v>0</v>
      </c>
      <c r="Z1875" s="29">
        <f>Z1874</f>
        <v>0</v>
      </c>
      <c r="AA1875" s="29" t="e">
        <f>DATEDIF(DATE(1970,1,1),AA1874,"D")*86400</f>
        <v>#NUM!</v>
      </c>
      <c r="AB1875" s="29">
        <f>HOUR(AB1874)*3600+MINUTE(AB1874)*60+SECOND(AB1874)</f>
        <v>0</v>
      </c>
      <c r="AC1875" s="29">
        <f>AC1874</f>
        <v>0</v>
      </c>
    </row>
    <row r="1876" spans="1:29">
      <c r="A1876" s="23">
        <f>Parameters!A939</f>
        <v>0</v>
      </c>
      <c r="B1876" s="23">
        <f>Parameters!B939</f>
        <v>0</v>
      </c>
      <c r="C1876" s="24">
        <f>Parameters!C939</f>
        <v>0</v>
      </c>
      <c r="D1876" s="24">
        <f>Parameters!D939</f>
        <v>0</v>
      </c>
      <c r="E1876" s="23">
        <f>Parameters!E939</f>
        <v>0</v>
      </c>
      <c r="F1876" s="23">
        <f>Parameters!F939</f>
        <v>0</v>
      </c>
      <c r="G1876" s="25">
        <f>Parameters!G939</f>
        <v>0</v>
      </c>
      <c r="H1876" s="25">
        <f>Parameters!H939</f>
        <v>0</v>
      </c>
      <c r="I1876" s="25">
        <f>Parameters!I939</f>
        <v>0</v>
      </c>
      <c r="J1876" s="25">
        <f>Parameters!J939</f>
        <v>0</v>
      </c>
      <c r="K1876" s="25">
        <f>Parameters!K939</f>
        <v>0</v>
      </c>
      <c r="L1876" s="26" t="e">
        <f t="shared" ref="L1876" si="2808">L1877</f>
        <v>#DIV/0!</v>
      </c>
      <c r="M1876" s="25">
        <f>Parameters!L939</f>
        <v>0</v>
      </c>
      <c r="N1876" s="25">
        <f>Parameters!M939</f>
        <v>0</v>
      </c>
      <c r="O1876" s="26" t="e">
        <f t="shared" ref="O1876" si="2809">O1877</f>
        <v>#DIV/0!</v>
      </c>
      <c r="P1876" s="23">
        <f>Parameters!N939</f>
        <v>0</v>
      </c>
      <c r="Q1876" s="23">
        <f>Parameters!O939</f>
        <v>0</v>
      </c>
      <c r="R1876" s="23">
        <f>Parameters!P939</f>
        <v>0</v>
      </c>
      <c r="S1876" s="23">
        <f>Parameters!Q939</f>
        <v>0</v>
      </c>
      <c r="T1876" s="23">
        <f>Parameters!R939</f>
        <v>0</v>
      </c>
      <c r="U1876" s="27">
        <f>Parameters!S939</f>
        <v>0</v>
      </c>
      <c r="V1876" s="28">
        <f>Parameters!T939</f>
        <v>0</v>
      </c>
      <c r="W1876" s="27">
        <f>Parameters!U939</f>
        <v>0</v>
      </c>
      <c r="X1876" s="28">
        <f>Parameters!V939</f>
        <v>0</v>
      </c>
      <c r="Y1876" s="25">
        <f>Parameters!W939</f>
        <v>0</v>
      </c>
      <c r="Z1876" s="23">
        <f>Parameters!X939</f>
        <v>0</v>
      </c>
      <c r="AA1876" s="27">
        <f>Parameters!Y939</f>
        <v>0</v>
      </c>
      <c r="AB1876" s="28">
        <f>Parameters!Z939</f>
        <v>0</v>
      </c>
      <c r="AC1876" s="23">
        <f>Parameters!AA939</f>
        <v>0</v>
      </c>
    </row>
    <row r="1877" spans="1:29">
      <c r="A1877" s="29" t="str">
        <f>UPPER(A1876)</f>
        <v>0</v>
      </c>
      <c r="B1877" s="29">
        <f>B1876</f>
        <v>0</v>
      </c>
      <c r="C1877" s="30">
        <f>C1876</f>
        <v>0</v>
      </c>
      <c r="D1877" s="30">
        <f>D1876</f>
        <v>0</v>
      </c>
      <c r="E1877" s="29">
        <f>E1876</f>
        <v>0</v>
      </c>
      <c r="F1877" s="29">
        <f>F1876</f>
        <v>0</v>
      </c>
      <c r="G1877" s="29" t="e">
        <f>IF(C1876=1,IF(D1876="BUY",E1876+(ROUND(F1876*G1876/B1876,0)*B1876),E1876-(ROUND(F1876*G1876/B1876,0)*B1876)),IF(D1876="BUY",E1876-(ROUND(F1876*G1876/B1876,0)*B1876),E1876+(ROUND(F1876*G1876/B1876,0)*B1876)))</f>
        <v>#DIV/0!</v>
      </c>
      <c r="H1877" s="29" t="e">
        <f>IF(C1876=1,IF(D1876="BUY",G1877-(ROUND(F1876*H1876/B1876,0)*B1876),G1877+(ROUND(F1876*H1876/B1876,0)*B1876)),IF(D1876="BUY",G1877+(ROUND(F1876*H1876/B1876,0)*B1876),G1877-(ROUND(F1876*H1876/B1876,0)*B1876)))</f>
        <v>#DIV/0!</v>
      </c>
      <c r="I1877" s="29" t="e">
        <f>IF(D1876="BUY",G1877+(ROUND(F1876*I1876/(B1876*100),0)*B1876),G1877-(ROUND(F1876*I1876/(B1876*100),0)*B1876))</f>
        <v>#DIV/0!</v>
      </c>
      <c r="J1877" s="29" t="e">
        <f>IF(C1876=1,IF(D1876="BUY",E1876+(ROUND(F1876*J1876/B1876,0)*B1876),E1876-(ROUND(F1876*J1876/B1876,0)*B1876)),IF(D1876="BUY",E1876-(ROUND(F1876*J1876/B1876,0)*B1876),E1876+(ROUND(F1876*J1876/B1876,0)*B1876)))</f>
        <v>#DIV/0!</v>
      </c>
      <c r="K1877" s="29" t="e">
        <f>IF(C1876=1,IF(D1876="BUY",E1876-(ROUND(F1876*K1876/B1876,0)*B1876),E1876+(ROUND(F1876*K1876/B1876,0)*B1876)),IF(D1876="BUY",E1876-(ROUND(F1876*K1876/B1876,0)*B1876),E1876+(ROUND(F1876*K1876/B1876,0)*B1876)))</f>
        <v>#DIV/0!</v>
      </c>
      <c r="L1877" s="29" t="e">
        <f t="shared" ref="L1877" si="2810">IF(D1877="BUY",I1877+(R1877*B1877),I1877-(R1877*B1877))</f>
        <v>#DIV/0!</v>
      </c>
      <c r="M1877" s="29" t="e">
        <f>IF(D1876="BUY",E1876+(ROUND(F1876*M1876/B1876,0)*B1876),E1876-(ROUND(F1876*M1876/B1876,0)*B1876))</f>
        <v>#DIV/0!</v>
      </c>
      <c r="N1877" s="29" t="e">
        <f>IF(D1876="BUY",E1876-(ROUND(F1876*N1876/B1876,0)*B1876),E1876+(ROUND(F1876*N1876/B1876,0)*B1876))</f>
        <v>#DIV/0!</v>
      </c>
      <c r="O1877" s="31" t="e">
        <f>IF(D1877="BUY",N1877-VLOOKUP(A1877,Symbols!A$1:D$1000,4,FALSE),N1877+VLOOKUP(A1877,Symbols!A$1:D$1000,4,FALSE))</f>
        <v>#DIV/0!</v>
      </c>
      <c r="P1877" s="29">
        <f>P1876</f>
        <v>0</v>
      </c>
      <c r="Q1877" s="29">
        <f>Q1876</f>
        <v>0</v>
      </c>
      <c r="R1877" s="29">
        <f>R1876</f>
        <v>0</v>
      </c>
      <c r="S1877" s="29">
        <f>S1876</f>
        <v>0</v>
      </c>
      <c r="T1877" s="29">
        <f>T1876</f>
        <v>0</v>
      </c>
      <c r="U1877" s="29" t="e">
        <f>DATEDIF(DATE(1970,1,1),U1876,"D")*86400</f>
        <v>#NUM!</v>
      </c>
      <c r="V1877" s="29">
        <f>HOUR(V1876)*3600+MINUTE(V1876)*60+SECOND(V1876)</f>
        <v>0</v>
      </c>
      <c r="W1877" s="29" t="e">
        <f>DATEDIF(DATE(1970,1,1),W1876,"D")*86400</f>
        <v>#NUM!</v>
      </c>
      <c r="X1877" s="29">
        <f>HOUR(X1876)*3600+MINUTE(X1876)*60+SECOND(X1876)</f>
        <v>0</v>
      </c>
      <c r="Y1877" s="31">
        <f>(Y1876*B1877)</f>
        <v>0</v>
      </c>
      <c r="Z1877" s="29">
        <f>Z1876</f>
        <v>0</v>
      </c>
      <c r="AA1877" s="29" t="e">
        <f>DATEDIF(DATE(1970,1,1),AA1876,"D")*86400</f>
        <v>#NUM!</v>
      </c>
      <c r="AB1877" s="29">
        <f>HOUR(AB1876)*3600+MINUTE(AB1876)*60+SECOND(AB1876)</f>
        <v>0</v>
      </c>
      <c r="AC1877" s="29">
        <f>AC1876</f>
        <v>0</v>
      </c>
    </row>
    <row r="1878" spans="1:29">
      <c r="A1878" s="23">
        <f>Parameters!A940</f>
        <v>0</v>
      </c>
      <c r="B1878" s="23">
        <f>Parameters!B940</f>
        <v>0</v>
      </c>
      <c r="C1878" s="24">
        <f>Parameters!C940</f>
        <v>0</v>
      </c>
      <c r="D1878" s="24">
        <f>Parameters!D940</f>
        <v>0</v>
      </c>
      <c r="E1878" s="23">
        <f>Parameters!E940</f>
        <v>0</v>
      </c>
      <c r="F1878" s="23">
        <f>Parameters!F940</f>
        <v>0</v>
      </c>
      <c r="G1878" s="25">
        <f>Parameters!G940</f>
        <v>0</v>
      </c>
      <c r="H1878" s="25">
        <f>Parameters!H940</f>
        <v>0</v>
      </c>
      <c r="I1878" s="25">
        <f>Parameters!I940</f>
        <v>0</v>
      </c>
      <c r="J1878" s="25">
        <f>Parameters!J940</f>
        <v>0</v>
      </c>
      <c r="K1878" s="25">
        <f>Parameters!K940</f>
        <v>0</v>
      </c>
      <c r="L1878" s="26" t="e">
        <f t="shared" ref="L1878" si="2811">L1879</f>
        <v>#DIV/0!</v>
      </c>
      <c r="M1878" s="25">
        <f>Parameters!L940</f>
        <v>0</v>
      </c>
      <c r="N1878" s="25">
        <f>Parameters!M940</f>
        <v>0</v>
      </c>
      <c r="O1878" s="26" t="e">
        <f t="shared" ref="O1878" si="2812">O1879</f>
        <v>#DIV/0!</v>
      </c>
      <c r="P1878" s="23">
        <f>Parameters!N940</f>
        <v>0</v>
      </c>
      <c r="Q1878" s="23">
        <f>Parameters!O940</f>
        <v>0</v>
      </c>
      <c r="R1878" s="23">
        <f>Parameters!P940</f>
        <v>0</v>
      </c>
      <c r="S1878" s="23">
        <f>Parameters!Q940</f>
        <v>0</v>
      </c>
      <c r="T1878" s="23">
        <f>Parameters!R940</f>
        <v>0</v>
      </c>
      <c r="U1878" s="27">
        <f>Parameters!S940</f>
        <v>0</v>
      </c>
      <c r="V1878" s="28">
        <f>Parameters!T940</f>
        <v>0</v>
      </c>
      <c r="W1878" s="27">
        <f>Parameters!U940</f>
        <v>0</v>
      </c>
      <c r="X1878" s="28">
        <f>Parameters!V940</f>
        <v>0</v>
      </c>
      <c r="Y1878" s="25">
        <f>Parameters!W940</f>
        <v>0</v>
      </c>
      <c r="Z1878" s="23">
        <f>Parameters!X940</f>
        <v>0</v>
      </c>
      <c r="AA1878" s="27">
        <f>Parameters!Y940</f>
        <v>0</v>
      </c>
      <c r="AB1878" s="28">
        <f>Parameters!Z940</f>
        <v>0</v>
      </c>
      <c r="AC1878" s="23">
        <f>Parameters!AA940</f>
        <v>0</v>
      </c>
    </row>
    <row r="1879" spans="1:29">
      <c r="A1879" s="29" t="str">
        <f>UPPER(A1878)</f>
        <v>0</v>
      </c>
      <c r="B1879" s="29">
        <f>B1878</f>
        <v>0</v>
      </c>
      <c r="C1879" s="30">
        <f>C1878</f>
        <v>0</v>
      </c>
      <c r="D1879" s="30">
        <f>D1878</f>
        <v>0</v>
      </c>
      <c r="E1879" s="29">
        <f>E1878</f>
        <v>0</v>
      </c>
      <c r="F1879" s="29">
        <f>F1878</f>
        <v>0</v>
      </c>
      <c r="G1879" s="29" t="e">
        <f>IF(C1878=1,IF(D1878="BUY",E1878+(ROUND(F1878*G1878/B1878,0)*B1878),E1878-(ROUND(F1878*G1878/B1878,0)*B1878)),IF(D1878="BUY",E1878-(ROUND(F1878*G1878/B1878,0)*B1878),E1878+(ROUND(F1878*G1878/B1878,0)*B1878)))</f>
        <v>#DIV/0!</v>
      </c>
      <c r="H1879" s="29" t="e">
        <f>IF(C1878=1,IF(D1878="BUY",G1879-(ROUND(F1878*H1878/B1878,0)*B1878),G1879+(ROUND(F1878*H1878/B1878,0)*B1878)),IF(D1878="BUY",G1879+(ROUND(F1878*H1878/B1878,0)*B1878),G1879-(ROUND(F1878*H1878/B1878,0)*B1878)))</f>
        <v>#DIV/0!</v>
      </c>
      <c r="I1879" s="29" t="e">
        <f>IF(D1878="BUY",G1879+(ROUND(F1878*I1878/(B1878*100),0)*B1878),G1879-(ROUND(F1878*I1878/(B1878*100),0)*B1878))</f>
        <v>#DIV/0!</v>
      </c>
      <c r="J1879" s="29" t="e">
        <f>IF(C1878=1,IF(D1878="BUY",E1878+(ROUND(F1878*J1878/B1878,0)*B1878),E1878-(ROUND(F1878*J1878/B1878,0)*B1878)),IF(D1878="BUY",E1878-(ROUND(F1878*J1878/B1878,0)*B1878),E1878+(ROUND(F1878*J1878/B1878,0)*B1878)))</f>
        <v>#DIV/0!</v>
      </c>
      <c r="K1879" s="29" t="e">
        <f>IF(C1878=1,IF(D1878="BUY",E1878-(ROUND(F1878*K1878/B1878,0)*B1878),E1878+(ROUND(F1878*K1878/B1878,0)*B1878)),IF(D1878="BUY",E1878-(ROUND(F1878*K1878/B1878,0)*B1878),E1878+(ROUND(F1878*K1878/B1878,0)*B1878)))</f>
        <v>#DIV/0!</v>
      </c>
      <c r="L1879" s="29" t="e">
        <f t="shared" ref="L1879" si="2813">IF(D1879="BUY",I1879+(R1879*B1879),I1879-(R1879*B1879))</f>
        <v>#DIV/0!</v>
      </c>
      <c r="M1879" s="29" t="e">
        <f>IF(D1878="BUY",E1878+(ROUND(F1878*M1878/B1878,0)*B1878),E1878-(ROUND(F1878*M1878/B1878,0)*B1878))</f>
        <v>#DIV/0!</v>
      </c>
      <c r="N1879" s="29" t="e">
        <f>IF(D1878="BUY",E1878-(ROUND(F1878*N1878/B1878,0)*B1878),E1878+(ROUND(F1878*N1878/B1878,0)*B1878))</f>
        <v>#DIV/0!</v>
      </c>
      <c r="O1879" s="31" t="e">
        <f>IF(D1879="BUY",N1879-VLOOKUP(A1879,Symbols!A$1:D$1000,4,FALSE),N1879+VLOOKUP(A1879,Symbols!A$1:D$1000,4,FALSE))</f>
        <v>#DIV/0!</v>
      </c>
      <c r="P1879" s="29">
        <f>P1878</f>
        <v>0</v>
      </c>
      <c r="Q1879" s="29">
        <f>Q1878</f>
        <v>0</v>
      </c>
      <c r="R1879" s="29">
        <f>R1878</f>
        <v>0</v>
      </c>
      <c r="S1879" s="29">
        <f>S1878</f>
        <v>0</v>
      </c>
      <c r="T1879" s="29">
        <f>T1878</f>
        <v>0</v>
      </c>
      <c r="U1879" s="29" t="e">
        <f>DATEDIF(DATE(1970,1,1),U1878,"D")*86400</f>
        <v>#NUM!</v>
      </c>
      <c r="V1879" s="29">
        <f>HOUR(V1878)*3600+MINUTE(V1878)*60+SECOND(V1878)</f>
        <v>0</v>
      </c>
      <c r="W1879" s="29" t="e">
        <f>DATEDIF(DATE(1970,1,1),W1878,"D")*86400</f>
        <v>#NUM!</v>
      </c>
      <c r="X1879" s="29">
        <f>HOUR(X1878)*3600+MINUTE(X1878)*60+SECOND(X1878)</f>
        <v>0</v>
      </c>
      <c r="Y1879" s="31">
        <f>(Y1878*B1879)</f>
        <v>0</v>
      </c>
      <c r="Z1879" s="29">
        <f>Z1878</f>
        <v>0</v>
      </c>
      <c r="AA1879" s="29" t="e">
        <f>DATEDIF(DATE(1970,1,1),AA1878,"D")*86400</f>
        <v>#NUM!</v>
      </c>
      <c r="AB1879" s="29">
        <f>HOUR(AB1878)*3600+MINUTE(AB1878)*60+SECOND(AB1878)</f>
        <v>0</v>
      </c>
      <c r="AC1879" s="29">
        <f>AC1878</f>
        <v>0</v>
      </c>
    </row>
    <row r="1880" spans="1:29">
      <c r="A1880" s="23">
        <f>Parameters!A941</f>
        <v>0</v>
      </c>
      <c r="B1880" s="23">
        <f>Parameters!B941</f>
        <v>0</v>
      </c>
      <c r="C1880" s="24">
        <f>Parameters!C941</f>
        <v>0</v>
      </c>
      <c r="D1880" s="24">
        <f>Parameters!D941</f>
        <v>0</v>
      </c>
      <c r="E1880" s="23">
        <f>Parameters!E941</f>
        <v>0</v>
      </c>
      <c r="F1880" s="23">
        <f>Parameters!F941</f>
        <v>0</v>
      </c>
      <c r="G1880" s="25">
        <f>Parameters!G941</f>
        <v>0</v>
      </c>
      <c r="H1880" s="25">
        <f>Parameters!H941</f>
        <v>0</v>
      </c>
      <c r="I1880" s="25">
        <f>Parameters!I941</f>
        <v>0</v>
      </c>
      <c r="J1880" s="25">
        <f>Parameters!J941</f>
        <v>0</v>
      </c>
      <c r="K1880" s="25">
        <f>Parameters!K941</f>
        <v>0</v>
      </c>
      <c r="L1880" s="26" t="e">
        <f t="shared" ref="L1880" si="2814">L1881</f>
        <v>#DIV/0!</v>
      </c>
      <c r="M1880" s="25">
        <f>Parameters!L941</f>
        <v>0</v>
      </c>
      <c r="N1880" s="25">
        <f>Parameters!M941</f>
        <v>0</v>
      </c>
      <c r="O1880" s="26" t="e">
        <f t="shared" ref="O1880" si="2815">O1881</f>
        <v>#DIV/0!</v>
      </c>
      <c r="P1880" s="23">
        <f>Parameters!N941</f>
        <v>0</v>
      </c>
      <c r="Q1880" s="23">
        <f>Parameters!O941</f>
        <v>0</v>
      </c>
      <c r="R1880" s="23">
        <f>Parameters!P941</f>
        <v>0</v>
      </c>
      <c r="S1880" s="23">
        <f>Parameters!Q941</f>
        <v>0</v>
      </c>
      <c r="T1880" s="23">
        <f>Parameters!R941</f>
        <v>0</v>
      </c>
      <c r="U1880" s="27">
        <f>Parameters!S941</f>
        <v>0</v>
      </c>
      <c r="V1880" s="28">
        <f>Parameters!T941</f>
        <v>0</v>
      </c>
      <c r="W1880" s="27">
        <f>Parameters!U941</f>
        <v>0</v>
      </c>
      <c r="X1880" s="28">
        <f>Parameters!V941</f>
        <v>0</v>
      </c>
      <c r="Y1880" s="25">
        <f>Parameters!W941</f>
        <v>0</v>
      </c>
      <c r="Z1880" s="23">
        <f>Parameters!X941</f>
        <v>0</v>
      </c>
      <c r="AA1880" s="27">
        <f>Parameters!Y941</f>
        <v>0</v>
      </c>
      <c r="AB1880" s="28">
        <f>Parameters!Z941</f>
        <v>0</v>
      </c>
      <c r="AC1880" s="23">
        <f>Parameters!AA941</f>
        <v>0</v>
      </c>
    </row>
    <row r="1881" spans="1:29">
      <c r="A1881" s="29" t="str">
        <f>UPPER(A1880)</f>
        <v>0</v>
      </c>
      <c r="B1881" s="29">
        <f>B1880</f>
        <v>0</v>
      </c>
      <c r="C1881" s="30">
        <f>C1880</f>
        <v>0</v>
      </c>
      <c r="D1881" s="30">
        <f>D1880</f>
        <v>0</v>
      </c>
      <c r="E1881" s="29">
        <f>E1880</f>
        <v>0</v>
      </c>
      <c r="F1881" s="29">
        <f>F1880</f>
        <v>0</v>
      </c>
      <c r="G1881" s="29" t="e">
        <f>IF(C1880=1,IF(D1880="BUY",E1880+(ROUND(F1880*G1880/B1880,0)*B1880),E1880-(ROUND(F1880*G1880/B1880,0)*B1880)),IF(D1880="BUY",E1880-(ROUND(F1880*G1880/B1880,0)*B1880),E1880+(ROUND(F1880*G1880/B1880,0)*B1880)))</f>
        <v>#DIV/0!</v>
      </c>
      <c r="H1881" s="29" t="e">
        <f>IF(C1880=1,IF(D1880="BUY",G1881-(ROUND(F1880*H1880/B1880,0)*B1880),G1881+(ROUND(F1880*H1880/B1880,0)*B1880)),IF(D1880="BUY",G1881+(ROUND(F1880*H1880/B1880,0)*B1880),G1881-(ROUND(F1880*H1880/B1880,0)*B1880)))</f>
        <v>#DIV/0!</v>
      </c>
      <c r="I1881" s="29" t="e">
        <f>IF(D1880="BUY",G1881+(ROUND(F1880*I1880/(B1880*100),0)*B1880),G1881-(ROUND(F1880*I1880/(B1880*100),0)*B1880))</f>
        <v>#DIV/0!</v>
      </c>
      <c r="J1881" s="29" t="e">
        <f>IF(C1880=1,IF(D1880="BUY",E1880+(ROUND(F1880*J1880/B1880,0)*B1880),E1880-(ROUND(F1880*J1880/B1880,0)*B1880)),IF(D1880="BUY",E1880-(ROUND(F1880*J1880/B1880,0)*B1880),E1880+(ROUND(F1880*J1880/B1880,0)*B1880)))</f>
        <v>#DIV/0!</v>
      </c>
      <c r="K1881" s="29" t="e">
        <f>IF(C1880=1,IF(D1880="BUY",E1880-(ROUND(F1880*K1880/B1880,0)*B1880),E1880+(ROUND(F1880*K1880/B1880,0)*B1880)),IF(D1880="BUY",E1880-(ROUND(F1880*K1880/B1880,0)*B1880),E1880+(ROUND(F1880*K1880/B1880,0)*B1880)))</f>
        <v>#DIV/0!</v>
      </c>
      <c r="L1881" s="29" t="e">
        <f t="shared" ref="L1881" si="2816">IF(D1881="BUY",I1881+(R1881*B1881),I1881-(R1881*B1881))</f>
        <v>#DIV/0!</v>
      </c>
      <c r="M1881" s="29" t="e">
        <f>IF(D1880="BUY",E1880+(ROUND(F1880*M1880/B1880,0)*B1880),E1880-(ROUND(F1880*M1880/B1880,0)*B1880))</f>
        <v>#DIV/0!</v>
      </c>
      <c r="N1881" s="29" t="e">
        <f>IF(D1880="BUY",E1880-(ROUND(F1880*N1880/B1880,0)*B1880),E1880+(ROUND(F1880*N1880/B1880,0)*B1880))</f>
        <v>#DIV/0!</v>
      </c>
      <c r="O1881" s="31" t="e">
        <f>IF(D1881="BUY",N1881-VLOOKUP(A1881,Symbols!A$1:D$1000,4,FALSE),N1881+VLOOKUP(A1881,Symbols!A$1:D$1000,4,FALSE))</f>
        <v>#DIV/0!</v>
      </c>
      <c r="P1881" s="29">
        <f>P1880</f>
        <v>0</v>
      </c>
      <c r="Q1881" s="29">
        <f>Q1880</f>
        <v>0</v>
      </c>
      <c r="R1881" s="29">
        <f>R1880</f>
        <v>0</v>
      </c>
      <c r="S1881" s="29">
        <f>S1880</f>
        <v>0</v>
      </c>
      <c r="T1881" s="29">
        <f>T1880</f>
        <v>0</v>
      </c>
      <c r="U1881" s="29" t="e">
        <f>DATEDIF(DATE(1970,1,1),U1880,"D")*86400</f>
        <v>#NUM!</v>
      </c>
      <c r="V1881" s="29">
        <f>HOUR(V1880)*3600+MINUTE(V1880)*60+SECOND(V1880)</f>
        <v>0</v>
      </c>
      <c r="W1881" s="29" t="e">
        <f>DATEDIF(DATE(1970,1,1),W1880,"D")*86400</f>
        <v>#NUM!</v>
      </c>
      <c r="X1881" s="29">
        <f>HOUR(X1880)*3600+MINUTE(X1880)*60+SECOND(X1880)</f>
        <v>0</v>
      </c>
      <c r="Y1881" s="31">
        <f>(Y1880*B1881)</f>
        <v>0</v>
      </c>
      <c r="Z1881" s="29">
        <f>Z1880</f>
        <v>0</v>
      </c>
      <c r="AA1881" s="29" t="e">
        <f>DATEDIF(DATE(1970,1,1),AA1880,"D")*86400</f>
        <v>#NUM!</v>
      </c>
      <c r="AB1881" s="29">
        <f>HOUR(AB1880)*3600+MINUTE(AB1880)*60+SECOND(AB1880)</f>
        <v>0</v>
      </c>
      <c r="AC1881" s="29">
        <f>AC1880</f>
        <v>0</v>
      </c>
    </row>
    <row r="1882" spans="1:29">
      <c r="A1882" s="23">
        <f>Parameters!A942</f>
        <v>0</v>
      </c>
      <c r="B1882" s="23">
        <f>Parameters!B942</f>
        <v>0</v>
      </c>
      <c r="C1882" s="24">
        <f>Parameters!C942</f>
        <v>0</v>
      </c>
      <c r="D1882" s="24">
        <f>Parameters!D942</f>
        <v>0</v>
      </c>
      <c r="E1882" s="23">
        <f>Parameters!E942</f>
        <v>0</v>
      </c>
      <c r="F1882" s="23">
        <f>Parameters!F942</f>
        <v>0</v>
      </c>
      <c r="G1882" s="25">
        <f>Parameters!G942</f>
        <v>0</v>
      </c>
      <c r="H1882" s="25">
        <f>Parameters!H942</f>
        <v>0</v>
      </c>
      <c r="I1882" s="25">
        <f>Parameters!I942</f>
        <v>0</v>
      </c>
      <c r="J1882" s="25">
        <f>Parameters!J942</f>
        <v>0</v>
      </c>
      <c r="K1882" s="25">
        <f>Parameters!K942</f>
        <v>0</v>
      </c>
      <c r="L1882" s="26" t="e">
        <f t="shared" ref="L1882" si="2817">L1883</f>
        <v>#DIV/0!</v>
      </c>
      <c r="M1882" s="25">
        <f>Parameters!L942</f>
        <v>0</v>
      </c>
      <c r="N1882" s="25">
        <f>Parameters!M942</f>
        <v>0</v>
      </c>
      <c r="O1882" s="26" t="e">
        <f t="shared" ref="O1882" si="2818">O1883</f>
        <v>#DIV/0!</v>
      </c>
      <c r="P1882" s="23">
        <f>Parameters!N942</f>
        <v>0</v>
      </c>
      <c r="Q1882" s="23">
        <f>Parameters!O942</f>
        <v>0</v>
      </c>
      <c r="R1882" s="23">
        <f>Parameters!P942</f>
        <v>0</v>
      </c>
      <c r="S1882" s="23">
        <f>Parameters!Q942</f>
        <v>0</v>
      </c>
      <c r="T1882" s="23">
        <f>Parameters!R942</f>
        <v>0</v>
      </c>
      <c r="U1882" s="27">
        <f>Parameters!S942</f>
        <v>0</v>
      </c>
      <c r="V1882" s="28">
        <f>Parameters!T942</f>
        <v>0</v>
      </c>
      <c r="W1882" s="27">
        <f>Parameters!U942</f>
        <v>0</v>
      </c>
      <c r="X1882" s="28">
        <f>Parameters!V942</f>
        <v>0</v>
      </c>
      <c r="Y1882" s="25">
        <f>Parameters!W942</f>
        <v>0</v>
      </c>
      <c r="Z1882" s="23">
        <f>Parameters!X942</f>
        <v>0</v>
      </c>
      <c r="AA1882" s="27">
        <f>Parameters!Y942</f>
        <v>0</v>
      </c>
      <c r="AB1882" s="28">
        <f>Parameters!Z942</f>
        <v>0</v>
      </c>
      <c r="AC1882" s="23">
        <f>Parameters!AA942</f>
        <v>0</v>
      </c>
    </row>
    <row r="1883" spans="1:29">
      <c r="A1883" s="29" t="str">
        <f>UPPER(A1882)</f>
        <v>0</v>
      </c>
      <c r="B1883" s="29">
        <f>B1882</f>
        <v>0</v>
      </c>
      <c r="C1883" s="30">
        <f>C1882</f>
        <v>0</v>
      </c>
      <c r="D1883" s="30">
        <f>D1882</f>
        <v>0</v>
      </c>
      <c r="E1883" s="29">
        <f>E1882</f>
        <v>0</v>
      </c>
      <c r="F1883" s="29">
        <f>F1882</f>
        <v>0</v>
      </c>
      <c r="G1883" s="29" t="e">
        <f>IF(C1882=1,IF(D1882="BUY",E1882+(ROUND(F1882*G1882/B1882,0)*B1882),E1882-(ROUND(F1882*G1882/B1882,0)*B1882)),IF(D1882="BUY",E1882-(ROUND(F1882*G1882/B1882,0)*B1882),E1882+(ROUND(F1882*G1882/B1882,0)*B1882)))</f>
        <v>#DIV/0!</v>
      </c>
      <c r="H1883" s="29" t="e">
        <f>IF(C1882=1,IF(D1882="BUY",G1883-(ROUND(F1882*H1882/B1882,0)*B1882),G1883+(ROUND(F1882*H1882/B1882,0)*B1882)),IF(D1882="BUY",G1883+(ROUND(F1882*H1882/B1882,0)*B1882),G1883-(ROUND(F1882*H1882/B1882,0)*B1882)))</f>
        <v>#DIV/0!</v>
      </c>
      <c r="I1883" s="29" t="e">
        <f>IF(D1882="BUY",G1883+(ROUND(F1882*I1882/(B1882*100),0)*B1882),G1883-(ROUND(F1882*I1882/(B1882*100),0)*B1882))</f>
        <v>#DIV/0!</v>
      </c>
      <c r="J1883" s="29" t="e">
        <f>IF(C1882=1,IF(D1882="BUY",E1882+(ROUND(F1882*J1882/B1882,0)*B1882),E1882-(ROUND(F1882*J1882/B1882,0)*B1882)),IF(D1882="BUY",E1882-(ROUND(F1882*J1882/B1882,0)*B1882),E1882+(ROUND(F1882*J1882/B1882,0)*B1882)))</f>
        <v>#DIV/0!</v>
      </c>
      <c r="K1883" s="29" t="e">
        <f>IF(C1882=1,IF(D1882="BUY",E1882-(ROUND(F1882*K1882/B1882,0)*B1882),E1882+(ROUND(F1882*K1882/B1882,0)*B1882)),IF(D1882="BUY",E1882-(ROUND(F1882*K1882/B1882,0)*B1882),E1882+(ROUND(F1882*K1882/B1882,0)*B1882)))</f>
        <v>#DIV/0!</v>
      </c>
      <c r="L1883" s="29" t="e">
        <f t="shared" ref="L1883" si="2819">IF(D1883="BUY",I1883+(R1883*B1883),I1883-(R1883*B1883))</f>
        <v>#DIV/0!</v>
      </c>
      <c r="M1883" s="29" t="e">
        <f>IF(D1882="BUY",E1882+(ROUND(F1882*M1882/B1882,0)*B1882),E1882-(ROUND(F1882*M1882/B1882,0)*B1882))</f>
        <v>#DIV/0!</v>
      </c>
      <c r="N1883" s="29" t="e">
        <f>IF(D1882="BUY",E1882-(ROUND(F1882*N1882/B1882,0)*B1882),E1882+(ROUND(F1882*N1882/B1882,0)*B1882))</f>
        <v>#DIV/0!</v>
      </c>
      <c r="O1883" s="31" t="e">
        <f>IF(D1883="BUY",N1883-VLOOKUP(A1883,Symbols!A$1:D$1000,4,FALSE),N1883+VLOOKUP(A1883,Symbols!A$1:D$1000,4,FALSE))</f>
        <v>#DIV/0!</v>
      </c>
      <c r="P1883" s="29">
        <f>P1882</f>
        <v>0</v>
      </c>
      <c r="Q1883" s="29">
        <f>Q1882</f>
        <v>0</v>
      </c>
      <c r="R1883" s="29">
        <f>R1882</f>
        <v>0</v>
      </c>
      <c r="S1883" s="29">
        <f>S1882</f>
        <v>0</v>
      </c>
      <c r="T1883" s="29">
        <f>T1882</f>
        <v>0</v>
      </c>
      <c r="U1883" s="29" t="e">
        <f>DATEDIF(DATE(1970,1,1),U1882,"D")*86400</f>
        <v>#NUM!</v>
      </c>
      <c r="V1883" s="29">
        <f>HOUR(V1882)*3600+MINUTE(V1882)*60+SECOND(V1882)</f>
        <v>0</v>
      </c>
      <c r="W1883" s="29" t="e">
        <f>DATEDIF(DATE(1970,1,1),W1882,"D")*86400</f>
        <v>#NUM!</v>
      </c>
      <c r="X1883" s="29">
        <f>HOUR(X1882)*3600+MINUTE(X1882)*60+SECOND(X1882)</f>
        <v>0</v>
      </c>
      <c r="Y1883" s="31">
        <f>(Y1882*B1883)</f>
        <v>0</v>
      </c>
      <c r="Z1883" s="29">
        <f>Z1882</f>
        <v>0</v>
      </c>
      <c r="AA1883" s="29" t="e">
        <f>DATEDIF(DATE(1970,1,1),AA1882,"D")*86400</f>
        <v>#NUM!</v>
      </c>
      <c r="AB1883" s="29">
        <f>HOUR(AB1882)*3600+MINUTE(AB1882)*60+SECOND(AB1882)</f>
        <v>0</v>
      </c>
      <c r="AC1883" s="29">
        <f>AC1882</f>
        <v>0</v>
      </c>
    </row>
    <row r="1884" spans="1:29">
      <c r="A1884" s="23">
        <f>Parameters!A943</f>
        <v>0</v>
      </c>
      <c r="B1884" s="23">
        <f>Parameters!B943</f>
        <v>0</v>
      </c>
      <c r="C1884" s="24">
        <f>Parameters!C943</f>
        <v>0</v>
      </c>
      <c r="D1884" s="24">
        <f>Parameters!D943</f>
        <v>0</v>
      </c>
      <c r="E1884" s="23">
        <f>Parameters!E943</f>
        <v>0</v>
      </c>
      <c r="F1884" s="23">
        <f>Parameters!F943</f>
        <v>0</v>
      </c>
      <c r="G1884" s="25">
        <f>Parameters!G943</f>
        <v>0</v>
      </c>
      <c r="H1884" s="25">
        <f>Parameters!H943</f>
        <v>0</v>
      </c>
      <c r="I1884" s="25">
        <f>Parameters!I943</f>
        <v>0</v>
      </c>
      <c r="J1884" s="25">
        <f>Parameters!J943</f>
        <v>0</v>
      </c>
      <c r="K1884" s="25">
        <f>Parameters!K943</f>
        <v>0</v>
      </c>
      <c r="L1884" s="26" t="e">
        <f t="shared" ref="L1884" si="2820">L1885</f>
        <v>#DIV/0!</v>
      </c>
      <c r="M1884" s="25">
        <f>Parameters!L943</f>
        <v>0</v>
      </c>
      <c r="N1884" s="25">
        <f>Parameters!M943</f>
        <v>0</v>
      </c>
      <c r="O1884" s="26" t="e">
        <f t="shared" ref="O1884" si="2821">O1885</f>
        <v>#DIV/0!</v>
      </c>
      <c r="P1884" s="23">
        <f>Parameters!N943</f>
        <v>0</v>
      </c>
      <c r="Q1884" s="23">
        <f>Parameters!O943</f>
        <v>0</v>
      </c>
      <c r="R1884" s="23">
        <f>Parameters!P943</f>
        <v>0</v>
      </c>
      <c r="S1884" s="23">
        <f>Parameters!Q943</f>
        <v>0</v>
      </c>
      <c r="T1884" s="23">
        <f>Parameters!R943</f>
        <v>0</v>
      </c>
      <c r="U1884" s="27">
        <f>Parameters!S943</f>
        <v>0</v>
      </c>
      <c r="V1884" s="28">
        <f>Parameters!T943</f>
        <v>0</v>
      </c>
      <c r="W1884" s="27">
        <f>Parameters!U943</f>
        <v>0</v>
      </c>
      <c r="X1884" s="28">
        <f>Parameters!V943</f>
        <v>0</v>
      </c>
      <c r="Y1884" s="25">
        <f>Parameters!W943</f>
        <v>0</v>
      </c>
      <c r="Z1884" s="23">
        <f>Parameters!X943</f>
        <v>0</v>
      </c>
      <c r="AA1884" s="27">
        <f>Parameters!Y943</f>
        <v>0</v>
      </c>
      <c r="AB1884" s="28">
        <f>Parameters!Z943</f>
        <v>0</v>
      </c>
      <c r="AC1884" s="23">
        <f>Parameters!AA943</f>
        <v>0</v>
      </c>
    </row>
    <row r="1885" spans="1:29">
      <c r="A1885" s="29" t="str">
        <f>UPPER(A1884)</f>
        <v>0</v>
      </c>
      <c r="B1885" s="29">
        <f>B1884</f>
        <v>0</v>
      </c>
      <c r="C1885" s="30">
        <f>C1884</f>
        <v>0</v>
      </c>
      <c r="D1885" s="30">
        <f>D1884</f>
        <v>0</v>
      </c>
      <c r="E1885" s="29">
        <f>E1884</f>
        <v>0</v>
      </c>
      <c r="F1885" s="29">
        <f>F1884</f>
        <v>0</v>
      </c>
      <c r="G1885" s="29" t="e">
        <f>IF(C1884=1,IF(D1884="BUY",E1884+(ROUND(F1884*G1884/B1884,0)*B1884),E1884-(ROUND(F1884*G1884/B1884,0)*B1884)),IF(D1884="BUY",E1884-(ROUND(F1884*G1884/B1884,0)*B1884),E1884+(ROUND(F1884*G1884/B1884,0)*B1884)))</f>
        <v>#DIV/0!</v>
      </c>
      <c r="H1885" s="29" t="e">
        <f>IF(C1884=1,IF(D1884="BUY",G1885-(ROUND(F1884*H1884/B1884,0)*B1884),G1885+(ROUND(F1884*H1884/B1884,0)*B1884)),IF(D1884="BUY",G1885+(ROUND(F1884*H1884/B1884,0)*B1884),G1885-(ROUND(F1884*H1884/B1884,0)*B1884)))</f>
        <v>#DIV/0!</v>
      </c>
      <c r="I1885" s="29" t="e">
        <f>IF(D1884="BUY",G1885+(ROUND(F1884*I1884/(B1884*100),0)*B1884),G1885-(ROUND(F1884*I1884/(B1884*100),0)*B1884))</f>
        <v>#DIV/0!</v>
      </c>
      <c r="J1885" s="29" t="e">
        <f>IF(C1884=1,IF(D1884="BUY",E1884+(ROUND(F1884*J1884/B1884,0)*B1884),E1884-(ROUND(F1884*J1884/B1884,0)*B1884)),IF(D1884="BUY",E1884-(ROUND(F1884*J1884/B1884,0)*B1884),E1884+(ROUND(F1884*J1884/B1884,0)*B1884)))</f>
        <v>#DIV/0!</v>
      </c>
      <c r="K1885" s="29" t="e">
        <f>IF(C1884=1,IF(D1884="BUY",E1884-(ROUND(F1884*K1884/B1884,0)*B1884),E1884+(ROUND(F1884*K1884/B1884,0)*B1884)),IF(D1884="BUY",E1884-(ROUND(F1884*K1884/B1884,0)*B1884),E1884+(ROUND(F1884*K1884/B1884,0)*B1884)))</f>
        <v>#DIV/0!</v>
      </c>
      <c r="L1885" s="29" t="e">
        <f t="shared" ref="L1885" si="2822">IF(D1885="BUY",I1885+(R1885*B1885),I1885-(R1885*B1885))</f>
        <v>#DIV/0!</v>
      </c>
      <c r="M1885" s="29" t="e">
        <f>IF(D1884="BUY",E1884+(ROUND(F1884*M1884/B1884,0)*B1884),E1884-(ROUND(F1884*M1884/B1884,0)*B1884))</f>
        <v>#DIV/0!</v>
      </c>
      <c r="N1885" s="29" t="e">
        <f>IF(D1884="BUY",E1884-(ROUND(F1884*N1884/B1884,0)*B1884),E1884+(ROUND(F1884*N1884/B1884,0)*B1884))</f>
        <v>#DIV/0!</v>
      </c>
      <c r="O1885" s="31" t="e">
        <f>IF(D1885="BUY",N1885-VLOOKUP(A1885,Symbols!A$1:D$1000,4,FALSE),N1885+VLOOKUP(A1885,Symbols!A$1:D$1000,4,FALSE))</f>
        <v>#DIV/0!</v>
      </c>
      <c r="P1885" s="29">
        <f>P1884</f>
        <v>0</v>
      </c>
      <c r="Q1885" s="29">
        <f>Q1884</f>
        <v>0</v>
      </c>
      <c r="R1885" s="29">
        <f>R1884</f>
        <v>0</v>
      </c>
      <c r="S1885" s="29">
        <f>S1884</f>
        <v>0</v>
      </c>
      <c r="T1885" s="29">
        <f>T1884</f>
        <v>0</v>
      </c>
      <c r="U1885" s="29" t="e">
        <f>DATEDIF(DATE(1970,1,1),U1884,"D")*86400</f>
        <v>#NUM!</v>
      </c>
      <c r="V1885" s="29">
        <f>HOUR(V1884)*3600+MINUTE(V1884)*60+SECOND(V1884)</f>
        <v>0</v>
      </c>
      <c r="W1885" s="29" t="e">
        <f>DATEDIF(DATE(1970,1,1),W1884,"D")*86400</f>
        <v>#NUM!</v>
      </c>
      <c r="X1885" s="29">
        <f>HOUR(X1884)*3600+MINUTE(X1884)*60+SECOND(X1884)</f>
        <v>0</v>
      </c>
      <c r="Y1885" s="31">
        <f>(Y1884*B1885)</f>
        <v>0</v>
      </c>
      <c r="Z1885" s="29">
        <f>Z1884</f>
        <v>0</v>
      </c>
      <c r="AA1885" s="29" t="e">
        <f>DATEDIF(DATE(1970,1,1),AA1884,"D")*86400</f>
        <v>#NUM!</v>
      </c>
      <c r="AB1885" s="29">
        <f>HOUR(AB1884)*3600+MINUTE(AB1884)*60+SECOND(AB1884)</f>
        <v>0</v>
      </c>
      <c r="AC1885" s="29">
        <f>AC1884</f>
        <v>0</v>
      </c>
    </row>
    <row r="1886" spans="1:29">
      <c r="A1886" s="23">
        <f>Parameters!A944</f>
        <v>0</v>
      </c>
      <c r="B1886" s="23">
        <f>Parameters!B944</f>
        <v>0</v>
      </c>
      <c r="C1886" s="24">
        <f>Parameters!C944</f>
        <v>0</v>
      </c>
      <c r="D1886" s="24">
        <f>Parameters!D944</f>
        <v>0</v>
      </c>
      <c r="E1886" s="23">
        <f>Parameters!E944</f>
        <v>0</v>
      </c>
      <c r="F1886" s="23">
        <f>Parameters!F944</f>
        <v>0</v>
      </c>
      <c r="G1886" s="25">
        <f>Parameters!G944</f>
        <v>0</v>
      </c>
      <c r="H1886" s="25">
        <f>Parameters!H944</f>
        <v>0</v>
      </c>
      <c r="I1886" s="25">
        <f>Parameters!I944</f>
        <v>0</v>
      </c>
      <c r="J1886" s="25">
        <f>Parameters!J944</f>
        <v>0</v>
      </c>
      <c r="K1886" s="25">
        <f>Parameters!K944</f>
        <v>0</v>
      </c>
      <c r="L1886" s="26" t="e">
        <f t="shared" ref="L1886" si="2823">L1887</f>
        <v>#DIV/0!</v>
      </c>
      <c r="M1886" s="25">
        <f>Parameters!L944</f>
        <v>0</v>
      </c>
      <c r="N1886" s="25">
        <f>Parameters!M944</f>
        <v>0</v>
      </c>
      <c r="O1886" s="26" t="e">
        <f t="shared" ref="O1886" si="2824">O1887</f>
        <v>#DIV/0!</v>
      </c>
      <c r="P1886" s="23">
        <f>Parameters!N944</f>
        <v>0</v>
      </c>
      <c r="Q1886" s="23">
        <f>Parameters!O944</f>
        <v>0</v>
      </c>
      <c r="R1886" s="23">
        <f>Parameters!P944</f>
        <v>0</v>
      </c>
      <c r="S1886" s="23">
        <f>Parameters!Q944</f>
        <v>0</v>
      </c>
      <c r="T1886" s="23">
        <f>Parameters!R944</f>
        <v>0</v>
      </c>
      <c r="U1886" s="27">
        <f>Parameters!S944</f>
        <v>0</v>
      </c>
      <c r="V1886" s="28">
        <f>Parameters!T944</f>
        <v>0</v>
      </c>
      <c r="W1886" s="27">
        <f>Parameters!U944</f>
        <v>0</v>
      </c>
      <c r="X1886" s="28">
        <f>Parameters!V944</f>
        <v>0</v>
      </c>
      <c r="Y1886" s="25">
        <f>Parameters!W944</f>
        <v>0</v>
      </c>
      <c r="Z1886" s="23">
        <f>Parameters!X944</f>
        <v>0</v>
      </c>
      <c r="AA1886" s="27">
        <f>Parameters!Y944</f>
        <v>0</v>
      </c>
      <c r="AB1886" s="28">
        <f>Parameters!Z944</f>
        <v>0</v>
      </c>
      <c r="AC1886" s="23">
        <f>Parameters!AA944</f>
        <v>0</v>
      </c>
    </row>
    <row r="1887" spans="1:29">
      <c r="A1887" s="29" t="str">
        <f>UPPER(A1886)</f>
        <v>0</v>
      </c>
      <c r="B1887" s="29">
        <f>B1886</f>
        <v>0</v>
      </c>
      <c r="C1887" s="30">
        <f>C1886</f>
        <v>0</v>
      </c>
      <c r="D1887" s="30">
        <f>D1886</f>
        <v>0</v>
      </c>
      <c r="E1887" s="29">
        <f>E1886</f>
        <v>0</v>
      </c>
      <c r="F1887" s="29">
        <f>F1886</f>
        <v>0</v>
      </c>
      <c r="G1887" s="29" t="e">
        <f>IF(C1886=1,IF(D1886="BUY",E1886+(ROUND(F1886*G1886/B1886,0)*B1886),E1886-(ROUND(F1886*G1886/B1886,0)*B1886)),IF(D1886="BUY",E1886-(ROUND(F1886*G1886/B1886,0)*B1886),E1886+(ROUND(F1886*G1886/B1886,0)*B1886)))</f>
        <v>#DIV/0!</v>
      </c>
      <c r="H1887" s="29" t="e">
        <f>IF(C1886=1,IF(D1886="BUY",G1887-(ROUND(F1886*H1886/B1886,0)*B1886),G1887+(ROUND(F1886*H1886/B1886,0)*B1886)),IF(D1886="BUY",G1887+(ROUND(F1886*H1886/B1886,0)*B1886),G1887-(ROUND(F1886*H1886/B1886,0)*B1886)))</f>
        <v>#DIV/0!</v>
      </c>
      <c r="I1887" s="29" t="e">
        <f>IF(D1886="BUY",G1887+(ROUND(F1886*I1886/(B1886*100),0)*B1886),G1887-(ROUND(F1886*I1886/(B1886*100),0)*B1886))</f>
        <v>#DIV/0!</v>
      </c>
      <c r="J1887" s="29" t="e">
        <f>IF(C1886=1,IF(D1886="BUY",E1886+(ROUND(F1886*J1886/B1886,0)*B1886),E1886-(ROUND(F1886*J1886/B1886,0)*B1886)),IF(D1886="BUY",E1886-(ROUND(F1886*J1886/B1886,0)*B1886),E1886+(ROUND(F1886*J1886/B1886,0)*B1886)))</f>
        <v>#DIV/0!</v>
      </c>
      <c r="K1887" s="29" t="e">
        <f>IF(C1886=1,IF(D1886="BUY",E1886-(ROUND(F1886*K1886/B1886,0)*B1886),E1886+(ROUND(F1886*K1886/B1886,0)*B1886)),IF(D1886="BUY",E1886-(ROUND(F1886*K1886/B1886,0)*B1886),E1886+(ROUND(F1886*K1886/B1886,0)*B1886)))</f>
        <v>#DIV/0!</v>
      </c>
      <c r="L1887" s="29" t="e">
        <f t="shared" ref="L1887" si="2825">IF(D1887="BUY",I1887+(R1887*B1887),I1887-(R1887*B1887))</f>
        <v>#DIV/0!</v>
      </c>
      <c r="M1887" s="29" t="e">
        <f>IF(D1886="BUY",E1886+(ROUND(F1886*M1886/B1886,0)*B1886),E1886-(ROUND(F1886*M1886/B1886,0)*B1886))</f>
        <v>#DIV/0!</v>
      </c>
      <c r="N1887" s="29" t="e">
        <f>IF(D1886="BUY",E1886-(ROUND(F1886*N1886/B1886,0)*B1886),E1886+(ROUND(F1886*N1886/B1886,0)*B1886))</f>
        <v>#DIV/0!</v>
      </c>
      <c r="O1887" s="31" t="e">
        <f>IF(D1887="BUY",N1887-VLOOKUP(A1887,Symbols!A$1:D$1000,4,FALSE),N1887+VLOOKUP(A1887,Symbols!A$1:D$1000,4,FALSE))</f>
        <v>#DIV/0!</v>
      </c>
      <c r="P1887" s="29">
        <f>P1886</f>
        <v>0</v>
      </c>
      <c r="Q1887" s="29">
        <f>Q1886</f>
        <v>0</v>
      </c>
      <c r="R1887" s="29">
        <f>R1886</f>
        <v>0</v>
      </c>
      <c r="S1887" s="29">
        <f>S1886</f>
        <v>0</v>
      </c>
      <c r="T1887" s="29">
        <f>T1886</f>
        <v>0</v>
      </c>
      <c r="U1887" s="29" t="e">
        <f>DATEDIF(DATE(1970,1,1),U1886,"D")*86400</f>
        <v>#NUM!</v>
      </c>
      <c r="V1887" s="29">
        <f>HOUR(V1886)*3600+MINUTE(V1886)*60+SECOND(V1886)</f>
        <v>0</v>
      </c>
      <c r="W1887" s="29" t="e">
        <f>DATEDIF(DATE(1970,1,1),W1886,"D")*86400</f>
        <v>#NUM!</v>
      </c>
      <c r="X1887" s="29">
        <f>HOUR(X1886)*3600+MINUTE(X1886)*60+SECOND(X1886)</f>
        <v>0</v>
      </c>
      <c r="Y1887" s="31">
        <f>(Y1886*B1887)</f>
        <v>0</v>
      </c>
      <c r="Z1887" s="29">
        <f>Z1886</f>
        <v>0</v>
      </c>
      <c r="AA1887" s="29" t="e">
        <f>DATEDIF(DATE(1970,1,1),AA1886,"D")*86400</f>
        <v>#NUM!</v>
      </c>
      <c r="AB1887" s="29">
        <f>HOUR(AB1886)*3600+MINUTE(AB1886)*60+SECOND(AB1886)</f>
        <v>0</v>
      </c>
      <c r="AC1887" s="29">
        <f>AC1886</f>
        <v>0</v>
      </c>
    </row>
    <row r="1888" spans="1:29">
      <c r="A1888" s="23">
        <f>Parameters!A945</f>
        <v>0</v>
      </c>
      <c r="B1888" s="23">
        <f>Parameters!B945</f>
        <v>0</v>
      </c>
      <c r="C1888" s="24">
        <f>Parameters!C945</f>
        <v>0</v>
      </c>
      <c r="D1888" s="24">
        <f>Parameters!D945</f>
        <v>0</v>
      </c>
      <c r="E1888" s="23">
        <f>Parameters!E945</f>
        <v>0</v>
      </c>
      <c r="F1888" s="23">
        <f>Parameters!F945</f>
        <v>0</v>
      </c>
      <c r="G1888" s="25">
        <f>Parameters!G945</f>
        <v>0</v>
      </c>
      <c r="H1888" s="25">
        <f>Parameters!H945</f>
        <v>0</v>
      </c>
      <c r="I1888" s="25">
        <f>Parameters!I945</f>
        <v>0</v>
      </c>
      <c r="J1888" s="25">
        <f>Parameters!J945</f>
        <v>0</v>
      </c>
      <c r="K1888" s="25">
        <f>Parameters!K945</f>
        <v>0</v>
      </c>
      <c r="L1888" s="26" t="e">
        <f t="shared" ref="L1888" si="2826">L1889</f>
        <v>#DIV/0!</v>
      </c>
      <c r="M1888" s="25">
        <f>Parameters!L945</f>
        <v>0</v>
      </c>
      <c r="N1888" s="25">
        <f>Parameters!M945</f>
        <v>0</v>
      </c>
      <c r="O1888" s="26" t="e">
        <f t="shared" ref="O1888" si="2827">O1889</f>
        <v>#DIV/0!</v>
      </c>
      <c r="P1888" s="23">
        <f>Parameters!N945</f>
        <v>0</v>
      </c>
      <c r="Q1888" s="23">
        <f>Parameters!O945</f>
        <v>0</v>
      </c>
      <c r="R1888" s="23">
        <f>Parameters!P945</f>
        <v>0</v>
      </c>
      <c r="S1888" s="23">
        <f>Parameters!Q945</f>
        <v>0</v>
      </c>
      <c r="T1888" s="23">
        <f>Parameters!R945</f>
        <v>0</v>
      </c>
      <c r="U1888" s="27">
        <f>Parameters!S945</f>
        <v>0</v>
      </c>
      <c r="V1888" s="28">
        <f>Parameters!T945</f>
        <v>0</v>
      </c>
      <c r="W1888" s="27">
        <f>Parameters!U945</f>
        <v>0</v>
      </c>
      <c r="X1888" s="28">
        <f>Parameters!V945</f>
        <v>0</v>
      </c>
      <c r="Y1888" s="25">
        <f>Parameters!W945</f>
        <v>0</v>
      </c>
      <c r="Z1888" s="23">
        <f>Parameters!X945</f>
        <v>0</v>
      </c>
      <c r="AA1888" s="27">
        <f>Parameters!Y945</f>
        <v>0</v>
      </c>
      <c r="AB1888" s="28">
        <f>Parameters!Z945</f>
        <v>0</v>
      </c>
      <c r="AC1888" s="23">
        <f>Parameters!AA945</f>
        <v>0</v>
      </c>
    </row>
    <row r="1889" spans="1:29">
      <c r="A1889" s="29" t="str">
        <f>UPPER(A1888)</f>
        <v>0</v>
      </c>
      <c r="B1889" s="29">
        <f>B1888</f>
        <v>0</v>
      </c>
      <c r="C1889" s="30">
        <f>C1888</f>
        <v>0</v>
      </c>
      <c r="D1889" s="30">
        <f>D1888</f>
        <v>0</v>
      </c>
      <c r="E1889" s="29">
        <f>E1888</f>
        <v>0</v>
      </c>
      <c r="F1889" s="29">
        <f>F1888</f>
        <v>0</v>
      </c>
      <c r="G1889" s="29" t="e">
        <f>IF(C1888=1,IF(D1888="BUY",E1888+(ROUND(F1888*G1888/B1888,0)*B1888),E1888-(ROUND(F1888*G1888/B1888,0)*B1888)),IF(D1888="BUY",E1888-(ROUND(F1888*G1888/B1888,0)*B1888),E1888+(ROUND(F1888*G1888/B1888,0)*B1888)))</f>
        <v>#DIV/0!</v>
      </c>
      <c r="H1889" s="29" t="e">
        <f>IF(C1888=1,IF(D1888="BUY",G1889-(ROUND(F1888*H1888/B1888,0)*B1888),G1889+(ROUND(F1888*H1888/B1888,0)*B1888)),IF(D1888="BUY",G1889+(ROUND(F1888*H1888/B1888,0)*B1888),G1889-(ROUND(F1888*H1888/B1888,0)*B1888)))</f>
        <v>#DIV/0!</v>
      </c>
      <c r="I1889" s="29" t="e">
        <f>IF(D1888="BUY",G1889+(ROUND(F1888*I1888/(B1888*100),0)*B1888),G1889-(ROUND(F1888*I1888/(B1888*100),0)*B1888))</f>
        <v>#DIV/0!</v>
      </c>
      <c r="J1889" s="29" t="e">
        <f>IF(C1888=1,IF(D1888="BUY",E1888+(ROUND(F1888*J1888/B1888,0)*B1888),E1888-(ROUND(F1888*J1888/B1888,0)*B1888)),IF(D1888="BUY",E1888-(ROUND(F1888*J1888/B1888,0)*B1888),E1888+(ROUND(F1888*J1888/B1888,0)*B1888)))</f>
        <v>#DIV/0!</v>
      </c>
      <c r="K1889" s="29" t="e">
        <f>IF(C1888=1,IF(D1888="BUY",E1888-(ROUND(F1888*K1888/B1888,0)*B1888),E1888+(ROUND(F1888*K1888/B1888,0)*B1888)),IF(D1888="BUY",E1888-(ROUND(F1888*K1888/B1888,0)*B1888),E1888+(ROUND(F1888*K1888/B1888,0)*B1888)))</f>
        <v>#DIV/0!</v>
      </c>
      <c r="L1889" s="29" t="e">
        <f t="shared" ref="L1889" si="2828">IF(D1889="BUY",I1889+(R1889*B1889),I1889-(R1889*B1889))</f>
        <v>#DIV/0!</v>
      </c>
      <c r="M1889" s="29" t="e">
        <f>IF(D1888="BUY",E1888+(ROUND(F1888*M1888/B1888,0)*B1888),E1888-(ROUND(F1888*M1888/B1888,0)*B1888))</f>
        <v>#DIV/0!</v>
      </c>
      <c r="N1889" s="29" t="e">
        <f>IF(D1888="BUY",E1888-(ROUND(F1888*N1888/B1888,0)*B1888),E1888+(ROUND(F1888*N1888/B1888,0)*B1888))</f>
        <v>#DIV/0!</v>
      </c>
      <c r="O1889" s="31" t="e">
        <f>IF(D1889="BUY",N1889-VLOOKUP(A1889,Symbols!A$1:D$1000,4,FALSE),N1889+VLOOKUP(A1889,Symbols!A$1:D$1000,4,FALSE))</f>
        <v>#DIV/0!</v>
      </c>
      <c r="P1889" s="29">
        <f>P1888</f>
        <v>0</v>
      </c>
      <c r="Q1889" s="29">
        <f>Q1888</f>
        <v>0</v>
      </c>
      <c r="R1889" s="29">
        <f>R1888</f>
        <v>0</v>
      </c>
      <c r="S1889" s="29">
        <f>S1888</f>
        <v>0</v>
      </c>
      <c r="T1889" s="29">
        <f>T1888</f>
        <v>0</v>
      </c>
      <c r="U1889" s="29" t="e">
        <f>DATEDIF(DATE(1970,1,1),U1888,"D")*86400</f>
        <v>#NUM!</v>
      </c>
      <c r="V1889" s="29">
        <f>HOUR(V1888)*3600+MINUTE(V1888)*60+SECOND(V1888)</f>
        <v>0</v>
      </c>
      <c r="W1889" s="29" t="e">
        <f>DATEDIF(DATE(1970,1,1),W1888,"D")*86400</f>
        <v>#NUM!</v>
      </c>
      <c r="X1889" s="29">
        <f>HOUR(X1888)*3600+MINUTE(X1888)*60+SECOND(X1888)</f>
        <v>0</v>
      </c>
      <c r="Y1889" s="31">
        <f>(Y1888*B1889)</f>
        <v>0</v>
      </c>
      <c r="Z1889" s="29">
        <f>Z1888</f>
        <v>0</v>
      </c>
      <c r="AA1889" s="29" t="e">
        <f>DATEDIF(DATE(1970,1,1),AA1888,"D")*86400</f>
        <v>#NUM!</v>
      </c>
      <c r="AB1889" s="29">
        <f>HOUR(AB1888)*3600+MINUTE(AB1888)*60+SECOND(AB1888)</f>
        <v>0</v>
      </c>
      <c r="AC1889" s="29">
        <f>AC1888</f>
        <v>0</v>
      </c>
    </row>
    <row r="1890" spans="1:29">
      <c r="A1890" s="23">
        <f>Parameters!A946</f>
        <v>0</v>
      </c>
      <c r="B1890" s="23">
        <f>Parameters!B946</f>
        <v>0</v>
      </c>
      <c r="C1890" s="24">
        <f>Parameters!C946</f>
        <v>0</v>
      </c>
      <c r="D1890" s="24">
        <f>Parameters!D946</f>
        <v>0</v>
      </c>
      <c r="E1890" s="23">
        <f>Parameters!E946</f>
        <v>0</v>
      </c>
      <c r="F1890" s="23">
        <f>Parameters!F946</f>
        <v>0</v>
      </c>
      <c r="G1890" s="25">
        <f>Parameters!G946</f>
        <v>0</v>
      </c>
      <c r="H1890" s="25">
        <f>Parameters!H946</f>
        <v>0</v>
      </c>
      <c r="I1890" s="25">
        <f>Parameters!I946</f>
        <v>0</v>
      </c>
      <c r="J1890" s="25">
        <f>Parameters!J946</f>
        <v>0</v>
      </c>
      <c r="K1890" s="25">
        <f>Parameters!K946</f>
        <v>0</v>
      </c>
      <c r="L1890" s="26" t="e">
        <f t="shared" ref="L1890" si="2829">L1891</f>
        <v>#DIV/0!</v>
      </c>
      <c r="M1890" s="25">
        <f>Parameters!L946</f>
        <v>0</v>
      </c>
      <c r="N1890" s="25">
        <f>Parameters!M946</f>
        <v>0</v>
      </c>
      <c r="O1890" s="26" t="e">
        <f t="shared" ref="O1890" si="2830">O1891</f>
        <v>#DIV/0!</v>
      </c>
      <c r="P1890" s="23">
        <f>Parameters!N946</f>
        <v>0</v>
      </c>
      <c r="Q1890" s="23">
        <f>Parameters!O946</f>
        <v>0</v>
      </c>
      <c r="R1890" s="23">
        <f>Parameters!P946</f>
        <v>0</v>
      </c>
      <c r="S1890" s="23">
        <f>Parameters!Q946</f>
        <v>0</v>
      </c>
      <c r="T1890" s="23">
        <f>Parameters!R946</f>
        <v>0</v>
      </c>
      <c r="U1890" s="27">
        <f>Parameters!S946</f>
        <v>0</v>
      </c>
      <c r="V1890" s="28">
        <f>Parameters!T946</f>
        <v>0</v>
      </c>
      <c r="W1890" s="27">
        <f>Parameters!U946</f>
        <v>0</v>
      </c>
      <c r="X1890" s="28">
        <f>Parameters!V946</f>
        <v>0</v>
      </c>
      <c r="Y1890" s="25">
        <f>Parameters!W946</f>
        <v>0</v>
      </c>
      <c r="Z1890" s="23">
        <f>Parameters!X946</f>
        <v>0</v>
      </c>
      <c r="AA1890" s="27">
        <f>Parameters!Y946</f>
        <v>0</v>
      </c>
      <c r="AB1890" s="28">
        <f>Parameters!Z946</f>
        <v>0</v>
      </c>
      <c r="AC1890" s="23">
        <f>Parameters!AA946</f>
        <v>0</v>
      </c>
    </row>
    <row r="1891" spans="1:29">
      <c r="A1891" s="29" t="str">
        <f>UPPER(A1890)</f>
        <v>0</v>
      </c>
      <c r="B1891" s="29">
        <f>B1890</f>
        <v>0</v>
      </c>
      <c r="C1891" s="30">
        <f>C1890</f>
        <v>0</v>
      </c>
      <c r="D1891" s="30">
        <f>D1890</f>
        <v>0</v>
      </c>
      <c r="E1891" s="29">
        <f>E1890</f>
        <v>0</v>
      </c>
      <c r="F1891" s="29">
        <f>F1890</f>
        <v>0</v>
      </c>
      <c r="G1891" s="29" t="e">
        <f>IF(C1890=1,IF(D1890="BUY",E1890+(ROUND(F1890*G1890/B1890,0)*B1890),E1890-(ROUND(F1890*G1890/B1890,0)*B1890)),IF(D1890="BUY",E1890-(ROUND(F1890*G1890/B1890,0)*B1890),E1890+(ROUND(F1890*G1890/B1890,0)*B1890)))</f>
        <v>#DIV/0!</v>
      </c>
      <c r="H1891" s="29" t="e">
        <f>IF(C1890=1,IF(D1890="BUY",G1891-(ROUND(F1890*H1890/B1890,0)*B1890),G1891+(ROUND(F1890*H1890/B1890,0)*B1890)),IF(D1890="BUY",G1891+(ROUND(F1890*H1890/B1890,0)*B1890),G1891-(ROUND(F1890*H1890/B1890,0)*B1890)))</f>
        <v>#DIV/0!</v>
      </c>
      <c r="I1891" s="29" t="e">
        <f>IF(D1890="BUY",G1891+(ROUND(F1890*I1890/(B1890*100),0)*B1890),G1891-(ROUND(F1890*I1890/(B1890*100),0)*B1890))</f>
        <v>#DIV/0!</v>
      </c>
      <c r="J1891" s="29" t="e">
        <f>IF(C1890=1,IF(D1890="BUY",E1890+(ROUND(F1890*J1890/B1890,0)*B1890),E1890-(ROUND(F1890*J1890/B1890,0)*B1890)),IF(D1890="BUY",E1890-(ROUND(F1890*J1890/B1890,0)*B1890),E1890+(ROUND(F1890*J1890/B1890,0)*B1890)))</f>
        <v>#DIV/0!</v>
      </c>
      <c r="K1891" s="29" t="e">
        <f>IF(C1890=1,IF(D1890="BUY",E1890-(ROUND(F1890*K1890/B1890,0)*B1890),E1890+(ROUND(F1890*K1890/B1890,0)*B1890)),IF(D1890="BUY",E1890-(ROUND(F1890*K1890/B1890,0)*B1890),E1890+(ROUND(F1890*K1890/B1890,0)*B1890)))</f>
        <v>#DIV/0!</v>
      </c>
      <c r="L1891" s="29" t="e">
        <f t="shared" ref="L1891" si="2831">IF(D1891="BUY",I1891+(R1891*B1891),I1891-(R1891*B1891))</f>
        <v>#DIV/0!</v>
      </c>
      <c r="M1891" s="29" t="e">
        <f>IF(D1890="BUY",E1890+(ROUND(F1890*M1890/B1890,0)*B1890),E1890-(ROUND(F1890*M1890/B1890,0)*B1890))</f>
        <v>#DIV/0!</v>
      </c>
      <c r="N1891" s="29" t="e">
        <f>IF(D1890="BUY",E1890-(ROUND(F1890*N1890/B1890,0)*B1890),E1890+(ROUND(F1890*N1890/B1890,0)*B1890))</f>
        <v>#DIV/0!</v>
      </c>
      <c r="O1891" s="31" t="e">
        <f>IF(D1891="BUY",N1891-VLOOKUP(A1891,Symbols!A$1:D$1000,4,FALSE),N1891+VLOOKUP(A1891,Symbols!A$1:D$1000,4,FALSE))</f>
        <v>#DIV/0!</v>
      </c>
      <c r="P1891" s="29">
        <f>P1890</f>
        <v>0</v>
      </c>
      <c r="Q1891" s="29">
        <f>Q1890</f>
        <v>0</v>
      </c>
      <c r="R1891" s="29">
        <f>R1890</f>
        <v>0</v>
      </c>
      <c r="S1891" s="29">
        <f>S1890</f>
        <v>0</v>
      </c>
      <c r="T1891" s="29">
        <f>T1890</f>
        <v>0</v>
      </c>
      <c r="U1891" s="29" t="e">
        <f>DATEDIF(DATE(1970,1,1),U1890,"D")*86400</f>
        <v>#NUM!</v>
      </c>
      <c r="V1891" s="29">
        <f>HOUR(V1890)*3600+MINUTE(V1890)*60+SECOND(V1890)</f>
        <v>0</v>
      </c>
      <c r="W1891" s="29" t="e">
        <f>DATEDIF(DATE(1970,1,1),W1890,"D")*86400</f>
        <v>#NUM!</v>
      </c>
      <c r="X1891" s="29">
        <f>HOUR(X1890)*3600+MINUTE(X1890)*60+SECOND(X1890)</f>
        <v>0</v>
      </c>
      <c r="Y1891" s="31">
        <f>(Y1890*B1891)</f>
        <v>0</v>
      </c>
      <c r="Z1891" s="29">
        <f>Z1890</f>
        <v>0</v>
      </c>
      <c r="AA1891" s="29" t="e">
        <f>DATEDIF(DATE(1970,1,1),AA1890,"D")*86400</f>
        <v>#NUM!</v>
      </c>
      <c r="AB1891" s="29">
        <f>HOUR(AB1890)*3600+MINUTE(AB1890)*60+SECOND(AB1890)</f>
        <v>0</v>
      </c>
      <c r="AC1891" s="29">
        <f>AC1890</f>
        <v>0</v>
      </c>
    </row>
    <row r="1892" spans="1:29">
      <c r="A1892" s="23">
        <f>Parameters!A947</f>
        <v>0</v>
      </c>
      <c r="B1892" s="23">
        <f>Parameters!B947</f>
        <v>0</v>
      </c>
      <c r="C1892" s="24">
        <f>Parameters!C947</f>
        <v>0</v>
      </c>
      <c r="D1892" s="24">
        <f>Parameters!D947</f>
        <v>0</v>
      </c>
      <c r="E1892" s="23">
        <f>Parameters!E947</f>
        <v>0</v>
      </c>
      <c r="F1892" s="23">
        <f>Parameters!F947</f>
        <v>0</v>
      </c>
      <c r="G1892" s="25">
        <f>Parameters!G947</f>
        <v>0</v>
      </c>
      <c r="H1892" s="25">
        <f>Parameters!H947</f>
        <v>0</v>
      </c>
      <c r="I1892" s="25">
        <f>Parameters!I947</f>
        <v>0</v>
      </c>
      <c r="J1892" s="25">
        <f>Parameters!J947</f>
        <v>0</v>
      </c>
      <c r="K1892" s="25">
        <f>Parameters!K947</f>
        <v>0</v>
      </c>
      <c r="L1892" s="26" t="e">
        <f t="shared" ref="L1892" si="2832">L1893</f>
        <v>#DIV/0!</v>
      </c>
      <c r="M1892" s="25">
        <f>Parameters!L947</f>
        <v>0</v>
      </c>
      <c r="N1892" s="25">
        <f>Parameters!M947</f>
        <v>0</v>
      </c>
      <c r="O1892" s="26" t="e">
        <f t="shared" ref="O1892" si="2833">O1893</f>
        <v>#DIV/0!</v>
      </c>
      <c r="P1892" s="23">
        <f>Parameters!N947</f>
        <v>0</v>
      </c>
      <c r="Q1892" s="23">
        <f>Parameters!O947</f>
        <v>0</v>
      </c>
      <c r="R1892" s="23">
        <f>Parameters!P947</f>
        <v>0</v>
      </c>
      <c r="S1892" s="23">
        <f>Parameters!Q947</f>
        <v>0</v>
      </c>
      <c r="T1892" s="23">
        <f>Parameters!R947</f>
        <v>0</v>
      </c>
      <c r="U1892" s="27">
        <f>Parameters!S947</f>
        <v>0</v>
      </c>
      <c r="V1892" s="28">
        <f>Parameters!T947</f>
        <v>0</v>
      </c>
      <c r="W1892" s="27">
        <f>Parameters!U947</f>
        <v>0</v>
      </c>
      <c r="X1892" s="28">
        <f>Parameters!V947</f>
        <v>0</v>
      </c>
      <c r="Y1892" s="25">
        <f>Parameters!W947</f>
        <v>0</v>
      </c>
      <c r="Z1892" s="23">
        <f>Parameters!X947</f>
        <v>0</v>
      </c>
      <c r="AA1892" s="27">
        <f>Parameters!Y947</f>
        <v>0</v>
      </c>
      <c r="AB1892" s="28">
        <f>Parameters!Z947</f>
        <v>0</v>
      </c>
      <c r="AC1892" s="23">
        <f>Parameters!AA947</f>
        <v>0</v>
      </c>
    </row>
    <row r="1893" spans="1:29">
      <c r="A1893" s="29" t="str">
        <f>UPPER(A1892)</f>
        <v>0</v>
      </c>
      <c r="B1893" s="29">
        <f>B1892</f>
        <v>0</v>
      </c>
      <c r="C1893" s="30">
        <f>C1892</f>
        <v>0</v>
      </c>
      <c r="D1893" s="30">
        <f>D1892</f>
        <v>0</v>
      </c>
      <c r="E1893" s="29">
        <f>E1892</f>
        <v>0</v>
      </c>
      <c r="F1893" s="29">
        <f>F1892</f>
        <v>0</v>
      </c>
      <c r="G1893" s="29" t="e">
        <f>IF(C1892=1,IF(D1892="BUY",E1892+(ROUND(F1892*G1892/B1892,0)*B1892),E1892-(ROUND(F1892*G1892/B1892,0)*B1892)),IF(D1892="BUY",E1892-(ROUND(F1892*G1892/B1892,0)*B1892),E1892+(ROUND(F1892*G1892/B1892,0)*B1892)))</f>
        <v>#DIV/0!</v>
      </c>
      <c r="H1893" s="29" t="e">
        <f>IF(C1892=1,IF(D1892="BUY",G1893-(ROUND(F1892*H1892/B1892,0)*B1892),G1893+(ROUND(F1892*H1892/B1892,0)*B1892)),IF(D1892="BUY",G1893+(ROUND(F1892*H1892/B1892,0)*B1892),G1893-(ROUND(F1892*H1892/B1892,0)*B1892)))</f>
        <v>#DIV/0!</v>
      </c>
      <c r="I1893" s="29" t="e">
        <f>IF(D1892="BUY",G1893+(ROUND(F1892*I1892/(B1892*100),0)*B1892),G1893-(ROUND(F1892*I1892/(B1892*100),0)*B1892))</f>
        <v>#DIV/0!</v>
      </c>
      <c r="J1893" s="29" t="e">
        <f>IF(C1892=1,IF(D1892="BUY",E1892+(ROUND(F1892*J1892/B1892,0)*B1892),E1892-(ROUND(F1892*J1892/B1892,0)*B1892)),IF(D1892="BUY",E1892-(ROUND(F1892*J1892/B1892,0)*B1892),E1892+(ROUND(F1892*J1892/B1892,0)*B1892)))</f>
        <v>#DIV/0!</v>
      </c>
      <c r="K1893" s="29" t="e">
        <f>IF(C1892=1,IF(D1892="BUY",E1892-(ROUND(F1892*K1892/B1892,0)*B1892),E1892+(ROUND(F1892*K1892/B1892,0)*B1892)),IF(D1892="BUY",E1892-(ROUND(F1892*K1892/B1892,0)*B1892),E1892+(ROUND(F1892*K1892/B1892,0)*B1892)))</f>
        <v>#DIV/0!</v>
      </c>
      <c r="L1893" s="29" t="e">
        <f t="shared" ref="L1893" si="2834">IF(D1893="BUY",I1893+(R1893*B1893),I1893-(R1893*B1893))</f>
        <v>#DIV/0!</v>
      </c>
      <c r="M1893" s="29" t="e">
        <f>IF(D1892="BUY",E1892+(ROUND(F1892*M1892/B1892,0)*B1892),E1892-(ROUND(F1892*M1892/B1892,0)*B1892))</f>
        <v>#DIV/0!</v>
      </c>
      <c r="N1893" s="29" t="e">
        <f>IF(D1892="BUY",E1892-(ROUND(F1892*N1892/B1892,0)*B1892),E1892+(ROUND(F1892*N1892/B1892,0)*B1892))</f>
        <v>#DIV/0!</v>
      </c>
      <c r="O1893" s="31" t="e">
        <f>IF(D1893="BUY",N1893-VLOOKUP(A1893,Symbols!A$1:D$1000,4,FALSE),N1893+VLOOKUP(A1893,Symbols!A$1:D$1000,4,FALSE))</f>
        <v>#DIV/0!</v>
      </c>
      <c r="P1893" s="29">
        <f>P1892</f>
        <v>0</v>
      </c>
      <c r="Q1893" s="29">
        <f>Q1892</f>
        <v>0</v>
      </c>
      <c r="R1893" s="29">
        <f>R1892</f>
        <v>0</v>
      </c>
      <c r="S1893" s="29">
        <f>S1892</f>
        <v>0</v>
      </c>
      <c r="T1893" s="29">
        <f>T1892</f>
        <v>0</v>
      </c>
      <c r="U1893" s="29" t="e">
        <f>DATEDIF(DATE(1970,1,1),U1892,"D")*86400</f>
        <v>#NUM!</v>
      </c>
      <c r="V1893" s="29">
        <f>HOUR(V1892)*3600+MINUTE(V1892)*60+SECOND(V1892)</f>
        <v>0</v>
      </c>
      <c r="W1893" s="29" t="e">
        <f>DATEDIF(DATE(1970,1,1),W1892,"D")*86400</f>
        <v>#NUM!</v>
      </c>
      <c r="X1893" s="29">
        <f>HOUR(X1892)*3600+MINUTE(X1892)*60+SECOND(X1892)</f>
        <v>0</v>
      </c>
      <c r="Y1893" s="31">
        <f>(Y1892*B1893)</f>
        <v>0</v>
      </c>
      <c r="Z1893" s="29">
        <f>Z1892</f>
        <v>0</v>
      </c>
      <c r="AA1893" s="29" t="e">
        <f>DATEDIF(DATE(1970,1,1),AA1892,"D")*86400</f>
        <v>#NUM!</v>
      </c>
      <c r="AB1893" s="29">
        <f>HOUR(AB1892)*3600+MINUTE(AB1892)*60+SECOND(AB1892)</f>
        <v>0</v>
      </c>
      <c r="AC1893" s="29">
        <f>AC1892</f>
        <v>0</v>
      </c>
    </row>
    <row r="1894" spans="1:29">
      <c r="A1894" s="23">
        <f>Parameters!A948</f>
        <v>0</v>
      </c>
      <c r="B1894" s="23">
        <f>Parameters!B948</f>
        <v>0</v>
      </c>
      <c r="C1894" s="24">
        <f>Parameters!C948</f>
        <v>0</v>
      </c>
      <c r="D1894" s="24">
        <f>Parameters!D948</f>
        <v>0</v>
      </c>
      <c r="E1894" s="23">
        <f>Parameters!E948</f>
        <v>0</v>
      </c>
      <c r="F1894" s="23">
        <f>Parameters!F948</f>
        <v>0</v>
      </c>
      <c r="G1894" s="25">
        <f>Parameters!G948</f>
        <v>0</v>
      </c>
      <c r="H1894" s="25">
        <f>Parameters!H948</f>
        <v>0</v>
      </c>
      <c r="I1894" s="25">
        <f>Parameters!I948</f>
        <v>0</v>
      </c>
      <c r="J1894" s="25">
        <f>Parameters!J948</f>
        <v>0</v>
      </c>
      <c r="K1894" s="25">
        <f>Parameters!K948</f>
        <v>0</v>
      </c>
      <c r="L1894" s="26" t="e">
        <f t="shared" ref="L1894" si="2835">L1895</f>
        <v>#DIV/0!</v>
      </c>
      <c r="M1894" s="25">
        <f>Parameters!L948</f>
        <v>0</v>
      </c>
      <c r="N1894" s="25">
        <f>Parameters!M948</f>
        <v>0</v>
      </c>
      <c r="O1894" s="26" t="e">
        <f t="shared" ref="O1894" si="2836">O1895</f>
        <v>#DIV/0!</v>
      </c>
      <c r="P1894" s="23">
        <f>Parameters!N948</f>
        <v>0</v>
      </c>
      <c r="Q1894" s="23">
        <f>Parameters!O948</f>
        <v>0</v>
      </c>
      <c r="R1894" s="23">
        <f>Parameters!P948</f>
        <v>0</v>
      </c>
      <c r="S1894" s="23">
        <f>Parameters!Q948</f>
        <v>0</v>
      </c>
      <c r="T1894" s="23">
        <f>Parameters!R948</f>
        <v>0</v>
      </c>
      <c r="U1894" s="27">
        <f>Parameters!S948</f>
        <v>0</v>
      </c>
      <c r="V1894" s="28">
        <f>Parameters!T948</f>
        <v>0</v>
      </c>
      <c r="W1894" s="27">
        <f>Parameters!U948</f>
        <v>0</v>
      </c>
      <c r="X1894" s="28">
        <f>Parameters!V948</f>
        <v>0</v>
      </c>
      <c r="Y1894" s="25">
        <f>Parameters!W948</f>
        <v>0</v>
      </c>
      <c r="Z1894" s="23">
        <f>Parameters!X948</f>
        <v>0</v>
      </c>
      <c r="AA1894" s="27">
        <f>Parameters!Y948</f>
        <v>0</v>
      </c>
      <c r="AB1894" s="28">
        <f>Parameters!Z948</f>
        <v>0</v>
      </c>
      <c r="AC1894" s="23">
        <f>Parameters!AA948</f>
        <v>0</v>
      </c>
    </row>
    <row r="1895" spans="1:29">
      <c r="A1895" s="29" t="str">
        <f>UPPER(A1894)</f>
        <v>0</v>
      </c>
      <c r="B1895" s="29">
        <f>B1894</f>
        <v>0</v>
      </c>
      <c r="C1895" s="30">
        <f>C1894</f>
        <v>0</v>
      </c>
      <c r="D1895" s="30">
        <f>D1894</f>
        <v>0</v>
      </c>
      <c r="E1895" s="29">
        <f>E1894</f>
        <v>0</v>
      </c>
      <c r="F1895" s="29">
        <f>F1894</f>
        <v>0</v>
      </c>
      <c r="G1895" s="29" t="e">
        <f>IF(C1894=1,IF(D1894="BUY",E1894+(ROUND(F1894*G1894/B1894,0)*B1894),E1894-(ROUND(F1894*G1894/B1894,0)*B1894)),IF(D1894="BUY",E1894-(ROUND(F1894*G1894/B1894,0)*B1894),E1894+(ROUND(F1894*G1894/B1894,0)*B1894)))</f>
        <v>#DIV/0!</v>
      </c>
      <c r="H1895" s="29" t="e">
        <f>IF(C1894=1,IF(D1894="BUY",G1895-(ROUND(F1894*H1894/B1894,0)*B1894),G1895+(ROUND(F1894*H1894/B1894,0)*B1894)),IF(D1894="BUY",G1895+(ROUND(F1894*H1894/B1894,0)*B1894),G1895-(ROUND(F1894*H1894/B1894,0)*B1894)))</f>
        <v>#DIV/0!</v>
      </c>
      <c r="I1895" s="29" t="e">
        <f>IF(D1894="BUY",G1895+(ROUND(F1894*I1894/(B1894*100),0)*B1894),G1895-(ROUND(F1894*I1894/(B1894*100),0)*B1894))</f>
        <v>#DIV/0!</v>
      </c>
      <c r="J1895" s="29" t="e">
        <f>IF(C1894=1,IF(D1894="BUY",E1894+(ROUND(F1894*J1894/B1894,0)*B1894),E1894-(ROUND(F1894*J1894/B1894,0)*B1894)),IF(D1894="BUY",E1894-(ROUND(F1894*J1894/B1894,0)*B1894),E1894+(ROUND(F1894*J1894/B1894,0)*B1894)))</f>
        <v>#DIV/0!</v>
      </c>
      <c r="K1895" s="29" t="e">
        <f>IF(C1894=1,IF(D1894="BUY",E1894-(ROUND(F1894*K1894/B1894,0)*B1894),E1894+(ROUND(F1894*K1894/B1894,0)*B1894)),IF(D1894="BUY",E1894-(ROUND(F1894*K1894/B1894,0)*B1894),E1894+(ROUND(F1894*K1894/B1894,0)*B1894)))</f>
        <v>#DIV/0!</v>
      </c>
      <c r="L1895" s="29" t="e">
        <f t="shared" ref="L1895" si="2837">IF(D1895="BUY",I1895+(R1895*B1895),I1895-(R1895*B1895))</f>
        <v>#DIV/0!</v>
      </c>
      <c r="M1895" s="29" t="e">
        <f>IF(D1894="BUY",E1894+(ROUND(F1894*M1894/B1894,0)*B1894),E1894-(ROUND(F1894*M1894/B1894,0)*B1894))</f>
        <v>#DIV/0!</v>
      </c>
      <c r="N1895" s="29" t="e">
        <f>IF(D1894="BUY",E1894-(ROUND(F1894*N1894/B1894,0)*B1894),E1894+(ROUND(F1894*N1894/B1894,0)*B1894))</f>
        <v>#DIV/0!</v>
      </c>
      <c r="O1895" s="31" t="e">
        <f>IF(D1895="BUY",N1895-VLOOKUP(A1895,Symbols!A$1:D$1000,4,FALSE),N1895+VLOOKUP(A1895,Symbols!A$1:D$1000,4,FALSE))</f>
        <v>#DIV/0!</v>
      </c>
      <c r="P1895" s="29">
        <f>P1894</f>
        <v>0</v>
      </c>
      <c r="Q1895" s="29">
        <f>Q1894</f>
        <v>0</v>
      </c>
      <c r="R1895" s="29">
        <f>R1894</f>
        <v>0</v>
      </c>
      <c r="S1895" s="29">
        <f>S1894</f>
        <v>0</v>
      </c>
      <c r="T1895" s="29">
        <f>T1894</f>
        <v>0</v>
      </c>
      <c r="U1895" s="29" t="e">
        <f>DATEDIF(DATE(1970,1,1),U1894,"D")*86400</f>
        <v>#NUM!</v>
      </c>
      <c r="V1895" s="29">
        <f>HOUR(V1894)*3600+MINUTE(V1894)*60+SECOND(V1894)</f>
        <v>0</v>
      </c>
      <c r="W1895" s="29" t="e">
        <f>DATEDIF(DATE(1970,1,1),W1894,"D")*86400</f>
        <v>#NUM!</v>
      </c>
      <c r="X1895" s="29">
        <f>HOUR(X1894)*3600+MINUTE(X1894)*60+SECOND(X1894)</f>
        <v>0</v>
      </c>
      <c r="Y1895" s="31">
        <f>(Y1894*B1895)</f>
        <v>0</v>
      </c>
      <c r="Z1895" s="29">
        <f>Z1894</f>
        <v>0</v>
      </c>
      <c r="AA1895" s="29" t="e">
        <f>DATEDIF(DATE(1970,1,1),AA1894,"D")*86400</f>
        <v>#NUM!</v>
      </c>
      <c r="AB1895" s="29">
        <f>HOUR(AB1894)*3600+MINUTE(AB1894)*60+SECOND(AB1894)</f>
        <v>0</v>
      </c>
      <c r="AC1895" s="29">
        <f>AC1894</f>
        <v>0</v>
      </c>
    </row>
    <row r="1896" spans="1:29">
      <c r="A1896" s="23">
        <f>Parameters!A949</f>
        <v>0</v>
      </c>
      <c r="B1896" s="23">
        <f>Parameters!B949</f>
        <v>0</v>
      </c>
      <c r="C1896" s="24">
        <f>Parameters!C949</f>
        <v>0</v>
      </c>
      <c r="D1896" s="24">
        <f>Parameters!D949</f>
        <v>0</v>
      </c>
      <c r="E1896" s="23">
        <f>Parameters!E949</f>
        <v>0</v>
      </c>
      <c r="F1896" s="23">
        <f>Parameters!F949</f>
        <v>0</v>
      </c>
      <c r="G1896" s="25">
        <f>Parameters!G949</f>
        <v>0</v>
      </c>
      <c r="H1896" s="25">
        <f>Parameters!H949</f>
        <v>0</v>
      </c>
      <c r="I1896" s="25">
        <f>Parameters!I949</f>
        <v>0</v>
      </c>
      <c r="J1896" s="25">
        <f>Parameters!J949</f>
        <v>0</v>
      </c>
      <c r="K1896" s="25">
        <f>Parameters!K949</f>
        <v>0</v>
      </c>
      <c r="L1896" s="26" t="e">
        <f t="shared" ref="L1896" si="2838">L1897</f>
        <v>#DIV/0!</v>
      </c>
      <c r="M1896" s="25">
        <f>Parameters!L949</f>
        <v>0</v>
      </c>
      <c r="N1896" s="25">
        <f>Parameters!M949</f>
        <v>0</v>
      </c>
      <c r="O1896" s="26" t="e">
        <f t="shared" ref="O1896" si="2839">O1897</f>
        <v>#DIV/0!</v>
      </c>
      <c r="P1896" s="23">
        <f>Parameters!N949</f>
        <v>0</v>
      </c>
      <c r="Q1896" s="23">
        <f>Parameters!O949</f>
        <v>0</v>
      </c>
      <c r="R1896" s="23">
        <f>Parameters!P949</f>
        <v>0</v>
      </c>
      <c r="S1896" s="23">
        <f>Parameters!Q949</f>
        <v>0</v>
      </c>
      <c r="T1896" s="23">
        <f>Parameters!R949</f>
        <v>0</v>
      </c>
      <c r="U1896" s="27">
        <f>Parameters!S949</f>
        <v>0</v>
      </c>
      <c r="V1896" s="28">
        <f>Parameters!T949</f>
        <v>0</v>
      </c>
      <c r="W1896" s="27">
        <f>Parameters!U949</f>
        <v>0</v>
      </c>
      <c r="X1896" s="28">
        <f>Parameters!V949</f>
        <v>0</v>
      </c>
      <c r="Y1896" s="25">
        <f>Parameters!W949</f>
        <v>0</v>
      </c>
      <c r="Z1896" s="23">
        <f>Parameters!X949</f>
        <v>0</v>
      </c>
      <c r="AA1896" s="27">
        <f>Parameters!Y949</f>
        <v>0</v>
      </c>
      <c r="AB1896" s="28">
        <f>Parameters!Z949</f>
        <v>0</v>
      </c>
      <c r="AC1896" s="23">
        <f>Parameters!AA949</f>
        <v>0</v>
      </c>
    </row>
    <row r="1897" spans="1:29">
      <c r="A1897" s="29" t="str">
        <f>UPPER(A1896)</f>
        <v>0</v>
      </c>
      <c r="B1897" s="29">
        <f>B1896</f>
        <v>0</v>
      </c>
      <c r="C1897" s="30">
        <f>C1896</f>
        <v>0</v>
      </c>
      <c r="D1897" s="30">
        <f>D1896</f>
        <v>0</v>
      </c>
      <c r="E1897" s="29">
        <f>E1896</f>
        <v>0</v>
      </c>
      <c r="F1897" s="29">
        <f>F1896</f>
        <v>0</v>
      </c>
      <c r="G1897" s="29" t="e">
        <f>IF(C1896=1,IF(D1896="BUY",E1896+(ROUND(F1896*G1896/B1896,0)*B1896),E1896-(ROUND(F1896*G1896/B1896,0)*B1896)),IF(D1896="BUY",E1896-(ROUND(F1896*G1896/B1896,0)*B1896),E1896+(ROUND(F1896*G1896/B1896,0)*B1896)))</f>
        <v>#DIV/0!</v>
      </c>
      <c r="H1897" s="29" t="e">
        <f>IF(C1896=1,IF(D1896="BUY",G1897-(ROUND(F1896*H1896/B1896,0)*B1896),G1897+(ROUND(F1896*H1896/B1896,0)*B1896)),IF(D1896="BUY",G1897+(ROUND(F1896*H1896/B1896,0)*B1896),G1897-(ROUND(F1896*H1896/B1896,0)*B1896)))</f>
        <v>#DIV/0!</v>
      </c>
      <c r="I1897" s="29" t="e">
        <f>IF(D1896="BUY",G1897+(ROUND(F1896*I1896/(B1896*100),0)*B1896),G1897-(ROUND(F1896*I1896/(B1896*100),0)*B1896))</f>
        <v>#DIV/0!</v>
      </c>
      <c r="J1897" s="29" t="e">
        <f>IF(C1896=1,IF(D1896="BUY",E1896+(ROUND(F1896*J1896/B1896,0)*B1896),E1896-(ROUND(F1896*J1896/B1896,0)*B1896)),IF(D1896="BUY",E1896-(ROUND(F1896*J1896/B1896,0)*B1896),E1896+(ROUND(F1896*J1896/B1896,0)*B1896)))</f>
        <v>#DIV/0!</v>
      </c>
      <c r="K1897" s="29" t="e">
        <f>IF(C1896=1,IF(D1896="BUY",E1896-(ROUND(F1896*K1896/B1896,0)*B1896),E1896+(ROUND(F1896*K1896/B1896,0)*B1896)),IF(D1896="BUY",E1896-(ROUND(F1896*K1896/B1896,0)*B1896),E1896+(ROUND(F1896*K1896/B1896,0)*B1896)))</f>
        <v>#DIV/0!</v>
      </c>
      <c r="L1897" s="29" t="e">
        <f t="shared" ref="L1897" si="2840">IF(D1897="BUY",I1897+(R1897*B1897),I1897-(R1897*B1897))</f>
        <v>#DIV/0!</v>
      </c>
      <c r="M1897" s="29" t="e">
        <f>IF(D1896="BUY",E1896+(ROUND(F1896*M1896/B1896,0)*B1896),E1896-(ROUND(F1896*M1896/B1896,0)*B1896))</f>
        <v>#DIV/0!</v>
      </c>
      <c r="N1897" s="29" t="e">
        <f>IF(D1896="BUY",E1896-(ROUND(F1896*N1896/B1896,0)*B1896),E1896+(ROUND(F1896*N1896/B1896,0)*B1896))</f>
        <v>#DIV/0!</v>
      </c>
      <c r="O1897" s="31" t="e">
        <f>IF(D1897="BUY",N1897-VLOOKUP(A1897,Symbols!A$1:D$1000,4,FALSE),N1897+VLOOKUP(A1897,Symbols!A$1:D$1000,4,FALSE))</f>
        <v>#DIV/0!</v>
      </c>
      <c r="P1897" s="29">
        <f>P1896</f>
        <v>0</v>
      </c>
      <c r="Q1897" s="29">
        <f>Q1896</f>
        <v>0</v>
      </c>
      <c r="R1897" s="29">
        <f>R1896</f>
        <v>0</v>
      </c>
      <c r="S1897" s="29">
        <f>S1896</f>
        <v>0</v>
      </c>
      <c r="T1897" s="29">
        <f>T1896</f>
        <v>0</v>
      </c>
      <c r="U1897" s="29" t="e">
        <f>DATEDIF(DATE(1970,1,1),U1896,"D")*86400</f>
        <v>#NUM!</v>
      </c>
      <c r="V1897" s="29">
        <f>HOUR(V1896)*3600+MINUTE(V1896)*60+SECOND(V1896)</f>
        <v>0</v>
      </c>
      <c r="W1897" s="29" t="e">
        <f>DATEDIF(DATE(1970,1,1),W1896,"D")*86400</f>
        <v>#NUM!</v>
      </c>
      <c r="X1897" s="29">
        <f>HOUR(X1896)*3600+MINUTE(X1896)*60+SECOND(X1896)</f>
        <v>0</v>
      </c>
      <c r="Y1897" s="31">
        <f>(Y1896*B1897)</f>
        <v>0</v>
      </c>
      <c r="Z1897" s="29">
        <f>Z1896</f>
        <v>0</v>
      </c>
      <c r="AA1897" s="29" t="e">
        <f>DATEDIF(DATE(1970,1,1),AA1896,"D")*86400</f>
        <v>#NUM!</v>
      </c>
      <c r="AB1897" s="29">
        <f>HOUR(AB1896)*3600+MINUTE(AB1896)*60+SECOND(AB1896)</f>
        <v>0</v>
      </c>
      <c r="AC1897" s="29">
        <f>AC1896</f>
        <v>0</v>
      </c>
    </row>
    <row r="1898" spans="1:29">
      <c r="A1898" s="23">
        <f>Parameters!A950</f>
        <v>0</v>
      </c>
      <c r="B1898" s="23">
        <f>Parameters!B950</f>
        <v>0</v>
      </c>
      <c r="C1898" s="24">
        <f>Parameters!C950</f>
        <v>0</v>
      </c>
      <c r="D1898" s="24">
        <f>Parameters!D950</f>
        <v>0</v>
      </c>
      <c r="E1898" s="23">
        <f>Parameters!E950</f>
        <v>0</v>
      </c>
      <c r="F1898" s="23">
        <f>Parameters!F950</f>
        <v>0</v>
      </c>
      <c r="G1898" s="25">
        <f>Parameters!G950</f>
        <v>0</v>
      </c>
      <c r="H1898" s="25">
        <f>Parameters!H950</f>
        <v>0</v>
      </c>
      <c r="I1898" s="25">
        <f>Parameters!I950</f>
        <v>0</v>
      </c>
      <c r="J1898" s="25">
        <f>Parameters!J950</f>
        <v>0</v>
      </c>
      <c r="K1898" s="25">
        <f>Parameters!K950</f>
        <v>0</v>
      </c>
      <c r="L1898" s="26" t="e">
        <f t="shared" ref="L1898" si="2841">L1899</f>
        <v>#DIV/0!</v>
      </c>
      <c r="M1898" s="25">
        <f>Parameters!L950</f>
        <v>0</v>
      </c>
      <c r="N1898" s="25">
        <f>Parameters!M950</f>
        <v>0</v>
      </c>
      <c r="O1898" s="26" t="e">
        <f t="shared" ref="O1898" si="2842">O1899</f>
        <v>#DIV/0!</v>
      </c>
      <c r="P1898" s="23">
        <f>Parameters!N950</f>
        <v>0</v>
      </c>
      <c r="Q1898" s="23">
        <f>Parameters!O950</f>
        <v>0</v>
      </c>
      <c r="R1898" s="23">
        <f>Parameters!P950</f>
        <v>0</v>
      </c>
      <c r="S1898" s="23">
        <f>Parameters!Q950</f>
        <v>0</v>
      </c>
      <c r="T1898" s="23">
        <f>Parameters!R950</f>
        <v>0</v>
      </c>
      <c r="U1898" s="27">
        <f>Parameters!S950</f>
        <v>0</v>
      </c>
      <c r="V1898" s="28">
        <f>Parameters!T950</f>
        <v>0</v>
      </c>
      <c r="W1898" s="27">
        <f>Parameters!U950</f>
        <v>0</v>
      </c>
      <c r="X1898" s="28">
        <f>Parameters!V950</f>
        <v>0</v>
      </c>
      <c r="Y1898" s="25">
        <f>Parameters!W950</f>
        <v>0</v>
      </c>
      <c r="Z1898" s="23">
        <f>Parameters!X950</f>
        <v>0</v>
      </c>
      <c r="AA1898" s="27">
        <f>Parameters!Y950</f>
        <v>0</v>
      </c>
      <c r="AB1898" s="28">
        <f>Parameters!Z950</f>
        <v>0</v>
      </c>
      <c r="AC1898" s="23">
        <f>Parameters!AA950</f>
        <v>0</v>
      </c>
    </row>
    <row r="1899" spans="1:29">
      <c r="A1899" s="29" t="str">
        <f>UPPER(A1898)</f>
        <v>0</v>
      </c>
      <c r="B1899" s="29">
        <f>B1898</f>
        <v>0</v>
      </c>
      <c r="C1899" s="30">
        <f>C1898</f>
        <v>0</v>
      </c>
      <c r="D1899" s="30">
        <f>D1898</f>
        <v>0</v>
      </c>
      <c r="E1899" s="29">
        <f>E1898</f>
        <v>0</v>
      </c>
      <c r="F1899" s="29">
        <f>F1898</f>
        <v>0</v>
      </c>
      <c r="G1899" s="29" t="e">
        <f>IF(C1898=1,IF(D1898="BUY",E1898+(ROUND(F1898*G1898/B1898,0)*B1898),E1898-(ROUND(F1898*G1898/B1898,0)*B1898)),IF(D1898="BUY",E1898-(ROUND(F1898*G1898/B1898,0)*B1898),E1898+(ROUND(F1898*G1898/B1898,0)*B1898)))</f>
        <v>#DIV/0!</v>
      </c>
      <c r="H1899" s="29" t="e">
        <f>IF(C1898=1,IF(D1898="BUY",G1899-(ROUND(F1898*H1898/B1898,0)*B1898),G1899+(ROUND(F1898*H1898/B1898,0)*B1898)),IF(D1898="BUY",G1899+(ROUND(F1898*H1898/B1898,0)*B1898),G1899-(ROUND(F1898*H1898/B1898,0)*B1898)))</f>
        <v>#DIV/0!</v>
      </c>
      <c r="I1899" s="29" t="e">
        <f>IF(D1898="BUY",G1899+(ROUND(F1898*I1898/(B1898*100),0)*B1898),G1899-(ROUND(F1898*I1898/(B1898*100),0)*B1898))</f>
        <v>#DIV/0!</v>
      </c>
      <c r="J1899" s="29" t="e">
        <f>IF(C1898=1,IF(D1898="BUY",E1898+(ROUND(F1898*J1898/B1898,0)*B1898),E1898-(ROUND(F1898*J1898/B1898,0)*B1898)),IF(D1898="BUY",E1898-(ROUND(F1898*J1898/B1898,0)*B1898),E1898+(ROUND(F1898*J1898/B1898,0)*B1898)))</f>
        <v>#DIV/0!</v>
      </c>
      <c r="K1899" s="29" t="e">
        <f>IF(C1898=1,IF(D1898="BUY",E1898-(ROUND(F1898*K1898/B1898,0)*B1898),E1898+(ROUND(F1898*K1898/B1898,0)*B1898)),IF(D1898="BUY",E1898-(ROUND(F1898*K1898/B1898,0)*B1898),E1898+(ROUND(F1898*K1898/B1898,0)*B1898)))</f>
        <v>#DIV/0!</v>
      </c>
      <c r="L1899" s="29" t="e">
        <f t="shared" ref="L1899" si="2843">IF(D1899="BUY",I1899+(R1899*B1899),I1899-(R1899*B1899))</f>
        <v>#DIV/0!</v>
      </c>
      <c r="M1899" s="29" t="e">
        <f>IF(D1898="BUY",E1898+(ROUND(F1898*M1898/B1898,0)*B1898),E1898-(ROUND(F1898*M1898/B1898,0)*B1898))</f>
        <v>#DIV/0!</v>
      </c>
      <c r="N1899" s="29" t="e">
        <f>IF(D1898="BUY",E1898-(ROUND(F1898*N1898/B1898,0)*B1898),E1898+(ROUND(F1898*N1898/B1898,0)*B1898))</f>
        <v>#DIV/0!</v>
      </c>
      <c r="O1899" s="31" t="e">
        <f>IF(D1899="BUY",N1899-VLOOKUP(A1899,Symbols!A$1:D$1000,4,FALSE),N1899+VLOOKUP(A1899,Symbols!A$1:D$1000,4,FALSE))</f>
        <v>#DIV/0!</v>
      </c>
      <c r="P1899" s="29">
        <f>P1898</f>
        <v>0</v>
      </c>
      <c r="Q1899" s="29">
        <f>Q1898</f>
        <v>0</v>
      </c>
      <c r="R1899" s="29">
        <f>R1898</f>
        <v>0</v>
      </c>
      <c r="S1899" s="29">
        <f>S1898</f>
        <v>0</v>
      </c>
      <c r="T1899" s="29">
        <f>T1898</f>
        <v>0</v>
      </c>
      <c r="U1899" s="29" t="e">
        <f>DATEDIF(DATE(1970,1,1),U1898,"D")*86400</f>
        <v>#NUM!</v>
      </c>
      <c r="V1899" s="29">
        <f>HOUR(V1898)*3600+MINUTE(V1898)*60+SECOND(V1898)</f>
        <v>0</v>
      </c>
      <c r="W1899" s="29" t="e">
        <f>DATEDIF(DATE(1970,1,1),W1898,"D")*86400</f>
        <v>#NUM!</v>
      </c>
      <c r="X1899" s="29">
        <f>HOUR(X1898)*3600+MINUTE(X1898)*60+SECOND(X1898)</f>
        <v>0</v>
      </c>
      <c r="Y1899" s="31">
        <f>(Y1898*B1899)</f>
        <v>0</v>
      </c>
      <c r="Z1899" s="29">
        <f>Z1898</f>
        <v>0</v>
      </c>
      <c r="AA1899" s="29" t="e">
        <f>DATEDIF(DATE(1970,1,1),AA1898,"D")*86400</f>
        <v>#NUM!</v>
      </c>
      <c r="AB1899" s="29">
        <f>HOUR(AB1898)*3600+MINUTE(AB1898)*60+SECOND(AB1898)</f>
        <v>0</v>
      </c>
      <c r="AC1899" s="29">
        <f>AC1898</f>
        <v>0</v>
      </c>
    </row>
    <row r="1900" spans="1:29">
      <c r="A1900" s="23">
        <f>Parameters!A951</f>
        <v>0</v>
      </c>
      <c r="B1900" s="23">
        <f>Parameters!B951</f>
        <v>0</v>
      </c>
      <c r="C1900" s="24">
        <f>Parameters!C951</f>
        <v>0</v>
      </c>
      <c r="D1900" s="24">
        <f>Parameters!D951</f>
        <v>0</v>
      </c>
      <c r="E1900" s="23">
        <f>Parameters!E951</f>
        <v>0</v>
      </c>
      <c r="F1900" s="23">
        <f>Parameters!F951</f>
        <v>0</v>
      </c>
      <c r="G1900" s="25">
        <f>Parameters!G951</f>
        <v>0</v>
      </c>
      <c r="H1900" s="25">
        <f>Parameters!H951</f>
        <v>0</v>
      </c>
      <c r="I1900" s="25">
        <f>Parameters!I951</f>
        <v>0</v>
      </c>
      <c r="J1900" s="25">
        <f>Parameters!J951</f>
        <v>0</v>
      </c>
      <c r="K1900" s="25">
        <f>Parameters!K951</f>
        <v>0</v>
      </c>
      <c r="L1900" s="26" t="e">
        <f t="shared" ref="L1900" si="2844">L1901</f>
        <v>#DIV/0!</v>
      </c>
      <c r="M1900" s="25">
        <f>Parameters!L951</f>
        <v>0</v>
      </c>
      <c r="N1900" s="25">
        <f>Parameters!M951</f>
        <v>0</v>
      </c>
      <c r="O1900" s="26" t="e">
        <f t="shared" ref="O1900" si="2845">O1901</f>
        <v>#DIV/0!</v>
      </c>
      <c r="P1900" s="23">
        <f>Parameters!N951</f>
        <v>0</v>
      </c>
      <c r="Q1900" s="23">
        <f>Parameters!O951</f>
        <v>0</v>
      </c>
      <c r="R1900" s="23">
        <f>Parameters!P951</f>
        <v>0</v>
      </c>
      <c r="S1900" s="23">
        <f>Parameters!Q951</f>
        <v>0</v>
      </c>
      <c r="T1900" s="23">
        <f>Parameters!R951</f>
        <v>0</v>
      </c>
      <c r="U1900" s="27">
        <f>Parameters!S951</f>
        <v>0</v>
      </c>
      <c r="V1900" s="28">
        <f>Parameters!T951</f>
        <v>0</v>
      </c>
      <c r="W1900" s="27">
        <f>Parameters!U951</f>
        <v>0</v>
      </c>
      <c r="X1900" s="28">
        <f>Parameters!V951</f>
        <v>0</v>
      </c>
      <c r="Y1900" s="25">
        <f>Parameters!W951</f>
        <v>0</v>
      </c>
      <c r="Z1900" s="23">
        <f>Parameters!X951</f>
        <v>0</v>
      </c>
      <c r="AA1900" s="27">
        <f>Parameters!Y951</f>
        <v>0</v>
      </c>
      <c r="AB1900" s="28">
        <f>Parameters!Z951</f>
        <v>0</v>
      </c>
      <c r="AC1900" s="23">
        <f>Parameters!AA951</f>
        <v>0</v>
      </c>
    </row>
    <row r="1901" spans="1:29">
      <c r="A1901" s="29" t="str">
        <f>UPPER(A1900)</f>
        <v>0</v>
      </c>
      <c r="B1901" s="29">
        <f>B1900</f>
        <v>0</v>
      </c>
      <c r="C1901" s="30">
        <f>C1900</f>
        <v>0</v>
      </c>
      <c r="D1901" s="30">
        <f>D1900</f>
        <v>0</v>
      </c>
      <c r="E1901" s="29">
        <f>E1900</f>
        <v>0</v>
      </c>
      <c r="F1901" s="29">
        <f>F1900</f>
        <v>0</v>
      </c>
      <c r="G1901" s="29" t="e">
        <f>IF(C1900=1,IF(D1900="BUY",E1900+(ROUND(F1900*G1900/B1900,0)*B1900),E1900-(ROUND(F1900*G1900/B1900,0)*B1900)),IF(D1900="BUY",E1900-(ROUND(F1900*G1900/B1900,0)*B1900),E1900+(ROUND(F1900*G1900/B1900,0)*B1900)))</f>
        <v>#DIV/0!</v>
      </c>
      <c r="H1901" s="29" t="e">
        <f>IF(C1900=1,IF(D1900="BUY",G1901-(ROUND(F1900*H1900/B1900,0)*B1900),G1901+(ROUND(F1900*H1900/B1900,0)*B1900)),IF(D1900="BUY",G1901+(ROUND(F1900*H1900/B1900,0)*B1900),G1901-(ROUND(F1900*H1900/B1900,0)*B1900)))</f>
        <v>#DIV/0!</v>
      </c>
      <c r="I1901" s="29" t="e">
        <f>IF(D1900="BUY",G1901+(ROUND(F1900*I1900/(B1900*100),0)*B1900),G1901-(ROUND(F1900*I1900/(B1900*100),0)*B1900))</f>
        <v>#DIV/0!</v>
      </c>
      <c r="J1901" s="29" t="e">
        <f>IF(C1900=1,IF(D1900="BUY",E1900+(ROUND(F1900*J1900/B1900,0)*B1900),E1900-(ROUND(F1900*J1900/B1900,0)*B1900)),IF(D1900="BUY",E1900-(ROUND(F1900*J1900/B1900,0)*B1900),E1900+(ROUND(F1900*J1900/B1900,0)*B1900)))</f>
        <v>#DIV/0!</v>
      </c>
      <c r="K1901" s="29" t="e">
        <f>IF(C1900=1,IF(D1900="BUY",E1900-(ROUND(F1900*K1900/B1900,0)*B1900),E1900+(ROUND(F1900*K1900/B1900,0)*B1900)),IF(D1900="BUY",E1900-(ROUND(F1900*K1900/B1900,0)*B1900),E1900+(ROUND(F1900*K1900/B1900,0)*B1900)))</f>
        <v>#DIV/0!</v>
      </c>
      <c r="L1901" s="29" t="e">
        <f t="shared" ref="L1901" si="2846">IF(D1901="BUY",I1901+(R1901*B1901),I1901-(R1901*B1901))</f>
        <v>#DIV/0!</v>
      </c>
      <c r="M1901" s="29" t="e">
        <f>IF(D1900="BUY",E1900+(ROUND(F1900*M1900/B1900,0)*B1900),E1900-(ROUND(F1900*M1900/B1900,0)*B1900))</f>
        <v>#DIV/0!</v>
      </c>
      <c r="N1901" s="29" t="e">
        <f>IF(D1900="BUY",E1900-(ROUND(F1900*N1900/B1900,0)*B1900),E1900+(ROUND(F1900*N1900/B1900,0)*B1900))</f>
        <v>#DIV/0!</v>
      </c>
      <c r="O1901" s="31" t="e">
        <f>IF(D1901="BUY",N1901-VLOOKUP(A1901,Symbols!A$1:D$1000,4,FALSE),N1901+VLOOKUP(A1901,Symbols!A$1:D$1000,4,FALSE))</f>
        <v>#DIV/0!</v>
      </c>
      <c r="P1901" s="29">
        <f>P1900</f>
        <v>0</v>
      </c>
      <c r="Q1901" s="29">
        <f>Q1900</f>
        <v>0</v>
      </c>
      <c r="R1901" s="29">
        <f>R1900</f>
        <v>0</v>
      </c>
      <c r="S1901" s="29">
        <f>S1900</f>
        <v>0</v>
      </c>
      <c r="T1901" s="29">
        <f>T1900</f>
        <v>0</v>
      </c>
      <c r="U1901" s="29" t="e">
        <f>DATEDIF(DATE(1970,1,1),U1900,"D")*86400</f>
        <v>#NUM!</v>
      </c>
      <c r="V1901" s="29">
        <f>HOUR(V1900)*3600+MINUTE(V1900)*60+SECOND(V1900)</f>
        <v>0</v>
      </c>
      <c r="W1901" s="29" t="e">
        <f>DATEDIF(DATE(1970,1,1),W1900,"D")*86400</f>
        <v>#NUM!</v>
      </c>
      <c r="X1901" s="29">
        <f>HOUR(X1900)*3600+MINUTE(X1900)*60+SECOND(X1900)</f>
        <v>0</v>
      </c>
      <c r="Y1901" s="31">
        <f>(Y1900*B1901)</f>
        <v>0</v>
      </c>
      <c r="Z1901" s="29">
        <f>Z1900</f>
        <v>0</v>
      </c>
      <c r="AA1901" s="29" t="e">
        <f>DATEDIF(DATE(1970,1,1),AA1900,"D")*86400</f>
        <v>#NUM!</v>
      </c>
      <c r="AB1901" s="29">
        <f>HOUR(AB1900)*3600+MINUTE(AB1900)*60+SECOND(AB1900)</f>
        <v>0</v>
      </c>
      <c r="AC1901" s="29">
        <f>AC1900</f>
        <v>0</v>
      </c>
    </row>
    <row r="1902" spans="1:29">
      <c r="A1902" s="23">
        <f>Parameters!A952</f>
        <v>0</v>
      </c>
      <c r="B1902" s="23">
        <f>Parameters!B952</f>
        <v>0</v>
      </c>
      <c r="C1902" s="24">
        <f>Parameters!C952</f>
        <v>0</v>
      </c>
      <c r="D1902" s="24">
        <f>Parameters!D952</f>
        <v>0</v>
      </c>
      <c r="E1902" s="23">
        <f>Parameters!E952</f>
        <v>0</v>
      </c>
      <c r="F1902" s="23">
        <f>Parameters!F952</f>
        <v>0</v>
      </c>
      <c r="G1902" s="25">
        <f>Parameters!G952</f>
        <v>0</v>
      </c>
      <c r="H1902" s="25">
        <f>Parameters!H952</f>
        <v>0</v>
      </c>
      <c r="I1902" s="25">
        <f>Parameters!I952</f>
        <v>0</v>
      </c>
      <c r="J1902" s="25">
        <f>Parameters!J952</f>
        <v>0</v>
      </c>
      <c r="K1902" s="25">
        <f>Parameters!K952</f>
        <v>0</v>
      </c>
      <c r="L1902" s="26" t="e">
        <f t="shared" ref="L1902" si="2847">L1903</f>
        <v>#DIV/0!</v>
      </c>
      <c r="M1902" s="25">
        <f>Parameters!L952</f>
        <v>0</v>
      </c>
      <c r="N1902" s="25">
        <f>Parameters!M952</f>
        <v>0</v>
      </c>
      <c r="O1902" s="26" t="e">
        <f t="shared" ref="O1902" si="2848">O1903</f>
        <v>#DIV/0!</v>
      </c>
      <c r="P1902" s="23">
        <f>Parameters!N952</f>
        <v>0</v>
      </c>
      <c r="Q1902" s="23">
        <f>Parameters!O952</f>
        <v>0</v>
      </c>
      <c r="R1902" s="23">
        <f>Parameters!P952</f>
        <v>0</v>
      </c>
      <c r="S1902" s="23">
        <f>Parameters!Q952</f>
        <v>0</v>
      </c>
      <c r="T1902" s="23">
        <f>Parameters!R952</f>
        <v>0</v>
      </c>
      <c r="U1902" s="27">
        <f>Parameters!S952</f>
        <v>0</v>
      </c>
      <c r="V1902" s="28">
        <f>Parameters!T952</f>
        <v>0</v>
      </c>
      <c r="W1902" s="27">
        <f>Parameters!U952</f>
        <v>0</v>
      </c>
      <c r="X1902" s="28">
        <f>Parameters!V952</f>
        <v>0</v>
      </c>
      <c r="Y1902" s="25">
        <f>Parameters!W952</f>
        <v>0</v>
      </c>
      <c r="Z1902" s="23">
        <f>Parameters!X952</f>
        <v>0</v>
      </c>
      <c r="AA1902" s="27">
        <f>Parameters!Y952</f>
        <v>0</v>
      </c>
      <c r="AB1902" s="28">
        <f>Parameters!Z952</f>
        <v>0</v>
      </c>
      <c r="AC1902" s="23">
        <f>Parameters!AA952</f>
        <v>0</v>
      </c>
    </row>
    <row r="1903" spans="1:29">
      <c r="A1903" s="29" t="str">
        <f>UPPER(A1902)</f>
        <v>0</v>
      </c>
      <c r="B1903" s="29">
        <f>B1902</f>
        <v>0</v>
      </c>
      <c r="C1903" s="30">
        <f>C1902</f>
        <v>0</v>
      </c>
      <c r="D1903" s="30">
        <f>D1902</f>
        <v>0</v>
      </c>
      <c r="E1903" s="29">
        <f>E1902</f>
        <v>0</v>
      </c>
      <c r="F1903" s="29">
        <f>F1902</f>
        <v>0</v>
      </c>
      <c r="G1903" s="29" t="e">
        <f>IF(C1902=1,IF(D1902="BUY",E1902+(ROUND(F1902*G1902/B1902,0)*B1902),E1902-(ROUND(F1902*G1902/B1902,0)*B1902)),IF(D1902="BUY",E1902-(ROUND(F1902*G1902/B1902,0)*B1902),E1902+(ROUND(F1902*G1902/B1902,0)*B1902)))</f>
        <v>#DIV/0!</v>
      </c>
      <c r="H1903" s="29" t="e">
        <f>IF(C1902=1,IF(D1902="BUY",G1903-(ROUND(F1902*H1902/B1902,0)*B1902),G1903+(ROUND(F1902*H1902/B1902,0)*B1902)),IF(D1902="BUY",G1903+(ROUND(F1902*H1902/B1902,0)*B1902),G1903-(ROUND(F1902*H1902/B1902,0)*B1902)))</f>
        <v>#DIV/0!</v>
      </c>
      <c r="I1903" s="29" t="e">
        <f>IF(D1902="BUY",G1903+(ROUND(F1902*I1902/(B1902*100),0)*B1902),G1903-(ROUND(F1902*I1902/(B1902*100),0)*B1902))</f>
        <v>#DIV/0!</v>
      </c>
      <c r="J1903" s="29" t="e">
        <f>IF(C1902=1,IF(D1902="BUY",E1902+(ROUND(F1902*J1902/B1902,0)*B1902),E1902-(ROUND(F1902*J1902/B1902,0)*B1902)),IF(D1902="BUY",E1902-(ROUND(F1902*J1902/B1902,0)*B1902),E1902+(ROUND(F1902*J1902/B1902,0)*B1902)))</f>
        <v>#DIV/0!</v>
      </c>
      <c r="K1903" s="29" t="e">
        <f>IF(C1902=1,IF(D1902="BUY",E1902-(ROUND(F1902*K1902/B1902,0)*B1902),E1902+(ROUND(F1902*K1902/B1902,0)*B1902)),IF(D1902="BUY",E1902-(ROUND(F1902*K1902/B1902,0)*B1902),E1902+(ROUND(F1902*K1902/B1902,0)*B1902)))</f>
        <v>#DIV/0!</v>
      </c>
      <c r="L1903" s="29" t="e">
        <f t="shared" ref="L1903" si="2849">IF(D1903="BUY",I1903+(R1903*B1903),I1903-(R1903*B1903))</f>
        <v>#DIV/0!</v>
      </c>
      <c r="M1903" s="29" t="e">
        <f>IF(D1902="BUY",E1902+(ROUND(F1902*M1902/B1902,0)*B1902),E1902-(ROUND(F1902*M1902/B1902,0)*B1902))</f>
        <v>#DIV/0!</v>
      </c>
      <c r="N1903" s="29" t="e">
        <f>IF(D1902="BUY",E1902-(ROUND(F1902*N1902/B1902,0)*B1902),E1902+(ROUND(F1902*N1902/B1902,0)*B1902))</f>
        <v>#DIV/0!</v>
      </c>
      <c r="O1903" s="31" t="e">
        <f>IF(D1903="BUY",N1903-VLOOKUP(A1903,Symbols!A$1:D$1000,4,FALSE),N1903+VLOOKUP(A1903,Symbols!A$1:D$1000,4,FALSE))</f>
        <v>#DIV/0!</v>
      </c>
      <c r="P1903" s="29">
        <f>P1902</f>
        <v>0</v>
      </c>
      <c r="Q1903" s="29">
        <f>Q1902</f>
        <v>0</v>
      </c>
      <c r="R1903" s="29">
        <f>R1902</f>
        <v>0</v>
      </c>
      <c r="S1903" s="29">
        <f>S1902</f>
        <v>0</v>
      </c>
      <c r="T1903" s="29">
        <f>T1902</f>
        <v>0</v>
      </c>
      <c r="U1903" s="29" t="e">
        <f>DATEDIF(DATE(1970,1,1),U1902,"D")*86400</f>
        <v>#NUM!</v>
      </c>
      <c r="V1903" s="29">
        <f>HOUR(V1902)*3600+MINUTE(V1902)*60+SECOND(V1902)</f>
        <v>0</v>
      </c>
      <c r="W1903" s="29" t="e">
        <f>DATEDIF(DATE(1970,1,1),W1902,"D")*86400</f>
        <v>#NUM!</v>
      </c>
      <c r="X1903" s="29">
        <f>HOUR(X1902)*3600+MINUTE(X1902)*60+SECOND(X1902)</f>
        <v>0</v>
      </c>
      <c r="Y1903" s="31">
        <f>(Y1902*B1903)</f>
        <v>0</v>
      </c>
      <c r="Z1903" s="29">
        <f>Z1902</f>
        <v>0</v>
      </c>
      <c r="AA1903" s="29" t="e">
        <f>DATEDIF(DATE(1970,1,1),AA1902,"D")*86400</f>
        <v>#NUM!</v>
      </c>
      <c r="AB1903" s="29">
        <f>HOUR(AB1902)*3600+MINUTE(AB1902)*60+SECOND(AB1902)</f>
        <v>0</v>
      </c>
      <c r="AC1903" s="29">
        <f>AC1902</f>
        <v>0</v>
      </c>
    </row>
    <row r="1904" spans="1:29">
      <c r="A1904" s="23">
        <f>Parameters!A953</f>
        <v>0</v>
      </c>
      <c r="B1904" s="23">
        <f>Parameters!B953</f>
        <v>0</v>
      </c>
      <c r="C1904" s="24">
        <f>Parameters!C953</f>
        <v>0</v>
      </c>
      <c r="D1904" s="24">
        <f>Parameters!D953</f>
        <v>0</v>
      </c>
      <c r="E1904" s="23">
        <f>Parameters!E953</f>
        <v>0</v>
      </c>
      <c r="F1904" s="23">
        <f>Parameters!F953</f>
        <v>0</v>
      </c>
      <c r="G1904" s="25">
        <f>Parameters!G953</f>
        <v>0</v>
      </c>
      <c r="H1904" s="25">
        <f>Parameters!H953</f>
        <v>0</v>
      </c>
      <c r="I1904" s="25">
        <f>Parameters!I953</f>
        <v>0</v>
      </c>
      <c r="J1904" s="25">
        <f>Parameters!J953</f>
        <v>0</v>
      </c>
      <c r="K1904" s="25">
        <f>Parameters!K953</f>
        <v>0</v>
      </c>
      <c r="L1904" s="26" t="e">
        <f t="shared" ref="L1904" si="2850">L1905</f>
        <v>#DIV/0!</v>
      </c>
      <c r="M1904" s="25">
        <f>Parameters!L953</f>
        <v>0</v>
      </c>
      <c r="N1904" s="25">
        <f>Parameters!M953</f>
        <v>0</v>
      </c>
      <c r="O1904" s="26" t="e">
        <f t="shared" ref="O1904" si="2851">O1905</f>
        <v>#DIV/0!</v>
      </c>
      <c r="P1904" s="23">
        <f>Parameters!N953</f>
        <v>0</v>
      </c>
      <c r="Q1904" s="23">
        <f>Parameters!O953</f>
        <v>0</v>
      </c>
      <c r="R1904" s="23">
        <f>Parameters!P953</f>
        <v>0</v>
      </c>
      <c r="S1904" s="23">
        <f>Parameters!Q953</f>
        <v>0</v>
      </c>
      <c r="T1904" s="23">
        <f>Parameters!R953</f>
        <v>0</v>
      </c>
      <c r="U1904" s="27">
        <f>Parameters!S953</f>
        <v>0</v>
      </c>
      <c r="V1904" s="28">
        <f>Parameters!T953</f>
        <v>0</v>
      </c>
      <c r="W1904" s="27">
        <f>Parameters!U953</f>
        <v>0</v>
      </c>
      <c r="X1904" s="28">
        <f>Parameters!V953</f>
        <v>0</v>
      </c>
      <c r="Y1904" s="25">
        <f>Parameters!W953</f>
        <v>0</v>
      </c>
      <c r="Z1904" s="23">
        <f>Parameters!X953</f>
        <v>0</v>
      </c>
      <c r="AA1904" s="27">
        <f>Parameters!Y953</f>
        <v>0</v>
      </c>
      <c r="AB1904" s="28">
        <f>Parameters!Z953</f>
        <v>0</v>
      </c>
      <c r="AC1904" s="23">
        <f>Parameters!AA953</f>
        <v>0</v>
      </c>
    </row>
    <row r="1905" spans="1:29">
      <c r="A1905" s="29" t="str">
        <f>UPPER(A1904)</f>
        <v>0</v>
      </c>
      <c r="B1905" s="29">
        <f>B1904</f>
        <v>0</v>
      </c>
      <c r="C1905" s="30">
        <f>C1904</f>
        <v>0</v>
      </c>
      <c r="D1905" s="30">
        <f>D1904</f>
        <v>0</v>
      </c>
      <c r="E1905" s="29">
        <f>E1904</f>
        <v>0</v>
      </c>
      <c r="F1905" s="29">
        <f>F1904</f>
        <v>0</v>
      </c>
      <c r="G1905" s="29" t="e">
        <f>IF(C1904=1,IF(D1904="BUY",E1904+(ROUND(F1904*G1904/B1904,0)*B1904),E1904-(ROUND(F1904*G1904/B1904,0)*B1904)),IF(D1904="BUY",E1904-(ROUND(F1904*G1904/B1904,0)*B1904),E1904+(ROUND(F1904*G1904/B1904,0)*B1904)))</f>
        <v>#DIV/0!</v>
      </c>
      <c r="H1905" s="29" t="e">
        <f>IF(C1904=1,IF(D1904="BUY",G1905-(ROUND(F1904*H1904/B1904,0)*B1904),G1905+(ROUND(F1904*H1904/B1904,0)*B1904)),IF(D1904="BUY",G1905+(ROUND(F1904*H1904/B1904,0)*B1904),G1905-(ROUND(F1904*H1904/B1904,0)*B1904)))</f>
        <v>#DIV/0!</v>
      </c>
      <c r="I1905" s="29" t="e">
        <f>IF(D1904="BUY",G1905+(ROUND(F1904*I1904/(B1904*100),0)*B1904),G1905-(ROUND(F1904*I1904/(B1904*100),0)*B1904))</f>
        <v>#DIV/0!</v>
      </c>
      <c r="J1905" s="29" t="e">
        <f>IF(C1904=1,IF(D1904="BUY",E1904+(ROUND(F1904*J1904/B1904,0)*B1904),E1904-(ROUND(F1904*J1904/B1904,0)*B1904)),IF(D1904="BUY",E1904-(ROUND(F1904*J1904/B1904,0)*B1904),E1904+(ROUND(F1904*J1904/B1904,0)*B1904)))</f>
        <v>#DIV/0!</v>
      </c>
      <c r="K1905" s="29" t="e">
        <f>IF(C1904=1,IF(D1904="BUY",E1904-(ROUND(F1904*K1904/B1904,0)*B1904),E1904+(ROUND(F1904*K1904/B1904,0)*B1904)),IF(D1904="BUY",E1904-(ROUND(F1904*K1904/B1904,0)*B1904),E1904+(ROUND(F1904*K1904/B1904,0)*B1904)))</f>
        <v>#DIV/0!</v>
      </c>
      <c r="L1905" s="29" t="e">
        <f t="shared" ref="L1905" si="2852">IF(D1905="BUY",I1905+(R1905*B1905),I1905-(R1905*B1905))</f>
        <v>#DIV/0!</v>
      </c>
      <c r="M1905" s="29" t="e">
        <f>IF(D1904="BUY",E1904+(ROUND(F1904*M1904/B1904,0)*B1904),E1904-(ROUND(F1904*M1904/B1904,0)*B1904))</f>
        <v>#DIV/0!</v>
      </c>
      <c r="N1905" s="29" t="e">
        <f>IF(D1904="BUY",E1904-(ROUND(F1904*N1904/B1904,0)*B1904),E1904+(ROUND(F1904*N1904/B1904,0)*B1904))</f>
        <v>#DIV/0!</v>
      </c>
      <c r="O1905" s="31" t="e">
        <f>IF(D1905="BUY",N1905-VLOOKUP(A1905,Symbols!A$1:D$1000,4,FALSE),N1905+VLOOKUP(A1905,Symbols!A$1:D$1000,4,FALSE))</f>
        <v>#DIV/0!</v>
      </c>
      <c r="P1905" s="29">
        <f>P1904</f>
        <v>0</v>
      </c>
      <c r="Q1905" s="29">
        <f>Q1904</f>
        <v>0</v>
      </c>
      <c r="R1905" s="29">
        <f>R1904</f>
        <v>0</v>
      </c>
      <c r="S1905" s="29">
        <f>S1904</f>
        <v>0</v>
      </c>
      <c r="T1905" s="29">
        <f>T1904</f>
        <v>0</v>
      </c>
      <c r="U1905" s="29" t="e">
        <f>DATEDIF(DATE(1970,1,1),U1904,"D")*86400</f>
        <v>#NUM!</v>
      </c>
      <c r="V1905" s="29">
        <f>HOUR(V1904)*3600+MINUTE(V1904)*60+SECOND(V1904)</f>
        <v>0</v>
      </c>
      <c r="W1905" s="29" t="e">
        <f>DATEDIF(DATE(1970,1,1),W1904,"D")*86400</f>
        <v>#NUM!</v>
      </c>
      <c r="X1905" s="29">
        <f>HOUR(X1904)*3600+MINUTE(X1904)*60+SECOND(X1904)</f>
        <v>0</v>
      </c>
      <c r="Y1905" s="31">
        <f>(Y1904*B1905)</f>
        <v>0</v>
      </c>
      <c r="Z1905" s="29">
        <f>Z1904</f>
        <v>0</v>
      </c>
      <c r="AA1905" s="29" t="e">
        <f>DATEDIF(DATE(1970,1,1),AA1904,"D")*86400</f>
        <v>#NUM!</v>
      </c>
      <c r="AB1905" s="29">
        <f>HOUR(AB1904)*3600+MINUTE(AB1904)*60+SECOND(AB1904)</f>
        <v>0</v>
      </c>
      <c r="AC1905" s="29">
        <f>AC1904</f>
        <v>0</v>
      </c>
    </row>
    <row r="1906" spans="1:29">
      <c r="A1906" s="23">
        <f>Parameters!A954</f>
        <v>0</v>
      </c>
      <c r="B1906" s="23">
        <f>Parameters!B954</f>
        <v>0</v>
      </c>
      <c r="C1906" s="24">
        <f>Parameters!C954</f>
        <v>0</v>
      </c>
      <c r="D1906" s="24">
        <f>Parameters!D954</f>
        <v>0</v>
      </c>
      <c r="E1906" s="23">
        <f>Parameters!E954</f>
        <v>0</v>
      </c>
      <c r="F1906" s="23">
        <f>Parameters!F954</f>
        <v>0</v>
      </c>
      <c r="G1906" s="25">
        <f>Parameters!G954</f>
        <v>0</v>
      </c>
      <c r="H1906" s="25">
        <f>Parameters!H954</f>
        <v>0</v>
      </c>
      <c r="I1906" s="25">
        <f>Parameters!I954</f>
        <v>0</v>
      </c>
      <c r="J1906" s="25">
        <f>Parameters!J954</f>
        <v>0</v>
      </c>
      <c r="K1906" s="25">
        <f>Parameters!K954</f>
        <v>0</v>
      </c>
      <c r="L1906" s="26" t="e">
        <f t="shared" ref="L1906" si="2853">L1907</f>
        <v>#DIV/0!</v>
      </c>
      <c r="M1906" s="25">
        <f>Parameters!L954</f>
        <v>0</v>
      </c>
      <c r="N1906" s="25">
        <f>Parameters!M954</f>
        <v>0</v>
      </c>
      <c r="O1906" s="26" t="e">
        <f t="shared" ref="O1906" si="2854">O1907</f>
        <v>#DIV/0!</v>
      </c>
      <c r="P1906" s="23">
        <f>Parameters!N954</f>
        <v>0</v>
      </c>
      <c r="Q1906" s="23">
        <f>Parameters!O954</f>
        <v>0</v>
      </c>
      <c r="R1906" s="23">
        <f>Parameters!P954</f>
        <v>0</v>
      </c>
      <c r="S1906" s="23">
        <f>Parameters!Q954</f>
        <v>0</v>
      </c>
      <c r="T1906" s="23">
        <f>Parameters!R954</f>
        <v>0</v>
      </c>
      <c r="U1906" s="27">
        <f>Parameters!S954</f>
        <v>0</v>
      </c>
      <c r="V1906" s="28">
        <f>Parameters!T954</f>
        <v>0</v>
      </c>
      <c r="W1906" s="27">
        <f>Parameters!U954</f>
        <v>0</v>
      </c>
      <c r="X1906" s="28">
        <f>Parameters!V954</f>
        <v>0</v>
      </c>
      <c r="Y1906" s="25">
        <f>Parameters!W954</f>
        <v>0</v>
      </c>
      <c r="Z1906" s="23">
        <f>Parameters!X954</f>
        <v>0</v>
      </c>
      <c r="AA1906" s="27">
        <f>Parameters!Y954</f>
        <v>0</v>
      </c>
      <c r="AB1906" s="28">
        <f>Parameters!Z954</f>
        <v>0</v>
      </c>
      <c r="AC1906" s="23">
        <f>Parameters!AA954</f>
        <v>0</v>
      </c>
    </row>
    <row r="1907" spans="1:29">
      <c r="A1907" s="29" t="str">
        <f>UPPER(A1906)</f>
        <v>0</v>
      </c>
      <c r="B1907" s="29">
        <f>B1906</f>
        <v>0</v>
      </c>
      <c r="C1907" s="30">
        <f>C1906</f>
        <v>0</v>
      </c>
      <c r="D1907" s="30">
        <f>D1906</f>
        <v>0</v>
      </c>
      <c r="E1907" s="29">
        <f>E1906</f>
        <v>0</v>
      </c>
      <c r="F1907" s="29">
        <f>F1906</f>
        <v>0</v>
      </c>
      <c r="G1907" s="29" t="e">
        <f>IF(C1906=1,IF(D1906="BUY",E1906+(ROUND(F1906*G1906/B1906,0)*B1906),E1906-(ROUND(F1906*G1906/B1906,0)*B1906)),IF(D1906="BUY",E1906-(ROUND(F1906*G1906/B1906,0)*B1906),E1906+(ROUND(F1906*G1906/B1906,0)*B1906)))</f>
        <v>#DIV/0!</v>
      </c>
      <c r="H1907" s="29" t="e">
        <f>IF(C1906=1,IF(D1906="BUY",G1907-(ROUND(F1906*H1906/B1906,0)*B1906),G1907+(ROUND(F1906*H1906/B1906,0)*B1906)),IF(D1906="BUY",G1907+(ROUND(F1906*H1906/B1906,0)*B1906),G1907-(ROUND(F1906*H1906/B1906,0)*B1906)))</f>
        <v>#DIV/0!</v>
      </c>
      <c r="I1907" s="29" t="e">
        <f>IF(D1906="BUY",G1907+(ROUND(F1906*I1906/(B1906*100),0)*B1906),G1907-(ROUND(F1906*I1906/(B1906*100),0)*B1906))</f>
        <v>#DIV/0!</v>
      </c>
      <c r="J1907" s="29" t="e">
        <f>IF(C1906=1,IF(D1906="BUY",E1906+(ROUND(F1906*J1906/B1906,0)*B1906),E1906-(ROUND(F1906*J1906/B1906,0)*B1906)),IF(D1906="BUY",E1906-(ROUND(F1906*J1906/B1906,0)*B1906),E1906+(ROUND(F1906*J1906/B1906,0)*B1906)))</f>
        <v>#DIV/0!</v>
      </c>
      <c r="K1907" s="29" t="e">
        <f>IF(C1906=1,IF(D1906="BUY",E1906-(ROUND(F1906*K1906/B1906,0)*B1906),E1906+(ROUND(F1906*K1906/B1906,0)*B1906)),IF(D1906="BUY",E1906-(ROUND(F1906*K1906/B1906,0)*B1906),E1906+(ROUND(F1906*K1906/B1906,0)*B1906)))</f>
        <v>#DIV/0!</v>
      </c>
      <c r="L1907" s="29" t="e">
        <f t="shared" ref="L1907" si="2855">IF(D1907="BUY",I1907+(R1907*B1907),I1907-(R1907*B1907))</f>
        <v>#DIV/0!</v>
      </c>
      <c r="M1907" s="29" t="e">
        <f>IF(D1906="BUY",E1906+(ROUND(F1906*M1906/B1906,0)*B1906),E1906-(ROUND(F1906*M1906/B1906,0)*B1906))</f>
        <v>#DIV/0!</v>
      </c>
      <c r="N1907" s="29" t="e">
        <f>IF(D1906="BUY",E1906-(ROUND(F1906*N1906/B1906,0)*B1906),E1906+(ROUND(F1906*N1906/B1906,0)*B1906))</f>
        <v>#DIV/0!</v>
      </c>
      <c r="O1907" s="31" t="e">
        <f>IF(D1907="BUY",N1907-VLOOKUP(A1907,Symbols!A$1:D$1000,4,FALSE),N1907+VLOOKUP(A1907,Symbols!A$1:D$1000,4,FALSE))</f>
        <v>#DIV/0!</v>
      </c>
      <c r="P1907" s="29">
        <f>P1906</f>
        <v>0</v>
      </c>
      <c r="Q1907" s="29">
        <f>Q1906</f>
        <v>0</v>
      </c>
      <c r="R1907" s="29">
        <f>R1906</f>
        <v>0</v>
      </c>
      <c r="S1907" s="29">
        <f>S1906</f>
        <v>0</v>
      </c>
      <c r="T1907" s="29">
        <f>T1906</f>
        <v>0</v>
      </c>
      <c r="U1907" s="29" t="e">
        <f>DATEDIF(DATE(1970,1,1),U1906,"D")*86400</f>
        <v>#NUM!</v>
      </c>
      <c r="V1907" s="29">
        <f>HOUR(V1906)*3600+MINUTE(V1906)*60+SECOND(V1906)</f>
        <v>0</v>
      </c>
      <c r="W1907" s="29" t="e">
        <f>DATEDIF(DATE(1970,1,1),W1906,"D")*86400</f>
        <v>#NUM!</v>
      </c>
      <c r="X1907" s="29">
        <f>HOUR(X1906)*3600+MINUTE(X1906)*60+SECOND(X1906)</f>
        <v>0</v>
      </c>
      <c r="Y1907" s="31">
        <f>(Y1906*B1907)</f>
        <v>0</v>
      </c>
      <c r="Z1907" s="29">
        <f>Z1906</f>
        <v>0</v>
      </c>
      <c r="AA1907" s="29" t="e">
        <f>DATEDIF(DATE(1970,1,1),AA1906,"D")*86400</f>
        <v>#NUM!</v>
      </c>
      <c r="AB1907" s="29">
        <f>HOUR(AB1906)*3600+MINUTE(AB1906)*60+SECOND(AB1906)</f>
        <v>0</v>
      </c>
      <c r="AC1907" s="29">
        <f>AC1906</f>
        <v>0</v>
      </c>
    </row>
    <row r="1908" spans="1:29">
      <c r="A1908" s="23">
        <f>Parameters!A955</f>
        <v>0</v>
      </c>
      <c r="B1908" s="23">
        <f>Parameters!B955</f>
        <v>0</v>
      </c>
      <c r="C1908" s="24">
        <f>Parameters!C955</f>
        <v>0</v>
      </c>
      <c r="D1908" s="24">
        <f>Parameters!D955</f>
        <v>0</v>
      </c>
      <c r="E1908" s="23">
        <f>Parameters!E955</f>
        <v>0</v>
      </c>
      <c r="F1908" s="23">
        <f>Parameters!F955</f>
        <v>0</v>
      </c>
      <c r="G1908" s="25">
        <f>Parameters!G955</f>
        <v>0</v>
      </c>
      <c r="H1908" s="25">
        <f>Parameters!H955</f>
        <v>0</v>
      </c>
      <c r="I1908" s="25">
        <f>Parameters!I955</f>
        <v>0</v>
      </c>
      <c r="J1908" s="25">
        <f>Parameters!J955</f>
        <v>0</v>
      </c>
      <c r="K1908" s="25">
        <f>Parameters!K955</f>
        <v>0</v>
      </c>
      <c r="L1908" s="26" t="e">
        <f t="shared" ref="L1908" si="2856">L1909</f>
        <v>#DIV/0!</v>
      </c>
      <c r="M1908" s="25">
        <f>Parameters!L955</f>
        <v>0</v>
      </c>
      <c r="N1908" s="25">
        <f>Parameters!M955</f>
        <v>0</v>
      </c>
      <c r="O1908" s="26" t="e">
        <f t="shared" ref="O1908" si="2857">O1909</f>
        <v>#DIV/0!</v>
      </c>
      <c r="P1908" s="23">
        <f>Parameters!N955</f>
        <v>0</v>
      </c>
      <c r="Q1908" s="23">
        <f>Parameters!O955</f>
        <v>0</v>
      </c>
      <c r="R1908" s="23">
        <f>Parameters!P955</f>
        <v>0</v>
      </c>
      <c r="S1908" s="23">
        <f>Parameters!Q955</f>
        <v>0</v>
      </c>
      <c r="T1908" s="23">
        <f>Parameters!R955</f>
        <v>0</v>
      </c>
      <c r="U1908" s="27">
        <f>Parameters!S955</f>
        <v>0</v>
      </c>
      <c r="V1908" s="28">
        <f>Parameters!T955</f>
        <v>0</v>
      </c>
      <c r="W1908" s="27">
        <f>Parameters!U955</f>
        <v>0</v>
      </c>
      <c r="X1908" s="28">
        <f>Parameters!V955</f>
        <v>0</v>
      </c>
      <c r="Y1908" s="25">
        <f>Parameters!W955</f>
        <v>0</v>
      </c>
      <c r="Z1908" s="23">
        <f>Parameters!X955</f>
        <v>0</v>
      </c>
      <c r="AA1908" s="27">
        <f>Parameters!Y955</f>
        <v>0</v>
      </c>
      <c r="AB1908" s="28">
        <f>Parameters!Z955</f>
        <v>0</v>
      </c>
      <c r="AC1908" s="23">
        <f>Parameters!AA955</f>
        <v>0</v>
      </c>
    </row>
    <row r="1909" spans="1:29">
      <c r="A1909" s="29" t="str">
        <f>UPPER(A1908)</f>
        <v>0</v>
      </c>
      <c r="B1909" s="29">
        <f>B1908</f>
        <v>0</v>
      </c>
      <c r="C1909" s="30">
        <f>C1908</f>
        <v>0</v>
      </c>
      <c r="D1909" s="30">
        <f>D1908</f>
        <v>0</v>
      </c>
      <c r="E1909" s="29">
        <f>E1908</f>
        <v>0</v>
      </c>
      <c r="F1909" s="29">
        <f>F1908</f>
        <v>0</v>
      </c>
      <c r="G1909" s="29" t="e">
        <f>IF(C1908=1,IF(D1908="BUY",E1908+(ROUND(F1908*G1908/B1908,0)*B1908),E1908-(ROUND(F1908*G1908/B1908,0)*B1908)),IF(D1908="BUY",E1908-(ROUND(F1908*G1908/B1908,0)*B1908),E1908+(ROUND(F1908*G1908/B1908,0)*B1908)))</f>
        <v>#DIV/0!</v>
      </c>
      <c r="H1909" s="29" t="e">
        <f>IF(C1908=1,IF(D1908="BUY",G1909-(ROUND(F1908*H1908/B1908,0)*B1908),G1909+(ROUND(F1908*H1908/B1908,0)*B1908)),IF(D1908="BUY",G1909+(ROUND(F1908*H1908/B1908,0)*B1908),G1909-(ROUND(F1908*H1908/B1908,0)*B1908)))</f>
        <v>#DIV/0!</v>
      </c>
      <c r="I1909" s="29" t="e">
        <f>IF(D1908="BUY",G1909+(ROUND(F1908*I1908/(B1908*100),0)*B1908),G1909-(ROUND(F1908*I1908/(B1908*100),0)*B1908))</f>
        <v>#DIV/0!</v>
      </c>
      <c r="J1909" s="29" t="e">
        <f>IF(C1908=1,IF(D1908="BUY",E1908+(ROUND(F1908*J1908/B1908,0)*B1908),E1908-(ROUND(F1908*J1908/B1908,0)*B1908)),IF(D1908="BUY",E1908-(ROUND(F1908*J1908/B1908,0)*B1908),E1908+(ROUND(F1908*J1908/B1908,0)*B1908)))</f>
        <v>#DIV/0!</v>
      </c>
      <c r="K1909" s="29" t="e">
        <f>IF(C1908=1,IF(D1908="BUY",E1908-(ROUND(F1908*K1908/B1908,0)*B1908),E1908+(ROUND(F1908*K1908/B1908,0)*B1908)),IF(D1908="BUY",E1908-(ROUND(F1908*K1908/B1908,0)*B1908),E1908+(ROUND(F1908*K1908/B1908,0)*B1908)))</f>
        <v>#DIV/0!</v>
      </c>
      <c r="L1909" s="29" t="e">
        <f t="shared" ref="L1909" si="2858">IF(D1909="BUY",I1909+(R1909*B1909),I1909-(R1909*B1909))</f>
        <v>#DIV/0!</v>
      </c>
      <c r="M1909" s="29" t="e">
        <f>IF(D1908="BUY",E1908+(ROUND(F1908*M1908/B1908,0)*B1908),E1908-(ROUND(F1908*M1908/B1908,0)*B1908))</f>
        <v>#DIV/0!</v>
      </c>
      <c r="N1909" s="29" t="e">
        <f>IF(D1908="BUY",E1908-(ROUND(F1908*N1908/B1908,0)*B1908),E1908+(ROUND(F1908*N1908/B1908,0)*B1908))</f>
        <v>#DIV/0!</v>
      </c>
      <c r="O1909" s="31" t="e">
        <f>IF(D1909="BUY",N1909-VLOOKUP(A1909,Symbols!A$1:D$1000,4,FALSE),N1909+VLOOKUP(A1909,Symbols!A$1:D$1000,4,FALSE))</f>
        <v>#DIV/0!</v>
      </c>
      <c r="P1909" s="29">
        <f>P1908</f>
        <v>0</v>
      </c>
      <c r="Q1909" s="29">
        <f>Q1908</f>
        <v>0</v>
      </c>
      <c r="R1909" s="29">
        <f>R1908</f>
        <v>0</v>
      </c>
      <c r="S1909" s="29">
        <f>S1908</f>
        <v>0</v>
      </c>
      <c r="T1909" s="29">
        <f>T1908</f>
        <v>0</v>
      </c>
      <c r="U1909" s="29" t="e">
        <f>DATEDIF(DATE(1970,1,1),U1908,"D")*86400</f>
        <v>#NUM!</v>
      </c>
      <c r="V1909" s="29">
        <f>HOUR(V1908)*3600+MINUTE(V1908)*60+SECOND(V1908)</f>
        <v>0</v>
      </c>
      <c r="W1909" s="29" t="e">
        <f>DATEDIF(DATE(1970,1,1),W1908,"D")*86400</f>
        <v>#NUM!</v>
      </c>
      <c r="X1909" s="29">
        <f>HOUR(X1908)*3600+MINUTE(X1908)*60+SECOND(X1908)</f>
        <v>0</v>
      </c>
      <c r="Y1909" s="31">
        <f>(Y1908*B1909)</f>
        <v>0</v>
      </c>
      <c r="Z1909" s="29">
        <f>Z1908</f>
        <v>0</v>
      </c>
      <c r="AA1909" s="29" t="e">
        <f>DATEDIF(DATE(1970,1,1),AA1908,"D")*86400</f>
        <v>#NUM!</v>
      </c>
      <c r="AB1909" s="29">
        <f>HOUR(AB1908)*3600+MINUTE(AB1908)*60+SECOND(AB1908)</f>
        <v>0</v>
      </c>
      <c r="AC1909" s="29">
        <f>AC1908</f>
        <v>0</v>
      </c>
    </row>
    <row r="1910" spans="1:29">
      <c r="A1910" s="23">
        <f>Parameters!A956</f>
        <v>0</v>
      </c>
      <c r="B1910" s="23">
        <f>Parameters!B956</f>
        <v>0</v>
      </c>
      <c r="C1910" s="24">
        <f>Parameters!C956</f>
        <v>0</v>
      </c>
      <c r="D1910" s="24">
        <f>Parameters!D956</f>
        <v>0</v>
      </c>
      <c r="E1910" s="23">
        <f>Parameters!E956</f>
        <v>0</v>
      </c>
      <c r="F1910" s="23">
        <f>Parameters!F956</f>
        <v>0</v>
      </c>
      <c r="G1910" s="25">
        <f>Parameters!G956</f>
        <v>0</v>
      </c>
      <c r="H1910" s="25">
        <f>Parameters!H956</f>
        <v>0</v>
      </c>
      <c r="I1910" s="25">
        <f>Parameters!I956</f>
        <v>0</v>
      </c>
      <c r="J1910" s="25">
        <f>Parameters!J956</f>
        <v>0</v>
      </c>
      <c r="K1910" s="25">
        <f>Parameters!K956</f>
        <v>0</v>
      </c>
      <c r="L1910" s="26" t="e">
        <f t="shared" ref="L1910" si="2859">L1911</f>
        <v>#DIV/0!</v>
      </c>
      <c r="M1910" s="25">
        <f>Parameters!L956</f>
        <v>0</v>
      </c>
      <c r="N1910" s="25">
        <f>Parameters!M956</f>
        <v>0</v>
      </c>
      <c r="O1910" s="26" t="e">
        <f t="shared" ref="O1910" si="2860">O1911</f>
        <v>#DIV/0!</v>
      </c>
      <c r="P1910" s="23">
        <f>Parameters!N956</f>
        <v>0</v>
      </c>
      <c r="Q1910" s="23">
        <f>Parameters!O956</f>
        <v>0</v>
      </c>
      <c r="R1910" s="23">
        <f>Parameters!P956</f>
        <v>0</v>
      </c>
      <c r="S1910" s="23">
        <f>Parameters!Q956</f>
        <v>0</v>
      </c>
      <c r="T1910" s="23">
        <f>Parameters!R956</f>
        <v>0</v>
      </c>
      <c r="U1910" s="27">
        <f>Parameters!S956</f>
        <v>0</v>
      </c>
      <c r="V1910" s="28">
        <f>Parameters!T956</f>
        <v>0</v>
      </c>
      <c r="W1910" s="27">
        <f>Parameters!U956</f>
        <v>0</v>
      </c>
      <c r="X1910" s="28">
        <f>Parameters!V956</f>
        <v>0</v>
      </c>
      <c r="Y1910" s="25">
        <f>Parameters!W956</f>
        <v>0</v>
      </c>
      <c r="Z1910" s="23">
        <f>Parameters!X956</f>
        <v>0</v>
      </c>
      <c r="AA1910" s="27">
        <f>Parameters!Y956</f>
        <v>0</v>
      </c>
      <c r="AB1910" s="28">
        <f>Parameters!Z956</f>
        <v>0</v>
      </c>
      <c r="AC1910" s="23">
        <f>Parameters!AA956</f>
        <v>0</v>
      </c>
    </row>
    <row r="1911" spans="1:29">
      <c r="A1911" s="29" t="str">
        <f>UPPER(A1910)</f>
        <v>0</v>
      </c>
      <c r="B1911" s="29">
        <f>B1910</f>
        <v>0</v>
      </c>
      <c r="C1911" s="30">
        <f>C1910</f>
        <v>0</v>
      </c>
      <c r="D1911" s="30">
        <f>D1910</f>
        <v>0</v>
      </c>
      <c r="E1911" s="29">
        <f>E1910</f>
        <v>0</v>
      </c>
      <c r="F1911" s="29">
        <f>F1910</f>
        <v>0</v>
      </c>
      <c r="G1911" s="29" t="e">
        <f>IF(C1910=1,IF(D1910="BUY",E1910+(ROUND(F1910*G1910/B1910,0)*B1910),E1910-(ROUND(F1910*G1910/B1910,0)*B1910)),IF(D1910="BUY",E1910-(ROUND(F1910*G1910/B1910,0)*B1910),E1910+(ROUND(F1910*G1910/B1910,0)*B1910)))</f>
        <v>#DIV/0!</v>
      </c>
      <c r="H1911" s="29" t="e">
        <f>IF(C1910=1,IF(D1910="BUY",G1911-(ROUND(F1910*H1910/B1910,0)*B1910),G1911+(ROUND(F1910*H1910/B1910,0)*B1910)),IF(D1910="BUY",G1911+(ROUND(F1910*H1910/B1910,0)*B1910),G1911-(ROUND(F1910*H1910/B1910,0)*B1910)))</f>
        <v>#DIV/0!</v>
      </c>
      <c r="I1911" s="29" t="e">
        <f>IF(D1910="BUY",G1911+(ROUND(F1910*I1910/(B1910*100),0)*B1910),G1911-(ROUND(F1910*I1910/(B1910*100),0)*B1910))</f>
        <v>#DIV/0!</v>
      </c>
      <c r="J1911" s="29" t="e">
        <f>IF(C1910=1,IF(D1910="BUY",E1910+(ROUND(F1910*J1910/B1910,0)*B1910),E1910-(ROUND(F1910*J1910/B1910,0)*B1910)),IF(D1910="BUY",E1910-(ROUND(F1910*J1910/B1910,0)*B1910),E1910+(ROUND(F1910*J1910/B1910,0)*B1910)))</f>
        <v>#DIV/0!</v>
      </c>
      <c r="K1911" s="29" t="e">
        <f>IF(C1910=1,IF(D1910="BUY",E1910-(ROUND(F1910*K1910/B1910,0)*B1910),E1910+(ROUND(F1910*K1910/B1910,0)*B1910)),IF(D1910="BUY",E1910-(ROUND(F1910*K1910/B1910,0)*B1910),E1910+(ROUND(F1910*K1910/B1910,0)*B1910)))</f>
        <v>#DIV/0!</v>
      </c>
      <c r="L1911" s="29" t="e">
        <f t="shared" ref="L1911" si="2861">IF(D1911="BUY",I1911+(R1911*B1911),I1911-(R1911*B1911))</f>
        <v>#DIV/0!</v>
      </c>
      <c r="M1911" s="29" t="e">
        <f>IF(D1910="BUY",E1910+(ROUND(F1910*M1910/B1910,0)*B1910),E1910-(ROUND(F1910*M1910/B1910,0)*B1910))</f>
        <v>#DIV/0!</v>
      </c>
      <c r="N1911" s="29" t="e">
        <f>IF(D1910="BUY",E1910-(ROUND(F1910*N1910/B1910,0)*B1910),E1910+(ROUND(F1910*N1910/B1910,0)*B1910))</f>
        <v>#DIV/0!</v>
      </c>
      <c r="O1911" s="31" t="e">
        <f>IF(D1911="BUY",N1911-VLOOKUP(A1911,Symbols!A$1:D$1000,4,FALSE),N1911+VLOOKUP(A1911,Symbols!A$1:D$1000,4,FALSE))</f>
        <v>#DIV/0!</v>
      </c>
      <c r="P1911" s="29">
        <f>P1910</f>
        <v>0</v>
      </c>
      <c r="Q1911" s="29">
        <f>Q1910</f>
        <v>0</v>
      </c>
      <c r="R1911" s="29">
        <f>R1910</f>
        <v>0</v>
      </c>
      <c r="S1911" s="29">
        <f>S1910</f>
        <v>0</v>
      </c>
      <c r="T1911" s="29">
        <f>T1910</f>
        <v>0</v>
      </c>
      <c r="U1911" s="29" t="e">
        <f>DATEDIF(DATE(1970,1,1),U1910,"D")*86400</f>
        <v>#NUM!</v>
      </c>
      <c r="V1911" s="29">
        <f>HOUR(V1910)*3600+MINUTE(V1910)*60+SECOND(V1910)</f>
        <v>0</v>
      </c>
      <c r="W1911" s="29" t="e">
        <f>DATEDIF(DATE(1970,1,1),W1910,"D")*86400</f>
        <v>#NUM!</v>
      </c>
      <c r="X1911" s="29">
        <f>HOUR(X1910)*3600+MINUTE(X1910)*60+SECOND(X1910)</f>
        <v>0</v>
      </c>
      <c r="Y1911" s="31">
        <f>(Y1910*B1911)</f>
        <v>0</v>
      </c>
      <c r="Z1911" s="29">
        <f>Z1910</f>
        <v>0</v>
      </c>
      <c r="AA1911" s="29" t="e">
        <f>DATEDIF(DATE(1970,1,1),AA1910,"D")*86400</f>
        <v>#NUM!</v>
      </c>
      <c r="AB1911" s="29">
        <f>HOUR(AB1910)*3600+MINUTE(AB1910)*60+SECOND(AB1910)</f>
        <v>0</v>
      </c>
      <c r="AC1911" s="29">
        <f>AC1910</f>
        <v>0</v>
      </c>
    </row>
    <row r="1912" spans="1:29">
      <c r="A1912" s="23">
        <f>Parameters!A957</f>
        <v>0</v>
      </c>
      <c r="B1912" s="23">
        <f>Parameters!B957</f>
        <v>0</v>
      </c>
      <c r="C1912" s="24">
        <f>Parameters!C957</f>
        <v>0</v>
      </c>
      <c r="D1912" s="24">
        <f>Parameters!D957</f>
        <v>0</v>
      </c>
      <c r="E1912" s="23">
        <f>Parameters!E957</f>
        <v>0</v>
      </c>
      <c r="F1912" s="23">
        <f>Parameters!F957</f>
        <v>0</v>
      </c>
      <c r="G1912" s="25">
        <f>Parameters!G957</f>
        <v>0</v>
      </c>
      <c r="H1912" s="25">
        <f>Parameters!H957</f>
        <v>0</v>
      </c>
      <c r="I1912" s="25">
        <f>Parameters!I957</f>
        <v>0</v>
      </c>
      <c r="J1912" s="25">
        <f>Parameters!J957</f>
        <v>0</v>
      </c>
      <c r="K1912" s="25">
        <f>Parameters!K957</f>
        <v>0</v>
      </c>
      <c r="L1912" s="26" t="e">
        <f t="shared" ref="L1912" si="2862">L1913</f>
        <v>#DIV/0!</v>
      </c>
      <c r="M1912" s="25">
        <f>Parameters!L957</f>
        <v>0</v>
      </c>
      <c r="N1912" s="25">
        <f>Parameters!M957</f>
        <v>0</v>
      </c>
      <c r="O1912" s="26" t="e">
        <f t="shared" ref="O1912" si="2863">O1913</f>
        <v>#DIV/0!</v>
      </c>
      <c r="P1912" s="23">
        <f>Parameters!N957</f>
        <v>0</v>
      </c>
      <c r="Q1912" s="23">
        <f>Parameters!O957</f>
        <v>0</v>
      </c>
      <c r="R1912" s="23">
        <f>Parameters!P957</f>
        <v>0</v>
      </c>
      <c r="S1912" s="23">
        <f>Parameters!Q957</f>
        <v>0</v>
      </c>
      <c r="T1912" s="23">
        <f>Parameters!R957</f>
        <v>0</v>
      </c>
      <c r="U1912" s="27">
        <f>Parameters!S957</f>
        <v>0</v>
      </c>
      <c r="V1912" s="28">
        <f>Parameters!T957</f>
        <v>0</v>
      </c>
      <c r="W1912" s="27">
        <f>Parameters!U957</f>
        <v>0</v>
      </c>
      <c r="X1912" s="28">
        <f>Parameters!V957</f>
        <v>0</v>
      </c>
      <c r="Y1912" s="25">
        <f>Parameters!W957</f>
        <v>0</v>
      </c>
      <c r="Z1912" s="23">
        <f>Parameters!X957</f>
        <v>0</v>
      </c>
      <c r="AA1912" s="27">
        <f>Parameters!Y957</f>
        <v>0</v>
      </c>
      <c r="AB1912" s="28">
        <f>Parameters!Z957</f>
        <v>0</v>
      </c>
      <c r="AC1912" s="23">
        <f>Parameters!AA957</f>
        <v>0</v>
      </c>
    </row>
    <row r="1913" spans="1:29">
      <c r="A1913" s="29" t="str">
        <f>UPPER(A1912)</f>
        <v>0</v>
      </c>
      <c r="B1913" s="29">
        <f>B1912</f>
        <v>0</v>
      </c>
      <c r="C1913" s="30">
        <f>C1912</f>
        <v>0</v>
      </c>
      <c r="D1913" s="30">
        <f>D1912</f>
        <v>0</v>
      </c>
      <c r="E1913" s="29">
        <f>E1912</f>
        <v>0</v>
      </c>
      <c r="F1913" s="29">
        <f>F1912</f>
        <v>0</v>
      </c>
      <c r="G1913" s="29" t="e">
        <f>IF(C1912=1,IF(D1912="BUY",E1912+(ROUND(F1912*G1912/B1912,0)*B1912),E1912-(ROUND(F1912*G1912/B1912,0)*B1912)),IF(D1912="BUY",E1912-(ROUND(F1912*G1912/B1912,0)*B1912),E1912+(ROUND(F1912*G1912/B1912,0)*B1912)))</f>
        <v>#DIV/0!</v>
      </c>
      <c r="H1913" s="29" t="e">
        <f>IF(C1912=1,IF(D1912="BUY",G1913-(ROUND(F1912*H1912/B1912,0)*B1912),G1913+(ROUND(F1912*H1912/B1912,0)*B1912)),IF(D1912="BUY",G1913+(ROUND(F1912*H1912/B1912,0)*B1912),G1913-(ROUND(F1912*H1912/B1912,0)*B1912)))</f>
        <v>#DIV/0!</v>
      </c>
      <c r="I1913" s="29" t="e">
        <f>IF(D1912="BUY",G1913+(ROUND(F1912*I1912/(B1912*100),0)*B1912),G1913-(ROUND(F1912*I1912/(B1912*100),0)*B1912))</f>
        <v>#DIV/0!</v>
      </c>
      <c r="J1913" s="29" t="e">
        <f>IF(C1912=1,IF(D1912="BUY",E1912+(ROUND(F1912*J1912/B1912,0)*B1912),E1912-(ROUND(F1912*J1912/B1912,0)*B1912)),IF(D1912="BUY",E1912-(ROUND(F1912*J1912/B1912,0)*B1912),E1912+(ROUND(F1912*J1912/B1912,0)*B1912)))</f>
        <v>#DIV/0!</v>
      </c>
      <c r="K1913" s="29" t="e">
        <f>IF(C1912=1,IF(D1912="BUY",E1912-(ROUND(F1912*K1912/B1912,0)*B1912),E1912+(ROUND(F1912*K1912/B1912,0)*B1912)),IF(D1912="BUY",E1912-(ROUND(F1912*K1912/B1912,0)*B1912),E1912+(ROUND(F1912*K1912/B1912,0)*B1912)))</f>
        <v>#DIV/0!</v>
      </c>
      <c r="L1913" s="29" t="e">
        <f t="shared" ref="L1913" si="2864">IF(D1913="BUY",I1913+(R1913*B1913),I1913-(R1913*B1913))</f>
        <v>#DIV/0!</v>
      </c>
      <c r="M1913" s="29" t="e">
        <f>IF(D1912="BUY",E1912+(ROUND(F1912*M1912/B1912,0)*B1912),E1912-(ROUND(F1912*M1912/B1912,0)*B1912))</f>
        <v>#DIV/0!</v>
      </c>
      <c r="N1913" s="29" t="e">
        <f>IF(D1912="BUY",E1912-(ROUND(F1912*N1912/B1912,0)*B1912),E1912+(ROUND(F1912*N1912/B1912,0)*B1912))</f>
        <v>#DIV/0!</v>
      </c>
      <c r="O1913" s="31" t="e">
        <f>IF(D1913="BUY",N1913-VLOOKUP(A1913,Symbols!A$1:D$1000,4,FALSE),N1913+VLOOKUP(A1913,Symbols!A$1:D$1000,4,FALSE))</f>
        <v>#DIV/0!</v>
      </c>
      <c r="P1913" s="29">
        <f>P1912</f>
        <v>0</v>
      </c>
      <c r="Q1913" s="29">
        <f>Q1912</f>
        <v>0</v>
      </c>
      <c r="R1913" s="29">
        <f>R1912</f>
        <v>0</v>
      </c>
      <c r="S1913" s="29">
        <f>S1912</f>
        <v>0</v>
      </c>
      <c r="T1913" s="29">
        <f>T1912</f>
        <v>0</v>
      </c>
      <c r="U1913" s="29" t="e">
        <f>DATEDIF(DATE(1970,1,1),U1912,"D")*86400</f>
        <v>#NUM!</v>
      </c>
      <c r="V1913" s="29">
        <f>HOUR(V1912)*3600+MINUTE(V1912)*60+SECOND(V1912)</f>
        <v>0</v>
      </c>
      <c r="W1913" s="29" t="e">
        <f>DATEDIF(DATE(1970,1,1),W1912,"D")*86400</f>
        <v>#NUM!</v>
      </c>
      <c r="X1913" s="29">
        <f>HOUR(X1912)*3600+MINUTE(X1912)*60+SECOND(X1912)</f>
        <v>0</v>
      </c>
      <c r="Y1913" s="31">
        <f>(Y1912*B1913)</f>
        <v>0</v>
      </c>
      <c r="Z1913" s="29">
        <f>Z1912</f>
        <v>0</v>
      </c>
      <c r="AA1913" s="29" t="e">
        <f>DATEDIF(DATE(1970,1,1),AA1912,"D")*86400</f>
        <v>#NUM!</v>
      </c>
      <c r="AB1913" s="29">
        <f>HOUR(AB1912)*3600+MINUTE(AB1912)*60+SECOND(AB1912)</f>
        <v>0</v>
      </c>
      <c r="AC1913" s="29">
        <f>AC1912</f>
        <v>0</v>
      </c>
    </row>
    <row r="1914" spans="1:29">
      <c r="A1914" s="23">
        <f>Parameters!A958</f>
        <v>0</v>
      </c>
      <c r="B1914" s="23">
        <f>Parameters!B958</f>
        <v>0</v>
      </c>
      <c r="C1914" s="24">
        <f>Parameters!C958</f>
        <v>0</v>
      </c>
      <c r="D1914" s="24">
        <f>Parameters!D958</f>
        <v>0</v>
      </c>
      <c r="E1914" s="23">
        <f>Parameters!E958</f>
        <v>0</v>
      </c>
      <c r="F1914" s="23">
        <f>Parameters!F958</f>
        <v>0</v>
      </c>
      <c r="G1914" s="25">
        <f>Parameters!G958</f>
        <v>0</v>
      </c>
      <c r="H1914" s="25">
        <f>Parameters!H958</f>
        <v>0</v>
      </c>
      <c r="I1914" s="25">
        <f>Parameters!I958</f>
        <v>0</v>
      </c>
      <c r="J1914" s="25">
        <f>Parameters!J958</f>
        <v>0</v>
      </c>
      <c r="K1914" s="25">
        <f>Parameters!K958</f>
        <v>0</v>
      </c>
      <c r="L1914" s="26" t="e">
        <f t="shared" ref="L1914" si="2865">L1915</f>
        <v>#DIV/0!</v>
      </c>
      <c r="M1914" s="25">
        <f>Parameters!L958</f>
        <v>0</v>
      </c>
      <c r="N1914" s="25">
        <f>Parameters!M958</f>
        <v>0</v>
      </c>
      <c r="O1914" s="26" t="e">
        <f t="shared" ref="O1914" si="2866">O1915</f>
        <v>#DIV/0!</v>
      </c>
      <c r="P1914" s="23">
        <f>Parameters!N958</f>
        <v>0</v>
      </c>
      <c r="Q1914" s="23">
        <f>Parameters!O958</f>
        <v>0</v>
      </c>
      <c r="R1914" s="23">
        <f>Parameters!P958</f>
        <v>0</v>
      </c>
      <c r="S1914" s="23">
        <f>Parameters!Q958</f>
        <v>0</v>
      </c>
      <c r="T1914" s="23">
        <f>Parameters!R958</f>
        <v>0</v>
      </c>
      <c r="U1914" s="27">
        <f>Parameters!S958</f>
        <v>0</v>
      </c>
      <c r="V1914" s="28">
        <f>Parameters!T958</f>
        <v>0</v>
      </c>
      <c r="W1914" s="27">
        <f>Parameters!U958</f>
        <v>0</v>
      </c>
      <c r="X1914" s="28">
        <f>Parameters!V958</f>
        <v>0</v>
      </c>
      <c r="Y1914" s="25">
        <f>Parameters!W958</f>
        <v>0</v>
      </c>
      <c r="Z1914" s="23">
        <f>Parameters!X958</f>
        <v>0</v>
      </c>
      <c r="AA1914" s="27">
        <f>Parameters!Y958</f>
        <v>0</v>
      </c>
      <c r="AB1914" s="28">
        <f>Parameters!Z958</f>
        <v>0</v>
      </c>
      <c r="AC1914" s="23">
        <f>Parameters!AA958</f>
        <v>0</v>
      </c>
    </row>
    <row r="1915" spans="1:29">
      <c r="A1915" s="29" t="str">
        <f>UPPER(A1914)</f>
        <v>0</v>
      </c>
      <c r="B1915" s="29">
        <f>B1914</f>
        <v>0</v>
      </c>
      <c r="C1915" s="30">
        <f>C1914</f>
        <v>0</v>
      </c>
      <c r="D1915" s="30">
        <f>D1914</f>
        <v>0</v>
      </c>
      <c r="E1915" s="29">
        <f>E1914</f>
        <v>0</v>
      </c>
      <c r="F1915" s="29">
        <f>F1914</f>
        <v>0</v>
      </c>
      <c r="G1915" s="29" t="e">
        <f>IF(C1914=1,IF(D1914="BUY",E1914+(ROUND(F1914*G1914/B1914,0)*B1914),E1914-(ROUND(F1914*G1914/B1914,0)*B1914)),IF(D1914="BUY",E1914-(ROUND(F1914*G1914/B1914,0)*B1914),E1914+(ROUND(F1914*G1914/B1914,0)*B1914)))</f>
        <v>#DIV/0!</v>
      </c>
      <c r="H1915" s="29" t="e">
        <f>IF(C1914=1,IF(D1914="BUY",G1915-(ROUND(F1914*H1914/B1914,0)*B1914),G1915+(ROUND(F1914*H1914/B1914,0)*B1914)),IF(D1914="BUY",G1915+(ROUND(F1914*H1914/B1914,0)*B1914),G1915-(ROUND(F1914*H1914/B1914,0)*B1914)))</f>
        <v>#DIV/0!</v>
      </c>
      <c r="I1915" s="29" t="e">
        <f>IF(D1914="BUY",G1915+(ROUND(F1914*I1914/(B1914*100),0)*B1914),G1915-(ROUND(F1914*I1914/(B1914*100),0)*B1914))</f>
        <v>#DIV/0!</v>
      </c>
      <c r="J1915" s="29" t="e">
        <f>IF(C1914=1,IF(D1914="BUY",E1914+(ROUND(F1914*J1914/B1914,0)*B1914),E1914-(ROUND(F1914*J1914/B1914,0)*B1914)),IF(D1914="BUY",E1914-(ROUND(F1914*J1914/B1914,0)*B1914),E1914+(ROUND(F1914*J1914/B1914,0)*B1914)))</f>
        <v>#DIV/0!</v>
      </c>
      <c r="K1915" s="29" t="e">
        <f>IF(C1914=1,IF(D1914="BUY",E1914-(ROUND(F1914*K1914/B1914,0)*B1914),E1914+(ROUND(F1914*K1914/B1914,0)*B1914)),IF(D1914="BUY",E1914-(ROUND(F1914*K1914/B1914,0)*B1914),E1914+(ROUND(F1914*K1914/B1914,0)*B1914)))</f>
        <v>#DIV/0!</v>
      </c>
      <c r="L1915" s="29" t="e">
        <f t="shared" ref="L1915" si="2867">IF(D1915="BUY",I1915+(R1915*B1915),I1915-(R1915*B1915))</f>
        <v>#DIV/0!</v>
      </c>
      <c r="M1915" s="29" t="e">
        <f>IF(D1914="BUY",E1914+(ROUND(F1914*M1914/B1914,0)*B1914),E1914-(ROUND(F1914*M1914/B1914,0)*B1914))</f>
        <v>#DIV/0!</v>
      </c>
      <c r="N1915" s="29" t="e">
        <f>IF(D1914="BUY",E1914-(ROUND(F1914*N1914/B1914,0)*B1914),E1914+(ROUND(F1914*N1914/B1914,0)*B1914))</f>
        <v>#DIV/0!</v>
      </c>
      <c r="O1915" s="31" t="e">
        <f>IF(D1915="BUY",N1915-VLOOKUP(A1915,Symbols!A$1:D$1000,4,FALSE),N1915+VLOOKUP(A1915,Symbols!A$1:D$1000,4,FALSE))</f>
        <v>#DIV/0!</v>
      </c>
      <c r="P1915" s="29">
        <f>P1914</f>
        <v>0</v>
      </c>
      <c r="Q1915" s="29">
        <f>Q1914</f>
        <v>0</v>
      </c>
      <c r="R1915" s="29">
        <f>R1914</f>
        <v>0</v>
      </c>
      <c r="S1915" s="29">
        <f>S1914</f>
        <v>0</v>
      </c>
      <c r="T1915" s="29">
        <f>T1914</f>
        <v>0</v>
      </c>
      <c r="U1915" s="29" t="e">
        <f>DATEDIF(DATE(1970,1,1),U1914,"D")*86400</f>
        <v>#NUM!</v>
      </c>
      <c r="V1915" s="29">
        <f>HOUR(V1914)*3600+MINUTE(V1914)*60+SECOND(V1914)</f>
        <v>0</v>
      </c>
      <c r="W1915" s="29" t="e">
        <f>DATEDIF(DATE(1970,1,1),W1914,"D")*86400</f>
        <v>#NUM!</v>
      </c>
      <c r="X1915" s="29">
        <f>HOUR(X1914)*3600+MINUTE(X1914)*60+SECOND(X1914)</f>
        <v>0</v>
      </c>
      <c r="Y1915" s="31">
        <f>(Y1914*B1915)</f>
        <v>0</v>
      </c>
      <c r="Z1915" s="29">
        <f>Z1914</f>
        <v>0</v>
      </c>
      <c r="AA1915" s="29" t="e">
        <f>DATEDIF(DATE(1970,1,1),AA1914,"D")*86400</f>
        <v>#NUM!</v>
      </c>
      <c r="AB1915" s="29">
        <f>HOUR(AB1914)*3600+MINUTE(AB1914)*60+SECOND(AB1914)</f>
        <v>0</v>
      </c>
      <c r="AC1915" s="29">
        <f>AC1914</f>
        <v>0</v>
      </c>
    </row>
    <row r="1916" spans="1:29">
      <c r="A1916" s="23">
        <f>Parameters!A959</f>
        <v>0</v>
      </c>
      <c r="B1916" s="23">
        <f>Parameters!B959</f>
        <v>0</v>
      </c>
      <c r="C1916" s="24">
        <f>Parameters!C959</f>
        <v>0</v>
      </c>
      <c r="D1916" s="24">
        <f>Parameters!D959</f>
        <v>0</v>
      </c>
      <c r="E1916" s="23">
        <f>Parameters!E959</f>
        <v>0</v>
      </c>
      <c r="F1916" s="23">
        <f>Parameters!F959</f>
        <v>0</v>
      </c>
      <c r="G1916" s="25">
        <f>Parameters!G959</f>
        <v>0</v>
      </c>
      <c r="H1916" s="25">
        <f>Parameters!H959</f>
        <v>0</v>
      </c>
      <c r="I1916" s="25">
        <f>Parameters!I959</f>
        <v>0</v>
      </c>
      <c r="J1916" s="25">
        <f>Parameters!J959</f>
        <v>0</v>
      </c>
      <c r="K1916" s="25">
        <f>Parameters!K959</f>
        <v>0</v>
      </c>
      <c r="L1916" s="26" t="e">
        <f t="shared" ref="L1916" si="2868">L1917</f>
        <v>#DIV/0!</v>
      </c>
      <c r="M1916" s="25">
        <f>Parameters!L959</f>
        <v>0</v>
      </c>
      <c r="N1916" s="25">
        <f>Parameters!M959</f>
        <v>0</v>
      </c>
      <c r="O1916" s="26" t="e">
        <f t="shared" ref="O1916" si="2869">O1917</f>
        <v>#DIV/0!</v>
      </c>
      <c r="P1916" s="23">
        <f>Parameters!N959</f>
        <v>0</v>
      </c>
      <c r="Q1916" s="23">
        <f>Parameters!O959</f>
        <v>0</v>
      </c>
      <c r="R1916" s="23">
        <f>Parameters!P959</f>
        <v>0</v>
      </c>
      <c r="S1916" s="23">
        <f>Parameters!Q959</f>
        <v>0</v>
      </c>
      <c r="T1916" s="23">
        <f>Parameters!R959</f>
        <v>0</v>
      </c>
      <c r="U1916" s="27">
        <f>Parameters!S959</f>
        <v>0</v>
      </c>
      <c r="V1916" s="28">
        <f>Parameters!T959</f>
        <v>0</v>
      </c>
      <c r="W1916" s="27">
        <f>Parameters!U959</f>
        <v>0</v>
      </c>
      <c r="X1916" s="28">
        <f>Parameters!V959</f>
        <v>0</v>
      </c>
      <c r="Y1916" s="25">
        <f>Parameters!W959</f>
        <v>0</v>
      </c>
      <c r="Z1916" s="23">
        <f>Parameters!X959</f>
        <v>0</v>
      </c>
      <c r="AA1916" s="27">
        <f>Parameters!Y959</f>
        <v>0</v>
      </c>
      <c r="AB1916" s="28">
        <f>Parameters!Z959</f>
        <v>0</v>
      </c>
      <c r="AC1916" s="23">
        <f>Parameters!AA959</f>
        <v>0</v>
      </c>
    </row>
    <row r="1917" spans="1:29">
      <c r="A1917" s="29" t="str">
        <f>UPPER(A1916)</f>
        <v>0</v>
      </c>
      <c r="B1917" s="29">
        <f>B1916</f>
        <v>0</v>
      </c>
      <c r="C1917" s="30">
        <f>C1916</f>
        <v>0</v>
      </c>
      <c r="D1917" s="30">
        <f>D1916</f>
        <v>0</v>
      </c>
      <c r="E1917" s="29">
        <f>E1916</f>
        <v>0</v>
      </c>
      <c r="F1917" s="29">
        <f>F1916</f>
        <v>0</v>
      </c>
      <c r="G1917" s="29" t="e">
        <f>IF(C1916=1,IF(D1916="BUY",E1916+(ROUND(F1916*G1916/B1916,0)*B1916),E1916-(ROUND(F1916*G1916/B1916,0)*B1916)),IF(D1916="BUY",E1916-(ROUND(F1916*G1916/B1916,0)*B1916),E1916+(ROUND(F1916*G1916/B1916,0)*B1916)))</f>
        <v>#DIV/0!</v>
      </c>
      <c r="H1917" s="29" t="e">
        <f>IF(C1916=1,IF(D1916="BUY",G1917-(ROUND(F1916*H1916/B1916,0)*B1916),G1917+(ROUND(F1916*H1916/B1916,0)*B1916)),IF(D1916="BUY",G1917+(ROUND(F1916*H1916/B1916,0)*B1916),G1917-(ROUND(F1916*H1916/B1916,0)*B1916)))</f>
        <v>#DIV/0!</v>
      </c>
      <c r="I1917" s="29" t="e">
        <f>IF(D1916="BUY",G1917+(ROUND(F1916*I1916/(B1916*100),0)*B1916),G1917-(ROUND(F1916*I1916/(B1916*100),0)*B1916))</f>
        <v>#DIV/0!</v>
      </c>
      <c r="J1917" s="29" t="e">
        <f>IF(C1916=1,IF(D1916="BUY",E1916+(ROUND(F1916*J1916/B1916,0)*B1916),E1916-(ROUND(F1916*J1916/B1916,0)*B1916)),IF(D1916="BUY",E1916-(ROUND(F1916*J1916/B1916,0)*B1916),E1916+(ROUND(F1916*J1916/B1916,0)*B1916)))</f>
        <v>#DIV/0!</v>
      </c>
      <c r="K1917" s="29" t="e">
        <f>IF(C1916=1,IF(D1916="BUY",E1916-(ROUND(F1916*K1916/B1916,0)*B1916),E1916+(ROUND(F1916*K1916/B1916,0)*B1916)),IF(D1916="BUY",E1916-(ROUND(F1916*K1916/B1916,0)*B1916),E1916+(ROUND(F1916*K1916/B1916,0)*B1916)))</f>
        <v>#DIV/0!</v>
      </c>
      <c r="L1917" s="29" t="e">
        <f t="shared" ref="L1917" si="2870">IF(D1917="BUY",I1917+(R1917*B1917),I1917-(R1917*B1917))</f>
        <v>#DIV/0!</v>
      </c>
      <c r="M1917" s="29" t="e">
        <f>IF(D1916="BUY",E1916+(ROUND(F1916*M1916/B1916,0)*B1916),E1916-(ROUND(F1916*M1916/B1916,0)*B1916))</f>
        <v>#DIV/0!</v>
      </c>
      <c r="N1917" s="29" t="e">
        <f>IF(D1916="BUY",E1916-(ROUND(F1916*N1916/B1916,0)*B1916),E1916+(ROUND(F1916*N1916/B1916,0)*B1916))</f>
        <v>#DIV/0!</v>
      </c>
      <c r="O1917" s="31" t="e">
        <f>IF(D1917="BUY",N1917-VLOOKUP(A1917,Symbols!A$1:D$1000,4,FALSE),N1917+VLOOKUP(A1917,Symbols!A$1:D$1000,4,FALSE))</f>
        <v>#DIV/0!</v>
      </c>
      <c r="P1917" s="29">
        <f>P1916</f>
        <v>0</v>
      </c>
      <c r="Q1917" s="29">
        <f>Q1916</f>
        <v>0</v>
      </c>
      <c r="R1917" s="29">
        <f>R1916</f>
        <v>0</v>
      </c>
      <c r="S1917" s="29">
        <f>S1916</f>
        <v>0</v>
      </c>
      <c r="T1917" s="29">
        <f>T1916</f>
        <v>0</v>
      </c>
      <c r="U1917" s="29" t="e">
        <f>DATEDIF(DATE(1970,1,1),U1916,"D")*86400</f>
        <v>#NUM!</v>
      </c>
      <c r="V1917" s="29">
        <f>HOUR(V1916)*3600+MINUTE(V1916)*60+SECOND(V1916)</f>
        <v>0</v>
      </c>
      <c r="W1917" s="29" t="e">
        <f>DATEDIF(DATE(1970,1,1),W1916,"D")*86400</f>
        <v>#NUM!</v>
      </c>
      <c r="X1917" s="29">
        <f>HOUR(X1916)*3600+MINUTE(X1916)*60+SECOND(X1916)</f>
        <v>0</v>
      </c>
      <c r="Y1917" s="31">
        <f>(Y1916*B1917)</f>
        <v>0</v>
      </c>
      <c r="Z1917" s="29">
        <f>Z1916</f>
        <v>0</v>
      </c>
      <c r="AA1917" s="29" t="e">
        <f>DATEDIF(DATE(1970,1,1),AA1916,"D")*86400</f>
        <v>#NUM!</v>
      </c>
      <c r="AB1917" s="29">
        <f>HOUR(AB1916)*3600+MINUTE(AB1916)*60+SECOND(AB1916)</f>
        <v>0</v>
      </c>
      <c r="AC1917" s="29">
        <f>AC1916</f>
        <v>0</v>
      </c>
    </row>
    <row r="1918" spans="1:29">
      <c r="A1918" s="23">
        <f>Parameters!A960</f>
        <v>0</v>
      </c>
      <c r="B1918" s="23">
        <f>Parameters!B960</f>
        <v>0</v>
      </c>
      <c r="C1918" s="24">
        <f>Parameters!C960</f>
        <v>0</v>
      </c>
      <c r="D1918" s="24">
        <f>Parameters!D960</f>
        <v>0</v>
      </c>
      <c r="E1918" s="23">
        <f>Parameters!E960</f>
        <v>0</v>
      </c>
      <c r="F1918" s="23">
        <f>Parameters!F960</f>
        <v>0</v>
      </c>
      <c r="G1918" s="25">
        <f>Parameters!G960</f>
        <v>0</v>
      </c>
      <c r="H1918" s="25">
        <f>Parameters!H960</f>
        <v>0</v>
      </c>
      <c r="I1918" s="25">
        <f>Parameters!I960</f>
        <v>0</v>
      </c>
      <c r="J1918" s="25">
        <f>Parameters!J960</f>
        <v>0</v>
      </c>
      <c r="K1918" s="25">
        <f>Parameters!K960</f>
        <v>0</v>
      </c>
      <c r="L1918" s="26" t="e">
        <f t="shared" ref="L1918" si="2871">L1919</f>
        <v>#DIV/0!</v>
      </c>
      <c r="M1918" s="25">
        <f>Parameters!L960</f>
        <v>0</v>
      </c>
      <c r="N1918" s="25">
        <f>Parameters!M960</f>
        <v>0</v>
      </c>
      <c r="O1918" s="26" t="e">
        <f t="shared" ref="O1918" si="2872">O1919</f>
        <v>#DIV/0!</v>
      </c>
      <c r="P1918" s="23">
        <f>Parameters!N960</f>
        <v>0</v>
      </c>
      <c r="Q1918" s="23">
        <f>Parameters!O960</f>
        <v>0</v>
      </c>
      <c r="R1918" s="23">
        <f>Parameters!P960</f>
        <v>0</v>
      </c>
      <c r="S1918" s="23">
        <f>Parameters!Q960</f>
        <v>0</v>
      </c>
      <c r="T1918" s="23">
        <f>Parameters!R960</f>
        <v>0</v>
      </c>
      <c r="U1918" s="27">
        <f>Parameters!S960</f>
        <v>0</v>
      </c>
      <c r="V1918" s="28">
        <f>Parameters!T960</f>
        <v>0</v>
      </c>
      <c r="W1918" s="27">
        <f>Parameters!U960</f>
        <v>0</v>
      </c>
      <c r="X1918" s="28">
        <f>Parameters!V960</f>
        <v>0</v>
      </c>
      <c r="Y1918" s="25">
        <f>Parameters!W960</f>
        <v>0</v>
      </c>
      <c r="Z1918" s="23">
        <f>Parameters!X960</f>
        <v>0</v>
      </c>
      <c r="AA1918" s="27">
        <f>Parameters!Y960</f>
        <v>0</v>
      </c>
      <c r="AB1918" s="28">
        <f>Parameters!Z960</f>
        <v>0</v>
      </c>
      <c r="AC1918" s="23">
        <f>Parameters!AA960</f>
        <v>0</v>
      </c>
    </row>
    <row r="1919" spans="1:29">
      <c r="A1919" s="29" t="str">
        <f>UPPER(A1918)</f>
        <v>0</v>
      </c>
      <c r="B1919" s="29">
        <f>B1918</f>
        <v>0</v>
      </c>
      <c r="C1919" s="30">
        <f>C1918</f>
        <v>0</v>
      </c>
      <c r="D1919" s="30">
        <f>D1918</f>
        <v>0</v>
      </c>
      <c r="E1919" s="29">
        <f>E1918</f>
        <v>0</v>
      </c>
      <c r="F1919" s="29">
        <f>F1918</f>
        <v>0</v>
      </c>
      <c r="G1919" s="29" t="e">
        <f>IF(C1918=1,IF(D1918="BUY",E1918+(ROUND(F1918*G1918/B1918,0)*B1918),E1918-(ROUND(F1918*G1918/B1918,0)*B1918)),IF(D1918="BUY",E1918-(ROUND(F1918*G1918/B1918,0)*B1918),E1918+(ROUND(F1918*G1918/B1918,0)*B1918)))</f>
        <v>#DIV/0!</v>
      </c>
      <c r="H1919" s="29" t="e">
        <f>IF(C1918=1,IF(D1918="BUY",G1919-(ROUND(F1918*H1918/B1918,0)*B1918),G1919+(ROUND(F1918*H1918/B1918,0)*B1918)),IF(D1918="BUY",G1919+(ROUND(F1918*H1918/B1918,0)*B1918),G1919-(ROUND(F1918*H1918/B1918,0)*B1918)))</f>
        <v>#DIV/0!</v>
      </c>
      <c r="I1919" s="29" t="e">
        <f>IF(D1918="BUY",G1919+(ROUND(F1918*I1918/(B1918*100),0)*B1918),G1919-(ROUND(F1918*I1918/(B1918*100),0)*B1918))</f>
        <v>#DIV/0!</v>
      </c>
      <c r="J1919" s="29" t="e">
        <f>IF(C1918=1,IF(D1918="BUY",E1918+(ROUND(F1918*J1918/B1918,0)*B1918),E1918-(ROUND(F1918*J1918/B1918,0)*B1918)),IF(D1918="BUY",E1918-(ROUND(F1918*J1918/B1918,0)*B1918),E1918+(ROUND(F1918*J1918/B1918,0)*B1918)))</f>
        <v>#DIV/0!</v>
      </c>
      <c r="K1919" s="29" t="e">
        <f>IF(C1918=1,IF(D1918="BUY",E1918-(ROUND(F1918*K1918/B1918,0)*B1918),E1918+(ROUND(F1918*K1918/B1918,0)*B1918)),IF(D1918="BUY",E1918-(ROUND(F1918*K1918/B1918,0)*B1918),E1918+(ROUND(F1918*K1918/B1918,0)*B1918)))</f>
        <v>#DIV/0!</v>
      </c>
      <c r="L1919" s="29" t="e">
        <f t="shared" ref="L1919" si="2873">IF(D1919="BUY",I1919+(R1919*B1919),I1919-(R1919*B1919))</f>
        <v>#DIV/0!</v>
      </c>
      <c r="M1919" s="29" t="e">
        <f>IF(D1918="BUY",E1918+(ROUND(F1918*M1918/B1918,0)*B1918),E1918-(ROUND(F1918*M1918/B1918,0)*B1918))</f>
        <v>#DIV/0!</v>
      </c>
      <c r="N1919" s="29" t="e">
        <f>IF(D1918="BUY",E1918-(ROUND(F1918*N1918/B1918,0)*B1918),E1918+(ROUND(F1918*N1918/B1918,0)*B1918))</f>
        <v>#DIV/0!</v>
      </c>
      <c r="O1919" s="31" t="e">
        <f>IF(D1919="BUY",N1919-VLOOKUP(A1919,Symbols!A$1:D$1000,4,FALSE),N1919+VLOOKUP(A1919,Symbols!A$1:D$1000,4,FALSE))</f>
        <v>#DIV/0!</v>
      </c>
      <c r="P1919" s="29">
        <f>P1918</f>
        <v>0</v>
      </c>
      <c r="Q1919" s="29">
        <f>Q1918</f>
        <v>0</v>
      </c>
      <c r="R1919" s="29">
        <f>R1918</f>
        <v>0</v>
      </c>
      <c r="S1919" s="29">
        <f>S1918</f>
        <v>0</v>
      </c>
      <c r="T1919" s="29">
        <f>T1918</f>
        <v>0</v>
      </c>
      <c r="U1919" s="29" t="e">
        <f>DATEDIF(DATE(1970,1,1),U1918,"D")*86400</f>
        <v>#NUM!</v>
      </c>
      <c r="V1919" s="29">
        <f>HOUR(V1918)*3600+MINUTE(V1918)*60+SECOND(V1918)</f>
        <v>0</v>
      </c>
      <c r="W1919" s="29" t="e">
        <f>DATEDIF(DATE(1970,1,1),W1918,"D")*86400</f>
        <v>#NUM!</v>
      </c>
      <c r="X1919" s="29">
        <f>HOUR(X1918)*3600+MINUTE(X1918)*60+SECOND(X1918)</f>
        <v>0</v>
      </c>
      <c r="Y1919" s="31">
        <f>(Y1918*B1919)</f>
        <v>0</v>
      </c>
      <c r="Z1919" s="29">
        <f>Z1918</f>
        <v>0</v>
      </c>
      <c r="AA1919" s="29" t="e">
        <f>DATEDIF(DATE(1970,1,1),AA1918,"D")*86400</f>
        <v>#NUM!</v>
      </c>
      <c r="AB1919" s="29">
        <f>HOUR(AB1918)*3600+MINUTE(AB1918)*60+SECOND(AB1918)</f>
        <v>0</v>
      </c>
      <c r="AC1919" s="29">
        <f>AC1918</f>
        <v>0</v>
      </c>
    </row>
    <row r="1920" spans="1:29">
      <c r="A1920" s="23">
        <f>Parameters!A961</f>
        <v>0</v>
      </c>
      <c r="B1920" s="23">
        <f>Parameters!B961</f>
        <v>0</v>
      </c>
      <c r="C1920" s="24">
        <f>Parameters!C961</f>
        <v>0</v>
      </c>
      <c r="D1920" s="24">
        <f>Parameters!D961</f>
        <v>0</v>
      </c>
      <c r="E1920" s="23">
        <f>Parameters!E961</f>
        <v>0</v>
      </c>
      <c r="F1920" s="23">
        <f>Parameters!F961</f>
        <v>0</v>
      </c>
      <c r="G1920" s="25">
        <f>Parameters!G961</f>
        <v>0</v>
      </c>
      <c r="H1920" s="25">
        <f>Parameters!H961</f>
        <v>0</v>
      </c>
      <c r="I1920" s="25">
        <f>Parameters!I961</f>
        <v>0</v>
      </c>
      <c r="J1920" s="25">
        <f>Parameters!J961</f>
        <v>0</v>
      </c>
      <c r="K1920" s="25">
        <f>Parameters!K961</f>
        <v>0</v>
      </c>
      <c r="L1920" s="26" t="e">
        <f t="shared" ref="L1920" si="2874">L1921</f>
        <v>#DIV/0!</v>
      </c>
      <c r="M1920" s="25">
        <f>Parameters!L961</f>
        <v>0</v>
      </c>
      <c r="N1920" s="25">
        <f>Parameters!M961</f>
        <v>0</v>
      </c>
      <c r="O1920" s="26" t="e">
        <f t="shared" ref="O1920" si="2875">O1921</f>
        <v>#DIV/0!</v>
      </c>
      <c r="P1920" s="23">
        <f>Parameters!N961</f>
        <v>0</v>
      </c>
      <c r="Q1920" s="23">
        <f>Parameters!O961</f>
        <v>0</v>
      </c>
      <c r="R1920" s="23">
        <f>Parameters!P961</f>
        <v>0</v>
      </c>
      <c r="S1920" s="23">
        <f>Parameters!Q961</f>
        <v>0</v>
      </c>
      <c r="T1920" s="23">
        <f>Parameters!R961</f>
        <v>0</v>
      </c>
      <c r="U1920" s="27">
        <f>Parameters!S961</f>
        <v>0</v>
      </c>
      <c r="V1920" s="28">
        <f>Parameters!T961</f>
        <v>0</v>
      </c>
      <c r="W1920" s="27">
        <f>Parameters!U961</f>
        <v>0</v>
      </c>
      <c r="X1920" s="28">
        <f>Parameters!V961</f>
        <v>0</v>
      </c>
      <c r="Y1920" s="25">
        <f>Parameters!W961</f>
        <v>0</v>
      </c>
      <c r="Z1920" s="23">
        <f>Parameters!X961</f>
        <v>0</v>
      </c>
      <c r="AA1920" s="27">
        <f>Parameters!Y961</f>
        <v>0</v>
      </c>
      <c r="AB1920" s="28">
        <f>Parameters!Z961</f>
        <v>0</v>
      </c>
      <c r="AC1920" s="23">
        <f>Parameters!AA961</f>
        <v>0</v>
      </c>
    </row>
    <row r="1921" spans="1:29">
      <c r="A1921" s="29" t="str">
        <f>UPPER(A1920)</f>
        <v>0</v>
      </c>
      <c r="B1921" s="29">
        <f>B1920</f>
        <v>0</v>
      </c>
      <c r="C1921" s="30">
        <f>C1920</f>
        <v>0</v>
      </c>
      <c r="D1921" s="30">
        <f>D1920</f>
        <v>0</v>
      </c>
      <c r="E1921" s="29">
        <f>E1920</f>
        <v>0</v>
      </c>
      <c r="F1921" s="29">
        <f>F1920</f>
        <v>0</v>
      </c>
      <c r="G1921" s="29" t="e">
        <f>IF(C1920=1,IF(D1920="BUY",E1920+(ROUND(F1920*G1920/B1920,0)*B1920),E1920-(ROUND(F1920*G1920/B1920,0)*B1920)),IF(D1920="BUY",E1920-(ROUND(F1920*G1920/B1920,0)*B1920),E1920+(ROUND(F1920*G1920/B1920,0)*B1920)))</f>
        <v>#DIV/0!</v>
      </c>
      <c r="H1921" s="29" t="e">
        <f>IF(C1920=1,IF(D1920="BUY",G1921-(ROUND(F1920*H1920/B1920,0)*B1920),G1921+(ROUND(F1920*H1920/B1920,0)*B1920)),IF(D1920="BUY",G1921+(ROUND(F1920*H1920/B1920,0)*B1920),G1921-(ROUND(F1920*H1920/B1920,0)*B1920)))</f>
        <v>#DIV/0!</v>
      </c>
      <c r="I1921" s="29" t="e">
        <f>IF(D1920="BUY",G1921+(ROUND(F1920*I1920/(B1920*100),0)*B1920),G1921-(ROUND(F1920*I1920/(B1920*100),0)*B1920))</f>
        <v>#DIV/0!</v>
      </c>
      <c r="J1921" s="29" t="e">
        <f>IF(C1920=1,IF(D1920="BUY",E1920+(ROUND(F1920*J1920/B1920,0)*B1920),E1920-(ROUND(F1920*J1920/B1920,0)*B1920)),IF(D1920="BUY",E1920-(ROUND(F1920*J1920/B1920,0)*B1920),E1920+(ROUND(F1920*J1920/B1920,0)*B1920)))</f>
        <v>#DIV/0!</v>
      </c>
      <c r="K1921" s="29" t="e">
        <f>IF(C1920=1,IF(D1920="BUY",E1920-(ROUND(F1920*K1920/B1920,0)*B1920),E1920+(ROUND(F1920*K1920/B1920,0)*B1920)),IF(D1920="BUY",E1920-(ROUND(F1920*K1920/B1920,0)*B1920),E1920+(ROUND(F1920*K1920/B1920,0)*B1920)))</f>
        <v>#DIV/0!</v>
      </c>
      <c r="L1921" s="29" t="e">
        <f t="shared" ref="L1921" si="2876">IF(D1921="BUY",I1921+(R1921*B1921),I1921-(R1921*B1921))</f>
        <v>#DIV/0!</v>
      </c>
      <c r="M1921" s="29" t="e">
        <f>IF(D1920="BUY",E1920+(ROUND(F1920*M1920/B1920,0)*B1920),E1920-(ROUND(F1920*M1920/B1920,0)*B1920))</f>
        <v>#DIV/0!</v>
      </c>
      <c r="N1921" s="29" t="e">
        <f>IF(D1920="BUY",E1920-(ROUND(F1920*N1920/B1920,0)*B1920),E1920+(ROUND(F1920*N1920/B1920,0)*B1920))</f>
        <v>#DIV/0!</v>
      </c>
      <c r="O1921" s="31" t="e">
        <f>IF(D1921="BUY",N1921-VLOOKUP(A1921,Symbols!A$1:D$1000,4,FALSE),N1921+VLOOKUP(A1921,Symbols!A$1:D$1000,4,FALSE))</f>
        <v>#DIV/0!</v>
      </c>
      <c r="P1921" s="29">
        <f>P1920</f>
        <v>0</v>
      </c>
      <c r="Q1921" s="29">
        <f>Q1920</f>
        <v>0</v>
      </c>
      <c r="R1921" s="29">
        <f>R1920</f>
        <v>0</v>
      </c>
      <c r="S1921" s="29">
        <f>S1920</f>
        <v>0</v>
      </c>
      <c r="T1921" s="29">
        <f>T1920</f>
        <v>0</v>
      </c>
      <c r="U1921" s="29" t="e">
        <f>DATEDIF(DATE(1970,1,1),U1920,"D")*86400</f>
        <v>#NUM!</v>
      </c>
      <c r="V1921" s="29">
        <f>HOUR(V1920)*3600+MINUTE(V1920)*60+SECOND(V1920)</f>
        <v>0</v>
      </c>
      <c r="W1921" s="29" t="e">
        <f>DATEDIF(DATE(1970,1,1),W1920,"D")*86400</f>
        <v>#NUM!</v>
      </c>
      <c r="X1921" s="29">
        <f>HOUR(X1920)*3600+MINUTE(X1920)*60+SECOND(X1920)</f>
        <v>0</v>
      </c>
      <c r="Y1921" s="31">
        <f>(Y1920*B1921)</f>
        <v>0</v>
      </c>
      <c r="Z1921" s="29">
        <f>Z1920</f>
        <v>0</v>
      </c>
      <c r="AA1921" s="29" t="e">
        <f>DATEDIF(DATE(1970,1,1),AA1920,"D")*86400</f>
        <v>#NUM!</v>
      </c>
      <c r="AB1921" s="29">
        <f>HOUR(AB1920)*3600+MINUTE(AB1920)*60+SECOND(AB1920)</f>
        <v>0</v>
      </c>
      <c r="AC1921" s="29">
        <f>AC1920</f>
        <v>0</v>
      </c>
    </row>
    <row r="1922" spans="1:29">
      <c r="A1922" s="23">
        <f>Parameters!A962</f>
        <v>0</v>
      </c>
      <c r="B1922" s="23">
        <f>Parameters!B962</f>
        <v>0</v>
      </c>
      <c r="C1922" s="24">
        <f>Parameters!C962</f>
        <v>0</v>
      </c>
      <c r="D1922" s="24">
        <f>Parameters!D962</f>
        <v>0</v>
      </c>
      <c r="E1922" s="23">
        <f>Parameters!E962</f>
        <v>0</v>
      </c>
      <c r="F1922" s="23">
        <f>Parameters!F962</f>
        <v>0</v>
      </c>
      <c r="G1922" s="25">
        <f>Parameters!G962</f>
        <v>0</v>
      </c>
      <c r="H1922" s="25">
        <f>Parameters!H962</f>
        <v>0</v>
      </c>
      <c r="I1922" s="25">
        <f>Parameters!I962</f>
        <v>0</v>
      </c>
      <c r="J1922" s="25">
        <f>Parameters!J962</f>
        <v>0</v>
      </c>
      <c r="K1922" s="25">
        <f>Parameters!K962</f>
        <v>0</v>
      </c>
      <c r="L1922" s="26" t="e">
        <f t="shared" ref="L1922" si="2877">L1923</f>
        <v>#DIV/0!</v>
      </c>
      <c r="M1922" s="25">
        <f>Parameters!L962</f>
        <v>0</v>
      </c>
      <c r="N1922" s="25">
        <f>Parameters!M962</f>
        <v>0</v>
      </c>
      <c r="O1922" s="26" t="e">
        <f t="shared" ref="O1922" si="2878">O1923</f>
        <v>#DIV/0!</v>
      </c>
      <c r="P1922" s="23">
        <f>Parameters!N962</f>
        <v>0</v>
      </c>
      <c r="Q1922" s="23">
        <f>Parameters!O962</f>
        <v>0</v>
      </c>
      <c r="R1922" s="23">
        <f>Parameters!P962</f>
        <v>0</v>
      </c>
      <c r="S1922" s="23">
        <f>Parameters!Q962</f>
        <v>0</v>
      </c>
      <c r="T1922" s="23">
        <f>Parameters!R962</f>
        <v>0</v>
      </c>
      <c r="U1922" s="27">
        <f>Parameters!S962</f>
        <v>0</v>
      </c>
      <c r="V1922" s="28">
        <f>Parameters!T962</f>
        <v>0</v>
      </c>
      <c r="W1922" s="27">
        <f>Parameters!U962</f>
        <v>0</v>
      </c>
      <c r="X1922" s="28">
        <f>Parameters!V962</f>
        <v>0</v>
      </c>
      <c r="Y1922" s="25">
        <f>Parameters!W962</f>
        <v>0</v>
      </c>
      <c r="Z1922" s="23">
        <f>Parameters!X962</f>
        <v>0</v>
      </c>
      <c r="AA1922" s="27">
        <f>Parameters!Y962</f>
        <v>0</v>
      </c>
      <c r="AB1922" s="28">
        <f>Parameters!Z962</f>
        <v>0</v>
      </c>
      <c r="AC1922" s="23">
        <f>Parameters!AA962</f>
        <v>0</v>
      </c>
    </row>
    <row r="1923" spans="1:29">
      <c r="A1923" s="29" t="str">
        <f>UPPER(A1922)</f>
        <v>0</v>
      </c>
      <c r="B1923" s="29">
        <f>B1922</f>
        <v>0</v>
      </c>
      <c r="C1923" s="30">
        <f>C1922</f>
        <v>0</v>
      </c>
      <c r="D1923" s="30">
        <f>D1922</f>
        <v>0</v>
      </c>
      <c r="E1923" s="29">
        <f>E1922</f>
        <v>0</v>
      </c>
      <c r="F1923" s="29">
        <f>F1922</f>
        <v>0</v>
      </c>
      <c r="G1923" s="29" t="e">
        <f>IF(C1922=1,IF(D1922="BUY",E1922+(ROUND(F1922*G1922/B1922,0)*B1922),E1922-(ROUND(F1922*G1922/B1922,0)*B1922)),IF(D1922="BUY",E1922-(ROUND(F1922*G1922/B1922,0)*B1922),E1922+(ROUND(F1922*G1922/B1922,0)*B1922)))</f>
        <v>#DIV/0!</v>
      </c>
      <c r="H1923" s="29" t="e">
        <f>IF(C1922=1,IF(D1922="BUY",G1923-(ROUND(F1922*H1922/B1922,0)*B1922),G1923+(ROUND(F1922*H1922/B1922,0)*B1922)),IF(D1922="BUY",G1923+(ROUND(F1922*H1922/B1922,0)*B1922),G1923-(ROUND(F1922*H1922/B1922,0)*B1922)))</f>
        <v>#DIV/0!</v>
      </c>
      <c r="I1923" s="29" t="e">
        <f>IF(D1922="BUY",G1923+(ROUND(F1922*I1922/(B1922*100),0)*B1922),G1923-(ROUND(F1922*I1922/(B1922*100),0)*B1922))</f>
        <v>#DIV/0!</v>
      </c>
      <c r="J1923" s="29" t="e">
        <f>IF(C1922=1,IF(D1922="BUY",E1922+(ROUND(F1922*J1922/B1922,0)*B1922),E1922-(ROUND(F1922*J1922/B1922,0)*B1922)),IF(D1922="BUY",E1922-(ROUND(F1922*J1922/B1922,0)*B1922),E1922+(ROUND(F1922*J1922/B1922,0)*B1922)))</f>
        <v>#DIV/0!</v>
      </c>
      <c r="K1923" s="29" t="e">
        <f>IF(C1922=1,IF(D1922="BUY",E1922-(ROUND(F1922*K1922/B1922,0)*B1922),E1922+(ROUND(F1922*K1922/B1922,0)*B1922)),IF(D1922="BUY",E1922-(ROUND(F1922*K1922/B1922,0)*B1922),E1922+(ROUND(F1922*K1922/B1922,0)*B1922)))</f>
        <v>#DIV/0!</v>
      </c>
      <c r="L1923" s="29" t="e">
        <f t="shared" ref="L1923" si="2879">IF(D1923="BUY",I1923+(R1923*B1923),I1923-(R1923*B1923))</f>
        <v>#DIV/0!</v>
      </c>
      <c r="M1923" s="29" t="e">
        <f>IF(D1922="BUY",E1922+(ROUND(F1922*M1922/B1922,0)*B1922),E1922-(ROUND(F1922*M1922/B1922,0)*B1922))</f>
        <v>#DIV/0!</v>
      </c>
      <c r="N1923" s="29" t="e">
        <f>IF(D1922="BUY",E1922-(ROUND(F1922*N1922/B1922,0)*B1922),E1922+(ROUND(F1922*N1922/B1922,0)*B1922))</f>
        <v>#DIV/0!</v>
      </c>
      <c r="O1923" s="31" t="e">
        <f>IF(D1923="BUY",N1923-VLOOKUP(A1923,Symbols!A$1:D$1000,4,FALSE),N1923+VLOOKUP(A1923,Symbols!A$1:D$1000,4,FALSE))</f>
        <v>#DIV/0!</v>
      </c>
      <c r="P1923" s="29">
        <f>P1922</f>
        <v>0</v>
      </c>
      <c r="Q1923" s="29">
        <f>Q1922</f>
        <v>0</v>
      </c>
      <c r="R1923" s="29">
        <f>R1922</f>
        <v>0</v>
      </c>
      <c r="S1923" s="29">
        <f>S1922</f>
        <v>0</v>
      </c>
      <c r="T1923" s="29">
        <f>T1922</f>
        <v>0</v>
      </c>
      <c r="U1923" s="29" t="e">
        <f>DATEDIF(DATE(1970,1,1),U1922,"D")*86400</f>
        <v>#NUM!</v>
      </c>
      <c r="V1923" s="29">
        <f>HOUR(V1922)*3600+MINUTE(V1922)*60+SECOND(V1922)</f>
        <v>0</v>
      </c>
      <c r="W1923" s="29" t="e">
        <f>DATEDIF(DATE(1970,1,1),W1922,"D")*86400</f>
        <v>#NUM!</v>
      </c>
      <c r="X1923" s="29">
        <f>HOUR(X1922)*3600+MINUTE(X1922)*60+SECOND(X1922)</f>
        <v>0</v>
      </c>
      <c r="Y1923" s="31">
        <f>(Y1922*B1923)</f>
        <v>0</v>
      </c>
      <c r="Z1923" s="29">
        <f>Z1922</f>
        <v>0</v>
      </c>
      <c r="AA1923" s="29" t="e">
        <f>DATEDIF(DATE(1970,1,1),AA1922,"D")*86400</f>
        <v>#NUM!</v>
      </c>
      <c r="AB1923" s="29">
        <f>HOUR(AB1922)*3600+MINUTE(AB1922)*60+SECOND(AB1922)</f>
        <v>0</v>
      </c>
      <c r="AC1923" s="29">
        <f>AC1922</f>
        <v>0</v>
      </c>
    </row>
    <row r="1924" spans="1:29">
      <c r="A1924" s="23">
        <f>Parameters!A963</f>
        <v>0</v>
      </c>
      <c r="B1924" s="23">
        <f>Parameters!B963</f>
        <v>0</v>
      </c>
      <c r="C1924" s="24">
        <f>Parameters!C963</f>
        <v>0</v>
      </c>
      <c r="D1924" s="24">
        <f>Parameters!D963</f>
        <v>0</v>
      </c>
      <c r="E1924" s="23">
        <f>Parameters!E963</f>
        <v>0</v>
      </c>
      <c r="F1924" s="23">
        <f>Parameters!F963</f>
        <v>0</v>
      </c>
      <c r="G1924" s="25">
        <f>Parameters!G963</f>
        <v>0</v>
      </c>
      <c r="H1924" s="25">
        <f>Parameters!H963</f>
        <v>0</v>
      </c>
      <c r="I1924" s="25">
        <f>Parameters!I963</f>
        <v>0</v>
      </c>
      <c r="J1924" s="25">
        <f>Parameters!J963</f>
        <v>0</v>
      </c>
      <c r="K1924" s="25">
        <f>Parameters!K963</f>
        <v>0</v>
      </c>
      <c r="L1924" s="26" t="e">
        <f t="shared" ref="L1924" si="2880">L1925</f>
        <v>#DIV/0!</v>
      </c>
      <c r="M1924" s="25">
        <f>Parameters!L963</f>
        <v>0</v>
      </c>
      <c r="N1924" s="25">
        <f>Parameters!M963</f>
        <v>0</v>
      </c>
      <c r="O1924" s="26" t="e">
        <f t="shared" ref="O1924" si="2881">O1925</f>
        <v>#DIV/0!</v>
      </c>
      <c r="P1924" s="23">
        <f>Parameters!N963</f>
        <v>0</v>
      </c>
      <c r="Q1924" s="23">
        <f>Parameters!O963</f>
        <v>0</v>
      </c>
      <c r="R1924" s="23">
        <f>Parameters!P963</f>
        <v>0</v>
      </c>
      <c r="S1924" s="23">
        <f>Parameters!Q963</f>
        <v>0</v>
      </c>
      <c r="T1924" s="23">
        <f>Parameters!R963</f>
        <v>0</v>
      </c>
      <c r="U1924" s="27">
        <f>Parameters!S963</f>
        <v>0</v>
      </c>
      <c r="V1924" s="28">
        <f>Parameters!T963</f>
        <v>0</v>
      </c>
      <c r="W1924" s="27">
        <f>Parameters!U963</f>
        <v>0</v>
      </c>
      <c r="X1924" s="28">
        <f>Parameters!V963</f>
        <v>0</v>
      </c>
      <c r="Y1924" s="25">
        <f>Parameters!W963</f>
        <v>0</v>
      </c>
      <c r="Z1924" s="23">
        <f>Parameters!X963</f>
        <v>0</v>
      </c>
      <c r="AA1924" s="27">
        <f>Parameters!Y963</f>
        <v>0</v>
      </c>
      <c r="AB1924" s="28">
        <f>Parameters!Z963</f>
        <v>0</v>
      </c>
      <c r="AC1924" s="23">
        <f>Parameters!AA963</f>
        <v>0</v>
      </c>
    </row>
    <row r="1925" spans="1:29">
      <c r="A1925" s="29" t="str">
        <f>UPPER(A1924)</f>
        <v>0</v>
      </c>
      <c r="B1925" s="29">
        <f>B1924</f>
        <v>0</v>
      </c>
      <c r="C1925" s="30">
        <f>C1924</f>
        <v>0</v>
      </c>
      <c r="D1925" s="30">
        <f>D1924</f>
        <v>0</v>
      </c>
      <c r="E1925" s="29">
        <f>E1924</f>
        <v>0</v>
      </c>
      <c r="F1925" s="29">
        <f>F1924</f>
        <v>0</v>
      </c>
      <c r="G1925" s="29" t="e">
        <f>IF(C1924=1,IF(D1924="BUY",E1924+(ROUND(F1924*G1924/B1924,0)*B1924),E1924-(ROUND(F1924*G1924/B1924,0)*B1924)),IF(D1924="BUY",E1924-(ROUND(F1924*G1924/B1924,0)*B1924),E1924+(ROUND(F1924*G1924/B1924,0)*B1924)))</f>
        <v>#DIV/0!</v>
      </c>
      <c r="H1925" s="29" t="e">
        <f>IF(C1924=1,IF(D1924="BUY",G1925-(ROUND(F1924*H1924/B1924,0)*B1924),G1925+(ROUND(F1924*H1924/B1924,0)*B1924)),IF(D1924="BUY",G1925+(ROUND(F1924*H1924/B1924,0)*B1924),G1925-(ROUND(F1924*H1924/B1924,0)*B1924)))</f>
        <v>#DIV/0!</v>
      </c>
      <c r="I1925" s="29" t="e">
        <f>IF(D1924="BUY",G1925+(ROUND(F1924*I1924/(B1924*100),0)*B1924),G1925-(ROUND(F1924*I1924/(B1924*100),0)*B1924))</f>
        <v>#DIV/0!</v>
      </c>
      <c r="J1925" s="29" t="e">
        <f>IF(C1924=1,IF(D1924="BUY",E1924+(ROUND(F1924*J1924/B1924,0)*B1924),E1924-(ROUND(F1924*J1924/B1924,0)*B1924)),IF(D1924="BUY",E1924-(ROUND(F1924*J1924/B1924,0)*B1924),E1924+(ROUND(F1924*J1924/B1924,0)*B1924)))</f>
        <v>#DIV/0!</v>
      </c>
      <c r="K1925" s="29" t="e">
        <f>IF(C1924=1,IF(D1924="BUY",E1924-(ROUND(F1924*K1924/B1924,0)*B1924),E1924+(ROUND(F1924*K1924/B1924,0)*B1924)),IF(D1924="BUY",E1924-(ROUND(F1924*K1924/B1924,0)*B1924),E1924+(ROUND(F1924*K1924/B1924,0)*B1924)))</f>
        <v>#DIV/0!</v>
      </c>
      <c r="L1925" s="29" t="e">
        <f t="shared" ref="L1925" si="2882">IF(D1925="BUY",I1925+(R1925*B1925),I1925-(R1925*B1925))</f>
        <v>#DIV/0!</v>
      </c>
      <c r="M1925" s="29" t="e">
        <f>IF(D1924="BUY",E1924+(ROUND(F1924*M1924/B1924,0)*B1924),E1924-(ROUND(F1924*M1924/B1924,0)*B1924))</f>
        <v>#DIV/0!</v>
      </c>
      <c r="N1925" s="29" t="e">
        <f>IF(D1924="BUY",E1924-(ROUND(F1924*N1924/B1924,0)*B1924),E1924+(ROUND(F1924*N1924/B1924,0)*B1924))</f>
        <v>#DIV/0!</v>
      </c>
      <c r="O1925" s="31" t="e">
        <f>IF(D1925="BUY",N1925-VLOOKUP(A1925,Symbols!A$1:D$1000,4,FALSE),N1925+VLOOKUP(A1925,Symbols!A$1:D$1000,4,FALSE))</f>
        <v>#DIV/0!</v>
      </c>
      <c r="P1925" s="29">
        <f>P1924</f>
        <v>0</v>
      </c>
      <c r="Q1925" s="29">
        <f>Q1924</f>
        <v>0</v>
      </c>
      <c r="R1925" s="29">
        <f>R1924</f>
        <v>0</v>
      </c>
      <c r="S1925" s="29">
        <f>S1924</f>
        <v>0</v>
      </c>
      <c r="T1925" s="29">
        <f>T1924</f>
        <v>0</v>
      </c>
      <c r="U1925" s="29" t="e">
        <f>DATEDIF(DATE(1970,1,1),U1924,"D")*86400</f>
        <v>#NUM!</v>
      </c>
      <c r="V1925" s="29">
        <f>HOUR(V1924)*3600+MINUTE(V1924)*60+SECOND(V1924)</f>
        <v>0</v>
      </c>
      <c r="W1925" s="29" t="e">
        <f>DATEDIF(DATE(1970,1,1),W1924,"D")*86400</f>
        <v>#NUM!</v>
      </c>
      <c r="X1925" s="29">
        <f>HOUR(X1924)*3600+MINUTE(X1924)*60+SECOND(X1924)</f>
        <v>0</v>
      </c>
      <c r="Y1925" s="31">
        <f>(Y1924*B1925)</f>
        <v>0</v>
      </c>
      <c r="Z1925" s="29">
        <f>Z1924</f>
        <v>0</v>
      </c>
      <c r="AA1925" s="29" t="e">
        <f>DATEDIF(DATE(1970,1,1),AA1924,"D")*86400</f>
        <v>#NUM!</v>
      </c>
      <c r="AB1925" s="29">
        <f>HOUR(AB1924)*3600+MINUTE(AB1924)*60+SECOND(AB1924)</f>
        <v>0</v>
      </c>
      <c r="AC1925" s="29">
        <f>AC1924</f>
        <v>0</v>
      </c>
    </row>
    <row r="1926" spans="1:29">
      <c r="A1926" s="23">
        <f>Parameters!A964</f>
        <v>0</v>
      </c>
      <c r="B1926" s="23">
        <f>Parameters!B964</f>
        <v>0</v>
      </c>
      <c r="C1926" s="24">
        <f>Parameters!C964</f>
        <v>0</v>
      </c>
      <c r="D1926" s="24">
        <f>Parameters!D964</f>
        <v>0</v>
      </c>
      <c r="E1926" s="23">
        <f>Parameters!E964</f>
        <v>0</v>
      </c>
      <c r="F1926" s="23">
        <f>Parameters!F964</f>
        <v>0</v>
      </c>
      <c r="G1926" s="25">
        <f>Parameters!G964</f>
        <v>0</v>
      </c>
      <c r="H1926" s="25">
        <f>Parameters!H964</f>
        <v>0</v>
      </c>
      <c r="I1926" s="25">
        <f>Parameters!I964</f>
        <v>0</v>
      </c>
      <c r="J1926" s="25">
        <f>Parameters!J964</f>
        <v>0</v>
      </c>
      <c r="K1926" s="25">
        <f>Parameters!K964</f>
        <v>0</v>
      </c>
      <c r="L1926" s="26" t="e">
        <f t="shared" ref="L1926" si="2883">L1927</f>
        <v>#DIV/0!</v>
      </c>
      <c r="M1926" s="25">
        <f>Parameters!L964</f>
        <v>0</v>
      </c>
      <c r="N1926" s="25">
        <f>Parameters!M964</f>
        <v>0</v>
      </c>
      <c r="O1926" s="26" t="e">
        <f t="shared" ref="O1926" si="2884">O1927</f>
        <v>#DIV/0!</v>
      </c>
      <c r="P1926" s="23">
        <f>Parameters!N964</f>
        <v>0</v>
      </c>
      <c r="Q1926" s="23">
        <f>Parameters!O964</f>
        <v>0</v>
      </c>
      <c r="R1926" s="23">
        <f>Parameters!P964</f>
        <v>0</v>
      </c>
      <c r="S1926" s="23">
        <f>Parameters!Q964</f>
        <v>0</v>
      </c>
      <c r="T1926" s="23">
        <f>Parameters!R964</f>
        <v>0</v>
      </c>
      <c r="U1926" s="27">
        <f>Parameters!S964</f>
        <v>0</v>
      </c>
      <c r="V1926" s="28">
        <f>Parameters!T964</f>
        <v>0</v>
      </c>
      <c r="W1926" s="27">
        <f>Parameters!U964</f>
        <v>0</v>
      </c>
      <c r="X1926" s="28">
        <f>Parameters!V964</f>
        <v>0</v>
      </c>
      <c r="Y1926" s="25">
        <f>Parameters!W964</f>
        <v>0</v>
      </c>
      <c r="Z1926" s="23">
        <f>Parameters!X964</f>
        <v>0</v>
      </c>
      <c r="AA1926" s="27">
        <f>Parameters!Y964</f>
        <v>0</v>
      </c>
      <c r="AB1926" s="28">
        <f>Parameters!Z964</f>
        <v>0</v>
      </c>
      <c r="AC1926" s="23">
        <f>Parameters!AA964</f>
        <v>0</v>
      </c>
    </row>
    <row r="1927" spans="1:29">
      <c r="A1927" s="29" t="str">
        <f>UPPER(A1926)</f>
        <v>0</v>
      </c>
      <c r="B1927" s="29">
        <f>B1926</f>
        <v>0</v>
      </c>
      <c r="C1927" s="30">
        <f>C1926</f>
        <v>0</v>
      </c>
      <c r="D1927" s="30">
        <f>D1926</f>
        <v>0</v>
      </c>
      <c r="E1927" s="29">
        <f>E1926</f>
        <v>0</v>
      </c>
      <c r="F1927" s="29">
        <f>F1926</f>
        <v>0</v>
      </c>
      <c r="G1927" s="29" t="e">
        <f>IF(C1926=1,IF(D1926="BUY",E1926+(ROUND(F1926*G1926/B1926,0)*B1926),E1926-(ROUND(F1926*G1926/B1926,0)*B1926)),IF(D1926="BUY",E1926-(ROUND(F1926*G1926/B1926,0)*B1926),E1926+(ROUND(F1926*G1926/B1926,0)*B1926)))</f>
        <v>#DIV/0!</v>
      </c>
      <c r="H1927" s="29" t="e">
        <f>IF(C1926=1,IF(D1926="BUY",G1927-(ROUND(F1926*H1926/B1926,0)*B1926),G1927+(ROUND(F1926*H1926/B1926,0)*B1926)),IF(D1926="BUY",G1927+(ROUND(F1926*H1926/B1926,0)*B1926),G1927-(ROUND(F1926*H1926/B1926,0)*B1926)))</f>
        <v>#DIV/0!</v>
      </c>
      <c r="I1927" s="29" t="e">
        <f>IF(D1926="BUY",G1927+(ROUND(F1926*I1926/(B1926*100),0)*B1926),G1927-(ROUND(F1926*I1926/(B1926*100),0)*B1926))</f>
        <v>#DIV/0!</v>
      </c>
      <c r="J1927" s="29" t="e">
        <f>IF(C1926=1,IF(D1926="BUY",E1926+(ROUND(F1926*J1926/B1926,0)*B1926),E1926-(ROUND(F1926*J1926/B1926,0)*B1926)),IF(D1926="BUY",E1926-(ROUND(F1926*J1926/B1926,0)*B1926),E1926+(ROUND(F1926*J1926/B1926,0)*B1926)))</f>
        <v>#DIV/0!</v>
      </c>
      <c r="K1927" s="29" t="e">
        <f>IF(C1926=1,IF(D1926="BUY",E1926-(ROUND(F1926*K1926/B1926,0)*B1926),E1926+(ROUND(F1926*K1926/B1926,0)*B1926)),IF(D1926="BUY",E1926-(ROUND(F1926*K1926/B1926,0)*B1926),E1926+(ROUND(F1926*K1926/B1926,0)*B1926)))</f>
        <v>#DIV/0!</v>
      </c>
      <c r="L1927" s="29" t="e">
        <f t="shared" ref="L1927" si="2885">IF(D1927="BUY",I1927+(R1927*B1927),I1927-(R1927*B1927))</f>
        <v>#DIV/0!</v>
      </c>
      <c r="M1927" s="29" t="e">
        <f>IF(D1926="BUY",E1926+(ROUND(F1926*M1926/B1926,0)*B1926),E1926-(ROUND(F1926*M1926/B1926,0)*B1926))</f>
        <v>#DIV/0!</v>
      </c>
      <c r="N1927" s="29" t="e">
        <f>IF(D1926="BUY",E1926-(ROUND(F1926*N1926/B1926,0)*B1926),E1926+(ROUND(F1926*N1926/B1926,0)*B1926))</f>
        <v>#DIV/0!</v>
      </c>
      <c r="O1927" s="31" t="e">
        <f>IF(D1927="BUY",N1927-VLOOKUP(A1927,Symbols!A$1:D$1000,4,FALSE),N1927+VLOOKUP(A1927,Symbols!A$1:D$1000,4,FALSE))</f>
        <v>#DIV/0!</v>
      </c>
      <c r="P1927" s="29">
        <f>P1926</f>
        <v>0</v>
      </c>
      <c r="Q1927" s="29">
        <f>Q1926</f>
        <v>0</v>
      </c>
      <c r="R1927" s="29">
        <f>R1926</f>
        <v>0</v>
      </c>
      <c r="S1927" s="29">
        <f>S1926</f>
        <v>0</v>
      </c>
      <c r="T1927" s="29">
        <f>T1926</f>
        <v>0</v>
      </c>
      <c r="U1927" s="29" t="e">
        <f>DATEDIF(DATE(1970,1,1),U1926,"D")*86400</f>
        <v>#NUM!</v>
      </c>
      <c r="V1927" s="29">
        <f>HOUR(V1926)*3600+MINUTE(V1926)*60+SECOND(V1926)</f>
        <v>0</v>
      </c>
      <c r="W1927" s="29" t="e">
        <f>DATEDIF(DATE(1970,1,1),W1926,"D")*86400</f>
        <v>#NUM!</v>
      </c>
      <c r="X1927" s="29">
        <f>HOUR(X1926)*3600+MINUTE(X1926)*60+SECOND(X1926)</f>
        <v>0</v>
      </c>
      <c r="Y1927" s="31">
        <f>(Y1926*B1927)</f>
        <v>0</v>
      </c>
      <c r="Z1927" s="29">
        <f>Z1926</f>
        <v>0</v>
      </c>
      <c r="AA1927" s="29" t="e">
        <f>DATEDIF(DATE(1970,1,1),AA1926,"D")*86400</f>
        <v>#NUM!</v>
      </c>
      <c r="AB1927" s="29">
        <f>HOUR(AB1926)*3600+MINUTE(AB1926)*60+SECOND(AB1926)</f>
        <v>0</v>
      </c>
      <c r="AC1927" s="29">
        <f>AC1926</f>
        <v>0</v>
      </c>
    </row>
    <row r="1928" spans="1:29">
      <c r="A1928" s="23">
        <f>Parameters!A965</f>
        <v>0</v>
      </c>
      <c r="B1928" s="23">
        <f>Parameters!B965</f>
        <v>0</v>
      </c>
      <c r="C1928" s="24">
        <f>Parameters!C965</f>
        <v>0</v>
      </c>
      <c r="D1928" s="24">
        <f>Parameters!D965</f>
        <v>0</v>
      </c>
      <c r="E1928" s="23">
        <f>Parameters!E965</f>
        <v>0</v>
      </c>
      <c r="F1928" s="23">
        <f>Parameters!F965</f>
        <v>0</v>
      </c>
      <c r="G1928" s="25">
        <f>Parameters!G965</f>
        <v>0</v>
      </c>
      <c r="H1928" s="25">
        <f>Parameters!H965</f>
        <v>0</v>
      </c>
      <c r="I1928" s="25">
        <f>Parameters!I965</f>
        <v>0</v>
      </c>
      <c r="J1928" s="25">
        <f>Parameters!J965</f>
        <v>0</v>
      </c>
      <c r="K1928" s="25">
        <f>Parameters!K965</f>
        <v>0</v>
      </c>
      <c r="L1928" s="26" t="e">
        <f t="shared" ref="L1928" si="2886">L1929</f>
        <v>#DIV/0!</v>
      </c>
      <c r="M1928" s="25">
        <f>Parameters!L965</f>
        <v>0</v>
      </c>
      <c r="N1928" s="25">
        <f>Parameters!M965</f>
        <v>0</v>
      </c>
      <c r="O1928" s="26" t="e">
        <f t="shared" ref="O1928" si="2887">O1929</f>
        <v>#DIV/0!</v>
      </c>
      <c r="P1928" s="23">
        <f>Parameters!N965</f>
        <v>0</v>
      </c>
      <c r="Q1928" s="23">
        <f>Parameters!O965</f>
        <v>0</v>
      </c>
      <c r="R1928" s="23">
        <f>Parameters!P965</f>
        <v>0</v>
      </c>
      <c r="S1928" s="23">
        <f>Parameters!Q965</f>
        <v>0</v>
      </c>
      <c r="T1928" s="23">
        <f>Parameters!R965</f>
        <v>0</v>
      </c>
      <c r="U1928" s="27">
        <f>Parameters!S965</f>
        <v>0</v>
      </c>
      <c r="V1928" s="28">
        <f>Parameters!T965</f>
        <v>0</v>
      </c>
      <c r="W1928" s="27">
        <f>Parameters!U965</f>
        <v>0</v>
      </c>
      <c r="X1928" s="28">
        <f>Parameters!V965</f>
        <v>0</v>
      </c>
      <c r="Y1928" s="25">
        <f>Parameters!W965</f>
        <v>0</v>
      </c>
      <c r="Z1928" s="23">
        <f>Parameters!X965</f>
        <v>0</v>
      </c>
      <c r="AA1928" s="27">
        <f>Parameters!Y965</f>
        <v>0</v>
      </c>
      <c r="AB1928" s="28">
        <f>Parameters!Z965</f>
        <v>0</v>
      </c>
      <c r="AC1928" s="23">
        <f>Parameters!AA965</f>
        <v>0</v>
      </c>
    </row>
    <row r="1929" spans="1:29">
      <c r="A1929" s="29" t="str">
        <f>UPPER(A1928)</f>
        <v>0</v>
      </c>
      <c r="B1929" s="29">
        <f>B1928</f>
        <v>0</v>
      </c>
      <c r="C1929" s="30">
        <f>C1928</f>
        <v>0</v>
      </c>
      <c r="D1929" s="30">
        <f>D1928</f>
        <v>0</v>
      </c>
      <c r="E1929" s="29">
        <f>E1928</f>
        <v>0</v>
      </c>
      <c r="F1929" s="29">
        <f>F1928</f>
        <v>0</v>
      </c>
      <c r="G1929" s="29" t="e">
        <f>IF(C1928=1,IF(D1928="BUY",E1928+(ROUND(F1928*G1928/B1928,0)*B1928),E1928-(ROUND(F1928*G1928/B1928,0)*B1928)),IF(D1928="BUY",E1928-(ROUND(F1928*G1928/B1928,0)*B1928),E1928+(ROUND(F1928*G1928/B1928,0)*B1928)))</f>
        <v>#DIV/0!</v>
      </c>
      <c r="H1929" s="29" t="e">
        <f>IF(C1928=1,IF(D1928="BUY",G1929-(ROUND(F1928*H1928/B1928,0)*B1928),G1929+(ROUND(F1928*H1928/B1928,0)*B1928)),IF(D1928="BUY",G1929+(ROUND(F1928*H1928/B1928,0)*B1928),G1929-(ROUND(F1928*H1928/B1928,0)*B1928)))</f>
        <v>#DIV/0!</v>
      </c>
      <c r="I1929" s="29" t="e">
        <f>IF(D1928="BUY",G1929+(ROUND(F1928*I1928/(B1928*100),0)*B1928),G1929-(ROUND(F1928*I1928/(B1928*100),0)*B1928))</f>
        <v>#DIV/0!</v>
      </c>
      <c r="J1929" s="29" t="e">
        <f>IF(C1928=1,IF(D1928="BUY",E1928+(ROUND(F1928*J1928/B1928,0)*B1928),E1928-(ROUND(F1928*J1928/B1928,0)*B1928)),IF(D1928="BUY",E1928-(ROUND(F1928*J1928/B1928,0)*B1928),E1928+(ROUND(F1928*J1928/B1928,0)*B1928)))</f>
        <v>#DIV/0!</v>
      </c>
      <c r="K1929" s="29" t="e">
        <f>IF(C1928=1,IF(D1928="BUY",E1928-(ROUND(F1928*K1928/B1928,0)*B1928),E1928+(ROUND(F1928*K1928/B1928,0)*B1928)),IF(D1928="BUY",E1928-(ROUND(F1928*K1928/B1928,0)*B1928),E1928+(ROUND(F1928*K1928/B1928,0)*B1928)))</f>
        <v>#DIV/0!</v>
      </c>
      <c r="L1929" s="29" t="e">
        <f t="shared" ref="L1929" si="2888">IF(D1929="BUY",I1929+(R1929*B1929),I1929-(R1929*B1929))</f>
        <v>#DIV/0!</v>
      </c>
      <c r="M1929" s="29" t="e">
        <f>IF(D1928="BUY",E1928+(ROUND(F1928*M1928/B1928,0)*B1928),E1928-(ROUND(F1928*M1928/B1928,0)*B1928))</f>
        <v>#DIV/0!</v>
      </c>
      <c r="N1929" s="29" t="e">
        <f>IF(D1928="BUY",E1928-(ROUND(F1928*N1928/B1928,0)*B1928),E1928+(ROUND(F1928*N1928/B1928,0)*B1928))</f>
        <v>#DIV/0!</v>
      </c>
      <c r="O1929" s="31" t="e">
        <f>IF(D1929="BUY",N1929-VLOOKUP(A1929,Symbols!A$1:D$1000,4,FALSE),N1929+VLOOKUP(A1929,Symbols!A$1:D$1000,4,FALSE))</f>
        <v>#DIV/0!</v>
      </c>
      <c r="P1929" s="29">
        <f>P1928</f>
        <v>0</v>
      </c>
      <c r="Q1929" s="29">
        <f>Q1928</f>
        <v>0</v>
      </c>
      <c r="R1929" s="29">
        <f>R1928</f>
        <v>0</v>
      </c>
      <c r="S1929" s="29">
        <f>S1928</f>
        <v>0</v>
      </c>
      <c r="T1929" s="29">
        <f>T1928</f>
        <v>0</v>
      </c>
      <c r="U1929" s="29" t="e">
        <f>DATEDIF(DATE(1970,1,1),U1928,"D")*86400</f>
        <v>#NUM!</v>
      </c>
      <c r="V1929" s="29">
        <f>HOUR(V1928)*3600+MINUTE(V1928)*60+SECOND(V1928)</f>
        <v>0</v>
      </c>
      <c r="W1929" s="29" t="e">
        <f>DATEDIF(DATE(1970,1,1),W1928,"D")*86400</f>
        <v>#NUM!</v>
      </c>
      <c r="X1929" s="29">
        <f>HOUR(X1928)*3600+MINUTE(X1928)*60+SECOND(X1928)</f>
        <v>0</v>
      </c>
      <c r="Y1929" s="31">
        <f>(Y1928*B1929)</f>
        <v>0</v>
      </c>
      <c r="Z1929" s="29">
        <f>Z1928</f>
        <v>0</v>
      </c>
      <c r="AA1929" s="29" t="e">
        <f>DATEDIF(DATE(1970,1,1),AA1928,"D")*86400</f>
        <v>#NUM!</v>
      </c>
      <c r="AB1929" s="29">
        <f>HOUR(AB1928)*3600+MINUTE(AB1928)*60+SECOND(AB1928)</f>
        <v>0</v>
      </c>
      <c r="AC1929" s="29">
        <f>AC1928</f>
        <v>0</v>
      </c>
    </row>
    <row r="1930" spans="1:29">
      <c r="A1930" s="23">
        <f>Parameters!A966</f>
        <v>0</v>
      </c>
      <c r="B1930" s="23">
        <f>Parameters!B966</f>
        <v>0</v>
      </c>
      <c r="C1930" s="24">
        <f>Parameters!C966</f>
        <v>0</v>
      </c>
      <c r="D1930" s="24">
        <f>Parameters!D966</f>
        <v>0</v>
      </c>
      <c r="E1930" s="23">
        <f>Parameters!E966</f>
        <v>0</v>
      </c>
      <c r="F1930" s="23">
        <f>Parameters!F966</f>
        <v>0</v>
      </c>
      <c r="G1930" s="25">
        <f>Parameters!G966</f>
        <v>0</v>
      </c>
      <c r="H1930" s="25">
        <f>Parameters!H966</f>
        <v>0</v>
      </c>
      <c r="I1930" s="25">
        <f>Parameters!I966</f>
        <v>0</v>
      </c>
      <c r="J1930" s="25">
        <f>Parameters!J966</f>
        <v>0</v>
      </c>
      <c r="K1930" s="25">
        <f>Parameters!K966</f>
        <v>0</v>
      </c>
      <c r="L1930" s="26" t="e">
        <f t="shared" ref="L1930" si="2889">L1931</f>
        <v>#DIV/0!</v>
      </c>
      <c r="M1930" s="25">
        <f>Parameters!L966</f>
        <v>0</v>
      </c>
      <c r="N1930" s="25">
        <f>Parameters!M966</f>
        <v>0</v>
      </c>
      <c r="O1930" s="26" t="e">
        <f t="shared" ref="O1930" si="2890">O1931</f>
        <v>#DIV/0!</v>
      </c>
      <c r="P1930" s="23">
        <f>Parameters!N966</f>
        <v>0</v>
      </c>
      <c r="Q1930" s="23">
        <f>Parameters!O966</f>
        <v>0</v>
      </c>
      <c r="R1930" s="23">
        <f>Parameters!P966</f>
        <v>0</v>
      </c>
      <c r="S1930" s="23">
        <f>Parameters!Q966</f>
        <v>0</v>
      </c>
      <c r="T1930" s="23">
        <f>Parameters!R966</f>
        <v>0</v>
      </c>
      <c r="U1930" s="27">
        <f>Parameters!S966</f>
        <v>0</v>
      </c>
      <c r="V1930" s="28">
        <f>Parameters!T966</f>
        <v>0</v>
      </c>
      <c r="W1930" s="27">
        <f>Parameters!U966</f>
        <v>0</v>
      </c>
      <c r="X1930" s="28">
        <f>Parameters!V966</f>
        <v>0</v>
      </c>
      <c r="Y1930" s="25">
        <f>Parameters!W966</f>
        <v>0</v>
      </c>
      <c r="Z1930" s="23">
        <f>Parameters!X966</f>
        <v>0</v>
      </c>
      <c r="AA1930" s="27">
        <f>Parameters!Y966</f>
        <v>0</v>
      </c>
      <c r="AB1930" s="28">
        <f>Parameters!Z966</f>
        <v>0</v>
      </c>
      <c r="AC1930" s="23">
        <f>Parameters!AA966</f>
        <v>0</v>
      </c>
    </row>
    <row r="1931" spans="1:29">
      <c r="A1931" s="29" t="str">
        <f>UPPER(A1930)</f>
        <v>0</v>
      </c>
      <c r="B1931" s="29">
        <f>B1930</f>
        <v>0</v>
      </c>
      <c r="C1931" s="30">
        <f>C1930</f>
        <v>0</v>
      </c>
      <c r="D1931" s="30">
        <f>D1930</f>
        <v>0</v>
      </c>
      <c r="E1931" s="29">
        <f>E1930</f>
        <v>0</v>
      </c>
      <c r="F1931" s="29">
        <f>F1930</f>
        <v>0</v>
      </c>
      <c r="G1931" s="29" t="e">
        <f>IF(C1930=1,IF(D1930="BUY",E1930+(ROUND(F1930*G1930/B1930,0)*B1930),E1930-(ROUND(F1930*G1930/B1930,0)*B1930)),IF(D1930="BUY",E1930-(ROUND(F1930*G1930/B1930,0)*B1930),E1930+(ROUND(F1930*G1930/B1930,0)*B1930)))</f>
        <v>#DIV/0!</v>
      </c>
      <c r="H1931" s="29" t="e">
        <f>IF(C1930=1,IF(D1930="BUY",G1931-(ROUND(F1930*H1930/B1930,0)*B1930),G1931+(ROUND(F1930*H1930/B1930,0)*B1930)),IF(D1930="BUY",G1931+(ROUND(F1930*H1930/B1930,0)*B1930),G1931-(ROUND(F1930*H1930/B1930,0)*B1930)))</f>
        <v>#DIV/0!</v>
      </c>
      <c r="I1931" s="29" t="e">
        <f>IF(D1930="BUY",G1931+(ROUND(F1930*I1930/(B1930*100),0)*B1930),G1931-(ROUND(F1930*I1930/(B1930*100),0)*B1930))</f>
        <v>#DIV/0!</v>
      </c>
      <c r="J1931" s="29" t="e">
        <f>IF(C1930=1,IF(D1930="BUY",E1930+(ROUND(F1930*J1930/B1930,0)*B1930),E1930-(ROUND(F1930*J1930/B1930,0)*B1930)),IF(D1930="BUY",E1930-(ROUND(F1930*J1930/B1930,0)*B1930),E1930+(ROUND(F1930*J1930/B1930,0)*B1930)))</f>
        <v>#DIV/0!</v>
      </c>
      <c r="K1931" s="29" t="e">
        <f>IF(C1930=1,IF(D1930="BUY",E1930-(ROUND(F1930*K1930/B1930,0)*B1930),E1930+(ROUND(F1930*K1930/B1930,0)*B1930)),IF(D1930="BUY",E1930-(ROUND(F1930*K1930/B1930,0)*B1930),E1930+(ROUND(F1930*K1930/B1930,0)*B1930)))</f>
        <v>#DIV/0!</v>
      </c>
      <c r="L1931" s="29" t="e">
        <f t="shared" ref="L1931" si="2891">IF(D1931="BUY",I1931+(R1931*B1931),I1931-(R1931*B1931))</f>
        <v>#DIV/0!</v>
      </c>
      <c r="M1931" s="29" t="e">
        <f>IF(D1930="BUY",E1930+(ROUND(F1930*M1930/B1930,0)*B1930),E1930-(ROUND(F1930*M1930/B1930,0)*B1930))</f>
        <v>#DIV/0!</v>
      </c>
      <c r="N1931" s="29" t="e">
        <f>IF(D1930="BUY",E1930-(ROUND(F1930*N1930/B1930,0)*B1930),E1930+(ROUND(F1930*N1930/B1930,0)*B1930))</f>
        <v>#DIV/0!</v>
      </c>
      <c r="O1931" s="31" t="e">
        <f>IF(D1931="BUY",N1931-VLOOKUP(A1931,Symbols!A$1:D$1000,4,FALSE),N1931+VLOOKUP(A1931,Symbols!A$1:D$1000,4,FALSE))</f>
        <v>#DIV/0!</v>
      </c>
      <c r="P1931" s="29">
        <f>P1930</f>
        <v>0</v>
      </c>
      <c r="Q1931" s="29">
        <f>Q1930</f>
        <v>0</v>
      </c>
      <c r="R1931" s="29">
        <f>R1930</f>
        <v>0</v>
      </c>
      <c r="S1931" s="29">
        <f>S1930</f>
        <v>0</v>
      </c>
      <c r="T1931" s="29">
        <f>T1930</f>
        <v>0</v>
      </c>
      <c r="U1931" s="29" t="e">
        <f>DATEDIF(DATE(1970,1,1),U1930,"D")*86400</f>
        <v>#NUM!</v>
      </c>
      <c r="V1931" s="29">
        <f>HOUR(V1930)*3600+MINUTE(V1930)*60+SECOND(V1930)</f>
        <v>0</v>
      </c>
      <c r="W1931" s="29" t="e">
        <f>DATEDIF(DATE(1970,1,1),W1930,"D")*86400</f>
        <v>#NUM!</v>
      </c>
      <c r="X1931" s="29">
        <f>HOUR(X1930)*3600+MINUTE(X1930)*60+SECOND(X1930)</f>
        <v>0</v>
      </c>
      <c r="Y1931" s="31">
        <f>(Y1930*B1931)</f>
        <v>0</v>
      </c>
      <c r="Z1931" s="29">
        <f>Z1930</f>
        <v>0</v>
      </c>
      <c r="AA1931" s="29" t="e">
        <f>DATEDIF(DATE(1970,1,1),AA1930,"D")*86400</f>
        <v>#NUM!</v>
      </c>
      <c r="AB1931" s="29">
        <f>HOUR(AB1930)*3600+MINUTE(AB1930)*60+SECOND(AB1930)</f>
        <v>0</v>
      </c>
      <c r="AC1931" s="29">
        <f>AC1930</f>
        <v>0</v>
      </c>
    </row>
    <row r="1932" spans="1:29">
      <c r="A1932" s="23">
        <f>Parameters!A967</f>
        <v>0</v>
      </c>
      <c r="B1932" s="23">
        <f>Parameters!B967</f>
        <v>0</v>
      </c>
      <c r="C1932" s="24">
        <f>Parameters!C967</f>
        <v>0</v>
      </c>
      <c r="D1932" s="24">
        <f>Parameters!D967</f>
        <v>0</v>
      </c>
      <c r="E1932" s="23">
        <f>Parameters!E967</f>
        <v>0</v>
      </c>
      <c r="F1932" s="23">
        <f>Parameters!F967</f>
        <v>0</v>
      </c>
      <c r="G1932" s="25">
        <f>Parameters!G967</f>
        <v>0</v>
      </c>
      <c r="H1932" s="25">
        <f>Parameters!H967</f>
        <v>0</v>
      </c>
      <c r="I1932" s="25">
        <f>Parameters!I967</f>
        <v>0</v>
      </c>
      <c r="J1932" s="25">
        <f>Parameters!J967</f>
        <v>0</v>
      </c>
      <c r="K1932" s="25">
        <f>Parameters!K967</f>
        <v>0</v>
      </c>
      <c r="L1932" s="26" t="e">
        <f t="shared" ref="L1932" si="2892">L1933</f>
        <v>#DIV/0!</v>
      </c>
      <c r="M1932" s="25">
        <f>Parameters!L967</f>
        <v>0</v>
      </c>
      <c r="N1932" s="25">
        <f>Parameters!M967</f>
        <v>0</v>
      </c>
      <c r="O1932" s="26" t="e">
        <f t="shared" ref="O1932" si="2893">O1933</f>
        <v>#DIV/0!</v>
      </c>
      <c r="P1932" s="23">
        <f>Parameters!N967</f>
        <v>0</v>
      </c>
      <c r="Q1932" s="23">
        <f>Parameters!O967</f>
        <v>0</v>
      </c>
      <c r="R1932" s="23">
        <f>Parameters!P967</f>
        <v>0</v>
      </c>
      <c r="S1932" s="23">
        <f>Parameters!Q967</f>
        <v>0</v>
      </c>
      <c r="T1932" s="23">
        <f>Parameters!R967</f>
        <v>0</v>
      </c>
      <c r="U1932" s="27">
        <f>Parameters!S967</f>
        <v>0</v>
      </c>
      <c r="V1932" s="28">
        <f>Parameters!T967</f>
        <v>0</v>
      </c>
      <c r="W1932" s="27">
        <f>Parameters!U967</f>
        <v>0</v>
      </c>
      <c r="X1932" s="28">
        <f>Parameters!V967</f>
        <v>0</v>
      </c>
      <c r="Y1932" s="25">
        <f>Parameters!W967</f>
        <v>0</v>
      </c>
      <c r="Z1932" s="23">
        <f>Parameters!X967</f>
        <v>0</v>
      </c>
      <c r="AA1932" s="27">
        <f>Parameters!Y967</f>
        <v>0</v>
      </c>
      <c r="AB1932" s="28">
        <f>Parameters!Z967</f>
        <v>0</v>
      </c>
      <c r="AC1932" s="23">
        <f>Parameters!AA967</f>
        <v>0</v>
      </c>
    </row>
    <row r="1933" spans="1:29">
      <c r="A1933" s="29" t="str">
        <f>UPPER(A1932)</f>
        <v>0</v>
      </c>
      <c r="B1933" s="29">
        <f>B1932</f>
        <v>0</v>
      </c>
      <c r="C1933" s="30">
        <f>C1932</f>
        <v>0</v>
      </c>
      <c r="D1933" s="30">
        <f>D1932</f>
        <v>0</v>
      </c>
      <c r="E1933" s="29">
        <f>E1932</f>
        <v>0</v>
      </c>
      <c r="F1933" s="29">
        <f>F1932</f>
        <v>0</v>
      </c>
      <c r="G1933" s="29" t="e">
        <f>IF(C1932=1,IF(D1932="BUY",E1932+(ROUND(F1932*G1932/B1932,0)*B1932),E1932-(ROUND(F1932*G1932/B1932,0)*B1932)),IF(D1932="BUY",E1932-(ROUND(F1932*G1932/B1932,0)*B1932),E1932+(ROUND(F1932*G1932/B1932,0)*B1932)))</f>
        <v>#DIV/0!</v>
      </c>
      <c r="H1933" s="29" t="e">
        <f>IF(C1932=1,IF(D1932="BUY",G1933-(ROUND(F1932*H1932/B1932,0)*B1932),G1933+(ROUND(F1932*H1932/B1932,0)*B1932)),IF(D1932="BUY",G1933+(ROUND(F1932*H1932/B1932,0)*B1932),G1933-(ROUND(F1932*H1932/B1932,0)*B1932)))</f>
        <v>#DIV/0!</v>
      </c>
      <c r="I1933" s="29" t="e">
        <f>IF(D1932="BUY",G1933+(ROUND(F1932*I1932/(B1932*100),0)*B1932),G1933-(ROUND(F1932*I1932/(B1932*100),0)*B1932))</f>
        <v>#DIV/0!</v>
      </c>
      <c r="J1933" s="29" t="e">
        <f>IF(C1932=1,IF(D1932="BUY",E1932+(ROUND(F1932*J1932/B1932,0)*B1932),E1932-(ROUND(F1932*J1932/B1932,0)*B1932)),IF(D1932="BUY",E1932-(ROUND(F1932*J1932/B1932,0)*B1932),E1932+(ROUND(F1932*J1932/B1932,0)*B1932)))</f>
        <v>#DIV/0!</v>
      </c>
      <c r="K1933" s="29" t="e">
        <f>IF(C1932=1,IF(D1932="BUY",E1932-(ROUND(F1932*K1932/B1932,0)*B1932),E1932+(ROUND(F1932*K1932/B1932,0)*B1932)),IF(D1932="BUY",E1932-(ROUND(F1932*K1932/B1932,0)*B1932),E1932+(ROUND(F1932*K1932/B1932,0)*B1932)))</f>
        <v>#DIV/0!</v>
      </c>
      <c r="L1933" s="29" t="e">
        <f t="shared" ref="L1933" si="2894">IF(D1933="BUY",I1933+(R1933*B1933),I1933-(R1933*B1933))</f>
        <v>#DIV/0!</v>
      </c>
      <c r="M1933" s="29" t="e">
        <f>IF(D1932="BUY",E1932+(ROUND(F1932*M1932/B1932,0)*B1932),E1932-(ROUND(F1932*M1932/B1932,0)*B1932))</f>
        <v>#DIV/0!</v>
      </c>
      <c r="N1933" s="29" t="e">
        <f>IF(D1932="BUY",E1932-(ROUND(F1932*N1932/B1932,0)*B1932),E1932+(ROUND(F1932*N1932/B1932,0)*B1932))</f>
        <v>#DIV/0!</v>
      </c>
      <c r="O1933" s="31" t="e">
        <f>IF(D1933="BUY",N1933-VLOOKUP(A1933,Symbols!A$1:D$1000,4,FALSE),N1933+VLOOKUP(A1933,Symbols!A$1:D$1000,4,FALSE))</f>
        <v>#DIV/0!</v>
      </c>
      <c r="P1933" s="29">
        <f>P1932</f>
        <v>0</v>
      </c>
      <c r="Q1933" s="29">
        <f>Q1932</f>
        <v>0</v>
      </c>
      <c r="R1933" s="29">
        <f>R1932</f>
        <v>0</v>
      </c>
      <c r="S1933" s="29">
        <f>S1932</f>
        <v>0</v>
      </c>
      <c r="T1933" s="29">
        <f>T1932</f>
        <v>0</v>
      </c>
      <c r="U1933" s="29" t="e">
        <f>DATEDIF(DATE(1970,1,1),U1932,"D")*86400</f>
        <v>#NUM!</v>
      </c>
      <c r="V1933" s="29">
        <f>HOUR(V1932)*3600+MINUTE(V1932)*60+SECOND(V1932)</f>
        <v>0</v>
      </c>
      <c r="W1933" s="29" t="e">
        <f>DATEDIF(DATE(1970,1,1),W1932,"D")*86400</f>
        <v>#NUM!</v>
      </c>
      <c r="X1933" s="29">
        <f>HOUR(X1932)*3600+MINUTE(X1932)*60+SECOND(X1932)</f>
        <v>0</v>
      </c>
      <c r="Y1933" s="31">
        <f>(Y1932*B1933)</f>
        <v>0</v>
      </c>
      <c r="Z1933" s="29">
        <f>Z1932</f>
        <v>0</v>
      </c>
      <c r="AA1933" s="29" t="e">
        <f>DATEDIF(DATE(1970,1,1),AA1932,"D")*86400</f>
        <v>#NUM!</v>
      </c>
      <c r="AB1933" s="29">
        <f>HOUR(AB1932)*3600+MINUTE(AB1932)*60+SECOND(AB1932)</f>
        <v>0</v>
      </c>
      <c r="AC1933" s="29">
        <f>AC1932</f>
        <v>0</v>
      </c>
    </row>
    <row r="1934" spans="1:29">
      <c r="A1934" s="23">
        <f>Parameters!A968</f>
        <v>0</v>
      </c>
      <c r="B1934" s="23">
        <f>Parameters!B968</f>
        <v>0</v>
      </c>
      <c r="C1934" s="24">
        <f>Parameters!C968</f>
        <v>0</v>
      </c>
      <c r="D1934" s="24">
        <f>Parameters!D968</f>
        <v>0</v>
      </c>
      <c r="E1934" s="23">
        <f>Parameters!E968</f>
        <v>0</v>
      </c>
      <c r="F1934" s="23">
        <f>Parameters!F968</f>
        <v>0</v>
      </c>
      <c r="G1934" s="25">
        <f>Parameters!G968</f>
        <v>0</v>
      </c>
      <c r="H1934" s="25">
        <f>Parameters!H968</f>
        <v>0</v>
      </c>
      <c r="I1934" s="25">
        <f>Parameters!I968</f>
        <v>0</v>
      </c>
      <c r="J1934" s="25">
        <f>Parameters!J968</f>
        <v>0</v>
      </c>
      <c r="K1934" s="25">
        <f>Parameters!K968</f>
        <v>0</v>
      </c>
      <c r="L1934" s="26" t="e">
        <f t="shared" ref="L1934" si="2895">L1935</f>
        <v>#DIV/0!</v>
      </c>
      <c r="M1934" s="25">
        <f>Parameters!L968</f>
        <v>0</v>
      </c>
      <c r="N1934" s="25">
        <f>Parameters!M968</f>
        <v>0</v>
      </c>
      <c r="O1934" s="26" t="e">
        <f t="shared" ref="O1934" si="2896">O1935</f>
        <v>#DIV/0!</v>
      </c>
      <c r="P1934" s="23">
        <f>Parameters!N968</f>
        <v>0</v>
      </c>
      <c r="Q1934" s="23">
        <f>Parameters!O968</f>
        <v>0</v>
      </c>
      <c r="R1934" s="23">
        <f>Parameters!P968</f>
        <v>0</v>
      </c>
      <c r="S1934" s="23">
        <f>Parameters!Q968</f>
        <v>0</v>
      </c>
      <c r="T1934" s="23">
        <f>Parameters!R968</f>
        <v>0</v>
      </c>
      <c r="U1934" s="27">
        <f>Parameters!S968</f>
        <v>0</v>
      </c>
      <c r="V1934" s="28">
        <f>Parameters!T968</f>
        <v>0</v>
      </c>
      <c r="W1934" s="27">
        <f>Parameters!U968</f>
        <v>0</v>
      </c>
      <c r="X1934" s="28">
        <f>Parameters!V968</f>
        <v>0</v>
      </c>
      <c r="Y1934" s="25">
        <f>Parameters!W968</f>
        <v>0</v>
      </c>
      <c r="Z1934" s="23">
        <f>Parameters!X968</f>
        <v>0</v>
      </c>
      <c r="AA1934" s="27">
        <f>Parameters!Y968</f>
        <v>0</v>
      </c>
      <c r="AB1934" s="28">
        <f>Parameters!Z968</f>
        <v>0</v>
      </c>
      <c r="AC1934" s="23">
        <f>Parameters!AA968</f>
        <v>0</v>
      </c>
    </row>
    <row r="1935" spans="1:29">
      <c r="A1935" s="29" t="str">
        <f>UPPER(A1934)</f>
        <v>0</v>
      </c>
      <c r="B1935" s="29">
        <f>B1934</f>
        <v>0</v>
      </c>
      <c r="C1935" s="30">
        <f>C1934</f>
        <v>0</v>
      </c>
      <c r="D1935" s="30">
        <f>D1934</f>
        <v>0</v>
      </c>
      <c r="E1935" s="29">
        <f>E1934</f>
        <v>0</v>
      </c>
      <c r="F1935" s="29">
        <f>F1934</f>
        <v>0</v>
      </c>
      <c r="G1935" s="29" t="e">
        <f>IF(C1934=1,IF(D1934="BUY",E1934+(ROUND(F1934*G1934/B1934,0)*B1934),E1934-(ROUND(F1934*G1934/B1934,0)*B1934)),IF(D1934="BUY",E1934-(ROUND(F1934*G1934/B1934,0)*B1934),E1934+(ROUND(F1934*G1934/B1934,0)*B1934)))</f>
        <v>#DIV/0!</v>
      </c>
      <c r="H1935" s="29" t="e">
        <f>IF(C1934=1,IF(D1934="BUY",G1935-(ROUND(F1934*H1934/B1934,0)*B1934),G1935+(ROUND(F1934*H1934/B1934,0)*B1934)),IF(D1934="BUY",G1935+(ROUND(F1934*H1934/B1934,0)*B1934),G1935-(ROUND(F1934*H1934/B1934,0)*B1934)))</f>
        <v>#DIV/0!</v>
      </c>
      <c r="I1935" s="29" t="e">
        <f>IF(D1934="BUY",G1935+(ROUND(F1934*I1934/(B1934*100),0)*B1934),G1935-(ROUND(F1934*I1934/(B1934*100),0)*B1934))</f>
        <v>#DIV/0!</v>
      </c>
      <c r="J1935" s="29" t="e">
        <f>IF(C1934=1,IF(D1934="BUY",E1934+(ROUND(F1934*J1934/B1934,0)*B1934),E1934-(ROUND(F1934*J1934/B1934,0)*B1934)),IF(D1934="BUY",E1934-(ROUND(F1934*J1934/B1934,0)*B1934),E1934+(ROUND(F1934*J1934/B1934,0)*B1934)))</f>
        <v>#DIV/0!</v>
      </c>
      <c r="K1935" s="29" t="e">
        <f>IF(C1934=1,IF(D1934="BUY",E1934-(ROUND(F1934*K1934/B1934,0)*B1934),E1934+(ROUND(F1934*K1934/B1934,0)*B1934)),IF(D1934="BUY",E1934-(ROUND(F1934*K1934/B1934,0)*B1934),E1934+(ROUND(F1934*K1934/B1934,0)*B1934)))</f>
        <v>#DIV/0!</v>
      </c>
      <c r="L1935" s="29" t="e">
        <f t="shared" ref="L1935" si="2897">IF(D1935="BUY",I1935+(R1935*B1935),I1935-(R1935*B1935))</f>
        <v>#DIV/0!</v>
      </c>
      <c r="M1935" s="29" t="e">
        <f>IF(D1934="BUY",E1934+(ROUND(F1934*M1934/B1934,0)*B1934),E1934-(ROUND(F1934*M1934/B1934,0)*B1934))</f>
        <v>#DIV/0!</v>
      </c>
      <c r="N1935" s="29" t="e">
        <f>IF(D1934="BUY",E1934-(ROUND(F1934*N1934/B1934,0)*B1934),E1934+(ROUND(F1934*N1934/B1934,0)*B1934))</f>
        <v>#DIV/0!</v>
      </c>
      <c r="O1935" s="31" t="e">
        <f>IF(D1935="BUY",N1935-VLOOKUP(A1935,Symbols!A$1:D$1000,4,FALSE),N1935+VLOOKUP(A1935,Symbols!A$1:D$1000,4,FALSE))</f>
        <v>#DIV/0!</v>
      </c>
      <c r="P1935" s="29">
        <f>P1934</f>
        <v>0</v>
      </c>
      <c r="Q1935" s="29">
        <f>Q1934</f>
        <v>0</v>
      </c>
      <c r="R1935" s="29">
        <f>R1934</f>
        <v>0</v>
      </c>
      <c r="S1935" s="29">
        <f>S1934</f>
        <v>0</v>
      </c>
      <c r="T1935" s="29">
        <f>T1934</f>
        <v>0</v>
      </c>
      <c r="U1935" s="29" t="e">
        <f>DATEDIF(DATE(1970,1,1),U1934,"D")*86400</f>
        <v>#NUM!</v>
      </c>
      <c r="V1935" s="29">
        <f>HOUR(V1934)*3600+MINUTE(V1934)*60+SECOND(V1934)</f>
        <v>0</v>
      </c>
      <c r="W1935" s="29" t="e">
        <f>DATEDIF(DATE(1970,1,1),W1934,"D")*86400</f>
        <v>#NUM!</v>
      </c>
      <c r="X1935" s="29">
        <f>HOUR(X1934)*3600+MINUTE(X1934)*60+SECOND(X1934)</f>
        <v>0</v>
      </c>
      <c r="Y1935" s="31">
        <f>(Y1934*B1935)</f>
        <v>0</v>
      </c>
      <c r="Z1935" s="29">
        <f>Z1934</f>
        <v>0</v>
      </c>
      <c r="AA1935" s="29" t="e">
        <f>DATEDIF(DATE(1970,1,1),AA1934,"D")*86400</f>
        <v>#NUM!</v>
      </c>
      <c r="AB1935" s="29">
        <f>HOUR(AB1934)*3600+MINUTE(AB1934)*60+SECOND(AB1934)</f>
        <v>0</v>
      </c>
      <c r="AC1935" s="29">
        <f>AC1934</f>
        <v>0</v>
      </c>
    </row>
    <row r="1936" spans="1:29">
      <c r="A1936" s="23">
        <f>Parameters!A969</f>
        <v>0</v>
      </c>
      <c r="B1936" s="23">
        <f>Parameters!B969</f>
        <v>0</v>
      </c>
      <c r="C1936" s="24">
        <f>Parameters!C969</f>
        <v>0</v>
      </c>
      <c r="D1936" s="24">
        <f>Parameters!D969</f>
        <v>0</v>
      </c>
      <c r="E1936" s="23">
        <f>Parameters!E969</f>
        <v>0</v>
      </c>
      <c r="F1936" s="23">
        <f>Parameters!F969</f>
        <v>0</v>
      </c>
      <c r="G1936" s="25">
        <f>Parameters!G969</f>
        <v>0</v>
      </c>
      <c r="H1936" s="25">
        <f>Parameters!H969</f>
        <v>0</v>
      </c>
      <c r="I1936" s="25">
        <f>Parameters!I969</f>
        <v>0</v>
      </c>
      <c r="J1936" s="25">
        <f>Parameters!J969</f>
        <v>0</v>
      </c>
      <c r="K1936" s="25">
        <f>Parameters!K969</f>
        <v>0</v>
      </c>
      <c r="L1936" s="26" t="e">
        <f t="shared" ref="L1936" si="2898">L1937</f>
        <v>#DIV/0!</v>
      </c>
      <c r="M1936" s="25">
        <f>Parameters!L969</f>
        <v>0</v>
      </c>
      <c r="N1936" s="25">
        <f>Parameters!M969</f>
        <v>0</v>
      </c>
      <c r="O1936" s="26" t="e">
        <f t="shared" ref="O1936" si="2899">O1937</f>
        <v>#DIV/0!</v>
      </c>
      <c r="P1936" s="23">
        <f>Parameters!N969</f>
        <v>0</v>
      </c>
      <c r="Q1936" s="23">
        <f>Parameters!O969</f>
        <v>0</v>
      </c>
      <c r="R1936" s="23">
        <f>Parameters!P969</f>
        <v>0</v>
      </c>
      <c r="S1936" s="23">
        <f>Parameters!Q969</f>
        <v>0</v>
      </c>
      <c r="T1936" s="23">
        <f>Parameters!R969</f>
        <v>0</v>
      </c>
      <c r="U1936" s="27">
        <f>Parameters!S969</f>
        <v>0</v>
      </c>
      <c r="V1936" s="28">
        <f>Parameters!T969</f>
        <v>0</v>
      </c>
      <c r="W1936" s="27">
        <f>Parameters!U969</f>
        <v>0</v>
      </c>
      <c r="X1936" s="28">
        <f>Parameters!V969</f>
        <v>0</v>
      </c>
      <c r="Y1936" s="25">
        <f>Parameters!W969</f>
        <v>0</v>
      </c>
      <c r="Z1936" s="23">
        <f>Parameters!X969</f>
        <v>0</v>
      </c>
      <c r="AA1936" s="27">
        <f>Parameters!Y969</f>
        <v>0</v>
      </c>
      <c r="AB1936" s="28">
        <f>Parameters!Z969</f>
        <v>0</v>
      </c>
      <c r="AC1936" s="23">
        <f>Parameters!AA969</f>
        <v>0</v>
      </c>
    </row>
    <row r="1937" spans="1:29">
      <c r="A1937" s="29" t="str">
        <f>UPPER(A1936)</f>
        <v>0</v>
      </c>
      <c r="B1937" s="29">
        <f>B1936</f>
        <v>0</v>
      </c>
      <c r="C1937" s="30">
        <f>C1936</f>
        <v>0</v>
      </c>
      <c r="D1937" s="30">
        <f>D1936</f>
        <v>0</v>
      </c>
      <c r="E1937" s="29">
        <f>E1936</f>
        <v>0</v>
      </c>
      <c r="F1937" s="29">
        <f>F1936</f>
        <v>0</v>
      </c>
      <c r="G1937" s="29" t="e">
        <f>IF(C1936=1,IF(D1936="BUY",E1936+(ROUND(F1936*G1936/B1936,0)*B1936),E1936-(ROUND(F1936*G1936/B1936,0)*B1936)),IF(D1936="BUY",E1936-(ROUND(F1936*G1936/B1936,0)*B1936),E1936+(ROUND(F1936*G1936/B1936,0)*B1936)))</f>
        <v>#DIV/0!</v>
      </c>
      <c r="H1937" s="29" t="e">
        <f>IF(C1936=1,IF(D1936="BUY",G1937-(ROUND(F1936*H1936/B1936,0)*B1936),G1937+(ROUND(F1936*H1936/B1936,0)*B1936)),IF(D1936="BUY",G1937+(ROUND(F1936*H1936/B1936,0)*B1936),G1937-(ROUND(F1936*H1936/B1936,0)*B1936)))</f>
        <v>#DIV/0!</v>
      </c>
      <c r="I1937" s="29" t="e">
        <f>IF(D1936="BUY",G1937+(ROUND(F1936*I1936/(B1936*100),0)*B1936),G1937-(ROUND(F1936*I1936/(B1936*100),0)*B1936))</f>
        <v>#DIV/0!</v>
      </c>
      <c r="J1937" s="29" t="e">
        <f>IF(C1936=1,IF(D1936="BUY",E1936+(ROUND(F1936*J1936/B1936,0)*B1936),E1936-(ROUND(F1936*J1936/B1936,0)*B1936)),IF(D1936="BUY",E1936-(ROUND(F1936*J1936/B1936,0)*B1936),E1936+(ROUND(F1936*J1936/B1936,0)*B1936)))</f>
        <v>#DIV/0!</v>
      </c>
      <c r="K1937" s="29" t="e">
        <f>IF(C1936=1,IF(D1936="BUY",E1936-(ROUND(F1936*K1936/B1936,0)*B1936),E1936+(ROUND(F1936*K1936/B1936,0)*B1936)),IF(D1936="BUY",E1936-(ROUND(F1936*K1936/B1936,0)*B1936),E1936+(ROUND(F1936*K1936/B1936,0)*B1936)))</f>
        <v>#DIV/0!</v>
      </c>
      <c r="L1937" s="29" t="e">
        <f t="shared" ref="L1937" si="2900">IF(D1937="BUY",I1937+(R1937*B1937),I1937-(R1937*B1937))</f>
        <v>#DIV/0!</v>
      </c>
      <c r="M1937" s="29" t="e">
        <f>IF(D1936="BUY",E1936+(ROUND(F1936*M1936/B1936,0)*B1936),E1936-(ROUND(F1936*M1936/B1936,0)*B1936))</f>
        <v>#DIV/0!</v>
      </c>
      <c r="N1937" s="29" t="e">
        <f>IF(D1936="BUY",E1936-(ROUND(F1936*N1936/B1936,0)*B1936),E1936+(ROUND(F1936*N1936/B1936,0)*B1936))</f>
        <v>#DIV/0!</v>
      </c>
      <c r="O1937" s="31" t="e">
        <f>IF(D1937="BUY",N1937-VLOOKUP(A1937,Symbols!A$1:D$1000,4,FALSE),N1937+VLOOKUP(A1937,Symbols!A$1:D$1000,4,FALSE))</f>
        <v>#DIV/0!</v>
      </c>
      <c r="P1937" s="29">
        <f>P1936</f>
        <v>0</v>
      </c>
      <c r="Q1937" s="29">
        <f>Q1936</f>
        <v>0</v>
      </c>
      <c r="R1937" s="29">
        <f>R1936</f>
        <v>0</v>
      </c>
      <c r="S1937" s="29">
        <f>S1936</f>
        <v>0</v>
      </c>
      <c r="T1937" s="29">
        <f>T1936</f>
        <v>0</v>
      </c>
      <c r="U1937" s="29" t="e">
        <f>DATEDIF(DATE(1970,1,1),U1936,"D")*86400</f>
        <v>#NUM!</v>
      </c>
      <c r="V1937" s="29">
        <f>HOUR(V1936)*3600+MINUTE(V1936)*60+SECOND(V1936)</f>
        <v>0</v>
      </c>
      <c r="W1937" s="29" t="e">
        <f>DATEDIF(DATE(1970,1,1),W1936,"D")*86400</f>
        <v>#NUM!</v>
      </c>
      <c r="X1937" s="29">
        <f>HOUR(X1936)*3600+MINUTE(X1936)*60+SECOND(X1936)</f>
        <v>0</v>
      </c>
      <c r="Y1937" s="31">
        <f>(Y1936*B1937)</f>
        <v>0</v>
      </c>
      <c r="Z1937" s="29">
        <f>Z1936</f>
        <v>0</v>
      </c>
      <c r="AA1937" s="29" t="e">
        <f>DATEDIF(DATE(1970,1,1),AA1936,"D")*86400</f>
        <v>#NUM!</v>
      </c>
      <c r="AB1937" s="29">
        <f>HOUR(AB1936)*3600+MINUTE(AB1936)*60+SECOND(AB1936)</f>
        <v>0</v>
      </c>
      <c r="AC1937" s="29">
        <f>AC1936</f>
        <v>0</v>
      </c>
    </row>
    <row r="1938" spans="1:29">
      <c r="A1938" s="23">
        <f>Parameters!A970</f>
        <v>0</v>
      </c>
      <c r="B1938" s="23">
        <f>Parameters!B970</f>
        <v>0</v>
      </c>
      <c r="C1938" s="24">
        <f>Parameters!C970</f>
        <v>0</v>
      </c>
      <c r="D1938" s="24">
        <f>Parameters!D970</f>
        <v>0</v>
      </c>
      <c r="E1938" s="23">
        <f>Parameters!E970</f>
        <v>0</v>
      </c>
      <c r="F1938" s="23">
        <f>Parameters!F970</f>
        <v>0</v>
      </c>
      <c r="G1938" s="25">
        <f>Parameters!G970</f>
        <v>0</v>
      </c>
      <c r="H1938" s="25">
        <f>Parameters!H970</f>
        <v>0</v>
      </c>
      <c r="I1938" s="25">
        <f>Parameters!I970</f>
        <v>0</v>
      </c>
      <c r="J1938" s="25">
        <f>Parameters!J970</f>
        <v>0</v>
      </c>
      <c r="K1938" s="25">
        <f>Parameters!K970</f>
        <v>0</v>
      </c>
      <c r="L1938" s="26" t="e">
        <f t="shared" ref="L1938" si="2901">L1939</f>
        <v>#DIV/0!</v>
      </c>
      <c r="M1938" s="25">
        <f>Parameters!L970</f>
        <v>0</v>
      </c>
      <c r="N1938" s="25">
        <f>Parameters!M970</f>
        <v>0</v>
      </c>
      <c r="O1938" s="26" t="e">
        <f t="shared" ref="O1938" si="2902">O1939</f>
        <v>#DIV/0!</v>
      </c>
      <c r="P1938" s="23">
        <f>Parameters!N970</f>
        <v>0</v>
      </c>
      <c r="Q1938" s="23">
        <f>Parameters!O970</f>
        <v>0</v>
      </c>
      <c r="R1938" s="23">
        <f>Parameters!P970</f>
        <v>0</v>
      </c>
      <c r="S1938" s="23">
        <f>Parameters!Q970</f>
        <v>0</v>
      </c>
      <c r="T1938" s="23">
        <f>Parameters!R970</f>
        <v>0</v>
      </c>
      <c r="U1938" s="27">
        <f>Parameters!S970</f>
        <v>0</v>
      </c>
      <c r="V1938" s="28">
        <f>Parameters!T970</f>
        <v>0</v>
      </c>
      <c r="W1938" s="27">
        <f>Parameters!U970</f>
        <v>0</v>
      </c>
      <c r="X1938" s="28">
        <f>Parameters!V970</f>
        <v>0</v>
      </c>
      <c r="Y1938" s="25">
        <f>Parameters!W970</f>
        <v>0</v>
      </c>
      <c r="Z1938" s="23">
        <f>Parameters!X970</f>
        <v>0</v>
      </c>
      <c r="AA1938" s="27">
        <f>Parameters!Y970</f>
        <v>0</v>
      </c>
      <c r="AB1938" s="28">
        <f>Parameters!Z970</f>
        <v>0</v>
      </c>
      <c r="AC1938" s="23">
        <f>Parameters!AA970</f>
        <v>0</v>
      </c>
    </row>
    <row r="1939" spans="1:29">
      <c r="A1939" s="29" t="str">
        <f>UPPER(A1938)</f>
        <v>0</v>
      </c>
      <c r="B1939" s="29">
        <f>B1938</f>
        <v>0</v>
      </c>
      <c r="C1939" s="30">
        <f>C1938</f>
        <v>0</v>
      </c>
      <c r="D1939" s="30">
        <f>D1938</f>
        <v>0</v>
      </c>
      <c r="E1939" s="29">
        <f>E1938</f>
        <v>0</v>
      </c>
      <c r="F1939" s="29">
        <f>F1938</f>
        <v>0</v>
      </c>
      <c r="G1939" s="29" t="e">
        <f>IF(C1938=1,IF(D1938="BUY",E1938+(ROUND(F1938*G1938/B1938,0)*B1938),E1938-(ROUND(F1938*G1938/B1938,0)*B1938)),IF(D1938="BUY",E1938-(ROUND(F1938*G1938/B1938,0)*B1938),E1938+(ROUND(F1938*G1938/B1938,0)*B1938)))</f>
        <v>#DIV/0!</v>
      </c>
      <c r="H1939" s="29" t="e">
        <f>IF(C1938=1,IF(D1938="BUY",G1939-(ROUND(F1938*H1938/B1938,0)*B1938),G1939+(ROUND(F1938*H1938/B1938,0)*B1938)),IF(D1938="BUY",G1939+(ROUND(F1938*H1938/B1938,0)*B1938),G1939-(ROUND(F1938*H1938/B1938,0)*B1938)))</f>
        <v>#DIV/0!</v>
      </c>
      <c r="I1939" s="29" t="e">
        <f>IF(D1938="BUY",G1939+(ROUND(F1938*I1938/(B1938*100),0)*B1938),G1939-(ROUND(F1938*I1938/(B1938*100),0)*B1938))</f>
        <v>#DIV/0!</v>
      </c>
      <c r="J1939" s="29" t="e">
        <f>IF(C1938=1,IF(D1938="BUY",E1938+(ROUND(F1938*J1938/B1938,0)*B1938),E1938-(ROUND(F1938*J1938/B1938,0)*B1938)),IF(D1938="BUY",E1938-(ROUND(F1938*J1938/B1938,0)*B1938),E1938+(ROUND(F1938*J1938/B1938,0)*B1938)))</f>
        <v>#DIV/0!</v>
      </c>
      <c r="K1939" s="29" t="e">
        <f>IF(C1938=1,IF(D1938="BUY",E1938-(ROUND(F1938*K1938/B1938,0)*B1938),E1938+(ROUND(F1938*K1938/B1938,0)*B1938)),IF(D1938="BUY",E1938-(ROUND(F1938*K1938/B1938,0)*B1938),E1938+(ROUND(F1938*K1938/B1938,0)*B1938)))</f>
        <v>#DIV/0!</v>
      </c>
      <c r="L1939" s="29" t="e">
        <f t="shared" ref="L1939" si="2903">IF(D1939="BUY",I1939+(R1939*B1939),I1939-(R1939*B1939))</f>
        <v>#DIV/0!</v>
      </c>
      <c r="M1939" s="29" t="e">
        <f>IF(D1938="BUY",E1938+(ROUND(F1938*M1938/B1938,0)*B1938),E1938-(ROUND(F1938*M1938/B1938,0)*B1938))</f>
        <v>#DIV/0!</v>
      </c>
      <c r="N1939" s="29" t="e">
        <f>IF(D1938="BUY",E1938-(ROUND(F1938*N1938/B1938,0)*B1938),E1938+(ROUND(F1938*N1938/B1938,0)*B1938))</f>
        <v>#DIV/0!</v>
      </c>
      <c r="O1939" s="31" t="e">
        <f>IF(D1939="BUY",N1939-VLOOKUP(A1939,Symbols!A$1:D$1000,4,FALSE),N1939+VLOOKUP(A1939,Symbols!A$1:D$1000,4,FALSE))</f>
        <v>#DIV/0!</v>
      </c>
      <c r="P1939" s="29">
        <f>P1938</f>
        <v>0</v>
      </c>
      <c r="Q1939" s="29">
        <f>Q1938</f>
        <v>0</v>
      </c>
      <c r="R1939" s="29">
        <f>R1938</f>
        <v>0</v>
      </c>
      <c r="S1939" s="29">
        <f>S1938</f>
        <v>0</v>
      </c>
      <c r="T1939" s="29">
        <f>T1938</f>
        <v>0</v>
      </c>
      <c r="U1939" s="29" t="e">
        <f>DATEDIF(DATE(1970,1,1),U1938,"D")*86400</f>
        <v>#NUM!</v>
      </c>
      <c r="V1939" s="29">
        <f>HOUR(V1938)*3600+MINUTE(V1938)*60+SECOND(V1938)</f>
        <v>0</v>
      </c>
      <c r="W1939" s="29" t="e">
        <f>DATEDIF(DATE(1970,1,1),W1938,"D")*86400</f>
        <v>#NUM!</v>
      </c>
      <c r="X1939" s="29">
        <f>HOUR(X1938)*3600+MINUTE(X1938)*60+SECOND(X1938)</f>
        <v>0</v>
      </c>
      <c r="Y1939" s="31">
        <f>(Y1938*B1939)</f>
        <v>0</v>
      </c>
      <c r="Z1939" s="29">
        <f>Z1938</f>
        <v>0</v>
      </c>
      <c r="AA1939" s="29" t="e">
        <f>DATEDIF(DATE(1970,1,1),AA1938,"D")*86400</f>
        <v>#NUM!</v>
      </c>
      <c r="AB1939" s="29">
        <f>HOUR(AB1938)*3600+MINUTE(AB1938)*60+SECOND(AB1938)</f>
        <v>0</v>
      </c>
      <c r="AC1939" s="29">
        <f>AC1938</f>
        <v>0</v>
      </c>
    </row>
    <row r="1940" spans="1:29">
      <c r="A1940" s="23">
        <f>Parameters!A971</f>
        <v>0</v>
      </c>
      <c r="B1940" s="23">
        <f>Parameters!B971</f>
        <v>0</v>
      </c>
      <c r="C1940" s="24">
        <f>Parameters!C971</f>
        <v>0</v>
      </c>
      <c r="D1940" s="24">
        <f>Parameters!D971</f>
        <v>0</v>
      </c>
      <c r="E1940" s="23">
        <f>Parameters!E971</f>
        <v>0</v>
      </c>
      <c r="F1940" s="23">
        <f>Parameters!F971</f>
        <v>0</v>
      </c>
      <c r="G1940" s="25">
        <f>Parameters!G971</f>
        <v>0</v>
      </c>
      <c r="H1940" s="25">
        <f>Parameters!H971</f>
        <v>0</v>
      </c>
      <c r="I1940" s="25">
        <f>Parameters!I971</f>
        <v>0</v>
      </c>
      <c r="J1940" s="25">
        <f>Parameters!J971</f>
        <v>0</v>
      </c>
      <c r="K1940" s="25">
        <f>Parameters!K971</f>
        <v>0</v>
      </c>
      <c r="L1940" s="26" t="e">
        <f t="shared" ref="L1940" si="2904">L1941</f>
        <v>#DIV/0!</v>
      </c>
      <c r="M1940" s="25">
        <f>Parameters!L971</f>
        <v>0</v>
      </c>
      <c r="N1940" s="25">
        <f>Parameters!M971</f>
        <v>0</v>
      </c>
      <c r="O1940" s="26" t="e">
        <f t="shared" ref="O1940" si="2905">O1941</f>
        <v>#DIV/0!</v>
      </c>
      <c r="P1940" s="23">
        <f>Parameters!N971</f>
        <v>0</v>
      </c>
      <c r="Q1940" s="23">
        <f>Parameters!O971</f>
        <v>0</v>
      </c>
      <c r="R1940" s="23">
        <f>Parameters!P971</f>
        <v>0</v>
      </c>
      <c r="S1940" s="23">
        <f>Parameters!Q971</f>
        <v>0</v>
      </c>
      <c r="T1940" s="23">
        <f>Parameters!R971</f>
        <v>0</v>
      </c>
      <c r="U1940" s="27">
        <f>Parameters!S971</f>
        <v>0</v>
      </c>
      <c r="V1940" s="28">
        <f>Parameters!T971</f>
        <v>0</v>
      </c>
      <c r="W1940" s="27">
        <f>Parameters!U971</f>
        <v>0</v>
      </c>
      <c r="X1940" s="28">
        <f>Parameters!V971</f>
        <v>0</v>
      </c>
      <c r="Y1940" s="25">
        <f>Parameters!W971</f>
        <v>0</v>
      </c>
      <c r="Z1940" s="23">
        <f>Parameters!X971</f>
        <v>0</v>
      </c>
      <c r="AA1940" s="27">
        <f>Parameters!Y971</f>
        <v>0</v>
      </c>
      <c r="AB1940" s="28">
        <f>Parameters!Z971</f>
        <v>0</v>
      </c>
      <c r="AC1940" s="23">
        <f>Parameters!AA971</f>
        <v>0</v>
      </c>
    </row>
    <row r="1941" spans="1:29">
      <c r="A1941" s="29" t="str">
        <f>UPPER(A1940)</f>
        <v>0</v>
      </c>
      <c r="B1941" s="29">
        <f>B1940</f>
        <v>0</v>
      </c>
      <c r="C1941" s="30">
        <f>C1940</f>
        <v>0</v>
      </c>
      <c r="D1941" s="30">
        <f>D1940</f>
        <v>0</v>
      </c>
      <c r="E1941" s="29">
        <f>E1940</f>
        <v>0</v>
      </c>
      <c r="F1941" s="29">
        <f>F1940</f>
        <v>0</v>
      </c>
      <c r="G1941" s="29" t="e">
        <f>IF(C1940=1,IF(D1940="BUY",E1940+(ROUND(F1940*G1940/B1940,0)*B1940),E1940-(ROUND(F1940*G1940/B1940,0)*B1940)),IF(D1940="BUY",E1940-(ROUND(F1940*G1940/B1940,0)*B1940),E1940+(ROUND(F1940*G1940/B1940,0)*B1940)))</f>
        <v>#DIV/0!</v>
      </c>
      <c r="H1941" s="29" t="e">
        <f>IF(C1940=1,IF(D1940="BUY",G1941-(ROUND(F1940*H1940/B1940,0)*B1940),G1941+(ROUND(F1940*H1940/B1940,0)*B1940)),IF(D1940="BUY",G1941+(ROUND(F1940*H1940/B1940,0)*B1940),G1941-(ROUND(F1940*H1940/B1940,0)*B1940)))</f>
        <v>#DIV/0!</v>
      </c>
      <c r="I1941" s="29" t="e">
        <f>IF(D1940="BUY",G1941+(ROUND(F1940*I1940/(B1940*100),0)*B1940),G1941-(ROUND(F1940*I1940/(B1940*100),0)*B1940))</f>
        <v>#DIV/0!</v>
      </c>
      <c r="J1941" s="29" t="e">
        <f>IF(C1940=1,IF(D1940="BUY",E1940+(ROUND(F1940*J1940/B1940,0)*B1940),E1940-(ROUND(F1940*J1940/B1940,0)*B1940)),IF(D1940="BUY",E1940-(ROUND(F1940*J1940/B1940,0)*B1940),E1940+(ROUND(F1940*J1940/B1940,0)*B1940)))</f>
        <v>#DIV/0!</v>
      </c>
      <c r="K1941" s="29" t="e">
        <f>IF(C1940=1,IF(D1940="BUY",E1940-(ROUND(F1940*K1940/B1940,0)*B1940),E1940+(ROUND(F1940*K1940/B1940,0)*B1940)),IF(D1940="BUY",E1940-(ROUND(F1940*K1940/B1940,0)*B1940),E1940+(ROUND(F1940*K1940/B1940,0)*B1940)))</f>
        <v>#DIV/0!</v>
      </c>
      <c r="L1941" s="29" t="e">
        <f t="shared" ref="L1941" si="2906">IF(D1941="BUY",I1941+(R1941*B1941),I1941-(R1941*B1941))</f>
        <v>#DIV/0!</v>
      </c>
      <c r="M1941" s="29" t="e">
        <f>IF(D1940="BUY",E1940+(ROUND(F1940*M1940/B1940,0)*B1940),E1940-(ROUND(F1940*M1940/B1940,0)*B1940))</f>
        <v>#DIV/0!</v>
      </c>
      <c r="N1941" s="29" t="e">
        <f>IF(D1940="BUY",E1940-(ROUND(F1940*N1940/B1940,0)*B1940),E1940+(ROUND(F1940*N1940/B1940,0)*B1940))</f>
        <v>#DIV/0!</v>
      </c>
      <c r="O1941" s="31" t="e">
        <f>IF(D1941="BUY",N1941-VLOOKUP(A1941,Symbols!A$1:D$1000,4,FALSE),N1941+VLOOKUP(A1941,Symbols!A$1:D$1000,4,FALSE))</f>
        <v>#DIV/0!</v>
      </c>
      <c r="P1941" s="29">
        <f>P1940</f>
        <v>0</v>
      </c>
      <c r="Q1941" s="29">
        <f>Q1940</f>
        <v>0</v>
      </c>
      <c r="R1941" s="29">
        <f>R1940</f>
        <v>0</v>
      </c>
      <c r="S1941" s="29">
        <f>S1940</f>
        <v>0</v>
      </c>
      <c r="T1941" s="29">
        <f>T1940</f>
        <v>0</v>
      </c>
      <c r="U1941" s="29" t="e">
        <f>DATEDIF(DATE(1970,1,1),U1940,"D")*86400</f>
        <v>#NUM!</v>
      </c>
      <c r="V1941" s="29">
        <f>HOUR(V1940)*3600+MINUTE(V1940)*60+SECOND(V1940)</f>
        <v>0</v>
      </c>
      <c r="W1941" s="29" t="e">
        <f>DATEDIF(DATE(1970,1,1),W1940,"D")*86400</f>
        <v>#NUM!</v>
      </c>
      <c r="X1941" s="29">
        <f>HOUR(X1940)*3600+MINUTE(X1940)*60+SECOND(X1940)</f>
        <v>0</v>
      </c>
      <c r="Y1941" s="31">
        <f>(Y1940*B1941)</f>
        <v>0</v>
      </c>
      <c r="Z1941" s="29">
        <f>Z1940</f>
        <v>0</v>
      </c>
      <c r="AA1941" s="29" t="e">
        <f>DATEDIF(DATE(1970,1,1),AA1940,"D")*86400</f>
        <v>#NUM!</v>
      </c>
      <c r="AB1941" s="29">
        <f>HOUR(AB1940)*3600+MINUTE(AB1940)*60+SECOND(AB1940)</f>
        <v>0</v>
      </c>
      <c r="AC1941" s="29">
        <f>AC1940</f>
        <v>0</v>
      </c>
    </row>
    <row r="1942" spans="1:29">
      <c r="A1942" s="23">
        <f>Parameters!A972</f>
        <v>0</v>
      </c>
      <c r="B1942" s="23">
        <f>Parameters!B972</f>
        <v>0</v>
      </c>
      <c r="C1942" s="24">
        <f>Parameters!C972</f>
        <v>0</v>
      </c>
      <c r="D1942" s="24">
        <f>Parameters!D972</f>
        <v>0</v>
      </c>
      <c r="E1942" s="23">
        <f>Parameters!E972</f>
        <v>0</v>
      </c>
      <c r="F1942" s="23">
        <f>Parameters!F972</f>
        <v>0</v>
      </c>
      <c r="G1942" s="25">
        <f>Parameters!G972</f>
        <v>0</v>
      </c>
      <c r="H1942" s="25">
        <f>Parameters!H972</f>
        <v>0</v>
      </c>
      <c r="I1942" s="25">
        <f>Parameters!I972</f>
        <v>0</v>
      </c>
      <c r="J1942" s="25">
        <f>Parameters!J972</f>
        <v>0</v>
      </c>
      <c r="K1942" s="25">
        <f>Parameters!K972</f>
        <v>0</v>
      </c>
      <c r="L1942" s="26" t="e">
        <f t="shared" ref="L1942" si="2907">L1943</f>
        <v>#DIV/0!</v>
      </c>
      <c r="M1942" s="25">
        <f>Parameters!L972</f>
        <v>0</v>
      </c>
      <c r="N1942" s="25">
        <f>Parameters!M972</f>
        <v>0</v>
      </c>
      <c r="O1942" s="26" t="e">
        <f t="shared" ref="O1942" si="2908">O1943</f>
        <v>#DIV/0!</v>
      </c>
      <c r="P1942" s="23">
        <f>Parameters!N972</f>
        <v>0</v>
      </c>
      <c r="Q1942" s="23">
        <f>Parameters!O972</f>
        <v>0</v>
      </c>
      <c r="R1942" s="23">
        <f>Parameters!P972</f>
        <v>0</v>
      </c>
      <c r="S1942" s="23">
        <f>Parameters!Q972</f>
        <v>0</v>
      </c>
      <c r="T1942" s="23">
        <f>Parameters!R972</f>
        <v>0</v>
      </c>
      <c r="U1942" s="27">
        <f>Parameters!S972</f>
        <v>0</v>
      </c>
      <c r="V1942" s="28">
        <f>Parameters!T972</f>
        <v>0</v>
      </c>
      <c r="W1942" s="27">
        <f>Parameters!U972</f>
        <v>0</v>
      </c>
      <c r="X1942" s="28">
        <f>Parameters!V972</f>
        <v>0</v>
      </c>
      <c r="Y1942" s="25">
        <f>Parameters!W972</f>
        <v>0</v>
      </c>
      <c r="Z1942" s="23">
        <f>Parameters!X972</f>
        <v>0</v>
      </c>
      <c r="AA1942" s="27">
        <f>Parameters!Y972</f>
        <v>0</v>
      </c>
      <c r="AB1942" s="28">
        <f>Parameters!Z972</f>
        <v>0</v>
      </c>
      <c r="AC1942" s="23">
        <f>Parameters!AA972</f>
        <v>0</v>
      </c>
    </row>
    <row r="1943" spans="1:29">
      <c r="A1943" s="29" t="str">
        <f>UPPER(A1942)</f>
        <v>0</v>
      </c>
      <c r="B1943" s="29">
        <f>B1942</f>
        <v>0</v>
      </c>
      <c r="C1943" s="30">
        <f>C1942</f>
        <v>0</v>
      </c>
      <c r="D1943" s="30">
        <f>D1942</f>
        <v>0</v>
      </c>
      <c r="E1943" s="29">
        <f>E1942</f>
        <v>0</v>
      </c>
      <c r="F1943" s="29">
        <f>F1942</f>
        <v>0</v>
      </c>
      <c r="G1943" s="29" t="e">
        <f>IF(C1942=1,IF(D1942="BUY",E1942+(ROUND(F1942*G1942/B1942,0)*B1942),E1942-(ROUND(F1942*G1942/B1942,0)*B1942)),IF(D1942="BUY",E1942-(ROUND(F1942*G1942/B1942,0)*B1942),E1942+(ROUND(F1942*G1942/B1942,0)*B1942)))</f>
        <v>#DIV/0!</v>
      </c>
      <c r="H1943" s="29" t="e">
        <f>IF(C1942=1,IF(D1942="BUY",G1943-(ROUND(F1942*H1942/B1942,0)*B1942),G1943+(ROUND(F1942*H1942/B1942,0)*B1942)),IF(D1942="BUY",G1943+(ROUND(F1942*H1942/B1942,0)*B1942),G1943-(ROUND(F1942*H1942/B1942,0)*B1942)))</f>
        <v>#DIV/0!</v>
      </c>
      <c r="I1943" s="29" t="e">
        <f>IF(D1942="BUY",G1943+(ROUND(F1942*I1942/(B1942*100),0)*B1942),G1943-(ROUND(F1942*I1942/(B1942*100),0)*B1942))</f>
        <v>#DIV/0!</v>
      </c>
      <c r="J1943" s="29" t="e">
        <f>IF(C1942=1,IF(D1942="BUY",E1942+(ROUND(F1942*J1942/B1942,0)*B1942),E1942-(ROUND(F1942*J1942/B1942,0)*B1942)),IF(D1942="BUY",E1942-(ROUND(F1942*J1942/B1942,0)*B1942),E1942+(ROUND(F1942*J1942/B1942,0)*B1942)))</f>
        <v>#DIV/0!</v>
      </c>
      <c r="K1943" s="29" t="e">
        <f>IF(C1942=1,IF(D1942="BUY",E1942-(ROUND(F1942*K1942/B1942,0)*B1942),E1942+(ROUND(F1942*K1942/B1942,0)*B1942)),IF(D1942="BUY",E1942-(ROUND(F1942*K1942/B1942,0)*B1942),E1942+(ROUND(F1942*K1942/B1942,0)*B1942)))</f>
        <v>#DIV/0!</v>
      </c>
      <c r="L1943" s="29" t="e">
        <f t="shared" ref="L1943" si="2909">IF(D1943="BUY",I1943+(R1943*B1943),I1943-(R1943*B1943))</f>
        <v>#DIV/0!</v>
      </c>
      <c r="M1943" s="29" t="e">
        <f>IF(D1942="BUY",E1942+(ROUND(F1942*M1942/B1942,0)*B1942),E1942-(ROUND(F1942*M1942/B1942,0)*B1942))</f>
        <v>#DIV/0!</v>
      </c>
      <c r="N1943" s="29" t="e">
        <f>IF(D1942="BUY",E1942-(ROUND(F1942*N1942/B1942,0)*B1942),E1942+(ROUND(F1942*N1942/B1942,0)*B1942))</f>
        <v>#DIV/0!</v>
      </c>
      <c r="O1943" s="31" t="e">
        <f>IF(D1943="BUY",N1943-VLOOKUP(A1943,Symbols!A$1:D$1000,4,FALSE),N1943+VLOOKUP(A1943,Symbols!A$1:D$1000,4,FALSE))</f>
        <v>#DIV/0!</v>
      </c>
      <c r="P1943" s="29">
        <f>P1942</f>
        <v>0</v>
      </c>
      <c r="Q1943" s="29">
        <f>Q1942</f>
        <v>0</v>
      </c>
      <c r="R1943" s="29">
        <f>R1942</f>
        <v>0</v>
      </c>
      <c r="S1943" s="29">
        <f>S1942</f>
        <v>0</v>
      </c>
      <c r="T1943" s="29">
        <f>T1942</f>
        <v>0</v>
      </c>
      <c r="U1943" s="29" t="e">
        <f>DATEDIF(DATE(1970,1,1),U1942,"D")*86400</f>
        <v>#NUM!</v>
      </c>
      <c r="V1943" s="29">
        <f>HOUR(V1942)*3600+MINUTE(V1942)*60+SECOND(V1942)</f>
        <v>0</v>
      </c>
      <c r="W1943" s="29" t="e">
        <f>DATEDIF(DATE(1970,1,1),W1942,"D")*86400</f>
        <v>#NUM!</v>
      </c>
      <c r="X1943" s="29">
        <f>HOUR(X1942)*3600+MINUTE(X1942)*60+SECOND(X1942)</f>
        <v>0</v>
      </c>
      <c r="Y1943" s="31">
        <f>(Y1942*B1943)</f>
        <v>0</v>
      </c>
      <c r="Z1943" s="29">
        <f>Z1942</f>
        <v>0</v>
      </c>
      <c r="AA1943" s="29" t="e">
        <f>DATEDIF(DATE(1970,1,1),AA1942,"D")*86400</f>
        <v>#NUM!</v>
      </c>
      <c r="AB1943" s="29">
        <f>HOUR(AB1942)*3600+MINUTE(AB1942)*60+SECOND(AB1942)</f>
        <v>0</v>
      </c>
      <c r="AC1943" s="29">
        <f>AC1942</f>
        <v>0</v>
      </c>
    </row>
    <row r="1944" spans="1:29">
      <c r="A1944" s="23">
        <f>Parameters!A973</f>
        <v>0</v>
      </c>
      <c r="B1944" s="23">
        <f>Parameters!B973</f>
        <v>0</v>
      </c>
      <c r="C1944" s="24">
        <f>Parameters!C973</f>
        <v>0</v>
      </c>
      <c r="D1944" s="24">
        <f>Parameters!D973</f>
        <v>0</v>
      </c>
      <c r="E1944" s="23">
        <f>Parameters!E973</f>
        <v>0</v>
      </c>
      <c r="F1944" s="23">
        <f>Parameters!F973</f>
        <v>0</v>
      </c>
      <c r="G1944" s="25">
        <f>Parameters!G973</f>
        <v>0</v>
      </c>
      <c r="H1944" s="25">
        <f>Parameters!H973</f>
        <v>0</v>
      </c>
      <c r="I1944" s="25">
        <f>Parameters!I973</f>
        <v>0</v>
      </c>
      <c r="J1944" s="25">
        <f>Parameters!J973</f>
        <v>0</v>
      </c>
      <c r="K1944" s="25">
        <f>Parameters!K973</f>
        <v>0</v>
      </c>
      <c r="L1944" s="26" t="e">
        <f t="shared" ref="L1944" si="2910">L1945</f>
        <v>#DIV/0!</v>
      </c>
      <c r="M1944" s="25">
        <f>Parameters!L973</f>
        <v>0</v>
      </c>
      <c r="N1944" s="25">
        <f>Parameters!M973</f>
        <v>0</v>
      </c>
      <c r="O1944" s="26" t="e">
        <f t="shared" ref="O1944" si="2911">O1945</f>
        <v>#DIV/0!</v>
      </c>
      <c r="P1944" s="23">
        <f>Parameters!N973</f>
        <v>0</v>
      </c>
      <c r="Q1944" s="23">
        <f>Parameters!O973</f>
        <v>0</v>
      </c>
      <c r="R1944" s="23">
        <f>Parameters!P973</f>
        <v>0</v>
      </c>
      <c r="S1944" s="23">
        <f>Parameters!Q973</f>
        <v>0</v>
      </c>
      <c r="T1944" s="23">
        <f>Parameters!R973</f>
        <v>0</v>
      </c>
      <c r="U1944" s="27">
        <f>Parameters!S973</f>
        <v>0</v>
      </c>
      <c r="V1944" s="28">
        <f>Parameters!T973</f>
        <v>0</v>
      </c>
      <c r="W1944" s="27">
        <f>Parameters!U973</f>
        <v>0</v>
      </c>
      <c r="X1944" s="28">
        <f>Parameters!V973</f>
        <v>0</v>
      </c>
      <c r="Y1944" s="25">
        <f>Parameters!W973</f>
        <v>0</v>
      </c>
      <c r="Z1944" s="23">
        <f>Parameters!X973</f>
        <v>0</v>
      </c>
      <c r="AA1944" s="27">
        <f>Parameters!Y973</f>
        <v>0</v>
      </c>
      <c r="AB1944" s="28">
        <f>Parameters!Z973</f>
        <v>0</v>
      </c>
      <c r="AC1944" s="23">
        <f>Parameters!AA973</f>
        <v>0</v>
      </c>
    </row>
    <row r="1945" spans="1:29">
      <c r="A1945" s="29" t="str">
        <f>UPPER(A1944)</f>
        <v>0</v>
      </c>
      <c r="B1945" s="29">
        <f>B1944</f>
        <v>0</v>
      </c>
      <c r="C1945" s="30">
        <f>C1944</f>
        <v>0</v>
      </c>
      <c r="D1945" s="30">
        <f>D1944</f>
        <v>0</v>
      </c>
      <c r="E1945" s="29">
        <f>E1944</f>
        <v>0</v>
      </c>
      <c r="F1945" s="29">
        <f>F1944</f>
        <v>0</v>
      </c>
      <c r="G1945" s="29" t="e">
        <f>IF(C1944=1,IF(D1944="BUY",E1944+(ROUND(F1944*G1944/B1944,0)*B1944),E1944-(ROUND(F1944*G1944/B1944,0)*B1944)),IF(D1944="BUY",E1944-(ROUND(F1944*G1944/B1944,0)*B1944),E1944+(ROUND(F1944*G1944/B1944,0)*B1944)))</f>
        <v>#DIV/0!</v>
      </c>
      <c r="H1945" s="29" t="e">
        <f>IF(C1944=1,IF(D1944="BUY",G1945-(ROUND(F1944*H1944/B1944,0)*B1944),G1945+(ROUND(F1944*H1944/B1944,0)*B1944)),IF(D1944="BUY",G1945+(ROUND(F1944*H1944/B1944,0)*B1944),G1945-(ROUND(F1944*H1944/B1944,0)*B1944)))</f>
        <v>#DIV/0!</v>
      </c>
      <c r="I1945" s="29" t="e">
        <f>IF(D1944="BUY",G1945+(ROUND(F1944*I1944/(B1944*100),0)*B1944),G1945-(ROUND(F1944*I1944/(B1944*100),0)*B1944))</f>
        <v>#DIV/0!</v>
      </c>
      <c r="J1945" s="29" t="e">
        <f>IF(C1944=1,IF(D1944="BUY",E1944+(ROUND(F1944*J1944/B1944,0)*B1944),E1944-(ROUND(F1944*J1944/B1944,0)*B1944)),IF(D1944="BUY",E1944-(ROUND(F1944*J1944/B1944,0)*B1944),E1944+(ROUND(F1944*J1944/B1944,0)*B1944)))</f>
        <v>#DIV/0!</v>
      </c>
      <c r="K1945" s="29" t="e">
        <f>IF(C1944=1,IF(D1944="BUY",E1944-(ROUND(F1944*K1944/B1944,0)*B1944),E1944+(ROUND(F1944*K1944/B1944,0)*B1944)),IF(D1944="BUY",E1944-(ROUND(F1944*K1944/B1944,0)*B1944),E1944+(ROUND(F1944*K1944/B1944,0)*B1944)))</f>
        <v>#DIV/0!</v>
      </c>
      <c r="L1945" s="29" t="e">
        <f t="shared" ref="L1945" si="2912">IF(D1945="BUY",I1945+(R1945*B1945),I1945-(R1945*B1945))</f>
        <v>#DIV/0!</v>
      </c>
      <c r="M1945" s="29" t="e">
        <f>IF(D1944="BUY",E1944+(ROUND(F1944*M1944/B1944,0)*B1944),E1944-(ROUND(F1944*M1944/B1944,0)*B1944))</f>
        <v>#DIV/0!</v>
      </c>
      <c r="N1945" s="29" t="e">
        <f>IF(D1944="BUY",E1944-(ROUND(F1944*N1944/B1944,0)*B1944),E1944+(ROUND(F1944*N1944/B1944,0)*B1944))</f>
        <v>#DIV/0!</v>
      </c>
      <c r="O1945" s="31" t="e">
        <f>IF(D1945="BUY",N1945-VLOOKUP(A1945,Symbols!A$1:D$1000,4,FALSE),N1945+VLOOKUP(A1945,Symbols!A$1:D$1000,4,FALSE))</f>
        <v>#DIV/0!</v>
      </c>
      <c r="P1945" s="29">
        <f>P1944</f>
        <v>0</v>
      </c>
      <c r="Q1945" s="29">
        <f>Q1944</f>
        <v>0</v>
      </c>
      <c r="R1945" s="29">
        <f>R1944</f>
        <v>0</v>
      </c>
      <c r="S1945" s="29">
        <f>S1944</f>
        <v>0</v>
      </c>
      <c r="T1945" s="29">
        <f>T1944</f>
        <v>0</v>
      </c>
      <c r="U1945" s="29" t="e">
        <f>DATEDIF(DATE(1970,1,1),U1944,"D")*86400</f>
        <v>#NUM!</v>
      </c>
      <c r="V1945" s="29">
        <f>HOUR(V1944)*3600+MINUTE(V1944)*60+SECOND(V1944)</f>
        <v>0</v>
      </c>
      <c r="W1945" s="29" t="e">
        <f>DATEDIF(DATE(1970,1,1),W1944,"D")*86400</f>
        <v>#NUM!</v>
      </c>
      <c r="X1945" s="29">
        <f>HOUR(X1944)*3600+MINUTE(X1944)*60+SECOND(X1944)</f>
        <v>0</v>
      </c>
      <c r="Y1945" s="31">
        <f>(Y1944*B1945)</f>
        <v>0</v>
      </c>
      <c r="Z1945" s="29">
        <f>Z1944</f>
        <v>0</v>
      </c>
      <c r="AA1945" s="29" t="e">
        <f>DATEDIF(DATE(1970,1,1),AA1944,"D")*86400</f>
        <v>#NUM!</v>
      </c>
      <c r="AB1945" s="29">
        <f>HOUR(AB1944)*3600+MINUTE(AB1944)*60+SECOND(AB1944)</f>
        <v>0</v>
      </c>
      <c r="AC1945" s="29">
        <f>AC1944</f>
        <v>0</v>
      </c>
    </row>
    <row r="1946" spans="1:29">
      <c r="A1946" s="23">
        <f>Parameters!A974</f>
        <v>0</v>
      </c>
      <c r="B1946" s="23">
        <f>Parameters!B974</f>
        <v>0</v>
      </c>
      <c r="C1946" s="24">
        <f>Parameters!C974</f>
        <v>0</v>
      </c>
      <c r="D1946" s="24">
        <f>Parameters!D974</f>
        <v>0</v>
      </c>
      <c r="E1946" s="23">
        <f>Parameters!E974</f>
        <v>0</v>
      </c>
      <c r="F1946" s="23">
        <f>Parameters!F974</f>
        <v>0</v>
      </c>
      <c r="G1946" s="25">
        <f>Parameters!G974</f>
        <v>0</v>
      </c>
      <c r="H1946" s="25">
        <f>Parameters!H974</f>
        <v>0</v>
      </c>
      <c r="I1946" s="25">
        <f>Parameters!I974</f>
        <v>0</v>
      </c>
      <c r="J1946" s="25">
        <f>Parameters!J974</f>
        <v>0</v>
      </c>
      <c r="K1946" s="25">
        <f>Parameters!K974</f>
        <v>0</v>
      </c>
      <c r="L1946" s="26" t="e">
        <f t="shared" ref="L1946" si="2913">L1947</f>
        <v>#DIV/0!</v>
      </c>
      <c r="M1946" s="25">
        <f>Parameters!L974</f>
        <v>0</v>
      </c>
      <c r="N1946" s="25">
        <f>Parameters!M974</f>
        <v>0</v>
      </c>
      <c r="O1946" s="26" t="e">
        <f t="shared" ref="O1946" si="2914">O1947</f>
        <v>#DIV/0!</v>
      </c>
      <c r="P1946" s="23">
        <f>Parameters!N974</f>
        <v>0</v>
      </c>
      <c r="Q1946" s="23">
        <f>Parameters!O974</f>
        <v>0</v>
      </c>
      <c r="R1946" s="23">
        <f>Parameters!P974</f>
        <v>0</v>
      </c>
      <c r="S1946" s="23">
        <f>Parameters!Q974</f>
        <v>0</v>
      </c>
      <c r="T1946" s="23">
        <f>Parameters!R974</f>
        <v>0</v>
      </c>
      <c r="U1946" s="27">
        <f>Parameters!S974</f>
        <v>0</v>
      </c>
      <c r="V1946" s="28">
        <f>Parameters!T974</f>
        <v>0</v>
      </c>
      <c r="W1946" s="27">
        <f>Parameters!U974</f>
        <v>0</v>
      </c>
      <c r="X1946" s="28">
        <f>Parameters!V974</f>
        <v>0</v>
      </c>
      <c r="Y1946" s="25">
        <f>Parameters!W974</f>
        <v>0</v>
      </c>
      <c r="Z1946" s="23">
        <f>Parameters!X974</f>
        <v>0</v>
      </c>
      <c r="AA1946" s="27">
        <f>Parameters!Y974</f>
        <v>0</v>
      </c>
      <c r="AB1946" s="28">
        <f>Parameters!Z974</f>
        <v>0</v>
      </c>
      <c r="AC1946" s="23">
        <f>Parameters!AA974</f>
        <v>0</v>
      </c>
    </row>
    <row r="1947" spans="1:29">
      <c r="A1947" s="29" t="str">
        <f>UPPER(A1946)</f>
        <v>0</v>
      </c>
      <c r="B1947" s="29">
        <f>B1946</f>
        <v>0</v>
      </c>
      <c r="C1947" s="30">
        <f>C1946</f>
        <v>0</v>
      </c>
      <c r="D1947" s="30">
        <f>D1946</f>
        <v>0</v>
      </c>
      <c r="E1947" s="29">
        <f>E1946</f>
        <v>0</v>
      </c>
      <c r="F1947" s="29">
        <f>F1946</f>
        <v>0</v>
      </c>
      <c r="G1947" s="29" t="e">
        <f>IF(C1946=1,IF(D1946="BUY",E1946+(ROUND(F1946*G1946/B1946,0)*B1946),E1946-(ROUND(F1946*G1946/B1946,0)*B1946)),IF(D1946="BUY",E1946-(ROUND(F1946*G1946/B1946,0)*B1946),E1946+(ROUND(F1946*G1946/B1946,0)*B1946)))</f>
        <v>#DIV/0!</v>
      </c>
      <c r="H1947" s="29" t="e">
        <f>IF(C1946=1,IF(D1946="BUY",G1947-(ROUND(F1946*H1946/B1946,0)*B1946),G1947+(ROUND(F1946*H1946/B1946,0)*B1946)),IF(D1946="BUY",G1947+(ROUND(F1946*H1946/B1946,0)*B1946),G1947-(ROUND(F1946*H1946/B1946,0)*B1946)))</f>
        <v>#DIV/0!</v>
      </c>
      <c r="I1947" s="29" t="e">
        <f>IF(D1946="BUY",G1947+(ROUND(F1946*I1946/(B1946*100),0)*B1946),G1947-(ROUND(F1946*I1946/(B1946*100),0)*B1946))</f>
        <v>#DIV/0!</v>
      </c>
      <c r="J1947" s="29" t="e">
        <f>IF(C1946=1,IF(D1946="BUY",E1946+(ROUND(F1946*J1946/B1946,0)*B1946),E1946-(ROUND(F1946*J1946/B1946,0)*B1946)),IF(D1946="BUY",E1946-(ROUND(F1946*J1946/B1946,0)*B1946),E1946+(ROUND(F1946*J1946/B1946,0)*B1946)))</f>
        <v>#DIV/0!</v>
      </c>
      <c r="K1947" s="29" t="e">
        <f>IF(C1946=1,IF(D1946="BUY",E1946-(ROUND(F1946*K1946/B1946,0)*B1946),E1946+(ROUND(F1946*K1946/B1946,0)*B1946)),IF(D1946="BUY",E1946-(ROUND(F1946*K1946/B1946,0)*B1946),E1946+(ROUND(F1946*K1946/B1946,0)*B1946)))</f>
        <v>#DIV/0!</v>
      </c>
      <c r="L1947" s="29" t="e">
        <f t="shared" ref="L1947" si="2915">IF(D1947="BUY",I1947+(R1947*B1947),I1947-(R1947*B1947))</f>
        <v>#DIV/0!</v>
      </c>
      <c r="M1947" s="29" t="e">
        <f>IF(D1946="BUY",E1946+(ROUND(F1946*M1946/B1946,0)*B1946),E1946-(ROUND(F1946*M1946/B1946,0)*B1946))</f>
        <v>#DIV/0!</v>
      </c>
      <c r="N1947" s="29" t="e">
        <f>IF(D1946="BUY",E1946-(ROUND(F1946*N1946/B1946,0)*B1946),E1946+(ROUND(F1946*N1946/B1946,0)*B1946))</f>
        <v>#DIV/0!</v>
      </c>
      <c r="O1947" s="31" t="e">
        <f>IF(D1947="BUY",N1947-VLOOKUP(A1947,Symbols!A$1:D$1000,4,FALSE),N1947+VLOOKUP(A1947,Symbols!A$1:D$1000,4,FALSE))</f>
        <v>#DIV/0!</v>
      </c>
      <c r="P1947" s="29">
        <f>P1946</f>
        <v>0</v>
      </c>
      <c r="Q1947" s="29">
        <f>Q1946</f>
        <v>0</v>
      </c>
      <c r="R1947" s="29">
        <f>R1946</f>
        <v>0</v>
      </c>
      <c r="S1947" s="29">
        <f>S1946</f>
        <v>0</v>
      </c>
      <c r="T1947" s="29">
        <f>T1946</f>
        <v>0</v>
      </c>
      <c r="U1947" s="29" t="e">
        <f>DATEDIF(DATE(1970,1,1),U1946,"D")*86400</f>
        <v>#NUM!</v>
      </c>
      <c r="V1947" s="29">
        <f>HOUR(V1946)*3600+MINUTE(V1946)*60+SECOND(V1946)</f>
        <v>0</v>
      </c>
      <c r="W1947" s="29" t="e">
        <f>DATEDIF(DATE(1970,1,1),W1946,"D")*86400</f>
        <v>#NUM!</v>
      </c>
      <c r="X1947" s="29">
        <f>HOUR(X1946)*3600+MINUTE(X1946)*60+SECOND(X1946)</f>
        <v>0</v>
      </c>
      <c r="Y1947" s="31">
        <f>(Y1946*B1947)</f>
        <v>0</v>
      </c>
      <c r="Z1947" s="29">
        <f>Z1946</f>
        <v>0</v>
      </c>
      <c r="AA1947" s="29" t="e">
        <f>DATEDIF(DATE(1970,1,1),AA1946,"D")*86400</f>
        <v>#NUM!</v>
      </c>
      <c r="AB1947" s="29">
        <f>HOUR(AB1946)*3600+MINUTE(AB1946)*60+SECOND(AB1946)</f>
        <v>0</v>
      </c>
      <c r="AC1947" s="29">
        <f>AC1946</f>
        <v>0</v>
      </c>
    </row>
    <row r="1948" spans="1:29">
      <c r="A1948" s="23">
        <f>Parameters!A975</f>
        <v>0</v>
      </c>
      <c r="B1948" s="23">
        <f>Parameters!B975</f>
        <v>0</v>
      </c>
      <c r="C1948" s="24">
        <f>Parameters!C975</f>
        <v>0</v>
      </c>
      <c r="D1948" s="24">
        <f>Parameters!D975</f>
        <v>0</v>
      </c>
      <c r="E1948" s="23">
        <f>Parameters!E975</f>
        <v>0</v>
      </c>
      <c r="F1948" s="23">
        <f>Parameters!F975</f>
        <v>0</v>
      </c>
      <c r="G1948" s="25">
        <f>Parameters!G975</f>
        <v>0</v>
      </c>
      <c r="H1948" s="25">
        <f>Parameters!H975</f>
        <v>0</v>
      </c>
      <c r="I1948" s="25">
        <f>Parameters!I975</f>
        <v>0</v>
      </c>
      <c r="J1948" s="25">
        <f>Parameters!J975</f>
        <v>0</v>
      </c>
      <c r="K1948" s="25">
        <f>Parameters!K975</f>
        <v>0</v>
      </c>
      <c r="L1948" s="26" t="e">
        <f t="shared" ref="L1948" si="2916">L1949</f>
        <v>#DIV/0!</v>
      </c>
      <c r="M1948" s="25">
        <f>Parameters!L975</f>
        <v>0</v>
      </c>
      <c r="N1948" s="25">
        <f>Parameters!M975</f>
        <v>0</v>
      </c>
      <c r="O1948" s="26" t="e">
        <f t="shared" ref="O1948" si="2917">O1949</f>
        <v>#DIV/0!</v>
      </c>
      <c r="P1948" s="23">
        <f>Parameters!N975</f>
        <v>0</v>
      </c>
      <c r="Q1948" s="23">
        <f>Parameters!O975</f>
        <v>0</v>
      </c>
      <c r="R1948" s="23">
        <f>Parameters!P975</f>
        <v>0</v>
      </c>
      <c r="S1948" s="23">
        <f>Parameters!Q975</f>
        <v>0</v>
      </c>
      <c r="T1948" s="23">
        <f>Parameters!R975</f>
        <v>0</v>
      </c>
      <c r="U1948" s="27">
        <f>Parameters!S975</f>
        <v>0</v>
      </c>
      <c r="V1948" s="28">
        <f>Parameters!T975</f>
        <v>0</v>
      </c>
      <c r="W1948" s="27">
        <f>Parameters!U975</f>
        <v>0</v>
      </c>
      <c r="X1948" s="28">
        <f>Parameters!V975</f>
        <v>0</v>
      </c>
      <c r="Y1948" s="25">
        <f>Parameters!W975</f>
        <v>0</v>
      </c>
      <c r="Z1948" s="23">
        <f>Parameters!X975</f>
        <v>0</v>
      </c>
      <c r="AA1948" s="27">
        <f>Parameters!Y975</f>
        <v>0</v>
      </c>
      <c r="AB1948" s="28">
        <f>Parameters!Z975</f>
        <v>0</v>
      </c>
      <c r="AC1948" s="23">
        <f>Parameters!AA975</f>
        <v>0</v>
      </c>
    </row>
    <row r="1949" spans="1:29">
      <c r="A1949" s="29" t="str">
        <f>UPPER(A1948)</f>
        <v>0</v>
      </c>
      <c r="B1949" s="29">
        <f>B1948</f>
        <v>0</v>
      </c>
      <c r="C1949" s="30">
        <f>C1948</f>
        <v>0</v>
      </c>
      <c r="D1949" s="30">
        <f>D1948</f>
        <v>0</v>
      </c>
      <c r="E1949" s="29">
        <f>E1948</f>
        <v>0</v>
      </c>
      <c r="F1949" s="29">
        <f>F1948</f>
        <v>0</v>
      </c>
      <c r="G1949" s="29" t="e">
        <f>IF(C1948=1,IF(D1948="BUY",E1948+(ROUND(F1948*G1948/B1948,0)*B1948),E1948-(ROUND(F1948*G1948/B1948,0)*B1948)),IF(D1948="BUY",E1948-(ROUND(F1948*G1948/B1948,0)*B1948),E1948+(ROUND(F1948*G1948/B1948,0)*B1948)))</f>
        <v>#DIV/0!</v>
      </c>
      <c r="H1949" s="29" t="e">
        <f>IF(C1948=1,IF(D1948="BUY",G1949-(ROUND(F1948*H1948/B1948,0)*B1948),G1949+(ROUND(F1948*H1948/B1948,0)*B1948)),IF(D1948="BUY",G1949+(ROUND(F1948*H1948/B1948,0)*B1948),G1949-(ROUND(F1948*H1948/B1948,0)*B1948)))</f>
        <v>#DIV/0!</v>
      </c>
      <c r="I1949" s="29" t="e">
        <f>IF(D1948="BUY",G1949+(ROUND(F1948*I1948/(B1948*100),0)*B1948),G1949-(ROUND(F1948*I1948/(B1948*100),0)*B1948))</f>
        <v>#DIV/0!</v>
      </c>
      <c r="J1949" s="29" t="e">
        <f>IF(C1948=1,IF(D1948="BUY",E1948+(ROUND(F1948*J1948/B1948,0)*B1948),E1948-(ROUND(F1948*J1948/B1948,0)*B1948)),IF(D1948="BUY",E1948-(ROUND(F1948*J1948/B1948,0)*B1948),E1948+(ROUND(F1948*J1948/B1948,0)*B1948)))</f>
        <v>#DIV/0!</v>
      </c>
      <c r="K1949" s="29" t="e">
        <f>IF(C1948=1,IF(D1948="BUY",E1948-(ROUND(F1948*K1948/B1948,0)*B1948),E1948+(ROUND(F1948*K1948/B1948,0)*B1948)),IF(D1948="BUY",E1948-(ROUND(F1948*K1948/B1948,0)*B1948),E1948+(ROUND(F1948*K1948/B1948,0)*B1948)))</f>
        <v>#DIV/0!</v>
      </c>
      <c r="L1949" s="29" t="e">
        <f t="shared" ref="L1949" si="2918">IF(D1949="BUY",I1949+(R1949*B1949),I1949-(R1949*B1949))</f>
        <v>#DIV/0!</v>
      </c>
      <c r="M1949" s="29" t="e">
        <f>IF(D1948="BUY",E1948+(ROUND(F1948*M1948/B1948,0)*B1948),E1948-(ROUND(F1948*M1948/B1948,0)*B1948))</f>
        <v>#DIV/0!</v>
      </c>
      <c r="N1949" s="29" t="e">
        <f>IF(D1948="BUY",E1948-(ROUND(F1948*N1948/B1948,0)*B1948),E1948+(ROUND(F1948*N1948/B1948,0)*B1948))</f>
        <v>#DIV/0!</v>
      </c>
      <c r="O1949" s="31" t="e">
        <f>IF(D1949="BUY",N1949-VLOOKUP(A1949,Symbols!A$1:D$1000,4,FALSE),N1949+VLOOKUP(A1949,Symbols!A$1:D$1000,4,FALSE))</f>
        <v>#DIV/0!</v>
      </c>
      <c r="P1949" s="29">
        <f>P1948</f>
        <v>0</v>
      </c>
      <c r="Q1949" s="29">
        <f>Q1948</f>
        <v>0</v>
      </c>
      <c r="R1949" s="29">
        <f>R1948</f>
        <v>0</v>
      </c>
      <c r="S1949" s="29">
        <f>S1948</f>
        <v>0</v>
      </c>
      <c r="T1949" s="29">
        <f>T1948</f>
        <v>0</v>
      </c>
      <c r="U1949" s="29" t="e">
        <f>DATEDIF(DATE(1970,1,1),U1948,"D")*86400</f>
        <v>#NUM!</v>
      </c>
      <c r="V1949" s="29">
        <f>HOUR(V1948)*3600+MINUTE(V1948)*60+SECOND(V1948)</f>
        <v>0</v>
      </c>
      <c r="W1949" s="29" t="e">
        <f>DATEDIF(DATE(1970,1,1),W1948,"D")*86400</f>
        <v>#NUM!</v>
      </c>
      <c r="X1949" s="29">
        <f>HOUR(X1948)*3600+MINUTE(X1948)*60+SECOND(X1948)</f>
        <v>0</v>
      </c>
      <c r="Y1949" s="31">
        <f>(Y1948*B1949)</f>
        <v>0</v>
      </c>
      <c r="Z1949" s="29">
        <f>Z1948</f>
        <v>0</v>
      </c>
      <c r="AA1949" s="29" t="e">
        <f>DATEDIF(DATE(1970,1,1),AA1948,"D")*86400</f>
        <v>#NUM!</v>
      </c>
      <c r="AB1949" s="29">
        <f>HOUR(AB1948)*3600+MINUTE(AB1948)*60+SECOND(AB1948)</f>
        <v>0</v>
      </c>
      <c r="AC1949" s="29">
        <f>AC1948</f>
        <v>0</v>
      </c>
    </row>
    <row r="1950" spans="1:29">
      <c r="A1950" s="23">
        <f>Parameters!A976</f>
        <v>0</v>
      </c>
      <c r="B1950" s="23">
        <f>Parameters!B976</f>
        <v>0</v>
      </c>
      <c r="C1950" s="24">
        <f>Parameters!C976</f>
        <v>0</v>
      </c>
      <c r="D1950" s="24">
        <f>Parameters!D976</f>
        <v>0</v>
      </c>
      <c r="E1950" s="23">
        <f>Parameters!E976</f>
        <v>0</v>
      </c>
      <c r="F1950" s="23">
        <f>Parameters!F976</f>
        <v>0</v>
      </c>
      <c r="G1950" s="25">
        <f>Parameters!G976</f>
        <v>0</v>
      </c>
      <c r="H1950" s="25">
        <f>Parameters!H976</f>
        <v>0</v>
      </c>
      <c r="I1950" s="25">
        <f>Parameters!I976</f>
        <v>0</v>
      </c>
      <c r="J1950" s="25">
        <f>Parameters!J976</f>
        <v>0</v>
      </c>
      <c r="K1950" s="25">
        <f>Parameters!K976</f>
        <v>0</v>
      </c>
      <c r="L1950" s="26" t="e">
        <f t="shared" ref="L1950" si="2919">L1951</f>
        <v>#DIV/0!</v>
      </c>
      <c r="M1950" s="25">
        <f>Parameters!L976</f>
        <v>0</v>
      </c>
      <c r="N1950" s="25">
        <f>Parameters!M976</f>
        <v>0</v>
      </c>
      <c r="O1950" s="26" t="e">
        <f t="shared" ref="O1950" si="2920">O1951</f>
        <v>#DIV/0!</v>
      </c>
      <c r="P1950" s="23">
        <f>Parameters!N976</f>
        <v>0</v>
      </c>
      <c r="Q1950" s="23">
        <f>Parameters!O976</f>
        <v>0</v>
      </c>
      <c r="R1950" s="23">
        <f>Parameters!P976</f>
        <v>0</v>
      </c>
      <c r="S1950" s="23">
        <f>Parameters!Q976</f>
        <v>0</v>
      </c>
      <c r="T1950" s="23">
        <f>Parameters!R976</f>
        <v>0</v>
      </c>
      <c r="U1950" s="27">
        <f>Parameters!S976</f>
        <v>0</v>
      </c>
      <c r="V1950" s="28">
        <f>Parameters!T976</f>
        <v>0</v>
      </c>
      <c r="W1950" s="27">
        <f>Parameters!U976</f>
        <v>0</v>
      </c>
      <c r="X1950" s="28">
        <f>Parameters!V976</f>
        <v>0</v>
      </c>
      <c r="Y1950" s="25">
        <f>Parameters!W976</f>
        <v>0</v>
      </c>
      <c r="Z1950" s="23">
        <f>Parameters!X976</f>
        <v>0</v>
      </c>
      <c r="AA1950" s="27">
        <f>Parameters!Y976</f>
        <v>0</v>
      </c>
      <c r="AB1950" s="28">
        <f>Parameters!Z976</f>
        <v>0</v>
      </c>
      <c r="AC1950" s="23">
        <f>Parameters!AA976</f>
        <v>0</v>
      </c>
    </row>
    <row r="1951" spans="1:29">
      <c r="A1951" s="29" t="str">
        <f>UPPER(A1950)</f>
        <v>0</v>
      </c>
      <c r="B1951" s="29">
        <f>B1950</f>
        <v>0</v>
      </c>
      <c r="C1951" s="30">
        <f>C1950</f>
        <v>0</v>
      </c>
      <c r="D1951" s="30">
        <f>D1950</f>
        <v>0</v>
      </c>
      <c r="E1951" s="29">
        <f>E1950</f>
        <v>0</v>
      </c>
      <c r="F1951" s="29">
        <f>F1950</f>
        <v>0</v>
      </c>
      <c r="G1951" s="29" t="e">
        <f>IF(C1950=1,IF(D1950="BUY",E1950+(ROUND(F1950*G1950/B1950,0)*B1950),E1950-(ROUND(F1950*G1950/B1950,0)*B1950)),IF(D1950="BUY",E1950-(ROUND(F1950*G1950/B1950,0)*B1950),E1950+(ROUND(F1950*G1950/B1950,0)*B1950)))</f>
        <v>#DIV/0!</v>
      </c>
      <c r="H1951" s="29" t="e">
        <f>IF(C1950=1,IF(D1950="BUY",G1951-(ROUND(F1950*H1950/B1950,0)*B1950),G1951+(ROUND(F1950*H1950/B1950,0)*B1950)),IF(D1950="BUY",G1951+(ROUND(F1950*H1950/B1950,0)*B1950),G1951-(ROUND(F1950*H1950/B1950,0)*B1950)))</f>
        <v>#DIV/0!</v>
      </c>
      <c r="I1951" s="29" t="e">
        <f>IF(D1950="BUY",G1951+(ROUND(F1950*I1950/(B1950*100),0)*B1950),G1951-(ROUND(F1950*I1950/(B1950*100),0)*B1950))</f>
        <v>#DIV/0!</v>
      </c>
      <c r="J1951" s="29" t="e">
        <f>IF(C1950=1,IF(D1950="BUY",E1950+(ROUND(F1950*J1950/B1950,0)*B1950),E1950-(ROUND(F1950*J1950/B1950,0)*B1950)),IF(D1950="BUY",E1950-(ROUND(F1950*J1950/B1950,0)*B1950),E1950+(ROUND(F1950*J1950/B1950,0)*B1950)))</f>
        <v>#DIV/0!</v>
      </c>
      <c r="K1951" s="29" t="e">
        <f>IF(C1950=1,IF(D1950="BUY",E1950-(ROUND(F1950*K1950/B1950,0)*B1950),E1950+(ROUND(F1950*K1950/B1950,0)*B1950)),IF(D1950="BUY",E1950-(ROUND(F1950*K1950/B1950,0)*B1950),E1950+(ROUND(F1950*K1950/B1950,0)*B1950)))</f>
        <v>#DIV/0!</v>
      </c>
      <c r="L1951" s="29" t="e">
        <f t="shared" ref="L1951" si="2921">IF(D1951="BUY",I1951+(R1951*B1951),I1951-(R1951*B1951))</f>
        <v>#DIV/0!</v>
      </c>
      <c r="M1951" s="29" t="e">
        <f>IF(D1950="BUY",E1950+(ROUND(F1950*M1950/B1950,0)*B1950),E1950-(ROUND(F1950*M1950/B1950,0)*B1950))</f>
        <v>#DIV/0!</v>
      </c>
      <c r="N1951" s="29" t="e">
        <f>IF(D1950="BUY",E1950-(ROUND(F1950*N1950/B1950,0)*B1950),E1950+(ROUND(F1950*N1950/B1950,0)*B1950))</f>
        <v>#DIV/0!</v>
      </c>
      <c r="O1951" s="31" t="e">
        <f>IF(D1951="BUY",N1951-VLOOKUP(A1951,Symbols!A$1:D$1000,4,FALSE),N1951+VLOOKUP(A1951,Symbols!A$1:D$1000,4,FALSE))</f>
        <v>#DIV/0!</v>
      </c>
      <c r="P1951" s="29">
        <f>P1950</f>
        <v>0</v>
      </c>
      <c r="Q1951" s="29">
        <f>Q1950</f>
        <v>0</v>
      </c>
      <c r="R1951" s="29">
        <f>R1950</f>
        <v>0</v>
      </c>
      <c r="S1951" s="29">
        <f>S1950</f>
        <v>0</v>
      </c>
      <c r="T1951" s="29">
        <f>T1950</f>
        <v>0</v>
      </c>
      <c r="U1951" s="29" t="e">
        <f>DATEDIF(DATE(1970,1,1),U1950,"D")*86400</f>
        <v>#NUM!</v>
      </c>
      <c r="V1951" s="29">
        <f>HOUR(V1950)*3600+MINUTE(V1950)*60+SECOND(V1950)</f>
        <v>0</v>
      </c>
      <c r="W1951" s="29" t="e">
        <f>DATEDIF(DATE(1970,1,1),W1950,"D")*86400</f>
        <v>#NUM!</v>
      </c>
      <c r="X1951" s="29">
        <f>HOUR(X1950)*3600+MINUTE(X1950)*60+SECOND(X1950)</f>
        <v>0</v>
      </c>
      <c r="Y1951" s="31">
        <f>(Y1950*B1951)</f>
        <v>0</v>
      </c>
      <c r="Z1951" s="29">
        <f>Z1950</f>
        <v>0</v>
      </c>
      <c r="AA1951" s="29" t="e">
        <f>DATEDIF(DATE(1970,1,1),AA1950,"D")*86400</f>
        <v>#NUM!</v>
      </c>
      <c r="AB1951" s="29">
        <f>HOUR(AB1950)*3600+MINUTE(AB1950)*60+SECOND(AB1950)</f>
        <v>0</v>
      </c>
      <c r="AC1951" s="29">
        <f>AC1950</f>
        <v>0</v>
      </c>
    </row>
    <row r="1952" spans="1:29">
      <c r="A1952" s="23">
        <f>Parameters!A977</f>
        <v>0</v>
      </c>
      <c r="B1952" s="23">
        <f>Parameters!B977</f>
        <v>0</v>
      </c>
      <c r="C1952" s="24">
        <f>Parameters!C977</f>
        <v>0</v>
      </c>
      <c r="D1952" s="24">
        <f>Parameters!D977</f>
        <v>0</v>
      </c>
      <c r="E1952" s="23">
        <f>Parameters!E977</f>
        <v>0</v>
      </c>
      <c r="F1952" s="23">
        <f>Parameters!F977</f>
        <v>0</v>
      </c>
      <c r="G1952" s="25">
        <f>Parameters!G977</f>
        <v>0</v>
      </c>
      <c r="H1952" s="25">
        <f>Parameters!H977</f>
        <v>0</v>
      </c>
      <c r="I1952" s="25">
        <f>Parameters!I977</f>
        <v>0</v>
      </c>
      <c r="J1952" s="25">
        <f>Parameters!J977</f>
        <v>0</v>
      </c>
      <c r="K1952" s="25">
        <f>Parameters!K977</f>
        <v>0</v>
      </c>
      <c r="L1952" s="26" t="e">
        <f t="shared" ref="L1952" si="2922">L1953</f>
        <v>#DIV/0!</v>
      </c>
      <c r="M1952" s="25">
        <f>Parameters!L977</f>
        <v>0</v>
      </c>
      <c r="N1952" s="25">
        <f>Parameters!M977</f>
        <v>0</v>
      </c>
      <c r="O1952" s="26" t="e">
        <f t="shared" ref="O1952" si="2923">O1953</f>
        <v>#DIV/0!</v>
      </c>
      <c r="P1952" s="23">
        <f>Parameters!N977</f>
        <v>0</v>
      </c>
      <c r="Q1952" s="23">
        <f>Parameters!O977</f>
        <v>0</v>
      </c>
      <c r="R1952" s="23">
        <f>Parameters!P977</f>
        <v>0</v>
      </c>
      <c r="S1952" s="23">
        <f>Parameters!Q977</f>
        <v>0</v>
      </c>
      <c r="T1952" s="23">
        <f>Parameters!R977</f>
        <v>0</v>
      </c>
      <c r="U1952" s="27">
        <f>Parameters!S977</f>
        <v>0</v>
      </c>
      <c r="V1952" s="28">
        <f>Parameters!T977</f>
        <v>0</v>
      </c>
      <c r="W1952" s="27">
        <f>Parameters!U977</f>
        <v>0</v>
      </c>
      <c r="X1952" s="28">
        <f>Parameters!V977</f>
        <v>0</v>
      </c>
      <c r="Y1952" s="25">
        <f>Parameters!W977</f>
        <v>0</v>
      </c>
      <c r="Z1952" s="23">
        <f>Parameters!X977</f>
        <v>0</v>
      </c>
      <c r="AA1952" s="27">
        <f>Parameters!Y977</f>
        <v>0</v>
      </c>
      <c r="AB1952" s="28">
        <f>Parameters!Z977</f>
        <v>0</v>
      </c>
      <c r="AC1952" s="23">
        <f>Parameters!AA977</f>
        <v>0</v>
      </c>
    </row>
    <row r="1953" spans="1:29">
      <c r="A1953" s="29" t="str">
        <f>UPPER(A1952)</f>
        <v>0</v>
      </c>
      <c r="B1953" s="29">
        <f>B1952</f>
        <v>0</v>
      </c>
      <c r="C1953" s="30">
        <f>C1952</f>
        <v>0</v>
      </c>
      <c r="D1953" s="30">
        <f>D1952</f>
        <v>0</v>
      </c>
      <c r="E1953" s="29">
        <f>E1952</f>
        <v>0</v>
      </c>
      <c r="F1953" s="29">
        <f>F1952</f>
        <v>0</v>
      </c>
      <c r="G1953" s="29" t="e">
        <f>IF(C1952=1,IF(D1952="BUY",E1952+(ROUND(F1952*G1952/B1952,0)*B1952),E1952-(ROUND(F1952*G1952/B1952,0)*B1952)),IF(D1952="BUY",E1952-(ROUND(F1952*G1952/B1952,0)*B1952),E1952+(ROUND(F1952*G1952/B1952,0)*B1952)))</f>
        <v>#DIV/0!</v>
      </c>
      <c r="H1953" s="29" t="e">
        <f>IF(C1952=1,IF(D1952="BUY",G1953-(ROUND(F1952*H1952/B1952,0)*B1952),G1953+(ROUND(F1952*H1952/B1952,0)*B1952)),IF(D1952="BUY",G1953+(ROUND(F1952*H1952/B1952,0)*B1952),G1953-(ROUND(F1952*H1952/B1952,0)*B1952)))</f>
        <v>#DIV/0!</v>
      </c>
      <c r="I1953" s="29" t="e">
        <f>IF(D1952="BUY",G1953+(ROUND(F1952*I1952/(B1952*100),0)*B1952),G1953-(ROUND(F1952*I1952/(B1952*100),0)*B1952))</f>
        <v>#DIV/0!</v>
      </c>
      <c r="J1953" s="29" t="e">
        <f>IF(C1952=1,IF(D1952="BUY",E1952+(ROUND(F1952*J1952/B1952,0)*B1952),E1952-(ROUND(F1952*J1952/B1952,0)*B1952)),IF(D1952="BUY",E1952-(ROUND(F1952*J1952/B1952,0)*B1952),E1952+(ROUND(F1952*J1952/B1952,0)*B1952)))</f>
        <v>#DIV/0!</v>
      </c>
      <c r="K1953" s="29" t="e">
        <f>IF(C1952=1,IF(D1952="BUY",E1952-(ROUND(F1952*K1952/B1952,0)*B1952),E1952+(ROUND(F1952*K1952/B1952,0)*B1952)),IF(D1952="BUY",E1952-(ROUND(F1952*K1952/B1952,0)*B1952),E1952+(ROUND(F1952*K1952/B1952,0)*B1952)))</f>
        <v>#DIV/0!</v>
      </c>
      <c r="L1953" s="29" t="e">
        <f t="shared" ref="L1953" si="2924">IF(D1953="BUY",I1953+(R1953*B1953),I1953-(R1953*B1953))</f>
        <v>#DIV/0!</v>
      </c>
      <c r="M1953" s="29" t="e">
        <f>IF(D1952="BUY",E1952+(ROUND(F1952*M1952/B1952,0)*B1952),E1952-(ROUND(F1952*M1952/B1952,0)*B1952))</f>
        <v>#DIV/0!</v>
      </c>
      <c r="N1953" s="29" t="e">
        <f>IF(D1952="BUY",E1952-(ROUND(F1952*N1952/B1952,0)*B1952),E1952+(ROUND(F1952*N1952/B1952,0)*B1952))</f>
        <v>#DIV/0!</v>
      </c>
      <c r="O1953" s="31" t="e">
        <f>IF(D1953="BUY",N1953-VLOOKUP(A1953,Symbols!A$1:D$1000,4,FALSE),N1953+VLOOKUP(A1953,Symbols!A$1:D$1000,4,FALSE))</f>
        <v>#DIV/0!</v>
      </c>
      <c r="P1953" s="29">
        <f>P1952</f>
        <v>0</v>
      </c>
      <c r="Q1953" s="29">
        <f>Q1952</f>
        <v>0</v>
      </c>
      <c r="R1953" s="29">
        <f>R1952</f>
        <v>0</v>
      </c>
      <c r="S1953" s="29">
        <f>S1952</f>
        <v>0</v>
      </c>
      <c r="T1953" s="29">
        <f>T1952</f>
        <v>0</v>
      </c>
      <c r="U1953" s="29" t="e">
        <f>DATEDIF(DATE(1970,1,1),U1952,"D")*86400</f>
        <v>#NUM!</v>
      </c>
      <c r="V1953" s="29">
        <f>HOUR(V1952)*3600+MINUTE(V1952)*60+SECOND(V1952)</f>
        <v>0</v>
      </c>
      <c r="W1953" s="29" t="e">
        <f>DATEDIF(DATE(1970,1,1),W1952,"D")*86400</f>
        <v>#NUM!</v>
      </c>
      <c r="X1953" s="29">
        <f>HOUR(X1952)*3600+MINUTE(X1952)*60+SECOND(X1952)</f>
        <v>0</v>
      </c>
      <c r="Y1953" s="31">
        <f>(Y1952*B1953)</f>
        <v>0</v>
      </c>
      <c r="Z1953" s="29">
        <f>Z1952</f>
        <v>0</v>
      </c>
      <c r="AA1953" s="29" t="e">
        <f>DATEDIF(DATE(1970,1,1),AA1952,"D")*86400</f>
        <v>#NUM!</v>
      </c>
      <c r="AB1953" s="29">
        <f>HOUR(AB1952)*3600+MINUTE(AB1952)*60+SECOND(AB1952)</f>
        <v>0</v>
      </c>
      <c r="AC1953" s="29">
        <f>AC1952</f>
        <v>0</v>
      </c>
    </row>
    <row r="1954" spans="1:29">
      <c r="A1954" s="23">
        <f>Parameters!A978</f>
        <v>0</v>
      </c>
      <c r="B1954" s="23">
        <f>Parameters!B978</f>
        <v>0</v>
      </c>
      <c r="C1954" s="24">
        <f>Parameters!C978</f>
        <v>0</v>
      </c>
      <c r="D1954" s="24">
        <f>Parameters!D978</f>
        <v>0</v>
      </c>
      <c r="E1954" s="23">
        <f>Parameters!E978</f>
        <v>0</v>
      </c>
      <c r="F1954" s="23">
        <f>Parameters!F978</f>
        <v>0</v>
      </c>
      <c r="G1954" s="25">
        <f>Parameters!G978</f>
        <v>0</v>
      </c>
      <c r="H1954" s="25">
        <f>Parameters!H978</f>
        <v>0</v>
      </c>
      <c r="I1954" s="25">
        <f>Parameters!I978</f>
        <v>0</v>
      </c>
      <c r="J1954" s="25">
        <f>Parameters!J978</f>
        <v>0</v>
      </c>
      <c r="K1954" s="25">
        <f>Parameters!K978</f>
        <v>0</v>
      </c>
      <c r="L1954" s="26" t="e">
        <f t="shared" ref="L1954" si="2925">L1955</f>
        <v>#DIV/0!</v>
      </c>
      <c r="M1954" s="25">
        <f>Parameters!L978</f>
        <v>0</v>
      </c>
      <c r="N1954" s="25">
        <f>Parameters!M978</f>
        <v>0</v>
      </c>
      <c r="O1954" s="26" t="e">
        <f t="shared" ref="O1954" si="2926">O1955</f>
        <v>#DIV/0!</v>
      </c>
      <c r="P1954" s="23">
        <f>Parameters!N978</f>
        <v>0</v>
      </c>
      <c r="Q1954" s="23">
        <f>Parameters!O978</f>
        <v>0</v>
      </c>
      <c r="R1954" s="23">
        <f>Parameters!P978</f>
        <v>0</v>
      </c>
      <c r="S1954" s="23">
        <f>Parameters!Q978</f>
        <v>0</v>
      </c>
      <c r="T1954" s="23">
        <f>Parameters!R978</f>
        <v>0</v>
      </c>
      <c r="U1954" s="27">
        <f>Parameters!S978</f>
        <v>0</v>
      </c>
      <c r="V1954" s="28">
        <f>Parameters!T978</f>
        <v>0</v>
      </c>
      <c r="W1954" s="27">
        <f>Parameters!U978</f>
        <v>0</v>
      </c>
      <c r="X1954" s="28">
        <f>Parameters!V978</f>
        <v>0</v>
      </c>
      <c r="Y1954" s="25">
        <f>Parameters!W978</f>
        <v>0</v>
      </c>
      <c r="Z1954" s="23">
        <f>Parameters!X978</f>
        <v>0</v>
      </c>
      <c r="AA1954" s="27">
        <f>Parameters!Y978</f>
        <v>0</v>
      </c>
      <c r="AB1954" s="28">
        <f>Parameters!Z978</f>
        <v>0</v>
      </c>
      <c r="AC1954" s="23">
        <f>Parameters!AA978</f>
        <v>0</v>
      </c>
    </row>
    <row r="1955" spans="1:29">
      <c r="A1955" s="29" t="str">
        <f>UPPER(A1954)</f>
        <v>0</v>
      </c>
      <c r="B1955" s="29">
        <f>B1954</f>
        <v>0</v>
      </c>
      <c r="C1955" s="30">
        <f>C1954</f>
        <v>0</v>
      </c>
      <c r="D1955" s="30">
        <f>D1954</f>
        <v>0</v>
      </c>
      <c r="E1955" s="29">
        <f>E1954</f>
        <v>0</v>
      </c>
      <c r="F1955" s="29">
        <f>F1954</f>
        <v>0</v>
      </c>
      <c r="G1955" s="29" t="e">
        <f>IF(C1954=1,IF(D1954="BUY",E1954+(ROUND(F1954*G1954/B1954,0)*B1954),E1954-(ROUND(F1954*G1954/B1954,0)*B1954)),IF(D1954="BUY",E1954-(ROUND(F1954*G1954/B1954,0)*B1954),E1954+(ROUND(F1954*G1954/B1954,0)*B1954)))</f>
        <v>#DIV/0!</v>
      </c>
      <c r="H1955" s="29" t="e">
        <f>IF(C1954=1,IF(D1954="BUY",G1955-(ROUND(F1954*H1954/B1954,0)*B1954),G1955+(ROUND(F1954*H1954/B1954,0)*B1954)),IF(D1954="BUY",G1955+(ROUND(F1954*H1954/B1954,0)*B1954),G1955-(ROUND(F1954*H1954/B1954,0)*B1954)))</f>
        <v>#DIV/0!</v>
      </c>
      <c r="I1955" s="29" t="e">
        <f>IF(D1954="BUY",G1955+(ROUND(F1954*I1954/(B1954*100),0)*B1954),G1955-(ROUND(F1954*I1954/(B1954*100),0)*B1954))</f>
        <v>#DIV/0!</v>
      </c>
      <c r="J1955" s="29" t="e">
        <f>IF(C1954=1,IF(D1954="BUY",E1954+(ROUND(F1954*J1954/B1954,0)*B1954),E1954-(ROUND(F1954*J1954/B1954,0)*B1954)),IF(D1954="BUY",E1954-(ROUND(F1954*J1954/B1954,0)*B1954),E1954+(ROUND(F1954*J1954/B1954,0)*B1954)))</f>
        <v>#DIV/0!</v>
      </c>
      <c r="K1955" s="29" t="e">
        <f>IF(C1954=1,IF(D1954="BUY",E1954-(ROUND(F1954*K1954/B1954,0)*B1954),E1954+(ROUND(F1954*K1954/B1954,0)*B1954)),IF(D1954="BUY",E1954-(ROUND(F1954*K1954/B1954,0)*B1954),E1954+(ROUND(F1954*K1954/B1954,0)*B1954)))</f>
        <v>#DIV/0!</v>
      </c>
      <c r="L1955" s="29" t="e">
        <f t="shared" ref="L1955" si="2927">IF(D1955="BUY",I1955+(R1955*B1955),I1955-(R1955*B1955))</f>
        <v>#DIV/0!</v>
      </c>
      <c r="M1955" s="29" t="e">
        <f>IF(D1954="BUY",E1954+(ROUND(F1954*M1954/B1954,0)*B1954),E1954-(ROUND(F1954*M1954/B1954,0)*B1954))</f>
        <v>#DIV/0!</v>
      </c>
      <c r="N1955" s="29" t="e">
        <f>IF(D1954="BUY",E1954-(ROUND(F1954*N1954/B1954,0)*B1954),E1954+(ROUND(F1954*N1954/B1954,0)*B1954))</f>
        <v>#DIV/0!</v>
      </c>
      <c r="O1955" s="31" t="e">
        <f>IF(D1955="BUY",N1955-VLOOKUP(A1955,Symbols!A$1:D$1000,4,FALSE),N1955+VLOOKUP(A1955,Symbols!A$1:D$1000,4,FALSE))</f>
        <v>#DIV/0!</v>
      </c>
      <c r="P1955" s="29">
        <f>P1954</f>
        <v>0</v>
      </c>
      <c r="Q1955" s="29">
        <f>Q1954</f>
        <v>0</v>
      </c>
      <c r="R1955" s="29">
        <f>R1954</f>
        <v>0</v>
      </c>
      <c r="S1955" s="29">
        <f>S1954</f>
        <v>0</v>
      </c>
      <c r="T1955" s="29">
        <f>T1954</f>
        <v>0</v>
      </c>
      <c r="U1955" s="29" t="e">
        <f>DATEDIF(DATE(1970,1,1),U1954,"D")*86400</f>
        <v>#NUM!</v>
      </c>
      <c r="V1955" s="29">
        <f>HOUR(V1954)*3600+MINUTE(V1954)*60+SECOND(V1954)</f>
        <v>0</v>
      </c>
      <c r="W1955" s="29" t="e">
        <f>DATEDIF(DATE(1970,1,1),W1954,"D")*86400</f>
        <v>#NUM!</v>
      </c>
      <c r="X1955" s="29">
        <f>HOUR(X1954)*3600+MINUTE(X1954)*60+SECOND(X1954)</f>
        <v>0</v>
      </c>
      <c r="Y1955" s="31">
        <f>(Y1954*B1955)</f>
        <v>0</v>
      </c>
      <c r="Z1955" s="29">
        <f>Z1954</f>
        <v>0</v>
      </c>
      <c r="AA1955" s="29" t="e">
        <f>DATEDIF(DATE(1970,1,1),AA1954,"D")*86400</f>
        <v>#NUM!</v>
      </c>
      <c r="AB1955" s="29">
        <f>HOUR(AB1954)*3600+MINUTE(AB1954)*60+SECOND(AB1954)</f>
        <v>0</v>
      </c>
      <c r="AC1955" s="29">
        <f>AC1954</f>
        <v>0</v>
      </c>
    </row>
    <row r="1956" spans="1:29">
      <c r="A1956" s="23">
        <f>Parameters!A979</f>
        <v>0</v>
      </c>
      <c r="B1956" s="23">
        <f>Parameters!B979</f>
        <v>0</v>
      </c>
      <c r="C1956" s="24">
        <f>Parameters!C979</f>
        <v>0</v>
      </c>
      <c r="D1956" s="24">
        <f>Parameters!D979</f>
        <v>0</v>
      </c>
      <c r="E1956" s="23">
        <f>Parameters!E979</f>
        <v>0</v>
      </c>
      <c r="F1956" s="23">
        <f>Parameters!F979</f>
        <v>0</v>
      </c>
      <c r="G1956" s="25">
        <f>Parameters!G979</f>
        <v>0</v>
      </c>
      <c r="H1956" s="25">
        <f>Parameters!H979</f>
        <v>0</v>
      </c>
      <c r="I1956" s="25">
        <f>Parameters!I979</f>
        <v>0</v>
      </c>
      <c r="J1956" s="25">
        <f>Parameters!J979</f>
        <v>0</v>
      </c>
      <c r="K1956" s="25">
        <f>Parameters!K979</f>
        <v>0</v>
      </c>
      <c r="L1956" s="26" t="e">
        <f t="shared" ref="L1956" si="2928">L1957</f>
        <v>#DIV/0!</v>
      </c>
      <c r="M1956" s="25">
        <f>Parameters!L979</f>
        <v>0</v>
      </c>
      <c r="N1956" s="25">
        <f>Parameters!M979</f>
        <v>0</v>
      </c>
      <c r="O1956" s="26" t="e">
        <f t="shared" ref="O1956" si="2929">O1957</f>
        <v>#DIV/0!</v>
      </c>
      <c r="P1956" s="23">
        <f>Parameters!N979</f>
        <v>0</v>
      </c>
      <c r="Q1956" s="23">
        <f>Parameters!O979</f>
        <v>0</v>
      </c>
      <c r="R1956" s="23">
        <f>Parameters!P979</f>
        <v>0</v>
      </c>
      <c r="S1956" s="23">
        <f>Parameters!Q979</f>
        <v>0</v>
      </c>
      <c r="T1956" s="23">
        <f>Parameters!R979</f>
        <v>0</v>
      </c>
      <c r="U1956" s="27">
        <f>Parameters!S979</f>
        <v>0</v>
      </c>
      <c r="V1956" s="28">
        <f>Parameters!T979</f>
        <v>0</v>
      </c>
      <c r="W1956" s="27">
        <f>Parameters!U979</f>
        <v>0</v>
      </c>
      <c r="X1956" s="28">
        <f>Parameters!V979</f>
        <v>0</v>
      </c>
      <c r="Y1956" s="25">
        <f>Parameters!W979</f>
        <v>0</v>
      </c>
      <c r="Z1956" s="23">
        <f>Parameters!X979</f>
        <v>0</v>
      </c>
      <c r="AA1956" s="27">
        <f>Parameters!Y979</f>
        <v>0</v>
      </c>
      <c r="AB1956" s="28">
        <f>Parameters!Z979</f>
        <v>0</v>
      </c>
      <c r="AC1956" s="23">
        <f>Parameters!AA979</f>
        <v>0</v>
      </c>
    </row>
    <row r="1957" spans="1:29">
      <c r="A1957" s="29" t="str">
        <f>UPPER(A1956)</f>
        <v>0</v>
      </c>
      <c r="B1957" s="29">
        <f>B1956</f>
        <v>0</v>
      </c>
      <c r="C1957" s="30">
        <f>C1956</f>
        <v>0</v>
      </c>
      <c r="D1957" s="30">
        <f>D1956</f>
        <v>0</v>
      </c>
      <c r="E1957" s="29">
        <f>E1956</f>
        <v>0</v>
      </c>
      <c r="F1957" s="29">
        <f>F1956</f>
        <v>0</v>
      </c>
      <c r="G1957" s="29" t="e">
        <f>IF(C1956=1,IF(D1956="BUY",E1956+(ROUND(F1956*G1956/B1956,0)*B1956),E1956-(ROUND(F1956*G1956/B1956,0)*B1956)),IF(D1956="BUY",E1956-(ROUND(F1956*G1956/B1956,0)*B1956),E1956+(ROUND(F1956*G1956/B1956,0)*B1956)))</f>
        <v>#DIV/0!</v>
      </c>
      <c r="H1957" s="29" t="e">
        <f>IF(C1956=1,IF(D1956="BUY",G1957-(ROUND(F1956*H1956/B1956,0)*B1956),G1957+(ROUND(F1956*H1956/B1956,0)*B1956)),IF(D1956="BUY",G1957+(ROUND(F1956*H1956/B1956,0)*B1956),G1957-(ROUND(F1956*H1956/B1956,0)*B1956)))</f>
        <v>#DIV/0!</v>
      </c>
      <c r="I1957" s="29" t="e">
        <f>IF(D1956="BUY",G1957+(ROUND(F1956*I1956/(B1956*100),0)*B1956),G1957-(ROUND(F1956*I1956/(B1956*100),0)*B1956))</f>
        <v>#DIV/0!</v>
      </c>
      <c r="J1957" s="29" t="e">
        <f>IF(C1956=1,IF(D1956="BUY",E1956+(ROUND(F1956*J1956/B1956,0)*B1956),E1956-(ROUND(F1956*J1956/B1956,0)*B1956)),IF(D1956="BUY",E1956-(ROUND(F1956*J1956/B1956,0)*B1956),E1956+(ROUND(F1956*J1956/B1956,0)*B1956)))</f>
        <v>#DIV/0!</v>
      </c>
      <c r="K1957" s="29" t="e">
        <f>IF(C1956=1,IF(D1956="BUY",E1956-(ROUND(F1956*K1956/B1956,0)*B1956),E1956+(ROUND(F1956*K1956/B1956,0)*B1956)),IF(D1956="BUY",E1956-(ROUND(F1956*K1956/B1956,0)*B1956),E1956+(ROUND(F1956*K1956/B1956,0)*B1956)))</f>
        <v>#DIV/0!</v>
      </c>
      <c r="L1957" s="29" t="e">
        <f t="shared" ref="L1957" si="2930">IF(D1957="BUY",I1957+(R1957*B1957),I1957-(R1957*B1957))</f>
        <v>#DIV/0!</v>
      </c>
      <c r="M1957" s="29" t="e">
        <f>IF(D1956="BUY",E1956+(ROUND(F1956*M1956/B1956,0)*B1956),E1956-(ROUND(F1956*M1956/B1956,0)*B1956))</f>
        <v>#DIV/0!</v>
      </c>
      <c r="N1957" s="29" t="e">
        <f>IF(D1956="BUY",E1956-(ROUND(F1956*N1956/B1956,0)*B1956),E1956+(ROUND(F1956*N1956/B1956,0)*B1956))</f>
        <v>#DIV/0!</v>
      </c>
      <c r="O1957" s="31" t="e">
        <f>IF(D1957="BUY",N1957-VLOOKUP(A1957,Symbols!A$1:D$1000,4,FALSE),N1957+VLOOKUP(A1957,Symbols!A$1:D$1000,4,FALSE))</f>
        <v>#DIV/0!</v>
      </c>
      <c r="P1957" s="29">
        <f>P1956</f>
        <v>0</v>
      </c>
      <c r="Q1957" s="29">
        <f>Q1956</f>
        <v>0</v>
      </c>
      <c r="R1957" s="29">
        <f>R1956</f>
        <v>0</v>
      </c>
      <c r="S1957" s="29">
        <f>S1956</f>
        <v>0</v>
      </c>
      <c r="T1957" s="29">
        <f>T1956</f>
        <v>0</v>
      </c>
      <c r="U1957" s="29" t="e">
        <f>DATEDIF(DATE(1970,1,1),U1956,"D")*86400</f>
        <v>#NUM!</v>
      </c>
      <c r="V1957" s="29">
        <f>HOUR(V1956)*3600+MINUTE(V1956)*60+SECOND(V1956)</f>
        <v>0</v>
      </c>
      <c r="W1957" s="29" t="e">
        <f>DATEDIF(DATE(1970,1,1),W1956,"D")*86400</f>
        <v>#NUM!</v>
      </c>
      <c r="X1957" s="29">
        <f>HOUR(X1956)*3600+MINUTE(X1956)*60+SECOND(X1956)</f>
        <v>0</v>
      </c>
      <c r="Y1957" s="31">
        <f>(Y1956*B1957)</f>
        <v>0</v>
      </c>
      <c r="Z1957" s="29">
        <f>Z1956</f>
        <v>0</v>
      </c>
      <c r="AA1957" s="29" t="e">
        <f>DATEDIF(DATE(1970,1,1),AA1956,"D")*86400</f>
        <v>#NUM!</v>
      </c>
      <c r="AB1957" s="29">
        <f>HOUR(AB1956)*3600+MINUTE(AB1956)*60+SECOND(AB1956)</f>
        <v>0</v>
      </c>
      <c r="AC1957" s="29">
        <f>AC1956</f>
        <v>0</v>
      </c>
    </row>
    <row r="1958" spans="1:29">
      <c r="A1958" s="23">
        <f>Parameters!A980</f>
        <v>0</v>
      </c>
      <c r="B1958" s="23">
        <f>Parameters!B980</f>
        <v>0</v>
      </c>
      <c r="C1958" s="24">
        <f>Parameters!C980</f>
        <v>0</v>
      </c>
      <c r="D1958" s="24">
        <f>Parameters!D980</f>
        <v>0</v>
      </c>
      <c r="E1958" s="23">
        <f>Parameters!E980</f>
        <v>0</v>
      </c>
      <c r="F1958" s="23">
        <f>Parameters!F980</f>
        <v>0</v>
      </c>
      <c r="G1958" s="25">
        <f>Parameters!G980</f>
        <v>0</v>
      </c>
      <c r="H1958" s="25">
        <f>Parameters!H980</f>
        <v>0</v>
      </c>
      <c r="I1958" s="25">
        <f>Parameters!I980</f>
        <v>0</v>
      </c>
      <c r="J1958" s="25">
        <f>Parameters!J980</f>
        <v>0</v>
      </c>
      <c r="K1958" s="25">
        <f>Parameters!K980</f>
        <v>0</v>
      </c>
      <c r="L1958" s="26" t="e">
        <f t="shared" ref="L1958" si="2931">L1959</f>
        <v>#DIV/0!</v>
      </c>
      <c r="M1958" s="25">
        <f>Parameters!L980</f>
        <v>0</v>
      </c>
      <c r="N1958" s="25">
        <f>Parameters!M980</f>
        <v>0</v>
      </c>
      <c r="O1958" s="26" t="e">
        <f t="shared" ref="O1958" si="2932">O1959</f>
        <v>#DIV/0!</v>
      </c>
      <c r="P1958" s="23">
        <f>Parameters!N980</f>
        <v>0</v>
      </c>
      <c r="Q1958" s="23">
        <f>Parameters!O980</f>
        <v>0</v>
      </c>
      <c r="R1958" s="23">
        <f>Parameters!P980</f>
        <v>0</v>
      </c>
      <c r="S1958" s="23">
        <f>Parameters!Q980</f>
        <v>0</v>
      </c>
      <c r="T1958" s="23">
        <f>Parameters!R980</f>
        <v>0</v>
      </c>
      <c r="U1958" s="27">
        <f>Parameters!S980</f>
        <v>0</v>
      </c>
      <c r="V1958" s="28">
        <f>Parameters!T980</f>
        <v>0</v>
      </c>
      <c r="W1958" s="27">
        <f>Parameters!U980</f>
        <v>0</v>
      </c>
      <c r="X1958" s="28">
        <f>Parameters!V980</f>
        <v>0</v>
      </c>
      <c r="Y1958" s="25">
        <f>Parameters!W980</f>
        <v>0</v>
      </c>
      <c r="Z1958" s="23">
        <f>Parameters!X980</f>
        <v>0</v>
      </c>
      <c r="AA1958" s="27">
        <f>Parameters!Y980</f>
        <v>0</v>
      </c>
      <c r="AB1958" s="28">
        <f>Parameters!Z980</f>
        <v>0</v>
      </c>
      <c r="AC1958" s="23">
        <f>Parameters!AA980</f>
        <v>0</v>
      </c>
    </row>
    <row r="1959" spans="1:29">
      <c r="A1959" s="29" t="str">
        <f>UPPER(A1958)</f>
        <v>0</v>
      </c>
      <c r="B1959" s="29">
        <f>B1958</f>
        <v>0</v>
      </c>
      <c r="C1959" s="30">
        <f>C1958</f>
        <v>0</v>
      </c>
      <c r="D1959" s="30">
        <f>D1958</f>
        <v>0</v>
      </c>
      <c r="E1959" s="29">
        <f>E1958</f>
        <v>0</v>
      </c>
      <c r="F1959" s="29">
        <f>F1958</f>
        <v>0</v>
      </c>
      <c r="G1959" s="29" t="e">
        <f>IF(C1958=1,IF(D1958="BUY",E1958+(ROUND(F1958*G1958/B1958,0)*B1958),E1958-(ROUND(F1958*G1958/B1958,0)*B1958)),IF(D1958="BUY",E1958-(ROUND(F1958*G1958/B1958,0)*B1958),E1958+(ROUND(F1958*G1958/B1958,0)*B1958)))</f>
        <v>#DIV/0!</v>
      </c>
      <c r="H1959" s="29" t="e">
        <f>IF(C1958=1,IF(D1958="BUY",G1959-(ROUND(F1958*H1958/B1958,0)*B1958),G1959+(ROUND(F1958*H1958/B1958,0)*B1958)),IF(D1958="BUY",G1959+(ROUND(F1958*H1958/B1958,0)*B1958),G1959-(ROUND(F1958*H1958/B1958,0)*B1958)))</f>
        <v>#DIV/0!</v>
      </c>
      <c r="I1959" s="29" t="e">
        <f>IF(D1958="BUY",G1959+(ROUND(F1958*I1958/(B1958*100),0)*B1958),G1959-(ROUND(F1958*I1958/(B1958*100),0)*B1958))</f>
        <v>#DIV/0!</v>
      </c>
      <c r="J1959" s="29" t="e">
        <f>IF(C1958=1,IF(D1958="BUY",E1958+(ROUND(F1958*J1958/B1958,0)*B1958),E1958-(ROUND(F1958*J1958/B1958,0)*B1958)),IF(D1958="BUY",E1958-(ROUND(F1958*J1958/B1958,0)*B1958),E1958+(ROUND(F1958*J1958/B1958,0)*B1958)))</f>
        <v>#DIV/0!</v>
      </c>
      <c r="K1959" s="29" t="e">
        <f>IF(C1958=1,IF(D1958="BUY",E1958-(ROUND(F1958*K1958/B1958,0)*B1958),E1958+(ROUND(F1958*K1958/B1958,0)*B1958)),IF(D1958="BUY",E1958-(ROUND(F1958*K1958/B1958,0)*B1958),E1958+(ROUND(F1958*K1958/B1958,0)*B1958)))</f>
        <v>#DIV/0!</v>
      </c>
      <c r="L1959" s="29" t="e">
        <f t="shared" ref="L1959" si="2933">IF(D1959="BUY",I1959+(R1959*B1959),I1959-(R1959*B1959))</f>
        <v>#DIV/0!</v>
      </c>
      <c r="M1959" s="29" t="e">
        <f>IF(D1958="BUY",E1958+(ROUND(F1958*M1958/B1958,0)*B1958),E1958-(ROUND(F1958*M1958/B1958,0)*B1958))</f>
        <v>#DIV/0!</v>
      </c>
      <c r="N1959" s="29" t="e">
        <f>IF(D1958="BUY",E1958-(ROUND(F1958*N1958/B1958,0)*B1958),E1958+(ROUND(F1958*N1958/B1958,0)*B1958))</f>
        <v>#DIV/0!</v>
      </c>
      <c r="O1959" s="31" t="e">
        <f>IF(D1959="BUY",N1959-VLOOKUP(A1959,Symbols!A$1:D$1000,4,FALSE),N1959+VLOOKUP(A1959,Symbols!A$1:D$1000,4,FALSE))</f>
        <v>#DIV/0!</v>
      </c>
      <c r="P1959" s="29">
        <f>P1958</f>
        <v>0</v>
      </c>
      <c r="Q1959" s="29">
        <f>Q1958</f>
        <v>0</v>
      </c>
      <c r="R1959" s="29">
        <f>R1958</f>
        <v>0</v>
      </c>
      <c r="S1959" s="29">
        <f>S1958</f>
        <v>0</v>
      </c>
      <c r="T1959" s="29">
        <f>T1958</f>
        <v>0</v>
      </c>
      <c r="U1959" s="29" t="e">
        <f>DATEDIF(DATE(1970,1,1),U1958,"D")*86400</f>
        <v>#NUM!</v>
      </c>
      <c r="V1959" s="29">
        <f>HOUR(V1958)*3600+MINUTE(V1958)*60+SECOND(V1958)</f>
        <v>0</v>
      </c>
      <c r="W1959" s="29" t="e">
        <f>DATEDIF(DATE(1970,1,1),W1958,"D")*86400</f>
        <v>#NUM!</v>
      </c>
      <c r="X1959" s="29">
        <f>HOUR(X1958)*3600+MINUTE(X1958)*60+SECOND(X1958)</f>
        <v>0</v>
      </c>
      <c r="Y1959" s="31">
        <f>(Y1958*B1959)</f>
        <v>0</v>
      </c>
      <c r="Z1959" s="29">
        <f>Z1958</f>
        <v>0</v>
      </c>
      <c r="AA1959" s="29" t="e">
        <f>DATEDIF(DATE(1970,1,1),AA1958,"D")*86400</f>
        <v>#NUM!</v>
      </c>
      <c r="AB1959" s="29">
        <f>HOUR(AB1958)*3600+MINUTE(AB1958)*60+SECOND(AB1958)</f>
        <v>0</v>
      </c>
      <c r="AC1959" s="29">
        <f>AC1958</f>
        <v>0</v>
      </c>
    </row>
    <row r="1960" spans="1:29">
      <c r="A1960" s="23">
        <f>Parameters!A981</f>
        <v>0</v>
      </c>
      <c r="B1960" s="23">
        <f>Parameters!B981</f>
        <v>0</v>
      </c>
      <c r="C1960" s="24">
        <f>Parameters!C981</f>
        <v>0</v>
      </c>
      <c r="D1960" s="24">
        <f>Parameters!D981</f>
        <v>0</v>
      </c>
      <c r="E1960" s="23">
        <f>Parameters!E981</f>
        <v>0</v>
      </c>
      <c r="F1960" s="23">
        <f>Parameters!F981</f>
        <v>0</v>
      </c>
      <c r="G1960" s="25">
        <f>Parameters!G981</f>
        <v>0</v>
      </c>
      <c r="H1960" s="25">
        <f>Parameters!H981</f>
        <v>0</v>
      </c>
      <c r="I1960" s="25">
        <f>Parameters!I981</f>
        <v>0</v>
      </c>
      <c r="J1960" s="25">
        <f>Parameters!J981</f>
        <v>0</v>
      </c>
      <c r="K1960" s="25">
        <f>Parameters!K981</f>
        <v>0</v>
      </c>
      <c r="L1960" s="26" t="e">
        <f t="shared" ref="L1960" si="2934">L1961</f>
        <v>#DIV/0!</v>
      </c>
      <c r="M1960" s="25">
        <f>Parameters!L981</f>
        <v>0</v>
      </c>
      <c r="N1960" s="25">
        <f>Parameters!M981</f>
        <v>0</v>
      </c>
      <c r="O1960" s="26" t="e">
        <f t="shared" ref="O1960" si="2935">O1961</f>
        <v>#DIV/0!</v>
      </c>
      <c r="P1960" s="23">
        <f>Parameters!N981</f>
        <v>0</v>
      </c>
      <c r="Q1960" s="23">
        <f>Parameters!O981</f>
        <v>0</v>
      </c>
      <c r="R1960" s="23">
        <f>Parameters!P981</f>
        <v>0</v>
      </c>
      <c r="S1960" s="23">
        <f>Parameters!Q981</f>
        <v>0</v>
      </c>
      <c r="T1960" s="23">
        <f>Parameters!R981</f>
        <v>0</v>
      </c>
      <c r="U1960" s="27">
        <f>Parameters!S981</f>
        <v>0</v>
      </c>
      <c r="V1960" s="28">
        <f>Parameters!T981</f>
        <v>0</v>
      </c>
      <c r="W1960" s="27">
        <f>Parameters!U981</f>
        <v>0</v>
      </c>
      <c r="X1960" s="28">
        <f>Parameters!V981</f>
        <v>0</v>
      </c>
      <c r="Y1960" s="25">
        <f>Parameters!W981</f>
        <v>0</v>
      </c>
      <c r="Z1960" s="23">
        <f>Parameters!X981</f>
        <v>0</v>
      </c>
      <c r="AA1960" s="27">
        <f>Parameters!Y981</f>
        <v>0</v>
      </c>
      <c r="AB1960" s="28">
        <f>Parameters!Z981</f>
        <v>0</v>
      </c>
      <c r="AC1960" s="23">
        <f>Parameters!AA981</f>
        <v>0</v>
      </c>
    </row>
    <row r="1961" spans="1:29">
      <c r="A1961" s="29" t="str">
        <f>UPPER(A1960)</f>
        <v>0</v>
      </c>
      <c r="B1961" s="29">
        <f>B1960</f>
        <v>0</v>
      </c>
      <c r="C1961" s="30">
        <f>C1960</f>
        <v>0</v>
      </c>
      <c r="D1961" s="30">
        <f>D1960</f>
        <v>0</v>
      </c>
      <c r="E1961" s="29">
        <f>E1960</f>
        <v>0</v>
      </c>
      <c r="F1961" s="29">
        <f>F1960</f>
        <v>0</v>
      </c>
      <c r="G1961" s="29" t="e">
        <f>IF(C1960=1,IF(D1960="BUY",E1960+(ROUND(F1960*G1960/B1960,0)*B1960),E1960-(ROUND(F1960*G1960/B1960,0)*B1960)),IF(D1960="BUY",E1960-(ROUND(F1960*G1960/B1960,0)*B1960),E1960+(ROUND(F1960*G1960/B1960,0)*B1960)))</f>
        <v>#DIV/0!</v>
      </c>
      <c r="H1961" s="29" t="e">
        <f>IF(C1960=1,IF(D1960="BUY",G1961-(ROUND(F1960*H1960/B1960,0)*B1960),G1961+(ROUND(F1960*H1960/B1960,0)*B1960)),IF(D1960="BUY",G1961+(ROUND(F1960*H1960/B1960,0)*B1960),G1961-(ROUND(F1960*H1960/B1960,0)*B1960)))</f>
        <v>#DIV/0!</v>
      </c>
      <c r="I1961" s="29" t="e">
        <f>IF(D1960="BUY",G1961+(ROUND(F1960*I1960/(B1960*100),0)*B1960),G1961-(ROUND(F1960*I1960/(B1960*100),0)*B1960))</f>
        <v>#DIV/0!</v>
      </c>
      <c r="J1961" s="29" t="e">
        <f>IF(C1960=1,IF(D1960="BUY",E1960+(ROUND(F1960*J1960/B1960,0)*B1960),E1960-(ROUND(F1960*J1960/B1960,0)*B1960)),IF(D1960="BUY",E1960-(ROUND(F1960*J1960/B1960,0)*B1960),E1960+(ROUND(F1960*J1960/B1960,0)*B1960)))</f>
        <v>#DIV/0!</v>
      </c>
      <c r="K1961" s="29" t="e">
        <f>IF(C1960=1,IF(D1960="BUY",E1960-(ROUND(F1960*K1960/B1960,0)*B1960),E1960+(ROUND(F1960*K1960/B1960,0)*B1960)),IF(D1960="BUY",E1960-(ROUND(F1960*K1960/B1960,0)*B1960),E1960+(ROUND(F1960*K1960/B1960,0)*B1960)))</f>
        <v>#DIV/0!</v>
      </c>
      <c r="L1961" s="29" t="e">
        <f t="shared" ref="L1961" si="2936">IF(D1961="BUY",I1961+(R1961*B1961),I1961-(R1961*B1961))</f>
        <v>#DIV/0!</v>
      </c>
      <c r="M1961" s="29" t="e">
        <f>IF(D1960="BUY",E1960+(ROUND(F1960*M1960/B1960,0)*B1960),E1960-(ROUND(F1960*M1960/B1960,0)*B1960))</f>
        <v>#DIV/0!</v>
      </c>
      <c r="N1961" s="29" t="e">
        <f>IF(D1960="BUY",E1960-(ROUND(F1960*N1960/B1960,0)*B1960),E1960+(ROUND(F1960*N1960/B1960,0)*B1960))</f>
        <v>#DIV/0!</v>
      </c>
      <c r="O1961" s="31" t="e">
        <f>IF(D1961="BUY",N1961-VLOOKUP(A1961,Symbols!A$1:D$1000,4,FALSE),N1961+VLOOKUP(A1961,Symbols!A$1:D$1000,4,FALSE))</f>
        <v>#DIV/0!</v>
      </c>
      <c r="P1961" s="29">
        <f>P1960</f>
        <v>0</v>
      </c>
      <c r="Q1961" s="29">
        <f>Q1960</f>
        <v>0</v>
      </c>
      <c r="R1961" s="29">
        <f>R1960</f>
        <v>0</v>
      </c>
      <c r="S1961" s="29">
        <f>S1960</f>
        <v>0</v>
      </c>
      <c r="T1961" s="29">
        <f>T1960</f>
        <v>0</v>
      </c>
      <c r="U1961" s="29" t="e">
        <f>DATEDIF(DATE(1970,1,1),U1960,"D")*86400</f>
        <v>#NUM!</v>
      </c>
      <c r="V1961" s="29">
        <f>HOUR(V1960)*3600+MINUTE(V1960)*60+SECOND(V1960)</f>
        <v>0</v>
      </c>
      <c r="W1961" s="29" t="e">
        <f>DATEDIF(DATE(1970,1,1),W1960,"D")*86400</f>
        <v>#NUM!</v>
      </c>
      <c r="X1961" s="29">
        <f>HOUR(X1960)*3600+MINUTE(X1960)*60+SECOND(X1960)</f>
        <v>0</v>
      </c>
      <c r="Y1961" s="31">
        <f>(Y1960*B1961)</f>
        <v>0</v>
      </c>
      <c r="Z1961" s="29">
        <f>Z1960</f>
        <v>0</v>
      </c>
      <c r="AA1961" s="29" t="e">
        <f>DATEDIF(DATE(1970,1,1),AA1960,"D")*86400</f>
        <v>#NUM!</v>
      </c>
      <c r="AB1961" s="29">
        <f>HOUR(AB1960)*3600+MINUTE(AB1960)*60+SECOND(AB1960)</f>
        <v>0</v>
      </c>
      <c r="AC1961" s="29">
        <f>AC1960</f>
        <v>0</v>
      </c>
    </row>
    <row r="1962" spans="1:29">
      <c r="A1962" s="23">
        <f>Parameters!A982</f>
        <v>0</v>
      </c>
      <c r="B1962" s="23">
        <f>Parameters!B982</f>
        <v>0</v>
      </c>
      <c r="C1962" s="24">
        <f>Parameters!C982</f>
        <v>0</v>
      </c>
      <c r="D1962" s="24">
        <f>Parameters!D982</f>
        <v>0</v>
      </c>
      <c r="E1962" s="23">
        <f>Parameters!E982</f>
        <v>0</v>
      </c>
      <c r="F1962" s="23">
        <f>Parameters!F982</f>
        <v>0</v>
      </c>
      <c r="G1962" s="25">
        <f>Parameters!G982</f>
        <v>0</v>
      </c>
      <c r="H1962" s="25">
        <f>Parameters!H982</f>
        <v>0</v>
      </c>
      <c r="I1962" s="25">
        <f>Parameters!I982</f>
        <v>0</v>
      </c>
      <c r="J1962" s="25">
        <f>Parameters!J982</f>
        <v>0</v>
      </c>
      <c r="K1962" s="25">
        <f>Parameters!K982</f>
        <v>0</v>
      </c>
      <c r="L1962" s="26" t="e">
        <f t="shared" ref="L1962" si="2937">L1963</f>
        <v>#DIV/0!</v>
      </c>
      <c r="M1962" s="25">
        <f>Parameters!L982</f>
        <v>0</v>
      </c>
      <c r="N1962" s="25">
        <f>Parameters!M982</f>
        <v>0</v>
      </c>
      <c r="O1962" s="26" t="e">
        <f t="shared" ref="O1962" si="2938">O1963</f>
        <v>#DIV/0!</v>
      </c>
      <c r="P1962" s="23">
        <f>Parameters!N982</f>
        <v>0</v>
      </c>
      <c r="Q1962" s="23">
        <f>Parameters!O982</f>
        <v>0</v>
      </c>
      <c r="R1962" s="23">
        <f>Parameters!P982</f>
        <v>0</v>
      </c>
      <c r="S1962" s="23">
        <f>Parameters!Q982</f>
        <v>0</v>
      </c>
      <c r="T1962" s="23">
        <f>Parameters!R982</f>
        <v>0</v>
      </c>
      <c r="U1962" s="27">
        <f>Parameters!S982</f>
        <v>0</v>
      </c>
      <c r="V1962" s="28">
        <f>Parameters!T982</f>
        <v>0</v>
      </c>
      <c r="W1962" s="27">
        <f>Parameters!U982</f>
        <v>0</v>
      </c>
      <c r="X1962" s="28">
        <f>Parameters!V982</f>
        <v>0</v>
      </c>
      <c r="Y1962" s="25">
        <f>Parameters!W982</f>
        <v>0</v>
      </c>
      <c r="Z1962" s="23">
        <f>Parameters!X982</f>
        <v>0</v>
      </c>
      <c r="AA1962" s="27">
        <f>Parameters!Y982</f>
        <v>0</v>
      </c>
      <c r="AB1962" s="28">
        <f>Parameters!Z982</f>
        <v>0</v>
      </c>
      <c r="AC1962" s="23">
        <f>Parameters!AA982</f>
        <v>0</v>
      </c>
    </row>
    <row r="1963" spans="1:29">
      <c r="A1963" s="29" t="str">
        <f>UPPER(A1962)</f>
        <v>0</v>
      </c>
      <c r="B1963" s="29">
        <f>B1962</f>
        <v>0</v>
      </c>
      <c r="C1963" s="30">
        <f>C1962</f>
        <v>0</v>
      </c>
      <c r="D1963" s="30">
        <f>D1962</f>
        <v>0</v>
      </c>
      <c r="E1963" s="29">
        <f>E1962</f>
        <v>0</v>
      </c>
      <c r="F1963" s="29">
        <f>F1962</f>
        <v>0</v>
      </c>
      <c r="G1963" s="29" t="e">
        <f>IF(C1962=1,IF(D1962="BUY",E1962+(ROUND(F1962*G1962/B1962,0)*B1962),E1962-(ROUND(F1962*G1962/B1962,0)*B1962)),IF(D1962="BUY",E1962-(ROUND(F1962*G1962/B1962,0)*B1962),E1962+(ROUND(F1962*G1962/B1962,0)*B1962)))</f>
        <v>#DIV/0!</v>
      </c>
      <c r="H1963" s="29" t="e">
        <f>IF(C1962=1,IF(D1962="BUY",G1963-(ROUND(F1962*H1962/B1962,0)*B1962),G1963+(ROUND(F1962*H1962/B1962,0)*B1962)),IF(D1962="BUY",G1963+(ROUND(F1962*H1962/B1962,0)*B1962),G1963-(ROUND(F1962*H1962/B1962,0)*B1962)))</f>
        <v>#DIV/0!</v>
      </c>
      <c r="I1963" s="29" t="e">
        <f>IF(D1962="BUY",G1963+(ROUND(F1962*I1962/(B1962*100),0)*B1962),G1963-(ROUND(F1962*I1962/(B1962*100),0)*B1962))</f>
        <v>#DIV/0!</v>
      </c>
      <c r="J1963" s="29" t="e">
        <f>IF(C1962=1,IF(D1962="BUY",E1962+(ROUND(F1962*J1962/B1962,0)*B1962),E1962-(ROUND(F1962*J1962/B1962,0)*B1962)),IF(D1962="BUY",E1962-(ROUND(F1962*J1962/B1962,0)*B1962),E1962+(ROUND(F1962*J1962/B1962,0)*B1962)))</f>
        <v>#DIV/0!</v>
      </c>
      <c r="K1963" s="29" t="e">
        <f>IF(C1962=1,IF(D1962="BUY",E1962-(ROUND(F1962*K1962/B1962,0)*B1962),E1962+(ROUND(F1962*K1962/B1962,0)*B1962)),IF(D1962="BUY",E1962-(ROUND(F1962*K1962/B1962,0)*B1962),E1962+(ROUND(F1962*K1962/B1962,0)*B1962)))</f>
        <v>#DIV/0!</v>
      </c>
      <c r="L1963" s="29" t="e">
        <f t="shared" ref="L1963" si="2939">IF(D1963="BUY",I1963+(R1963*B1963),I1963-(R1963*B1963))</f>
        <v>#DIV/0!</v>
      </c>
      <c r="M1963" s="29" t="e">
        <f>IF(D1962="BUY",E1962+(ROUND(F1962*M1962/B1962,0)*B1962),E1962-(ROUND(F1962*M1962/B1962,0)*B1962))</f>
        <v>#DIV/0!</v>
      </c>
      <c r="N1963" s="29" t="e">
        <f>IF(D1962="BUY",E1962-(ROUND(F1962*N1962/B1962,0)*B1962),E1962+(ROUND(F1962*N1962/B1962,0)*B1962))</f>
        <v>#DIV/0!</v>
      </c>
      <c r="O1963" s="31" t="e">
        <f>IF(D1963="BUY",N1963-VLOOKUP(A1963,Symbols!A$1:D$1000,4,FALSE),N1963+VLOOKUP(A1963,Symbols!A$1:D$1000,4,FALSE))</f>
        <v>#DIV/0!</v>
      </c>
      <c r="P1963" s="29">
        <f>P1962</f>
        <v>0</v>
      </c>
      <c r="Q1963" s="29">
        <f>Q1962</f>
        <v>0</v>
      </c>
      <c r="R1963" s="29">
        <f>R1962</f>
        <v>0</v>
      </c>
      <c r="S1963" s="29">
        <f>S1962</f>
        <v>0</v>
      </c>
      <c r="T1963" s="29">
        <f>T1962</f>
        <v>0</v>
      </c>
      <c r="U1963" s="29" t="e">
        <f>DATEDIF(DATE(1970,1,1),U1962,"D")*86400</f>
        <v>#NUM!</v>
      </c>
      <c r="V1963" s="29">
        <f>HOUR(V1962)*3600+MINUTE(V1962)*60+SECOND(V1962)</f>
        <v>0</v>
      </c>
      <c r="W1963" s="29" t="e">
        <f>DATEDIF(DATE(1970,1,1),W1962,"D")*86400</f>
        <v>#NUM!</v>
      </c>
      <c r="X1963" s="29">
        <f>HOUR(X1962)*3600+MINUTE(X1962)*60+SECOND(X1962)</f>
        <v>0</v>
      </c>
      <c r="Y1963" s="31">
        <f>(Y1962*B1963)</f>
        <v>0</v>
      </c>
      <c r="Z1963" s="29">
        <f>Z1962</f>
        <v>0</v>
      </c>
      <c r="AA1963" s="29" t="e">
        <f>DATEDIF(DATE(1970,1,1),AA1962,"D")*86400</f>
        <v>#NUM!</v>
      </c>
      <c r="AB1963" s="29">
        <f>HOUR(AB1962)*3600+MINUTE(AB1962)*60+SECOND(AB1962)</f>
        <v>0</v>
      </c>
      <c r="AC1963" s="29">
        <f>AC1962</f>
        <v>0</v>
      </c>
    </row>
    <row r="1964" spans="1:29">
      <c r="A1964" s="23">
        <f>Parameters!A983</f>
        <v>0</v>
      </c>
      <c r="B1964" s="23">
        <f>Parameters!B983</f>
        <v>0</v>
      </c>
      <c r="C1964" s="24">
        <f>Parameters!C983</f>
        <v>0</v>
      </c>
      <c r="D1964" s="24">
        <f>Parameters!D983</f>
        <v>0</v>
      </c>
      <c r="E1964" s="23">
        <f>Parameters!E983</f>
        <v>0</v>
      </c>
      <c r="F1964" s="23">
        <f>Parameters!F983</f>
        <v>0</v>
      </c>
      <c r="G1964" s="25">
        <f>Parameters!G983</f>
        <v>0</v>
      </c>
      <c r="H1964" s="25">
        <f>Parameters!H983</f>
        <v>0</v>
      </c>
      <c r="I1964" s="25">
        <f>Parameters!I983</f>
        <v>0</v>
      </c>
      <c r="J1964" s="25">
        <f>Parameters!J983</f>
        <v>0</v>
      </c>
      <c r="K1964" s="25">
        <f>Parameters!K983</f>
        <v>0</v>
      </c>
      <c r="L1964" s="26" t="e">
        <f t="shared" ref="L1964" si="2940">L1965</f>
        <v>#DIV/0!</v>
      </c>
      <c r="M1964" s="25">
        <f>Parameters!L983</f>
        <v>0</v>
      </c>
      <c r="N1964" s="25">
        <f>Parameters!M983</f>
        <v>0</v>
      </c>
      <c r="O1964" s="26" t="e">
        <f t="shared" ref="O1964" si="2941">O1965</f>
        <v>#DIV/0!</v>
      </c>
      <c r="P1964" s="23">
        <f>Parameters!N983</f>
        <v>0</v>
      </c>
      <c r="Q1964" s="23">
        <f>Parameters!O983</f>
        <v>0</v>
      </c>
      <c r="R1964" s="23">
        <f>Parameters!P983</f>
        <v>0</v>
      </c>
      <c r="S1964" s="23">
        <f>Parameters!Q983</f>
        <v>0</v>
      </c>
      <c r="T1964" s="23">
        <f>Parameters!R983</f>
        <v>0</v>
      </c>
      <c r="U1964" s="27">
        <f>Parameters!S983</f>
        <v>0</v>
      </c>
      <c r="V1964" s="28">
        <f>Parameters!T983</f>
        <v>0</v>
      </c>
      <c r="W1964" s="27">
        <f>Parameters!U983</f>
        <v>0</v>
      </c>
      <c r="X1964" s="28">
        <f>Parameters!V983</f>
        <v>0</v>
      </c>
      <c r="Y1964" s="25">
        <f>Parameters!W983</f>
        <v>0</v>
      </c>
      <c r="Z1964" s="23">
        <f>Parameters!X983</f>
        <v>0</v>
      </c>
      <c r="AA1964" s="27">
        <f>Parameters!Y983</f>
        <v>0</v>
      </c>
      <c r="AB1964" s="28">
        <f>Parameters!Z983</f>
        <v>0</v>
      </c>
      <c r="AC1964" s="23">
        <f>Parameters!AA983</f>
        <v>0</v>
      </c>
    </row>
    <row r="1965" spans="1:29">
      <c r="A1965" s="29" t="str">
        <f>UPPER(A1964)</f>
        <v>0</v>
      </c>
      <c r="B1965" s="29">
        <f>B1964</f>
        <v>0</v>
      </c>
      <c r="C1965" s="30">
        <f>C1964</f>
        <v>0</v>
      </c>
      <c r="D1965" s="30">
        <f>D1964</f>
        <v>0</v>
      </c>
      <c r="E1965" s="29">
        <f>E1964</f>
        <v>0</v>
      </c>
      <c r="F1965" s="29">
        <f>F1964</f>
        <v>0</v>
      </c>
      <c r="G1965" s="29" t="e">
        <f>IF(C1964=1,IF(D1964="BUY",E1964+(ROUND(F1964*G1964/B1964,0)*B1964),E1964-(ROUND(F1964*G1964/B1964,0)*B1964)),IF(D1964="BUY",E1964-(ROUND(F1964*G1964/B1964,0)*B1964),E1964+(ROUND(F1964*G1964/B1964,0)*B1964)))</f>
        <v>#DIV/0!</v>
      </c>
      <c r="H1965" s="29" t="e">
        <f>IF(C1964=1,IF(D1964="BUY",G1965-(ROUND(F1964*H1964/B1964,0)*B1964),G1965+(ROUND(F1964*H1964/B1964,0)*B1964)),IF(D1964="BUY",G1965+(ROUND(F1964*H1964/B1964,0)*B1964),G1965-(ROUND(F1964*H1964/B1964,0)*B1964)))</f>
        <v>#DIV/0!</v>
      </c>
      <c r="I1965" s="29" t="e">
        <f>IF(D1964="BUY",G1965+(ROUND(F1964*I1964/(B1964*100),0)*B1964),G1965-(ROUND(F1964*I1964/(B1964*100),0)*B1964))</f>
        <v>#DIV/0!</v>
      </c>
      <c r="J1965" s="29" t="e">
        <f>IF(C1964=1,IF(D1964="BUY",E1964+(ROUND(F1964*J1964/B1964,0)*B1964),E1964-(ROUND(F1964*J1964/B1964,0)*B1964)),IF(D1964="BUY",E1964-(ROUND(F1964*J1964/B1964,0)*B1964),E1964+(ROUND(F1964*J1964/B1964,0)*B1964)))</f>
        <v>#DIV/0!</v>
      </c>
      <c r="K1965" s="29" t="e">
        <f>IF(C1964=1,IF(D1964="BUY",E1964-(ROUND(F1964*K1964/B1964,0)*B1964),E1964+(ROUND(F1964*K1964/B1964,0)*B1964)),IF(D1964="BUY",E1964-(ROUND(F1964*K1964/B1964,0)*B1964),E1964+(ROUND(F1964*K1964/B1964,0)*B1964)))</f>
        <v>#DIV/0!</v>
      </c>
      <c r="L1965" s="29" t="e">
        <f t="shared" ref="L1965" si="2942">IF(D1965="BUY",I1965+(R1965*B1965),I1965-(R1965*B1965))</f>
        <v>#DIV/0!</v>
      </c>
      <c r="M1965" s="29" t="e">
        <f>IF(D1964="BUY",E1964+(ROUND(F1964*M1964/B1964,0)*B1964),E1964-(ROUND(F1964*M1964/B1964,0)*B1964))</f>
        <v>#DIV/0!</v>
      </c>
      <c r="N1965" s="29" t="e">
        <f>IF(D1964="BUY",E1964-(ROUND(F1964*N1964/B1964,0)*B1964),E1964+(ROUND(F1964*N1964/B1964,0)*B1964))</f>
        <v>#DIV/0!</v>
      </c>
      <c r="O1965" s="31" t="e">
        <f>IF(D1965="BUY",N1965-VLOOKUP(A1965,Symbols!A$1:D$1000,4,FALSE),N1965+VLOOKUP(A1965,Symbols!A$1:D$1000,4,FALSE))</f>
        <v>#DIV/0!</v>
      </c>
      <c r="P1965" s="29">
        <f>P1964</f>
        <v>0</v>
      </c>
      <c r="Q1965" s="29">
        <f>Q1964</f>
        <v>0</v>
      </c>
      <c r="R1965" s="29">
        <f>R1964</f>
        <v>0</v>
      </c>
      <c r="S1965" s="29">
        <f>S1964</f>
        <v>0</v>
      </c>
      <c r="T1965" s="29">
        <f>T1964</f>
        <v>0</v>
      </c>
      <c r="U1965" s="29" t="e">
        <f>DATEDIF(DATE(1970,1,1),U1964,"D")*86400</f>
        <v>#NUM!</v>
      </c>
      <c r="V1965" s="29">
        <f>HOUR(V1964)*3600+MINUTE(V1964)*60+SECOND(V1964)</f>
        <v>0</v>
      </c>
      <c r="W1965" s="29" t="e">
        <f>DATEDIF(DATE(1970,1,1),W1964,"D")*86400</f>
        <v>#NUM!</v>
      </c>
      <c r="X1965" s="29">
        <f>HOUR(X1964)*3600+MINUTE(X1964)*60+SECOND(X1964)</f>
        <v>0</v>
      </c>
      <c r="Y1965" s="31">
        <f>(Y1964*B1965)</f>
        <v>0</v>
      </c>
      <c r="Z1965" s="29">
        <f>Z1964</f>
        <v>0</v>
      </c>
      <c r="AA1965" s="29" t="e">
        <f>DATEDIF(DATE(1970,1,1),AA1964,"D")*86400</f>
        <v>#NUM!</v>
      </c>
      <c r="AB1965" s="29">
        <f>HOUR(AB1964)*3600+MINUTE(AB1964)*60+SECOND(AB1964)</f>
        <v>0</v>
      </c>
      <c r="AC1965" s="29">
        <f>AC1964</f>
        <v>0</v>
      </c>
    </row>
    <row r="1966" spans="1:29">
      <c r="A1966" s="23">
        <f>Parameters!A984</f>
        <v>0</v>
      </c>
      <c r="B1966" s="23">
        <f>Parameters!B984</f>
        <v>0</v>
      </c>
      <c r="C1966" s="24">
        <f>Parameters!C984</f>
        <v>0</v>
      </c>
      <c r="D1966" s="24">
        <f>Parameters!D984</f>
        <v>0</v>
      </c>
      <c r="E1966" s="23">
        <f>Parameters!E984</f>
        <v>0</v>
      </c>
      <c r="F1966" s="23">
        <f>Parameters!F984</f>
        <v>0</v>
      </c>
      <c r="G1966" s="25">
        <f>Parameters!G984</f>
        <v>0</v>
      </c>
      <c r="H1966" s="25">
        <f>Parameters!H984</f>
        <v>0</v>
      </c>
      <c r="I1966" s="25">
        <f>Parameters!I984</f>
        <v>0</v>
      </c>
      <c r="J1966" s="25">
        <f>Parameters!J984</f>
        <v>0</v>
      </c>
      <c r="K1966" s="25">
        <f>Parameters!K984</f>
        <v>0</v>
      </c>
      <c r="L1966" s="26" t="e">
        <f t="shared" ref="L1966" si="2943">L1967</f>
        <v>#DIV/0!</v>
      </c>
      <c r="M1966" s="25">
        <f>Parameters!L984</f>
        <v>0</v>
      </c>
      <c r="N1966" s="25">
        <f>Parameters!M984</f>
        <v>0</v>
      </c>
      <c r="O1966" s="26" t="e">
        <f t="shared" ref="O1966" si="2944">O1967</f>
        <v>#DIV/0!</v>
      </c>
      <c r="P1966" s="23">
        <f>Parameters!N984</f>
        <v>0</v>
      </c>
      <c r="Q1966" s="23">
        <f>Parameters!O984</f>
        <v>0</v>
      </c>
      <c r="R1966" s="23">
        <f>Parameters!P984</f>
        <v>0</v>
      </c>
      <c r="S1966" s="23">
        <f>Parameters!Q984</f>
        <v>0</v>
      </c>
      <c r="T1966" s="23">
        <f>Parameters!R984</f>
        <v>0</v>
      </c>
      <c r="U1966" s="27">
        <f>Parameters!S984</f>
        <v>0</v>
      </c>
      <c r="V1966" s="28">
        <f>Parameters!T984</f>
        <v>0</v>
      </c>
      <c r="W1966" s="27">
        <f>Parameters!U984</f>
        <v>0</v>
      </c>
      <c r="X1966" s="28">
        <f>Parameters!V984</f>
        <v>0</v>
      </c>
      <c r="Y1966" s="25">
        <f>Parameters!W984</f>
        <v>0</v>
      </c>
      <c r="Z1966" s="23">
        <f>Parameters!X984</f>
        <v>0</v>
      </c>
      <c r="AA1966" s="27">
        <f>Parameters!Y984</f>
        <v>0</v>
      </c>
      <c r="AB1966" s="28">
        <f>Parameters!Z984</f>
        <v>0</v>
      </c>
      <c r="AC1966" s="23">
        <f>Parameters!AA984</f>
        <v>0</v>
      </c>
    </row>
    <row r="1967" spans="1:29">
      <c r="A1967" s="29" t="str">
        <f>UPPER(A1966)</f>
        <v>0</v>
      </c>
      <c r="B1967" s="29">
        <f>B1966</f>
        <v>0</v>
      </c>
      <c r="C1967" s="30">
        <f>C1966</f>
        <v>0</v>
      </c>
      <c r="D1967" s="30">
        <f>D1966</f>
        <v>0</v>
      </c>
      <c r="E1967" s="29">
        <f>E1966</f>
        <v>0</v>
      </c>
      <c r="F1967" s="29">
        <f>F1966</f>
        <v>0</v>
      </c>
      <c r="G1967" s="29" t="e">
        <f>IF(C1966=1,IF(D1966="BUY",E1966+(ROUND(F1966*G1966/B1966,0)*B1966),E1966-(ROUND(F1966*G1966/B1966,0)*B1966)),IF(D1966="BUY",E1966-(ROUND(F1966*G1966/B1966,0)*B1966),E1966+(ROUND(F1966*G1966/B1966,0)*B1966)))</f>
        <v>#DIV/0!</v>
      </c>
      <c r="H1967" s="29" t="e">
        <f>IF(C1966=1,IF(D1966="BUY",G1967-(ROUND(F1966*H1966/B1966,0)*B1966),G1967+(ROUND(F1966*H1966/B1966,0)*B1966)),IF(D1966="BUY",G1967+(ROUND(F1966*H1966/B1966,0)*B1966),G1967-(ROUND(F1966*H1966/B1966,0)*B1966)))</f>
        <v>#DIV/0!</v>
      </c>
      <c r="I1967" s="29" t="e">
        <f>IF(D1966="BUY",G1967+(ROUND(F1966*I1966/(B1966*100),0)*B1966),G1967-(ROUND(F1966*I1966/(B1966*100),0)*B1966))</f>
        <v>#DIV/0!</v>
      </c>
      <c r="J1967" s="29" t="e">
        <f>IF(C1966=1,IF(D1966="BUY",E1966+(ROUND(F1966*J1966/B1966,0)*B1966),E1966-(ROUND(F1966*J1966/B1966,0)*B1966)),IF(D1966="BUY",E1966-(ROUND(F1966*J1966/B1966,0)*B1966),E1966+(ROUND(F1966*J1966/B1966,0)*B1966)))</f>
        <v>#DIV/0!</v>
      </c>
      <c r="K1967" s="29" t="e">
        <f>IF(C1966=1,IF(D1966="BUY",E1966-(ROUND(F1966*K1966/B1966,0)*B1966),E1966+(ROUND(F1966*K1966/B1966,0)*B1966)),IF(D1966="BUY",E1966-(ROUND(F1966*K1966/B1966,0)*B1966),E1966+(ROUND(F1966*K1966/B1966,0)*B1966)))</f>
        <v>#DIV/0!</v>
      </c>
      <c r="L1967" s="29" t="e">
        <f t="shared" ref="L1967" si="2945">IF(D1967="BUY",I1967+(R1967*B1967),I1967-(R1967*B1967))</f>
        <v>#DIV/0!</v>
      </c>
      <c r="M1967" s="29" t="e">
        <f>IF(D1966="BUY",E1966+(ROUND(F1966*M1966/B1966,0)*B1966),E1966-(ROUND(F1966*M1966/B1966,0)*B1966))</f>
        <v>#DIV/0!</v>
      </c>
      <c r="N1967" s="29" t="e">
        <f>IF(D1966="BUY",E1966-(ROUND(F1966*N1966/B1966,0)*B1966),E1966+(ROUND(F1966*N1966/B1966,0)*B1966))</f>
        <v>#DIV/0!</v>
      </c>
      <c r="O1967" s="31" t="e">
        <f>IF(D1967="BUY",N1967-VLOOKUP(A1967,Symbols!A$1:D$1000,4,FALSE),N1967+VLOOKUP(A1967,Symbols!A$1:D$1000,4,FALSE))</f>
        <v>#DIV/0!</v>
      </c>
      <c r="P1967" s="29">
        <f>P1966</f>
        <v>0</v>
      </c>
      <c r="Q1967" s="29">
        <f>Q1966</f>
        <v>0</v>
      </c>
      <c r="R1967" s="29">
        <f>R1966</f>
        <v>0</v>
      </c>
      <c r="S1967" s="29">
        <f>S1966</f>
        <v>0</v>
      </c>
      <c r="T1967" s="29">
        <f>T1966</f>
        <v>0</v>
      </c>
      <c r="U1967" s="29" t="e">
        <f>DATEDIF(DATE(1970,1,1),U1966,"D")*86400</f>
        <v>#NUM!</v>
      </c>
      <c r="V1967" s="29">
        <f>HOUR(V1966)*3600+MINUTE(V1966)*60+SECOND(V1966)</f>
        <v>0</v>
      </c>
      <c r="W1967" s="29" t="e">
        <f>DATEDIF(DATE(1970,1,1),W1966,"D")*86400</f>
        <v>#NUM!</v>
      </c>
      <c r="X1967" s="29">
        <f>HOUR(X1966)*3600+MINUTE(X1966)*60+SECOND(X1966)</f>
        <v>0</v>
      </c>
      <c r="Y1967" s="31">
        <f>(Y1966*B1967)</f>
        <v>0</v>
      </c>
      <c r="Z1967" s="29">
        <f>Z1966</f>
        <v>0</v>
      </c>
      <c r="AA1967" s="29" t="e">
        <f>DATEDIF(DATE(1970,1,1),AA1966,"D")*86400</f>
        <v>#NUM!</v>
      </c>
      <c r="AB1967" s="29">
        <f>HOUR(AB1966)*3600+MINUTE(AB1966)*60+SECOND(AB1966)</f>
        <v>0</v>
      </c>
      <c r="AC1967" s="29">
        <f>AC1966</f>
        <v>0</v>
      </c>
    </row>
    <row r="1968" spans="1:29">
      <c r="A1968" s="23">
        <f>Parameters!A985</f>
        <v>0</v>
      </c>
      <c r="B1968" s="23">
        <f>Parameters!B985</f>
        <v>0</v>
      </c>
      <c r="C1968" s="24">
        <f>Parameters!C985</f>
        <v>0</v>
      </c>
      <c r="D1968" s="24">
        <f>Parameters!D985</f>
        <v>0</v>
      </c>
      <c r="E1968" s="23">
        <f>Parameters!E985</f>
        <v>0</v>
      </c>
      <c r="F1968" s="23">
        <f>Parameters!F985</f>
        <v>0</v>
      </c>
      <c r="G1968" s="25">
        <f>Parameters!G985</f>
        <v>0</v>
      </c>
      <c r="H1968" s="25">
        <f>Parameters!H985</f>
        <v>0</v>
      </c>
      <c r="I1968" s="25">
        <f>Parameters!I985</f>
        <v>0</v>
      </c>
      <c r="J1968" s="25">
        <f>Parameters!J985</f>
        <v>0</v>
      </c>
      <c r="K1968" s="25">
        <f>Parameters!K985</f>
        <v>0</v>
      </c>
      <c r="L1968" s="26" t="e">
        <f t="shared" ref="L1968" si="2946">L1969</f>
        <v>#DIV/0!</v>
      </c>
      <c r="M1968" s="25">
        <f>Parameters!L985</f>
        <v>0</v>
      </c>
      <c r="N1968" s="25">
        <f>Parameters!M985</f>
        <v>0</v>
      </c>
      <c r="O1968" s="26" t="e">
        <f t="shared" ref="O1968" si="2947">O1969</f>
        <v>#DIV/0!</v>
      </c>
      <c r="P1968" s="23">
        <f>Parameters!N985</f>
        <v>0</v>
      </c>
      <c r="Q1968" s="23">
        <f>Parameters!O985</f>
        <v>0</v>
      </c>
      <c r="R1968" s="23">
        <f>Parameters!P985</f>
        <v>0</v>
      </c>
      <c r="S1968" s="23">
        <f>Parameters!Q985</f>
        <v>0</v>
      </c>
      <c r="T1968" s="23">
        <f>Parameters!R985</f>
        <v>0</v>
      </c>
      <c r="U1968" s="27">
        <f>Parameters!S985</f>
        <v>0</v>
      </c>
      <c r="V1968" s="28">
        <f>Parameters!T985</f>
        <v>0</v>
      </c>
      <c r="W1968" s="27">
        <f>Parameters!U985</f>
        <v>0</v>
      </c>
      <c r="X1968" s="28">
        <f>Parameters!V985</f>
        <v>0</v>
      </c>
      <c r="Y1968" s="25">
        <f>Parameters!W985</f>
        <v>0</v>
      </c>
      <c r="Z1968" s="23">
        <f>Parameters!X985</f>
        <v>0</v>
      </c>
      <c r="AA1968" s="27">
        <f>Parameters!Y985</f>
        <v>0</v>
      </c>
      <c r="AB1968" s="28">
        <f>Parameters!Z985</f>
        <v>0</v>
      </c>
      <c r="AC1968" s="23">
        <f>Parameters!AA985</f>
        <v>0</v>
      </c>
    </row>
    <row r="1969" spans="1:29">
      <c r="A1969" s="29" t="str">
        <f>UPPER(A1968)</f>
        <v>0</v>
      </c>
      <c r="B1969" s="29">
        <f>B1968</f>
        <v>0</v>
      </c>
      <c r="C1969" s="30">
        <f>C1968</f>
        <v>0</v>
      </c>
      <c r="D1969" s="30">
        <f>D1968</f>
        <v>0</v>
      </c>
      <c r="E1969" s="29">
        <f>E1968</f>
        <v>0</v>
      </c>
      <c r="F1969" s="29">
        <f>F1968</f>
        <v>0</v>
      </c>
      <c r="G1969" s="29" t="e">
        <f>IF(C1968=1,IF(D1968="BUY",E1968+(ROUND(F1968*G1968/B1968,0)*B1968),E1968-(ROUND(F1968*G1968/B1968,0)*B1968)),IF(D1968="BUY",E1968-(ROUND(F1968*G1968/B1968,0)*B1968),E1968+(ROUND(F1968*G1968/B1968,0)*B1968)))</f>
        <v>#DIV/0!</v>
      </c>
      <c r="H1969" s="29" t="e">
        <f>IF(C1968=1,IF(D1968="BUY",G1969-(ROUND(F1968*H1968/B1968,0)*B1968),G1969+(ROUND(F1968*H1968/B1968,0)*B1968)),IF(D1968="BUY",G1969+(ROUND(F1968*H1968/B1968,0)*B1968),G1969-(ROUND(F1968*H1968/B1968,0)*B1968)))</f>
        <v>#DIV/0!</v>
      </c>
      <c r="I1969" s="29" t="e">
        <f>IF(D1968="BUY",G1969+(ROUND(F1968*I1968/(B1968*100),0)*B1968),G1969-(ROUND(F1968*I1968/(B1968*100),0)*B1968))</f>
        <v>#DIV/0!</v>
      </c>
      <c r="J1969" s="29" t="e">
        <f>IF(C1968=1,IF(D1968="BUY",E1968+(ROUND(F1968*J1968/B1968,0)*B1968),E1968-(ROUND(F1968*J1968/B1968,0)*B1968)),IF(D1968="BUY",E1968-(ROUND(F1968*J1968/B1968,0)*B1968),E1968+(ROUND(F1968*J1968/B1968,0)*B1968)))</f>
        <v>#DIV/0!</v>
      </c>
      <c r="K1969" s="29" t="e">
        <f>IF(C1968=1,IF(D1968="BUY",E1968-(ROUND(F1968*K1968/B1968,0)*B1968),E1968+(ROUND(F1968*K1968/B1968,0)*B1968)),IF(D1968="BUY",E1968-(ROUND(F1968*K1968/B1968,0)*B1968),E1968+(ROUND(F1968*K1968/B1968,0)*B1968)))</f>
        <v>#DIV/0!</v>
      </c>
      <c r="L1969" s="29" t="e">
        <f t="shared" ref="L1969" si="2948">IF(D1969="BUY",I1969+(R1969*B1969),I1969-(R1969*B1969))</f>
        <v>#DIV/0!</v>
      </c>
      <c r="M1969" s="29" t="e">
        <f>IF(D1968="BUY",E1968+(ROUND(F1968*M1968/B1968,0)*B1968),E1968-(ROUND(F1968*M1968/B1968,0)*B1968))</f>
        <v>#DIV/0!</v>
      </c>
      <c r="N1969" s="29" t="e">
        <f>IF(D1968="BUY",E1968-(ROUND(F1968*N1968/B1968,0)*B1968),E1968+(ROUND(F1968*N1968/B1968,0)*B1968))</f>
        <v>#DIV/0!</v>
      </c>
      <c r="O1969" s="31" t="e">
        <f>IF(D1969="BUY",N1969-VLOOKUP(A1969,Symbols!A$1:D$1000,4,FALSE),N1969+VLOOKUP(A1969,Symbols!A$1:D$1000,4,FALSE))</f>
        <v>#DIV/0!</v>
      </c>
      <c r="P1969" s="29">
        <f>P1968</f>
        <v>0</v>
      </c>
      <c r="Q1969" s="29">
        <f>Q1968</f>
        <v>0</v>
      </c>
      <c r="R1969" s="29">
        <f>R1968</f>
        <v>0</v>
      </c>
      <c r="S1969" s="29">
        <f>S1968</f>
        <v>0</v>
      </c>
      <c r="T1969" s="29">
        <f>T1968</f>
        <v>0</v>
      </c>
      <c r="U1969" s="29" t="e">
        <f>DATEDIF(DATE(1970,1,1),U1968,"D")*86400</f>
        <v>#NUM!</v>
      </c>
      <c r="V1969" s="29">
        <f>HOUR(V1968)*3600+MINUTE(V1968)*60+SECOND(V1968)</f>
        <v>0</v>
      </c>
      <c r="W1969" s="29" t="e">
        <f>DATEDIF(DATE(1970,1,1),W1968,"D")*86400</f>
        <v>#NUM!</v>
      </c>
      <c r="X1969" s="29">
        <f>HOUR(X1968)*3600+MINUTE(X1968)*60+SECOND(X1968)</f>
        <v>0</v>
      </c>
      <c r="Y1969" s="31">
        <f>(Y1968*B1969)</f>
        <v>0</v>
      </c>
      <c r="Z1969" s="29">
        <f>Z1968</f>
        <v>0</v>
      </c>
      <c r="AA1969" s="29" t="e">
        <f>DATEDIF(DATE(1970,1,1),AA1968,"D")*86400</f>
        <v>#NUM!</v>
      </c>
      <c r="AB1969" s="29">
        <f>HOUR(AB1968)*3600+MINUTE(AB1968)*60+SECOND(AB1968)</f>
        <v>0</v>
      </c>
      <c r="AC1969" s="29">
        <f>AC1968</f>
        <v>0</v>
      </c>
    </row>
    <row r="1970" spans="1:29">
      <c r="A1970" s="23">
        <f>Parameters!A986</f>
        <v>0</v>
      </c>
      <c r="B1970" s="23">
        <f>Parameters!B986</f>
        <v>0</v>
      </c>
      <c r="C1970" s="24">
        <f>Parameters!C986</f>
        <v>0</v>
      </c>
      <c r="D1970" s="24">
        <f>Parameters!D986</f>
        <v>0</v>
      </c>
      <c r="E1970" s="23">
        <f>Parameters!E986</f>
        <v>0</v>
      </c>
      <c r="F1970" s="23">
        <f>Parameters!F986</f>
        <v>0</v>
      </c>
      <c r="G1970" s="25">
        <f>Parameters!G986</f>
        <v>0</v>
      </c>
      <c r="H1970" s="25">
        <f>Parameters!H986</f>
        <v>0</v>
      </c>
      <c r="I1970" s="25">
        <f>Parameters!I986</f>
        <v>0</v>
      </c>
      <c r="J1970" s="25">
        <f>Parameters!J986</f>
        <v>0</v>
      </c>
      <c r="K1970" s="25">
        <f>Parameters!K986</f>
        <v>0</v>
      </c>
      <c r="L1970" s="26" t="e">
        <f t="shared" ref="L1970" si="2949">L1971</f>
        <v>#DIV/0!</v>
      </c>
      <c r="M1970" s="25">
        <f>Parameters!L986</f>
        <v>0</v>
      </c>
      <c r="N1970" s="25">
        <f>Parameters!M986</f>
        <v>0</v>
      </c>
      <c r="O1970" s="26" t="e">
        <f t="shared" ref="O1970" si="2950">O1971</f>
        <v>#DIV/0!</v>
      </c>
      <c r="P1970" s="23">
        <f>Parameters!N986</f>
        <v>0</v>
      </c>
      <c r="Q1970" s="23">
        <f>Parameters!O986</f>
        <v>0</v>
      </c>
      <c r="R1970" s="23">
        <f>Parameters!P986</f>
        <v>0</v>
      </c>
      <c r="S1970" s="23">
        <f>Parameters!Q986</f>
        <v>0</v>
      </c>
      <c r="T1970" s="23">
        <f>Parameters!R986</f>
        <v>0</v>
      </c>
      <c r="U1970" s="27">
        <f>Parameters!S986</f>
        <v>0</v>
      </c>
      <c r="V1970" s="28">
        <f>Parameters!T986</f>
        <v>0</v>
      </c>
      <c r="W1970" s="27">
        <f>Parameters!U986</f>
        <v>0</v>
      </c>
      <c r="X1970" s="28">
        <f>Parameters!V986</f>
        <v>0</v>
      </c>
      <c r="Y1970" s="25">
        <f>Parameters!W986</f>
        <v>0</v>
      </c>
      <c r="Z1970" s="23">
        <f>Parameters!X986</f>
        <v>0</v>
      </c>
      <c r="AA1970" s="27">
        <f>Parameters!Y986</f>
        <v>0</v>
      </c>
      <c r="AB1970" s="28">
        <f>Parameters!Z986</f>
        <v>0</v>
      </c>
      <c r="AC1970" s="23">
        <f>Parameters!AA986</f>
        <v>0</v>
      </c>
    </row>
    <row r="1971" spans="1:29">
      <c r="A1971" s="29" t="str">
        <f>UPPER(A1970)</f>
        <v>0</v>
      </c>
      <c r="B1971" s="29">
        <f>B1970</f>
        <v>0</v>
      </c>
      <c r="C1971" s="30">
        <f>C1970</f>
        <v>0</v>
      </c>
      <c r="D1971" s="30">
        <f>D1970</f>
        <v>0</v>
      </c>
      <c r="E1971" s="29">
        <f>E1970</f>
        <v>0</v>
      </c>
      <c r="F1971" s="29">
        <f>F1970</f>
        <v>0</v>
      </c>
      <c r="G1971" s="29" t="e">
        <f>IF(C1970=1,IF(D1970="BUY",E1970+(ROUND(F1970*G1970/B1970,0)*B1970),E1970-(ROUND(F1970*G1970/B1970,0)*B1970)),IF(D1970="BUY",E1970-(ROUND(F1970*G1970/B1970,0)*B1970),E1970+(ROUND(F1970*G1970/B1970,0)*B1970)))</f>
        <v>#DIV/0!</v>
      </c>
      <c r="H1971" s="29" t="e">
        <f>IF(C1970=1,IF(D1970="BUY",G1971-(ROUND(F1970*H1970/B1970,0)*B1970),G1971+(ROUND(F1970*H1970/B1970,0)*B1970)),IF(D1970="BUY",G1971+(ROUND(F1970*H1970/B1970,0)*B1970),G1971-(ROUND(F1970*H1970/B1970,0)*B1970)))</f>
        <v>#DIV/0!</v>
      </c>
      <c r="I1971" s="29" t="e">
        <f>IF(D1970="BUY",G1971+(ROUND(F1970*I1970/(B1970*100),0)*B1970),G1971-(ROUND(F1970*I1970/(B1970*100),0)*B1970))</f>
        <v>#DIV/0!</v>
      </c>
      <c r="J1971" s="29" t="e">
        <f>IF(C1970=1,IF(D1970="BUY",E1970+(ROUND(F1970*J1970/B1970,0)*B1970),E1970-(ROUND(F1970*J1970/B1970,0)*B1970)),IF(D1970="BUY",E1970-(ROUND(F1970*J1970/B1970,0)*B1970),E1970+(ROUND(F1970*J1970/B1970,0)*B1970)))</f>
        <v>#DIV/0!</v>
      </c>
      <c r="K1971" s="29" t="e">
        <f>IF(C1970=1,IF(D1970="BUY",E1970-(ROUND(F1970*K1970/B1970,0)*B1970),E1970+(ROUND(F1970*K1970/B1970,0)*B1970)),IF(D1970="BUY",E1970-(ROUND(F1970*K1970/B1970,0)*B1970),E1970+(ROUND(F1970*K1970/B1970,0)*B1970)))</f>
        <v>#DIV/0!</v>
      </c>
      <c r="L1971" s="29" t="e">
        <f t="shared" ref="L1971" si="2951">IF(D1971="BUY",I1971+(R1971*B1971),I1971-(R1971*B1971))</f>
        <v>#DIV/0!</v>
      </c>
      <c r="M1971" s="29" t="e">
        <f>IF(D1970="BUY",E1970+(ROUND(F1970*M1970/B1970,0)*B1970),E1970-(ROUND(F1970*M1970/B1970,0)*B1970))</f>
        <v>#DIV/0!</v>
      </c>
      <c r="N1971" s="29" t="e">
        <f>IF(D1970="BUY",E1970-(ROUND(F1970*N1970/B1970,0)*B1970),E1970+(ROUND(F1970*N1970/B1970,0)*B1970))</f>
        <v>#DIV/0!</v>
      </c>
      <c r="O1971" s="31" t="e">
        <f>IF(D1971="BUY",N1971-VLOOKUP(A1971,Symbols!A$1:D$1000,4,FALSE),N1971+VLOOKUP(A1971,Symbols!A$1:D$1000,4,FALSE))</f>
        <v>#DIV/0!</v>
      </c>
      <c r="P1971" s="29">
        <f>P1970</f>
        <v>0</v>
      </c>
      <c r="Q1971" s="29">
        <f>Q1970</f>
        <v>0</v>
      </c>
      <c r="R1971" s="29">
        <f>R1970</f>
        <v>0</v>
      </c>
      <c r="S1971" s="29">
        <f>S1970</f>
        <v>0</v>
      </c>
      <c r="T1971" s="29">
        <f>T1970</f>
        <v>0</v>
      </c>
      <c r="U1971" s="29" t="e">
        <f>DATEDIF(DATE(1970,1,1),U1970,"D")*86400</f>
        <v>#NUM!</v>
      </c>
      <c r="V1971" s="29">
        <f>HOUR(V1970)*3600+MINUTE(V1970)*60+SECOND(V1970)</f>
        <v>0</v>
      </c>
      <c r="W1971" s="29" t="e">
        <f>DATEDIF(DATE(1970,1,1),W1970,"D")*86400</f>
        <v>#NUM!</v>
      </c>
      <c r="X1971" s="29">
        <f>HOUR(X1970)*3600+MINUTE(X1970)*60+SECOND(X1970)</f>
        <v>0</v>
      </c>
      <c r="Y1971" s="31">
        <f>(Y1970*B1971)</f>
        <v>0</v>
      </c>
      <c r="Z1971" s="29">
        <f>Z1970</f>
        <v>0</v>
      </c>
      <c r="AA1971" s="29" t="e">
        <f>DATEDIF(DATE(1970,1,1),AA1970,"D")*86400</f>
        <v>#NUM!</v>
      </c>
      <c r="AB1971" s="29">
        <f>HOUR(AB1970)*3600+MINUTE(AB1970)*60+SECOND(AB1970)</f>
        <v>0</v>
      </c>
      <c r="AC1971" s="29">
        <f>AC1970</f>
        <v>0</v>
      </c>
    </row>
    <row r="1972" spans="1:29">
      <c r="A1972" s="23">
        <f>Parameters!A987</f>
        <v>0</v>
      </c>
      <c r="B1972" s="23">
        <f>Parameters!B987</f>
        <v>0</v>
      </c>
      <c r="C1972" s="24">
        <f>Parameters!C987</f>
        <v>0</v>
      </c>
      <c r="D1972" s="24">
        <f>Parameters!D987</f>
        <v>0</v>
      </c>
      <c r="E1972" s="23">
        <f>Parameters!E987</f>
        <v>0</v>
      </c>
      <c r="F1972" s="23">
        <f>Parameters!F987</f>
        <v>0</v>
      </c>
      <c r="G1972" s="25">
        <f>Parameters!G987</f>
        <v>0</v>
      </c>
      <c r="H1972" s="25">
        <f>Parameters!H987</f>
        <v>0</v>
      </c>
      <c r="I1972" s="25">
        <f>Parameters!I987</f>
        <v>0</v>
      </c>
      <c r="J1972" s="25">
        <f>Parameters!J987</f>
        <v>0</v>
      </c>
      <c r="K1972" s="25">
        <f>Parameters!K987</f>
        <v>0</v>
      </c>
      <c r="L1972" s="26" t="e">
        <f t="shared" ref="L1972" si="2952">L1973</f>
        <v>#DIV/0!</v>
      </c>
      <c r="M1972" s="25">
        <f>Parameters!L987</f>
        <v>0</v>
      </c>
      <c r="N1972" s="25">
        <f>Parameters!M987</f>
        <v>0</v>
      </c>
      <c r="O1972" s="26" t="e">
        <f t="shared" ref="O1972" si="2953">O1973</f>
        <v>#DIV/0!</v>
      </c>
      <c r="P1972" s="23">
        <f>Parameters!N987</f>
        <v>0</v>
      </c>
      <c r="Q1972" s="23">
        <f>Parameters!O987</f>
        <v>0</v>
      </c>
      <c r="R1972" s="23">
        <f>Parameters!P987</f>
        <v>0</v>
      </c>
      <c r="S1972" s="23">
        <f>Parameters!Q987</f>
        <v>0</v>
      </c>
      <c r="T1972" s="23">
        <f>Parameters!R987</f>
        <v>0</v>
      </c>
      <c r="U1972" s="27">
        <f>Parameters!S987</f>
        <v>0</v>
      </c>
      <c r="V1972" s="28">
        <f>Parameters!T987</f>
        <v>0</v>
      </c>
      <c r="W1972" s="27">
        <f>Parameters!U987</f>
        <v>0</v>
      </c>
      <c r="X1972" s="28">
        <f>Parameters!V987</f>
        <v>0</v>
      </c>
      <c r="Y1972" s="25">
        <f>Parameters!W987</f>
        <v>0</v>
      </c>
      <c r="Z1972" s="23">
        <f>Parameters!X987</f>
        <v>0</v>
      </c>
      <c r="AA1972" s="27">
        <f>Parameters!Y987</f>
        <v>0</v>
      </c>
      <c r="AB1972" s="28">
        <f>Parameters!Z987</f>
        <v>0</v>
      </c>
      <c r="AC1972" s="23">
        <f>Parameters!AA987</f>
        <v>0</v>
      </c>
    </row>
    <row r="1973" spans="1:29">
      <c r="A1973" s="29" t="str">
        <f>UPPER(A1972)</f>
        <v>0</v>
      </c>
      <c r="B1973" s="29">
        <f>B1972</f>
        <v>0</v>
      </c>
      <c r="C1973" s="30">
        <f>C1972</f>
        <v>0</v>
      </c>
      <c r="D1973" s="30">
        <f>D1972</f>
        <v>0</v>
      </c>
      <c r="E1973" s="29">
        <f>E1972</f>
        <v>0</v>
      </c>
      <c r="F1973" s="29">
        <f>F1972</f>
        <v>0</v>
      </c>
      <c r="G1973" s="29" t="e">
        <f>IF(C1972=1,IF(D1972="BUY",E1972+(ROUND(F1972*G1972/B1972,0)*B1972),E1972-(ROUND(F1972*G1972/B1972,0)*B1972)),IF(D1972="BUY",E1972-(ROUND(F1972*G1972/B1972,0)*B1972),E1972+(ROUND(F1972*G1972/B1972,0)*B1972)))</f>
        <v>#DIV/0!</v>
      </c>
      <c r="H1973" s="29" t="e">
        <f>IF(C1972=1,IF(D1972="BUY",G1973-(ROUND(F1972*H1972/B1972,0)*B1972),G1973+(ROUND(F1972*H1972/B1972,0)*B1972)),IF(D1972="BUY",G1973+(ROUND(F1972*H1972/B1972,0)*B1972),G1973-(ROUND(F1972*H1972/B1972,0)*B1972)))</f>
        <v>#DIV/0!</v>
      </c>
      <c r="I1973" s="29" t="e">
        <f>IF(D1972="BUY",G1973+(ROUND(F1972*I1972/(B1972*100),0)*B1972),G1973-(ROUND(F1972*I1972/(B1972*100),0)*B1972))</f>
        <v>#DIV/0!</v>
      </c>
      <c r="J1973" s="29" t="e">
        <f>IF(C1972=1,IF(D1972="BUY",E1972+(ROUND(F1972*J1972/B1972,0)*B1972),E1972-(ROUND(F1972*J1972/B1972,0)*B1972)),IF(D1972="BUY",E1972-(ROUND(F1972*J1972/B1972,0)*B1972),E1972+(ROUND(F1972*J1972/B1972,0)*B1972)))</f>
        <v>#DIV/0!</v>
      </c>
      <c r="K1973" s="29" t="e">
        <f>IF(C1972=1,IF(D1972="BUY",E1972-(ROUND(F1972*K1972/B1972,0)*B1972),E1972+(ROUND(F1972*K1972/B1972,0)*B1972)),IF(D1972="BUY",E1972-(ROUND(F1972*K1972/B1972,0)*B1972),E1972+(ROUND(F1972*K1972/B1972,0)*B1972)))</f>
        <v>#DIV/0!</v>
      </c>
      <c r="L1973" s="29" t="e">
        <f t="shared" ref="L1973" si="2954">IF(D1973="BUY",I1973+(R1973*B1973),I1973-(R1973*B1973))</f>
        <v>#DIV/0!</v>
      </c>
      <c r="M1973" s="29" t="e">
        <f>IF(D1972="BUY",E1972+(ROUND(F1972*M1972/B1972,0)*B1972),E1972-(ROUND(F1972*M1972/B1972,0)*B1972))</f>
        <v>#DIV/0!</v>
      </c>
      <c r="N1973" s="29" t="e">
        <f>IF(D1972="BUY",E1972-(ROUND(F1972*N1972/B1972,0)*B1972),E1972+(ROUND(F1972*N1972/B1972,0)*B1972))</f>
        <v>#DIV/0!</v>
      </c>
      <c r="O1973" s="31" t="e">
        <f>IF(D1973="BUY",N1973-VLOOKUP(A1973,Symbols!A$1:D$1000,4,FALSE),N1973+VLOOKUP(A1973,Symbols!A$1:D$1000,4,FALSE))</f>
        <v>#DIV/0!</v>
      </c>
      <c r="P1973" s="29">
        <f>P1972</f>
        <v>0</v>
      </c>
      <c r="Q1973" s="29">
        <f>Q1972</f>
        <v>0</v>
      </c>
      <c r="R1973" s="29">
        <f>R1972</f>
        <v>0</v>
      </c>
      <c r="S1973" s="29">
        <f>S1972</f>
        <v>0</v>
      </c>
      <c r="T1973" s="29">
        <f>T1972</f>
        <v>0</v>
      </c>
      <c r="U1973" s="29" t="e">
        <f>DATEDIF(DATE(1970,1,1),U1972,"D")*86400</f>
        <v>#NUM!</v>
      </c>
      <c r="V1973" s="29">
        <f>HOUR(V1972)*3600+MINUTE(V1972)*60+SECOND(V1972)</f>
        <v>0</v>
      </c>
      <c r="W1973" s="29" t="e">
        <f>DATEDIF(DATE(1970,1,1),W1972,"D")*86400</f>
        <v>#NUM!</v>
      </c>
      <c r="X1973" s="29">
        <f>HOUR(X1972)*3600+MINUTE(X1972)*60+SECOND(X1972)</f>
        <v>0</v>
      </c>
      <c r="Y1973" s="31">
        <f>(Y1972*B1973)</f>
        <v>0</v>
      </c>
      <c r="Z1973" s="29">
        <f>Z1972</f>
        <v>0</v>
      </c>
      <c r="AA1973" s="29" t="e">
        <f>DATEDIF(DATE(1970,1,1),AA1972,"D")*86400</f>
        <v>#NUM!</v>
      </c>
      <c r="AB1973" s="29">
        <f>HOUR(AB1972)*3600+MINUTE(AB1972)*60+SECOND(AB1972)</f>
        <v>0</v>
      </c>
      <c r="AC1973" s="29">
        <f>AC1972</f>
        <v>0</v>
      </c>
    </row>
    <row r="1974" spans="1:29">
      <c r="A1974" s="23">
        <f>Parameters!A988</f>
        <v>0</v>
      </c>
      <c r="B1974" s="23">
        <f>Parameters!B988</f>
        <v>0</v>
      </c>
      <c r="C1974" s="24">
        <f>Parameters!C988</f>
        <v>0</v>
      </c>
      <c r="D1974" s="24">
        <f>Parameters!D988</f>
        <v>0</v>
      </c>
      <c r="E1974" s="23">
        <f>Parameters!E988</f>
        <v>0</v>
      </c>
      <c r="F1974" s="23">
        <f>Parameters!F988</f>
        <v>0</v>
      </c>
      <c r="G1974" s="25">
        <f>Parameters!G988</f>
        <v>0</v>
      </c>
      <c r="H1974" s="25">
        <f>Parameters!H988</f>
        <v>0</v>
      </c>
      <c r="I1974" s="25">
        <f>Parameters!I988</f>
        <v>0</v>
      </c>
      <c r="J1974" s="25">
        <f>Parameters!J988</f>
        <v>0</v>
      </c>
      <c r="K1974" s="25">
        <f>Parameters!K988</f>
        <v>0</v>
      </c>
      <c r="L1974" s="26" t="e">
        <f t="shared" ref="L1974" si="2955">L1975</f>
        <v>#DIV/0!</v>
      </c>
      <c r="M1974" s="25">
        <f>Parameters!L988</f>
        <v>0</v>
      </c>
      <c r="N1974" s="25">
        <f>Parameters!M988</f>
        <v>0</v>
      </c>
      <c r="O1974" s="26" t="e">
        <f t="shared" ref="O1974" si="2956">O1975</f>
        <v>#DIV/0!</v>
      </c>
      <c r="P1974" s="23">
        <f>Parameters!N988</f>
        <v>0</v>
      </c>
      <c r="Q1974" s="23">
        <f>Parameters!O988</f>
        <v>0</v>
      </c>
      <c r="R1974" s="23">
        <f>Parameters!P988</f>
        <v>0</v>
      </c>
      <c r="S1974" s="23">
        <f>Parameters!Q988</f>
        <v>0</v>
      </c>
      <c r="T1974" s="23">
        <f>Parameters!R988</f>
        <v>0</v>
      </c>
      <c r="U1974" s="27">
        <f>Parameters!S988</f>
        <v>0</v>
      </c>
      <c r="V1974" s="28">
        <f>Parameters!T988</f>
        <v>0</v>
      </c>
      <c r="W1974" s="27">
        <f>Parameters!U988</f>
        <v>0</v>
      </c>
      <c r="X1974" s="28">
        <f>Parameters!V988</f>
        <v>0</v>
      </c>
      <c r="Y1974" s="25">
        <f>Parameters!W988</f>
        <v>0</v>
      </c>
      <c r="Z1974" s="23">
        <f>Parameters!X988</f>
        <v>0</v>
      </c>
      <c r="AA1974" s="27">
        <f>Parameters!Y988</f>
        <v>0</v>
      </c>
      <c r="AB1974" s="28">
        <f>Parameters!Z988</f>
        <v>0</v>
      </c>
      <c r="AC1974" s="23">
        <f>Parameters!AA988</f>
        <v>0</v>
      </c>
    </row>
    <row r="1975" spans="1:29">
      <c r="A1975" s="29" t="str">
        <f>UPPER(A1974)</f>
        <v>0</v>
      </c>
      <c r="B1975" s="29">
        <f>B1974</f>
        <v>0</v>
      </c>
      <c r="C1975" s="30">
        <f>C1974</f>
        <v>0</v>
      </c>
      <c r="D1975" s="30">
        <f>D1974</f>
        <v>0</v>
      </c>
      <c r="E1975" s="29">
        <f>E1974</f>
        <v>0</v>
      </c>
      <c r="F1975" s="29">
        <f>F1974</f>
        <v>0</v>
      </c>
      <c r="G1975" s="29" t="e">
        <f>IF(C1974=1,IF(D1974="BUY",E1974+(ROUND(F1974*G1974/B1974,0)*B1974),E1974-(ROUND(F1974*G1974/B1974,0)*B1974)),IF(D1974="BUY",E1974-(ROUND(F1974*G1974/B1974,0)*B1974),E1974+(ROUND(F1974*G1974/B1974,0)*B1974)))</f>
        <v>#DIV/0!</v>
      </c>
      <c r="H1975" s="29" t="e">
        <f>IF(C1974=1,IF(D1974="BUY",G1975-(ROUND(F1974*H1974/B1974,0)*B1974),G1975+(ROUND(F1974*H1974/B1974,0)*B1974)),IF(D1974="BUY",G1975+(ROUND(F1974*H1974/B1974,0)*B1974),G1975-(ROUND(F1974*H1974/B1974,0)*B1974)))</f>
        <v>#DIV/0!</v>
      </c>
      <c r="I1975" s="29" t="e">
        <f>IF(D1974="BUY",G1975+(ROUND(F1974*I1974/(B1974*100),0)*B1974),G1975-(ROUND(F1974*I1974/(B1974*100),0)*B1974))</f>
        <v>#DIV/0!</v>
      </c>
      <c r="J1975" s="29" t="e">
        <f>IF(C1974=1,IF(D1974="BUY",E1974+(ROUND(F1974*J1974/B1974,0)*B1974),E1974-(ROUND(F1974*J1974/B1974,0)*B1974)),IF(D1974="BUY",E1974-(ROUND(F1974*J1974/B1974,0)*B1974),E1974+(ROUND(F1974*J1974/B1974,0)*B1974)))</f>
        <v>#DIV/0!</v>
      </c>
      <c r="K1975" s="29" t="e">
        <f>IF(C1974=1,IF(D1974="BUY",E1974-(ROUND(F1974*K1974/B1974,0)*B1974),E1974+(ROUND(F1974*K1974/B1974,0)*B1974)),IF(D1974="BUY",E1974-(ROUND(F1974*K1974/B1974,0)*B1974),E1974+(ROUND(F1974*K1974/B1974,0)*B1974)))</f>
        <v>#DIV/0!</v>
      </c>
      <c r="L1975" s="29" t="e">
        <f t="shared" ref="L1975" si="2957">IF(D1975="BUY",I1975+(R1975*B1975),I1975-(R1975*B1975))</f>
        <v>#DIV/0!</v>
      </c>
      <c r="M1975" s="29" t="e">
        <f>IF(D1974="BUY",E1974+(ROUND(F1974*M1974/B1974,0)*B1974),E1974-(ROUND(F1974*M1974/B1974,0)*B1974))</f>
        <v>#DIV/0!</v>
      </c>
      <c r="N1975" s="29" t="e">
        <f>IF(D1974="BUY",E1974-(ROUND(F1974*N1974/B1974,0)*B1974),E1974+(ROUND(F1974*N1974/B1974,0)*B1974))</f>
        <v>#DIV/0!</v>
      </c>
      <c r="O1975" s="31" t="e">
        <f>IF(D1975="BUY",N1975-VLOOKUP(A1975,Symbols!A$1:D$1000,4,FALSE),N1975+VLOOKUP(A1975,Symbols!A$1:D$1000,4,FALSE))</f>
        <v>#DIV/0!</v>
      </c>
      <c r="P1975" s="29">
        <f>P1974</f>
        <v>0</v>
      </c>
      <c r="Q1975" s="29">
        <f>Q1974</f>
        <v>0</v>
      </c>
      <c r="R1975" s="29">
        <f>R1974</f>
        <v>0</v>
      </c>
      <c r="S1975" s="29">
        <f>S1974</f>
        <v>0</v>
      </c>
      <c r="T1975" s="29">
        <f>T1974</f>
        <v>0</v>
      </c>
      <c r="U1975" s="29" t="e">
        <f>DATEDIF(DATE(1970,1,1),U1974,"D")*86400</f>
        <v>#NUM!</v>
      </c>
      <c r="V1975" s="29">
        <f>HOUR(V1974)*3600+MINUTE(V1974)*60+SECOND(V1974)</f>
        <v>0</v>
      </c>
      <c r="W1975" s="29" t="e">
        <f>DATEDIF(DATE(1970,1,1),W1974,"D")*86400</f>
        <v>#NUM!</v>
      </c>
      <c r="X1975" s="29">
        <f>HOUR(X1974)*3600+MINUTE(X1974)*60+SECOND(X1974)</f>
        <v>0</v>
      </c>
      <c r="Y1975" s="31">
        <f>(Y1974*B1975)</f>
        <v>0</v>
      </c>
      <c r="Z1975" s="29">
        <f>Z1974</f>
        <v>0</v>
      </c>
      <c r="AA1975" s="29" t="e">
        <f>DATEDIF(DATE(1970,1,1),AA1974,"D")*86400</f>
        <v>#NUM!</v>
      </c>
      <c r="AB1975" s="29">
        <f>HOUR(AB1974)*3600+MINUTE(AB1974)*60+SECOND(AB1974)</f>
        <v>0</v>
      </c>
      <c r="AC1975" s="29">
        <f>AC1974</f>
        <v>0</v>
      </c>
    </row>
    <row r="1976" spans="1:29">
      <c r="A1976" s="23">
        <f>Parameters!A989</f>
        <v>0</v>
      </c>
      <c r="B1976" s="23">
        <f>Parameters!B989</f>
        <v>0</v>
      </c>
      <c r="C1976" s="24">
        <f>Parameters!C989</f>
        <v>0</v>
      </c>
      <c r="D1976" s="24">
        <f>Parameters!D989</f>
        <v>0</v>
      </c>
      <c r="E1976" s="23">
        <f>Parameters!E989</f>
        <v>0</v>
      </c>
      <c r="F1976" s="23">
        <f>Parameters!F989</f>
        <v>0</v>
      </c>
      <c r="G1976" s="25">
        <f>Parameters!G989</f>
        <v>0</v>
      </c>
      <c r="H1976" s="25">
        <f>Parameters!H989</f>
        <v>0</v>
      </c>
      <c r="I1976" s="25">
        <f>Parameters!I989</f>
        <v>0</v>
      </c>
      <c r="J1976" s="25">
        <f>Parameters!J989</f>
        <v>0</v>
      </c>
      <c r="K1976" s="25">
        <f>Parameters!K989</f>
        <v>0</v>
      </c>
      <c r="L1976" s="26" t="e">
        <f t="shared" ref="L1976" si="2958">L1977</f>
        <v>#DIV/0!</v>
      </c>
      <c r="M1976" s="25">
        <f>Parameters!L989</f>
        <v>0</v>
      </c>
      <c r="N1976" s="25">
        <f>Parameters!M989</f>
        <v>0</v>
      </c>
      <c r="O1976" s="26" t="e">
        <f t="shared" ref="O1976" si="2959">O1977</f>
        <v>#DIV/0!</v>
      </c>
      <c r="P1976" s="23">
        <f>Parameters!N989</f>
        <v>0</v>
      </c>
      <c r="Q1976" s="23">
        <f>Parameters!O989</f>
        <v>0</v>
      </c>
      <c r="R1976" s="23">
        <f>Parameters!P989</f>
        <v>0</v>
      </c>
      <c r="S1976" s="23">
        <f>Parameters!Q989</f>
        <v>0</v>
      </c>
      <c r="T1976" s="23">
        <f>Parameters!R989</f>
        <v>0</v>
      </c>
      <c r="U1976" s="27">
        <f>Parameters!S989</f>
        <v>0</v>
      </c>
      <c r="V1976" s="28">
        <f>Parameters!T989</f>
        <v>0</v>
      </c>
      <c r="W1976" s="27">
        <f>Parameters!U989</f>
        <v>0</v>
      </c>
      <c r="X1976" s="28">
        <f>Parameters!V989</f>
        <v>0</v>
      </c>
      <c r="Y1976" s="25">
        <f>Parameters!W989</f>
        <v>0</v>
      </c>
      <c r="Z1976" s="23">
        <f>Parameters!X989</f>
        <v>0</v>
      </c>
      <c r="AA1976" s="27">
        <f>Parameters!Y989</f>
        <v>0</v>
      </c>
      <c r="AB1976" s="28">
        <f>Parameters!Z989</f>
        <v>0</v>
      </c>
      <c r="AC1976" s="23">
        <f>Parameters!AA989</f>
        <v>0</v>
      </c>
    </row>
    <row r="1977" spans="1:29">
      <c r="A1977" s="29" t="str">
        <f>UPPER(A1976)</f>
        <v>0</v>
      </c>
      <c r="B1977" s="29">
        <f>B1976</f>
        <v>0</v>
      </c>
      <c r="C1977" s="30">
        <f>C1976</f>
        <v>0</v>
      </c>
      <c r="D1977" s="30">
        <f>D1976</f>
        <v>0</v>
      </c>
      <c r="E1977" s="29">
        <f>E1976</f>
        <v>0</v>
      </c>
      <c r="F1977" s="29">
        <f>F1976</f>
        <v>0</v>
      </c>
      <c r="G1977" s="29" t="e">
        <f>IF(C1976=1,IF(D1976="BUY",E1976+(ROUND(F1976*G1976/B1976,0)*B1976),E1976-(ROUND(F1976*G1976/B1976,0)*B1976)),IF(D1976="BUY",E1976-(ROUND(F1976*G1976/B1976,0)*B1976),E1976+(ROUND(F1976*G1976/B1976,0)*B1976)))</f>
        <v>#DIV/0!</v>
      </c>
      <c r="H1977" s="29" t="e">
        <f>IF(C1976=1,IF(D1976="BUY",G1977-(ROUND(F1976*H1976/B1976,0)*B1976),G1977+(ROUND(F1976*H1976/B1976,0)*B1976)),IF(D1976="BUY",G1977+(ROUND(F1976*H1976/B1976,0)*B1976),G1977-(ROUND(F1976*H1976/B1976,0)*B1976)))</f>
        <v>#DIV/0!</v>
      </c>
      <c r="I1977" s="29" t="e">
        <f>IF(D1976="BUY",G1977+(ROUND(F1976*I1976/(B1976*100),0)*B1976),G1977-(ROUND(F1976*I1976/(B1976*100),0)*B1976))</f>
        <v>#DIV/0!</v>
      </c>
      <c r="J1977" s="29" t="e">
        <f>IF(C1976=1,IF(D1976="BUY",E1976+(ROUND(F1976*J1976/B1976,0)*B1976),E1976-(ROUND(F1976*J1976/B1976,0)*B1976)),IF(D1976="BUY",E1976-(ROUND(F1976*J1976/B1976,0)*B1976),E1976+(ROUND(F1976*J1976/B1976,0)*B1976)))</f>
        <v>#DIV/0!</v>
      </c>
      <c r="K1977" s="29" t="e">
        <f>IF(C1976=1,IF(D1976="BUY",E1976-(ROUND(F1976*K1976/B1976,0)*B1976),E1976+(ROUND(F1976*K1976/B1976,0)*B1976)),IF(D1976="BUY",E1976-(ROUND(F1976*K1976/B1976,0)*B1976),E1976+(ROUND(F1976*K1976/B1976,0)*B1976)))</f>
        <v>#DIV/0!</v>
      </c>
      <c r="L1977" s="29" t="e">
        <f t="shared" ref="L1977" si="2960">IF(D1977="BUY",I1977+(R1977*B1977),I1977-(R1977*B1977))</f>
        <v>#DIV/0!</v>
      </c>
      <c r="M1977" s="29" t="e">
        <f>IF(D1976="BUY",E1976+(ROUND(F1976*M1976/B1976,0)*B1976),E1976-(ROUND(F1976*M1976/B1976,0)*B1976))</f>
        <v>#DIV/0!</v>
      </c>
      <c r="N1977" s="29" t="e">
        <f>IF(D1976="BUY",E1976-(ROUND(F1976*N1976/B1976,0)*B1976),E1976+(ROUND(F1976*N1976/B1976,0)*B1976))</f>
        <v>#DIV/0!</v>
      </c>
      <c r="O1977" s="31" t="e">
        <f>IF(D1977="BUY",N1977-VLOOKUP(A1977,Symbols!A$1:D$1000,4,FALSE),N1977+VLOOKUP(A1977,Symbols!A$1:D$1000,4,FALSE))</f>
        <v>#DIV/0!</v>
      </c>
      <c r="P1977" s="29">
        <f>P1976</f>
        <v>0</v>
      </c>
      <c r="Q1977" s="29">
        <f>Q1976</f>
        <v>0</v>
      </c>
      <c r="R1977" s="29">
        <f>R1976</f>
        <v>0</v>
      </c>
      <c r="S1977" s="29">
        <f>S1976</f>
        <v>0</v>
      </c>
      <c r="T1977" s="29">
        <f>T1976</f>
        <v>0</v>
      </c>
      <c r="U1977" s="29" t="e">
        <f>DATEDIF(DATE(1970,1,1),U1976,"D")*86400</f>
        <v>#NUM!</v>
      </c>
      <c r="V1977" s="29">
        <f>HOUR(V1976)*3600+MINUTE(V1976)*60+SECOND(V1976)</f>
        <v>0</v>
      </c>
      <c r="W1977" s="29" t="e">
        <f>DATEDIF(DATE(1970,1,1),W1976,"D")*86400</f>
        <v>#NUM!</v>
      </c>
      <c r="X1977" s="29">
        <f>HOUR(X1976)*3600+MINUTE(X1976)*60+SECOND(X1976)</f>
        <v>0</v>
      </c>
      <c r="Y1977" s="31">
        <f>(Y1976*B1977)</f>
        <v>0</v>
      </c>
      <c r="Z1977" s="29">
        <f>Z1976</f>
        <v>0</v>
      </c>
      <c r="AA1977" s="29" t="e">
        <f>DATEDIF(DATE(1970,1,1),AA1976,"D")*86400</f>
        <v>#NUM!</v>
      </c>
      <c r="AB1977" s="29">
        <f>HOUR(AB1976)*3600+MINUTE(AB1976)*60+SECOND(AB1976)</f>
        <v>0</v>
      </c>
      <c r="AC1977" s="29">
        <f>AC1976</f>
        <v>0</v>
      </c>
    </row>
    <row r="1978" spans="1:29">
      <c r="A1978" s="23">
        <f>Parameters!A990</f>
        <v>0</v>
      </c>
      <c r="B1978" s="23">
        <f>Parameters!B990</f>
        <v>0</v>
      </c>
      <c r="C1978" s="24">
        <f>Parameters!C990</f>
        <v>0</v>
      </c>
      <c r="D1978" s="24">
        <f>Parameters!D990</f>
        <v>0</v>
      </c>
      <c r="E1978" s="23">
        <f>Parameters!E990</f>
        <v>0</v>
      </c>
      <c r="F1978" s="23">
        <f>Parameters!F990</f>
        <v>0</v>
      </c>
      <c r="G1978" s="25">
        <f>Parameters!G990</f>
        <v>0</v>
      </c>
      <c r="H1978" s="25">
        <f>Parameters!H990</f>
        <v>0</v>
      </c>
      <c r="I1978" s="25">
        <f>Parameters!I990</f>
        <v>0</v>
      </c>
      <c r="J1978" s="25">
        <f>Parameters!J990</f>
        <v>0</v>
      </c>
      <c r="K1978" s="25">
        <f>Parameters!K990</f>
        <v>0</v>
      </c>
      <c r="L1978" s="26" t="e">
        <f t="shared" ref="L1978" si="2961">L1979</f>
        <v>#DIV/0!</v>
      </c>
      <c r="M1978" s="25">
        <f>Parameters!L990</f>
        <v>0</v>
      </c>
      <c r="N1978" s="25">
        <f>Parameters!M990</f>
        <v>0</v>
      </c>
      <c r="O1978" s="26" t="e">
        <f t="shared" ref="O1978" si="2962">O1979</f>
        <v>#DIV/0!</v>
      </c>
      <c r="P1978" s="23">
        <f>Parameters!N990</f>
        <v>0</v>
      </c>
      <c r="Q1978" s="23">
        <f>Parameters!O990</f>
        <v>0</v>
      </c>
      <c r="R1978" s="23">
        <f>Parameters!P990</f>
        <v>0</v>
      </c>
      <c r="S1978" s="23">
        <f>Parameters!Q990</f>
        <v>0</v>
      </c>
      <c r="T1978" s="23">
        <f>Parameters!R990</f>
        <v>0</v>
      </c>
      <c r="U1978" s="27">
        <f>Parameters!S990</f>
        <v>0</v>
      </c>
      <c r="V1978" s="28">
        <f>Parameters!T990</f>
        <v>0</v>
      </c>
      <c r="W1978" s="27">
        <f>Parameters!U990</f>
        <v>0</v>
      </c>
      <c r="X1978" s="28">
        <f>Parameters!V990</f>
        <v>0</v>
      </c>
      <c r="Y1978" s="25">
        <f>Parameters!W990</f>
        <v>0</v>
      </c>
      <c r="Z1978" s="23">
        <f>Parameters!X990</f>
        <v>0</v>
      </c>
      <c r="AA1978" s="27">
        <f>Parameters!Y990</f>
        <v>0</v>
      </c>
      <c r="AB1978" s="28">
        <f>Parameters!Z990</f>
        <v>0</v>
      </c>
      <c r="AC1978" s="23">
        <f>Parameters!AA990</f>
        <v>0</v>
      </c>
    </row>
    <row r="1979" spans="1:29">
      <c r="A1979" s="29" t="str">
        <f>UPPER(A1978)</f>
        <v>0</v>
      </c>
      <c r="B1979" s="29">
        <f>B1978</f>
        <v>0</v>
      </c>
      <c r="C1979" s="30">
        <f>C1978</f>
        <v>0</v>
      </c>
      <c r="D1979" s="30">
        <f>D1978</f>
        <v>0</v>
      </c>
      <c r="E1979" s="29">
        <f>E1978</f>
        <v>0</v>
      </c>
      <c r="F1979" s="29">
        <f>F1978</f>
        <v>0</v>
      </c>
      <c r="G1979" s="29" t="e">
        <f>IF(C1978=1,IF(D1978="BUY",E1978+(ROUND(F1978*G1978/B1978,0)*B1978),E1978-(ROUND(F1978*G1978/B1978,0)*B1978)),IF(D1978="BUY",E1978-(ROUND(F1978*G1978/B1978,0)*B1978),E1978+(ROUND(F1978*G1978/B1978,0)*B1978)))</f>
        <v>#DIV/0!</v>
      </c>
      <c r="H1979" s="29" t="e">
        <f>IF(C1978=1,IF(D1978="BUY",G1979-(ROUND(F1978*H1978/B1978,0)*B1978),G1979+(ROUND(F1978*H1978/B1978,0)*B1978)),IF(D1978="BUY",G1979+(ROUND(F1978*H1978/B1978,0)*B1978),G1979-(ROUND(F1978*H1978/B1978,0)*B1978)))</f>
        <v>#DIV/0!</v>
      </c>
      <c r="I1979" s="29" t="e">
        <f>IF(D1978="BUY",G1979+(ROUND(F1978*I1978/(B1978*100),0)*B1978),G1979-(ROUND(F1978*I1978/(B1978*100),0)*B1978))</f>
        <v>#DIV/0!</v>
      </c>
      <c r="J1979" s="29" t="e">
        <f>IF(C1978=1,IF(D1978="BUY",E1978+(ROUND(F1978*J1978/B1978,0)*B1978),E1978-(ROUND(F1978*J1978/B1978,0)*B1978)),IF(D1978="BUY",E1978-(ROUND(F1978*J1978/B1978,0)*B1978),E1978+(ROUND(F1978*J1978/B1978,0)*B1978)))</f>
        <v>#DIV/0!</v>
      </c>
      <c r="K1979" s="29" t="e">
        <f>IF(C1978=1,IF(D1978="BUY",E1978-(ROUND(F1978*K1978/B1978,0)*B1978),E1978+(ROUND(F1978*K1978/B1978,0)*B1978)),IF(D1978="BUY",E1978-(ROUND(F1978*K1978/B1978,0)*B1978),E1978+(ROUND(F1978*K1978/B1978,0)*B1978)))</f>
        <v>#DIV/0!</v>
      </c>
      <c r="L1979" s="29" t="e">
        <f t="shared" ref="L1979" si="2963">IF(D1979="BUY",I1979+(R1979*B1979),I1979-(R1979*B1979))</f>
        <v>#DIV/0!</v>
      </c>
      <c r="M1979" s="29" t="e">
        <f>IF(D1978="BUY",E1978+(ROUND(F1978*M1978/B1978,0)*B1978),E1978-(ROUND(F1978*M1978/B1978,0)*B1978))</f>
        <v>#DIV/0!</v>
      </c>
      <c r="N1979" s="29" t="e">
        <f>IF(D1978="BUY",E1978-(ROUND(F1978*N1978/B1978,0)*B1978),E1978+(ROUND(F1978*N1978/B1978,0)*B1978))</f>
        <v>#DIV/0!</v>
      </c>
      <c r="O1979" s="31" t="e">
        <f>IF(D1979="BUY",N1979-VLOOKUP(A1979,Symbols!A$1:D$1000,4,FALSE),N1979+VLOOKUP(A1979,Symbols!A$1:D$1000,4,FALSE))</f>
        <v>#DIV/0!</v>
      </c>
      <c r="P1979" s="29">
        <f>P1978</f>
        <v>0</v>
      </c>
      <c r="Q1979" s="29">
        <f>Q1978</f>
        <v>0</v>
      </c>
      <c r="R1979" s="29">
        <f>R1978</f>
        <v>0</v>
      </c>
      <c r="S1979" s="29">
        <f>S1978</f>
        <v>0</v>
      </c>
      <c r="T1979" s="29">
        <f>T1978</f>
        <v>0</v>
      </c>
      <c r="U1979" s="29" t="e">
        <f>DATEDIF(DATE(1970,1,1),U1978,"D")*86400</f>
        <v>#NUM!</v>
      </c>
      <c r="V1979" s="29">
        <f>HOUR(V1978)*3600+MINUTE(V1978)*60+SECOND(V1978)</f>
        <v>0</v>
      </c>
      <c r="W1979" s="29" t="e">
        <f>DATEDIF(DATE(1970,1,1),W1978,"D")*86400</f>
        <v>#NUM!</v>
      </c>
      <c r="X1979" s="29">
        <f>HOUR(X1978)*3600+MINUTE(X1978)*60+SECOND(X1978)</f>
        <v>0</v>
      </c>
      <c r="Y1979" s="31">
        <f>(Y1978*B1979)</f>
        <v>0</v>
      </c>
      <c r="Z1979" s="29">
        <f>Z1978</f>
        <v>0</v>
      </c>
      <c r="AA1979" s="29" t="e">
        <f>DATEDIF(DATE(1970,1,1),AA1978,"D")*86400</f>
        <v>#NUM!</v>
      </c>
      <c r="AB1979" s="29">
        <f>HOUR(AB1978)*3600+MINUTE(AB1978)*60+SECOND(AB1978)</f>
        <v>0</v>
      </c>
      <c r="AC1979" s="29">
        <f>AC1978</f>
        <v>0</v>
      </c>
    </row>
    <row r="1980" spans="1:29">
      <c r="A1980" s="23">
        <f>Parameters!A991</f>
        <v>0</v>
      </c>
      <c r="B1980" s="23">
        <f>Parameters!B991</f>
        <v>0</v>
      </c>
      <c r="C1980" s="24">
        <f>Parameters!C991</f>
        <v>0</v>
      </c>
      <c r="D1980" s="24">
        <f>Parameters!D991</f>
        <v>0</v>
      </c>
      <c r="E1980" s="23">
        <f>Parameters!E991</f>
        <v>0</v>
      </c>
      <c r="F1980" s="23">
        <f>Parameters!F991</f>
        <v>0</v>
      </c>
      <c r="G1980" s="25">
        <f>Parameters!G991</f>
        <v>0</v>
      </c>
      <c r="H1980" s="25">
        <f>Parameters!H991</f>
        <v>0</v>
      </c>
      <c r="I1980" s="25">
        <f>Parameters!I991</f>
        <v>0</v>
      </c>
      <c r="J1980" s="25">
        <f>Parameters!J991</f>
        <v>0</v>
      </c>
      <c r="K1980" s="25">
        <f>Parameters!K991</f>
        <v>0</v>
      </c>
      <c r="L1980" s="26" t="e">
        <f t="shared" ref="L1980" si="2964">L1981</f>
        <v>#DIV/0!</v>
      </c>
      <c r="M1980" s="25">
        <f>Parameters!L991</f>
        <v>0</v>
      </c>
      <c r="N1980" s="25">
        <f>Parameters!M991</f>
        <v>0</v>
      </c>
      <c r="O1980" s="26" t="e">
        <f t="shared" ref="O1980" si="2965">O1981</f>
        <v>#DIV/0!</v>
      </c>
      <c r="P1980" s="23">
        <f>Parameters!N991</f>
        <v>0</v>
      </c>
      <c r="Q1980" s="23">
        <f>Parameters!O991</f>
        <v>0</v>
      </c>
      <c r="R1980" s="23">
        <f>Parameters!P991</f>
        <v>0</v>
      </c>
      <c r="S1980" s="23">
        <f>Parameters!Q991</f>
        <v>0</v>
      </c>
      <c r="T1980" s="23">
        <f>Parameters!R991</f>
        <v>0</v>
      </c>
      <c r="U1980" s="27">
        <f>Parameters!S991</f>
        <v>0</v>
      </c>
      <c r="V1980" s="28">
        <f>Parameters!T991</f>
        <v>0</v>
      </c>
      <c r="W1980" s="27">
        <f>Parameters!U991</f>
        <v>0</v>
      </c>
      <c r="X1980" s="28">
        <f>Parameters!V991</f>
        <v>0</v>
      </c>
      <c r="Y1980" s="25">
        <f>Parameters!W991</f>
        <v>0</v>
      </c>
      <c r="Z1980" s="23">
        <f>Parameters!X991</f>
        <v>0</v>
      </c>
      <c r="AA1980" s="27">
        <f>Parameters!Y991</f>
        <v>0</v>
      </c>
      <c r="AB1980" s="28">
        <f>Parameters!Z991</f>
        <v>0</v>
      </c>
      <c r="AC1980" s="23">
        <f>Parameters!AA991</f>
        <v>0</v>
      </c>
    </row>
    <row r="1981" spans="1:29">
      <c r="A1981" s="29" t="str">
        <f>UPPER(A1980)</f>
        <v>0</v>
      </c>
      <c r="B1981" s="29">
        <f>B1980</f>
        <v>0</v>
      </c>
      <c r="C1981" s="30">
        <f>C1980</f>
        <v>0</v>
      </c>
      <c r="D1981" s="30">
        <f>D1980</f>
        <v>0</v>
      </c>
      <c r="E1981" s="29">
        <f>E1980</f>
        <v>0</v>
      </c>
      <c r="F1981" s="29">
        <f>F1980</f>
        <v>0</v>
      </c>
      <c r="G1981" s="29" t="e">
        <f>IF(C1980=1,IF(D1980="BUY",E1980+(ROUND(F1980*G1980/B1980,0)*B1980),E1980-(ROUND(F1980*G1980/B1980,0)*B1980)),IF(D1980="BUY",E1980-(ROUND(F1980*G1980/B1980,0)*B1980),E1980+(ROUND(F1980*G1980/B1980,0)*B1980)))</f>
        <v>#DIV/0!</v>
      </c>
      <c r="H1981" s="29" t="e">
        <f>IF(C1980=1,IF(D1980="BUY",G1981-(ROUND(F1980*H1980/B1980,0)*B1980),G1981+(ROUND(F1980*H1980/B1980,0)*B1980)),IF(D1980="BUY",G1981+(ROUND(F1980*H1980/B1980,0)*B1980),G1981-(ROUND(F1980*H1980/B1980,0)*B1980)))</f>
        <v>#DIV/0!</v>
      </c>
      <c r="I1981" s="29" t="e">
        <f>IF(D1980="BUY",G1981+(ROUND(F1980*I1980/(B1980*100),0)*B1980),G1981-(ROUND(F1980*I1980/(B1980*100),0)*B1980))</f>
        <v>#DIV/0!</v>
      </c>
      <c r="J1981" s="29" t="e">
        <f>IF(C1980=1,IF(D1980="BUY",E1980+(ROUND(F1980*J1980/B1980,0)*B1980),E1980-(ROUND(F1980*J1980/B1980,0)*B1980)),IF(D1980="BUY",E1980-(ROUND(F1980*J1980/B1980,0)*B1980),E1980+(ROUND(F1980*J1980/B1980,0)*B1980)))</f>
        <v>#DIV/0!</v>
      </c>
      <c r="K1981" s="29" t="e">
        <f>IF(C1980=1,IF(D1980="BUY",E1980-(ROUND(F1980*K1980/B1980,0)*B1980),E1980+(ROUND(F1980*K1980/B1980,0)*B1980)),IF(D1980="BUY",E1980-(ROUND(F1980*K1980/B1980,0)*B1980),E1980+(ROUND(F1980*K1980/B1980,0)*B1980)))</f>
        <v>#DIV/0!</v>
      </c>
      <c r="L1981" s="29" t="e">
        <f t="shared" ref="L1981" si="2966">IF(D1981="BUY",I1981+(R1981*B1981),I1981-(R1981*B1981))</f>
        <v>#DIV/0!</v>
      </c>
      <c r="M1981" s="29" t="e">
        <f>IF(D1980="BUY",E1980+(ROUND(F1980*M1980/B1980,0)*B1980),E1980-(ROUND(F1980*M1980/B1980,0)*B1980))</f>
        <v>#DIV/0!</v>
      </c>
      <c r="N1981" s="29" t="e">
        <f>IF(D1980="BUY",E1980-(ROUND(F1980*N1980/B1980,0)*B1980),E1980+(ROUND(F1980*N1980/B1980,0)*B1980))</f>
        <v>#DIV/0!</v>
      </c>
      <c r="O1981" s="31" t="e">
        <f>IF(D1981="BUY",N1981-VLOOKUP(A1981,Symbols!A$1:D$1000,4,FALSE),N1981+VLOOKUP(A1981,Symbols!A$1:D$1000,4,FALSE))</f>
        <v>#DIV/0!</v>
      </c>
      <c r="P1981" s="29">
        <f>P1980</f>
        <v>0</v>
      </c>
      <c r="Q1981" s="29">
        <f>Q1980</f>
        <v>0</v>
      </c>
      <c r="R1981" s="29">
        <f>R1980</f>
        <v>0</v>
      </c>
      <c r="S1981" s="29">
        <f>S1980</f>
        <v>0</v>
      </c>
      <c r="T1981" s="29">
        <f>T1980</f>
        <v>0</v>
      </c>
      <c r="U1981" s="29" t="e">
        <f>DATEDIF(DATE(1970,1,1),U1980,"D")*86400</f>
        <v>#NUM!</v>
      </c>
      <c r="V1981" s="29">
        <f>HOUR(V1980)*3600+MINUTE(V1980)*60+SECOND(V1980)</f>
        <v>0</v>
      </c>
      <c r="W1981" s="29" t="e">
        <f>DATEDIF(DATE(1970,1,1),W1980,"D")*86400</f>
        <v>#NUM!</v>
      </c>
      <c r="X1981" s="29">
        <f>HOUR(X1980)*3600+MINUTE(X1980)*60+SECOND(X1980)</f>
        <v>0</v>
      </c>
      <c r="Y1981" s="31">
        <f>(Y1980*B1981)</f>
        <v>0</v>
      </c>
      <c r="Z1981" s="29">
        <f>Z1980</f>
        <v>0</v>
      </c>
      <c r="AA1981" s="29" t="e">
        <f>DATEDIF(DATE(1970,1,1),AA1980,"D")*86400</f>
        <v>#NUM!</v>
      </c>
      <c r="AB1981" s="29">
        <f>HOUR(AB1980)*3600+MINUTE(AB1980)*60+SECOND(AB1980)</f>
        <v>0</v>
      </c>
      <c r="AC1981" s="29">
        <f>AC1980</f>
        <v>0</v>
      </c>
    </row>
    <row r="1982" spans="1:29">
      <c r="A1982" s="23">
        <f>Parameters!A992</f>
        <v>0</v>
      </c>
      <c r="B1982" s="23">
        <f>Parameters!B992</f>
        <v>0</v>
      </c>
      <c r="C1982" s="24">
        <f>Parameters!C992</f>
        <v>0</v>
      </c>
      <c r="D1982" s="24">
        <f>Parameters!D992</f>
        <v>0</v>
      </c>
      <c r="E1982" s="23">
        <f>Parameters!E992</f>
        <v>0</v>
      </c>
      <c r="F1982" s="23">
        <f>Parameters!F992</f>
        <v>0</v>
      </c>
      <c r="G1982" s="25">
        <f>Parameters!G992</f>
        <v>0</v>
      </c>
      <c r="H1982" s="25">
        <f>Parameters!H992</f>
        <v>0</v>
      </c>
      <c r="I1982" s="25">
        <f>Parameters!I992</f>
        <v>0</v>
      </c>
      <c r="J1982" s="25">
        <f>Parameters!J992</f>
        <v>0</v>
      </c>
      <c r="K1982" s="25">
        <f>Parameters!K992</f>
        <v>0</v>
      </c>
      <c r="L1982" s="26" t="e">
        <f t="shared" ref="L1982" si="2967">L1983</f>
        <v>#DIV/0!</v>
      </c>
      <c r="M1982" s="25">
        <f>Parameters!L992</f>
        <v>0</v>
      </c>
      <c r="N1982" s="25">
        <f>Parameters!M992</f>
        <v>0</v>
      </c>
      <c r="O1982" s="26" t="e">
        <f t="shared" ref="O1982" si="2968">O1983</f>
        <v>#DIV/0!</v>
      </c>
      <c r="P1982" s="23">
        <f>Parameters!N992</f>
        <v>0</v>
      </c>
      <c r="Q1982" s="23">
        <f>Parameters!O992</f>
        <v>0</v>
      </c>
      <c r="R1982" s="23">
        <f>Parameters!P992</f>
        <v>0</v>
      </c>
      <c r="S1982" s="23">
        <f>Parameters!Q992</f>
        <v>0</v>
      </c>
      <c r="T1982" s="23">
        <f>Parameters!R992</f>
        <v>0</v>
      </c>
      <c r="U1982" s="27">
        <f>Parameters!S992</f>
        <v>0</v>
      </c>
      <c r="V1982" s="28">
        <f>Parameters!T992</f>
        <v>0</v>
      </c>
      <c r="W1982" s="27">
        <f>Parameters!U992</f>
        <v>0</v>
      </c>
      <c r="X1982" s="28">
        <f>Parameters!V992</f>
        <v>0</v>
      </c>
      <c r="Y1982" s="25">
        <f>Parameters!W992</f>
        <v>0</v>
      </c>
      <c r="Z1982" s="23">
        <f>Parameters!X992</f>
        <v>0</v>
      </c>
      <c r="AA1982" s="27">
        <f>Parameters!Y992</f>
        <v>0</v>
      </c>
      <c r="AB1982" s="28">
        <f>Parameters!Z992</f>
        <v>0</v>
      </c>
      <c r="AC1982" s="23">
        <f>Parameters!AA992</f>
        <v>0</v>
      </c>
    </row>
    <row r="1983" spans="1:29">
      <c r="A1983" s="29" t="str">
        <f>UPPER(A1982)</f>
        <v>0</v>
      </c>
      <c r="B1983" s="29">
        <f>B1982</f>
        <v>0</v>
      </c>
      <c r="C1983" s="30">
        <f>C1982</f>
        <v>0</v>
      </c>
      <c r="D1983" s="30">
        <f>D1982</f>
        <v>0</v>
      </c>
      <c r="E1983" s="29">
        <f>E1982</f>
        <v>0</v>
      </c>
      <c r="F1983" s="29">
        <f>F1982</f>
        <v>0</v>
      </c>
      <c r="G1983" s="29" t="e">
        <f>IF(C1982=1,IF(D1982="BUY",E1982+(ROUND(F1982*G1982/B1982,0)*B1982),E1982-(ROUND(F1982*G1982/B1982,0)*B1982)),IF(D1982="BUY",E1982-(ROUND(F1982*G1982/B1982,0)*B1982),E1982+(ROUND(F1982*G1982/B1982,0)*B1982)))</f>
        <v>#DIV/0!</v>
      </c>
      <c r="H1983" s="29" t="e">
        <f>IF(C1982=1,IF(D1982="BUY",G1983-(ROUND(F1982*H1982/B1982,0)*B1982),G1983+(ROUND(F1982*H1982/B1982,0)*B1982)),IF(D1982="BUY",G1983+(ROUND(F1982*H1982/B1982,0)*B1982),G1983-(ROUND(F1982*H1982/B1982,0)*B1982)))</f>
        <v>#DIV/0!</v>
      </c>
      <c r="I1983" s="29" t="e">
        <f>IF(D1982="BUY",G1983+(ROUND(F1982*I1982/(B1982*100),0)*B1982),G1983-(ROUND(F1982*I1982/(B1982*100),0)*B1982))</f>
        <v>#DIV/0!</v>
      </c>
      <c r="J1983" s="29" t="e">
        <f>IF(C1982=1,IF(D1982="BUY",E1982+(ROUND(F1982*J1982/B1982,0)*B1982),E1982-(ROUND(F1982*J1982/B1982,0)*B1982)),IF(D1982="BUY",E1982-(ROUND(F1982*J1982/B1982,0)*B1982),E1982+(ROUND(F1982*J1982/B1982,0)*B1982)))</f>
        <v>#DIV/0!</v>
      </c>
      <c r="K1983" s="29" t="e">
        <f>IF(C1982=1,IF(D1982="BUY",E1982-(ROUND(F1982*K1982/B1982,0)*B1982),E1982+(ROUND(F1982*K1982/B1982,0)*B1982)),IF(D1982="BUY",E1982-(ROUND(F1982*K1982/B1982,0)*B1982),E1982+(ROUND(F1982*K1982/B1982,0)*B1982)))</f>
        <v>#DIV/0!</v>
      </c>
      <c r="L1983" s="29" t="e">
        <f t="shared" ref="L1983" si="2969">IF(D1983="BUY",I1983+(R1983*B1983),I1983-(R1983*B1983))</f>
        <v>#DIV/0!</v>
      </c>
      <c r="M1983" s="29" t="e">
        <f>IF(D1982="BUY",E1982+(ROUND(F1982*M1982/B1982,0)*B1982),E1982-(ROUND(F1982*M1982/B1982,0)*B1982))</f>
        <v>#DIV/0!</v>
      </c>
      <c r="N1983" s="29" t="e">
        <f>IF(D1982="BUY",E1982-(ROUND(F1982*N1982/B1982,0)*B1982),E1982+(ROUND(F1982*N1982/B1982,0)*B1982))</f>
        <v>#DIV/0!</v>
      </c>
      <c r="O1983" s="31" t="e">
        <f>IF(D1983="BUY",N1983-VLOOKUP(A1983,Symbols!A$1:D$1000,4,FALSE),N1983+VLOOKUP(A1983,Symbols!A$1:D$1000,4,FALSE))</f>
        <v>#DIV/0!</v>
      </c>
      <c r="P1983" s="29">
        <f>P1982</f>
        <v>0</v>
      </c>
      <c r="Q1983" s="29">
        <f>Q1982</f>
        <v>0</v>
      </c>
      <c r="R1983" s="29">
        <f>R1982</f>
        <v>0</v>
      </c>
      <c r="S1983" s="29">
        <f>S1982</f>
        <v>0</v>
      </c>
      <c r="T1983" s="29">
        <f>T1982</f>
        <v>0</v>
      </c>
      <c r="U1983" s="29" t="e">
        <f>DATEDIF(DATE(1970,1,1),U1982,"D")*86400</f>
        <v>#NUM!</v>
      </c>
      <c r="V1983" s="29">
        <f>HOUR(V1982)*3600+MINUTE(V1982)*60+SECOND(V1982)</f>
        <v>0</v>
      </c>
      <c r="W1983" s="29" t="e">
        <f>DATEDIF(DATE(1970,1,1),W1982,"D")*86400</f>
        <v>#NUM!</v>
      </c>
      <c r="X1983" s="29">
        <f>HOUR(X1982)*3600+MINUTE(X1982)*60+SECOND(X1982)</f>
        <v>0</v>
      </c>
      <c r="Y1983" s="31">
        <f>(Y1982*B1983)</f>
        <v>0</v>
      </c>
      <c r="Z1983" s="29">
        <f>Z1982</f>
        <v>0</v>
      </c>
      <c r="AA1983" s="29" t="e">
        <f>DATEDIF(DATE(1970,1,1),AA1982,"D")*86400</f>
        <v>#NUM!</v>
      </c>
      <c r="AB1983" s="29">
        <f>HOUR(AB1982)*3600+MINUTE(AB1982)*60+SECOND(AB1982)</f>
        <v>0</v>
      </c>
      <c r="AC1983" s="29">
        <f>AC1982</f>
        <v>0</v>
      </c>
    </row>
    <row r="1984" spans="1:29">
      <c r="A1984" s="23">
        <f>Parameters!A993</f>
        <v>0</v>
      </c>
      <c r="B1984" s="23">
        <f>Parameters!B993</f>
        <v>0</v>
      </c>
      <c r="C1984" s="24">
        <f>Parameters!C993</f>
        <v>0</v>
      </c>
      <c r="D1984" s="24">
        <f>Parameters!D993</f>
        <v>0</v>
      </c>
      <c r="E1984" s="23">
        <f>Parameters!E993</f>
        <v>0</v>
      </c>
      <c r="F1984" s="23">
        <f>Parameters!F993</f>
        <v>0</v>
      </c>
      <c r="G1984" s="25">
        <f>Parameters!G993</f>
        <v>0</v>
      </c>
      <c r="H1984" s="25">
        <f>Parameters!H993</f>
        <v>0</v>
      </c>
      <c r="I1984" s="25">
        <f>Parameters!I993</f>
        <v>0</v>
      </c>
      <c r="J1984" s="25">
        <f>Parameters!J993</f>
        <v>0</v>
      </c>
      <c r="K1984" s="25">
        <f>Parameters!K993</f>
        <v>0</v>
      </c>
      <c r="L1984" s="26" t="e">
        <f t="shared" ref="L1984" si="2970">L1985</f>
        <v>#DIV/0!</v>
      </c>
      <c r="M1984" s="25">
        <f>Parameters!L993</f>
        <v>0</v>
      </c>
      <c r="N1984" s="25">
        <f>Parameters!M993</f>
        <v>0</v>
      </c>
      <c r="O1984" s="26" t="e">
        <f t="shared" ref="O1984" si="2971">O1985</f>
        <v>#DIV/0!</v>
      </c>
      <c r="P1984" s="23">
        <f>Parameters!N993</f>
        <v>0</v>
      </c>
      <c r="Q1984" s="23">
        <f>Parameters!O993</f>
        <v>0</v>
      </c>
      <c r="R1984" s="23">
        <f>Parameters!P993</f>
        <v>0</v>
      </c>
      <c r="S1984" s="23">
        <f>Parameters!Q993</f>
        <v>0</v>
      </c>
      <c r="T1984" s="23">
        <f>Parameters!R993</f>
        <v>0</v>
      </c>
      <c r="U1984" s="27">
        <f>Parameters!S993</f>
        <v>0</v>
      </c>
      <c r="V1984" s="28">
        <f>Parameters!T993</f>
        <v>0</v>
      </c>
      <c r="W1984" s="27">
        <f>Parameters!U993</f>
        <v>0</v>
      </c>
      <c r="X1984" s="28">
        <f>Parameters!V993</f>
        <v>0</v>
      </c>
      <c r="Y1984" s="25">
        <f>Parameters!W993</f>
        <v>0</v>
      </c>
      <c r="Z1984" s="23">
        <f>Parameters!X993</f>
        <v>0</v>
      </c>
      <c r="AA1984" s="27">
        <f>Parameters!Y993</f>
        <v>0</v>
      </c>
      <c r="AB1984" s="28">
        <f>Parameters!Z993</f>
        <v>0</v>
      </c>
      <c r="AC1984" s="23">
        <f>Parameters!AA993</f>
        <v>0</v>
      </c>
    </row>
    <row r="1985" spans="1:29">
      <c r="A1985" s="29" t="str">
        <f>UPPER(A1984)</f>
        <v>0</v>
      </c>
      <c r="B1985" s="29">
        <f>B1984</f>
        <v>0</v>
      </c>
      <c r="C1985" s="30">
        <f>C1984</f>
        <v>0</v>
      </c>
      <c r="D1985" s="30">
        <f>D1984</f>
        <v>0</v>
      </c>
      <c r="E1985" s="29">
        <f>E1984</f>
        <v>0</v>
      </c>
      <c r="F1985" s="29">
        <f>F1984</f>
        <v>0</v>
      </c>
      <c r="G1985" s="29" t="e">
        <f>IF(C1984=1,IF(D1984="BUY",E1984+(ROUND(F1984*G1984/B1984,0)*B1984),E1984-(ROUND(F1984*G1984/B1984,0)*B1984)),IF(D1984="BUY",E1984-(ROUND(F1984*G1984/B1984,0)*B1984),E1984+(ROUND(F1984*G1984/B1984,0)*B1984)))</f>
        <v>#DIV/0!</v>
      </c>
      <c r="H1985" s="29" t="e">
        <f>IF(C1984=1,IF(D1984="BUY",G1985-(ROUND(F1984*H1984/B1984,0)*B1984),G1985+(ROUND(F1984*H1984/B1984,0)*B1984)),IF(D1984="BUY",G1985+(ROUND(F1984*H1984/B1984,0)*B1984),G1985-(ROUND(F1984*H1984/B1984,0)*B1984)))</f>
        <v>#DIV/0!</v>
      </c>
      <c r="I1985" s="29" t="e">
        <f>IF(D1984="BUY",G1985+(ROUND(F1984*I1984/(B1984*100),0)*B1984),G1985-(ROUND(F1984*I1984/(B1984*100),0)*B1984))</f>
        <v>#DIV/0!</v>
      </c>
      <c r="J1985" s="29" t="e">
        <f>IF(C1984=1,IF(D1984="BUY",E1984+(ROUND(F1984*J1984/B1984,0)*B1984),E1984-(ROUND(F1984*J1984/B1984,0)*B1984)),IF(D1984="BUY",E1984-(ROUND(F1984*J1984/B1984,0)*B1984),E1984+(ROUND(F1984*J1984/B1984,0)*B1984)))</f>
        <v>#DIV/0!</v>
      </c>
      <c r="K1985" s="29" t="e">
        <f>IF(C1984=1,IF(D1984="BUY",E1984-(ROUND(F1984*K1984/B1984,0)*B1984),E1984+(ROUND(F1984*K1984/B1984,0)*B1984)),IF(D1984="BUY",E1984-(ROUND(F1984*K1984/B1984,0)*B1984),E1984+(ROUND(F1984*K1984/B1984,0)*B1984)))</f>
        <v>#DIV/0!</v>
      </c>
      <c r="L1985" s="29" t="e">
        <f t="shared" ref="L1985" si="2972">IF(D1985="BUY",I1985+(R1985*B1985),I1985-(R1985*B1985))</f>
        <v>#DIV/0!</v>
      </c>
      <c r="M1985" s="29" t="e">
        <f>IF(D1984="BUY",E1984+(ROUND(F1984*M1984/B1984,0)*B1984),E1984-(ROUND(F1984*M1984/B1984,0)*B1984))</f>
        <v>#DIV/0!</v>
      </c>
      <c r="N1985" s="29" t="e">
        <f>IF(D1984="BUY",E1984-(ROUND(F1984*N1984/B1984,0)*B1984),E1984+(ROUND(F1984*N1984/B1984,0)*B1984))</f>
        <v>#DIV/0!</v>
      </c>
      <c r="O1985" s="31" t="e">
        <f>IF(D1985="BUY",N1985-VLOOKUP(A1985,Symbols!A$1:D$1000,4,FALSE),N1985+VLOOKUP(A1985,Symbols!A$1:D$1000,4,FALSE))</f>
        <v>#DIV/0!</v>
      </c>
      <c r="P1985" s="29">
        <f>P1984</f>
        <v>0</v>
      </c>
      <c r="Q1985" s="29">
        <f>Q1984</f>
        <v>0</v>
      </c>
      <c r="R1985" s="29">
        <f>R1984</f>
        <v>0</v>
      </c>
      <c r="S1985" s="29">
        <f>S1984</f>
        <v>0</v>
      </c>
      <c r="T1985" s="29">
        <f>T1984</f>
        <v>0</v>
      </c>
      <c r="U1985" s="29" t="e">
        <f>DATEDIF(DATE(1970,1,1),U1984,"D")*86400</f>
        <v>#NUM!</v>
      </c>
      <c r="V1985" s="29">
        <f>HOUR(V1984)*3600+MINUTE(V1984)*60+SECOND(V1984)</f>
        <v>0</v>
      </c>
      <c r="W1985" s="29" t="e">
        <f>DATEDIF(DATE(1970,1,1),W1984,"D")*86400</f>
        <v>#NUM!</v>
      </c>
      <c r="X1985" s="29">
        <f>HOUR(X1984)*3600+MINUTE(X1984)*60+SECOND(X1984)</f>
        <v>0</v>
      </c>
      <c r="Y1985" s="31">
        <f>(Y1984*B1985)</f>
        <v>0</v>
      </c>
      <c r="Z1985" s="29">
        <f>Z1984</f>
        <v>0</v>
      </c>
      <c r="AA1985" s="29" t="e">
        <f>DATEDIF(DATE(1970,1,1),AA1984,"D")*86400</f>
        <v>#NUM!</v>
      </c>
      <c r="AB1985" s="29">
        <f>HOUR(AB1984)*3600+MINUTE(AB1984)*60+SECOND(AB1984)</f>
        <v>0</v>
      </c>
      <c r="AC1985" s="29">
        <f>AC1984</f>
        <v>0</v>
      </c>
    </row>
    <row r="1986" spans="1:29">
      <c r="A1986" s="23">
        <f>Parameters!A994</f>
        <v>0</v>
      </c>
      <c r="B1986" s="23">
        <f>Parameters!B994</f>
        <v>0</v>
      </c>
      <c r="C1986" s="24">
        <f>Parameters!C994</f>
        <v>0</v>
      </c>
      <c r="D1986" s="24">
        <f>Parameters!D994</f>
        <v>0</v>
      </c>
      <c r="E1986" s="23">
        <f>Parameters!E994</f>
        <v>0</v>
      </c>
      <c r="F1986" s="23">
        <f>Parameters!F994</f>
        <v>0</v>
      </c>
      <c r="G1986" s="25">
        <f>Parameters!G994</f>
        <v>0</v>
      </c>
      <c r="H1986" s="25">
        <f>Parameters!H994</f>
        <v>0</v>
      </c>
      <c r="I1986" s="25">
        <f>Parameters!I994</f>
        <v>0</v>
      </c>
      <c r="J1986" s="25">
        <f>Parameters!J994</f>
        <v>0</v>
      </c>
      <c r="K1986" s="25">
        <f>Parameters!K994</f>
        <v>0</v>
      </c>
      <c r="L1986" s="26" t="e">
        <f t="shared" ref="L1986" si="2973">L1987</f>
        <v>#DIV/0!</v>
      </c>
      <c r="M1986" s="25">
        <f>Parameters!L994</f>
        <v>0</v>
      </c>
      <c r="N1986" s="25">
        <f>Parameters!M994</f>
        <v>0</v>
      </c>
      <c r="O1986" s="26" t="e">
        <f t="shared" ref="O1986" si="2974">O1987</f>
        <v>#DIV/0!</v>
      </c>
      <c r="P1986" s="23">
        <f>Parameters!N994</f>
        <v>0</v>
      </c>
      <c r="Q1986" s="23">
        <f>Parameters!O994</f>
        <v>0</v>
      </c>
      <c r="R1986" s="23">
        <f>Parameters!P994</f>
        <v>0</v>
      </c>
      <c r="S1986" s="23">
        <f>Parameters!Q994</f>
        <v>0</v>
      </c>
      <c r="T1986" s="23">
        <f>Parameters!R994</f>
        <v>0</v>
      </c>
      <c r="U1986" s="27">
        <f>Parameters!S994</f>
        <v>0</v>
      </c>
      <c r="V1986" s="28">
        <f>Parameters!T994</f>
        <v>0</v>
      </c>
      <c r="W1986" s="27">
        <f>Parameters!U994</f>
        <v>0</v>
      </c>
      <c r="X1986" s="28">
        <f>Parameters!V994</f>
        <v>0</v>
      </c>
      <c r="Y1986" s="25">
        <f>Parameters!W994</f>
        <v>0</v>
      </c>
      <c r="Z1986" s="23">
        <f>Parameters!X994</f>
        <v>0</v>
      </c>
      <c r="AA1986" s="27">
        <f>Parameters!Y994</f>
        <v>0</v>
      </c>
      <c r="AB1986" s="28">
        <f>Parameters!Z994</f>
        <v>0</v>
      </c>
      <c r="AC1986" s="23">
        <f>Parameters!AA994</f>
        <v>0</v>
      </c>
    </row>
    <row r="1987" spans="1:29">
      <c r="A1987" s="29" t="str">
        <f>UPPER(A1986)</f>
        <v>0</v>
      </c>
      <c r="B1987" s="29">
        <f>B1986</f>
        <v>0</v>
      </c>
      <c r="C1987" s="30">
        <f>C1986</f>
        <v>0</v>
      </c>
      <c r="D1987" s="30">
        <f>D1986</f>
        <v>0</v>
      </c>
      <c r="E1987" s="29">
        <f>E1986</f>
        <v>0</v>
      </c>
      <c r="F1987" s="29">
        <f>F1986</f>
        <v>0</v>
      </c>
      <c r="G1987" s="29" t="e">
        <f>IF(C1986=1,IF(D1986="BUY",E1986+(ROUND(F1986*G1986/B1986,0)*B1986),E1986-(ROUND(F1986*G1986/B1986,0)*B1986)),IF(D1986="BUY",E1986-(ROUND(F1986*G1986/B1986,0)*B1986),E1986+(ROUND(F1986*G1986/B1986,0)*B1986)))</f>
        <v>#DIV/0!</v>
      </c>
      <c r="H1987" s="29" t="e">
        <f>IF(C1986=1,IF(D1986="BUY",G1987-(ROUND(F1986*H1986/B1986,0)*B1986),G1987+(ROUND(F1986*H1986/B1986,0)*B1986)),IF(D1986="BUY",G1987+(ROUND(F1986*H1986/B1986,0)*B1986),G1987-(ROUND(F1986*H1986/B1986,0)*B1986)))</f>
        <v>#DIV/0!</v>
      </c>
      <c r="I1987" s="29" t="e">
        <f>IF(D1986="BUY",G1987+(ROUND(F1986*I1986/(B1986*100),0)*B1986),G1987-(ROUND(F1986*I1986/(B1986*100),0)*B1986))</f>
        <v>#DIV/0!</v>
      </c>
      <c r="J1987" s="29" t="e">
        <f>IF(C1986=1,IF(D1986="BUY",E1986+(ROUND(F1986*J1986/B1986,0)*B1986),E1986-(ROUND(F1986*J1986/B1986,0)*B1986)),IF(D1986="BUY",E1986-(ROUND(F1986*J1986/B1986,0)*B1986),E1986+(ROUND(F1986*J1986/B1986,0)*B1986)))</f>
        <v>#DIV/0!</v>
      </c>
      <c r="K1987" s="29" t="e">
        <f>IF(C1986=1,IF(D1986="BUY",E1986-(ROUND(F1986*K1986/B1986,0)*B1986),E1986+(ROUND(F1986*K1986/B1986,0)*B1986)),IF(D1986="BUY",E1986-(ROUND(F1986*K1986/B1986,0)*B1986),E1986+(ROUND(F1986*K1986/B1986,0)*B1986)))</f>
        <v>#DIV/0!</v>
      </c>
      <c r="L1987" s="29" t="e">
        <f t="shared" ref="L1987" si="2975">IF(D1987="BUY",I1987+(R1987*B1987),I1987-(R1987*B1987))</f>
        <v>#DIV/0!</v>
      </c>
      <c r="M1987" s="29" t="e">
        <f>IF(D1986="BUY",E1986+(ROUND(F1986*M1986/B1986,0)*B1986),E1986-(ROUND(F1986*M1986/B1986,0)*B1986))</f>
        <v>#DIV/0!</v>
      </c>
      <c r="N1987" s="29" t="e">
        <f>IF(D1986="BUY",E1986-(ROUND(F1986*N1986/B1986,0)*B1986),E1986+(ROUND(F1986*N1986/B1986,0)*B1986))</f>
        <v>#DIV/0!</v>
      </c>
      <c r="O1987" s="31" t="e">
        <f>IF(D1987="BUY",N1987-VLOOKUP(A1987,Symbols!A$1:D$1000,4,FALSE),N1987+VLOOKUP(A1987,Symbols!A$1:D$1000,4,FALSE))</f>
        <v>#DIV/0!</v>
      </c>
      <c r="P1987" s="29">
        <f>P1986</f>
        <v>0</v>
      </c>
      <c r="Q1987" s="29">
        <f>Q1986</f>
        <v>0</v>
      </c>
      <c r="R1987" s="29">
        <f>R1986</f>
        <v>0</v>
      </c>
      <c r="S1987" s="29">
        <f>S1986</f>
        <v>0</v>
      </c>
      <c r="T1987" s="29">
        <f>T1986</f>
        <v>0</v>
      </c>
      <c r="U1987" s="29" t="e">
        <f>DATEDIF(DATE(1970,1,1),U1986,"D")*86400</f>
        <v>#NUM!</v>
      </c>
      <c r="V1987" s="29">
        <f>HOUR(V1986)*3600+MINUTE(V1986)*60+SECOND(V1986)</f>
        <v>0</v>
      </c>
      <c r="W1987" s="29" t="e">
        <f>DATEDIF(DATE(1970,1,1),W1986,"D")*86400</f>
        <v>#NUM!</v>
      </c>
      <c r="X1987" s="29">
        <f>HOUR(X1986)*3600+MINUTE(X1986)*60+SECOND(X1986)</f>
        <v>0</v>
      </c>
      <c r="Y1987" s="31">
        <f>(Y1986*B1987)</f>
        <v>0</v>
      </c>
      <c r="Z1987" s="29">
        <f>Z1986</f>
        <v>0</v>
      </c>
      <c r="AA1987" s="29" t="e">
        <f>DATEDIF(DATE(1970,1,1),AA1986,"D")*86400</f>
        <v>#NUM!</v>
      </c>
      <c r="AB1987" s="29">
        <f>HOUR(AB1986)*3600+MINUTE(AB1986)*60+SECOND(AB1986)</f>
        <v>0</v>
      </c>
      <c r="AC1987" s="29">
        <f>AC1986</f>
        <v>0</v>
      </c>
    </row>
    <row r="1988" spans="1:29">
      <c r="A1988" s="23">
        <f>Parameters!A995</f>
        <v>0</v>
      </c>
      <c r="B1988" s="23">
        <f>Parameters!B995</f>
        <v>0</v>
      </c>
      <c r="C1988" s="24">
        <f>Parameters!C995</f>
        <v>0</v>
      </c>
      <c r="D1988" s="24">
        <f>Parameters!D995</f>
        <v>0</v>
      </c>
      <c r="E1988" s="23">
        <f>Parameters!E995</f>
        <v>0</v>
      </c>
      <c r="F1988" s="23">
        <f>Parameters!F995</f>
        <v>0</v>
      </c>
      <c r="G1988" s="25">
        <f>Parameters!G995</f>
        <v>0</v>
      </c>
      <c r="H1988" s="25">
        <f>Parameters!H995</f>
        <v>0</v>
      </c>
      <c r="I1988" s="25">
        <f>Parameters!I995</f>
        <v>0</v>
      </c>
      <c r="J1988" s="25">
        <f>Parameters!J995</f>
        <v>0</v>
      </c>
      <c r="K1988" s="25">
        <f>Parameters!K995</f>
        <v>0</v>
      </c>
      <c r="L1988" s="26" t="e">
        <f t="shared" ref="L1988" si="2976">L1989</f>
        <v>#DIV/0!</v>
      </c>
      <c r="M1988" s="25">
        <f>Parameters!L995</f>
        <v>0</v>
      </c>
      <c r="N1988" s="25">
        <f>Parameters!M995</f>
        <v>0</v>
      </c>
      <c r="O1988" s="26" t="e">
        <f t="shared" ref="O1988" si="2977">O1989</f>
        <v>#DIV/0!</v>
      </c>
      <c r="P1988" s="23">
        <f>Parameters!N995</f>
        <v>0</v>
      </c>
      <c r="Q1988" s="23">
        <f>Parameters!O995</f>
        <v>0</v>
      </c>
      <c r="R1988" s="23">
        <f>Parameters!P995</f>
        <v>0</v>
      </c>
      <c r="S1988" s="23">
        <f>Parameters!Q995</f>
        <v>0</v>
      </c>
      <c r="T1988" s="23">
        <f>Parameters!R995</f>
        <v>0</v>
      </c>
      <c r="U1988" s="27">
        <f>Parameters!S995</f>
        <v>0</v>
      </c>
      <c r="V1988" s="28">
        <f>Parameters!T995</f>
        <v>0</v>
      </c>
      <c r="W1988" s="27">
        <f>Parameters!U995</f>
        <v>0</v>
      </c>
      <c r="X1988" s="28">
        <f>Parameters!V995</f>
        <v>0</v>
      </c>
      <c r="Y1988" s="25">
        <f>Parameters!W995</f>
        <v>0</v>
      </c>
      <c r="Z1988" s="23">
        <f>Parameters!X995</f>
        <v>0</v>
      </c>
      <c r="AA1988" s="27">
        <f>Parameters!Y995</f>
        <v>0</v>
      </c>
      <c r="AB1988" s="28">
        <f>Parameters!Z995</f>
        <v>0</v>
      </c>
      <c r="AC1988" s="23">
        <f>Parameters!AA995</f>
        <v>0</v>
      </c>
    </row>
    <row r="1989" spans="1:29">
      <c r="A1989" s="29" t="str">
        <f>UPPER(A1988)</f>
        <v>0</v>
      </c>
      <c r="B1989" s="29">
        <f>B1988</f>
        <v>0</v>
      </c>
      <c r="C1989" s="30">
        <f>C1988</f>
        <v>0</v>
      </c>
      <c r="D1989" s="30">
        <f>D1988</f>
        <v>0</v>
      </c>
      <c r="E1989" s="29">
        <f>E1988</f>
        <v>0</v>
      </c>
      <c r="F1989" s="29">
        <f>F1988</f>
        <v>0</v>
      </c>
      <c r="G1989" s="29" t="e">
        <f>IF(C1988=1,IF(D1988="BUY",E1988+(ROUND(F1988*G1988/B1988,0)*B1988),E1988-(ROUND(F1988*G1988/B1988,0)*B1988)),IF(D1988="BUY",E1988-(ROUND(F1988*G1988/B1988,0)*B1988),E1988+(ROUND(F1988*G1988/B1988,0)*B1988)))</f>
        <v>#DIV/0!</v>
      </c>
      <c r="H1989" s="29" t="e">
        <f>IF(C1988=1,IF(D1988="BUY",G1989-(ROUND(F1988*H1988/B1988,0)*B1988),G1989+(ROUND(F1988*H1988/B1988,0)*B1988)),IF(D1988="BUY",G1989+(ROUND(F1988*H1988/B1988,0)*B1988),G1989-(ROUND(F1988*H1988/B1988,0)*B1988)))</f>
        <v>#DIV/0!</v>
      </c>
      <c r="I1989" s="29" t="e">
        <f>IF(D1988="BUY",G1989+(ROUND(F1988*I1988/(B1988*100),0)*B1988),G1989-(ROUND(F1988*I1988/(B1988*100),0)*B1988))</f>
        <v>#DIV/0!</v>
      </c>
      <c r="J1989" s="29" t="e">
        <f>IF(C1988=1,IF(D1988="BUY",E1988+(ROUND(F1988*J1988/B1988,0)*B1988),E1988-(ROUND(F1988*J1988/B1988,0)*B1988)),IF(D1988="BUY",E1988-(ROUND(F1988*J1988/B1988,0)*B1988),E1988+(ROUND(F1988*J1988/B1988,0)*B1988)))</f>
        <v>#DIV/0!</v>
      </c>
      <c r="K1989" s="29" t="e">
        <f>IF(C1988=1,IF(D1988="BUY",E1988-(ROUND(F1988*K1988/B1988,0)*B1988),E1988+(ROUND(F1988*K1988/B1988,0)*B1988)),IF(D1988="BUY",E1988-(ROUND(F1988*K1988/B1988,0)*B1988),E1988+(ROUND(F1988*K1988/B1988,0)*B1988)))</f>
        <v>#DIV/0!</v>
      </c>
      <c r="L1989" s="29" t="e">
        <f t="shared" ref="L1989" si="2978">IF(D1989="BUY",I1989+(R1989*B1989),I1989-(R1989*B1989))</f>
        <v>#DIV/0!</v>
      </c>
      <c r="M1989" s="29" t="e">
        <f>IF(D1988="BUY",E1988+(ROUND(F1988*M1988/B1988,0)*B1988),E1988-(ROUND(F1988*M1988/B1988,0)*B1988))</f>
        <v>#DIV/0!</v>
      </c>
      <c r="N1989" s="29" t="e">
        <f>IF(D1988="BUY",E1988-(ROUND(F1988*N1988/B1988,0)*B1988),E1988+(ROUND(F1988*N1988/B1988,0)*B1988))</f>
        <v>#DIV/0!</v>
      </c>
      <c r="O1989" s="31" t="e">
        <f>IF(D1989="BUY",N1989-VLOOKUP(A1989,Symbols!A$1:D$1000,4,FALSE),N1989+VLOOKUP(A1989,Symbols!A$1:D$1000,4,FALSE))</f>
        <v>#DIV/0!</v>
      </c>
      <c r="P1989" s="29">
        <f>P1988</f>
        <v>0</v>
      </c>
      <c r="Q1989" s="29">
        <f>Q1988</f>
        <v>0</v>
      </c>
      <c r="R1989" s="29">
        <f>R1988</f>
        <v>0</v>
      </c>
      <c r="S1989" s="29">
        <f>S1988</f>
        <v>0</v>
      </c>
      <c r="T1989" s="29">
        <f>T1988</f>
        <v>0</v>
      </c>
      <c r="U1989" s="29" t="e">
        <f>DATEDIF(DATE(1970,1,1),U1988,"D")*86400</f>
        <v>#NUM!</v>
      </c>
      <c r="V1989" s="29">
        <f>HOUR(V1988)*3600+MINUTE(V1988)*60+SECOND(V1988)</f>
        <v>0</v>
      </c>
      <c r="W1989" s="29" t="e">
        <f>DATEDIF(DATE(1970,1,1),W1988,"D")*86400</f>
        <v>#NUM!</v>
      </c>
      <c r="X1989" s="29">
        <f>HOUR(X1988)*3600+MINUTE(X1988)*60+SECOND(X1988)</f>
        <v>0</v>
      </c>
      <c r="Y1989" s="31">
        <f>(Y1988*B1989)</f>
        <v>0</v>
      </c>
      <c r="Z1989" s="29">
        <f>Z1988</f>
        <v>0</v>
      </c>
      <c r="AA1989" s="29" t="e">
        <f>DATEDIF(DATE(1970,1,1),AA1988,"D")*86400</f>
        <v>#NUM!</v>
      </c>
      <c r="AB1989" s="29">
        <f>HOUR(AB1988)*3600+MINUTE(AB1988)*60+SECOND(AB1988)</f>
        <v>0</v>
      </c>
      <c r="AC1989" s="29">
        <f>AC1988</f>
        <v>0</v>
      </c>
    </row>
    <row r="1990" spans="1:29">
      <c r="A1990" s="23">
        <f>Parameters!A996</f>
        <v>0</v>
      </c>
      <c r="B1990" s="23">
        <f>Parameters!B996</f>
        <v>0</v>
      </c>
      <c r="C1990" s="24">
        <f>Parameters!C996</f>
        <v>0</v>
      </c>
      <c r="D1990" s="24">
        <f>Parameters!D996</f>
        <v>0</v>
      </c>
      <c r="E1990" s="23">
        <f>Parameters!E996</f>
        <v>0</v>
      </c>
      <c r="F1990" s="23">
        <f>Parameters!F996</f>
        <v>0</v>
      </c>
      <c r="G1990" s="25">
        <f>Parameters!G996</f>
        <v>0</v>
      </c>
      <c r="H1990" s="25">
        <f>Parameters!H996</f>
        <v>0</v>
      </c>
      <c r="I1990" s="25">
        <f>Parameters!I996</f>
        <v>0</v>
      </c>
      <c r="J1990" s="25">
        <f>Parameters!J996</f>
        <v>0</v>
      </c>
      <c r="K1990" s="25">
        <f>Parameters!K996</f>
        <v>0</v>
      </c>
      <c r="L1990" s="26" t="e">
        <f t="shared" ref="L1990" si="2979">L1991</f>
        <v>#DIV/0!</v>
      </c>
      <c r="M1990" s="25">
        <f>Parameters!L996</f>
        <v>0</v>
      </c>
      <c r="N1990" s="25">
        <f>Parameters!M996</f>
        <v>0</v>
      </c>
      <c r="O1990" s="26" t="e">
        <f t="shared" ref="O1990" si="2980">O1991</f>
        <v>#DIV/0!</v>
      </c>
      <c r="P1990" s="23">
        <f>Parameters!N996</f>
        <v>0</v>
      </c>
      <c r="Q1990" s="23">
        <f>Parameters!O996</f>
        <v>0</v>
      </c>
      <c r="R1990" s="23">
        <f>Parameters!P996</f>
        <v>0</v>
      </c>
      <c r="S1990" s="23">
        <f>Parameters!Q996</f>
        <v>0</v>
      </c>
      <c r="T1990" s="23">
        <f>Parameters!R996</f>
        <v>0</v>
      </c>
      <c r="U1990" s="27">
        <f>Parameters!S996</f>
        <v>0</v>
      </c>
      <c r="V1990" s="28">
        <f>Parameters!T996</f>
        <v>0</v>
      </c>
      <c r="W1990" s="27">
        <f>Parameters!U996</f>
        <v>0</v>
      </c>
      <c r="X1990" s="28">
        <f>Parameters!V996</f>
        <v>0</v>
      </c>
      <c r="Y1990" s="25">
        <f>Parameters!W996</f>
        <v>0</v>
      </c>
      <c r="Z1990" s="23">
        <f>Parameters!X996</f>
        <v>0</v>
      </c>
      <c r="AA1990" s="27">
        <f>Parameters!Y996</f>
        <v>0</v>
      </c>
      <c r="AB1990" s="28">
        <f>Parameters!Z996</f>
        <v>0</v>
      </c>
      <c r="AC1990" s="23">
        <f>Parameters!AA996</f>
        <v>0</v>
      </c>
    </row>
    <row r="1991" spans="1:29">
      <c r="A1991" s="29" t="str">
        <f>UPPER(A1990)</f>
        <v>0</v>
      </c>
      <c r="B1991" s="29">
        <f>B1990</f>
        <v>0</v>
      </c>
      <c r="C1991" s="30">
        <f>C1990</f>
        <v>0</v>
      </c>
      <c r="D1991" s="30">
        <f>D1990</f>
        <v>0</v>
      </c>
      <c r="E1991" s="29">
        <f>E1990</f>
        <v>0</v>
      </c>
      <c r="F1991" s="29">
        <f>F1990</f>
        <v>0</v>
      </c>
      <c r="G1991" s="29" t="e">
        <f>IF(C1990=1,IF(D1990="BUY",E1990+(ROUND(F1990*G1990/B1990,0)*B1990),E1990-(ROUND(F1990*G1990/B1990,0)*B1990)),IF(D1990="BUY",E1990-(ROUND(F1990*G1990/B1990,0)*B1990),E1990+(ROUND(F1990*G1990/B1990,0)*B1990)))</f>
        <v>#DIV/0!</v>
      </c>
      <c r="H1991" s="29" t="e">
        <f>IF(C1990=1,IF(D1990="BUY",G1991-(ROUND(F1990*H1990/B1990,0)*B1990),G1991+(ROUND(F1990*H1990/B1990,0)*B1990)),IF(D1990="BUY",G1991+(ROUND(F1990*H1990/B1990,0)*B1990),G1991-(ROUND(F1990*H1990/B1990,0)*B1990)))</f>
        <v>#DIV/0!</v>
      </c>
      <c r="I1991" s="29" t="e">
        <f>IF(D1990="BUY",G1991+(ROUND(F1990*I1990/(B1990*100),0)*B1990),G1991-(ROUND(F1990*I1990/(B1990*100),0)*B1990))</f>
        <v>#DIV/0!</v>
      </c>
      <c r="J1991" s="29" t="e">
        <f>IF(C1990=1,IF(D1990="BUY",E1990+(ROUND(F1990*J1990/B1990,0)*B1990),E1990-(ROUND(F1990*J1990/B1990,0)*B1990)),IF(D1990="BUY",E1990-(ROUND(F1990*J1990/B1990,0)*B1990),E1990+(ROUND(F1990*J1990/B1990,0)*B1990)))</f>
        <v>#DIV/0!</v>
      </c>
      <c r="K1991" s="29" t="e">
        <f>IF(C1990=1,IF(D1990="BUY",E1990-(ROUND(F1990*K1990/B1990,0)*B1990),E1990+(ROUND(F1990*K1990/B1990,0)*B1990)),IF(D1990="BUY",E1990-(ROUND(F1990*K1990/B1990,0)*B1990),E1990+(ROUND(F1990*K1990/B1990,0)*B1990)))</f>
        <v>#DIV/0!</v>
      </c>
      <c r="L1991" s="29" t="e">
        <f t="shared" ref="L1991" si="2981">IF(D1991="BUY",I1991+(R1991*B1991),I1991-(R1991*B1991))</f>
        <v>#DIV/0!</v>
      </c>
      <c r="M1991" s="29" t="e">
        <f>IF(D1990="BUY",E1990+(ROUND(F1990*M1990/B1990,0)*B1990),E1990-(ROUND(F1990*M1990/B1990,0)*B1990))</f>
        <v>#DIV/0!</v>
      </c>
      <c r="N1991" s="29" t="e">
        <f>IF(D1990="BUY",E1990-(ROUND(F1990*N1990/B1990,0)*B1990),E1990+(ROUND(F1990*N1990/B1990,0)*B1990))</f>
        <v>#DIV/0!</v>
      </c>
      <c r="O1991" s="31" t="e">
        <f>IF(D1991="BUY",N1991-VLOOKUP(A1991,Symbols!A$1:D$1000,4,FALSE),N1991+VLOOKUP(A1991,Symbols!A$1:D$1000,4,FALSE))</f>
        <v>#DIV/0!</v>
      </c>
      <c r="P1991" s="29">
        <f>P1990</f>
        <v>0</v>
      </c>
      <c r="Q1991" s="29">
        <f>Q1990</f>
        <v>0</v>
      </c>
      <c r="R1991" s="29">
        <f>R1990</f>
        <v>0</v>
      </c>
      <c r="S1991" s="29">
        <f>S1990</f>
        <v>0</v>
      </c>
      <c r="T1991" s="29">
        <f>T1990</f>
        <v>0</v>
      </c>
      <c r="U1991" s="29" t="e">
        <f>DATEDIF(DATE(1970,1,1),U1990,"D")*86400</f>
        <v>#NUM!</v>
      </c>
      <c r="V1991" s="29">
        <f>HOUR(V1990)*3600+MINUTE(V1990)*60+SECOND(V1990)</f>
        <v>0</v>
      </c>
      <c r="W1991" s="29" t="e">
        <f>DATEDIF(DATE(1970,1,1),W1990,"D")*86400</f>
        <v>#NUM!</v>
      </c>
      <c r="X1991" s="29">
        <f>HOUR(X1990)*3600+MINUTE(X1990)*60+SECOND(X1990)</f>
        <v>0</v>
      </c>
      <c r="Y1991" s="31">
        <f>(Y1990*B1991)</f>
        <v>0</v>
      </c>
      <c r="Z1991" s="29">
        <f>Z1990</f>
        <v>0</v>
      </c>
      <c r="AA1991" s="29" t="e">
        <f>DATEDIF(DATE(1970,1,1),AA1990,"D")*86400</f>
        <v>#NUM!</v>
      </c>
      <c r="AB1991" s="29">
        <f>HOUR(AB1990)*3600+MINUTE(AB1990)*60+SECOND(AB1990)</f>
        <v>0</v>
      </c>
      <c r="AC1991" s="29">
        <f>AC1990</f>
        <v>0</v>
      </c>
    </row>
    <row r="1992" spans="1:29">
      <c r="A1992" s="23">
        <f>Parameters!A997</f>
        <v>0</v>
      </c>
      <c r="B1992" s="23">
        <f>Parameters!B997</f>
        <v>0</v>
      </c>
      <c r="C1992" s="24">
        <f>Parameters!C997</f>
        <v>0</v>
      </c>
      <c r="D1992" s="24">
        <f>Parameters!D997</f>
        <v>0</v>
      </c>
      <c r="E1992" s="23">
        <f>Parameters!E997</f>
        <v>0</v>
      </c>
      <c r="F1992" s="23">
        <f>Parameters!F997</f>
        <v>0</v>
      </c>
      <c r="G1992" s="25">
        <f>Parameters!G997</f>
        <v>0</v>
      </c>
      <c r="H1992" s="25">
        <f>Parameters!H997</f>
        <v>0</v>
      </c>
      <c r="I1992" s="25">
        <f>Parameters!I997</f>
        <v>0</v>
      </c>
      <c r="J1992" s="25">
        <f>Parameters!J997</f>
        <v>0</v>
      </c>
      <c r="K1992" s="25">
        <f>Parameters!K997</f>
        <v>0</v>
      </c>
      <c r="L1992" s="26" t="e">
        <f t="shared" ref="L1992" si="2982">L1993</f>
        <v>#DIV/0!</v>
      </c>
      <c r="M1992" s="25">
        <f>Parameters!L997</f>
        <v>0</v>
      </c>
      <c r="N1992" s="25">
        <f>Parameters!M997</f>
        <v>0</v>
      </c>
      <c r="O1992" s="26" t="e">
        <f t="shared" ref="O1992" si="2983">O1993</f>
        <v>#DIV/0!</v>
      </c>
      <c r="P1992" s="23">
        <f>Parameters!N997</f>
        <v>0</v>
      </c>
      <c r="Q1992" s="23">
        <f>Parameters!O997</f>
        <v>0</v>
      </c>
      <c r="R1992" s="23">
        <f>Parameters!P997</f>
        <v>0</v>
      </c>
      <c r="S1992" s="23">
        <f>Parameters!Q997</f>
        <v>0</v>
      </c>
      <c r="T1992" s="23">
        <f>Parameters!R997</f>
        <v>0</v>
      </c>
      <c r="U1992" s="27">
        <f>Parameters!S997</f>
        <v>0</v>
      </c>
      <c r="V1992" s="28">
        <f>Parameters!T997</f>
        <v>0</v>
      </c>
      <c r="W1992" s="27">
        <f>Parameters!U997</f>
        <v>0</v>
      </c>
      <c r="X1992" s="28">
        <f>Parameters!V997</f>
        <v>0</v>
      </c>
      <c r="Y1992" s="25">
        <f>Parameters!W997</f>
        <v>0</v>
      </c>
      <c r="Z1992" s="23">
        <f>Parameters!X997</f>
        <v>0</v>
      </c>
      <c r="AA1992" s="27">
        <f>Parameters!Y997</f>
        <v>0</v>
      </c>
      <c r="AB1992" s="28">
        <f>Parameters!Z997</f>
        <v>0</v>
      </c>
      <c r="AC1992" s="23">
        <f>Parameters!AA997</f>
        <v>0</v>
      </c>
    </row>
    <row r="1993" spans="1:29">
      <c r="A1993" s="29" t="str">
        <f>UPPER(A1992)</f>
        <v>0</v>
      </c>
      <c r="B1993" s="29">
        <f>B1992</f>
        <v>0</v>
      </c>
      <c r="C1993" s="30">
        <f>C1992</f>
        <v>0</v>
      </c>
      <c r="D1993" s="30">
        <f>D1992</f>
        <v>0</v>
      </c>
      <c r="E1993" s="29">
        <f>E1992</f>
        <v>0</v>
      </c>
      <c r="F1993" s="29">
        <f>F1992</f>
        <v>0</v>
      </c>
      <c r="G1993" s="29" t="e">
        <f>IF(C1992=1,IF(D1992="BUY",E1992+(ROUND(F1992*G1992/B1992,0)*B1992),E1992-(ROUND(F1992*G1992/B1992,0)*B1992)),IF(D1992="BUY",E1992-(ROUND(F1992*G1992/B1992,0)*B1992),E1992+(ROUND(F1992*G1992/B1992,0)*B1992)))</f>
        <v>#DIV/0!</v>
      </c>
      <c r="H1993" s="29" t="e">
        <f>IF(C1992=1,IF(D1992="BUY",G1993-(ROUND(F1992*H1992/B1992,0)*B1992),G1993+(ROUND(F1992*H1992/B1992,0)*B1992)),IF(D1992="BUY",G1993+(ROUND(F1992*H1992/B1992,0)*B1992),G1993-(ROUND(F1992*H1992/B1992,0)*B1992)))</f>
        <v>#DIV/0!</v>
      </c>
      <c r="I1993" s="29" t="e">
        <f>IF(D1992="BUY",G1993+(ROUND(F1992*I1992/(B1992*100),0)*B1992),G1993-(ROUND(F1992*I1992/(B1992*100),0)*B1992))</f>
        <v>#DIV/0!</v>
      </c>
      <c r="J1993" s="29" t="e">
        <f>IF(C1992=1,IF(D1992="BUY",E1992+(ROUND(F1992*J1992/B1992,0)*B1992),E1992-(ROUND(F1992*J1992/B1992,0)*B1992)),IF(D1992="BUY",E1992-(ROUND(F1992*J1992/B1992,0)*B1992),E1992+(ROUND(F1992*J1992/B1992,0)*B1992)))</f>
        <v>#DIV/0!</v>
      </c>
      <c r="K1993" s="29" t="e">
        <f>IF(C1992=1,IF(D1992="BUY",E1992-(ROUND(F1992*K1992/B1992,0)*B1992),E1992+(ROUND(F1992*K1992/B1992,0)*B1992)),IF(D1992="BUY",E1992-(ROUND(F1992*K1992/B1992,0)*B1992),E1992+(ROUND(F1992*K1992/B1992,0)*B1992)))</f>
        <v>#DIV/0!</v>
      </c>
      <c r="L1993" s="29" t="e">
        <f t="shared" ref="L1993" si="2984">IF(D1993="BUY",I1993+(R1993*B1993),I1993-(R1993*B1993))</f>
        <v>#DIV/0!</v>
      </c>
      <c r="M1993" s="29" t="e">
        <f>IF(D1992="BUY",E1992+(ROUND(F1992*M1992/B1992,0)*B1992),E1992-(ROUND(F1992*M1992/B1992,0)*B1992))</f>
        <v>#DIV/0!</v>
      </c>
      <c r="N1993" s="29" t="e">
        <f>IF(D1992="BUY",E1992-(ROUND(F1992*N1992/B1992,0)*B1992),E1992+(ROUND(F1992*N1992/B1992,0)*B1992))</f>
        <v>#DIV/0!</v>
      </c>
      <c r="O1993" s="31" t="e">
        <f>IF(D1993="BUY",N1993-VLOOKUP(A1993,Symbols!A$1:D$1000,4,FALSE),N1993+VLOOKUP(A1993,Symbols!A$1:D$1000,4,FALSE))</f>
        <v>#DIV/0!</v>
      </c>
      <c r="P1993" s="29">
        <f>P1992</f>
        <v>0</v>
      </c>
      <c r="Q1993" s="29">
        <f>Q1992</f>
        <v>0</v>
      </c>
      <c r="R1993" s="29">
        <f>R1992</f>
        <v>0</v>
      </c>
      <c r="S1993" s="29">
        <f>S1992</f>
        <v>0</v>
      </c>
      <c r="T1993" s="29">
        <f>T1992</f>
        <v>0</v>
      </c>
      <c r="U1993" s="29" t="e">
        <f>DATEDIF(DATE(1970,1,1),U1992,"D")*86400</f>
        <v>#NUM!</v>
      </c>
      <c r="V1993" s="29">
        <f>HOUR(V1992)*3600+MINUTE(V1992)*60+SECOND(V1992)</f>
        <v>0</v>
      </c>
      <c r="W1993" s="29" t="e">
        <f>DATEDIF(DATE(1970,1,1),W1992,"D")*86400</f>
        <v>#NUM!</v>
      </c>
      <c r="X1993" s="29">
        <f>HOUR(X1992)*3600+MINUTE(X1992)*60+SECOND(X1992)</f>
        <v>0</v>
      </c>
      <c r="Y1993" s="31">
        <f>(Y1992*B1993)</f>
        <v>0</v>
      </c>
      <c r="Z1993" s="29">
        <f>Z1992</f>
        <v>0</v>
      </c>
      <c r="AA1993" s="29" t="e">
        <f>DATEDIF(DATE(1970,1,1),AA1992,"D")*86400</f>
        <v>#NUM!</v>
      </c>
      <c r="AB1993" s="29">
        <f>HOUR(AB1992)*3600+MINUTE(AB1992)*60+SECOND(AB1992)</f>
        <v>0</v>
      </c>
      <c r="AC1993" s="29">
        <f>AC1992</f>
        <v>0</v>
      </c>
    </row>
    <row r="1994" spans="1:29">
      <c r="A1994" s="23">
        <f>Parameters!A998</f>
        <v>0</v>
      </c>
      <c r="B1994" s="23">
        <f>Parameters!B998</f>
        <v>0</v>
      </c>
      <c r="C1994" s="24">
        <f>Parameters!C998</f>
        <v>0</v>
      </c>
      <c r="D1994" s="24">
        <f>Parameters!D998</f>
        <v>0</v>
      </c>
      <c r="E1994" s="23">
        <f>Parameters!E998</f>
        <v>0</v>
      </c>
      <c r="F1994" s="23">
        <f>Parameters!F998</f>
        <v>0</v>
      </c>
      <c r="G1994" s="25">
        <f>Parameters!G998</f>
        <v>0</v>
      </c>
      <c r="H1994" s="25">
        <f>Parameters!H998</f>
        <v>0</v>
      </c>
      <c r="I1994" s="25">
        <f>Parameters!I998</f>
        <v>0</v>
      </c>
      <c r="J1994" s="25">
        <f>Parameters!J998</f>
        <v>0</v>
      </c>
      <c r="K1994" s="25">
        <f>Parameters!K998</f>
        <v>0</v>
      </c>
      <c r="L1994" s="26" t="e">
        <f t="shared" ref="L1994" si="2985">L1995</f>
        <v>#DIV/0!</v>
      </c>
      <c r="M1994" s="25">
        <f>Parameters!L998</f>
        <v>0</v>
      </c>
      <c r="N1994" s="25">
        <f>Parameters!M998</f>
        <v>0</v>
      </c>
      <c r="O1994" s="26" t="e">
        <f t="shared" ref="O1994" si="2986">O1995</f>
        <v>#DIV/0!</v>
      </c>
      <c r="P1994" s="23">
        <f>Parameters!N998</f>
        <v>0</v>
      </c>
      <c r="Q1994" s="23">
        <f>Parameters!O998</f>
        <v>0</v>
      </c>
      <c r="R1994" s="23">
        <f>Parameters!P998</f>
        <v>0</v>
      </c>
      <c r="S1994" s="23">
        <f>Parameters!Q998</f>
        <v>0</v>
      </c>
      <c r="T1994" s="23">
        <f>Parameters!R998</f>
        <v>0</v>
      </c>
      <c r="U1994" s="27">
        <f>Parameters!S998</f>
        <v>0</v>
      </c>
      <c r="V1994" s="28">
        <f>Parameters!T998</f>
        <v>0</v>
      </c>
      <c r="W1994" s="27">
        <f>Parameters!U998</f>
        <v>0</v>
      </c>
      <c r="X1994" s="28">
        <f>Parameters!V998</f>
        <v>0</v>
      </c>
      <c r="Y1994" s="25">
        <f>Parameters!W998</f>
        <v>0</v>
      </c>
      <c r="Z1994" s="23">
        <f>Parameters!X998</f>
        <v>0</v>
      </c>
      <c r="AA1994" s="27">
        <f>Parameters!Y998</f>
        <v>0</v>
      </c>
      <c r="AB1994" s="28">
        <f>Parameters!Z998</f>
        <v>0</v>
      </c>
      <c r="AC1994" s="23">
        <f>Parameters!AA998</f>
        <v>0</v>
      </c>
    </row>
    <row r="1995" spans="1:29">
      <c r="A1995" s="29" t="str">
        <f>UPPER(A1994)</f>
        <v>0</v>
      </c>
      <c r="B1995" s="29">
        <f>B1994</f>
        <v>0</v>
      </c>
      <c r="C1995" s="30">
        <f>C1994</f>
        <v>0</v>
      </c>
      <c r="D1995" s="30">
        <f>D1994</f>
        <v>0</v>
      </c>
      <c r="E1995" s="29">
        <f>E1994</f>
        <v>0</v>
      </c>
      <c r="F1995" s="29">
        <f>F1994</f>
        <v>0</v>
      </c>
      <c r="G1995" s="29" t="e">
        <f>IF(C1994=1,IF(D1994="BUY",E1994+(ROUND(F1994*G1994/B1994,0)*B1994),E1994-(ROUND(F1994*G1994/B1994,0)*B1994)),IF(D1994="BUY",E1994-(ROUND(F1994*G1994/B1994,0)*B1994),E1994+(ROUND(F1994*G1994/B1994,0)*B1994)))</f>
        <v>#DIV/0!</v>
      </c>
      <c r="H1995" s="29" t="e">
        <f>IF(C1994=1,IF(D1994="BUY",G1995-(ROUND(F1994*H1994/B1994,0)*B1994),G1995+(ROUND(F1994*H1994/B1994,0)*B1994)),IF(D1994="BUY",G1995+(ROUND(F1994*H1994/B1994,0)*B1994),G1995-(ROUND(F1994*H1994/B1994,0)*B1994)))</f>
        <v>#DIV/0!</v>
      </c>
      <c r="I1995" s="29" t="e">
        <f>IF(D1994="BUY",G1995+(ROUND(F1994*I1994/(B1994*100),0)*B1994),G1995-(ROUND(F1994*I1994/(B1994*100),0)*B1994))</f>
        <v>#DIV/0!</v>
      </c>
      <c r="J1995" s="29" t="e">
        <f>IF(C1994=1,IF(D1994="BUY",E1994+(ROUND(F1994*J1994/B1994,0)*B1994),E1994-(ROUND(F1994*J1994/B1994,0)*B1994)),IF(D1994="BUY",E1994-(ROUND(F1994*J1994/B1994,0)*B1994),E1994+(ROUND(F1994*J1994/B1994,0)*B1994)))</f>
        <v>#DIV/0!</v>
      </c>
      <c r="K1995" s="29" t="e">
        <f>IF(C1994=1,IF(D1994="BUY",E1994-(ROUND(F1994*K1994/B1994,0)*B1994),E1994+(ROUND(F1994*K1994/B1994,0)*B1994)),IF(D1994="BUY",E1994-(ROUND(F1994*K1994/B1994,0)*B1994),E1994+(ROUND(F1994*K1994/B1994,0)*B1994)))</f>
        <v>#DIV/0!</v>
      </c>
      <c r="L1995" s="29" t="e">
        <f t="shared" ref="L1995" si="2987">IF(D1995="BUY",I1995+(R1995*B1995),I1995-(R1995*B1995))</f>
        <v>#DIV/0!</v>
      </c>
      <c r="M1995" s="29" t="e">
        <f>IF(D1994="BUY",E1994+(ROUND(F1994*M1994/B1994,0)*B1994),E1994-(ROUND(F1994*M1994/B1994,0)*B1994))</f>
        <v>#DIV/0!</v>
      </c>
      <c r="N1995" s="29" t="e">
        <f>IF(D1994="BUY",E1994-(ROUND(F1994*N1994/B1994,0)*B1994),E1994+(ROUND(F1994*N1994/B1994,0)*B1994))</f>
        <v>#DIV/0!</v>
      </c>
      <c r="O1995" s="31" t="e">
        <f>IF(D1995="BUY",N1995-VLOOKUP(A1995,Symbols!A$1:D$1000,4,FALSE),N1995+VLOOKUP(A1995,Symbols!A$1:D$1000,4,FALSE))</f>
        <v>#DIV/0!</v>
      </c>
      <c r="P1995" s="29">
        <f>P1994</f>
        <v>0</v>
      </c>
      <c r="Q1995" s="29">
        <f>Q1994</f>
        <v>0</v>
      </c>
      <c r="R1995" s="29">
        <f>R1994</f>
        <v>0</v>
      </c>
      <c r="S1995" s="29">
        <f>S1994</f>
        <v>0</v>
      </c>
      <c r="T1995" s="29">
        <f>T1994</f>
        <v>0</v>
      </c>
      <c r="U1995" s="29" t="e">
        <f>DATEDIF(DATE(1970,1,1),U1994,"D")*86400</f>
        <v>#NUM!</v>
      </c>
      <c r="V1995" s="29">
        <f>HOUR(V1994)*3600+MINUTE(V1994)*60+SECOND(V1994)</f>
        <v>0</v>
      </c>
      <c r="W1995" s="29" t="e">
        <f>DATEDIF(DATE(1970,1,1),W1994,"D")*86400</f>
        <v>#NUM!</v>
      </c>
      <c r="X1995" s="29">
        <f>HOUR(X1994)*3600+MINUTE(X1994)*60+SECOND(X1994)</f>
        <v>0</v>
      </c>
      <c r="Y1995" s="31">
        <f>(Y1994*B1995)</f>
        <v>0</v>
      </c>
      <c r="Z1995" s="29">
        <f>Z1994</f>
        <v>0</v>
      </c>
      <c r="AA1995" s="29" t="e">
        <f>DATEDIF(DATE(1970,1,1),AA1994,"D")*86400</f>
        <v>#NUM!</v>
      </c>
      <c r="AB1995" s="29">
        <f>HOUR(AB1994)*3600+MINUTE(AB1994)*60+SECOND(AB1994)</f>
        <v>0</v>
      </c>
      <c r="AC1995" s="29">
        <f>AC1994</f>
        <v>0</v>
      </c>
    </row>
    <row r="1996" spans="1:29">
      <c r="A1996" s="23">
        <f>Parameters!A999</f>
        <v>0</v>
      </c>
      <c r="B1996" s="23">
        <f>Parameters!B999</f>
        <v>0</v>
      </c>
      <c r="C1996" s="24">
        <f>Parameters!C999</f>
        <v>0</v>
      </c>
      <c r="D1996" s="24">
        <f>Parameters!D999</f>
        <v>0</v>
      </c>
      <c r="E1996" s="23">
        <f>Parameters!E999</f>
        <v>0</v>
      </c>
      <c r="F1996" s="23">
        <f>Parameters!F999</f>
        <v>0</v>
      </c>
      <c r="G1996" s="25">
        <f>Parameters!G999</f>
        <v>0</v>
      </c>
      <c r="H1996" s="25">
        <f>Parameters!H999</f>
        <v>0</v>
      </c>
      <c r="I1996" s="25">
        <f>Parameters!I999</f>
        <v>0</v>
      </c>
      <c r="J1996" s="25">
        <f>Parameters!J999</f>
        <v>0</v>
      </c>
      <c r="K1996" s="25">
        <f>Parameters!K999</f>
        <v>0</v>
      </c>
      <c r="L1996" s="26" t="e">
        <f t="shared" ref="L1996" si="2988">L1997</f>
        <v>#DIV/0!</v>
      </c>
      <c r="M1996" s="25">
        <f>Parameters!L999</f>
        <v>0</v>
      </c>
      <c r="N1996" s="25">
        <f>Parameters!M999</f>
        <v>0</v>
      </c>
      <c r="O1996" s="26" t="e">
        <f t="shared" ref="O1996" si="2989">O1997</f>
        <v>#DIV/0!</v>
      </c>
      <c r="P1996" s="23">
        <f>Parameters!N999</f>
        <v>0</v>
      </c>
      <c r="Q1996" s="23">
        <f>Parameters!O999</f>
        <v>0</v>
      </c>
      <c r="R1996" s="23">
        <f>Parameters!P999</f>
        <v>0</v>
      </c>
      <c r="S1996" s="23">
        <f>Parameters!Q999</f>
        <v>0</v>
      </c>
      <c r="T1996" s="23">
        <f>Parameters!R999</f>
        <v>0</v>
      </c>
      <c r="U1996" s="27">
        <f>Parameters!S999</f>
        <v>0</v>
      </c>
      <c r="V1996" s="28">
        <f>Parameters!T999</f>
        <v>0</v>
      </c>
      <c r="W1996" s="27">
        <f>Parameters!U999</f>
        <v>0</v>
      </c>
      <c r="X1996" s="28">
        <f>Parameters!V999</f>
        <v>0</v>
      </c>
      <c r="Y1996" s="25">
        <f>Parameters!W999</f>
        <v>0</v>
      </c>
      <c r="Z1996" s="23">
        <f>Parameters!X999</f>
        <v>0</v>
      </c>
      <c r="AA1996" s="27">
        <f>Parameters!Y999</f>
        <v>0</v>
      </c>
      <c r="AB1996" s="28">
        <f>Parameters!Z999</f>
        <v>0</v>
      </c>
      <c r="AC1996" s="23">
        <f>Parameters!AA999</f>
        <v>0</v>
      </c>
    </row>
    <row r="1997" spans="1:29">
      <c r="A1997" s="29" t="str">
        <f>UPPER(A1996)</f>
        <v>0</v>
      </c>
      <c r="B1997" s="29">
        <f>B1996</f>
        <v>0</v>
      </c>
      <c r="C1997" s="30">
        <f>C1996</f>
        <v>0</v>
      </c>
      <c r="D1997" s="30">
        <f>D1996</f>
        <v>0</v>
      </c>
      <c r="E1997" s="29">
        <f>E1996</f>
        <v>0</v>
      </c>
      <c r="F1997" s="29">
        <f>F1996</f>
        <v>0</v>
      </c>
      <c r="G1997" s="29" t="e">
        <f>IF(C1996=1,IF(D1996="BUY",E1996+(ROUND(F1996*G1996/B1996,0)*B1996),E1996-(ROUND(F1996*G1996/B1996,0)*B1996)),IF(D1996="BUY",E1996-(ROUND(F1996*G1996/B1996,0)*B1996),E1996+(ROUND(F1996*G1996/B1996,0)*B1996)))</f>
        <v>#DIV/0!</v>
      </c>
      <c r="H1997" s="29" t="e">
        <f>IF(C1996=1,IF(D1996="BUY",G1997-(ROUND(F1996*H1996/B1996,0)*B1996),G1997+(ROUND(F1996*H1996/B1996,0)*B1996)),IF(D1996="BUY",G1997+(ROUND(F1996*H1996/B1996,0)*B1996),G1997-(ROUND(F1996*H1996/B1996,0)*B1996)))</f>
        <v>#DIV/0!</v>
      </c>
      <c r="I1997" s="29" t="e">
        <f>IF(D1996="BUY",G1997+(ROUND(F1996*I1996/(B1996*100),0)*B1996),G1997-(ROUND(F1996*I1996/(B1996*100),0)*B1996))</f>
        <v>#DIV/0!</v>
      </c>
      <c r="J1997" s="29" t="e">
        <f>IF(C1996=1,IF(D1996="BUY",E1996+(ROUND(F1996*J1996/B1996,0)*B1996),E1996-(ROUND(F1996*J1996/B1996,0)*B1996)),IF(D1996="BUY",E1996-(ROUND(F1996*J1996/B1996,0)*B1996),E1996+(ROUND(F1996*J1996/B1996,0)*B1996)))</f>
        <v>#DIV/0!</v>
      </c>
      <c r="K1997" s="29" t="e">
        <f>IF(C1996=1,IF(D1996="BUY",E1996-(ROUND(F1996*K1996/B1996,0)*B1996),E1996+(ROUND(F1996*K1996/B1996,0)*B1996)),IF(D1996="BUY",E1996-(ROUND(F1996*K1996/B1996,0)*B1996),E1996+(ROUND(F1996*K1996/B1996,0)*B1996)))</f>
        <v>#DIV/0!</v>
      </c>
      <c r="L1997" s="29" t="e">
        <f t="shared" ref="L1997" si="2990">IF(D1997="BUY",I1997+(R1997*B1997),I1997-(R1997*B1997))</f>
        <v>#DIV/0!</v>
      </c>
      <c r="M1997" s="29" t="e">
        <f>IF(D1996="BUY",E1996+(ROUND(F1996*M1996/B1996,0)*B1996),E1996-(ROUND(F1996*M1996/B1996,0)*B1996))</f>
        <v>#DIV/0!</v>
      </c>
      <c r="N1997" s="29" t="e">
        <f>IF(D1996="BUY",E1996-(ROUND(F1996*N1996/B1996,0)*B1996),E1996+(ROUND(F1996*N1996/B1996,0)*B1996))</f>
        <v>#DIV/0!</v>
      </c>
      <c r="O1997" s="31" t="e">
        <f>IF(D1997="BUY",N1997-VLOOKUP(A1997,Symbols!A$1:D$1000,4,FALSE),N1997+VLOOKUP(A1997,Symbols!A$1:D$1000,4,FALSE))</f>
        <v>#DIV/0!</v>
      </c>
      <c r="P1997" s="29">
        <f>P1996</f>
        <v>0</v>
      </c>
      <c r="Q1997" s="29">
        <f>Q1996</f>
        <v>0</v>
      </c>
      <c r="R1997" s="29">
        <f>R1996</f>
        <v>0</v>
      </c>
      <c r="S1997" s="29">
        <f>S1996</f>
        <v>0</v>
      </c>
      <c r="T1997" s="29">
        <f>T1996</f>
        <v>0</v>
      </c>
      <c r="U1997" s="29" t="e">
        <f>DATEDIF(DATE(1970,1,1),U1996,"D")*86400</f>
        <v>#NUM!</v>
      </c>
      <c r="V1997" s="29">
        <f>HOUR(V1996)*3600+MINUTE(V1996)*60+SECOND(V1996)</f>
        <v>0</v>
      </c>
      <c r="W1997" s="29" t="e">
        <f>DATEDIF(DATE(1970,1,1),W1996,"D")*86400</f>
        <v>#NUM!</v>
      </c>
      <c r="X1997" s="29">
        <f>HOUR(X1996)*3600+MINUTE(X1996)*60+SECOND(X1996)</f>
        <v>0</v>
      </c>
      <c r="Y1997" s="31">
        <f>(Y1996*B1997)</f>
        <v>0</v>
      </c>
      <c r="Z1997" s="29">
        <f>Z1996</f>
        <v>0</v>
      </c>
      <c r="AA1997" s="29" t="e">
        <f>DATEDIF(DATE(1970,1,1),AA1996,"D")*86400</f>
        <v>#NUM!</v>
      </c>
      <c r="AB1997" s="29">
        <f>HOUR(AB1996)*3600+MINUTE(AB1996)*60+SECOND(AB1996)</f>
        <v>0</v>
      </c>
      <c r="AC1997" s="29">
        <f>AC1996</f>
        <v>0</v>
      </c>
    </row>
    <row r="1998" spans="1:29">
      <c r="A1998" s="23">
        <f>Parameters!A1000</f>
        <v>0</v>
      </c>
      <c r="B1998" s="23">
        <f>Parameters!B1000</f>
        <v>0</v>
      </c>
      <c r="C1998" s="24">
        <f>Parameters!C1000</f>
        <v>0</v>
      </c>
      <c r="D1998" s="24">
        <f>Parameters!D1000</f>
        <v>0</v>
      </c>
      <c r="E1998" s="23">
        <f>Parameters!E1000</f>
        <v>0</v>
      </c>
      <c r="F1998" s="23">
        <f>Parameters!F1000</f>
        <v>0</v>
      </c>
      <c r="G1998" s="25">
        <f>Parameters!G1000</f>
        <v>0</v>
      </c>
      <c r="H1998" s="25">
        <f>Parameters!H1000</f>
        <v>0</v>
      </c>
      <c r="I1998" s="25">
        <f>Parameters!I1000</f>
        <v>0</v>
      </c>
      <c r="J1998" s="25">
        <f>Parameters!J1000</f>
        <v>0</v>
      </c>
      <c r="K1998" s="25">
        <f>Parameters!K1000</f>
        <v>0</v>
      </c>
      <c r="L1998" s="26" t="e">
        <f t="shared" ref="L1998" si="2991">L1999</f>
        <v>#DIV/0!</v>
      </c>
      <c r="M1998" s="25">
        <f>Parameters!L1000</f>
        <v>0</v>
      </c>
      <c r="N1998" s="25">
        <f>Parameters!M1000</f>
        <v>0</v>
      </c>
      <c r="O1998" s="26" t="e">
        <f t="shared" ref="O1998" si="2992">O1999</f>
        <v>#DIV/0!</v>
      </c>
      <c r="P1998" s="23">
        <f>Parameters!N1000</f>
        <v>0</v>
      </c>
      <c r="Q1998" s="23">
        <f>Parameters!O1000</f>
        <v>0</v>
      </c>
      <c r="R1998" s="23">
        <f>Parameters!P1000</f>
        <v>0</v>
      </c>
      <c r="S1998" s="23">
        <f>Parameters!Q1000</f>
        <v>0</v>
      </c>
      <c r="T1998" s="23">
        <f>Parameters!R1000</f>
        <v>0</v>
      </c>
      <c r="U1998" s="27">
        <f>Parameters!S1000</f>
        <v>0</v>
      </c>
      <c r="V1998" s="28">
        <f>Parameters!T1000</f>
        <v>0</v>
      </c>
      <c r="W1998" s="27">
        <f>Parameters!U1000</f>
        <v>0</v>
      </c>
      <c r="X1998" s="28">
        <f>Parameters!V1000</f>
        <v>0</v>
      </c>
      <c r="Y1998" s="25">
        <f>Parameters!W1000</f>
        <v>0</v>
      </c>
      <c r="Z1998" s="23">
        <f>Parameters!X1000</f>
        <v>0</v>
      </c>
      <c r="AA1998" s="27">
        <f>Parameters!Y1000</f>
        <v>0</v>
      </c>
      <c r="AB1998" s="28">
        <f>Parameters!Z1000</f>
        <v>0</v>
      </c>
      <c r="AC1998" s="23">
        <f>Parameters!AA1000</f>
        <v>0</v>
      </c>
    </row>
    <row r="1999" spans="1:29">
      <c r="A1999" s="29" t="str">
        <f>UPPER(A1998)</f>
        <v>0</v>
      </c>
      <c r="B1999" s="29">
        <f>B1998</f>
        <v>0</v>
      </c>
      <c r="C1999" s="30">
        <f>C1998</f>
        <v>0</v>
      </c>
      <c r="D1999" s="30">
        <f>D1998</f>
        <v>0</v>
      </c>
      <c r="E1999" s="29">
        <f>E1998</f>
        <v>0</v>
      </c>
      <c r="F1999" s="29">
        <f>F1998</f>
        <v>0</v>
      </c>
      <c r="G1999" s="29" t="e">
        <f>IF(C1998=1,IF(D1998="BUY",E1998+(ROUND(F1998*G1998/B1998,0)*B1998),E1998-(ROUND(F1998*G1998/B1998,0)*B1998)),IF(D1998="BUY",E1998-(ROUND(F1998*G1998/B1998,0)*B1998),E1998+(ROUND(F1998*G1998/B1998,0)*B1998)))</f>
        <v>#DIV/0!</v>
      </c>
      <c r="H1999" s="29" t="e">
        <f>IF(C1998=1,IF(D1998="BUY",G1999-(ROUND(F1998*H1998/B1998,0)*B1998),G1999+(ROUND(F1998*H1998/B1998,0)*B1998)),IF(D1998="BUY",G1999+(ROUND(F1998*H1998/B1998,0)*B1998),G1999-(ROUND(F1998*H1998/B1998,0)*B1998)))</f>
        <v>#DIV/0!</v>
      </c>
      <c r="I1999" s="29" t="e">
        <f>IF(D1998="BUY",G1999+(ROUND(F1998*I1998/(B1998*100),0)*B1998),G1999-(ROUND(F1998*I1998/(B1998*100),0)*B1998))</f>
        <v>#DIV/0!</v>
      </c>
      <c r="J1999" s="29" t="e">
        <f>IF(C1998=1,IF(D1998="BUY",E1998+(ROUND(F1998*J1998/B1998,0)*B1998),E1998-(ROUND(F1998*J1998/B1998,0)*B1998)),IF(D1998="BUY",E1998-(ROUND(F1998*J1998/B1998,0)*B1998),E1998+(ROUND(F1998*J1998/B1998,0)*B1998)))</f>
        <v>#DIV/0!</v>
      </c>
      <c r="K1999" s="29" t="e">
        <f>IF(C1998=1,IF(D1998="BUY",E1998-(ROUND(F1998*K1998/B1998,0)*B1998),E1998+(ROUND(F1998*K1998/B1998,0)*B1998)),IF(D1998="BUY",E1998-(ROUND(F1998*K1998/B1998,0)*B1998),E1998+(ROUND(F1998*K1998/B1998,0)*B1998)))</f>
        <v>#DIV/0!</v>
      </c>
      <c r="L1999" s="29" t="e">
        <f t="shared" ref="L1999" si="2993">IF(D1999="BUY",I1999+(R1999*B1999),I1999-(R1999*B1999))</f>
        <v>#DIV/0!</v>
      </c>
      <c r="M1999" s="29" t="e">
        <f>IF(D1998="BUY",E1998+(ROUND(F1998*M1998/B1998,0)*B1998),E1998-(ROUND(F1998*M1998/B1998,0)*B1998))</f>
        <v>#DIV/0!</v>
      </c>
      <c r="N1999" s="29" t="e">
        <f>IF(D1998="BUY",E1998-(ROUND(F1998*N1998/B1998,0)*B1998),E1998+(ROUND(F1998*N1998/B1998,0)*B1998))</f>
        <v>#DIV/0!</v>
      </c>
      <c r="O1999" s="31" t="e">
        <f>IF(D1999="BUY",N1999-VLOOKUP(A1999,Symbols!A$1:D$1000,4,FALSE),N1999+VLOOKUP(A1999,Symbols!A$1:D$1000,4,FALSE))</f>
        <v>#DIV/0!</v>
      </c>
      <c r="P1999" s="29">
        <f>P1998</f>
        <v>0</v>
      </c>
      <c r="Q1999" s="29">
        <f>Q1998</f>
        <v>0</v>
      </c>
      <c r="R1999" s="29">
        <f>R1998</f>
        <v>0</v>
      </c>
      <c r="S1999" s="29">
        <f>S1998</f>
        <v>0</v>
      </c>
      <c r="T1999" s="29">
        <f>T1998</f>
        <v>0</v>
      </c>
      <c r="U1999" s="29" t="e">
        <f>DATEDIF(DATE(1970,1,1),U1998,"D")*86400</f>
        <v>#NUM!</v>
      </c>
      <c r="V1999" s="29">
        <f>HOUR(V1998)*3600+MINUTE(V1998)*60+SECOND(V1998)</f>
        <v>0</v>
      </c>
      <c r="W1999" s="29" t="e">
        <f>DATEDIF(DATE(1970,1,1),W1998,"D")*86400</f>
        <v>#NUM!</v>
      </c>
      <c r="X1999" s="29">
        <f>HOUR(X1998)*3600+MINUTE(X1998)*60+SECOND(X1998)</f>
        <v>0</v>
      </c>
      <c r="Y1999" s="31">
        <f>(Y1998*B1999)</f>
        <v>0</v>
      </c>
      <c r="Z1999" s="29">
        <f>Z1998</f>
        <v>0</v>
      </c>
      <c r="AA1999" s="29" t="e">
        <f>DATEDIF(DATE(1970,1,1),AA1998,"D")*86400</f>
        <v>#NUM!</v>
      </c>
      <c r="AB1999" s="29">
        <f>HOUR(AB1998)*3600+MINUTE(AB1998)*60+SECOND(AB1998)</f>
        <v>0</v>
      </c>
      <c r="AC1999" s="29">
        <f>AC1998</f>
        <v>0</v>
      </c>
    </row>
  </sheetData>
  <phoneticPr fontId="27" type="noConversion"/>
  <dataValidations count="2">
    <dataValidation type="list" allowBlank="1" showInputMessage="1" showErrorMessage="1" prompt="SELL_x000a_BUY" sqref="D1998 D4 D6 D8 D10 D12 D14 D16 D18 D20 D22 D24 D26 D28 D30 D32 D34 D36 D38 D40 D42 D44 D46 D48 D50 D52 D54 D56 D58 D60 D62 D64 D66 D68 D70 D72 D74 D76 D78 D80 D82 D84 D86 D88 D90 D92 D94 D96 D98 D100 D102 D104 D106 D108 D110 D112 D114 D116 D118 D120 D122 D124 D126 D128 D130 D132 D134 D136 D138 D140 D142 D144 D146 D148 D150 D152 D154 D156 D158 D160 D162 D164 D166 D168 D170 D172 D174 D176 D178 D180 D182 D184 D186 D188 D190 D192 D194 D196 D198 D200 D202 D204 D206 D208 D210 D212 D214 D216 D218 D220 D222 D224 D226 D228 D230 D232 D234 D236 D238 D240 D242 D244 D246 D248 D250 D252 D254 D256 D258 D260 D262 D264 D266 D268 D270 D272 D274 D276 D278 D280 D282 D284 D286 D288 D290 D292 D294 D296 D298 D300 D302 D304 D306 D308 D310 D312 D314 D316 D318 D320 D322 D324 D326 D328 D330 D332 D334 D336 D338 D340 D342 D344 D346 D348 D350 D352 D354 D356 D358 D360 D362 D364 D366 D368 D370 D372 D374 D376 D378 D380 D382 D384 D386 D388 D390 D392 D394 D396 D398 D400 D402 D404 D406 D408 D410 D412 D414 D416 D418 D420 D422 D424 D426 D428 D430 D432 D434 D436 D438 D440 D442 D444 D446 D448 D450 D452 D454 D456 D458 D460 D462 D464 D466 D468 D470 D472 D474 D476 D478 D480 D482 D484 D486 D488 D490 D492 D494 D496 D498 D500 D502 D504 D506 D508 D510 D512 D514 D516 D518 D520 D522 D524 D526 D528 D530 D532 D534 D536 D538 D540 D542 D544 D546 D548 D550 D552 D554 D556 D558 D560 D562 D564 D566 D568 D570 D572 D574 D576 D578 D580 D582 D584 D586 D588 D590 D592 D594 D596 D598 D600 D602 D604 D606 D608 D610 D612 D614 D616 D618 D620 D622 D624 D626 D628 D630 D632 D634 D636 D638 D640 D642 D644 D646 D648 D650 D652 D654 D656 D658 D660 D662 D664 D666 D668 D670 D672 D674 D676 D678 D680 D682 D684 D686 D688 D690 D692 D694 D696 D698 D700 D702 D704 D706 D708 D710 D712 D714 D716 D718 D720 D722 D724 D726 D728 D730 D732 D734 D736 D738 D740 D742 D744 D746 D748 D750 D752 D754 D756 D758 D760 D762 D764 D766 D768 D770 D772 D774 D776 D778 D780 D782 D784 D786 D788 D790 D792 D794 D796 D798 D800 D802 D804 D806 D808 D810 D812 D814 D816 D818 D820 D822 D824 D826 D828 D830 D832 D834 D836 D838 D840 D842 D844 D846 D848 D850 D852 D854 D856 D858 D860 D862 D864 D866 D868 D870 D872 D874 D876 D878 D880 D882 D884 D886 D888 D890 D892 D894 D896 D898 D900 D902 D904 D906 D908 D910 D912 D914 D916 D918 D920 D922 D924 D926 D928 D930 D932 D934 D936 D938 D940 D942 D944 D946 D948 D950 D952 D954 D956 D958 D960 D962 D964 D966 D968 D970 D972 D974 D976 D978 D980 D982 D984 D986 D988 D990 D992 D994 D996 D998 D1000 D1002 D1004 D1006 D1008 D1010 D1012 D1014 D1016 D1018 D1020 D1022 D1024 D1026 D1028 D1030 D1032 D1034 D1036 D1038 D1040 D1042 D1044 D1046 D1048 D1050 D1052 D1054 D1056 D1058 D1060 D1062 D1064 D1066 D1068 D1070 D1072 D1074 D1076 D1078 D1080 D1082 D1084 D1086 D1088 D1090 D1092 D1094 D1096 D1098 D1100 D1102 D1104 D1106 D1108 D1110 D1112 D1114 D1116 D1118 D1120 D1122 D1124 D1126 D1128 D1130 D1132 D1134 D1136 D1138 D1140 D1142 D1144 D1146 D1148 D1150 D1152 D1154 D1156 D1158 D1160 D1162 D1164 D1166 D1168 D1170 D1172 D1174 D1176 D1178 D1180 D1182 D1184 D1186 D1188 D1190 D1192 D1194 D1196 D1198 D1200 D1202 D1204 D1206 D1208 D1210 D1212 D1214 D1216 D1218 D1220 D1222 D1224 D1226 D1228 D1230 D1232 D1234 D1236 D1238 D1240 D1242 D1244 D1246 D1248 D1250 D1252 D1254 D1256 D1258 D1260 D1262 D1264 D1266 D1268 D1270 D1272 D1274 D1276 D1278 D1280 D1282 D1284 D1286 D1288 D1290 D1292 D1294 D1296 D1298 D1300 D1302 D1304 D1306 D1308 D1310 D1312 D1314 D1316 D1318 D1320 D1322 D1324 D1326 D1328 D1330 D1332 D1334 D1336 D1338 D1340 D1342 D1344 D1346 D1348 D1350 D1352 D1354 D1356 D1358 D1360 D1362 D1364 D1366 D1368 D1370 D1372 D1374 D1376 D1378 D1380 D1382 D1384 D1386 D1388 D1390 D1392 D1394 D1396 D1398 D1400 D1402 D1404 D1406 D1408 D1410 D1412 D1414 D1416 D1418 D1420 D1422 D1424 D1426 D1428 D1430 D1432 D1434 D1436 D1438 D1440 D1442 D1444 D1446 D1448 D1450 D1452 D1454 D1456 D1458 D1460 D1462 D1464 D1466 D1468 D1470 D1472 D1474 D1476 D1478 D1480 D1482 D1484 D1486 D1488 D1490 D1492 D1494 D1496 D1498 D1500 D1502 D1504 D1506 D1508 D1510 D1512 D1514 D1516 D1518 D1520 D1522 D1524 D1526 D1528 D1530 D1532 D1534 D1536 D1538 D1540 D1542 D1544 D1546 D1548 D1550 D1552 D1554 D1556 D1558 D1560 D1562 D1564 D1566 D1568 D1570 D1572 D1574 D1576 D1578 D1580 D1582 D1584 D1586 D1588 D1590 D1592 D1594 D1596 D1598 D1600 D1602 D1604 D1606 D1608 D1610 D1612 D1614 D1616 D1618 D1620 D1622 D1624 D1626 D1628 D1630 D1632 D1634 D1636 D1638 D1640 D1642 D1644 D1646 D1648 D1650 D1652 D1654 D1656 D1658 D1660 D1662 D1664 D1666 D1668 D1670 D1672 D1674 D1676 D1678 D1680 D1682 D1684 D1686 D1688 D1690 D1692 D1694 D1696 D1698 D1700 D1702 D1704 D1706 D1708 D1710 D1712 D1714 D1716 D1718 D1720 D1722 D1724 D1726 D1728 D1730 D1732 D1734 D1736 D1738 D1740 D1742 D1744 D1746 D1748 D1750 D1752 D1754 D1756 D1758 D1760 D1762 D1764 D1766 D1768 D1770 D1772 D1774 D1776 D1778 D1780 D1782 D1784 D1786 D1788 D1790 D1792 D1794 D1796 D1798 D1800 D1802 D1804 D1806 D1808 D1810 D1812 D1814 D1816 D1818 D1820 D1822 D1824 D1826 D1828 D1830 D1832 D1834 D1836 D1838 D1840 D1842 D1844 D1846 D1848 D1850 D1852 D1854 D1856 D1858 D1860 D1862 D1864 D1866 D1868 D1870 D1872 D1874 D1876 D1878 D1880 D1882 D1884 D1886 D1888 D1890 D1892 D1894 D1896 D1898 D1900 D1902 D1904 D1906 D1908 D1910 D1912 D1914 D1916 D1918 D1920 D1922 D1924 D1926 D1928 D1930 D1932 D1934 D1936 D1938 D1940 D1942 D1944 D1946 D1948 D1950 D1952 D1954 D1956 D1958 D1960 D1962 D1964 D1966 D1968 D1970 D1972 D1974 D1976 D1978 D1980 D1982 D1984 D1986 D1988 D1990 D1992 D1994 D1996">
      <formula1>"BUY,SELL"</formula1>
      <formula2>0</formula2>
    </dataValidation>
    <dataValidation type="list" allowBlank="1" showInputMessage="1" showErrorMessage="1" prompt="Algo Model 1_x000a_Algo Model 2" sqref="C1998 C4 C6 C8 C10 C12 C14 C16 C18 C20 C22 C24 C26 C28 C30 C32 C34 C36 C38 C40 C42 C44 C46 C48 C50 C52 C54 C56 C58 C60 C62 C64 C66 C68 C70 C72 C74 C76 C78 C80 C82 C84 C86 C88 C90 C92 C94 C96 C98 C100 C102 C104 C106 C108 C110 C112 C114 C116 C118 C120 C122 C124 C126 C128 C130 C132 C134 C136 C138 C140 C142 C144 C146 C148 C150 C152 C154 C156 C158 C160 C162 C164 C166 C168 C170 C172 C174 C176 C178 C180 C182 C184 C186 C188 C190 C192 C194 C196 C198 C200 C202 C204 C206 C208 C210 C212 C214 C216 C218 C220 C222 C224 C226 C228 C230 C232 C234 C236 C238 C240 C242 C244 C246 C248 C250 C252 C254 C256 C258 C260 C262 C264 C266 C268 C270 C272 C274 C276 C278 C280 C282 C284 C286 C288 C290 C292 C294 C296 C298 C300 C302 C304 C306 C308 C310 C312 C314 C316 C318 C320 C322 C324 C326 C328 C330 C332 C334 C336 C338 C340 C342 C344 C346 C348 C350 C352 C354 C356 C358 C360 C362 C364 C366 C368 C370 C372 C374 C376 C378 C380 C382 C384 C386 C388 C390 C392 C394 C396 C398 C400 C402 C404 C406 C408 C410 C412 C414 C416 C418 C420 C422 C424 C426 C428 C430 C432 C434 C436 C438 C440 C442 C444 C446 C448 C450 C452 C454 C456 C458 C460 C462 C464 C466 C468 C470 C472 C474 C476 C478 C480 C482 C484 C486 C488 C490 C492 C494 C496 C498 C500 C502 C504 C506 C508 C510 C512 C514 C516 C518 C520 C522 C524 C526 C528 C530 C532 C534 C536 C538 C540 C542 C544 C546 C548 C550 C552 C554 C556 C558 C560 C562 C564 C566 C568 C570 C572 C574 C576 C578 C580 C582 C584 C586 C588 C590 C592 C594 C596 C598 C600 C602 C604 C606 C608 C610 C612 C614 C616 C618 C620 C622 C624 C626 C628 C630 C632 C634 C636 C638 C640 C642 C644 C646 C648 C650 C652 C654 C656 C658 C660 C662 C664 C666 C668 C670 C672 C674 C676 C678 C680 C682 C684 C686 C688 C690 C692 C694 C696 C698 C700 C702 C704 C706 C708 C710 C712 C714 C716 C718 C720 C722 C724 C726 C728 C730 C732 C734 C736 C738 C740 C742 C744 C746 C748 C750 C752 C754 C756 C758 C760 C762 C764 C766 C768 C770 C772 C774 C776 C778 C780 C782 C784 C786 C788 C790 C792 C794 C796 C798 C800 C802 C804 C806 C808 C810 C812 C814 C816 C818 C820 C822 C824 C826 C828 C830 C832 C834 C836 C838 C840 C842 C844 C846 C848 C850 C852 C854 C856 C858 C860 C862 C864 C866 C868 C870 C872 C874 C876 C878 C880 C882 C884 C886 C888 C890 C892 C894 C896 C898 C900 C902 C904 C906 C908 C910 C912 C914 C916 C918 C920 C922 C924 C926 C928 C930 C932 C934 C936 C938 C940 C942 C944 C946 C948 C950 C952 C954 C956 C958 C960 C962 C964 C966 C968 C970 C972 C974 C976 C978 C980 C982 C984 C986 C988 C990 C992 C994 C996 C998 C1000 C1002 C1004 C1006 C1008 C1010 C1012 C1014 C1016 C1018 C1020 C1022 C1024 C1026 C1028 C1030 C1032 C1034 C1036 C1038 C1040 C1042 C1044 C1046 C1048 C1050 C1052 C1054 C1056 C1058 C1060 C1062 C1064 C1066 C1068 C1070 C1072 C1074 C1076 C1078 C1080 C1082 C1084 C1086 C1088 C1090 C1092 C1094 C1096 C1098 C1100 C1102 C1104 C1106 C1108 C1110 C1112 C1114 C1116 C1118 C1120 C1122 C1124 C1126 C1128 C1130 C1132 C1134 C1136 C1138 C1140 C1142 C1144 C1146 C1148 C1150 C1152 C1154 C1156 C1158 C1160 C1162 C1164 C1166 C1168 C1170 C1172 C1174 C1176 C1178 C1180 C1182 C1184 C1186 C1188 C1190 C1192 C1194 C1196 C1198 C1200 C1202 C1204 C1206 C1208 C1210 C1212 C1214 C1216 C1218 C1220 C1222 C1224 C1226 C1228 C1230 C1232 C1234 C1236 C1238 C1240 C1242 C1244 C1246 C1248 C1250 C1252 C1254 C1256 C1258 C1260 C1262 C1264 C1266 C1268 C1270 C1272 C1274 C1276 C1278 C1280 C1282 C1284 C1286 C1288 C1290 C1292 C1294 C1296 C1298 C1300 C1302 C1304 C1306 C1308 C1310 C1312 C1314 C1316 C1318 C1320 C1322 C1324 C1326 C1328 C1330 C1332 C1334 C1336 C1338 C1340 C1342 C1344 C1346 C1348 C1350 C1352 C1354 C1356 C1358 C1360 C1362 C1364 C1366 C1368 C1370 C1372 C1374 C1376 C1378 C1380 C1382 C1384 C1386 C1388 C1390 C1392 C1394 C1396 C1398 C1400 C1402 C1404 C1406 C1408 C1410 C1412 C1414 C1416 C1418 C1420 C1422 C1424 C1426 C1428 C1430 C1432 C1434 C1436 C1438 C1440 C1442 C1444 C1446 C1448 C1450 C1452 C1454 C1456 C1458 C1460 C1462 C1464 C1466 C1468 C1470 C1472 C1474 C1476 C1478 C1480 C1482 C1484 C1486 C1488 C1490 C1492 C1494 C1496 C1498 C1500 C1502 C1504 C1506 C1508 C1510 C1512 C1514 C1516 C1518 C1520 C1522 C1524 C1526 C1528 C1530 C1532 C1534 C1536 C1538 C1540 C1542 C1544 C1546 C1548 C1550 C1552 C1554 C1556 C1558 C1560 C1562 C1564 C1566 C1568 C1570 C1572 C1574 C1576 C1578 C1580 C1582 C1584 C1586 C1588 C1590 C1592 C1594 C1596 C1598 C1600 C1602 C1604 C1606 C1608 C1610 C1612 C1614 C1616 C1618 C1620 C1622 C1624 C1626 C1628 C1630 C1632 C1634 C1636 C1638 C1640 C1642 C1644 C1646 C1648 C1650 C1652 C1654 C1656 C1658 C1660 C1662 C1664 C1666 C1668 C1670 C1672 C1674 C1676 C1678 C1680 C1682 C1684 C1686 C1688 C1690 C1692 C1694 C1696 C1698 C1700 C1702 C1704 C1706 C1708 C1710 C1712 C1714 C1716 C1718 C1720 C1722 C1724 C1726 C1728 C1730 C1732 C1734 C1736 C1738 C1740 C1742 C1744 C1746 C1748 C1750 C1752 C1754 C1756 C1758 C1760 C1762 C1764 C1766 C1768 C1770 C1772 C1774 C1776 C1778 C1780 C1782 C1784 C1786 C1788 C1790 C1792 C1794 C1796 C1798 C1800 C1802 C1804 C1806 C1808 C1810 C1812 C1814 C1816 C1818 C1820 C1822 C1824 C1826 C1828 C1830 C1832 C1834 C1836 C1838 C1840 C1842 C1844 C1846 C1848 C1850 C1852 C1854 C1856 C1858 C1860 C1862 C1864 C1866 C1868 C1870 C1872 C1874 C1876 C1878 C1880 C1882 C1884 C1886 C1888 C1890 C1892 C1894 C1896 C1898 C1900 C1902 C1904 C1906 C1908 C1910 C1912 C1914 C1916 C1918 C1920 C1922 C1924 C1926 C1928 C1930 C1932 C1934 C1936 C1938 C1940 C1942 C1944 C1946 C1948 C1950 C1952 C1954 C1956 C1958 C1960 C1962 C1964 C1966 C1968 C1970 C1972 C1974 C1976 C1978 C1980 C1982 C1984 C1986 C1988 C1990 C1992 C1994 C1996">
      <formula1>"1,2"</formula1>
      <formula2>0</formula2>
    </dataValidation>
  </dataValidations>
  <printOptions horizontalCentered="1"/>
  <pageMargins left="0.3" right="0.3" top="0.61" bottom="0.37" header="0.1" footer="0.1"/>
  <pageSetup paperSize="9" pageOrder="overThenDown" orientation="portrait" useFirstPageNumber="1" horizontalDpi="300" verticalDpi="300" r:id="rId1"/>
  <headerFooter alignWithMargins="0">
    <oddHeader>&amp;P</oddHeader>
    <oddFoote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000"/>
  <sheetViews>
    <sheetView tabSelected="1" zoomScale="85" zoomScaleNormal="85" workbookViewId="0">
      <selection activeCell="B2" sqref="B2:B141"/>
    </sheetView>
  </sheetViews>
  <sheetFormatPr defaultRowHeight="12.75"/>
  <cols>
    <col min="2" max="2" width="10.85546875" customWidth="1"/>
    <col min="5" max="5" width="13.7109375" customWidth="1"/>
    <col min="9" max="9" width="9.140625" style="10"/>
    <col min="10" max="10" width="13.140625" customWidth="1"/>
    <col min="11" max="11" width="14.42578125" customWidth="1"/>
    <col min="13" max="13" width="11.7109375" bestFit="1" customWidth="1"/>
    <col min="19" max="19" width="10.140625" style="5" bestFit="1" customWidth="1"/>
    <col min="20" max="20" width="9.140625" style="7"/>
    <col min="21" max="21" width="10.140625" style="5" bestFit="1" customWidth="1"/>
    <col min="22" max="22" width="9.140625" style="7"/>
    <col min="25" max="25" width="11.140625" customWidth="1"/>
    <col min="26" max="26" width="11.5703125" customWidth="1"/>
    <col min="27" max="27" width="20.5703125" bestFit="1" customWidth="1"/>
  </cols>
  <sheetData>
    <row r="1" spans="1:27">
      <c r="A1" s="1" t="s">
        <v>0</v>
      </c>
      <c r="B1" s="1" t="s">
        <v>1</v>
      </c>
      <c r="C1" s="1" t="s">
        <v>2</v>
      </c>
      <c r="D1" s="1" t="s">
        <v>3</v>
      </c>
      <c r="E1" s="1" t="s">
        <v>4</v>
      </c>
      <c r="F1" s="1" t="s">
        <v>5</v>
      </c>
      <c r="G1" s="1" t="s">
        <v>6</v>
      </c>
      <c r="H1" s="1" t="s">
        <v>7</v>
      </c>
      <c r="I1" s="17" t="s">
        <v>8</v>
      </c>
      <c r="J1" s="1" t="s">
        <v>9</v>
      </c>
      <c r="K1" s="1" t="s">
        <v>10</v>
      </c>
      <c r="L1" s="1" t="s">
        <v>11</v>
      </c>
      <c r="M1" s="1" t="s">
        <v>12</v>
      </c>
      <c r="N1" s="1" t="s">
        <v>13</v>
      </c>
      <c r="O1" s="1" t="s">
        <v>14</v>
      </c>
      <c r="P1" s="1" t="s">
        <v>15</v>
      </c>
      <c r="Q1" s="1" t="s">
        <v>16</v>
      </c>
      <c r="R1" s="1" t="s">
        <v>17</v>
      </c>
      <c r="S1" s="3" t="s">
        <v>18</v>
      </c>
      <c r="T1" s="1" t="s">
        <v>19</v>
      </c>
      <c r="U1" s="3" t="s">
        <v>20</v>
      </c>
      <c r="V1" s="1" t="s">
        <v>21</v>
      </c>
      <c r="W1" s="1" t="s">
        <v>22</v>
      </c>
      <c r="X1" s="1" t="s">
        <v>23</v>
      </c>
      <c r="Y1" s="1" t="s">
        <v>24</v>
      </c>
      <c r="Z1" s="1" t="s">
        <v>25</v>
      </c>
      <c r="AA1" s="1" t="s">
        <v>26</v>
      </c>
    </row>
    <row r="2" spans="1:27" s="7" customFormat="1">
      <c r="A2" s="2" t="s">
        <v>29</v>
      </c>
      <c r="B2" s="9">
        <f>VLOOKUP(Parameters!A2,Symbols!A$2:B$1000,2,FALSE)</f>
        <v>5.0000000000000002E-5</v>
      </c>
      <c r="C2" s="9">
        <v>2</v>
      </c>
      <c r="D2" s="9" t="s">
        <v>27</v>
      </c>
      <c r="E2" s="18">
        <v>1.10005</v>
      </c>
      <c r="F2" s="13">
        <f>B2*100</f>
        <v>5.0000000000000001E-3</v>
      </c>
      <c r="G2" s="10">
        <v>0</v>
      </c>
      <c r="H2" s="10">
        <v>0</v>
      </c>
      <c r="I2" s="10">
        <v>0</v>
      </c>
      <c r="J2" s="10">
        <v>1</v>
      </c>
      <c r="K2" s="10">
        <v>1</v>
      </c>
      <c r="L2" s="10">
        <v>1</v>
      </c>
      <c r="M2" s="10">
        <v>1</v>
      </c>
      <c r="N2" s="9">
        <v>1</v>
      </c>
      <c r="O2" s="9">
        <v>100</v>
      </c>
      <c r="P2" s="9">
        <v>10</v>
      </c>
      <c r="Q2" s="9">
        <v>2</v>
      </c>
      <c r="R2" s="9">
        <v>1</v>
      </c>
      <c r="S2" s="5">
        <v>42741</v>
      </c>
      <c r="T2" s="14">
        <v>0.30208333333333331</v>
      </c>
      <c r="U2" s="5">
        <v>42964</v>
      </c>
      <c r="V2" s="14">
        <v>0.65277777777777779</v>
      </c>
      <c r="W2" s="15">
        <v>28</v>
      </c>
      <c r="X2" s="9">
        <v>1</v>
      </c>
      <c r="Y2" s="5">
        <v>42964</v>
      </c>
      <c r="Z2" s="11">
        <v>0.65347222222222223</v>
      </c>
      <c r="AA2" s="7">
        <v>1</v>
      </c>
    </row>
    <row r="3" spans="1:27" s="7" customFormat="1">
      <c r="A3" s="2" t="s">
        <v>29</v>
      </c>
      <c r="B3" s="9">
        <f>VLOOKUP(Parameters!A3,Symbols!A$2:B$1000,2,FALSE)</f>
        <v>5.0000000000000002E-5</v>
      </c>
      <c r="C3" s="9">
        <v>2</v>
      </c>
      <c r="D3" s="9" t="s">
        <v>27</v>
      </c>
      <c r="E3" s="13">
        <f>E2</f>
        <v>1.10005</v>
      </c>
      <c r="F3" s="13">
        <f t="shared" ref="F3:F66" si="0">B3*100</f>
        <v>5.0000000000000001E-3</v>
      </c>
      <c r="G3" s="10">
        <v>0.01</v>
      </c>
      <c r="H3" s="10">
        <v>0</v>
      </c>
      <c r="I3" s="10">
        <v>0</v>
      </c>
      <c r="J3" s="10">
        <v>1</v>
      </c>
      <c r="K3" s="10">
        <v>1</v>
      </c>
      <c r="L3" s="10">
        <v>1</v>
      </c>
      <c r="M3" s="10">
        <v>1</v>
      </c>
      <c r="N3" s="9">
        <v>1</v>
      </c>
      <c r="O3" s="9">
        <v>100</v>
      </c>
      <c r="P3" s="9">
        <v>10</v>
      </c>
      <c r="Q3" s="9">
        <v>2</v>
      </c>
      <c r="R3" s="9">
        <v>1</v>
      </c>
      <c r="S3" s="5">
        <v>42741</v>
      </c>
      <c r="T3" s="14">
        <v>0.30208333333333331</v>
      </c>
      <c r="U3" s="5">
        <v>42964</v>
      </c>
      <c r="V3" s="14">
        <v>0.65277777777777779</v>
      </c>
      <c r="W3" s="15">
        <v>28</v>
      </c>
      <c r="X3" s="9">
        <v>1</v>
      </c>
      <c r="Y3" s="5">
        <v>42964</v>
      </c>
      <c r="Z3" s="11">
        <v>0.65347222222222223</v>
      </c>
      <c r="AA3" s="12">
        <v>1</v>
      </c>
    </row>
    <row r="4" spans="1:27" s="7" customFormat="1">
      <c r="A4" s="2" t="s">
        <v>29</v>
      </c>
      <c r="B4" s="9">
        <f>VLOOKUP(Parameters!A4,Symbols!A$2:B$1000,2,FALSE)</f>
        <v>5.0000000000000002E-5</v>
      </c>
      <c r="C4" s="9">
        <v>2</v>
      </c>
      <c r="D4" s="9" t="s">
        <v>27</v>
      </c>
      <c r="E4" s="13">
        <f t="shared" ref="E4:E20" si="1">E3</f>
        <v>1.10005</v>
      </c>
      <c r="F4" s="13">
        <f t="shared" si="0"/>
        <v>5.0000000000000001E-3</v>
      </c>
      <c r="G4" s="10">
        <v>0.02</v>
      </c>
      <c r="H4" s="10">
        <v>0</v>
      </c>
      <c r="I4" s="10">
        <v>0</v>
      </c>
      <c r="J4" s="10">
        <v>1</v>
      </c>
      <c r="K4" s="10">
        <v>1</v>
      </c>
      <c r="L4" s="10">
        <v>1</v>
      </c>
      <c r="M4" s="10">
        <v>1</v>
      </c>
      <c r="N4" s="9">
        <v>1</v>
      </c>
      <c r="O4" s="9">
        <v>100</v>
      </c>
      <c r="P4" s="9">
        <v>10</v>
      </c>
      <c r="Q4" s="9">
        <v>2</v>
      </c>
      <c r="R4" s="9">
        <v>1</v>
      </c>
      <c r="S4" s="5">
        <v>42741</v>
      </c>
      <c r="T4" s="14">
        <v>0.30208333333333331</v>
      </c>
      <c r="U4" s="5">
        <v>42964</v>
      </c>
      <c r="V4" s="14">
        <v>0.65277777777777779</v>
      </c>
      <c r="W4" s="15">
        <v>28</v>
      </c>
      <c r="X4" s="9">
        <v>1</v>
      </c>
      <c r="Y4" s="5">
        <v>42964</v>
      </c>
      <c r="Z4" s="11">
        <v>0.65347222222222223</v>
      </c>
      <c r="AA4" s="12">
        <v>1</v>
      </c>
    </row>
    <row r="5" spans="1:27" s="7" customFormat="1">
      <c r="A5" s="2" t="s">
        <v>29</v>
      </c>
      <c r="B5" s="9">
        <f>VLOOKUP(Parameters!A5,Symbols!A$2:B$1000,2,FALSE)</f>
        <v>5.0000000000000002E-5</v>
      </c>
      <c r="C5" s="9">
        <v>2</v>
      </c>
      <c r="D5" s="9" t="s">
        <v>27</v>
      </c>
      <c r="E5" s="13">
        <f t="shared" si="1"/>
        <v>1.10005</v>
      </c>
      <c r="F5" s="13">
        <f t="shared" si="0"/>
        <v>5.0000000000000001E-3</v>
      </c>
      <c r="G5" s="10">
        <v>0.03</v>
      </c>
      <c r="H5" s="10">
        <v>0</v>
      </c>
      <c r="I5" s="10">
        <v>0</v>
      </c>
      <c r="J5" s="10">
        <v>1</v>
      </c>
      <c r="K5" s="10">
        <v>1</v>
      </c>
      <c r="L5" s="10">
        <v>1</v>
      </c>
      <c r="M5" s="10">
        <v>1</v>
      </c>
      <c r="N5" s="9">
        <v>1</v>
      </c>
      <c r="O5" s="9">
        <v>100</v>
      </c>
      <c r="P5" s="9">
        <v>10</v>
      </c>
      <c r="Q5" s="9">
        <v>2</v>
      </c>
      <c r="R5" s="9">
        <v>1</v>
      </c>
      <c r="S5" s="5">
        <v>42741</v>
      </c>
      <c r="T5" s="14">
        <v>0.30208333333333331</v>
      </c>
      <c r="U5" s="5">
        <v>42964</v>
      </c>
      <c r="V5" s="14">
        <v>0.65277777777777779</v>
      </c>
      <c r="W5" s="15">
        <v>28</v>
      </c>
      <c r="X5" s="9">
        <v>1</v>
      </c>
      <c r="Y5" s="5">
        <v>42964</v>
      </c>
      <c r="Z5" s="11">
        <v>0.65347222222222223</v>
      </c>
      <c r="AA5" s="12">
        <v>1</v>
      </c>
    </row>
    <row r="6" spans="1:27">
      <c r="A6" s="2" t="s">
        <v>29</v>
      </c>
      <c r="B6" s="9">
        <f>VLOOKUP(Parameters!A6,Symbols!A$2:B$1000,2,FALSE)</f>
        <v>5.0000000000000002E-5</v>
      </c>
      <c r="C6" s="9">
        <v>2</v>
      </c>
      <c r="D6" s="9" t="s">
        <v>27</v>
      </c>
      <c r="E6" s="13">
        <f t="shared" si="1"/>
        <v>1.10005</v>
      </c>
      <c r="F6" s="13">
        <f t="shared" si="0"/>
        <v>5.0000000000000001E-3</v>
      </c>
      <c r="G6" s="10">
        <v>0.04</v>
      </c>
      <c r="H6" s="10">
        <v>0</v>
      </c>
      <c r="I6" s="10">
        <v>0</v>
      </c>
      <c r="J6" s="10">
        <v>1</v>
      </c>
      <c r="K6" s="10">
        <v>1</v>
      </c>
      <c r="L6" s="10">
        <v>1</v>
      </c>
      <c r="M6" s="10">
        <v>1</v>
      </c>
      <c r="N6" s="9">
        <v>1</v>
      </c>
      <c r="O6" s="9">
        <v>100</v>
      </c>
      <c r="P6" s="9">
        <v>10</v>
      </c>
      <c r="Q6" s="9">
        <v>2</v>
      </c>
      <c r="R6" s="9">
        <v>1</v>
      </c>
      <c r="S6" s="5">
        <v>42741</v>
      </c>
      <c r="T6" s="14">
        <v>0.30208333333333331</v>
      </c>
      <c r="U6" s="5">
        <v>42964</v>
      </c>
      <c r="V6" s="14">
        <v>0.65277777777777779</v>
      </c>
      <c r="W6" s="15">
        <v>28</v>
      </c>
      <c r="X6" s="9">
        <v>1</v>
      </c>
      <c r="Y6" s="5">
        <v>42964</v>
      </c>
      <c r="Z6" s="11">
        <v>0.65347222222222223</v>
      </c>
      <c r="AA6" s="12">
        <v>1</v>
      </c>
    </row>
    <row r="7" spans="1:27">
      <c r="A7" s="2" t="s">
        <v>29</v>
      </c>
      <c r="B7" s="9">
        <f>VLOOKUP(Parameters!A7,Symbols!A$2:B$1000,2,FALSE)</f>
        <v>5.0000000000000002E-5</v>
      </c>
      <c r="C7" s="9">
        <v>2</v>
      </c>
      <c r="D7" s="9" t="s">
        <v>27</v>
      </c>
      <c r="E7" s="13">
        <f t="shared" si="1"/>
        <v>1.10005</v>
      </c>
      <c r="F7" s="13">
        <f t="shared" si="0"/>
        <v>5.0000000000000001E-3</v>
      </c>
      <c r="G7" s="10">
        <v>0.05</v>
      </c>
      <c r="H7" s="10">
        <v>0</v>
      </c>
      <c r="I7" s="10">
        <v>0</v>
      </c>
      <c r="J7" s="10">
        <v>1</v>
      </c>
      <c r="K7" s="10">
        <v>1</v>
      </c>
      <c r="L7" s="10">
        <v>1</v>
      </c>
      <c r="M7" s="10">
        <v>1</v>
      </c>
      <c r="N7" s="9">
        <v>1</v>
      </c>
      <c r="O7" s="9">
        <v>100</v>
      </c>
      <c r="P7" s="9">
        <v>10</v>
      </c>
      <c r="Q7" s="9">
        <v>2</v>
      </c>
      <c r="R7" s="9">
        <v>1</v>
      </c>
      <c r="S7" s="5">
        <v>42741</v>
      </c>
      <c r="T7" s="14">
        <v>0.30208333333333331</v>
      </c>
      <c r="U7" s="5">
        <v>42964</v>
      </c>
      <c r="V7" s="14">
        <v>0.65277777777777779</v>
      </c>
      <c r="W7" s="15">
        <v>28</v>
      </c>
      <c r="X7" s="9">
        <v>1</v>
      </c>
      <c r="Y7" s="5">
        <v>42964</v>
      </c>
      <c r="Z7" s="11">
        <v>0.65347222222222223</v>
      </c>
      <c r="AA7" s="12">
        <v>1</v>
      </c>
    </row>
    <row r="8" spans="1:27">
      <c r="A8" s="2" t="s">
        <v>29</v>
      </c>
      <c r="B8" s="9">
        <f>VLOOKUP(Parameters!A8,Symbols!A$2:B$1000,2,FALSE)</f>
        <v>5.0000000000000002E-5</v>
      </c>
      <c r="C8" s="9">
        <v>2</v>
      </c>
      <c r="D8" s="9" t="s">
        <v>27</v>
      </c>
      <c r="E8" s="13">
        <f t="shared" si="1"/>
        <v>1.10005</v>
      </c>
      <c r="F8" s="13">
        <f t="shared" si="0"/>
        <v>5.0000000000000001E-3</v>
      </c>
      <c r="G8" s="10">
        <v>0.06</v>
      </c>
      <c r="H8" s="10">
        <v>0</v>
      </c>
      <c r="I8" s="10">
        <v>0</v>
      </c>
      <c r="J8" s="10">
        <v>1</v>
      </c>
      <c r="K8" s="10">
        <v>1</v>
      </c>
      <c r="L8" s="10">
        <v>1</v>
      </c>
      <c r="M8" s="10">
        <v>1</v>
      </c>
      <c r="N8" s="9">
        <v>1</v>
      </c>
      <c r="O8" s="9">
        <v>100</v>
      </c>
      <c r="P8" s="9">
        <v>10</v>
      </c>
      <c r="Q8" s="9">
        <v>2</v>
      </c>
      <c r="R8" s="9">
        <v>1</v>
      </c>
      <c r="S8" s="5">
        <v>42741</v>
      </c>
      <c r="T8" s="14">
        <v>0.30208333333333331</v>
      </c>
      <c r="U8" s="5">
        <v>42964</v>
      </c>
      <c r="V8" s="14">
        <v>0.65277777777777779</v>
      </c>
      <c r="W8" s="15">
        <v>28</v>
      </c>
      <c r="X8" s="9">
        <v>1</v>
      </c>
      <c r="Y8" s="5">
        <v>42964</v>
      </c>
      <c r="Z8" s="11">
        <v>0.65347222222222223</v>
      </c>
      <c r="AA8" s="12">
        <v>1</v>
      </c>
    </row>
    <row r="9" spans="1:27">
      <c r="A9" s="2" t="s">
        <v>29</v>
      </c>
      <c r="B9" s="9">
        <f>VLOOKUP(Parameters!A9,Symbols!A$2:B$1000,2,FALSE)</f>
        <v>5.0000000000000002E-5</v>
      </c>
      <c r="C9" s="9">
        <v>2</v>
      </c>
      <c r="D9" s="9" t="s">
        <v>27</v>
      </c>
      <c r="E9" s="13">
        <f t="shared" si="1"/>
        <v>1.10005</v>
      </c>
      <c r="F9" s="13">
        <f t="shared" si="0"/>
        <v>5.0000000000000001E-3</v>
      </c>
      <c r="G9" s="10">
        <v>7.0000000000000007E-2</v>
      </c>
      <c r="H9" s="10">
        <v>0</v>
      </c>
      <c r="I9" s="10">
        <v>0</v>
      </c>
      <c r="J9" s="10">
        <v>1</v>
      </c>
      <c r="K9" s="10">
        <v>1</v>
      </c>
      <c r="L9" s="10">
        <v>1</v>
      </c>
      <c r="M9" s="10">
        <v>1</v>
      </c>
      <c r="N9" s="9">
        <v>1</v>
      </c>
      <c r="O9" s="9">
        <v>100</v>
      </c>
      <c r="P9" s="9">
        <v>10</v>
      </c>
      <c r="Q9" s="9">
        <v>2</v>
      </c>
      <c r="R9" s="9">
        <v>1</v>
      </c>
      <c r="S9" s="5">
        <v>42741</v>
      </c>
      <c r="T9" s="14">
        <v>0.30208333333333331</v>
      </c>
      <c r="U9" s="5">
        <v>42964</v>
      </c>
      <c r="V9" s="14">
        <v>0.65277777777777779</v>
      </c>
      <c r="W9" s="15">
        <v>28</v>
      </c>
      <c r="X9" s="9">
        <v>1</v>
      </c>
      <c r="Y9" s="5">
        <v>42964</v>
      </c>
      <c r="Z9" s="11">
        <v>0.65347222222222223</v>
      </c>
      <c r="AA9" s="12">
        <v>1</v>
      </c>
    </row>
    <row r="10" spans="1:27">
      <c r="A10" s="2" t="s">
        <v>29</v>
      </c>
      <c r="B10" s="9">
        <f>VLOOKUP(Parameters!A10,Symbols!A$2:B$1000,2,FALSE)</f>
        <v>5.0000000000000002E-5</v>
      </c>
      <c r="C10" s="9">
        <v>2</v>
      </c>
      <c r="D10" s="9" t="s">
        <v>27</v>
      </c>
      <c r="E10" s="13">
        <f t="shared" si="1"/>
        <v>1.10005</v>
      </c>
      <c r="F10" s="13">
        <f t="shared" si="0"/>
        <v>5.0000000000000001E-3</v>
      </c>
      <c r="G10" s="10">
        <v>0.08</v>
      </c>
      <c r="H10" s="10">
        <v>0</v>
      </c>
      <c r="I10" s="10">
        <v>0</v>
      </c>
      <c r="J10" s="10">
        <v>1</v>
      </c>
      <c r="K10" s="10">
        <v>1</v>
      </c>
      <c r="L10" s="10">
        <v>1</v>
      </c>
      <c r="M10" s="10">
        <v>1</v>
      </c>
      <c r="N10" s="9">
        <v>1</v>
      </c>
      <c r="O10" s="9">
        <v>100</v>
      </c>
      <c r="P10" s="9">
        <v>10</v>
      </c>
      <c r="Q10" s="9">
        <v>2</v>
      </c>
      <c r="R10" s="9">
        <v>1</v>
      </c>
      <c r="S10" s="5">
        <v>42741</v>
      </c>
      <c r="T10" s="14">
        <v>0.30208333333333331</v>
      </c>
      <c r="U10" s="5">
        <v>42964</v>
      </c>
      <c r="V10" s="14">
        <v>0.65277777777777779</v>
      </c>
      <c r="W10" s="15">
        <v>28</v>
      </c>
      <c r="X10" s="9">
        <v>1</v>
      </c>
      <c r="Y10" s="5">
        <v>42964</v>
      </c>
      <c r="Z10" s="11">
        <v>0.65347222222222223</v>
      </c>
      <c r="AA10" s="12">
        <v>1</v>
      </c>
    </row>
    <row r="11" spans="1:27">
      <c r="A11" s="2" t="s">
        <v>29</v>
      </c>
      <c r="B11" s="9">
        <f>VLOOKUP(Parameters!A11,Symbols!A$2:B$1000,2,FALSE)</f>
        <v>5.0000000000000002E-5</v>
      </c>
      <c r="C11" s="9">
        <v>2</v>
      </c>
      <c r="D11" s="9" t="s">
        <v>27</v>
      </c>
      <c r="E11" s="13">
        <f t="shared" si="1"/>
        <v>1.10005</v>
      </c>
      <c r="F11" s="13">
        <f t="shared" si="0"/>
        <v>5.0000000000000001E-3</v>
      </c>
      <c r="G11" s="10">
        <v>0.09</v>
      </c>
      <c r="H11" s="10">
        <v>0</v>
      </c>
      <c r="I11" s="10">
        <v>0</v>
      </c>
      <c r="J11" s="10">
        <v>1</v>
      </c>
      <c r="K11" s="10">
        <v>1</v>
      </c>
      <c r="L11" s="10">
        <v>1</v>
      </c>
      <c r="M11" s="10">
        <v>1</v>
      </c>
      <c r="N11" s="9">
        <v>1</v>
      </c>
      <c r="O11" s="9">
        <v>100</v>
      </c>
      <c r="P11" s="9">
        <v>10</v>
      </c>
      <c r="Q11" s="9">
        <v>2</v>
      </c>
      <c r="R11" s="9">
        <v>1</v>
      </c>
      <c r="S11" s="5">
        <v>42741</v>
      </c>
      <c r="T11" s="14">
        <v>0.30208333333333331</v>
      </c>
      <c r="U11" s="5">
        <v>42964</v>
      </c>
      <c r="V11" s="14">
        <v>0.65277777777777779</v>
      </c>
      <c r="W11" s="15">
        <v>28</v>
      </c>
      <c r="X11" s="9">
        <v>1</v>
      </c>
      <c r="Y11" s="5">
        <v>42964</v>
      </c>
      <c r="Z11" s="11">
        <v>0.65347222222222223</v>
      </c>
      <c r="AA11" s="12">
        <v>1</v>
      </c>
    </row>
    <row r="12" spans="1:27">
      <c r="A12" s="2" t="s">
        <v>29</v>
      </c>
      <c r="B12" s="9">
        <f>VLOOKUP(Parameters!A12,Symbols!A$2:B$1000,2,FALSE)</f>
        <v>5.0000000000000002E-5</v>
      </c>
      <c r="C12" s="9">
        <v>2</v>
      </c>
      <c r="D12" s="9" t="s">
        <v>34</v>
      </c>
      <c r="E12" s="13">
        <f t="shared" si="1"/>
        <v>1.10005</v>
      </c>
      <c r="F12" s="13">
        <f t="shared" si="0"/>
        <v>5.0000000000000001E-3</v>
      </c>
      <c r="G12" s="10">
        <v>0</v>
      </c>
      <c r="H12" s="10">
        <v>0</v>
      </c>
      <c r="I12" s="10">
        <v>0</v>
      </c>
      <c r="J12" s="10">
        <v>1</v>
      </c>
      <c r="K12" s="10">
        <v>1</v>
      </c>
      <c r="L12" s="10">
        <v>1</v>
      </c>
      <c r="M12" s="10">
        <v>1</v>
      </c>
      <c r="N12" s="9">
        <v>1</v>
      </c>
      <c r="O12" s="9">
        <v>100</v>
      </c>
      <c r="P12" s="9">
        <v>10</v>
      </c>
      <c r="Q12" s="9">
        <v>2</v>
      </c>
      <c r="R12" s="9">
        <v>1</v>
      </c>
      <c r="S12" s="5">
        <v>42741</v>
      </c>
      <c r="T12" s="14">
        <v>0.30208333333333331</v>
      </c>
      <c r="U12" s="5">
        <v>42964</v>
      </c>
      <c r="V12" s="14">
        <v>0.65277777777777779</v>
      </c>
      <c r="W12" s="15">
        <v>28</v>
      </c>
      <c r="X12" s="9">
        <v>1</v>
      </c>
      <c r="Y12" s="5">
        <v>42964</v>
      </c>
      <c r="Z12" s="11">
        <v>0.65347222222222223</v>
      </c>
      <c r="AA12" s="12">
        <v>1</v>
      </c>
    </row>
    <row r="13" spans="1:27">
      <c r="A13" s="2" t="s">
        <v>29</v>
      </c>
      <c r="B13" s="9">
        <f>VLOOKUP(Parameters!A13,Symbols!A$2:B$1000,2,FALSE)</f>
        <v>5.0000000000000002E-5</v>
      </c>
      <c r="C13" s="9">
        <v>2</v>
      </c>
      <c r="D13" s="9" t="s">
        <v>34</v>
      </c>
      <c r="E13" s="13">
        <f t="shared" si="1"/>
        <v>1.10005</v>
      </c>
      <c r="F13" s="13">
        <f t="shared" si="0"/>
        <v>5.0000000000000001E-3</v>
      </c>
      <c r="G13" s="10">
        <v>0.01</v>
      </c>
      <c r="H13" s="10">
        <v>0</v>
      </c>
      <c r="I13" s="10">
        <v>0</v>
      </c>
      <c r="J13" s="10">
        <v>1</v>
      </c>
      <c r="K13" s="10">
        <v>1</v>
      </c>
      <c r="L13" s="10">
        <v>1</v>
      </c>
      <c r="M13" s="10">
        <v>1</v>
      </c>
      <c r="N13" s="9">
        <v>1</v>
      </c>
      <c r="O13" s="9">
        <v>100</v>
      </c>
      <c r="P13" s="9">
        <v>10</v>
      </c>
      <c r="Q13" s="9">
        <v>2</v>
      </c>
      <c r="R13" s="9">
        <v>1</v>
      </c>
      <c r="S13" s="5">
        <v>42741</v>
      </c>
      <c r="T13" s="14">
        <v>0.30208333333333331</v>
      </c>
      <c r="U13" s="5">
        <v>42964</v>
      </c>
      <c r="V13" s="14">
        <v>0.65277777777777779</v>
      </c>
      <c r="W13" s="15">
        <v>28</v>
      </c>
      <c r="X13" s="9">
        <v>1</v>
      </c>
      <c r="Y13" s="5">
        <v>42964</v>
      </c>
      <c r="Z13" s="11">
        <v>0.65347222222222223</v>
      </c>
      <c r="AA13" s="12">
        <v>1</v>
      </c>
    </row>
    <row r="14" spans="1:27">
      <c r="A14" s="2" t="s">
        <v>29</v>
      </c>
      <c r="B14" s="9">
        <f>VLOOKUP(Parameters!A14,Symbols!A$2:B$1000,2,FALSE)</f>
        <v>5.0000000000000002E-5</v>
      </c>
      <c r="C14" s="9">
        <v>2</v>
      </c>
      <c r="D14" s="9" t="s">
        <v>34</v>
      </c>
      <c r="E14" s="13">
        <f t="shared" si="1"/>
        <v>1.10005</v>
      </c>
      <c r="F14" s="13">
        <f t="shared" si="0"/>
        <v>5.0000000000000001E-3</v>
      </c>
      <c r="G14" s="10">
        <v>0.02</v>
      </c>
      <c r="H14" s="10">
        <v>0</v>
      </c>
      <c r="I14" s="10">
        <v>0</v>
      </c>
      <c r="J14" s="10">
        <v>1</v>
      </c>
      <c r="K14" s="10">
        <v>1</v>
      </c>
      <c r="L14" s="10">
        <v>1</v>
      </c>
      <c r="M14" s="10">
        <v>1</v>
      </c>
      <c r="N14" s="9">
        <v>1</v>
      </c>
      <c r="O14" s="9">
        <v>100</v>
      </c>
      <c r="P14" s="9">
        <v>10</v>
      </c>
      <c r="Q14" s="9">
        <v>2</v>
      </c>
      <c r="R14" s="9">
        <v>1</v>
      </c>
      <c r="S14" s="5">
        <v>42741</v>
      </c>
      <c r="T14" s="14">
        <v>0.30208333333333331</v>
      </c>
      <c r="U14" s="5">
        <v>42964</v>
      </c>
      <c r="V14" s="14">
        <v>0.65277777777777779</v>
      </c>
      <c r="W14" s="15">
        <v>28</v>
      </c>
      <c r="X14" s="9">
        <v>1</v>
      </c>
      <c r="Y14" s="5">
        <v>42964</v>
      </c>
      <c r="Z14" s="11">
        <v>0.65347222222222223</v>
      </c>
      <c r="AA14" s="12">
        <v>1</v>
      </c>
    </row>
    <row r="15" spans="1:27">
      <c r="A15" s="2" t="s">
        <v>29</v>
      </c>
      <c r="B15" s="9">
        <f>VLOOKUP(Parameters!A15,Symbols!A$2:B$1000,2,FALSE)</f>
        <v>5.0000000000000002E-5</v>
      </c>
      <c r="C15" s="9">
        <v>2</v>
      </c>
      <c r="D15" s="9" t="s">
        <v>34</v>
      </c>
      <c r="E15" s="13">
        <f t="shared" si="1"/>
        <v>1.10005</v>
      </c>
      <c r="F15" s="13">
        <f t="shared" si="0"/>
        <v>5.0000000000000001E-3</v>
      </c>
      <c r="G15" s="10">
        <v>0.03</v>
      </c>
      <c r="H15" s="10">
        <v>0</v>
      </c>
      <c r="I15" s="10">
        <v>0</v>
      </c>
      <c r="J15" s="10">
        <v>1</v>
      </c>
      <c r="K15" s="10">
        <v>1</v>
      </c>
      <c r="L15" s="10">
        <v>1</v>
      </c>
      <c r="M15" s="10">
        <v>1</v>
      </c>
      <c r="N15" s="9">
        <v>1</v>
      </c>
      <c r="O15" s="9">
        <v>100</v>
      </c>
      <c r="P15" s="9">
        <v>10</v>
      </c>
      <c r="Q15" s="9">
        <v>2</v>
      </c>
      <c r="R15" s="9">
        <v>1</v>
      </c>
      <c r="S15" s="5">
        <v>42741</v>
      </c>
      <c r="T15" s="14">
        <v>0.30208333333333331</v>
      </c>
      <c r="U15" s="5">
        <v>42964</v>
      </c>
      <c r="V15" s="14">
        <v>0.65277777777777779</v>
      </c>
      <c r="W15" s="15">
        <v>28</v>
      </c>
      <c r="X15" s="9">
        <v>1</v>
      </c>
      <c r="Y15" s="5">
        <v>42964</v>
      </c>
      <c r="Z15" s="11">
        <v>0.65347222222222223</v>
      </c>
      <c r="AA15" s="12">
        <v>1</v>
      </c>
    </row>
    <row r="16" spans="1:27">
      <c r="A16" s="2" t="s">
        <v>29</v>
      </c>
      <c r="B16" s="9">
        <f>VLOOKUP(Parameters!A16,Symbols!A$2:B$1000,2,FALSE)</f>
        <v>5.0000000000000002E-5</v>
      </c>
      <c r="C16" s="9">
        <v>2</v>
      </c>
      <c r="D16" s="9" t="s">
        <v>34</v>
      </c>
      <c r="E16" s="13">
        <f t="shared" si="1"/>
        <v>1.10005</v>
      </c>
      <c r="F16" s="13">
        <f t="shared" si="0"/>
        <v>5.0000000000000001E-3</v>
      </c>
      <c r="G16" s="10">
        <v>0.04</v>
      </c>
      <c r="H16" s="10">
        <v>0</v>
      </c>
      <c r="I16" s="10">
        <v>0</v>
      </c>
      <c r="J16" s="10">
        <v>1</v>
      </c>
      <c r="K16" s="10">
        <v>1</v>
      </c>
      <c r="L16" s="10">
        <v>1</v>
      </c>
      <c r="M16" s="10">
        <v>1</v>
      </c>
      <c r="N16" s="9">
        <v>1</v>
      </c>
      <c r="O16" s="9">
        <v>100</v>
      </c>
      <c r="P16" s="9">
        <v>10</v>
      </c>
      <c r="Q16" s="9">
        <v>2</v>
      </c>
      <c r="R16" s="9">
        <v>1</v>
      </c>
      <c r="S16" s="5">
        <v>42741</v>
      </c>
      <c r="T16" s="14">
        <v>0.30208333333333331</v>
      </c>
      <c r="U16" s="5">
        <v>42964</v>
      </c>
      <c r="V16" s="14">
        <v>0.65277777777777779</v>
      </c>
      <c r="W16" s="15">
        <v>28</v>
      </c>
      <c r="X16" s="9">
        <v>1</v>
      </c>
      <c r="Y16" s="5">
        <v>42964</v>
      </c>
      <c r="Z16" s="11">
        <v>0.65347222222222223</v>
      </c>
      <c r="AA16" s="12">
        <v>1</v>
      </c>
    </row>
    <row r="17" spans="1:27">
      <c r="A17" s="2" t="s">
        <v>29</v>
      </c>
      <c r="B17" s="9">
        <f>VLOOKUP(Parameters!A17,Symbols!A$2:B$1000,2,FALSE)</f>
        <v>5.0000000000000002E-5</v>
      </c>
      <c r="C17" s="9">
        <v>2</v>
      </c>
      <c r="D17" s="9" t="s">
        <v>34</v>
      </c>
      <c r="E17" s="13">
        <f t="shared" si="1"/>
        <v>1.10005</v>
      </c>
      <c r="F17" s="13">
        <f t="shared" si="0"/>
        <v>5.0000000000000001E-3</v>
      </c>
      <c r="G17" s="10">
        <v>0.05</v>
      </c>
      <c r="H17" s="10">
        <v>0</v>
      </c>
      <c r="I17" s="10">
        <v>0</v>
      </c>
      <c r="J17" s="10">
        <v>1</v>
      </c>
      <c r="K17" s="10">
        <v>1</v>
      </c>
      <c r="L17" s="10">
        <v>1</v>
      </c>
      <c r="M17" s="10">
        <v>1</v>
      </c>
      <c r="N17" s="9">
        <v>1</v>
      </c>
      <c r="O17" s="9">
        <v>100</v>
      </c>
      <c r="P17" s="9">
        <v>10</v>
      </c>
      <c r="Q17" s="9">
        <v>2</v>
      </c>
      <c r="R17" s="9">
        <v>1</v>
      </c>
      <c r="S17" s="5">
        <v>42741</v>
      </c>
      <c r="T17" s="14">
        <v>0.30208333333333331</v>
      </c>
      <c r="U17" s="5">
        <v>42964</v>
      </c>
      <c r="V17" s="14">
        <v>0.65277777777777779</v>
      </c>
      <c r="W17" s="15">
        <v>28</v>
      </c>
      <c r="X17" s="9">
        <v>1</v>
      </c>
      <c r="Y17" s="5">
        <v>42964</v>
      </c>
      <c r="Z17" s="11">
        <v>0.65347222222222223</v>
      </c>
      <c r="AA17" s="12">
        <v>1</v>
      </c>
    </row>
    <row r="18" spans="1:27">
      <c r="A18" s="2" t="s">
        <v>29</v>
      </c>
      <c r="B18" s="9">
        <f>VLOOKUP(Parameters!A18,Symbols!A$2:B$1000,2,FALSE)</f>
        <v>5.0000000000000002E-5</v>
      </c>
      <c r="C18" s="9">
        <v>2</v>
      </c>
      <c r="D18" s="9" t="s">
        <v>34</v>
      </c>
      <c r="E18" s="13">
        <f t="shared" si="1"/>
        <v>1.10005</v>
      </c>
      <c r="F18" s="13">
        <f t="shared" si="0"/>
        <v>5.0000000000000001E-3</v>
      </c>
      <c r="G18" s="10">
        <v>0.06</v>
      </c>
      <c r="H18" s="10">
        <v>0</v>
      </c>
      <c r="I18" s="10">
        <v>0</v>
      </c>
      <c r="J18" s="10">
        <v>1</v>
      </c>
      <c r="K18" s="10">
        <v>1</v>
      </c>
      <c r="L18" s="10">
        <v>1</v>
      </c>
      <c r="M18" s="10">
        <v>1</v>
      </c>
      <c r="N18" s="9">
        <v>1</v>
      </c>
      <c r="O18" s="9">
        <v>100</v>
      </c>
      <c r="P18" s="9">
        <v>10</v>
      </c>
      <c r="Q18" s="9">
        <v>2</v>
      </c>
      <c r="R18" s="9">
        <v>1</v>
      </c>
      <c r="S18" s="5">
        <v>42741</v>
      </c>
      <c r="T18" s="14">
        <v>0.30208333333333331</v>
      </c>
      <c r="U18" s="5">
        <v>42964</v>
      </c>
      <c r="V18" s="14">
        <v>0.65277777777777779</v>
      </c>
      <c r="W18" s="15">
        <v>28</v>
      </c>
      <c r="X18" s="9">
        <v>1</v>
      </c>
      <c r="Y18" s="5">
        <v>42964</v>
      </c>
      <c r="Z18" s="11">
        <v>0.65347222222222223</v>
      </c>
      <c r="AA18" s="12">
        <v>1</v>
      </c>
    </row>
    <row r="19" spans="1:27">
      <c r="A19" s="2" t="s">
        <v>29</v>
      </c>
      <c r="B19" s="9">
        <f>VLOOKUP(Parameters!A19,Symbols!A$2:B$1000,2,FALSE)</f>
        <v>5.0000000000000002E-5</v>
      </c>
      <c r="C19" s="9">
        <v>2</v>
      </c>
      <c r="D19" s="9" t="s">
        <v>34</v>
      </c>
      <c r="E19" s="13">
        <f t="shared" si="1"/>
        <v>1.10005</v>
      </c>
      <c r="F19" s="13">
        <f t="shared" si="0"/>
        <v>5.0000000000000001E-3</v>
      </c>
      <c r="G19" s="10">
        <v>7.0000000000000007E-2</v>
      </c>
      <c r="H19" s="10">
        <v>0</v>
      </c>
      <c r="I19" s="10">
        <v>0</v>
      </c>
      <c r="J19" s="10">
        <v>1</v>
      </c>
      <c r="K19" s="10">
        <v>1</v>
      </c>
      <c r="L19" s="10">
        <v>1</v>
      </c>
      <c r="M19" s="10">
        <v>1</v>
      </c>
      <c r="N19" s="9">
        <v>1</v>
      </c>
      <c r="O19" s="9">
        <v>100</v>
      </c>
      <c r="P19" s="9">
        <v>10</v>
      </c>
      <c r="Q19" s="9">
        <v>2</v>
      </c>
      <c r="R19" s="9">
        <v>1</v>
      </c>
      <c r="S19" s="5">
        <v>42741</v>
      </c>
      <c r="T19" s="14">
        <v>0.30208333333333331</v>
      </c>
      <c r="U19" s="5">
        <v>42964</v>
      </c>
      <c r="V19" s="14">
        <v>0.65277777777777779</v>
      </c>
      <c r="W19" s="15">
        <v>28</v>
      </c>
      <c r="X19" s="9">
        <v>1</v>
      </c>
      <c r="Y19" s="5">
        <v>42964</v>
      </c>
      <c r="Z19" s="11">
        <v>0.65347222222222223</v>
      </c>
      <c r="AA19" s="12">
        <v>1</v>
      </c>
    </row>
    <row r="20" spans="1:27">
      <c r="A20" s="2" t="s">
        <v>29</v>
      </c>
      <c r="B20" s="9">
        <f>VLOOKUP(Parameters!A20,Symbols!A$2:B$1000,2,FALSE)</f>
        <v>5.0000000000000002E-5</v>
      </c>
      <c r="C20" s="9">
        <v>2</v>
      </c>
      <c r="D20" s="9" t="s">
        <v>34</v>
      </c>
      <c r="E20" s="13">
        <f t="shared" si="1"/>
        <v>1.10005</v>
      </c>
      <c r="F20" s="13">
        <f t="shared" si="0"/>
        <v>5.0000000000000001E-3</v>
      </c>
      <c r="G20" s="10">
        <v>0.08</v>
      </c>
      <c r="H20" s="10">
        <v>0</v>
      </c>
      <c r="I20" s="10">
        <v>0</v>
      </c>
      <c r="J20" s="10">
        <v>1</v>
      </c>
      <c r="K20" s="10">
        <v>1</v>
      </c>
      <c r="L20" s="10">
        <v>1</v>
      </c>
      <c r="M20" s="10">
        <v>1</v>
      </c>
      <c r="N20" s="9">
        <v>1</v>
      </c>
      <c r="O20" s="9">
        <v>100</v>
      </c>
      <c r="P20" s="9">
        <v>10</v>
      </c>
      <c r="Q20" s="9">
        <v>2</v>
      </c>
      <c r="R20" s="9">
        <v>1</v>
      </c>
      <c r="S20" s="5">
        <v>42741</v>
      </c>
      <c r="T20" s="14">
        <v>0.30208333333333331</v>
      </c>
      <c r="U20" s="5">
        <v>42964</v>
      </c>
      <c r="V20" s="14">
        <v>0.65277777777777779</v>
      </c>
      <c r="W20" s="15">
        <v>28</v>
      </c>
      <c r="X20" s="9">
        <v>1</v>
      </c>
      <c r="Y20" s="5">
        <v>42964</v>
      </c>
      <c r="Z20" s="11">
        <v>0.65347222222222223</v>
      </c>
      <c r="AA20" s="12">
        <v>1</v>
      </c>
    </row>
    <row r="21" spans="1:27">
      <c r="A21" s="2" t="s">
        <v>29</v>
      </c>
      <c r="B21" s="9">
        <f>VLOOKUP(Parameters!A21,Symbols!A$2:B$1000,2,FALSE)</f>
        <v>5.0000000000000002E-5</v>
      </c>
      <c r="C21" s="9">
        <v>2</v>
      </c>
      <c r="D21" s="9" t="s">
        <v>34</v>
      </c>
      <c r="E21" s="13">
        <f>E20</f>
        <v>1.10005</v>
      </c>
      <c r="F21" s="13">
        <f t="shared" si="0"/>
        <v>5.0000000000000001E-3</v>
      </c>
      <c r="G21" s="10">
        <v>0.09</v>
      </c>
      <c r="H21" s="10">
        <v>0</v>
      </c>
      <c r="I21" s="10">
        <v>0</v>
      </c>
      <c r="J21" s="10">
        <v>1</v>
      </c>
      <c r="K21" s="10">
        <v>1</v>
      </c>
      <c r="L21" s="10">
        <v>1</v>
      </c>
      <c r="M21" s="10">
        <v>1</v>
      </c>
      <c r="N21" s="9">
        <v>1</v>
      </c>
      <c r="O21" s="9">
        <v>100</v>
      </c>
      <c r="P21" s="9">
        <v>10</v>
      </c>
      <c r="Q21" s="9">
        <v>2</v>
      </c>
      <c r="R21" s="9">
        <v>1</v>
      </c>
      <c r="S21" s="5">
        <v>42741</v>
      </c>
      <c r="T21" s="14">
        <v>0.30208333333333331</v>
      </c>
      <c r="U21" s="5">
        <v>42964</v>
      </c>
      <c r="V21" s="14">
        <v>0.65277777777777779</v>
      </c>
      <c r="W21" s="15">
        <v>28</v>
      </c>
      <c r="X21" s="9">
        <v>1</v>
      </c>
      <c r="Y21" s="5">
        <v>42964</v>
      </c>
      <c r="Z21" s="11">
        <v>0.65347222222222223</v>
      </c>
      <c r="AA21" s="12">
        <v>1</v>
      </c>
    </row>
    <row r="22" spans="1:27" s="12" customFormat="1">
      <c r="A22" s="2" t="s">
        <v>35</v>
      </c>
      <c r="B22" s="9">
        <f>VLOOKUP(Parameters!A22,Symbols!A$2:B$1000,2,FALSE)</f>
        <v>1E-4</v>
      </c>
      <c r="C22" s="9">
        <v>2</v>
      </c>
      <c r="D22" s="9" t="s">
        <v>27</v>
      </c>
      <c r="E22" s="18"/>
      <c r="F22" s="13">
        <f t="shared" si="0"/>
        <v>0.01</v>
      </c>
      <c r="G22" s="10">
        <v>0</v>
      </c>
      <c r="H22" s="10">
        <v>0</v>
      </c>
      <c r="I22" s="10">
        <v>0</v>
      </c>
      <c r="J22" s="10">
        <v>1</v>
      </c>
      <c r="K22" s="10">
        <v>1</v>
      </c>
      <c r="L22" s="10">
        <v>1</v>
      </c>
      <c r="M22" s="10">
        <v>1</v>
      </c>
      <c r="N22" s="9">
        <v>1</v>
      </c>
      <c r="O22" s="9">
        <v>100</v>
      </c>
      <c r="P22" s="9">
        <v>10</v>
      </c>
      <c r="Q22" s="9">
        <v>2</v>
      </c>
      <c r="R22" s="9">
        <v>1</v>
      </c>
      <c r="S22" s="5">
        <v>42741</v>
      </c>
      <c r="T22" s="14">
        <v>0.30208333333333331</v>
      </c>
      <c r="U22" s="5">
        <v>42964</v>
      </c>
      <c r="V22" s="14">
        <v>0.65277777777777779</v>
      </c>
      <c r="W22" s="15">
        <v>28</v>
      </c>
      <c r="X22" s="9">
        <v>1</v>
      </c>
      <c r="Y22" s="5">
        <v>42964</v>
      </c>
      <c r="Z22" s="11">
        <v>0.65347222222222223</v>
      </c>
      <c r="AA22" s="12">
        <v>1</v>
      </c>
    </row>
    <row r="23" spans="1:27" s="12" customFormat="1">
      <c r="A23" s="2" t="s">
        <v>35</v>
      </c>
      <c r="B23" s="9">
        <f>VLOOKUP(Parameters!A23,Symbols!A$2:B$1000,2,FALSE)</f>
        <v>1E-4</v>
      </c>
      <c r="C23" s="9">
        <v>2</v>
      </c>
      <c r="D23" s="9" t="s">
        <v>27</v>
      </c>
      <c r="E23" s="13">
        <f>E22</f>
        <v>0</v>
      </c>
      <c r="F23" s="13">
        <f t="shared" si="0"/>
        <v>0.01</v>
      </c>
      <c r="G23" s="10">
        <v>0.01</v>
      </c>
      <c r="H23" s="10">
        <v>0</v>
      </c>
      <c r="I23" s="10">
        <v>0</v>
      </c>
      <c r="J23" s="10">
        <v>1</v>
      </c>
      <c r="K23" s="10">
        <v>1</v>
      </c>
      <c r="L23" s="10">
        <v>1</v>
      </c>
      <c r="M23" s="10">
        <v>1</v>
      </c>
      <c r="N23" s="9">
        <v>1</v>
      </c>
      <c r="O23" s="9">
        <v>100</v>
      </c>
      <c r="P23" s="9">
        <v>10</v>
      </c>
      <c r="Q23" s="9">
        <v>2</v>
      </c>
      <c r="R23" s="9">
        <v>1</v>
      </c>
      <c r="S23" s="5">
        <v>42741</v>
      </c>
      <c r="T23" s="14">
        <v>0.30208333333333331</v>
      </c>
      <c r="U23" s="5">
        <v>42964</v>
      </c>
      <c r="V23" s="14">
        <v>0.65277777777777779</v>
      </c>
      <c r="W23" s="15">
        <v>28</v>
      </c>
      <c r="X23" s="9">
        <v>1</v>
      </c>
      <c r="Y23" s="5">
        <v>42964</v>
      </c>
      <c r="Z23" s="11">
        <v>0.65347222222222223</v>
      </c>
      <c r="AA23" s="12">
        <v>1</v>
      </c>
    </row>
    <row r="24" spans="1:27" s="12" customFormat="1">
      <c r="A24" s="2" t="s">
        <v>35</v>
      </c>
      <c r="B24" s="9">
        <f>VLOOKUP(Parameters!A24,Symbols!A$2:B$1000,2,FALSE)</f>
        <v>1E-4</v>
      </c>
      <c r="C24" s="9">
        <v>2</v>
      </c>
      <c r="D24" s="9" t="s">
        <v>27</v>
      </c>
      <c r="E24" s="13">
        <f t="shared" ref="E24:E41" si="2">E23</f>
        <v>0</v>
      </c>
      <c r="F24" s="13">
        <f t="shared" si="0"/>
        <v>0.01</v>
      </c>
      <c r="G24" s="10">
        <v>0.02</v>
      </c>
      <c r="H24" s="10">
        <v>0</v>
      </c>
      <c r="I24" s="10">
        <v>0</v>
      </c>
      <c r="J24" s="10">
        <v>1</v>
      </c>
      <c r="K24" s="10">
        <v>1</v>
      </c>
      <c r="L24" s="10">
        <v>1</v>
      </c>
      <c r="M24" s="10">
        <v>1</v>
      </c>
      <c r="N24" s="9">
        <v>1</v>
      </c>
      <c r="O24" s="9">
        <v>100</v>
      </c>
      <c r="P24" s="9">
        <v>10</v>
      </c>
      <c r="Q24" s="9">
        <v>2</v>
      </c>
      <c r="R24" s="9">
        <v>1</v>
      </c>
      <c r="S24" s="5">
        <v>42741</v>
      </c>
      <c r="T24" s="14">
        <v>0.30208333333333331</v>
      </c>
      <c r="U24" s="5">
        <v>42964</v>
      </c>
      <c r="V24" s="14">
        <v>0.65277777777777779</v>
      </c>
      <c r="W24" s="15">
        <v>28</v>
      </c>
      <c r="X24" s="9">
        <v>1</v>
      </c>
      <c r="Y24" s="5">
        <v>42964</v>
      </c>
      <c r="Z24" s="11">
        <v>0.65347222222222223</v>
      </c>
      <c r="AA24" s="12">
        <v>1</v>
      </c>
    </row>
    <row r="25" spans="1:27" s="12" customFormat="1">
      <c r="A25" s="2" t="s">
        <v>35</v>
      </c>
      <c r="B25" s="9">
        <f>VLOOKUP(Parameters!A25,Symbols!A$2:B$1000,2,FALSE)</f>
        <v>1E-4</v>
      </c>
      <c r="C25" s="9">
        <v>2</v>
      </c>
      <c r="D25" s="9" t="s">
        <v>27</v>
      </c>
      <c r="E25" s="13">
        <f t="shared" si="2"/>
        <v>0</v>
      </c>
      <c r="F25" s="13">
        <f t="shared" si="0"/>
        <v>0.01</v>
      </c>
      <c r="G25" s="10">
        <v>0.03</v>
      </c>
      <c r="H25" s="10">
        <v>0</v>
      </c>
      <c r="I25" s="10">
        <v>0</v>
      </c>
      <c r="J25" s="10">
        <v>1</v>
      </c>
      <c r="K25" s="10">
        <v>1</v>
      </c>
      <c r="L25" s="10">
        <v>1</v>
      </c>
      <c r="M25" s="10">
        <v>1</v>
      </c>
      <c r="N25" s="9">
        <v>1</v>
      </c>
      <c r="O25" s="9">
        <v>100</v>
      </c>
      <c r="P25" s="9">
        <v>10</v>
      </c>
      <c r="Q25" s="9">
        <v>2</v>
      </c>
      <c r="R25" s="9">
        <v>1</v>
      </c>
      <c r="S25" s="5">
        <v>42741</v>
      </c>
      <c r="T25" s="14">
        <v>0.30208333333333331</v>
      </c>
      <c r="U25" s="5">
        <v>42964</v>
      </c>
      <c r="V25" s="14">
        <v>0.65277777777777779</v>
      </c>
      <c r="W25" s="15">
        <v>28</v>
      </c>
      <c r="X25" s="9">
        <v>1</v>
      </c>
      <c r="Y25" s="5">
        <v>42964</v>
      </c>
      <c r="Z25" s="11">
        <v>0.65347222222222223</v>
      </c>
      <c r="AA25" s="12">
        <v>1</v>
      </c>
    </row>
    <row r="26" spans="1:27" s="9" customFormat="1">
      <c r="A26" s="2" t="s">
        <v>35</v>
      </c>
      <c r="B26" s="9">
        <f>VLOOKUP(Parameters!A26,Symbols!A$2:B$1000,2,FALSE)</f>
        <v>1E-4</v>
      </c>
      <c r="C26" s="9">
        <v>2</v>
      </c>
      <c r="D26" s="9" t="s">
        <v>27</v>
      </c>
      <c r="E26" s="13">
        <f t="shared" si="2"/>
        <v>0</v>
      </c>
      <c r="F26" s="13">
        <f t="shared" si="0"/>
        <v>0.01</v>
      </c>
      <c r="G26" s="10">
        <v>0.04</v>
      </c>
      <c r="H26" s="10">
        <v>0</v>
      </c>
      <c r="I26" s="10">
        <v>0</v>
      </c>
      <c r="J26" s="10">
        <v>1</v>
      </c>
      <c r="K26" s="10">
        <v>1</v>
      </c>
      <c r="L26" s="10">
        <v>1</v>
      </c>
      <c r="M26" s="10">
        <v>1</v>
      </c>
      <c r="N26" s="9">
        <v>1</v>
      </c>
      <c r="O26" s="9">
        <v>100</v>
      </c>
      <c r="P26" s="9">
        <v>10</v>
      </c>
      <c r="Q26" s="9">
        <v>2</v>
      </c>
      <c r="R26" s="9">
        <v>1</v>
      </c>
      <c r="S26" s="5">
        <v>42741</v>
      </c>
      <c r="T26" s="14">
        <v>0.30208333333333331</v>
      </c>
      <c r="U26" s="5">
        <v>42964</v>
      </c>
      <c r="V26" s="14">
        <v>0.65277777777777779</v>
      </c>
      <c r="W26" s="15">
        <v>28</v>
      </c>
      <c r="X26" s="9">
        <v>1</v>
      </c>
      <c r="Y26" s="5">
        <v>42964</v>
      </c>
      <c r="Z26" s="11">
        <v>0.65347222222222223</v>
      </c>
      <c r="AA26" s="12">
        <v>1</v>
      </c>
    </row>
    <row r="27" spans="1:27" s="9" customFormat="1">
      <c r="A27" s="2" t="s">
        <v>35</v>
      </c>
      <c r="B27" s="9">
        <f>VLOOKUP(Parameters!A27,Symbols!A$2:B$1000,2,FALSE)</f>
        <v>1E-4</v>
      </c>
      <c r="C27" s="9">
        <v>2</v>
      </c>
      <c r="D27" s="9" t="s">
        <v>27</v>
      </c>
      <c r="E27" s="13">
        <f t="shared" si="2"/>
        <v>0</v>
      </c>
      <c r="F27" s="13">
        <f t="shared" si="0"/>
        <v>0.01</v>
      </c>
      <c r="G27" s="10">
        <v>0.05</v>
      </c>
      <c r="H27" s="10">
        <v>0</v>
      </c>
      <c r="I27" s="10">
        <v>0</v>
      </c>
      <c r="J27" s="10">
        <v>1</v>
      </c>
      <c r="K27" s="10">
        <v>1</v>
      </c>
      <c r="L27" s="10">
        <v>1</v>
      </c>
      <c r="M27" s="10">
        <v>1</v>
      </c>
      <c r="N27" s="9">
        <v>1</v>
      </c>
      <c r="O27" s="9">
        <v>100</v>
      </c>
      <c r="P27" s="9">
        <v>10</v>
      </c>
      <c r="Q27" s="9">
        <v>2</v>
      </c>
      <c r="R27" s="9">
        <v>1</v>
      </c>
      <c r="S27" s="5">
        <v>42741</v>
      </c>
      <c r="T27" s="14">
        <v>0.30208333333333331</v>
      </c>
      <c r="U27" s="5">
        <v>42964</v>
      </c>
      <c r="V27" s="14">
        <v>0.65277777777777779</v>
      </c>
      <c r="W27" s="15">
        <v>28</v>
      </c>
      <c r="X27" s="9">
        <v>1</v>
      </c>
      <c r="Y27" s="5">
        <v>42964</v>
      </c>
      <c r="Z27" s="11">
        <v>0.65347222222222223</v>
      </c>
      <c r="AA27" s="12">
        <v>1</v>
      </c>
    </row>
    <row r="28" spans="1:27" s="9" customFormat="1">
      <c r="A28" s="2" t="s">
        <v>35</v>
      </c>
      <c r="B28" s="9">
        <f>VLOOKUP(Parameters!A28,Symbols!A$2:B$1000,2,FALSE)</f>
        <v>1E-4</v>
      </c>
      <c r="C28" s="9">
        <v>2</v>
      </c>
      <c r="D28" s="9" t="s">
        <v>27</v>
      </c>
      <c r="E28" s="13">
        <f t="shared" si="2"/>
        <v>0</v>
      </c>
      <c r="F28" s="13">
        <f t="shared" si="0"/>
        <v>0.01</v>
      </c>
      <c r="G28" s="10">
        <v>0.06</v>
      </c>
      <c r="H28" s="10">
        <v>0</v>
      </c>
      <c r="I28" s="10">
        <v>0</v>
      </c>
      <c r="J28" s="10">
        <v>1</v>
      </c>
      <c r="K28" s="10">
        <v>1</v>
      </c>
      <c r="L28" s="10">
        <v>1</v>
      </c>
      <c r="M28" s="10">
        <v>1</v>
      </c>
      <c r="N28" s="9">
        <v>1</v>
      </c>
      <c r="O28" s="9">
        <v>100</v>
      </c>
      <c r="P28" s="9">
        <v>10</v>
      </c>
      <c r="Q28" s="9">
        <v>2</v>
      </c>
      <c r="R28" s="9">
        <v>1</v>
      </c>
      <c r="S28" s="5">
        <v>42741</v>
      </c>
      <c r="T28" s="14">
        <v>0.30208333333333331</v>
      </c>
      <c r="U28" s="5">
        <v>42964</v>
      </c>
      <c r="V28" s="14">
        <v>0.65277777777777779</v>
      </c>
      <c r="W28" s="15">
        <v>28</v>
      </c>
      <c r="X28" s="9">
        <v>1</v>
      </c>
      <c r="Y28" s="5">
        <v>42964</v>
      </c>
      <c r="Z28" s="11">
        <v>0.65347222222222223</v>
      </c>
      <c r="AA28" s="12">
        <v>1</v>
      </c>
    </row>
    <row r="29" spans="1:27" s="9" customFormat="1">
      <c r="A29" s="2" t="s">
        <v>35</v>
      </c>
      <c r="B29" s="9">
        <f>VLOOKUP(Parameters!A29,Symbols!A$2:B$1000,2,FALSE)</f>
        <v>1E-4</v>
      </c>
      <c r="C29" s="9">
        <v>2</v>
      </c>
      <c r="D29" s="9" t="s">
        <v>27</v>
      </c>
      <c r="E29" s="13">
        <f t="shared" si="2"/>
        <v>0</v>
      </c>
      <c r="F29" s="13">
        <f t="shared" si="0"/>
        <v>0.01</v>
      </c>
      <c r="G29" s="10">
        <v>7.0000000000000007E-2</v>
      </c>
      <c r="H29" s="10">
        <v>0</v>
      </c>
      <c r="I29" s="10">
        <v>0</v>
      </c>
      <c r="J29" s="10">
        <v>1</v>
      </c>
      <c r="K29" s="10">
        <v>1</v>
      </c>
      <c r="L29" s="10">
        <v>1</v>
      </c>
      <c r="M29" s="10">
        <v>1</v>
      </c>
      <c r="N29" s="9">
        <v>1</v>
      </c>
      <c r="O29" s="9">
        <v>100</v>
      </c>
      <c r="P29" s="9">
        <v>10</v>
      </c>
      <c r="Q29" s="9">
        <v>2</v>
      </c>
      <c r="R29" s="9">
        <v>1</v>
      </c>
      <c r="S29" s="5">
        <v>42741</v>
      </c>
      <c r="T29" s="14">
        <v>0.30208333333333331</v>
      </c>
      <c r="U29" s="5">
        <v>42964</v>
      </c>
      <c r="V29" s="14">
        <v>0.65277777777777779</v>
      </c>
      <c r="W29" s="15">
        <v>28</v>
      </c>
      <c r="X29" s="9">
        <v>1</v>
      </c>
      <c r="Y29" s="5">
        <v>42964</v>
      </c>
      <c r="Z29" s="11">
        <v>0.65347222222222223</v>
      </c>
      <c r="AA29" s="12">
        <v>1</v>
      </c>
    </row>
    <row r="30" spans="1:27" s="9" customFormat="1">
      <c r="A30" s="2" t="s">
        <v>35</v>
      </c>
      <c r="B30" s="9">
        <f>VLOOKUP(Parameters!A30,Symbols!A$2:B$1000,2,FALSE)</f>
        <v>1E-4</v>
      </c>
      <c r="C30" s="9">
        <v>2</v>
      </c>
      <c r="D30" s="9" t="s">
        <v>27</v>
      </c>
      <c r="E30" s="13">
        <f t="shared" si="2"/>
        <v>0</v>
      </c>
      <c r="F30" s="13">
        <f t="shared" si="0"/>
        <v>0.01</v>
      </c>
      <c r="G30" s="10">
        <v>0.08</v>
      </c>
      <c r="H30" s="10">
        <v>0</v>
      </c>
      <c r="I30" s="10">
        <v>0</v>
      </c>
      <c r="J30" s="10">
        <v>1</v>
      </c>
      <c r="K30" s="10">
        <v>1</v>
      </c>
      <c r="L30" s="10">
        <v>1</v>
      </c>
      <c r="M30" s="10">
        <v>1</v>
      </c>
      <c r="N30" s="9">
        <v>1</v>
      </c>
      <c r="O30" s="9">
        <v>100</v>
      </c>
      <c r="P30" s="9">
        <v>10</v>
      </c>
      <c r="Q30" s="9">
        <v>2</v>
      </c>
      <c r="R30" s="9">
        <v>1</v>
      </c>
      <c r="S30" s="5">
        <v>42741</v>
      </c>
      <c r="T30" s="14">
        <v>0.30208333333333331</v>
      </c>
      <c r="U30" s="5">
        <v>42964</v>
      </c>
      <c r="V30" s="14">
        <v>0.65277777777777779</v>
      </c>
      <c r="W30" s="15">
        <v>28</v>
      </c>
      <c r="X30" s="9">
        <v>1</v>
      </c>
      <c r="Y30" s="5">
        <v>42964</v>
      </c>
      <c r="Z30" s="11">
        <v>0.65347222222222223</v>
      </c>
      <c r="AA30" s="12">
        <v>1</v>
      </c>
    </row>
    <row r="31" spans="1:27" s="9" customFormat="1">
      <c r="A31" s="2" t="s">
        <v>35</v>
      </c>
      <c r="B31" s="9">
        <f>VLOOKUP(Parameters!A31,Symbols!A$2:B$1000,2,FALSE)</f>
        <v>1E-4</v>
      </c>
      <c r="C31" s="9">
        <v>2</v>
      </c>
      <c r="D31" s="9" t="s">
        <v>27</v>
      </c>
      <c r="E31" s="13">
        <f t="shared" si="2"/>
        <v>0</v>
      </c>
      <c r="F31" s="13">
        <f t="shared" si="0"/>
        <v>0.01</v>
      </c>
      <c r="G31" s="10">
        <v>0.09</v>
      </c>
      <c r="H31" s="10">
        <v>0</v>
      </c>
      <c r="I31" s="10">
        <v>0</v>
      </c>
      <c r="J31" s="10">
        <v>1</v>
      </c>
      <c r="K31" s="10">
        <v>1</v>
      </c>
      <c r="L31" s="10">
        <v>1</v>
      </c>
      <c r="M31" s="10">
        <v>1</v>
      </c>
      <c r="N31" s="9">
        <v>1</v>
      </c>
      <c r="O31" s="9">
        <v>100</v>
      </c>
      <c r="P31" s="9">
        <v>10</v>
      </c>
      <c r="Q31" s="9">
        <v>2</v>
      </c>
      <c r="R31" s="9">
        <v>1</v>
      </c>
      <c r="S31" s="5">
        <v>42741</v>
      </c>
      <c r="T31" s="14">
        <v>0.30208333333333331</v>
      </c>
      <c r="U31" s="5">
        <v>42964</v>
      </c>
      <c r="V31" s="14">
        <v>0.65277777777777779</v>
      </c>
      <c r="W31" s="15">
        <v>28</v>
      </c>
      <c r="X31" s="9">
        <v>1</v>
      </c>
      <c r="Y31" s="5">
        <v>42964</v>
      </c>
      <c r="Z31" s="11">
        <v>0.65347222222222223</v>
      </c>
      <c r="AA31" s="12">
        <v>1</v>
      </c>
    </row>
    <row r="32" spans="1:27" s="9" customFormat="1">
      <c r="A32" s="2" t="s">
        <v>35</v>
      </c>
      <c r="B32" s="9">
        <f>VLOOKUP(Parameters!A32,Symbols!A$2:B$1000,2,FALSE)</f>
        <v>1E-4</v>
      </c>
      <c r="C32" s="9">
        <v>2</v>
      </c>
      <c r="D32" s="9" t="s">
        <v>34</v>
      </c>
      <c r="E32" s="13">
        <f t="shared" si="2"/>
        <v>0</v>
      </c>
      <c r="F32" s="13">
        <f t="shared" si="0"/>
        <v>0.01</v>
      </c>
      <c r="G32" s="10">
        <v>0</v>
      </c>
      <c r="H32" s="10">
        <v>0</v>
      </c>
      <c r="I32" s="10">
        <v>0</v>
      </c>
      <c r="J32" s="10">
        <v>1</v>
      </c>
      <c r="K32" s="10">
        <v>1</v>
      </c>
      <c r="L32" s="10">
        <v>1</v>
      </c>
      <c r="M32" s="10">
        <v>1</v>
      </c>
      <c r="N32" s="9">
        <v>1</v>
      </c>
      <c r="O32" s="9">
        <v>100</v>
      </c>
      <c r="P32" s="9">
        <v>10</v>
      </c>
      <c r="Q32" s="9">
        <v>2</v>
      </c>
      <c r="R32" s="9">
        <v>1</v>
      </c>
      <c r="S32" s="5">
        <v>42741</v>
      </c>
      <c r="T32" s="14">
        <v>0.30208333333333331</v>
      </c>
      <c r="U32" s="5">
        <v>42964</v>
      </c>
      <c r="V32" s="14">
        <v>0.65277777777777779</v>
      </c>
      <c r="W32" s="15">
        <v>28</v>
      </c>
      <c r="X32" s="9">
        <v>1</v>
      </c>
      <c r="Y32" s="5">
        <v>42964</v>
      </c>
      <c r="Z32" s="11">
        <v>0.65347222222222223</v>
      </c>
      <c r="AA32" s="12">
        <v>1</v>
      </c>
    </row>
    <row r="33" spans="1:27" s="9" customFormat="1">
      <c r="A33" s="2" t="s">
        <v>35</v>
      </c>
      <c r="B33" s="9">
        <f>VLOOKUP(Parameters!A33,Symbols!A$2:B$1000,2,FALSE)</f>
        <v>1E-4</v>
      </c>
      <c r="C33" s="9">
        <v>2</v>
      </c>
      <c r="D33" s="9" t="s">
        <v>34</v>
      </c>
      <c r="E33" s="13">
        <f t="shared" si="2"/>
        <v>0</v>
      </c>
      <c r="F33" s="13">
        <f t="shared" si="0"/>
        <v>0.01</v>
      </c>
      <c r="G33" s="10">
        <v>0.01</v>
      </c>
      <c r="H33" s="10">
        <v>0</v>
      </c>
      <c r="I33" s="10">
        <v>0</v>
      </c>
      <c r="J33" s="10">
        <v>1</v>
      </c>
      <c r="K33" s="10">
        <v>1</v>
      </c>
      <c r="L33" s="10">
        <v>1</v>
      </c>
      <c r="M33" s="10">
        <v>1</v>
      </c>
      <c r="N33" s="9">
        <v>1</v>
      </c>
      <c r="O33" s="9">
        <v>100</v>
      </c>
      <c r="P33" s="9">
        <v>10</v>
      </c>
      <c r="Q33" s="9">
        <v>2</v>
      </c>
      <c r="R33" s="9">
        <v>1</v>
      </c>
      <c r="S33" s="5">
        <v>42741</v>
      </c>
      <c r="T33" s="14">
        <v>0.30208333333333331</v>
      </c>
      <c r="U33" s="5">
        <v>42964</v>
      </c>
      <c r="V33" s="14">
        <v>0.65277777777777779</v>
      </c>
      <c r="W33" s="15">
        <v>28</v>
      </c>
      <c r="X33" s="9">
        <v>1</v>
      </c>
      <c r="Y33" s="5">
        <v>42964</v>
      </c>
      <c r="Z33" s="11">
        <v>0.65347222222222223</v>
      </c>
      <c r="AA33" s="12">
        <v>1</v>
      </c>
    </row>
    <row r="34" spans="1:27" s="9" customFormat="1">
      <c r="A34" s="2" t="s">
        <v>35</v>
      </c>
      <c r="B34" s="9">
        <f>VLOOKUP(Parameters!A34,Symbols!A$2:B$1000,2,FALSE)</f>
        <v>1E-4</v>
      </c>
      <c r="C34" s="9">
        <v>2</v>
      </c>
      <c r="D34" s="9" t="s">
        <v>34</v>
      </c>
      <c r="E34" s="13">
        <f t="shared" si="2"/>
        <v>0</v>
      </c>
      <c r="F34" s="13">
        <f t="shared" si="0"/>
        <v>0.01</v>
      </c>
      <c r="G34" s="10">
        <v>0.02</v>
      </c>
      <c r="H34" s="10">
        <v>0</v>
      </c>
      <c r="I34" s="10">
        <v>0</v>
      </c>
      <c r="J34" s="10">
        <v>1</v>
      </c>
      <c r="K34" s="10">
        <v>1</v>
      </c>
      <c r="L34" s="10">
        <v>1</v>
      </c>
      <c r="M34" s="10">
        <v>1</v>
      </c>
      <c r="N34" s="9">
        <v>1</v>
      </c>
      <c r="O34" s="9">
        <v>100</v>
      </c>
      <c r="P34" s="9">
        <v>10</v>
      </c>
      <c r="Q34" s="9">
        <v>2</v>
      </c>
      <c r="R34" s="9">
        <v>1</v>
      </c>
      <c r="S34" s="5">
        <v>42741</v>
      </c>
      <c r="T34" s="14">
        <v>0.30208333333333331</v>
      </c>
      <c r="U34" s="5">
        <v>42964</v>
      </c>
      <c r="V34" s="14">
        <v>0.65277777777777779</v>
      </c>
      <c r="W34" s="15">
        <v>28</v>
      </c>
      <c r="X34" s="9">
        <v>1</v>
      </c>
      <c r="Y34" s="5">
        <v>42964</v>
      </c>
      <c r="Z34" s="11">
        <v>0.65347222222222223</v>
      </c>
      <c r="AA34" s="12">
        <v>1</v>
      </c>
    </row>
    <row r="35" spans="1:27" s="9" customFormat="1">
      <c r="A35" s="2" t="s">
        <v>35</v>
      </c>
      <c r="B35" s="9">
        <f>VLOOKUP(Parameters!A35,Symbols!A$2:B$1000,2,FALSE)</f>
        <v>1E-4</v>
      </c>
      <c r="C35" s="9">
        <v>2</v>
      </c>
      <c r="D35" s="9" t="s">
        <v>34</v>
      </c>
      <c r="E35" s="13">
        <f t="shared" si="2"/>
        <v>0</v>
      </c>
      <c r="F35" s="13">
        <f t="shared" si="0"/>
        <v>0.01</v>
      </c>
      <c r="G35" s="10">
        <v>0.03</v>
      </c>
      <c r="H35" s="10">
        <v>0</v>
      </c>
      <c r="I35" s="10">
        <v>0</v>
      </c>
      <c r="J35" s="10">
        <v>1</v>
      </c>
      <c r="K35" s="10">
        <v>1</v>
      </c>
      <c r="L35" s="10">
        <v>1</v>
      </c>
      <c r="M35" s="10">
        <v>1</v>
      </c>
      <c r="N35" s="9">
        <v>1</v>
      </c>
      <c r="O35" s="9">
        <v>100</v>
      </c>
      <c r="P35" s="9">
        <v>10</v>
      </c>
      <c r="Q35" s="9">
        <v>2</v>
      </c>
      <c r="R35" s="9">
        <v>1</v>
      </c>
      <c r="S35" s="5">
        <v>42741</v>
      </c>
      <c r="T35" s="14">
        <v>0.30208333333333331</v>
      </c>
      <c r="U35" s="5">
        <v>42964</v>
      </c>
      <c r="V35" s="14">
        <v>0.65277777777777779</v>
      </c>
      <c r="W35" s="15">
        <v>28</v>
      </c>
      <c r="X35" s="9">
        <v>1</v>
      </c>
      <c r="Y35" s="5">
        <v>42964</v>
      </c>
      <c r="Z35" s="11">
        <v>0.65347222222222223</v>
      </c>
      <c r="AA35" s="12">
        <v>1</v>
      </c>
    </row>
    <row r="36" spans="1:27" s="9" customFormat="1">
      <c r="A36" s="2" t="s">
        <v>35</v>
      </c>
      <c r="B36" s="9">
        <f>VLOOKUP(Parameters!A36,Symbols!A$2:B$1000,2,FALSE)</f>
        <v>1E-4</v>
      </c>
      <c r="C36" s="9">
        <v>2</v>
      </c>
      <c r="D36" s="9" t="s">
        <v>34</v>
      </c>
      <c r="E36" s="13">
        <f t="shared" si="2"/>
        <v>0</v>
      </c>
      <c r="F36" s="13">
        <f t="shared" si="0"/>
        <v>0.01</v>
      </c>
      <c r="G36" s="10">
        <v>0.04</v>
      </c>
      <c r="H36" s="10">
        <v>0</v>
      </c>
      <c r="I36" s="10">
        <v>0</v>
      </c>
      <c r="J36" s="10">
        <v>1</v>
      </c>
      <c r="K36" s="10">
        <v>1</v>
      </c>
      <c r="L36" s="10">
        <v>1</v>
      </c>
      <c r="M36" s="10">
        <v>1</v>
      </c>
      <c r="N36" s="9">
        <v>1</v>
      </c>
      <c r="O36" s="9">
        <v>100</v>
      </c>
      <c r="P36" s="9">
        <v>10</v>
      </c>
      <c r="Q36" s="9">
        <v>2</v>
      </c>
      <c r="R36" s="9">
        <v>1</v>
      </c>
      <c r="S36" s="5">
        <v>42741</v>
      </c>
      <c r="T36" s="14">
        <v>0.30208333333333331</v>
      </c>
      <c r="U36" s="5">
        <v>42964</v>
      </c>
      <c r="V36" s="14">
        <v>0.65277777777777779</v>
      </c>
      <c r="W36" s="15">
        <v>28</v>
      </c>
      <c r="X36" s="9">
        <v>1</v>
      </c>
      <c r="Y36" s="5">
        <v>42964</v>
      </c>
      <c r="Z36" s="11">
        <v>0.65347222222222223</v>
      </c>
      <c r="AA36" s="12">
        <v>1</v>
      </c>
    </row>
    <row r="37" spans="1:27" s="9" customFormat="1">
      <c r="A37" s="2" t="s">
        <v>35</v>
      </c>
      <c r="B37" s="9">
        <f>VLOOKUP(Parameters!A37,Symbols!A$2:B$1000,2,FALSE)</f>
        <v>1E-4</v>
      </c>
      <c r="C37" s="9">
        <v>2</v>
      </c>
      <c r="D37" s="9" t="s">
        <v>34</v>
      </c>
      <c r="E37" s="13">
        <f t="shared" si="2"/>
        <v>0</v>
      </c>
      <c r="F37" s="13">
        <f t="shared" si="0"/>
        <v>0.01</v>
      </c>
      <c r="G37" s="10">
        <v>0.05</v>
      </c>
      <c r="H37" s="10">
        <v>0</v>
      </c>
      <c r="I37" s="10">
        <v>0</v>
      </c>
      <c r="J37" s="10">
        <v>1</v>
      </c>
      <c r="K37" s="10">
        <v>1</v>
      </c>
      <c r="L37" s="10">
        <v>1</v>
      </c>
      <c r="M37" s="10">
        <v>1</v>
      </c>
      <c r="N37" s="9">
        <v>1</v>
      </c>
      <c r="O37" s="9">
        <v>100</v>
      </c>
      <c r="P37" s="9">
        <v>10</v>
      </c>
      <c r="Q37" s="9">
        <v>2</v>
      </c>
      <c r="R37" s="9">
        <v>1</v>
      </c>
      <c r="S37" s="5">
        <v>42741</v>
      </c>
      <c r="T37" s="14">
        <v>0.30208333333333331</v>
      </c>
      <c r="U37" s="5">
        <v>42964</v>
      </c>
      <c r="V37" s="14">
        <v>0.65277777777777779</v>
      </c>
      <c r="W37" s="15">
        <v>28</v>
      </c>
      <c r="X37" s="9">
        <v>1</v>
      </c>
      <c r="Y37" s="5">
        <v>42964</v>
      </c>
      <c r="Z37" s="11">
        <v>0.65347222222222223</v>
      </c>
      <c r="AA37" s="12">
        <v>1</v>
      </c>
    </row>
    <row r="38" spans="1:27" s="9" customFormat="1">
      <c r="A38" s="2" t="s">
        <v>35</v>
      </c>
      <c r="B38" s="9">
        <f>VLOOKUP(Parameters!A38,Symbols!A$2:B$1000,2,FALSE)</f>
        <v>1E-4</v>
      </c>
      <c r="C38" s="9">
        <v>2</v>
      </c>
      <c r="D38" s="9" t="s">
        <v>34</v>
      </c>
      <c r="E38" s="13">
        <f t="shared" si="2"/>
        <v>0</v>
      </c>
      <c r="F38" s="13">
        <f t="shared" si="0"/>
        <v>0.01</v>
      </c>
      <c r="G38" s="10">
        <v>0.06</v>
      </c>
      <c r="H38" s="10">
        <v>0</v>
      </c>
      <c r="I38" s="10">
        <v>0</v>
      </c>
      <c r="J38" s="10">
        <v>1</v>
      </c>
      <c r="K38" s="10">
        <v>1</v>
      </c>
      <c r="L38" s="10">
        <v>1</v>
      </c>
      <c r="M38" s="10">
        <v>1</v>
      </c>
      <c r="N38" s="9">
        <v>1</v>
      </c>
      <c r="O38" s="9">
        <v>100</v>
      </c>
      <c r="P38" s="9">
        <v>10</v>
      </c>
      <c r="Q38" s="9">
        <v>2</v>
      </c>
      <c r="R38" s="9">
        <v>1</v>
      </c>
      <c r="S38" s="5">
        <v>42741</v>
      </c>
      <c r="T38" s="14">
        <v>0.30208333333333331</v>
      </c>
      <c r="U38" s="5">
        <v>42964</v>
      </c>
      <c r="V38" s="14">
        <v>0.65277777777777779</v>
      </c>
      <c r="W38" s="15">
        <v>28</v>
      </c>
      <c r="X38" s="9">
        <v>1</v>
      </c>
      <c r="Y38" s="5">
        <v>42964</v>
      </c>
      <c r="Z38" s="11">
        <v>0.65347222222222223</v>
      </c>
      <c r="AA38" s="12">
        <v>1</v>
      </c>
    </row>
    <row r="39" spans="1:27" s="9" customFormat="1">
      <c r="A39" s="2" t="s">
        <v>35</v>
      </c>
      <c r="B39" s="9">
        <f>VLOOKUP(Parameters!A39,Symbols!A$2:B$1000,2,FALSE)</f>
        <v>1E-4</v>
      </c>
      <c r="C39" s="9">
        <v>2</v>
      </c>
      <c r="D39" s="9" t="s">
        <v>34</v>
      </c>
      <c r="E39" s="13">
        <f t="shared" si="2"/>
        <v>0</v>
      </c>
      <c r="F39" s="13">
        <f t="shared" si="0"/>
        <v>0.01</v>
      </c>
      <c r="G39" s="10">
        <v>7.0000000000000007E-2</v>
      </c>
      <c r="H39" s="10">
        <v>0</v>
      </c>
      <c r="I39" s="10">
        <v>0</v>
      </c>
      <c r="J39" s="10">
        <v>1</v>
      </c>
      <c r="K39" s="10">
        <v>1</v>
      </c>
      <c r="L39" s="10">
        <v>1</v>
      </c>
      <c r="M39" s="10">
        <v>1</v>
      </c>
      <c r="N39" s="9">
        <v>1</v>
      </c>
      <c r="O39" s="9">
        <v>100</v>
      </c>
      <c r="P39" s="9">
        <v>10</v>
      </c>
      <c r="Q39" s="9">
        <v>2</v>
      </c>
      <c r="R39" s="9">
        <v>1</v>
      </c>
      <c r="S39" s="5">
        <v>42741</v>
      </c>
      <c r="T39" s="14">
        <v>0.30208333333333331</v>
      </c>
      <c r="U39" s="5">
        <v>42964</v>
      </c>
      <c r="V39" s="14">
        <v>0.65277777777777779</v>
      </c>
      <c r="W39" s="15">
        <v>28</v>
      </c>
      <c r="X39" s="9">
        <v>1</v>
      </c>
      <c r="Y39" s="5">
        <v>42964</v>
      </c>
      <c r="Z39" s="11">
        <v>0.65347222222222223</v>
      </c>
      <c r="AA39" s="12">
        <v>1</v>
      </c>
    </row>
    <row r="40" spans="1:27" s="9" customFormat="1">
      <c r="A40" s="2" t="s">
        <v>35</v>
      </c>
      <c r="B40" s="9">
        <f>VLOOKUP(Parameters!A40,Symbols!A$2:B$1000,2,FALSE)</f>
        <v>1E-4</v>
      </c>
      <c r="C40" s="9">
        <v>2</v>
      </c>
      <c r="D40" s="9" t="s">
        <v>34</v>
      </c>
      <c r="E40" s="13">
        <f t="shared" si="2"/>
        <v>0</v>
      </c>
      <c r="F40" s="13">
        <f t="shared" si="0"/>
        <v>0.01</v>
      </c>
      <c r="G40" s="10">
        <v>0.08</v>
      </c>
      <c r="H40" s="10">
        <v>0</v>
      </c>
      <c r="I40" s="10">
        <v>0</v>
      </c>
      <c r="J40" s="10">
        <v>1</v>
      </c>
      <c r="K40" s="10">
        <v>1</v>
      </c>
      <c r="L40" s="10">
        <v>1</v>
      </c>
      <c r="M40" s="10">
        <v>1</v>
      </c>
      <c r="N40" s="9">
        <v>1</v>
      </c>
      <c r="O40" s="9">
        <v>100</v>
      </c>
      <c r="P40" s="9">
        <v>10</v>
      </c>
      <c r="Q40" s="9">
        <v>2</v>
      </c>
      <c r="R40" s="9">
        <v>1</v>
      </c>
      <c r="S40" s="5">
        <v>42741</v>
      </c>
      <c r="T40" s="14">
        <v>0.30208333333333331</v>
      </c>
      <c r="U40" s="5">
        <v>42964</v>
      </c>
      <c r="V40" s="14">
        <v>0.65277777777777779</v>
      </c>
      <c r="W40" s="15">
        <v>28</v>
      </c>
      <c r="X40" s="9">
        <v>1</v>
      </c>
      <c r="Y40" s="5">
        <v>42964</v>
      </c>
      <c r="Z40" s="11">
        <v>0.65347222222222223</v>
      </c>
      <c r="AA40" s="12">
        <v>1</v>
      </c>
    </row>
    <row r="41" spans="1:27" s="9" customFormat="1">
      <c r="A41" s="2" t="s">
        <v>35</v>
      </c>
      <c r="B41" s="9">
        <f>VLOOKUP(Parameters!A41,Symbols!A$2:B$1000,2,FALSE)</f>
        <v>1E-4</v>
      </c>
      <c r="C41" s="9">
        <v>2</v>
      </c>
      <c r="D41" s="9" t="s">
        <v>34</v>
      </c>
      <c r="E41" s="13">
        <f t="shared" si="2"/>
        <v>0</v>
      </c>
      <c r="F41" s="13">
        <f t="shared" si="0"/>
        <v>0.01</v>
      </c>
      <c r="G41" s="10">
        <v>0.09</v>
      </c>
      <c r="H41" s="10">
        <v>0</v>
      </c>
      <c r="I41" s="10">
        <v>0</v>
      </c>
      <c r="J41" s="10">
        <v>1</v>
      </c>
      <c r="K41" s="10">
        <v>1</v>
      </c>
      <c r="L41" s="10">
        <v>1</v>
      </c>
      <c r="M41" s="10">
        <v>1</v>
      </c>
      <c r="N41" s="9">
        <v>1</v>
      </c>
      <c r="O41" s="9">
        <v>100</v>
      </c>
      <c r="P41" s="9">
        <v>10</v>
      </c>
      <c r="Q41" s="9">
        <v>2</v>
      </c>
      <c r="R41" s="9">
        <v>1</v>
      </c>
      <c r="S41" s="5">
        <v>42741</v>
      </c>
      <c r="T41" s="14">
        <v>0.30208333333333331</v>
      </c>
      <c r="U41" s="5">
        <v>42964</v>
      </c>
      <c r="V41" s="14">
        <v>0.65277777777777779</v>
      </c>
      <c r="W41" s="15">
        <v>28</v>
      </c>
      <c r="X41" s="9">
        <v>1</v>
      </c>
      <c r="Y41" s="5">
        <v>42964</v>
      </c>
      <c r="Z41" s="11">
        <v>0.65347222222222223</v>
      </c>
      <c r="AA41" s="12">
        <v>1</v>
      </c>
    </row>
    <row r="42" spans="1:27">
      <c r="A42" s="2" t="s">
        <v>36</v>
      </c>
      <c r="B42" s="9">
        <f>VLOOKUP(Parameters!A42,Symbols!A$2:B$1000,2,FALSE)</f>
        <v>4.9999999999999998E-7</v>
      </c>
      <c r="C42" s="9">
        <v>2</v>
      </c>
      <c r="D42" s="9" t="s">
        <v>27</v>
      </c>
      <c r="E42" s="19"/>
      <c r="F42" s="13">
        <f t="shared" si="0"/>
        <v>4.9999999999999996E-5</v>
      </c>
      <c r="G42" s="10">
        <v>0</v>
      </c>
      <c r="H42" s="10">
        <v>0</v>
      </c>
      <c r="I42" s="10">
        <v>0</v>
      </c>
      <c r="J42" s="10">
        <v>1</v>
      </c>
      <c r="K42" s="10">
        <v>1</v>
      </c>
      <c r="L42" s="10">
        <v>1</v>
      </c>
      <c r="M42" s="10">
        <v>1</v>
      </c>
      <c r="N42" s="9">
        <v>1</v>
      </c>
      <c r="O42" s="9">
        <v>100</v>
      </c>
      <c r="P42" s="9">
        <v>10</v>
      </c>
      <c r="Q42" s="9">
        <v>2</v>
      </c>
      <c r="R42" s="9">
        <v>1</v>
      </c>
      <c r="S42" s="5">
        <v>42741</v>
      </c>
      <c r="T42" s="14">
        <v>0.30208333333333331</v>
      </c>
      <c r="U42" s="5">
        <v>42964</v>
      </c>
      <c r="V42" s="14">
        <v>0.65277777777777779</v>
      </c>
      <c r="W42" s="15">
        <v>28</v>
      </c>
      <c r="X42" s="9">
        <v>1</v>
      </c>
      <c r="Y42" s="5">
        <v>42964</v>
      </c>
      <c r="Z42" s="11">
        <v>0.65347222222222223</v>
      </c>
      <c r="AA42" s="12">
        <v>1</v>
      </c>
    </row>
    <row r="43" spans="1:27">
      <c r="A43" s="2" t="s">
        <v>36</v>
      </c>
      <c r="B43" s="9">
        <f>VLOOKUP(Parameters!A43,Symbols!A$2:B$1000,2,FALSE)</f>
        <v>4.9999999999999998E-7</v>
      </c>
      <c r="C43" s="9">
        <v>2</v>
      </c>
      <c r="D43" s="9" t="s">
        <v>27</v>
      </c>
      <c r="E43" s="13">
        <f>E42</f>
        <v>0</v>
      </c>
      <c r="F43" s="13">
        <f t="shared" si="0"/>
        <v>4.9999999999999996E-5</v>
      </c>
      <c r="G43" s="10">
        <v>0.01</v>
      </c>
      <c r="H43" s="10">
        <v>0</v>
      </c>
      <c r="I43" s="10">
        <v>0</v>
      </c>
      <c r="J43" s="10">
        <v>1</v>
      </c>
      <c r="K43" s="10">
        <v>1</v>
      </c>
      <c r="L43" s="10">
        <v>1</v>
      </c>
      <c r="M43" s="10">
        <v>1</v>
      </c>
      <c r="N43" s="9">
        <v>1</v>
      </c>
      <c r="O43" s="9">
        <v>100</v>
      </c>
      <c r="P43" s="9">
        <v>10</v>
      </c>
      <c r="Q43" s="9">
        <v>2</v>
      </c>
      <c r="R43" s="9">
        <v>1</v>
      </c>
      <c r="S43" s="5">
        <v>42741</v>
      </c>
      <c r="T43" s="14">
        <v>0.30208333333333331</v>
      </c>
      <c r="U43" s="5">
        <v>42964</v>
      </c>
      <c r="V43" s="14">
        <v>0.65277777777777779</v>
      </c>
      <c r="W43" s="15">
        <v>28</v>
      </c>
      <c r="X43" s="9">
        <v>1</v>
      </c>
      <c r="Y43" s="5">
        <v>42964</v>
      </c>
      <c r="Z43" s="11">
        <v>0.65347222222222223</v>
      </c>
      <c r="AA43" s="12">
        <v>1</v>
      </c>
    </row>
    <row r="44" spans="1:27">
      <c r="A44" s="2" t="s">
        <v>36</v>
      </c>
      <c r="B44" s="9">
        <f>VLOOKUP(Parameters!A44,Symbols!A$2:B$1000,2,FALSE)</f>
        <v>4.9999999999999998E-7</v>
      </c>
      <c r="C44" s="9">
        <v>2</v>
      </c>
      <c r="D44" s="9" t="s">
        <v>27</v>
      </c>
      <c r="E44" s="13">
        <f t="shared" ref="E44:E61" si="3">E43</f>
        <v>0</v>
      </c>
      <c r="F44" s="13">
        <f t="shared" si="0"/>
        <v>4.9999999999999996E-5</v>
      </c>
      <c r="G44" s="10">
        <v>0.02</v>
      </c>
      <c r="H44" s="10">
        <v>0</v>
      </c>
      <c r="I44" s="10">
        <v>0</v>
      </c>
      <c r="J44" s="10">
        <v>1</v>
      </c>
      <c r="K44" s="10">
        <v>1</v>
      </c>
      <c r="L44" s="10">
        <v>1</v>
      </c>
      <c r="M44" s="10">
        <v>1</v>
      </c>
      <c r="N44" s="9">
        <v>1</v>
      </c>
      <c r="O44" s="9">
        <v>100</v>
      </c>
      <c r="P44" s="9">
        <v>10</v>
      </c>
      <c r="Q44" s="9">
        <v>2</v>
      </c>
      <c r="R44" s="9">
        <v>1</v>
      </c>
      <c r="S44" s="5">
        <v>42741</v>
      </c>
      <c r="T44" s="14">
        <v>0.30208333333333331</v>
      </c>
      <c r="U44" s="5">
        <v>42964</v>
      </c>
      <c r="V44" s="14">
        <v>0.65277777777777779</v>
      </c>
      <c r="W44" s="15">
        <v>28</v>
      </c>
      <c r="X44" s="9">
        <v>1</v>
      </c>
      <c r="Y44" s="5">
        <v>42964</v>
      </c>
      <c r="Z44" s="11">
        <v>0.65347222222222223</v>
      </c>
      <c r="AA44" s="12">
        <v>1</v>
      </c>
    </row>
    <row r="45" spans="1:27">
      <c r="A45" s="2" t="s">
        <v>36</v>
      </c>
      <c r="B45" s="9">
        <f>VLOOKUP(Parameters!A45,Symbols!A$2:B$1000,2,FALSE)</f>
        <v>4.9999999999999998E-7</v>
      </c>
      <c r="C45" s="9">
        <v>2</v>
      </c>
      <c r="D45" s="9" t="s">
        <v>27</v>
      </c>
      <c r="E45" s="13">
        <f t="shared" si="3"/>
        <v>0</v>
      </c>
      <c r="F45" s="13">
        <f t="shared" si="0"/>
        <v>4.9999999999999996E-5</v>
      </c>
      <c r="G45" s="10">
        <v>0.03</v>
      </c>
      <c r="H45" s="10">
        <v>0</v>
      </c>
      <c r="I45" s="10">
        <v>0</v>
      </c>
      <c r="J45" s="10">
        <v>1</v>
      </c>
      <c r="K45" s="10">
        <v>1</v>
      </c>
      <c r="L45" s="10">
        <v>1</v>
      </c>
      <c r="M45" s="10">
        <v>1</v>
      </c>
      <c r="N45" s="9">
        <v>1</v>
      </c>
      <c r="O45" s="9">
        <v>100</v>
      </c>
      <c r="P45" s="9">
        <v>10</v>
      </c>
      <c r="Q45" s="9">
        <v>2</v>
      </c>
      <c r="R45" s="9">
        <v>1</v>
      </c>
      <c r="S45" s="5">
        <v>42741</v>
      </c>
      <c r="T45" s="14">
        <v>0.30208333333333331</v>
      </c>
      <c r="U45" s="5">
        <v>42964</v>
      </c>
      <c r="V45" s="14">
        <v>0.65277777777777779</v>
      </c>
      <c r="W45" s="15">
        <v>28</v>
      </c>
      <c r="X45" s="9">
        <v>1</v>
      </c>
      <c r="Y45" s="5">
        <v>42964</v>
      </c>
      <c r="Z45" s="11">
        <v>0.65347222222222223</v>
      </c>
      <c r="AA45" s="12">
        <v>1</v>
      </c>
    </row>
    <row r="46" spans="1:27">
      <c r="A46" s="2" t="s">
        <v>36</v>
      </c>
      <c r="B46" s="9">
        <f>VLOOKUP(Parameters!A46,Symbols!A$2:B$1000,2,FALSE)</f>
        <v>4.9999999999999998E-7</v>
      </c>
      <c r="C46" s="9">
        <v>2</v>
      </c>
      <c r="D46" s="9" t="s">
        <v>27</v>
      </c>
      <c r="E46" s="13">
        <f t="shared" si="3"/>
        <v>0</v>
      </c>
      <c r="F46" s="13">
        <f t="shared" si="0"/>
        <v>4.9999999999999996E-5</v>
      </c>
      <c r="G46" s="10">
        <v>0.04</v>
      </c>
      <c r="H46" s="10">
        <v>0</v>
      </c>
      <c r="I46" s="10">
        <v>0</v>
      </c>
      <c r="J46" s="10">
        <v>1</v>
      </c>
      <c r="K46" s="10">
        <v>1</v>
      </c>
      <c r="L46" s="10">
        <v>1</v>
      </c>
      <c r="M46" s="10">
        <v>1</v>
      </c>
      <c r="N46" s="9">
        <v>1</v>
      </c>
      <c r="O46" s="9">
        <v>100</v>
      </c>
      <c r="P46" s="9">
        <v>10</v>
      </c>
      <c r="Q46" s="9">
        <v>2</v>
      </c>
      <c r="R46" s="9">
        <v>1</v>
      </c>
      <c r="S46" s="5">
        <v>42741</v>
      </c>
      <c r="T46" s="14">
        <v>0.30208333333333331</v>
      </c>
      <c r="U46" s="5">
        <v>42964</v>
      </c>
      <c r="V46" s="14">
        <v>0.65277777777777779</v>
      </c>
      <c r="W46" s="15">
        <v>28</v>
      </c>
      <c r="X46" s="9">
        <v>1</v>
      </c>
      <c r="Y46" s="5">
        <v>42964</v>
      </c>
      <c r="Z46" s="11">
        <v>0.65347222222222223</v>
      </c>
      <c r="AA46" s="12">
        <v>1</v>
      </c>
    </row>
    <row r="47" spans="1:27">
      <c r="A47" s="2" t="s">
        <v>36</v>
      </c>
      <c r="B47" s="9">
        <f>VLOOKUP(Parameters!A47,Symbols!A$2:B$1000,2,FALSE)</f>
        <v>4.9999999999999998E-7</v>
      </c>
      <c r="C47" s="9">
        <v>2</v>
      </c>
      <c r="D47" s="9" t="s">
        <v>27</v>
      </c>
      <c r="E47" s="13">
        <f t="shared" si="3"/>
        <v>0</v>
      </c>
      <c r="F47" s="13">
        <f t="shared" si="0"/>
        <v>4.9999999999999996E-5</v>
      </c>
      <c r="G47" s="10">
        <v>0.05</v>
      </c>
      <c r="H47" s="10">
        <v>0</v>
      </c>
      <c r="I47" s="10">
        <v>0</v>
      </c>
      <c r="J47" s="10">
        <v>1</v>
      </c>
      <c r="K47" s="10">
        <v>1</v>
      </c>
      <c r="L47" s="10">
        <v>1</v>
      </c>
      <c r="M47" s="10">
        <v>1</v>
      </c>
      <c r="N47" s="9">
        <v>1</v>
      </c>
      <c r="O47" s="9">
        <v>100</v>
      </c>
      <c r="P47" s="9">
        <v>10</v>
      </c>
      <c r="Q47" s="9">
        <v>2</v>
      </c>
      <c r="R47" s="9">
        <v>1</v>
      </c>
      <c r="S47" s="5">
        <v>42741</v>
      </c>
      <c r="T47" s="14">
        <v>0.30208333333333331</v>
      </c>
      <c r="U47" s="5">
        <v>42964</v>
      </c>
      <c r="V47" s="14">
        <v>0.65277777777777779</v>
      </c>
      <c r="W47" s="15">
        <v>28</v>
      </c>
      <c r="X47" s="9">
        <v>1</v>
      </c>
      <c r="Y47" s="5">
        <v>42964</v>
      </c>
      <c r="Z47" s="11">
        <v>0.65347222222222223</v>
      </c>
      <c r="AA47" s="12">
        <v>1</v>
      </c>
    </row>
    <row r="48" spans="1:27">
      <c r="A48" s="2" t="s">
        <v>36</v>
      </c>
      <c r="B48" s="9">
        <f>VLOOKUP(Parameters!A48,Symbols!A$2:B$1000,2,FALSE)</f>
        <v>4.9999999999999998E-7</v>
      </c>
      <c r="C48" s="9">
        <v>2</v>
      </c>
      <c r="D48" s="9" t="s">
        <v>27</v>
      </c>
      <c r="E48" s="13">
        <f t="shared" si="3"/>
        <v>0</v>
      </c>
      <c r="F48" s="13">
        <f t="shared" si="0"/>
        <v>4.9999999999999996E-5</v>
      </c>
      <c r="G48" s="10">
        <v>0.06</v>
      </c>
      <c r="H48" s="10">
        <v>0</v>
      </c>
      <c r="I48" s="10">
        <v>0</v>
      </c>
      <c r="J48" s="10">
        <v>1</v>
      </c>
      <c r="K48" s="10">
        <v>1</v>
      </c>
      <c r="L48" s="10">
        <v>1</v>
      </c>
      <c r="M48" s="10">
        <v>1</v>
      </c>
      <c r="N48" s="9">
        <v>1</v>
      </c>
      <c r="O48" s="9">
        <v>100</v>
      </c>
      <c r="P48" s="9">
        <v>10</v>
      </c>
      <c r="Q48" s="9">
        <v>2</v>
      </c>
      <c r="R48" s="9">
        <v>1</v>
      </c>
      <c r="S48" s="5">
        <v>42741</v>
      </c>
      <c r="T48" s="14">
        <v>0.30208333333333331</v>
      </c>
      <c r="U48" s="5">
        <v>42964</v>
      </c>
      <c r="V48" s="14">
        <v>0.65277777777777779</v>
      </c>
      <c r="W48" s="15">
        <v>28</v>
      </c>
      <c r="X48" s="9">
        <v>1</v>
      </c>
      <c r="Y48" s="5">
        <v>42964</v>
      </c>
      <c r="Z48" s="11">
        <v>0.65347222222222223</v>
      </c>
      <c r="AA48" s="12">
        <v>1</v>
      </c>
    </row>
    <row r="49" spans="1:27">
      <c r="A49" s="2" t="s">
        <v>36</v>
      </c>
      <c r="B49" s="9">
        <f>VLOOKUP(Parameters!A49,Symbols!A$2:B$1000,2,FALSE)</f>
        <v>4.9999999999999998E-7</v>
      </c>
      <c r="C49" s="9">
        <v>2</v>
      </c>
      <c r="D49" s="9" t="s">
        <v>27</v>
      </c>
      <c r="E49" s="13">
        <f t="shared" si="3"/>
        <v>0</v>
      </c>
      <c r="F49" s="13">
        <f t="shared" si="0"/>
        <v>4.9999999999999996E-5</v>
      </c>
      <c r="G49" s="10">
        <v>7.0000000000000007E-2</v>
      </c>
      <c r="H49" s="10">
        <v>0</v>
      </c>
      <c r="I49" s="10">
        <v>0</v>
      </c>
      <c r="J49" s="10">
        <v>1</v>
      </c>
      <c r="K49" s="10">
        <v>1</v>
      </c>
      <c r="L49" s="10">
        <v>1</v>
      </c>
      <c r="M49" s="10">
        <v>1</v>
      </c>
      <c r="N49" s="9">
        <v>1</v>
      </c>
      <c r="O49" s="9">
        <v>100</v>
      </c>
      <c r="P49" s="9">
        <v>10</v>
      </c>
      <c r="Q49" s="9">
        <v>2</v>
      </c>
      <c r="R49" s="9">
        <v>1</v>
      </c>
      <c r="S49" s="5">
        <v>42741</v>
      </c>
      <c r="T49" s="14">
        <v>0.30208333333333331</v>
      </c>
      <c r="U49" s="5">
        <v>42964</v>
      </c>
      <c r="V49" s="14">
        <v>0.65277777777777779</v>
      </c>
      <c r="W49" s="15">
        <v>28</v>
      </c>
      <c r="X49" s="9">
        <v>1</v>
      </c>
      <c r="Y49" s="5">
        <v>42964</v>
      </c>
      <c r="Z49" s="11">
        <v>0.65347222222222223</v>
      </c>
      <c r="AA49" s="12">
        <v>1</v>
      </c>
    </row>
    <row r="50" spans="1:27">
      <c r="A50" s="2" t="s">
        <v>36</v>
      </c>
      <c r="B50" s="9">
        <f>VLOOKUP(Parameters!A50,Symbols!A$2:B$1000,2,FALSE)</f>
        <v>4.9999999999999998E-7</v>
      </c>
      <c r="C50" s="9">
        <v>2</v>
      </c>
      <c r="D50" s="9" t="s">
        <v>27</v>
      </c>
      <c r="E50" s="13">
        <f t="shared" si="3"/>
        <v>0</v>
      </c>
      <c r="F50" s="13">
        <f t="shared" si="0"/>
        <v>4.9999999999999996E-5</v>
      </c>
      <c r="G50" s="10">
        <v>0.08</v>
      </c>
      <c r="H50" s="10">
        <v>0</v>
      </c>
      <c r="I50" s="10">
        <v>0</v>
      </c>
      <c r="J50" s="10">
        <v>1</v>
      </c>
      <c r="K50" s="10">
        <v>1</v>
      </c>
      <c r="L50" s="10">
        <v>1</v>
      </c>
      <c r="M50" s="10">
        <v>1</v>
      </c>
      <c r="N50" s="9">
        <v>1</v>
      </c>
      <c r="O50" s="9">
        <v>100</v>
      </c>
      <c r="P50" s="9">
        <v>10</v>
      </c>
      <c r="Q50" s="9">
        <v>2</v>
      </c>
      <c r="R50" s="9">
        <v>1</v>
      </c>
      <c r="S50" s="5">
        <v>42741</v>
      </c>
      <c r="T50" s="14">
        <v>0.30208333333333331</v>
      </c>
      <c r="U50" s="5">
        <v>42964</v>
      </c>
      <c r="V50" s="14">
        <v>0.65277777777777779</v>
      </c>
      <c r="W50" s="15">
        <v>28</v>
      </c>
      <c r="X50" s="9">
        <v>1</v>
      </c>
      <c r="Y50" s="5">
        <v>42964</v>
      </c>
      <c r="Z50" s="11">
        <v>0.65347222222222223</v>
      </c>
      <c r="AA50" s="12">
        <v>1</v>
      </c>
    </row>
    <row r="51" spans="1:27">
      <c r="A51" s="2" t="s">
        <v>36</v>
      </c>
      <c r="B51" s="9">
        <f>VLOOKUP(Parameters!A51,Symbols!A$2:B$1000,2,FALSE)</f>
        <v>4.9999999999999998E-7</v>
      </c>
      <c r="C51" s="9">
        <v>2</v>
      </c>
      <c r="D51" s="9" t="s">
        <v>27</v>
      </c>
      <c r="E51" s="13">
        <f t="shared" si="3"/>
        <v>0</v>
      </c>
      <c r="F51" s="13">
        <f t="shared" si="0"/>
        <v>4.9999999999999996E-5</v>
      </c>
      <c r="G51" s="10">
        <v>0.09</v>
      </c>
      <c r="H51" s="10">
        <v>0</v>
      </c>
      <c r="I51" s="10">
        <v>0</v>
      </c>
      <c r="J51" s="10">
        <v>1</v>
      </c>
      <c r="K51" s="10">
        <v>1</v>
      </c>
      <c r="L51" s="10">
        <v>1</v>
      </c>
      <c r="M51" s="10">
        <v>1</v>
      </c>
      <c r="N51" s="9">
        <v>1</v>
      </c>
      <c r="O51" s="9">
        <v>100</v>
      </c>
      <c r="P51" s="9">
        <v>10</v>
      </c>
      <c r="Q51" s="9">
        <v>2</v>
      </c>
      <c r="R51" s="9">
        <v>1</v>
      </c>
      <c r="S51" s="5">
        <v>42741</v>
      </c>
      <c r="T51" s="14">
        <v>0.30208333333333331</v>
      </c>
      <c r="U51" s="5">
        <v>42964</v>
      </c>
      <c r="V51" s="14">
        <v>0.65277777777777779</v>
      </c>
      <c r="W51" s="15">
        <v>28</v>
      </c>
      <c r="X51" s="9">
        <v>1</v>
      </c>
      <c r="Y51" s="5">
        <v>42964</v>
      </c>
      <c r="Z51" s="11">
        <v>0.65347222222222223</v>
      </c>
      <c r="AA51" s="12">
        <v>1</v>
      </c>
    </row>
    <row r="52" spans="1:27">
      <c r="A52" s="2" t="s">
        <v>36</v>
      </c>
      <c r="B52" s="9">
        <f>VLOOKUP(Parameters!A52,Symbols!A$2:B$1000,2,FALSE)</f>
        <v>4.9999999999999998E-7</v>
      </c>
      <c r="C52" s="9">
        <v>2</v>
      </c>
      <c r="D52" s="9" t="s">
        <v>34</v>
      </c>
      <c r="E52" s="13">
        <f t="shared" si="3"/>
        <v>0</v>
      </c>
      <c r="F52" s="13">
        <f t="shared" ref="F52:F61" si="4">B52*100</f>
        <v>4.9999999999999996E-5</v>
      </c>
      <c r="G52" s="10">
        <v>0</v>
      </c>
      <c r="H52" s="10">
        <v>0</v>
      </c>
      <c r="I52" s="10">
        <v>0</v>
      </c>
      <c r="J52" s="10">
        <v>1</v>
      </c>
      <c r="K52" s="10">
        <v>1</v>
      </c>
      <c r="L52" s="10">
        <v>1</v>
      </c>
      <c r="M52" s="10">
        <v>1</v>
      </c>
      <c r="N52" s="9">
        <v>1</v>
      </c>
      <c r="O52" s="9">
        <v>100</v>
      </c>
      <c r="P52" s="9">
        <v>10</v>
      </c>
      <c r="Q52" s="9">
        <v>2</v>
      </c>
      <c r="R52" s="9">
        <v>1</v>
      </c>
      <c r="S52" s="5">
        <v>42741</v>
      </c>
      <c r="T52" s="14">
        <v>0.30208333333333331</v>
      </c>
      <c r="U52" s="5">
        <v>42964</v>
      </c>
      <c r="V52" s="14">
        <v>0.65277777777777779</v>
      </c>
      <c r="W52" s="15">
        <v>28</v>
      </c>
      <c r="X52" s="9">
        <v>1</v>
      </c>
      <c r="Y52" s="5">
        <v>42964</v>
      </c>
      <c r="Z52" s="11">
        <v>0.65347222222222223</v>
      </c>
      <c r="AA52" s="12">
        <v>1</v>
      </c>
    </row>
    <row r="53" spans="1:27">
      <c r="A53" s="2" t="s">
        <v>36</v>
      </c>
      <c r="B53" s="9">
        <f>VLOOKUP(Parameters!A53,Symbols!A$2:B$1000,2,FALSE)</f>
        <v>4.9999999999999998E-7</v>
      </c>
      <c r="C53" s="9">
        <v>2</v>
      </c>
      <c r="D53" s="9" t="s">
        <v>34</v>
      </c>
      <c r="E53" s="13">
        <f t="shared" si="3"/>
        <v>0</v>
      </c>
      <c r="F53" s="13">
        <f t="shared" si="4"/>
        <v>4.9999999999999996E-5</v>
      </c>
      <c r="G53" s="10">
        <v>0.01</v>
      </c>
      <c r="H53" s="10">
        <v>0</v>
      </c>
      <c r="I53" s="10">
        <v>0</v>
      </c>
      <c r="J53" s="10">
        <v>1</v>
      </c>
      <c r="K53" s="10">
        <v>1</v>
      </c>
      <c r="L53" s="10">
        <v>1</v>
      </c>
      <c r="M53" s="10">
        <v>1</v>
      </c>
      <c r="N53" s="9">
        <v>1</v>
      </c>
      <c r="O53" s="9">
        <v>100</v>
      </c>
      <c r="P53" s="9">
        <v>10</v>
      </c>
      <c r="Q53" s="9">
        <v>2</v>
      </c>
      <c r="R53" s="9">
        <v>1</v>
      </c>
      <c r="S53" s="5">
        <v>42741</v>
      </c>
      <c r="T53" s="14">
        <v>0.30208333333333331</v>
      </c>
      <c r="U53" s="5">
        <v>42964</v>
      </c>
      <c r="V53" s="14">
        <v>0.65277777777777779</v>
      </c>
      <c r="W53" s="15">
        <v>28</v>
      </c>
      <c r="X53" s="9">
        <v>1</v>
      </c>
      <c r="Y53" s="5">
        <v>42964</v>
      </c>
      <c r="Z53" s="11">
        <v>0.65347222222222223</v>
      </c>
      <c r="AA53" s="12">
        <v>1</v>
      </c>
    </row>
    <row r="54" spans="1:27">
      <c r="A54" s="2" t="s">
        <v>36</v>
      </c>
      <c r="B54" s="9">
        <f>VLOOKUP(Parameters!A54,Symbols!A$2:B$1000,2,FALSE)</f>
        <v>4.9999999999999998E-7</v>
      </c>
      <c r="C54" s="9">
        <v>2</v>
      </c>
      <c r="D54" s="9" t="s">
        <v>34</v>
      </c>
      <c r="E54" s="13">
        <f t="shared" si="3"/>
        <v>0</v>
      </c>
      <c r="F54" s="13">
        <f t="shared" si="4"/>
        <v>4.9999999999999996E-5</v>
      </c>
      <c r="G54" s="10">
        <v>0.02</v>
      </c>
      <c r="H54" s="10">
        <v>0</v>
      </c>
      <c r="I54" s="10">
        <v>0</v>
      </c>
      <c r="J54" s="10">
        <v>1</v>
      </c>
      <c r="K54" s="10">
        <v>1</v>
      </c>
      <c r="L54" s="10">
        <v>1</v>
      </c>
      <c r="M54" s="10">
        <v>1</v>
      </c>
      <c r="N54" s="9">
        <v>1</v>
      </c>
      <c r="O54" s="9">
        <v>100</v>
      </c>
      <c r="P54" s="9">
        <v>10</v>
      </c>
      <c r="Q54" s="9">
        <v>2</v>
      </c>
      <c r="R54" s="9">
        <v>1</v>
      </c>
      <c r="S54" s="5">
        <v>42741</v>
      </c>
      <c r="T54" s="14">
        <v>0.30208333333333331</v>
      </c>
      <c r="U54" s="5">
        <v>42964</v>
      </c>
      <c r="V54" s="14">
        <v>0.65277777777777779</v>
      </c>
      <c r="W54" s="15">
        <v>28</v>
      </c>
      <c r="X54" s="9">
        <v>1</v>
      </c>
      <c r="Y54" s="5">
        <v>42964</v>
      </c>
      <c r="Z54" s="11">
        <v>0.65347222222222223</v>
      </c>
      <c r="AA54" s="12">
        <v>1</v>
      </c>
    </row>
    <row r="55" spans="1:27">
      <c r="A55" s="2" t="s">
        <v>36</v>
      </c>
      <c r="B55" s="9">
        <f>VLOOKUP(Parameters!A55,Symbols!A$2:B$1000,2,FALSE)</f>
        <v>4.9999999999999998E-7</v>
      </c>
      <c r="C55" s="9">
        <v>2</v>
      </c>
      <c r="D55" s="9" t="s">
        <v>34</v>
      </c>
      <c r="E55" s="13">
        <f t="shared" si="3"/>
        <v>0</v>
      </c>
      <c r="F55" s="13">
        <f t="shared" si="4"/>
        <v>4.9999999999999996E-5</v>
      </c>
      <c r="G55" s="10">
        <v>0.03</v>
      </c>
      <c r="H55" s="10">
        <v>0</v>
      </c>
      <c r="I55" s="10">
        <v>0</v>
      </c>
      <c r="J55" s="10">
        <v>1</v>
      </c>
      <c r="K55" s="10">
        <v>1</v>
      </c>
      <c r="L55" s="10">
        <v>1</v>
      </c>
      <c r="M55" s="10">
        <v>1</v>
      </c>
      <c r="N55" s="9">
        <v>1</v>
      </c>
      <c r="O55" s="9">
        <v>100</v>
      </c>
      <c r="P55" s="9">
        <v>10</v>
      </c>
      <c r="Q55" s="9">
        <v>2</v>
      </c>
      <c r="R55" s="9">
        <v>1</v>
      </c>
      <c r="S55" s="5">
        <v>42741</v>
      </c>
      <c r="T55" s="14">
        <v>0.30208333333333331</v>
      </c>
      <c r="U55" s="5">
        <v>42964</v>
      </c>
      <c r="V55" s="14">
        <v>0.65277777777777779</v>
      </c>
      <c r="W55" s="15">
        <v>28</v>
      </c>
      <c r="X55" s="9">
        <v>1</v>
      </c>
      <c r="Y55" s="5">
        <v>42964</v>
      </c>
      <c r="Z55" s="11">
        <v>0.65347222222222223</v>
      </c>
      <c r="AA55" s="12">
        <v>1</v>
      </c>
    </row>
    <row r="56" spans="1:27">
      <c r="A56" s="2" t="s">
        <v>36</v>
      </c>
      <c r="B56" s="9">
        <f>VLOOKUP(Parameters!A56,Symbols!A$2:B$1000,2,FALSE)</f>
        <v>4.9999999999999998E-7</v>
      </c>
      <c r="C56" s="9">
        <v>2</v>
      </c>
      <c r="D56" s="9" t="s">
        <v>34</v>
      </c>
      <c r="E56" s="13">
        <f t="shared" si="3"/>
        <v>0</v>
      </c>
      <c r="F56" s="13">
        <f t="shared" si="4"/>
        <v>4.9999999999999996E-5</v>
      </c>
      <c r="G56" s="10">
        <v>0.04</v>
      </c>
      <c r="H56" s="10">
        <v>0</v>
      </c>
      <c r="I56" s="10">
        <v>0</v>
      </c>
      <c r="J56" s="10">
        <v>1</v>
      </c>
      <c r="K56" s="10">
        <v>1</v>
      </c>
      <c r="L56" s="10">
        <v>1</v>
      </c>
      <c r="M56" s="10">
        <v>1</v>
      </c>
      <c r="N56" s="9">
        <v>1</v>
      </c>
      <c r="O56" s="9">
        <v>100</v>
      </c>
      <c r="P56" s="9">
        <v>10</v>
      </c>
      <c r="Q56" s="9">
        <v>2</v>
      </c>
      <c r="R56" s="9">
        <v>1</v>
      </c>
      <c r="S56" s="5">
        <v>42741</v>
      </c>
      <c r="T56" s="14">
        <v>0.30208333333333331</v>
      </c>
      <c r="U56" s="5">
        <v>42964</v>
      </c>
      <c r="V56" s="14">
        <v>0.65277777777777779</v>
      </c>
      <c r="W56" s="15">
        <v>28</v>
      </c>
      <c r="X56" s="9">
        <v>1</v>
      </c>
      <c r="Y56" s="5">
        <v>42964</v>
      </c>
      <c r="Z56" s="11">
        <v>0.65347222222222223</v>
      </c>
      <c r="AA56" s="12">
        <v>1</v>
      </c>
    </row>
    <row r="57" spans="1:27">
      <c r="A57" s="2" t="s">
        <v>36</v>
      </c>
      <c r="B57" s="9">
        <f>VLOOKUP(Parameters!A57,Symbols!A$2:B$1000,2,FALSE)</f>
        <v>4.9999999999999998E-7</v>
      </c>
      <c r="C57" s="9">
        <v>2</v>
      </c>
      <c r="D57" s="9" t="s">
        <v>34</v>
      </c>
      <c r="E57" s="13">
        <f t="shared" si="3"/>
        <v>0</v>
      </c>
      <c r="F57" s="13">
        <f t="shared" si="4"/>
        <v>4.9999999999999996E-5</v>
      </c>
      <c r="G57" s="10">
        <v>0.05</v>
      </c>
      <c r="H57" s="10">
        <v>0</v>
      </c>
      <c r="I57" s="10">
        <v>0</v>
      </c>
      <c r="J57" s="10">
        <v>1</v>
      </c>
      <c r="K57" s="10">
        <v>1</v>
      </c>
      <c r="L57" s="10">
        <v>1</v>
      </c>
      <c r="M57" s="10">
        <v>1</v>
      </c>
      <c r="N57" s="9">
        <v>1</v>
      </c>
      <c r="O57" s="9">
        <v>100</v>
      </c>
      <c r="P57" s="9">
        <v>10</v>
      </c>
      <c r="Q57" s="9">
        <v>2</v>
      </c>
      <c r="R57" s="9">
        <v>1</v>
      </c>
      <c r="S57" s="5">
        <v>42741</v>
      </c>
      <c r="T57" s="14">
        <v>0.30208333333333331</v>
      </c>
      <c r="U57" s="5">
        <v>42964</v>
      </c>
      <c r="V57" s="14">
        <v>0.65277777777777779</v>
      </c>
      <c r="W57" s="15">
        <v>28</v>
      </c>
      <c r="X57" s="9">
        <v>1</v>
      </c>
      <c r="Y57" s="5">
        <v>42964</v>
      </c>
      <c r="Z57" s="11">
        <v>0.65347222222222223</v>
      </c>
      <c r="AA57" s="12">
        <v>1</v>
      </c>
    </row>
    <row r="58" spans="1:27">
      <c r="A58" s="2" t="s">
        <v>36</v>
      </c>
      <c r="B58" s="9">
        <f>VLOOKUP(Parameters!A58,Symbols!A$2:B$1000,2,FALSE)</f>
        <v>4.9999999999999998E-7</v>
      </c>
      <c r="C58" s="9">
        <v>2</v>
      </c>
      <c r="D58" s="9" t="s">
        <v>34</v>
      </c>
      <c r="E58" s="13">
        <f t="shared" si="3"/>
        <v>0</v>
      </c>
      <c r="F58" s="13">
        <f t="shared" si="4"/>
        <v>4.9999999999999996E-5</v>
      </c>
      <c r="G58" s="10">
        <v>0.06</v>
      </c>
      <c r="H58" s="10">
        <v>0</v>
      </c>
      <c r="I58" s="10">
        <v>0</v>
      </c>
      <c r="J58" s="10">
        <v>1</v>
      </c>
      <c r="K58" s="10">
        <v>1</v>
      </c>
      <c r="L58" s="10">
        <v>1</v>
      </c>
      <c r="M58" s="10">
        <v>1</v>
      </c>
      <c r="N58" s="9">
        <v>1</v>
      </c>
      <c r="O58" s="9">
        <v>100</v>
      </c>
      <c r="P58" s="9">
        <v>10</v>
      </c>
      <c r="Q58" s="9">
        <v>2</v>
      </c>
      <c r="R58" s="9">
        <v>1</v>
      </c>
      <c r="S58" s="5">
        <v>42741</v>
      </c>
      <c r="T58" s="14">
        <v>0.30208333333333331</v>
      </c>
      <c r="U58" s="5">
        <v>42964</v>
      </c>
      <c r="V58" s="14">
        <v>0.65277777777777779</v>
      </c>
      <c r="W58" s="15">
        <v>28</v>
      </c>
      <c r="X58" s="9">
        <v>1</v>
      </c>
      <c r="Y58" s="5">
        <v>42964</v>
      </c>
      <c r="Z58" s="11">
        <v>0.65347222222222223</v>
      </c>
      <c r="AA58" s="12">
        <v>1</v>
      </c>
    </row>
    <row r="59" spans="1:27">
      <c r="A59" s="2" t="s">
        <v>36</v>
      </c>
      <c r="B59" s="9">
        <f>VLOOKUP(Parameters!A59,Symbols!A$2:B$1000,2,FALSE)</f>
        <v>4.9999999999999998E-7</v>
      </c>
      <c r="C59" s="9">
        <v>2</v>
      </c>
      <c r="D59" s="9" t="s">
        <v>34</v>
      </c>
      <c r="E59" s="13">
        <f t="shared" si="3"/>
        <v>0</v>
      </c>
      <c r="F59" s="13">
        <f t="shared" si="4"/>
        <v>4.9999999999999996E-5</v>
      </c>
      <c r="G59" s="10">
        <v>7.0000000000000007E-2</v>
      </c>
      <c r="H59" s="10">
        <v>0</v>
      </c>
      <c r="I59" s="10">
        <v>0</v>
      </c>
      <c r="J59" s="10">
        <v>1</v>
      </c>
      <c r="K59" s="10">
        <v>1</v>
      </c>
      <c r="L59" s="10">
        <v>1</v>
      </c>
      <c r="M59" s="10">
        <v>1</v>
      </c>
      <c r="N59" s="9">
        <v>1</v>
      </c>
      <c r="O59" s="9">
        <v>100</v>
      </c>
      <c r="P59" s="9">
        <v>10</v>
      </c>
      <c r="Q59" s="9">
        <v>2</v>
      </c>
      <c r="R59" s="9">
        <v>1</v>
      </c>
      <c r="S59" s="5">
        <v>42741</v>
      </c>
      <c r="T59" s="14">
        <v>0.30208333333333331</v>
      </c>
      <c r="U59" s="5">
        <v>42964</v>
      </c>
      <c r="V59" s="14">
        <v>0.65277777777777779</v>
      </c>
      <c r="W59" s="15">
        <v>28</v>
      </c>
      <c r="X59" s="9">
        <v>1</v>
      </c>
      <c r="Y59" s="5">
        <v>42964</v>
      </c>
      <c r="Z59" s="11">
        <v>0.65347222222222223</v>
      </c>
      <c r="AA59" s="12">
        <v>1</v>
      </c>
    </row>
    <row r="60" spans="1:27">
      <c r="A60" s="2" t="s">
        <v>36</v>
      </c>
      <c r="B60" s="9">
        <f>VLOOKUP(Parameters!A60,Symbols!A$2:B$1000,2,FALSE)</f>
        <v>4.9999999999999998E-7</v>
      </c>
      <c r="C60" s="9">
        <v>2</v>
      </c>
      <c r="D60" s="9" t="s">
        <v>34</v>
      </c>
      <c r="E60" s="13">
        <f t="shared" si="3"/>
        <v>0</v>
      </c>
      <c r="F60" s="13">
        <f t="shared" si="4"/>
        <v>4.9999999999999996E-5</v>
      </c>
      <c r="G60" s="10">
        <v>0.08</v>
      </c>
      <c r="H60" s="10">
        <v>0</v>
      </c>
      <c r="I60" s="10">
        <v>0</v>
      </c>
      <c r="J60" s="10">
        <v>1</v>
      </c>
      <c r="K60" s="10">
        <v>1</v>
      </c>
      <c r="L60" s="10">
        <v>1</v>
      </c>
      <c r="M60" s="10">
        <v>1</v>
      </c>
      <c r="N60" s="9">
        <v>1</v>
      </c>
      <c r="O60" s="9">
        <v>100</v>
      </c>
      <c r="P60" s="9">
        <v>10</v>
      </c>
      <c r="Q60" s="9">
        <v>2</v>
      </c>
      <c r="R60" s="9">
        <v>1</v>
      </c>
      <c r="S60" s="5">
        <v>42741</v>
      </c>
      <c r="T60" s="14">
        <v>0.30208333333333331</v>
      </c>
      <c r="U60" s="5">
        <v>42964</v>
      </c>
      <c r="V60" s="14">
        <v>0.65277777777777779</v>
      </c>
      <c r="W60" s="15">
        <v>28</v>
      </c>
      <c r="X60" s="9">
        <v>1</v>
      </c>
      <c r="Y60" s="5">
        <v>42964</v>
      </c>
      <c r="Z60" s="11">
        <v>0.65347222222222223</v>
      </c>
      <c r="AA60" s="12">
        <v>1</v>
      </c>
    </row>
    <row r="61" spans="1:27">
      <c r="A61" s="2" t="s">
        <v>36</v>
      </c>
      <c r="B61" s="9">
        <f>VLOOKUP(Parameters!A61,Symbols!A$2:B$1000,2,FALSE)</f>
        <v>4.9999999999999998E-7</v>
      </c>
      <c r="C61" s="9">
        <v>2</v>
      </c>
      <c r="D61" s="9" t="s">
        <v>34</v>
      </c>
      <c r="E61" s="13">
        <f t="shared" si="3"/>
        <v>0</v>
      </c>
      <c r="F61" s="13">
        <f t="shared" si="4"/>
        <v>4.9999999999999996E-5</v>
      </c>
      <c r="G61" s="10">
        <v>0.09</v>
      </c>
      <c r="H61" s="10">
        <v>0</v>
      </c>
      <c r="I61" s="10">
        <v>0</v>
      </c>
      <c r="J61" s="10">
        <v>1</v>
      </c>
      <c r="K61" s="10">
        <v>1</v>
      </c>
      <c r="L61" s="10">
        <v>1</v>
      </c>
      <c r="M61" s="10">
        <v>1</v>
      </c>
      <c r="N61" s="9">
        <v>1</v>
      </c>
      <c r="O61" s="9">
        <v>100</v>
      </c>
      <c r="P61" s="9">
        <v>10</v>
      </c>
      <c r="Q61" s="9">
        <v>2</v>
      </c>
      <c r="R61" s="9">
        <v>1</v>
      </c>
      <c r="S61" s="5">
        <v>42741</v>
      </c>
      <c r="T61" s="14">
        <v>0.30208333333333331</v>
      </c>
      <c r="U61" s="5">
        <v>42964</v>
      </c>
      <c r="V61" s="14">
        <v>0.65277777777777779</v>
      </c>
      <c r="W61" s="15">
        <v>28</v>
      </c>
      <c r="X61" s="9">
        <v>1</v>
      </c>
      <c r="Y61" s="5">
        <v>42964</v>
      </c>
      <c r="Z61" s="11">
        <v>0.65347222222222223</v>
      </c>
      <c r="AA61" s="12">
        <v>1</v>
      </c>
    </row>
    <row r="62" spans="1:27">
      <c r="A62" s="2" t="s">
        <v>37</v>
      </c>
      <c r="B62" s="9">
        <f>VLOOKUP(Parameters!A62,Symbols!A$2:B$1000,2,FALSE)</f>
        <v>5.0000000000000002E-5</v>
      </c>
      <c r="C62" s="9">
        <v>2</v>
      </c>
      <c r="D62" s="9" t="s">
        <v>27</v>
      </c>
      <c r="E62" s="19"/>
      <c r="F62" s="13">
        <f t="shared" si="0"/>
        <v>5.0000000000000001E-3</v>
      </c>
      <c r="G62" s="10">
        <v>0</v>
      </c>
      <c r="H62" s="10">
        <v>0</v>
      </c>
      <c r="I62" s="10">
        <v>0</v>
      </c>
      <c r="J62" s="10">
        <v>1</v>
      </c>
      <c r="K62" s="10">
        <v>1</v>
      </c>
      <c r="L62" s="10">
        <v>1</v>
      </c>
      <c r="M62" s="10">
        <v>1</v>
      </c>
      <c r="N62" s="9">
        <v>1</v>
      </c>
      <c r="O62" s="9">
        <v>100</v>
      </c>
      <c r="P62" s="9">
        <v>10</v>
      </c>
      <c r="Q62" s="9">
        <v>2</v>
      </c>
      <c r="R62" s="9">
        <v>1</v>
      </c>
      <c r="S62" s="5">
        <v>42741</v>
      </c>
      <c r="T62" s="14">
        <v>0.30208333333333331</v>
      </c>
      <c r="U62" s="5">
        <v>42964</v>
      </c>
      <c r="V62" s="14">
        <v>0.65277777777777779</v>
      </c>
      <c r="W62" s="15">
        <v>28</v>
      </c>
      <c r="X62" s="9">
        <v>1</v>
      </c>
      <c r="Y62" s="5">
        <v>42964</v>
      </c>
      <c r="Z62" s="11">
        <v>0.65347222222222223</v>
      </c>
      <c r="AA62" s="12">
        <v>1</v>
      </c>
    </row>
    <row r="63" spans="1:27">
      <c r="A63" s="2" t="s">
        <v>37</v>
      </c>
      <c r="B63" s="9">
        <f>VLOOKUP(Parameters!A63,Symbols!A$2:B$1000,2,FALSE)</f>
        <v>5.0000000000000002E-5</v>
      </c>
      <c r="C63" s="9">
        <v>2</v>
      </c>
      <c r="D63" s="9" t="s">
        <v>27</v>
      </c>
      <c r="E63" s="13">
        <f>E62</f>
        <v>0</v>
      </c>
      <c r="F63" s="13">
        <f t="shared" si="0"/>
        <v>5.0000000000000001E-3</v>
      </c>
      <c r="G63" s="10">
        <v>0.01</v>
      </c>
      <c r="H63" s="10">
        <v>0</v>
      </c>
      <c r="I63" s="10">
        <v>0</v>
      </c>
      <c r="J63" s="10">
        <v>1</v>
      </c>
      <c r="K63" s="10">
        <v>1</v>
      </c>
      <c r="L63" s="10">
        <v>1</v>
      </c>
      <c r="M63" s="10">
        <v>1</v>
      </c>
      <c r="N63" s="9">
        <v>1</v>
      </c>
      <c r="O63" s="9">
        <v>100</v>
      </c>
      <c r="P63" s="9">
        <v>10</v>
      </c>
      <c r="Q63" s="9">
        <v>2</v>
      </c>
      <c r="R63" s="9">
        <v>1</v>
      </c>
      <c r="S63" s="5">
        <v>42741</v>
      </c>
      <c r="T63" s="14">
        <v>0.30208333333333331</v>
      </c>
      <c r="U63" s="5">
        <v>42964</v>
      </c>
      <c r="V63" s="14">
        <v>0.65277777777777779</v>
      </c>
      <c r="W63" s="15">
        <v>28</v>
      </c>
      <c r="X63" s="9">
        <v>1</v>
      </c>
      <c r="Y63" s="5">
        <v>42964</v>
      </c>
      <c r="Z63" s="11">
        <v>0.65347222222222223</v>
      </c>
      <c r="AA63" s="12">
        <v>1</v>
      </c>
    </row>
    <row r="64" spans="1:27">
      <c r="A64" s="2" t="s">
        <v>37</v>
      </c>
      <c r="B64" s="9">
        <f>VLOOKUP(Parameters!A64,Symbols!A$2:B$1000,2,FALSE)</f>
        <v>5.0000000000000002E-5</v>
      </c>
      <c r="C64" s="9">
        <v>2</v>
      </c>
      <c r="D64" s="9" t="s">
        <v>27</v>
      </c>
      <c r="E64" s="13">
        <f t="shared" ref="E64:E81" si="5">E63</f>
        <v>0</v>
      </c>
      <c r="F64" s="13">
        <f t="shared" si="0"/>
        <v>5.0000000000000001E-3</v>
      </c>
      <c r="G64" s="10">
        <v>0.02</v>
      </c>
      <c r="H64" s="10">
        <v>0</v>
      </c>
      <c r="I64" s="10">
        <v>0</v>
      </c>
      <c r="J64" s="10">
        <v>1</v>
      </c>
      <c r="K64" s="10">
        <v>1</v>
      </c>
      <c r="L64" s="10">
        <v>1</v>
      </c>
      <c r="M64" s="10">
        <v>1</v>
      </c>
      <c r="N64" s="9">
        <v>1</v>
      </c>
      <c r="O64" s="9">
        <v>100</v>
      </c>
      <c r="P64" s="9">
        <v>10</v>
      </c>
      <c r="Q64" s="9">
        <v>2</v>
      </c>
      <c r="R64" s="9">
        <v>1</v>
      </c>
      <c r="S64" s="5">
        <v>42741</v>
      </c>
      <c r="T64" s="14">
        <v>0.30208333333333331</v>
      </c>
      <c r="U64" s="5">
        <v>42964</v>
      </c>
      <c r="V64" s="14">
        <v>0.65277777777777779</v>
      </c>
      <c r="W64" s="15">
        <v>28</v>
      </c>
      <c r="X64" s="9">
        <v>1</v>
      </c>
      <c r="Y64" s="5">
        <v>42964</v>
      </c>
      <c r="Z64" s="11">
        <v>0.65347222222222223</v>
      </c>
      <c r="AA64" s="12">
        <v>1</v>
      </c>
    </row>
    <row r="65" spans="1:27">
      <c r="A65" s="2" t="s">
        <v>37</v>
      </c>
      <c r="B65" s="9">
        <f>VLOOKUP(Parameters!A65,Symbols!A$2:B$1000,2,FALSE)</f>
        <v>5.0000000000000002E-5</v>
      </c>
      <c r="C65" s="9">
        <v>2</v>
      </c>
      <c r="D65" s="9" t="s">
        <v>27</v>
      </c>
      <c r="E65" s="13">
        <f t="shared" si="5"/>
        <v>0</v>
      </c>
      <c r="F65" s="13">
        <f t="shared" si="0"/>
        <v>5.0000000000000001E-3</v>
      </c>
      <c r="G65" s="10">
        <v>0.03</v>
      </c>
      <c r="H65" s="10">
        <v>0</v>
      </c>
      <c r="I65" s="10">
        <v>0</v>
      </c>
      <c r="J65" s="10">
        <v>1</v>
      </c>
      <c r="K65" s="10">
        <v>1</v>
      </c>
      <c r="L65" s="10">
        <v>1</v>
      </c>
      <c r="M65" s="10">
        <v>1</v>
      </c>
      <c r="N65" s="9">
        <v>1</v>
      </c>
      <c r="O65" s="9">
        <v>100</v>
      </c>
      <c r="P65" s="9">
        <v>10</v>
      </c>
      <c r="Q65" s="9">
        <v>2</v>
      </c>
      <c r="R65" s="9">
        <v>1</v>
      </c>
      <c r="S65" s="5">
        <v>42741</v>
      </c>
      <c r="T65" s="14">
        <v>0.30208333333333331</v>
      </c>
      <c r="U65" s="5">
        <v>42964</v>
      </c>
      <c r="V65" s="14">
        <v>0.65277777777777779</v>
      </c>
      <c r="W65" s="15">
        <v>28</v>
      </c>
      <c r="X65" s="9">
        <v>1</v>
      </c>
      <c r="Y65" s="5">
        <v>42964</v>
      </c>
      <c r="Z65" s="11">
        <v>0.65347222222222223</v>
      </c>
      <c r="AA65" s="12">
        <v>1</v>
      </c>
    </row>
    <row r="66" spans="1:27">
      <c r="A66" s="2" t="s">
        <v>37</v>
      </c>
      <c r="B66" s="9">
        <f>VLOOKUP(Parameters!A66,Symbols!A$2:B$1000,2,FALSE)</f>
        <v>5.0000000000000002E-5</v>
      </c>
      <c r="C66" s="9">
        <v>2</v>
      </c>
      <c r="D66" s="9" t="s">
        <v>27</v>
      </c>
      <c r="E66" s="13">
        <f t="shared" si="5"/>
        <v>0</v>
      </c>
      <c r="F66" s="13">
        <f t="shared" si="0"/>
        <v>5.0000000000000001E-3</v>
      </c>
      <c r="G66" s="10">
        <v>0.04</v>
      </c>
      <c r="H66" s="10">
        <v>0</v>
      </c>
      <c r="I66" s="10">
        <v>0</v>
      </c>
      <c r="J66" s="10">
        <v>1</v>
      </c>
      <c r="K66" s="10">
        <v>1</v>
      </c>
      <c r="L66" s="10">
        <v>1</v>
      </c>
      <c r="M66" s="10">
        <v>1</v>
      </c>
      <c r="N66" s="9">
        <v>1</v>
      </c>
      <c r="O66" s="9">
        <v>100</v>
      </c>
      <c r="P66" s="9">
        <v>10</v>
      </c>
      <c r="Q66" s="9">
        <v>2</v>
      </c>
      <c r="R66" s="9">
        <v>1</v>
      </c>
      <c r="S66" s="5">
        <v>42741</v>
      </c>
      <c r="T66" s="14">
        <v>0.30208333333333331</v>
      </c>
      <c r="U66" s="5">
        <v>42964</v>
      </c>
      <c r="V66" s="14">
        <v>0.65277777777777779</v>
      </c>
      <c r="W66" s="15">
        <v>28</v>
      </c>
      <c r="X66" s="9">
        <v>1</v>
      </c>
      <c r="Y66" s="5">
        <v>42964</v>
      </c>
      <c r="Z66" s="11">
        <v>0.65347222222222223</v>
      </c>
      <c r="AA66" s="12">
        <v>1</v>
      </c>
    </row>
    <row r="67" spans="1:27">
      <c r="A67" s="2" t="s">
        <v>37</v>
      </c>
      <c r="B67" s="9">
        <f>VLOOKUP(Parameters!A67,Symbols!A$2:B$1000,2,FALSE)</f>
        <v>5.0000000000000002E-5</v>
      </c>
      <c r="C67" s="9">
        <v>2</v>
      </c>
      <c r="D67" s="9" t="s">
        <v>27</v>
      </c>
      <c r="E67" s="13">
        <f t="shared" si="5"/>
        <v>0</v>
      </c>
      <c r="F67" s="13">
        <f t="shared" ref="F67:F111" si="6">B67*100</f>
        <v>5.0000000000000001E-3</v>
      </c>
      <c r="G67" s="10">
        <v>0.05</v>
      </c>
      <c r="H67" s="10">
        <v>0</v>
      </c>
      <c r="I67" s="10">
        <v>0</v>
      </c>
      <c r="J67" s="10">
        <v>1</v>
      </c>
      <c r="K67" s="10">
        <v>1</v>
      </c>
      <c r="L67" s="10">
        <v>1</v>
      </c>
      <c r="M67" s="10">
        <v>1</v>
      </c>
      <c r="N67" s="9">
        <v>1</v>
      </c>
      <c r="O67" s="9">
        <v>100</v>
      </c>
      <c r="P67" s="9">
        <v>10</v>
      </c>
      <c r="Q67" s="9">
        <v>2</v>
      </c>
      <c r="R67" s="9">
        <v>1</v>
      </c>
      <c r="S67" s="5">
        <v>42741</v>
      </c>
      <c r="T67" s="14">
        <v>0.30208333333333331</v>
      </c>
      <c r="U67" s="5">
        <v>42964</v>
      </c>
      <c r="V67" s="14">
        <v>0.65277777777777779</v>
      </c>
      <c r="W67" s="15">
        <v>28</v>
      </c>
      <c r="X67" s="9">
        <v>1</v>
      </c>
      <c r="Y67" s="5">
        <v>42964</v>
      </c>
      <c r="Z67" s="11">
        <v>0.65347222222222223</v>
      </c>
      <c r="AA67" s="12">
        <v>1</v>
      </c>
    </row>
    <row r="68" spans="1:27">
      <c r="A68" s="2" t="s">
        <v>37</v>
      </c>
      <c r="B68" s="9">
        <f>VLOOKUP(Parameters!A68,Symbols!A$2:B$1000,2,FALSE)</f>
        <v>5.0000000000000002E-5</v>
      </c>
      <c r="C68" s="9">
        <v>2</v>
      </c>
      <c r="D68" s="9" t="s">
        <v>27</v>
      </c>
      <c r="E68" s="13">
        <f t="shared" si="5"/>
        <v>0</v>
      </c>
      <c r="F68" s="13">
        <f t="shared" si="6"/>
        <v>5.0000000000000001E-3</v>
      </c>
      <c r="G68" s="10">
        <v>0.06</v>
      </c>
      <c r="H68" s="10">
        <v>0</v>
      </c>
      <c r="I68" s="10">
        <v>0</v>
      </c>
      <c r="J68" s="10">
        <v>1</v>
      </c>
      <c r="K68" s="10">
        <v>1</v>
      </c>
      <c r="L68" s="10">
        <v>1</v>
      </c>
      <c r="M68" s="10">
        <v>1</v>
      </c>
      <c r="N68" s="9">
        <v>1</v>
      </c>
      <c r="O68" s="9">
        <v>100</v>
      </c>
      <c r="P68" s="9">
        <v>10</v>
      </c>
      <c r="Q68" s="9">
        <v>2</v>
      </c>
      <c r="R68" s="9">
        <v>1</v>
      </c>
      <c r="S68" s="5">
        <v>42741</v>
      </c>
      <c r="T68" s="14">
        <v>0.30208333333333331</v>
      </c>
      <c r="U68" s="5">
        <v>42964</v>
      </c>
      <c r="V68" s="14">
        <v>0.65277777777777779</v>
      </c>
      <c r="W68" s="15">
        <v>28</v>
      </c>
      <c r="X68" s="9">
        <v>1</v>
      </c>
      <c r="Y68" s="5">
        <v>42964</v>
      </c>
      <c r="Z68" s="11">
        <v>0.65347222222222223</v>
      </c>
      <c r="AA68" s="12">
        <v>1</v>
      </c>
    </row>
    <row r="69" spans="1:27">
      <c r="A69" s="2" t="s">
        <v>37</v>
      </c>
      <c r="B69" s="9">
        <f>VLOOKUP(Parameters!A69,Symbols!A$2:B$1000,2,FALSE)</f>
        <v>5.0000000000000002E-5</v>
      </c>
      <c r="C69" s="9">
        <v>2</v>
      </c>
      <c r="D69" s="9" t="s">
        <v>27</v>
      </c>
      <c r="E69" s="13">
        <f t="shared" si="5"/>
        <v>0</v>
      </c>
      <c r="F69" s="13">
        <f t="shared" si="6"/>
        <v>5.0000000000000001E-3</v>
      </c>
      <c r="G69" s="10">
        <v>7.0000000000000007E-2</v>
      </c>
      <c r="H69" s="10">
        <v>0</v>
      </c>
      <c r="I69" s="10">
        <v>0</v>
      </c>
      <c r="J69" s="10">
        <v>1</v>
      </c>
      <c r="K69" s="10">
        <v>1</v>
      </c>
      <c r="L69" s="10">
        <v>1</v>
      </c>
      <c r="M69" s="10">
        <v>1</v>
      </c>
      <c r="N69" s="9">
        <v>1</v>
      </c>
      <c r="O69" s="9">
        <v>100</v>
      </c>
      <c r="P69" s="9">
        <v>10</v>
      </c>
      <c r="Q69" s="9">
        <v>2</v>
      </c>
      <c r="R69" s="9">
        <v>1</v>
      </c>
      <c r="S69" s="5">
        <v>42741</v>
      </c>
      <c r="T69" s="14">
        <v>0.30208333333333331</v>
      </c>
      <c r="U69" s="5">
        <v>42964</v>
      </c>
      <c r="V69" s="14">
        <v>0.65277777777777779</v>
      </c>
      <c r="W69" s="15">
        <v>28</v>
      </c>
      <c r="X69" s="9">
        <v>1</v>
      </c>
      <c r="Y69" s="5">
        <v>42964</v>
      </c>
      <c r="Z69" s="11">
        <v>0.65347222222222223</v>
      </c>
      <c r="AA69" s="12">
        <v>1</v>
      </c>
    </row>
    <row r="70" spans="1:27">
      <c r="A70" s="2" t="s">
        <v>37</v>
      </c>
      <c r="B70" s="9">
        <f>VLOOKUP(Parameters!A70,Symbols!A$2:B$1000,2,FALSE)</f>
        <v>5.0000000000000002E-5</v>
      </c>
      <c r="C70" s="9">
        <v>2</v>
      </c>
      <c r="D70" s="9" t="s">
        <v>27</v>
      </c>
      <c r="E70" s="13">
        <f t="shared" si="5"/>
        <v>0</v>
      </c>
      <c r="F70" s="13">
        <f t="shared" si="6"/>
        <v>5.0000000000000001E-3</v>
      </c>
      <c r="G70" s="10">
        <v>0.08</v>
      </c>
      <c r="H70" s="10">
        <v>0</v>
      </c>
      <c r="I70" s="10">
        <v>0</v>
      </c>
      <c r="J70" s="10">
        <v>1</v>
      </c>
      <c r="K70" s="10">
        <v>1</v>
      </c>
      <c r="L70" s="10">
        <v>1</v>
      </c>
      <c r="M70" s="10">
        <v>1</v>
      </c>
      <c r="N70" s="9">
        <v>1</v>
      </c>
      <c r="O70" s="9">
        <v>100</v>
      </c>
      <c r="P70" s="9">
        <v>10</v>
      </c>
      <c r="Q70" s="9">
        <v>2</v>
      </c>
      <c r="R70" s="9">
        <v>1</v>
      </c>
      <c r="S70" s="5">
        <v>42741</v>
      </c>
      <c r="T70" s="14">
        <v>0.30208333333333331</v>
      </c>
      <c r="U70" s="5">
        <v>42964</v>
      </c>
      <c r="V70" s="14">
        <v>0.65277777777777779</v>
      </c>
      <c r="W70" s="15">
        <v>28</v>
      </c>
      <c r="X70" s="9">
        <v>1</v>
      </c>
      <c r="Y70" s="5">
        <v>42964</v>
      </c>
      <c r="Z70" s="11">
        <v>0.65347222222222223</v>
      </c>
      <c r="AA70" s="12">
        <v>1</v>
      </c>
    </row>
    <row r="71" spans="1:27">
      <c r="A71" s="2" t="s">
        <v>37</v>
      </c>
      <c r="B71" s="9">
        <f>VLOOKUP(Parameters!A71,Symbols!A$2:B$1000,2,FALSE)</f>
        <v>5.0000000000000002E-5</v>
      </c>
      <c r="C71" s="9">
        <v>2</v>
      </c>
      <c r="D71" s="9" t="s">
        <v>27</v>
      </c>
      <c r="E71" s="13">
        <f t="shared" si="5"/>
        <v>0</v>
      </c>
      <c r="F71" s="13">
        <f t="shared" si="6"/>
        <v>5.0000000000000001E-3</v>
      </c>
      <c r="G71" s="10">
        <v>0.09</v>
      </c>
      <c r="H71" s="10">
        <v>0</v>
      </c>
      <c r="I71" s="10">
        <v>0</v>
      </c>
      <c r="J71" s="10">
        <v>1</v>
      </c>
      <c r="K71" s="10">
        <v>1</v>
      </c>
      <c r="L71" s="10">
        <v>1</v>
      </c>
      <c r="M71" s="10">
        <v>1</v>
      </c>
      <c r="N71" s="9">
        <v>1</v>
      </c>
      <c r="O71" s="9">
        <v>100</v>
      </c>
      <c r="P71" s="9">
        <v>10</v>
      </c>
      <c r="Q71" s="9">
        <v>2</v>
      </c>
      <c r="R71" s="9">
        <v>1</v>
      </c>
      <c r="S71" s="5">
        <v>42741</v>
      </c>
      <c r="T71" s="14">
        <v>0.30208333333333331</v>
      </c>
      <c r="U71" s="5">
        <v>42964</v>
      </c>
      <c r="V71" s="14">
        <v>0.65277777777777779</v>
      </c>
      <c r="W71" s="15">
        <v>28</v>
      </c>
      <c r="X71" s="9">
        <v>1</v>
      </c>
      <c r="Y71" s="5">
        <v>42964</v>
      </c>
      <c r="Z71" s="11">
        <v>0.65347222222222223</v>
      </c>
      <c r="AA71" s="12">
        <v>1</v>
      </c>
    </row>
    <row r="72" spans="1:27">
      <c r="A72" s="2" t="s">
        <v>37</v>
      </c>
      <c r="B72" s="9">
        <f>VLOOKUP(Parameters!A72,Symbols!A$2:B$1000,2,FALSE)</f>
        <v>5.0000000000000002E-5</v>
      </c>
      <c r="C72" s="9">
        <v>2</v>
      </c>
      <c r="D72" s="9" t="s">
        <v>34</v>
      </c>
      <c r="E72" s="13">
        <f t="shared" si="5"/>
        <v>0</v>
      </c>
      <c r="F72" s="13">
        <f t="shared" si="6"/>
        <v>5.0000000000000001E-3</v>
      </c>
      <c r="G72" s="10">
        <v>0</v>
      </c>
      <c r="H72" s="10">
        <v>0</v>
      </c>
      <c r="I72" s="10">
        <v>0</v>
      </c>
      <c r="J72" s="10">
        <v>1</v>
      </c>
      <c r="K72" s="10">
        <v>1</v>
      </c>
      <c r="L72" s="10">
        <v>1</v>
      </c>
      <c r="M72" s="10">
        <v>1</v>
      </c>
      <c r="N72" s="9">
        <v>1</v>
      </c>
      <c r="O72" s="9">
        <v>100</v>
      </c>
      <c r="P72" s="9">
        <v>10</v>
      </c>
      <c r="Q72" s="9">
        <v>2</v>
      </c>
      <c r="R72" s="9">
        <v>1</v>
      </c>
      <c r="S72" s="5">
        <v>42741</v>
      </c>
      <c r="T72" s="14">
        <v>0.30208333333333331</v>
      </c>
      <c r="U72" s="5">
        <v>42964</v>
      </c>
      <c r="V72" s="14">
        <v>0.65277777777777779</v>
      </c>
      <c r="W72" s="15">
        <v>28</v>
      </c>
      <c r="X72" s="9">
        <v>1</v>
      </c>
      <c r="Y72" s="5">
        <v>42964</v>
      </c>
      <c r="Z72" s="11">
        <v>0.65347222222222223</v>
      </c>
      <c r="AA72" s="12">
        <v>1</v>
      </c>
    </row>
    <row r="73" spans="1:27">
      <c r="A73" s="2" t="s">
        <v>37</v>
      </c>
      <c r="B73" s="9">
        <f>VLOOKUP(Parameters!A73,Symbols!A$2:B$1000,2,FALSE)</f>
        <v>5.0000000000000002E-5</v>
      </c>
      <c r="C73" s="9">
        <v>2</v>
      </c>
      <c r="D73" s="9" t="s">
        <v>34</v>
      </c>
      <c r="E73" s="13">
        <f t="shared" si="5"/>
        <v>0</v>
      </c>
      <c r="F73" s="13">
        <f t="shared" si="6"/>
        <v>5.0000000000000001E-3</v>
      </c>
      <c r="G73" s="10">
        <v>0.01</v>
      </c>
      <c r="H73" s="10">
        <v>0</v>
      </c>
      <c r="I73" s="10">
        <v>0</v>
      </c>
      <c r="J73" s="10">
        <v>1</v>
      </c>
      <c r="K73" s="10">
        <v>1</v>
      </c>
      <c r="L73" s="10">
        <v>1</v>
      </c>
      <c r="M73" s="10">
        <v>1</v>
      </c>
      <c r="N73" s="9">
        <v>1</v>
      </c>
      <c r="O73" s="9">
        <v>100</v>
      </c>
      <c r="P73" s="9">
        <v>10</v>
      </c>
      <c r="Q73" s="9">
        <v>2</v>
      </c>
      <c r="R73" s="9">
        <v>1</v>
      </c>
      <c r="S73" s="5">
        <v>42741</v>
      </c>
      <c r="T73" s="14">
        <v>0.30208333333333331</v>
      </c>
      <c r="U73" s="5">
        <v>42964</v>
      </c>
      <c r="V73" s="14">
        <v>0.65277777777777779</v>
      </c>
      <c r="W73" s="15">
        <v>28</v>
      </c>
      <c r="X73" s="9">
        <v>1</v>
      </c>
      <c r="Y73" s="5">
        <v>42964</v>
      </c>
      <c r="Z73" s="11">
        <v>0.65347222222222223</v>
      </c>
      <c r="AA73" s="12">
        <v>1</v>
      </c>
    </row>
    <row r="74" spans="1:27">
      <c r="A74" s="2" t="s">
        <v>37</v>
      </c>
      <c r="B74" s="9">
        <f>VLOOKUP(Parameters!A74,Symbols!A$2:B$1000,2,FALSE)</f>
        <v>5.0000000000000002E-5</v>
      </c>
      <c r="C74" s="9">
        <v>2</v>
      </c>
      <c r="D74" s="9" t="s">
        <v>34</v>
      </c>
      <c r="E74" s="13">
        <f t="shared" si="5"/>
        <v>0</v>
      </c>
      <c r="F74" s="13">
        <f t="shared" si="6"/>
        <v>5.0000000000000001E-3</v>
      </c>
      <c r="G74" s="10">
        <v>0.02</v>
      </c>
      <c r="H74" s="10">
        <v>0</v>
      </c>
      <c r="I74" s="10">
        <v>0</v>
      </c>
      <c r="J74" s="10">
        <v>1</v>
      </c>
      <c r="K74" s="10">
        <v>1</v>
      </c>
      <c r="L74" s="10">
        <v>1</v>
      </c>
      <c r="M74" s="10">
        <v>1</v>
      </c>
      <c r="N74" s="9">
        <v>1</v>
      </c>
      <c r="O74" s="9">
        <v>100</v>
      </c>
      <c r="P74" s="9">
        <v>10</v>
      </c>
      <c r="Q74" s="9">
        <v>2</v>
      </c>
      <c r="R74" s="9">
        <v>1</v>
      </c>
      <c r="S74" s="5">
        <v>42741</v>
      </c>
      <c r="T74" s="14">
        <v>0.30208333333333331</v>
      </c>
      <c r="U74" s="5">
        <v>42964</v>
      </c>
      <c r="V74" s="14">
        <v>0.65277777777777779</v>
      </c>
      <c r="W74" s="15">
        <v>28</v>
      </c>
      <c r="X74" s="9">
        <v>1</v>
      </c>
      <c r="Y74" s="5">
        <v>42964</v>
      </c>
      <c r="Z74" s="11">
        <v>0.65347222222222223</v>
      </c>
      <c r="AA74" s="12">
        <v>1</v>
      </c>
    </row>
    <row r="75" spans="1:27">
      <c r="A75" s="2" t="s">
        <v>37</v>
      </c>
      <c r="B75" s="9">
        <f>VLOOKUP(Parameters!A75,Symbols!A$2:B$1000,2,FALSE)</f>
        <v>5.0000000000000002E-5</v>
      </c>
      <c r="C75" s="9">
        <v>2</v>
      </c>
      <c r="D75" s="9" t="s">
        <v>34</v>
      </c>
      <c r="E75" s="13">
        <f t="shared" si="5"/>
        <v>0</v>
      </c>
      <c r="F75" s="13">
        <f t="shared" si="6"/>
        <v>5.0000000000000001E-3</v>
      </c>
      <c r="G75" s="10">
        <v>0.03</v>
      </c>
      <c r="H75" s="10">
        <v>0</v>
      </c>
      <c r="I75" s="10">
        <v>0</v>
      </c>
      <c r="J75" s="10">
        <v>1</v>
      </c>
      <c r="K75" s="10">
        <v>1</v>
      </c>
      <c r="L75" s="10">
        <v>1</v>
      </c>
      <c r="M75" s="10">
        <v>1</v>
      </c>
      <c r="N75" s="9">
        <v>1</v>
      </c>
      <c r="O75" s="9">
        <v>100</v>
      </c>
      <c r="P75" s="9">
        <v>10</v>
      </c>
      <c r="Q75" s="9">
        <v>2</v>
      </c>
      <c r="R75" s="9">
        <v>1</v>
      </c>
      <c r="S75" s="5">
        <v>42741</v>
      </c>
      <c r="T75" s="14">
        <v>0.30208333333333331</v>
      </c>
      <c r="U75" s="5">
        <v>42964</v>
      </c>
      <c r="V75" s="14">
        <v>0.65277777777777779</v>
      </c>
      <c r="W75" s="15">
        <v>28</v>
      </c>
      <c r="X75" s="9">
        <v>1</v>
      </c>
      <c r="Y75" s="5">
        <v>42964</v>
      </c>
      <c r="Z75" s="11">
        <v>0.65347222222222223</v>
      </c>
      <c r="AA75" s="12">
        <v>1</v>
      </c>
    </row>
    <row r="76" spans="1:27">
      <c r="A76" s="2" t="s">
        <v>37</v>
      </c>
      <c r="B76" s="9">
        <f>VLOOKUP(Parameters!A76,Symbols!A$2:B$1000,2,FALSE)</f>
        <v>5.0000000000000002E-5</v>
      </c>
      <c r="C76" s="9">
        <v>2</v>
      </c>
      <c r="D76" s="9" t="s">
        <v>34</v>
      </c>
      <c r="E76" s="13">
        <f t="shared" si="5"/>
        <v>0</v>
      </c>
      <c r="F76" s="13">
        <f t="shared" si="6"/>
        <v>5.0000000000000001E-3</v>
      </c>
      <c r="G76" s="10">
        <v>0.04</v>
      </c>
      <c r="H76" s="10">
        <v>0</v>
      </c>
      <c r="I76" s="10">
        <v>0</v>
      </c>
      <c r="J76" s="10">
        <v>1</v>
      </c>
      <c r="K76" s="10">
        <v>1</v>
      </c>
      <c r="L76" s="10">
        <v>1</v>
      </c>
      <c r="M76" s="10">
        <v>1</v>
      </c>
      <c r="N76" s="9">
        <v>1</v>
      </c>
      <c r="O76" s="9">
        <v>100</v>
      </c>
      <c r="P76" s="9">
        <v>10</v>
      </c>
      <c r="Q76" s="9">
        <v>2</v>
      </c>
      <c r="R76" s="9">
        <v>1</v>
      </c>
      <c r="S76" s="5">
        <v>42741</v>
      </c>
      <c r="T76" s="14">
        <v>0.30208333333333331</v>
      </c>
      <c r="U76" s="5">
        <v>42964</v>
      </c>
      <c r="V76" s="14">
        <v>0.65277777777777779</v>
      </c>
      <c r="W76" s="15">
        <v>28</v>
      </c>
      <c r="X76" s="9">
        <v>1</v>
      </c>
      <c r="Y76" s="5">
        <v>42964</v>
      </c>
      <c r="Z76" s="11">
        <v>0.65347222222222223</v>
      </c>
      <c r="AA76" s="12">
        <v>1</v>
      </c>
    </row>
    <row r="77" spans="1:27">
      <c r="A77" s="2" t="s">
        <v>37</v>
      </c>
      <c r="B77" s="9">
        <f>VLOOKUP(Parameters!A77,Symbols!A$2:B$1000,2,FALSE)</f>
        <v>5.0000000000000002E-5</v>
      </c>
      <c r="C77" s="9">
        <v>2</v>
      </c>
      <c r="D77" s="9" t="s">
        <v>34</v>
      </c>
      <c r="E77" s="13">
        <f t="shared" si="5"/>
        <v>0</v>
      </c>
      <c r="F77" s="13">
        <f t="shared" ref="F77:F81" si="7">B77*100</f>
        <v>5.0000000000000001E-3</v>
      </c>
      <c r="G77" s="10">
        <v>0.05</v>
      </c>
      <c r="H77" s="10">
        <v>0</v>
      </c>
      <c r="I77" s="10">
        <v>0</v>
      </c>
      <c r="J77" s="10">
        <v>1</v>
      </c>
      <c r="K77" s="10">
        <v>1</v>
      </c>
      <c r="L77" s="10">
        <v>1</v>
      </c>
      <c r="M77" s="10">
        <v>1</v>
      </c>
      <c r="N77" s="9">
        <v>1</v>
      </c>
      <c r="O77" s="9">
        <v>100</v>
      </c>
      <c r="P77" s="9">
        <v>10</v>
      </c>
      <c r="Q77" s="9">
        <v>2</v>
      </c>
      <c r="R77" s="9">
        <v>1</v>
      </c>
      <c r="S77" s="5">
        <v>42741</v>
      </c>
      <c r="T77" s="14">
        <v>0.30208333333333331</v>
      </c>
      <c r="U77" s="5">
        <v>42964</v>
      </c>
      <c r="V77" s="14">
        <v>0.65277777777777779</v>
      </c>
      <c r="W77" s="15">
        <v>28</v>
      </c>
      <c r="X77" s="9">
        <v>1</v>
      </c>
      <c r="Y77" s="5">
        <v>42964</v>
      </c>
      <c r="Z77" s="11">
        <v>0.65347222222222223</v>
      </c>
      <c r="AA77" s="12">
        <v>1</v>
      </c>
    </row>
    <row r="78" spans="1:27">
      <c r="A78" s="2" t="s">
        <v>37</v>
      </c>
      <c r="B78" s="9">
        <f>VLOOKUP(Parameters!A78,Symbols!A$2:B$1000,2,FALSE)</f>
        <v>5.0000000000000002E-5</v>
      </c>
      <c r="C78" s="9">
        <v>2</v>
      </c>
      <c r="D78" s="9" t="s">
        <v>34</v>
      </c>
      <c r="E78" s="13">
        <f t="shared" si="5"/>
        <v>0</v>
      </c>
      <c r="F78" s="13">
        <f t="shared" si="7"/>
        <v>5.0000000000000001E-3</v>
      </c>
      <c r="G78" s="10">
        <v>0.06</v>
      </c>
      <c r="H78" s="10">
        <v>0</v>
      </c>
      <c r="I78" s="10">
        <v>0</v>
      </c>
      <c r="J78" s="10">
        <v>1</v>
      </c>
      <c r="K78" s="10">
        <v>1</v>
      </c>
      <c r="L78" s="10">
        <v>1</v>
      </c>
      <c r="M78" s="10">
        <v>1</v>
      </c>
      <c r="N78" s="9">
        <v>1</v>
      </c>
      <c r="O78" s="9">
        <v>100</v>
      </c>
      <c r="P78" s="9">
        <v>10</v>
      </c>
      <c r="Q78" s="9">
        <v>2</v>
      </c>
      <c r="R78" s="9">
        <v>1</v>
      </c>
      <c r="S78" s="5">
        <v>42741</v>
      </c>
      <c r="T78" s="14">
        <v>0.30208333333333331</v>
      </c>
      <c r="U78" s="5">
        <v>42964</v>
      </c>
      <c r="V78" s="14">
        <v>0.65277777777777779</v>
      </c>
      <c r="W78" s="15">
        <v>28</v>
      </c>
      <c r="X78" s="9">
        <v>1</v>
      </c>
      <c r="Y78" s="5">
        <v>42964</v>
      </c>
      <c r="Z78" s="11">
        <v>0.65347222222222223</v>
      </c>
      <c r="AA78" s="12">
        <v>1</v>
      </c>
    </row>
    <row r="79" spans="1:27">
      <c r="A79" s="2" t="s">
        <v>37</v>
      </c>
      <c r="B79" s="9">
        <f>VLOOKUP(Parameters!A79,Symbols!A$2:B$1000,2,FALSE)</f>
        <v>5.0000000000000002E-5</v>
      </c>
      <c r="C79" s="9">
        <v>2</v>
      </c>
      <c r="D79" s="9" t="s">
        <v>34</v>
      </c>
      <c r="E79" s="13">
        <f t="shared" si="5"/>
        <v>0</v>
      </c>
      <c r="F79" s="13">
        <f t="shared" si="7"/>
        <v>5.0000000000000001E-3</v>
      </c>
      <c r="G79" s="10">
        <v>7.0000000000000007E-2</v>
      </c>
      <c r="H79" s="10">
        <v>0</v>
      </c>
      <c r="I79" s="10">
        <v>0</v>
      </c>
      <c r="J79" s="10">
        <v>1</v>
      </c>
      <c r="K79" s="10">
        <v>1</v>
      </c>
      <c r="L79" s="10">
        <v>1</v>
      </c>
      <c r="M79" s="10">
        <v>1</v>
      </c>
      <c r="N79" s="9">
        <v>1</v>
      </c>
      <c r="O79" s="9">
        <v>100</v>
      </c>
      <c r="P79" s="9">
        <v>10</v>
      </c>
      <c r="Q79" s="9">
        <v>2</v>
      </c>
      <c r="R79" s="9">
        <v>1</v>
      </c>
      <c r="S79" s="5">
        <v>42741</v>
      </c>
      <c r="T79" s="14">
        <v>0.30208333333333331</v>
      </c>
      <c r="U79" s="5">
        <v>42964</v>
      </c>
      <c r="V79" s="14">
        <v>0.65277777777777779</v>
      </c>
      <c r="W79" s="15">
        <v>28</v>
      </c>
      <c r="X79" s="9">
        <v>1</v>
      </c>
      <c r="Y79" s="5">
        <v>42964</v>
      </c>
      <c r="Z79" s="11">
        <v>0.65347222222222223</v>
      </c>
      <c r="AA79" s="12">
        <v>1</v>
      </c>
    </row>
    <row r="80" spans="1:27">
      <c r="A80" s="2" t="s">
        <v>37</v>
      </c>
      <c r="B80" s="9">
        <f>VLOOKUP(Parameters!A80,Symbols!A$2:B$1000,2,FALSE)</f>
        <v>5.0000000000000002E-5</v>
      </c>
      <c r="C80" s="9">
        <v>2</v>
      </c>
      <c r="D80" s="9" t="s">
        <v>34</v>
      </c>
      <c r="E80" s="13">
        <f t="shared" si="5"/>
        <v>0</v>
      </c>
      <c r="F80" s="13">
        <f t="shared" si="7"/>
        <v>5.0000000000000001E-3</v>
      </c>
      <c r="G80" s="10">
        <v>0.08</v>
      </c>
      <c r="H80" s="10">
        <v>0</v>
      </c>
      <c r="I80" s="10">
        <v>0</v>
      </c>
      <c r="J80" s="10">
        <v>1</v>
      </c>
      <c r="K80" s="10">
        <v>1</v>
      </c>
      <c r="L80" s="10">
        <v>1</v>
      </c>
      <c r="M80" s="10">
        <v>1</v>
      </c>
      <c r="N80" s="9">
        <v>1</v>
      </c>
      <c r="O80" s="9">
        <v>100</v>
      </c>
      <c r="P80" s="9">
        <v>10</v>
      </c>
      <c r="Q80" s="9">
        <v>2</v>
      </c>
      <c r="R80" s="9">
        <v>1</v>
      </c>
      <c r="S80" s="5">
        <v>42741</v>
      </c>
      <c r="T80" s="14">
        <v>0.30208333333333331</v>
      </c>
      <c r="U80" s="5">
        <v>42964</v>
      </c>
      <c r="V80" s="14">
        <v>0.65277777777777779</v>
      </c>
      <c r="W80" s="15">
        <v>28</v>
      </c>
      <c r="X80" s="9">
        <v>1</v>
      </c>
      <c r="Y80" s="5">
        <v>42964</v>
      </c>
      <c r="Z80" s="11">
        <v>0.65347222222222223</v>
      </c>
      <c r="AA80" s="12">
        <v>1</v>
      </c>
    </row>
    <row r="81" spans="1:27">
      <c r="A81" s="2" t="s">
        <v>37</v>
      </c>
      <c r="B81" s="9">
        <f>VLOOKUP(Parameters!A81,Symbols!A$2:B$1000,2,FALSE)</f>
        <v>5.0000000000000002E-5</v>
      </c>
      <c r="C81" s="9">
        <v>2</v>
      </c>
      <c r="D81" s="9" t="s">
        <v>34</v>
      </c>
      <c r="E81" s="13">
        <f t="shared" si="5"/>
        <v>0</v>
      </c>
      <c r="F81" s="13">
        <f t="shared" si="7"/>
        <v>5.0000000000000001E-3</v>
      </c>
      <c r="G81" s="10">
        <v>0.09</v>
      </c>
      <c r="H81" s="10">
        <v>0</v>
      </c>
      <c r="I81" s="10">
        <v>0</v>
      </c>
      <c r="J81" s="10">
        <v>1</v>
      </c>
      <c r="K81" s="10">
        <v>1</v>
      </c>
      <c r="L81" s="10">
        <v>1</v>
      </c>
      <c r="M81" s="10">
        <v>1</v>
      </c>
      <c r="N81" s="9">
        <v>1</v>
      </c>
      <c r="O81" s="9">
        <v>100</v>
      </c>
      <c r="P81" s="9">
        <v>10</v>
      </c>
      <c r="Q81" s="9">
        <v>2</v>
      </c>
      <c r="R81" s="9">
        <v>1</v>
      </c>
      <c r="S81" s="5">
        <v>42741</v>
      </c>
      <c r="T81" s="14">
        <v>0.30208333333333331</v>
      </c>
      <c r="U81" s="5">
        <v>42964</v>
      </c>
      <c r="V81" s="14">
        <v>0.65277777777777779</v>
      </c>
      <c r="W81" s="15">
        <v>28</v>
      </c>
      <c r="X81" s="9">
        <v>1</v>
      </c>
      <c r="Y81" s="5">
        <v>42964</v>
      </c>
      <c r="Z81" s="11">
        <v>0.65347222222222223</v>
      </c>
      <c r="AA81" s="12">
        <v>1</v>
      </c>
    </row>
    <row r="82" spans="1:27">
      <c r="A82" s="2" t="s">
        <v>38</v>
      </c>
      <c r="B82" s="9">
        <f>VLOOKUP(Parameters!A82,Symbols!A$2:B$1000,2,FALSE)</f>
        <v>1E-4</v>
      </c>
      <c r="C82" s="9">
        <v>2</v>
      </c>
      <c r="D82" s="9" t="s">
        <v>27</v>
      </c>
      <c r="E82" s="19"/>
      <c r="F82" s="13">
        <f t="shared" si="6"/>
        <v>0.01</v>
      </c>
      <c r="G82" s="10">
        <v>0</v>
      </c>
      <c r="H82" s="10">
        <v>0</v>
      </c>
      <c r="I82" s="10">
        <v>0</v>
      </c>
      <c r="J82" s="10">
        <v>1</v>
      </c>
      <c r="K82" s="10">
        <v>1</v>
      </c>
      <c r="L82" s="10">
        <v>1</v>
      </c>
      <c r="M82" s="10">
        <v>1</v>
      </c>
      <c r="N82" s="9">
        <v>1</v>
      </c>
      <c r="O82" s="9">
        <v>100</v>
      </c>
      <c r="P82" s="9">
        <v>10</v>
      </c>
      <c r="Q82" s="9">
        <v>2</v>
      </c>
      <c r="R82" s="9">
        <v>1</v>
      </c>
      <c r="S82" s="5">
        <v>42741</v>
      </c>
      <c r="T82" s="14">
        <v>0.30208333333333331</v>
      </c>
      <c r="U82" s="5">
        <v>42964</v>
      </c>
      <c r="V82" s="14">
        <v>0.65277777777777779</v>
      </c>
      <c r="W82" s="15">
        <v>28</v>
      </c>
      <c r="X82" s="9">
        <v>1</v>
      </c>
      <c r="Y82" s="5">
        <v>42964</v>
      </c>
      <c r="Z82" s="11">
        <v>0.65347222222222223</v>
      </c>
      <c r="AA82" s="12">
        <v>1</v>
      </c>
    </row>
    <row r="83" spans="1:27">
      <c r="A83" s="2" t="s">
        <v>38</v>
      </c>
      <c r="B83" s="9">
        <f>VLOOKUP(Parameters!A83,Symbols!A$2:B$1000,2,FALSE)</f>
        <v>1E-4</v>
      </c>
      <c r="C83" s="9">
        <v>2</v>
      </c>
      <c r="D83" s="9" t="s">
        <v>27</v>
      </c>
      <c r="E83" s="13">
        <f>E82</f>
        <v>0</v>
      </c>
      <c r="F83" s="13">
        <f t="shared" si="6"/>
        <v>0.01</v>
      </c>
      <c r="G83" s="10">
        <v>0.01</v>
      </c>
      <c r="H83" s="10">
        <v>0</v>
      </c>
      <c r="I83" s="10">
        <v>0</v>
      </c>
      <c r="J83" s="10">
        <v>1</v>
      </c>
      <c r="K83" s="10">
        <v>1</v>
      </c>
      <c r="L83" s="10">
        <v>1</v>
      </c>
      <c r="M83" s="10">
        <v>1</v>
      </c>
      <c r="N83" s="9">
        <v>1</v>
      </c>
      <c r="O83" s="9">
        <v>100</v>
      </c>
      <c r="P83" s="9">
        <v>10</v>
      </c>
      <c r="Q83" s="9">
        <v>2</v>
      </c>
      <c r="R83" s="9">
        <v>1</v>
      </c>
      <c r="S83" s="5">
        <v>42741</v>
      </c>
      <c r="T83" s="14">
        <v>0.30208333333333331</v>
      </c>
      <c r="U83" s="5">
        <v>42964</v>
      </c>
      <c r="V83" s="14">
        <v>0.65277777777777779</v>
      </c>
      <c r="W83" s="15">
        <v>28</v>
      </c>
      <c r="X83" s="9">
        <v>1</v>
      </c>
      <c r="Y83" s="5">
        <v>42964</v>
      </c>
      <c r="Z83" s="11">
        <v>0.65347222222222223</v>
      </c>
      <c r="AA83" s="12">
        <v>1</v>
      </c>
    </row>
    <row r="84" spans="1:27">
      <c r="A84" s="2" t="s">
        <v>38</v>
      </c>
      <c r="B84" s="9">
        <f>VLOOKUP(Parameters!A84,Symbols!A$2:B$1000,2,FALSE)</f>
        <v>1E-4</v>
      </c>
      <c r="C84" s="9">
        <v>2</v>
      </c>
      <c r="D84" s="9" t="s">
        <v>27</v>
      </c>
      <c r="E84" s="13">
        <f t="shared" ref="E84:E101" si="8">E83</f>
        <v>0</v>
      </c>
      <c r="F84" s="13">
        <f t="shared" si="6"/>
        <v>0.01</v>
      </c>
      <c r="G84" s="10">
        <v>0.02</v>
      </c>
      <c r="H84" s="10">
        <v>0</v>
      </c>
      <c r="I84" s="10">
        <v>0</v>
      </c>
      <c r="J84" s="10">
        <v>1</v>
      </c>
      <c r="K84" s="10">
        <v>1</v>
      </c>
      <c r="L84" s="10">
        <v>1</v>
      </c>
      <c r="M84" s="10">
        <v>1</v>
      </c>
      <c r="N84" s="9">
        <v>1</v>
      </c>
      <c r="O84" s="9">
        <v>100</v>
      </c>
      <c r="P84" s="9">
        <v>10</v>
      </c>
      <c r="Q84" s="9">
        <v>2</v>
      </c>
      <c r="R84" s="9">
        <v>1</v>
      </c>
      <c r="S84" s="5">
        <v>42741</v>
      </c>
      <c r="T84" s="14">
        <v>0.30208333333333331</v>
      </c>
      <c r="U84" s="5">
        <v>42964</v>
      </c>
      <c r="V84" s="14">
        <v>0.65277777777777779</v>
      </c>
      <c r="W84" s="15">
        <v>28</v>
      </c>
      <c r="X84" s="9">
        <v>1</v>
      </c>
      <c r="Y84" s="5">
        <v>42964</v>
      </c>
      <c r="Z84" s="11">
        <v>0.65347222222222223</v>
      </c>
      <c r="AA84" s="12">
        <v>1</v>
      </c>
    </row>
    <row r="85" spans="1:27">
      <c r="A85" s="2" t="s">
        <v>38</v>
      </c>
      <c r="B85" s="9">
        <f>VLOOKUP(Parameters!A85,Symbols!A$2:B$1000,2,FALSE)</f>
        <v>1E-4</v>
      </c>
      <c r="C85" s="9">
        <v>2</v>
      </c>
      <c r="D85" s="9" t="s">
        <v>27</v>
      </c>
      <c r="E85" s="13">
        <f t="shared" si="8"/>
        <v>0</v>
      </c>
      <c r="F85" s="13">
        <f t="shared" si="6"/>
        <v>0.01</v>
      </c>
      <c r="G85" s="10">
        <v>0.03</v>
      </c>
      <c r="H85" s="10">
        <v>0</v>
      </c>
      <c r="I85" s="10">
        <v>0</v>
      </c>
      <c r="J85" s="10">
        <v>1</v>
      </c>
      <c r="K85" s="10">
        <v>1</v>
      </c>
      <c r="L85" s="10">
        <v>1</v>
      </c>
      <c r="M85" s="10">
        <v>1</v>
      </c>
      <c r="N85" s="9">
        <v>1</v>
      </c>
      <c r="O85" s="9">
        <v>100</v>
      </c>
      <c r="P85" s="9">
        <v>10</v>
      </c>
      <c r="Q85" s="9">
        <v>2</v>
      </c>
      <c r="R85" s="9">
        <v>1</v>
      </c>
      <c r="S85" s="5">
        <v>42741</v>
      </c>
      <c r="T85" s="14">
        <v>0.30208333333333331</v>
      </c>
      <c r="U85" s="5">
        <v>42964</v>
      </c>
      <c r="V85" s="14">
        <v>0.65277777777777779</v>
      </c>
      <c r="W85" s="15">
        <v>28</v>
      </c>
      <c r="X85" s="9">
        <v>1</v>
      </c>
      <c r="Y85" s="5">
        <v>42964</v>
      </c>
      <c r="Z85" s="11">
        <v>0.65347222222222223</v>
      </c>
      <c r="AA85" s="12">
        <v>1</v>
      </c>
    </row>
    <row r="86" spans="1:27">
      <c r="A86" s="2" t="s">
        <v>38</v>
      </c>
      <c r="B86" s="9">
        <f>VLOOKUP(Parameters!A86,Symbols!A$2:B$1000,2,FALSE)</f>
        <v>1E-4</v>
      </c>
      <c r="C86" s="9">
        <v>2</v>
      </c>
      <c r="D86" s="9" t="s">
        <v>27</v>
      </c>
      <c r="E86" s="13">
        <f t="shared" si="8"/>
        <v>0</v>
      </c>
      <c r="F86" s="13">
        <f t="shared" si="6"/>
        <v>0.01</v>
      </c>
      <c r="G86" s="10">
        <v>0.04</v>
      </c>
      <c r="H86" s="10">
        <v>0</v>
      </c>
      <c r="I86" s="10">
        <v>0</v>
      </c>
      <c r="J86" s="10">
        <v>1</v>
      </c>
      <c r="K86" s="10">
        <v>1</v>
      </c>
      <c r="L86" s="10">
        <v>1</v>
      </c>
      <c r="M86" s="10">
        <v>1</v>
      </c>
      <c r="N86" s="9">
        <v>1</v>
      </c>
      <c r="O86" s="9">
        <v>100</v>
      </c>
      <c r="P86" s="9">
        <v>10</v>
      </c>
      <c r="Q86" s="9">
        <v>2</v>
      </c>
      <c r="R86" s="9">
        <v>1</v>
      </c>
      <c r="S86" s="5">
        <v>42741</v>
      </c>
      <c r="T86" s="14">
        <v>0.30208333333333331</v>
      </c>
      <c r="U86" s="5">
        <v>42964</v>
      </c>
      <c r="V86" s="14">
        <v>0.65277777777777779</v>
      </c>
      <c r="W86" s="15">
        <v>28</v>
      </c>
      <c r="X86" s="9">
        <v>1</v>
      </c>
      <c r="Y86" s="5">
        <v>42964</v>
      </c>
      <c r="Z86" s="11">
        <v>0.65347222222222223</v>
      </c>
      <c r="AA86" s="12">
        <v>1</v>
      </c>
    </row>
    <row r="87" spans="1:27">
      <c r="A87" s="2" t="s">
        <v>38</v>
      </c>
      <c r="B87" s="9">
        <f>VLOOKUP(Parameters!A87,Symbols!A$2:B$1000,2,FALSE)</f>
        <v>1E-4</v>
      </c>
      <c r="C87" s="9">
        <v>2</v>
      </c>
      <c r="D87" s="9" t="s">
        <v>27</v>
      </c>
      <c r="E87" s="13">
        <f t="shared" si="8"/>
        <v>0</v>
      </c>
      <c r="F87" s="13">
        <f t="shared" si="6"/>
        <v>0.01</v>
      </c>
      <c r="G87" s="10">
        <v>0.05</v>
      </c>
      <c r="H87" s="10">
        <v>0</v>
      </c>
      <c r="I87" s="10">
        <v>0</v>
      </c>
      <c r="J87" s="10">
        <v>1</v>
      </c>
      <c r="K87" s="10">
        <v>1</v>
      </c>
      <c r="L87" s="10">
        <v>1</v>
      </c>
      <c r="M87" s="10">
        <v>1</v>
      </c>
      <c r="N87" s="9">
        <v>1</v>
      </c>
      <c r="O87" s="9">
        <v>100</v>
      </c>
      <c r="P87" s="9">
        <v>10</v>
      </c>
      <c r="Q87" s="9">
        <v>2</v>
      </c>
      <c r="R87" s="9">
        <v>1</v>
      </c>
      <c r="S87" s="5">
        <v>42741</v>
      </c>
      <c r="T87" s="14">
        <v>0.30208333333333331</v>
      </c>
      <c r="U87" s="5">
        <v>42964</v>
      </c>
      <c r="V87" s="14">
        <v>0.65277777777777779</v>
      </c>
      <c r="W87" s="15">
        <v>28</v>
      </c>
      <c r="X87" s="9">
        <v>1</v>
      </c>
      <c r="Y87" s="5">
        <v>42964</v>
      </c>
      <c r="Z87" s="11">
        <v>0.65347222222222223</v>
      </c>
      <c r="AA87" s="12">
        <v>1</v>
      </c>
    </row>
    <row r="88" spans="1:27">
      <c r="A88" s="2" t="s">
        <v>38</v>
      </c>
      <c r="B88" s="9">
        <f>VLOOKUP(Parameters!A88,Symbols!A$2:B$1000,2,FALSE)</f>
        <v>1E-4</v>
      </c>
      <c r="C88" s="9">
        <v>2</v>
      </c>
      <c r="D88" s="9" t="s">
        <v>27</v>
      </c>
      <c r="E88" s="13">
        <f t="shared" si="8"/>
        <v>0</v>
      </c>
      <c r="F88" s="13">
        <f t="shared" si="6"/>
        <v>0.01</v>
      </c>
      <c r="G88" s="10">
        <v>0.06</v>
      </c>
      <c r="H88" s="10">
        <v>0</v>
      </c>
      <c r="I88" s="10">
        <v>0</v>
      </c>
      <c r="J88" s="10">
        <v>1</v>
      </c>
      <c r="K88" s="10">
        <v>1</v>
      </c>
      <c r="L88" s="10">
        <v>1</v>
      </c>
      <c r="M88" s="10">
        <v>1</v>
      </c>
      <c r="N88" s="9">
        <v>1</v>
      </c>
      <c r="O88" s="9">
        <v>100</v>
      </c>
      <c r="P88" s="9">
        <v>10</v>
      </c>
      <c r="Q88" s="9">
        <v>2</v>
      </c>
      <c r="R88" s="9">
        <v>1</v>
      </c>
      <c r="S88" s="5">
        <v>42741</v>
      </c>
      <c r="T88" s="14">
        <v>0.30208333333333331</v>
      </c>
      <c r="U88" s="5">
        <v>42964</v>
      </c>
      <c r="V88" s="14">
        <v>0.65277777777777779</v>
      </c>
      <c r="W88" s="15">
        <v>28</v>
      </c>
      <c r="X88" s="9">
        <v>1</v>
      </c>
      <c r="Y88" s="5">
        <v>42964</v>
      </c>
      <c r="Z88" s="11">
        <v>0.65347222222222223</v>
      </c>
      <c r="AA88" s="12">
        <v>1</v>
      </c>
    </row>
    <row r="89" spans="1:27">
      <c r="A89" s="2" t="s">
        <v>38</v>
      </c>
      <c r="B89" s="9">
        <f>VLOOKUP(Parameters!A89,Symbols!A$2:B$1000,2,FALSE)</f>
        <v>1E-4</v>
      </c>
      <c r="C89" s="9">
        <v>2</v>
      </c>
      <c r="D89" s="9" t="s">
        <v>27</v>
      </c>
      <c r="E89" s="13">
        <f t="shared" si="8"/>
        <v>0</v>
      </c>
      <c r="F89" s="13">
        <f t="shared" si="6"/>
        <v>0.01</v>
      </c>
      <c r="G89" s="10">
        <v>7.0000000000000007E-2</v>
      </c>
      <c r="H89" s="10">
        <v>0</v>
      </c>
      <c r="I89" s="10">
        <v>0</v>
      </c>
      <c r="J89" s="10">
        <v>1</v>
      </c>
      <c r="K89" s="10">
        <v>1</v>
      </c>
      <c r="L89" s="10">
        <v>1</v>
      </c>
      <c r="M89" s="10">
        <v>1</v>
      </c>
      <c r="N89" s="9">
        <v>1</v>
      </c>
      <c r="O89" s="9">
        <v>100</v>
      </c>
      <c r="P89" s="9">
        <v>10</v>
      </c>
      <c r="Q89" s="9">
        <v>2</v>
      </c>
      <c r="R89" s="9">
        <v>1</v>
      </c>
      <c r="S89" s="5">
        <v>42741</v>
      </c>
      <c r="T89" s="14">
        <v>0.30208333333333331</v>
      </c>
      <c r="U89" s="5">
        <v>42964</v>
      </c>
      <c r="V89" s="14">
        <v>0.65277777777777779</v>
      </c>
      <c r="W89" s="15">
        <v>28</v>
      </c>
      <c r="X89" s="9">
        <v>1</v>
      </c>
      <c r="Y89" s="5">
        <v>42964</v>
      </c>
      <c r="Z89" s="11">
        <v>0.65347222222222223</v>
      </c>
      <c r="AA89" s="12">
        <v>1</v>
      </c>
    </row>
    <row r="90" spans="1:27">
      <c r="A90" s="2" t="s">
        <v>38</v>
      </c>
      <c r="B90" s="9">
        <f>VLOOKUP(Parameters!A90,Symbols!A$2:B$1000,2,FALSE)</f>
        <v>1E-4</v>
      </c>
      <c r="C90" s="9">
        <v>2</v>
      </c>
      <c r="D90" s="9" t="s">
        <v>27</v>
      </c>
      <c r="E90" s="13">
        <f t="shared" si="8"/>
        <v>0</v>
      </c>
      <c r="F90" s="13">
        <f t="shared" si="6"/>
        <v>0.01</v>
      </c>
      <c r="G90" s="10">
        <v>0.08</v>
      </c>
      <c r="H90" s="10">
        <v>0</v>
      </c>
      <c r="I90" s="10">
        <v>0</v>
      </c>
      <c r="J90" s="10">
        <v>1</v>
      </c>
      <c r="K90" s="10">
        <v>1</v>
      </c>
      <c r="L90" s="10">
        <v>1</v>
      </c>
      <c r="M90" s="10">
        <v>1</v>
      </c>
      <c r="N90" s="9">
        <v>1</v>
      </c>
      <c r="O90" s="9">
        <v>100</v>
      </c>
      <c r="P90" s="9">
        <v>10</v>
      </c>
      <c r="Q90" s="9">
        <v>2</v>
      </c>
      <c r="R90" s="9">
        <v>1</v>
      </c>
      <c r="S90" s="5">
        <v>42741</v>
      </c>
      <c r="T90" s="14">
        <v>0.30208333333333331</v>
      </c>
      <c r="U90" s="5">
        <v>42964</v>
      </c>
      <c r="V90" s="14">
        <v>0.65277777777777779</v>
      </c>
      <c r="W90" s="15">
        <v>28</v>
      </c>
      <c r="X90" s="9">
        <v>1</v>
      </c>
      <c r="Y90" s="5">
        <v>42964</v>
      </c>
      <c r="Z90" s="11">
        <v>0.65347222222222223</v>
      </c>
      <c r="AA90" s="12">
        <v>1</v>
      </c>
    </row>
    <row r="91" spans="1:27">
      <c r="A91" s="2" t="s">
        <v>38</v>
      </c>
      <c r="B91" s="9">
        <f>VLOOKUP(Parameters!A91,Symbols!A$2:B$1000,2,FALSE)</f>
        <v>1E-4</v>
      </c>
      <c r="C91" s="9">
        <v>2</v>
      </c>
      <c r="D91" s="9" t="s">
        <v>27</v>
      </c>
      <c r="E91" s="13">
        <f t="shared" si="8"/>
        <v>0</v>
      </c>
      <c r="F91" s="13">
        <f t="shared" si="6"/>
        <v>0.01</v>
      </c>
      <c r="G91" s="10">
        <v>0.09</v>
      </c>
      <c r="H91" s="10">
        <v>0</v>
      </c>
      <c r="I91" s="10">
        <v>0</v>
      </c>
      <c r="J91" s="10">
        <v>1</v>
      </c>
      <c r="K91" s="10">
        <v>1</v>
      </c>
      <c r="L91" s="10">
        <v>1</v>
      </c>
      <c r="M91" s="10">
        <v>1</v>
      </c>
      <c r="N91" s="9">
        <v>1</v>
      </c>
      <c r="O91" s="9">
        <v>100</v>
      </c>
      <c r="P91" s="9">
        <v>10</v>
      </c>
      <c r="Q91" s="9">
        <v>2</v>
      </c>
      <c r="R91" s="9">
        <v>1</v>
      </c>
      <c r="S91" s="5">
        <v>42741</v>
      </c>
      <c r="T91" s="14">
        <v>0.30208333333333331</v>
      </c>
      <c r="U91" s="5">
        <v>42964</v>
      </c>
      <c r="V91" s="14">
        <v>0.65277777777777779</v>
      </c>
      <c r="W91" s="15">
        <v>28</v>
      </c>
      <c r="X91" s="9">
        <v>1</v>
      </c>
      <c r="Y91" s="5">
        <v>42964</v>
      </c>
      <c r="Z91" s="11">
        <v>0.65347222222222223</v>
      </c>
      <c r="AA91" s="12">
        <v>1</v>
      </c>
    </row>
    <row r="92" spans="1:27">
      <c r="A92" s="2" t="s">
        <v>38</v>
      </c>
      <c r="B92" s="9">
        <f>VLOOKUP(Parameters!A92,Symbols!A$2:B$1000,2,FALSE)</f>
        <v>1E-4</v>
      </c>
      <c r="C92" s="9">
        <v>2</v>
      </c>
      <c r="D92" s="9" t="s">
        <v>34</v>
      </c>
      <c r="E92" s="13">
        <f t="shared" si="8"/>
        <v>0</v>
      </c>
      <c r="F92" s="13">
        <f t="shared" ref="F92:F101" si="9">B92*100</f>
        <v>0.01</v>
      </c>
      <c r="G92" s="10">
        <v>0</v>
      </c>
      <c r="H92" s="10">
        <v>0</v>
      </c>
      <c r="I92" s="10">
        <v>0</v>
      </c>
      <c r="J92" s="10">
        <v>1</v>
      </c>
      <c r="K92" s="10">
        <v>1</v>
      </c>
      <c r="L92" s="10">
        <v>1</v>
      </c>
      <c r="M92" s="10">
        <v>1</v>
      </c>
      <c r="N92" s="9">
        <v>1</v>
      </c>
      <c r="O92" s="9">
        <v>100</v>
      </c>
      <c r="P92" s="9">
        <v>10</v>
      </c>
      <c r="Q92" s="9">
        <v>2</v>
      </c>
      <c r="R92" s="9">
        <v>1</v>
      </c>
      <c r="S92" s="5">
        <v>42741</v>
      </c>
      <c r="T92" s="14">
        <v>0.30208333333333331</v>
      </c>
      <c r="U92" s="5">
        <v>42964</v>
      </c>
      <c r="V92" s="14">
        <v>0.65277777777777779</v>
      </c>
      <c r="W92" s="15">
        <v>28</v>
      </c>
      <c r="X92" s="9">
        <v>1</v>
      </c>
      <c r="Y92" s="5">
        <v>42964</v>
      </c>
      <c r="Z92" s="11">
        <v>0.65347222222222223</v>
      </c>
      <c r="AA92" s="12">
        <v>1</v>
      </c>
    </row>
    <row r="93" spans="1:27">
      <c r="A93" s="2" t="s">
        <v>38</v>
      </c>
      <c r="B93" s="9">
        <f>VLOOKUP(Parameters!A93,Symbols!A$2:B$1000,2,FALSE)</f>
        <v>1E-4</v>
      </c>
      <c r="C93" s="9">
        <v>2</v>
      </c>
      <c r="D93" s="9" t="s">
        <v>34</v>
      </c>
      <c r="E93" s="13">
        <f t="shared" si="8"/>
        <v>0</v>
      </c>
      <c r="F93" s="13">
        <f t="shared" si="9"/>
        <v>0.01</v>
      </c>
      <c r="G93" s="10">
        <v>0.01</v>
      </c>
      <c r="H93" s="10">
        <v>0</v>
      </c>
      <c r="I93" s="10">
        <v>0</v>
      </c>
      <c r="J93" s="10">
        <v>1</v>
      </c>
      <c r="K93" s="10">
        <v>1</v>
      </c>
      <c r="L93" s="10">
        <v>1</v>
      </c>
      <c r="M93" s="10">
        <v>1</v>
      </c>
      <c r="N93" s="9">
        <v>1</v>
      </c>
      <c r="O93" s="9">
        <v>100</v>
      </c>
      <c r="P93" s="9">
        <v>10</v>
      </c>
      <c r="Q93" s="9">
        <v>2</v>
      </c>
      <c r="R93" s="9">
        <v>1</v>
      </c>
      <c r="S93" s="5">
        <v>42741</v>
      </c>
      <c r="T93" s="14">
        <v>0.30208333333333331</v>
      </c>
      <c r="U93" s="5">
        <v>42964</v>
      </c>
      <c r="V93" s="14">
        <v>0.65277777777777779</v>
      </c>
      <c r="W93" s="15">
        <v>28</v>
      </c>
      <c r="X93" s="9">
        <v>1</v>
      </c>
      <c r="Y93" s="5">
        <v>42964</v>
      </c>
      <c r="Z93" s="11">
        <v>0.65347222222222223</v>
      </c>
      <c r="AA93" s="12">
        <v>1</v>
      </c>
    </row>
    <row r="94" spans="1:27">
      <c r="A94" s="2" t="s">
        <v>38</v>
      </c>
      <c r="B94" s="9">
        <f>VLOOKUP(Parameters!A94,Symbols!A$2:B$1000,2,FALSE)</f>
        <v>1E-4</v>
      </c>
      <c r="C94" s="9">
        <v>2</v>
      </c>
      <c r="D94" s="9" t="s">
        <v>34</v>
      </c>
      <c r="E94" s="13">
        <f t="shared" si="8"/>
        <v>0</v>
      </c>
      <c r="F94" s="13">
        <f t="shared" si="9"/>
        <v>0.01</v>
      </c>
      <c r="G94" s="10">
        <v>0.02</v>
      </c>
      <c r="H94" s="10">
        <v>0</v>
      </c>
      <c r="I94" s="10">
        <v>0</v>
      </c>
      <c r="J94" s="10">
        <v>1</v>
      </c>
      <c r="K94" s="10">
        <v>1</v>
      </c>
      <c r="L94" s="10">
        <v>1</v>
      </c>
      <c r="M94" s="10">
        <v>1</v>
      </c>
      <c r="N94" s="9">
        <v>1</v>
      </c>
      <c r="O94" s="9">
        <v>100</v>
      </c>
      <c r="P94" s="9">
        <v>10</v>
      </c>
      <c r="Q94" s="9">
        <v>2</v>
      </c>
      <c r="R94" s="9">
        <v>1</v>
      </c>
      <c r="S94" s="5">
        <v>42741</v>
      </c>
      <c r="T94" s="14">
        <v>0.30208333333333331</v>
      </c>
      <c r="U94" s="5">
        <v>42964</v>
      </c>
      <c r="V94" s="14">
        <v>0.65277777777777779</v>
      </c>
      <c r="W94" s="15">
        <v>28</v>
      </c>
      <c r="X94" s="9">
        <v>1</v>
      </c>
      <c r="Y94" s="5">
        <v>42964</v>
      </c>
      <c r="Z94" s="11">
        <v>0.65347222222222223</v>
      </c>
      <c r="AA94" s="12">
        <v>1</v>
      </c>
    </row>
    <row r="95" spans="1:27">
      <c r="A95" s="2" t="s">
        <v>38</v>
      </c>
      <c r="B95" s="9">
        <f>VLOOKUP(Parameters!A95,Symbols!A$2:B$1000,2,FALSE)</f>
        <v>1E-4</v>
      </c>
      <c r="C95" s="9">
        <v>2</v>
      </c>
      <c r="D95" s="9" t="s">
        <v>34</v>
      </c>
      <c r="E95" s="13">
        <f t="shared" si="8"/>
        <v>0</v>
      </c>
      <c r="F95" s="13">
        <f t="shared" si="9"/>
        <v>0.01</v>
      </c>
      <c r="G95" s="10">
        <v>0.03</v>
      </c>
      <c r="H95" s="10">
        <v>0</v>
      </c>
      <c r="I95" s="10">
        <v>0</v>
      </c>
      <c r="J95" s="10">
        <v>1</v>
      </c>
      <c r="K95" s="10">
        <v>1</v>
      </c>
      <c r="L95" s="10">
        <v>1</v>
      </c>
      <c r="M95" s="10">
        <v>1</v>
      </c>
      <c r="N95" s="9">
        <v>1</v>
      </c>
      <c r="O95" s="9">
        <v>100</v>
      </c>
      <c r="P95" s="9">
        <v>10</v>
      </c>
      <c r="Q95" s="9">
        <v>2</v>
      </c>
      <c r="R95" s="9">
        <v>1</v>
      </c>
      <c r="S95" s="5">
        <v>42741</v>
      </c>
      <c r="T95" s="14">
        <v>0.30208333333333331</v>
      </c>
      <c r="U95" s="5">
        <v>42964</v>
      </c>
      <c r="V95" s="14">
        <v>0.65277777777777779</v>
      </c>
      <c r="W95" s="15">
        <v>28</v>
      </c>
      <c r="X95" s="9">
        <v>1</v>
      </c>
      <c r="Y95" s="5">
        <v>42964</v>
      </c>
      <c r="Z95" s="11">
        <v>0.65347222222222223</v>
      </c>
      <c r="AA95" s="12">
        <v>1</v>
      </c>
    </row>
    <row r="96" spans="1:27">
      <c r="A96" s="2" t="s">
        <v>38</v>
      </c>
      <c r="B96" s="9">
        <f>VLOOKUP(Parameters!A96,Symbols!A$2:B$1000,2,FALSE)</f>
        <v>1E-4</v>
      </c>
      <c r="C96" s="9">
        <v>2</v>
      </c>
      <c r="D96" s="9" t="s">
        <v>34</v>
      </c>
      <c r="E96" s="13">
        <f t="shared" si="8"/>
        <v>0</v>
      </c>
      <c r="F96" s="13">
        <f t="shared" si="9"/>
        <v>0.01</v>
      </c>
      <c r="G96" s="10">
        <v>0.04</v>
      </c>
      <c r="H96" s="10">
        <v>0</v>
      </c>
      <c r="I96" s="10">
        <v>0</v>
      </c>
      <c r="J96" s="10">
        <v>1</v>
      </c>
      <c r="K96" s="10">
        <v>1</v>
      </c>
      <c r="L96" s="10">
        <v>1</v>
      </c>
      <c r="M96" s="10">
        <v>1</v>
      </c>
      <c r="N96" s="9">
        <v>1</v>
      </c>
      <c r="O96" s="9">
        <v>100</v>
      </c>
      <c r="P96" s="9">
        <v>10</v>
      </c>
      <c r="Q96" s="9">
        <v>2</v>
      </c>
      <c r="R96" s="9">
        <v>1</v>
      </c>
      <c r="S96" s="5">
        <v>42741</v>
      </c>
      <c r="T96" s="14">
        <v>0.30208333333333331</v>
      </c>
      <c r="U96" s="5">
        <v>42964</v>
      </c>
      <c r="V96" s="14">
        <v>0.65277777777777779</v>
      </c>
      <c r="W96" s="15">
        <v>28</v>
      </c>
      <c r="X96" s="9">
        <v>1</v>
      </c>
      <c r="Y96" s="5">
        <v>42964</v>
      </c>
      <c r="Z96" s="11">
        <v>0.65347222222222223</v>
      </c>
      <c r="AA96" s="12">
        <v>1</v>
      </c>
    </row>
    <row r="97" spans="1:27">
      <c r="A97" s="2" t="s">
        <v>38</v>
      </c>
      <c r="B97" s="9">
        <f>VLOOKUP(Parameters!A97,Symbols!A$2:B$1000,2,FALSE)</f>
        <v>1E-4</v>
      </c>
      <c r="C97" s="9">
        <v>2</v>
      </c>
      <c r="D97" s="9" t="s">
        <v>34</v>
      </c>
      <c r="E97" s="13">
        <f t="shared" si="8"/>
        <v>0</v>
      </c>
      <c r="F97" s="13">
        <f t="shared" si="9"/>
        <v>0.01</v>
      </c>
      <c r="G97" s="10">
        <v>0.05</v>
      </c>
      <c r="H97" s="10">
        <v>0</v>
      </c>
      <c r="I97" s="10">
        <v>0</v>
      </c>
      <c r="J97" s="10">
        <v>1</v>
      </c>
      <c r="K97" s="10">
        <v>1</v>
      </c>
      <c r="L97" s="10">
        <v>1</v>
      </c>
      <c r="M97" s="10">
        <v>1</v>
      </c>
      <c r="N97" s="9">
        <v>1</v>
      </c>
      <c r="O97" s="9">
        <v>100</v>
      </c>
      <c r="P97" s="9">
        <v>10</v>
      </c>
      <c r="Q97" s="9">
        <v>2</v>
      </c>
      <c r="R97" s="9">
        <v>1</v>
      </c>
      <c r="S97" s="5">
        <v>42741</v>
      </c>
      <c r="T97" s="14">
        <v>0.30208333333333331</v>
      </c>
      <c r="U97" s="5">
        <v>42964</v>
      </c>
      <c r="V97" s="14">
        <v>0.65277777777777779</v>
      </c>
      <c r="W97" s="15">
        <v>28</v>
      </c>
      <c r="X97" s="9">
        <v>1</v>
      </c>
      <c r="Y97" s="5">
        <v>42964</v>
      </c>
      <c r="Z97" s="11">
        <v>0.65347222222222223</v>
      </c>
      <c r="AA97" s="12">
        <v>1</v>
      </c>
    </row>
    <row r="98" spans="1:27">
      <c r="A98" s="2" t="s">
        <v>38</v>
      </c>
      <c r="B98" s="9">
        <f>VLOOKUP(Parameters!A98,Symbols!A$2:B$1000,2,FALSE)</f>
        <v>1E-4</v>
      </c>
      <c r="C98" s="9">
        <v>2</v>
      </c>
      <c r="D98" s="9" t="s">
        <v>34</v>
      </c>
      <c r="E98" s="13">
        <f t="shared" si="8"/>
        <v>0</v>
      </c>
      <c r="F98" s="13">
        <f t="shared" si="9"/>
        <v>0.01</v>
      </c>
      <c r="G98" s="10">
        <v>0.06</v>
      </c>
      <c r="H98" s="10">
        <v>0</v>
      </c>
      <c r="I98" s="10">
        <v>0</v>
      </c>
      <c r="J98" s="10">
        <v>1</v>
      </c>
      <c r="K98" s="10">
        <v>1</v>
      </c>
      <c r="L98" s="10">
        <v>1</v>
      </c>
      <c r="M98" s="10">
        <v>1</v>
      </c>
      <c r="N98" s="9">
        <v>1</v>
      </c>
      <c r="O98" s="9">
        <v>100</v>
      </c>
      <c r="P98" s="9">
        <v>10</v>
      </c>
      <c r="Q98" s="9">
        <v>2</v>
      </c>
      <c r="R98" s="9">
        <v>1</v>
      </c>
      <c r="S98" s="5">
        <v>42741</v>
      </c>
      <c r="T98" s="14">
        <v>0.30208333333333331</v>
      </c>
      <c r="U98" s="5">
        <v>42964</v>
      </c>
      <c r="V98" s="14">
        <v>0.65277777777777779</v>
      </c>
      <c r="W98" s="15">
        <v>28</v>
      </c>
      <c r="X98" s="9">
        <v>1</v>
      </c>
      <c r="Y98" s="5">
        <v>42964</v>
      </c>
      <c r="Z98" s="11">
        <v>0.65347222222222223</v>
      </c>
      <c r="AA98" s="12">
        <v>1</v>
      </c>
    </row>
    <row r="99" spans="1:27">
      <c r="A99" s="2" t="s">
        <v>38</v>
      </c>
      <c r="B99" s="9">
        <f>VLOOKUP(Parameters!A99,Symbols!A$2:B$1000,2,FALSE)</f>
        <v>1E-4</v>
      </c>
      <c r="C99" s="9">
        <v>2</v>
      </c>
      <c r="D99" s="9" t="s">
        <v>34</v>
      </c>
      <c r="E99" s="13">
        <f t="shared" si="8"/>
        <v>0</v>
      </c>
      <c r="F99" s="13">
        <f t="shared" si="9"/>
        <v>0.01</v>
      </c>
      <c r="G99" s="10">
        <v>7.0000000000000007E-2</v>
      </c>
      <c r="H99" s="10">
        <v>0</v>
      </c>
      <c r="I99" s="10">
        <v>0</v>
      </c>
      <c r="J99" s="10">
        <v>1</v>
      </c>
      <c r="K99" s="10">
        <v>1</v>
      </c>
      <c r="L99" s="10">
        <v>1</v>
      </c>
      <c r="M99" s="10">
        <v>1</v>
      </c>
      <c r="N99" s="9">
        <v>1</v>
      </c>
      <c r="O99" s="9">
        <v>100</v>
      </c>
      <c r="P99" s="9">
        <v>10</v>
      </c>
      <c r="Q99" s="9">
        <v>2</v>
      </c>
      <c r="R99" s="9">
        <v>1</v>
      </c>
      <c r="S99" s="5">
        <v>42741</v>
      </c>
      <c r="T99" s="14">
        <v>0.30208333333333331</v>
      </c>
      <c r="U99" s="5">
        <v>42964</v>
      </c>
      <c r="V99" s="14">
        <v>0.65277777777777779</v>
      </c>
      <c r="W99" s="15">
        <v>28</v>
      </c>
      <c r="X99" s="9">
        <v>1</v>
      </c>
      <c r="Y99" s="5">
        <v>42964</v>
      </c>
      <c r="Z99" s="11">
        <v>0.65347222222222223</v>
      </c>
      <c r="AA99" s="12">
        <v>1</v>
      </c>
    </row>
    <row r="100" spans="1:27">
      <c r="A100" s="2" t="s">
        <v>38</v>
      </c>
      <c r="B100" s="9">
        <f>VLOOKUP(Parameters!A100,Symbols!A$2:B$1000,2,FALSE)</f>
        <v>1E-4</v>
      </c>
      <c r="C100" s="9">
        <v>2</v>
      </c>
      <c r="D100" s="9" t="s">
        <v>34</v>
      </c>
      <c r="E100" s="13">
        <f t="shared" si="8"/>
        <v>0</v>
      </c>
      <c r="F100" s="13">
        <f t="shared" si="9"/>
        <v>0.01</v>
      </c>
      <c r="G100" s="10">
        <v>0.08</v>
      </c>
      <c r="H100" s="10">
        <v>0</v>
      </c>
      <c r="I100" s="10">
        <v>0</v>
      </c>
      <c r="J100" s="10">
        <v>1</v>
      </c>
      <c r="K100" s="10">
        <v>1</v>
      </c>
      <c r="L100" s="10">
        <v>1</v>
      </c>
      <c r="M100" s="10">
        <v>1</v>
      </c>
      <c r="N100" s="9">
        <v>1</v>
      </c>
      <c r="O100" s="9">
        <v>100</v>
      </c>
      <c r="P100" s="9">
        <v>10</v>
      </c>
      <c r="Q100" s="9">
        <v>2</v>
      </c>
      <c r="R100" s="9">
        <v>1</v>
      </c>
      <c r="S100" s="5">
        <v>42741</v>
      </c>
      <c r="T100" s="14">
        <v>0.30208333333333331</v>
      </c>
      <c r="U100" s="5">
        <v>42964</v>
      </c>
      <c r="V100" s="14">
        <v>0.65277777777777779</v>
      </c>
      <c r="W100" s="15">
        <v>28</v>
      </c>
      <c r="X100" s="9">
        <v>1</v>
      </c>
      <c r="Y100" s="5">
        <v>42964</v>
      </c>
      <c r="Z100" s="11">
        <v>0.65347222222222223</v>
      </c>
      <c r="AA100" s="12">
        <v>1</v>
      </c>
    </row>
    <row r="101" spans="1:27">
      <c r="A101" s="2" t="s">
        <v>38</v>
      </c>
      <c r="B101" s="9">
        <f>VLOOKUP(Parameters!A101,Symbols!A$2:B$1000,2,FALSE)</f>
        <v>1E-4</v>
      </c>
      <c r="C101" s="9">
        <v>2</v>
      </c>
      <c r="D101" s="9" t="s">
        <v>34</v>
      </c>
      <c r="E101" s="13">
        <f t="shared" si="8"/>
        <v>0</v>
      </c>
      <c r="F101" s="13">
        <f t="shared" si="9"/>
        <v>0.01</v>
      </c>
      <c r="G101" s="10">
        <v>0.09</v>
      </c>
      <c r="H101" s="10">
        <v>0</v>
      </c>
      <c r="I101" s="10">
        <v>0</v>
      </c>
      <c r="J101" s="10">
        <v>1</v>
      </c>
      <c r="K101" s="10">
        <v>1</v>
      </c>
      <c r="L101" s="10">
        <v>1</v>
      </c>
      <c r="M101" s="10">
        <v>1</v>
      </c>
      <c r="N101" s="9">
        <v>1</v>
      </c>
      <c r="O101" s="9">
        <v>100</v>
      </c>
      <c r="P101" s="9">
        <v>10</v>
      </c>
      <c r="Q101" s="9">
        <v>2</v>
      </c>
      <c r="R101" s="9">
        <v>1</v>
      </c>
      <c r="S101" s="5">
        <v>42741</v>
      </c>
      <c r="T101" s="14">
        <v>0.30208333333333331</v>
      </c>
      <c r="U101" s="5">
        <v>42964</v>
      </c>
      <c r="V101" s="14">
        <v>0.65277777777777779</v>
      </c>
      <c r="W101" s="15">
        <v>28</v>
      </c>
      <c r="X101" s="9">
        <v>1</v>
      </c>
      <c r="Y101" s="5">
        <v>42964</v>
      </c>
      <c r="Z101" s="11">
        <v>0.65347222222222223</v>
      </c>
      <c r="AA101" s="12">
        <v>1</v>
      </c>
    </row>
    <row r="102" spans="1:27">
      <c r="A102" s="2" t="s">
        <v>39</v>
      </c>
      <c r="B102" s="9">
        <f>VLOOKUP(Parameters!A102,Symbols!A$2:B$1000,2,FALSE)</f>
        <v>1E-4</v>
      </c>
      <c r="C102" s="9">
        <v>2</v>
      </c>
      <c r="D102" s="9" t="s">
        <v>27</v>
      </c>
      <c r="E102" s="19"/>
      <c r="F102" s="13">
        <f t="shared" si="6"/>
        <v>0.01</v>
      </c>
      <c r="G102" s="10">
        <v>0</v>
      </c>
      <c r="H102" s="10">
        <v>0</v>
      </c>
      <c r="I102" s="10">
        <v>0</v>
      </c>
      <c r="J102" s="10">
        <v>1</v>
      </c>
      <c r="K102" s="10">
        <v>1</v>
      </c>
      <c r="L102" s="10">
        <v>1</v>
      </c>
      <c r="M102" s="10">
        <v>1</v>
      </c>
      <c r="N102" s="9">
        <v>1</v>
      </c>
      <c r="O102" s="9">
        <v>100</v>
      </c>
      <c r="P102" s="9">
        <v>10</v>
      </c>
      <c r="Q102" s="9">
        <v>2</v>
      </c>
      <c r="R102" s="9">
        <v>1</v>
      </c>
      <c r="S102" s="5">
        <v>42741</v>
      </c>
      <c r="T102" s="14">
        <v>0.30208333333333331</v>
      </c>
      <c r="U102" s="5">
        <v>42964</v>
      </c>
      <c r="V102" s="14">
        <v>0.65277777777777779</v>
      </c>
      <c r="W102" s="15">
        <v>28</v>
      </c>
      <c r="X102" s="9">
        <v>1</v>
      </c>
      <c r="Y102" s="5">
        <v>42964</v>
      </c>
      <c r="Z102" s="11">
        <v>0.65347222222222223</v>
      </c>
      <c r="AA102" s="12">
        <v>1</v>
      </c>
    </row>
    <row r="103" spans="1:27">
      <c r="A103" s="2" t="s">
        <v>39</v>
      </c>
      <c r="B103" s="9">
        <f>VLOOKUP(Parameters!A103,Symbols!A$2:B$1000,2,FALSE)</f>
        <v>1E-4</v>
      </c>
      <c r="C103" s="9">
        <v>2</v>
      </c>
      <c r="D103" s="9" t="s">
        <v>27</v>
      </c>
      <c r="E103" s="13">
        <f>E102</f>
        <v>0</v>
      </c>
      <c r="F103" s="13">
        <f t="shared" si="6"/>
        <v>0.01</v>
      </c>
      <c r="G103" s="10">
        <v>0.01</v>
      </c>
      <c r="H103" s="10">
        <v>0</v>
      </c>
      <c r="I103" s="10">
        <v>0</v>
      </c>
      <c r="J103" s="10">
        <v>1</v>
      </c>
      <c r="K103" s="10">
        <v>1</v>
      </c>
      <c r="L103" s="10">
        <v>1</v>
      </c>
      <c r="M103" s="10">
        <v>1</v>
      </c>
      <c r="N103" s="9">
        <v>1</v>
      </c>
      <c r="O103" s="9">
        <v>100</v>
      </c>
      <c r="P103" s="9">
        <v>10</v>
      </c>
      <c r="Q103" s="9">
        <v>2</v>
      </c>
      <c r="R103" s="9">
        <v>1</v>
      </c>
      <c r="S103" s="5">
        <v>42741</v>
      </c>
      <c r="T103" s="14">
        <v>0.30208333333333331</v>
      </c>
      <c r="U103" s="5">
        <v>42964</v>
      </c>
      <c r="V103" s="14">
        <v>0.65277777777777779</v>
      </c>
      <c r="W103" s="15">
        <v>28</v>
      </c>
      <c r="X103" s="9">
        <v>1</v>
      </c>
      <c r="Y103" s="5">
        <v>42964</v>
      </c>
      <c r="Z103" s="11">
        <v>0.65347222222222223</v>
      </c>
      <c r="AA103" s="12">
        <v>1</v>
      </c>
    </row>
    <row r="104" spans="1:27">
      <c r="A104" s="2" t="s">
        <v>39</v>
      </c>
      <c r="B104" s="9">
        <f>VLOOKUP(Parameters!A104,Symbols!A$2:B$1000,2,FALSE)</f>
        <v>1E-4</v>
      </c>
      <c r="C104" s="9">
        <v>2</v>
      </c>
      <c r="D104" s="9" t="s">
        <v>27</v>
      </c>
      <c r="E104" s="13">
        <f t="shared" ref="E104:E121" si="10">E103</f>
        <v>0</v>
      </c>
      <c r="F104" s="13">
        <f t="shared" si="6"/>
        <v>0.01</v>
      </c>
      <c r="G104" s="10">
        <v>0.02</v>
      </c>
      <c r="H104" s="10">
        <v>0</v>
      </c>
      <c r="I104" s="10">
        <v>0</v>
      </c>
      <c r="J104" s="10">
        <v>1</v>
      </c>
      <c r="K104" s="10">
        <v>1</v>
      </c>
      <c r="L104" s="10">
        <v>1</v>
      </c>
      <c r="M104" s="10">
        <v>1</v>
      </c>
      <c r="N104" s="9">
        <v>1</v>
      </c>
      <c r="O104" s="9">
        <v>100</v>
      </c>
      <c r="P104" s="9">
        <v>10</v>
      </c>
      <c r="Q104" s="9">
        <v>2</v>
      </c>
      <c r="R104" s="9">
        <v>1</v>
      </c>
      <c r="S104" s="5">
        <v>42741</v>
      </c>
      <c r="T104" s="14">
        <v>0.30208333333333331</v>
      </c>
      <c r="U104" s="5">
        <v>42964</v>
      </c>
      <c r="V104" s="14">
        <v>0.65277777777777779</v>
      </c>
      <c r="W104" s="15">
        <v>28</v>
      </c>
      <c r="X104" s="9">
        <v>1</v>
      </c>
      <c r="Y104" s="5">
        <v>42964</v>
      </c>
      <c r="Z104" s="11">
        <v>0.65347222222222223</v>
      </c>
      <c r="AA104" s="12">
        <v>1</v>
      </c>
    </row>
    <row r="105" spans="1:27">
      <c r="A105" s="2" t="s">
        <v>39</v>
      </c>
      <c r="B105" s="9">
        <f>VLOOKUP(Parameters!A105,Symbols!A$2:B$1000,2,FALSE)</f>
        <v>1E-4</v>
      </c>
      <c r="C105" s="9">
        <v>2</v>
      </c>
      <c r="D105" s="9" t="s">
        <v>27</v>
      </c>
      <c r="E105" s="13">
        <f t="shared" si="10"/>
        <v>0</v>
      </c>
      <c r="F105" s="13">
        <f t="shared" si="6"/>
        <v>0.01</v>
      </c>
      <c r="G105" s="10">
        <v>0.03</v>
      </c>
      <c r="H105" s="10">
        <v>0</v>
      </c>
      <c r="I105" s="10">
        <v>0</v>
      </c>
      <c r="J105" s="10">
        <v>1</v>
      </c>
      <c r="K105" s="10">
        <v>1</v>
      </c>
      <c r="L105" s="10">
        <v>1</v>
      </c>
      <c r="M105" s="10">
        <v>1</v>
      </c>
      <c r="N105" s="9">
        <v>1</v>
      </c>
      <c r="O105" s="9">
        <v>100</v>
      </c>
      <c r="P105" s="9">
        <v>10</v>
      </c>
      <c r="Q105" s="9">
        <v>2</v>
      </c>
      <c r="R105" s="9">
        <v>1</v>
      </c>
      <c r="S105" s="5">
        <v>42741</v>
      </c>
      <c r="T105" s="14">
        <v>0.30208333333333331</v>
      </c>
      <c r="U105" s="5">
        <v>42964</v>
      </c>
      <c r="V105" s="14">
        <v>0.65277777777777779</v>
      </c>
      <c r="W105" s="15">
        <v>28</v>
      </c>
      <c r="X105" s="9">
        <v>1</v>
      </c>
      <c r="Y105" s="5">
        <v>42964</v>
      </c>
      <c r="Z105" s="11">
        <v>0.65347222222222223</v>
      </c>
      <c r="AA105" s="12">
        <v>1</v>
      </c>
    </row>
    <row r="106" spans="1:27">
      <c r="A106" s="2" t="s">
        <v>39</v>
      </c>
      <c r="B106" s="9">
        <f>VLOOKUP(Parameters!A106,Symbols!A$2:B$1000,2,FALSE)</f>
        <v>1E-4</v>
      </c>
      <c r="C106" s="9">
        <v>2</v>
      </c>
      <c r="D106" s="9" t="s">
        <v>27</v>
      </c>
      <c r="E106" s="13">
        <f t="shared" si="10"/>
        <v>0</v>
      </c>
      <c r="F106" s="13">
        <f t="shared" si="6"/>
        <v>0.01</v>
      </c>
      <c r="G106" s="10">
        <v>0.04</v>
      </c>
      <c r="H106" s="10">
        <v>0</v>
      </c>
      <c r="I106" s="10">
        <v>0</v>
      </c>
      <c r="J106" s="10">
        <v>1</v>
      </c>
      <c r="K106" s="10">
        <v>1</v>
      </c>
      <c r="L106" s="10">
        <v>1</v>
      </c>
      <c r="M106" s="10">
        <v>1</v>
      </c>
      <c r="N106" s="9">
        <v>1</v>
      </c>
      <c r="O106" s="9">
        <v>100</v>
      </c>
      <c r="P106" s="9">
        <v>10</v>
      </c>
      <c r="Q106" s="9">
        <v>2</v>
      </c>
      <c r="R106" s="9">
        <v>1</v>
      </c>
      <c r="S106" s="5">
        <v>42741</v>
      </c>
      <c r="T106" s="14">
        <v>0.30208333333333331</v>
      </c>
      <c r="U106" s="5">
        <v>42964</v>
      </c>
      <c r="V106" s="14">
        <v>0.65277777777777779</v>
      </c>
      <c r="W106" s="15">
        <v>28</v>
      </c>
      <c r="X106" s="9">
        <v>1</v>
      </c>
      <c r="Y106" s="5">
        <v>42964</v>
      </c>
      <c r="Z106" s="11">
        <v>0.65347222222222223</v>
      </c>
      <c r="AA106" s="12">
        <v>1</v>
      </c>
    </row>
    <row r="107" spans="1:27">
      <c r="A107" s="2" t="s">
        <v>39</v>
      </c>
      <c r="B107" s="9">
        <f>VLOOKUP(Parameters!A107,Symbols!A$2:B$1000,2,FALSE)</f>
        <v>1E-4</v>
      </c>
      <c r="C107" s="9">
        <v>2</v>
      </c>
      <c r="D107" s="9" t="s">
        <v>27</v>
      </c>
      <c r="E107" s="13">
        <f t="shared" si="10"/>
        <v>0</v>
      </c>
      <c r="F107" s="13">
        <f t="shared" si="6"/>
        <v>0.01</v>
      </c>
      <c r="G107" s="10">
        <v>0.05</v>
      </c>
      <c r="H107" s="10">
        <v>0</v>
      </c>
      <c r="I107" s="10">
        <v>0</v>
      </c>
      <c r="J107" s="10">
        <v>1</v>
      </c>
      <c r="K107" s="10">
        <v>1</v>
      </c>
      <c r="L107" s="10">
        <v>1</v>
      </c>
      <c r="M107" s="10">
        <v>1</v>
      </c>
      <c r="N107" s="9">
        <v>1</v>
      </c>
      <c r="O107" s="9">
        <v>100</v>
      </c>
      <c r="P107" s="9">
        <v>10</v>
      </c>
      <c r="Q107" s="9">
        <v>2</v>
      </c>
      <c r="R107" s="9">
        <v>1</v>
      </c>
      <c r="S107" s="5">
        <v>42741</v>
      </c>
      <c r="T107" s="14">
        <v>0.30208333333333331</v>
      </c>
      <c r="U107" s="5">
        <v>42964</v>
      </c>
      <c r="V107" s="14">
        <v>0.65277777777777779</v>
      </c>
      <c r="W107" s="15">
        <v>28</v>
      </c>
      <c r="X107" s="9">
        <v>1</v>
      </c>
      <c r="Y107" s="5">
        <v>42964</v>
      </c>
      <c r="Z107" s="11">
        <v>0.65347222222222223</v>
      </c>
      <c r="AA107" s="12">
        <v>1</v>
      </c>
    </row>
    <row r="108" spans="1:27">
      <c r="A108" s="2" t="s">
        <v>39</v>
      </c>
      <c r="B108" s="9">
        <f>VLOOKUP(Parameters!A108,Symbols!A$2:B$1000,2,FALSE)</f>
        <v>1E-4</v>
      </c>
      <c r="C108" s="9">
        <v>2</v>
      </c>
      <c r="D108" s="9" t="s">
        <v>27</v>
      </c>
      <c r="E108" s="13">
        <f t="shared" si="10"/>
        <v>0</v>
      </c>
      <c r="F108" s="13">
        <f t="shared" si="6"/>
        <v>0.01</v>
      </c>
      <c r="G108" s="10">
        <v>0.06</v>
      </c>
      <c r="H108" s="10">
        <v>0</v>
      </c>
      <c r="I108" s="10">
        <v>0</v>
      </c>
      <c r="J108" s="10">
        <v>1</v>
      </c>
      <c r="K108" s="10">
        <v>1</v>
      </c>
      <c r="L108" s="10">
        <v>1</v>
      </c>
      <c r="M108" s="10">
        <v>1</v>
      </c>
      <c r="N108" s="9">
        <v>1</v>
      </c>
      <c r="O108" s="9">
        <v>100</v>
      </c>
      <c r="P108" s="9">
        <v>10</v>
      </c>
      <c r="Q108" s="9">
        <v>2</v>
      </c>
      <c r="R108" s="9">
        <v>1</v>
      </c>
      <c r="S108" s="5">
        <v>42741</v>
      </c>
      <c r="T108" s="14">
        <v>0.30208333333333331</v>
      </c>
      <c r="U108" s="5">
        <v>42964</v>
      </c>
      <c r="V108" s="14">
        <v>0.65277777777777779</v>
      </c>
      <c r="W108" s="15">
        <v>28</v>
      </c>
      <c r="X108" s="9">
        <v>1</v>
      </c>
      <c r="Y108" s="5">
        <v>42964</v>
      </c>
      <c r="Z108" s="11">
        <v>0.65347222222222223</v>
      </c>
      <c r="AA108" s="12">
        <v>1</v>
      </c>
    </row>
    <row r="109" spans="1:27">
      <c r="A109" s="2" t="s">
        <v>39</v>
      </c>
      <c r="B109" s="9">
        <f>VLOOKUP(Parameters!A109,Symbols!A$2:B$1000,2,FALSE)</f>
        <v>1E-4</v>
      </c>
      <c r="C109" s="9">
        <v>2</v>
      </c>
      <c r="D109" s="9" t="s">
        <v>27</v>
      </c>
      <c r="E109" s="13">
        <f t="shared" si="10"/>
        <v>0</v>
      </c>
      <c r="F109" s="13">
        <f t="shared" si="6"/>
        <v>0.01</v>
      </c>
      <c r="G109" s="10">
        <v>7.0000000000000007E-2</v>
      </c>
      <c r="H109" s="10">
        <v>0</v>
      </c>
      <c r="I109" s="10">
        <v>0</v>
      </c>
      <c r="J109" s="10">
        <v>1</v>
      </c>
      <c r="K109" s="10">
        <v>1</v>
      </c>
      <c r="L109" s="10">
        <v>1</v>
      </c>
      <c r="M109" s="10">
        <v>1</v>
      </c>
      <c r="N109" s="9">
        <v>1</v>
      </c>
      <c r="O109" s="9">
        <v>100</v>
      </c>
      <c r="P109" s="9">
        <v>10</v>
      </c>
      <c r="Q109" s="9">
        <v>2</v>
      </c>
      <c r="R109" s="9">
        <v>1</v>
      </c>
      <c r="S109" s="5">
        <v>42741</v>
      </c>
      <c r="T109" s="14">
        <v>0.30208333333333331</v>
      </c>
      <c r="U109" s="5">
        <v>42964</v>
      </c>
      <c r="V109" s="14">
        <v>0.65277777777777779</v>
      </c>
      <c r="W109" s="15">
        <v>28</v>
      </c>
      <c r="X109" s="9">
        <v>1</v>
      </c>
      <c r="Y109" s="5">
        <v>42964</v>
      </c>
      <c r="Z109" s="11">
        <v>0.65347222222222223</v>
      </c>
      <c r="AA109" s="12">
        <v>1</v>
      </c>
    </row>
    <row r="110" spans="1:27">
      <c r="A110" s="2" t="s">
        <v>39</v>
      </c>
      <c r="B110" s="9">
        <f>VLOOKUP(Parameters!A110,Symbols!A$2:B$1000,2,FALSE)</f>
        <v>1E-4</v>
      </c>
      <c r="C110" s="9">
        <v>2</v>
      </c>
      <c r="D110" s="9" t="s">
        <v>27</v>
      </c>
      <c r="E110" s="13">
        <f t="shared" si="10"/>
        <v>0</v>
      </c>
      <c r="F110" s="13">
        <f t="shared" si="6"/>
        <v>0.01</v>
      </c>
      <c r="G110" s="10">
        <v>0.08</v>
      </c>
      <c r="H110" s="10">
        <v>0</v>
      </c>
      <c r="I110" s="10">
        <v>0</v>
      </c>
      <c r="J110" s="10">
        <v>1</v>
      </c>
      <c r="K110" s="10">
        <v>1</v>
      </c>
      <c r="L110" s="10">
        <v>1</v>
      </c>
      <c r="M110" s="10">
        <v>1</v>
      </c>
      <c r="N110" s="9">
        <v>1</v>
      </c>
      <c r="O110" s="9">
        <v>100</v>
      </c>
      <c r="P110" s="9">
        <v>10</v>
      </c>
      <c r="Q110" s="9">
        <v>2</v>
      </c>
      <c r="R110" s="9">
        <v>1</v>
      </c>
      <c r="S110" s="5">
        <v>42741</v>
      </c>
      <c r="T110" s="14">
        <v>0.30208333333333331</v>
      </c>
      <c r="U110" s="5">
        <v>42964</v>
      </c>
      <c r="V110" s="14">
        <v>0.65277777777777779</v>
      </c>
      <c r="W110" s="15">
        <v>28</v>
      </c>
      <c r="X110" s="9">
        <v>1</v>
      </c>
      <c r="Y110" s="5">
        <v>42964</v>
      </c>
      <c r="Z110" s="11">
        <v>0.65347222222222223</v>
      </c>
      <c r="AA110" s="12">
        <v>1</v>
      </c>
    </row>
    <row r="111" spans="1:27">
      <c r="A111" s="2" t="s">
        <v>39</v>
      </c>
      <c r="B111" s="9">
        <f>VLOOKUP(Parameters!A111,Symbols!A$2:B$1000,2,FALSE)</f>
        <v>1E-4</v>
      </c>
      <c r="C111" s="9">
        <v>2</v>
      </c>
      <c r="D111" s="9" t="s">
        <v>27</v>
      </c>
      <c r="E111" s="13">
        <f t="shared" si="10"/>
        <v>0</v>
      </c>
      <c r="F111" s="13">
        <f t="shared" si="6"/>
        <v>0.01</v>
      </c>
      <c r="G111" s="10">
        <v>0.09</v>
      </c>
      <c r="H111" s="10">
        <v>0</v>
      </c>
      <c r="I111" s="10">
        <v>0</v>
      </c>
      <c r="J111" s="10">
        <v>1</v>
      </c>
      <c r="K111" s="10">
        <v>1</v>
      </c>
      <c r="L111" s="10">
        <v>1</v>
      </c>
      <c r="M111" s="10">
        <v>1</v>
      </c>
      <c r="N111" s="9">
        <v>1</v>
      </c>
      <c r="O111" s="9">
        <v>100</v>
      </c>
      <c r="P111" s="9">
        <v>10</v>
      </c>
      <c r="Q111" s="9">
        <v>2</v>
      </c>
      <c r="R111" s="9">
        <v>1</v>
      </c>
      <c r="S111" s="5">
        <v>42741</v>
      </c>
      <c r="T111" s="14">
        <v>0.30208333333333331</v>
      </c>
      <c r="U111" s="5">
        <v>42964</v>
      </c>
      <c r="V111" s="14">
        <v>0.65277777777777779</v>
      </c>
      <c r="W111" s="15">
        <v>28</v>
      </c>
      <c r="X111" s="9">
        <v>1</v>
      </c>
      <c r="Y111" s="5">
        <v>42964</v>
      </c>
      <c r="Z111" s="11">
        <v>0.65347222222222223</v>
      </c>
      <c r="AA111" s="12">
        <v>1</v>
      </c>
    </row>
    <row r="112" spans="1:27">
      <c r="A112" s="2" t="s">
        <v>39</v>
      </c>
      <c r="B112" s="9">
        <f>VLOOKUP(Parameters!A112,Symbols!A$2:B$1000,2,FALSE)</f>
        <v>1E-4</v>
      </c>
      <c r="C112" s="9">
        <v>2</v>
      </c>
      <c r="D112" s="9" t="s">
        <v>34</v>
      </c>
      <c r="E112" s="13">
        <f t="shared" si="10"/>
        <v>0</v>
      </c>
      <c r="F112" s="13">
        <f t="shared" ref="F112:F141" si="11">B112*100</f>
        <v>0.01</v>
      </c>
      <c r="G112" s="10">
        <v>0</v>
      </c>
      <c r="H112" s="10">
        <v>0</v>
      </c>
      <c r="I112" s="10">
        <v>0</v>
      </c>
      <c r="J112" s="10">
        <v>1</v>
      </c>
      <c r="K112" s="10">
        <v>1</v>
      </c>
      <c r="L112" s="10">
        <v>1</v>
      </c>
      <c r="M112" s="10">
        <v>1</v>
      </c>
      <c r="N112" s="9">
        <v>1</v>
      </c>
      <c r="O112" s="9">
        <v>100</v>
      </c>
      <c r="P112" s="9">
        <v>10</v>
      </c>
      <c r="Q112" s="9">
        <v>2</v>
      </c>
      <c r="R112" s="9">
        <v>1</v>
      </c>
      <c r="S112" s="5">
        <v>42741</v>
      </c>
      <c r="T112" s="14">
        <v>0.30208333333333331</v>
      </c>
      <c r="U112" s="5">
        <v>42964</v>
      </c>
      <c r="V112" s="14">
        <v>0.65277777777777779</v>
      </c>
      <c r="W112" s="15">
        <v>28</v>
      </c>
      <c r="X112" s="9">
        <v>1</v>
      </c>
      <c r="Y112" s="5">
        <v>42964</v>
      </c>
      <c r="Z112" s="11">
        <v>0.65347222222222223</v>
      </c>
      <c r="AA112" s="12">
        <v>1</v>
      </c>
    </row>
    <row r="113" spans="1:27">
      <c r="A113" s="2" t="s">
        <v>39</v>
      </c>
      <c r="B113" s="9">
        <f>VLOOKUP(Parameters!A113,Symbols!A$2:B$1000,2,FALSE)</f>
        <v>1E-4</v>
      </c>
      <c r="C113" s="9">
        <v>2</v>
      </c>
      <c r="D113" s="9" t="s">
        <v>34</v>
      </c>
      <c r="E113" s="13">
        <f t="shared" si="10"/>
        <v>0</v>
      </c>
      <c r="F113" s="13">
        <f t="shared" si="11"/>
        <v>0.01</v>
      </c>
      <c r="G113" s="10">
        <v>0.01</v>
      </c>
      <c r="H113" s="10">
        <v>0</v>
      </c>
      <c r="I113" s="10">
        <v>0</v>
      </c>
      <c r="J113" s="10">
        <v>1</v>
      </c>
      <c r="K113" s="10">
        <v>1</v>
      </c>
      <c r="L113" s="10">
        <v>1</v>
      </c>
      <c r="M113" s="10">
        <v>1</v>
      </c>
      <c r="N113" s="9">
        <v>1</v>
      </c>
      <c r="O113" s="9">
        <v>100</v>
      </c>
      <c r="P113" s="9">
        <v>10</v>
      </c>
      <c r="Q113" s="9">
        <v>2</v>
      </c>
      <c r="R113" s="9">
        <v>1</v>
      </c>
      <c r="S113" s="5">
        <v>42741</v>
      </c>
      <c r="T113" s="14">
        <v>0.30208333333333331</v>
      </c>
      <c r="U113" s="5">
        <v>42964</v>
      </c>
      <c r="V113" s="14">
        <v>0.65277777777777779</v>
      </c>
      <c r="W113" s="15">
        <v>28</v>
      </c>
      <c r="X113" s="9">
        <v>1</v>
      </c>
      <c r="Y113" s="5">
        <v>42964</v>
      </c>
      <c r="Z113" s="11">
        <v>0.65347222222222223</v>
      </c>
      <c r="AA113" s="12">
        <v>1</v>
      </c>
    </row>
    <row r="114" spans="1:27">
      <c r="A114" s="2" t="s">
        <v>39</v>
      </c>
      <c r="B114" s="9">
        <f>VLOOKUP(Parameters!A114,Symbols!A$2:B$1000,2,FALSE)</f>
        <v>1E-4</v>
      </c>
      <c r="C114" s="9">
        <v>2</v>
      </c>
      <c r="D114" s="9" t="s">
        <v>34</v>
      </c>
      <c r="E114" s="13">
        <f t="shared" si="10"/>
        <v>0</v>
      </c>
      <c r="F114" s="13">
        <f t="shared" si="11"/>
        <v>0.01</v>
      </c>
      <c r="G114" s="10">
        <v>0.02</v>
      </c>
      <c r="H114" s="10">
        <v>0</v>
      </c>
      <c r="I114" s="10">
        <v>0</v>
      </c>
      <c r="J114" s="10">
        <v>1</v>
      </c>
      <c r="K114" s="10">
        <v>1</v>
      </c>
      <c r="L114" s="10">
        <v>1</v>
      </c>
      <c r="M114" s="10">
        <v>1</v>
      </c>
      <c r="N114" s="9">
        <v>1</v>
      </c>
      <c r="O114" s="9">
        <v>100</v>
      </c>
      <c r="P114" s="9">
        <v>10</v>
      </c>
      <c r="Q114" s="9">
        <v>2</v>
      </c>
      <c r="R114" s="9">
        <v>1</v>
      </c>
      <c r="S114" s="5">
        <v>42741</v>
      </c>
      <c r="T114" s="14">
        <v>0.30208333333333331</v>
      </c>
      <c r="U114" s="5">
        <v>42964</v>
      </c>
      <c r="V114" s="14">
        <v>0.65277777777777779</v>
      </c>
      <c r="W114" s="15">
        <v>28</v>
      </c>
      <c r="X114" s="9">
        <v>1</v>
      </c>
      <c r="Y114" s="5">
        <v>42964</v>
      </c>
      <c r="Z114" s="11">
        <v>0.65347222222222223</v>
      </c>
      <c r="AA114" s="12">
        <v>1</v>
      </c>
    </row>
    <row r="115" spans="1:27">
      <c r="A115" s="2" t="s">
        <v>39</v>
      </c>
      <c r="B115" s="9">
        <f>VLOOKUP(Parameters!A115,Symbols!A$2:B$1000,2,FALSE)</f>
        <v>1E-4</v>
      </c>
      <c r="C115" s="9">
        <v>2</v>
      </c>
      <c r="D115" s="9" t="s">
        <v>34</v>
      </c>
      <c r="E115" s="13">
        <f t="shared" si="10"/>
        <v>0</v>
      </c>
      <c r="F115" s="13">
        <f t="shared" si="11"/>
        <v>0.01</v>
      </c>
      <c r="G115" s="10">
        <v>0.03</v>
      </c>
      <c r="H115" s="10">
        <v>0</v>
      </c>
      <c r="I115" s="10">
        <v>0</v>
      </c>
      <c r="J115" s="10">
        <v>1</v>
      </c>
      <c r="K115" s="10">
        <v>1</v>
      </c>
      <c r="L115" s="10">
        <v>1</v>
      </c>
      <c r="M115" s="10">
        <v>1</v>
      </c>
      <c r="N115" s="9">
        <v>1</v>
      </c>
      <c r="O115" s="9">
        <v>100</v>
      </c>
      <c r="P115" s="9">
        <v>10</v>
      </c>
      <c r="Q115" s="9">
        <v>2</v>
      </c>
      <c r="R115" s="9">
        <v>1</v>
      </c>
      <c r="S115" s="5">
        <v>42741</v>
      </c>
      <c r="T115" s="14">
        <v>0.30208333333333331</v>
      </c>
      <c r="U115" s="5">
        <v>42964</v>
      </c>
      <c r="V115" s="14">
        <v>0.65277777777777779</v>
      </c>
      <c r="W115" s="15">
        <v>28</v>
      </c>
      <c r="X115" s="9">
        <v>1</v>
      </c>
      <c r="Y115" s="5">
        <v>42964</v>
      </c>
      <c r="Z115" s="11">
        <v>0.65347222222222223</v>
      </c>
      <c r="AA115" s="12">
        <v>1</v>
      </c>
    </row>
    <row r="116" spans="1:27">
      <c r="A116" s="2" t="s">
        <v>39</v>
      </c>
      <c r="B116" s="9">
        <f>VLOOKUP(Parameters!A116,Symbols!A$2:B$1000,2,FALSE)</f>
        <v>1E-4</v>
      </c>
      <c r="C116" s="9">
        <v>2</v>
      </c>
      <c r="D116" s="9" t="s">
        <v>34</v>
      </c>
      <c r="E116" s="13">
        <f t="shared" si="10"/>
        <v>0</v>
      </c>
      <c r="F116" s="13">
        <f t="shared" si="11"/>
        <v>0.01</v>
      </c>
      <c r="G116" s="10">
        <v>0.04</v>
      </c>
      <c r="H116" s="10">
        <v>0</v>
      </c>
      <c r="I116" s="10">
        <v>0</v>
      </c>
      <c r="J116" s="10">
        <v>1</v>
      </c>
      <c r="K116" s="10">
        <v>1</v>
      </c>
      <c r="L116" s="10">
        <v>1</v>
      </c>
      <c r="M116" s="10">
        <v>1</v>
      </c>
      <c r="N116" s="9">
        <v>1</v>
      </c>
      <c r="O116" s="9">
        <v>100</v>
      </c>
      <c r="P116" s="9">
        <v>10</v>
      </c>
      <c r="Q116" s="9">
        <v>2</v>
      </c>
      <c r="R116" s="9">
        <v>1</v>
      </c>
      <c r="S116" s="5">
        <v>42741</v>
      </c>
      <c r="T116" s="14">
        <v>0.30208333333333331</v>
      </c>
      <c r="U116" s="5">
        <v>42964</v>
      </c>
      <c r="V116" s="14">
        <v>0.65277777777777779</v>
      </c>
      <c r="W116" s="15">
        <v>28</v>
      </c>
      <c r="X116" s="9">
        <v>1</v>
      </c>
      <c r="Y116" s="5">
        <v>42964</v>
      </c>
      <c r="Z116" s="11">
        <v>0.65347222222222223</v>
      </c>
      <c r="AA116" s="12">
        <v>1</v>
      </c>
    </row>
    <row r="117" spans="1:27">
      <c r="A117" s="2" t="s">
        <v>39</v>
      </c>
      <c r="B117" s="9">
        <f>VLOOKUP(Parameters!A117,Symbols!A$2:B$1000,2,FALSE)</f>
        <v>1E-4</v>
      </c>
      <c r="C117" s="9">
        <v>2</v>
      </c>
      <c r="D117" s="9" t="s">
        <v>34</v>
      </c>
      <c r="E117" s="13">
        <f t="shared" si="10"/>
        <v>0</v>
      </c>
      <c r="F117" s="13">
        <f t="shared" si="11"/>
        <v>0.01</v>
      </c>
      <c r="G117" s="10">
        <v>0.05</v>
      </c>
      <c r="H117" s="10">
        <v>0</v>
      </c>
      <c r="I117" s="10">
        <v>0</v>
      </c>
      <c r="J117" s="10">
        <v>1</v>
      </c>
      <c r="K117" s="10">
        <v>1</v>
      </c>
      <c r="L117" s="10">
        <v>1</v>
      </c>
      <c r="M117" s="10">
        <v>1</v>
      </c>
      <c r="N117" s="9">
        <v>1</v>
      </c>
      <c r="O117" s="9">
        <v>100</v>
      </c>
      <c r="P117" s="9">
        <v>10</v>
      </c>
      <c r="Q117" s="9">
        <v>2</v>
      </c>
      <c r="R117" s="9">
        <v>1</v>
      </c>
      <c r="S117" s="5">
        <v>42741</v>
      </c>
      <c r="T117" s="14">
        <v>0.30208333333333331</v>
      </c>
      <c r="U117" s="5">
        <v>42964</v>
      </c>
      <c r="V117" s="14">
        <v>0.65277777777777779</v>
      </c>
      <c r="W117" s="15">
        <v>28</v>
      </c>
      <c r="X117" s="9">
        <v>1</v>
      </c>
      <c r="Y117" s="5">
        <v>42964</v>
      </c>
      <c r="Z117" s="11">
        <v>0.65347222222222223</v>
      </c>
      <c r="AA117" s="12">
        <v>1</v>
      </c>
    </row>
    <row r="118" spans="1:27">
      <c r="A118" s="2" t="s">
        <v>39</v>
      </c>
      <c r="B118" s="9">
        <f>VLOOKUP(Parameters!A118,Symbols!A$2:B$1000,2,FALSE)</f>
        <v>1E-4</v>
      </c>
      <c r="C118" s="9">
        <v>2</v>
      </c>
      <c r="D118" s="9" t="s">
        <v>34</v>
      </c>
      <c r="E118" s="13">
        <f t="shared" si="10"/>
        <v>0</v>
      </c>
      <c r="F118" s="13">
        <f t="shared" si="11"/>
        <v>0.01</v>
      </c>
      <c r="G118" s="10">
        <v>0.06</v>
      </c>
      <c r="H118" s="10">
        <v>0</v>
      </c>
      <c r="I118" s="10">
        <v>0</v>
      </c>
      <c r="J118" s="10">
        <v>1</v>
      </c>
      <c r="K118" s="10">
        <v>1</v>
      </c>
      <c r="L118" s="10">
        <v>1</v>
      </c>
      <c r="M118" s="10">
        <v>1</v>
      </c>
      <c r="N118" s="9">
        <v>1</v>
      </c>
      <c r="O118" s="9">
        <v>100</v>
      </c>
      <c r="P118" s="9">
        <v>10</v>
      </c>
      <c r="Q118" s="9">
        <v>2</v>
      </c>
      <c r="R118" s="9">
        <v>1</v>
      </c>
      <c r="S118" s="5">
        <v>42741</v>
      </c>
      <c r="T118" s="14">
        <v>0.30208333333333331</v>
      </c>
      <c r="U118" s="5">
        <v>42964</v>
      </c>
      <c r="V118" s="14">
        <v>0.65277777777777779</v>
      </c>
      <c r="W118" s="15">
        <v>28</v>
      </c>
      <c r="X118" s="9">
        <v>1</v>
      </c>
      <c r="Y118" s="5">
        <v>42964</v>
      </c>
      <c r="Z118" s="11">
        <v>0.65347222222222223</v>
      </c>
      <c r="AA118" s="12">
        <v>1</v>
      </c>
    </row>
    <row r="119" spans="1:27">
      <c r="A119" s="2" t="s">
        <v>39</v>
      </c>
      <c r="B119" s="9">
        <f>VLOOKUP(Parameters!A119,Symbols!A$2:B$1000,2,FALSE)</f>
        <v>1E-4</v>
      </c>
      <c r="C119" s="9">
        <v>2</v>
      </c>
      <c r="D119" s="9" t="s">
        <v>34</v>
      </c>
      <c r="E119" s="13">
        <f t="shared" si="10"/>
        <v>0</v>
      </c>
      <c r="F119" s="13">
        <f t="shared" si="11"/>
        <v>0.01</v>
      </c>
      <c r="G119" s="10">
        <v>7.0000000000000007E-2</v>
      </c>
      <c r="H119" s="10">
        <v>0</v>
      </c>
      <c r="I119" s="10">
        <v>0</v>
      </c>
      <c r="J119" s="10">
        <v>1</v>
      </c>
      <c r="K119" s="10">
        <v>1</v>
      </c>
      <c r="L119" s="10">
        <v>1</v>
      </c>
      <c r="M119" s="10">
        <v>1</v>
      </c>
      <c r="N119" s="9">
        <v>1</v>
      </c>
      <c r="O119" s="9">
        <v>100</v>
      </c>
      <c r="P119" s="9">
        <v>10</v>
      </c>
      <c r="Q119" s="9">
        <v>2</v>
      </c>
      <c r="R119" s="9">
        <v>1</v>
      </c>
      <c r="S119" s="5">
        <v>42741</v>
      </c>
      <c r="T119" s="14">
        <v>0.30208333333333331</v>
      </c>
      <c r="U119" s="5">
        <v>42964</v>
      </c>
      <c r="V119" s="14">
        <v>0.65277777777777779</v>
      </c>
      <c r="W119" s="15">
        <v>28</v>
      </c>
      <c r="X119" s="9">
        <v>1</v>
      </c>
      <c r="Y119" s="5">
        <v>42964</v>
      </c>
      <c r="Z119" s="11">
        <v>0.65347222222222223</v>
      </c>
      <c r="AA119" s="12">
        <v>1</v>
      </c>
    </row>
    <row r="120" spans="1:27">
      <c r="A120" s="2" t="s">
        <v>39</v>
      </c>
      <c r="B120" s="9">
        <f>VLOOKUP(Parameters!A120,Symbols!A$2:B$1000,2,FALSE)</f>
        <v>1E-4</v>
      </c>
      <c r="C120" s="9">
        <v>2</v>
      </c>
      <c r="D120" s="9" t="s">
        <v>34</v>
      </c>
      <c r="E120" s="13">
        <f t="shared" si="10"/>
        <v>0</v>
      </c>
      <c r="F120" s="13">
        <f t="shared" si="11"/>
        <v>0.01</v>
      </c>
      <c r="G120" s="10">
        <v>0.08</v>
      </c>
      <c r="H120" s="10">
        <v>0</v>
      </c>
      <c r="I120" s="10">
        <v>0</v>
      </c>
      <c r="J120" s="10">
        <v>1</v>
      </c>
      <c r="K120" s="10">
        <v>1</v>
      </c>
      <c r="L120" s="10">
        <v>1</v>
      </c>
      <c r="M120" s="10">
        <v>1</v>
      </c>
      <c r="N120" s="9">
        <v>1</v>
      </c>
      <c r="O120" s="9">
        <v>100</v>
      </c>
      <c r="P120" s="9">
        <v>10</v>
      </c>
      <c r="Q120" s="9">
        <v>2</v>
      </c>
      <c r="R120" s="9">
        <v>1</v>
      </c>
      <c r="S120" s="5">
        <v>42741</v>
      </c>
      <c r="T120" s="14">
        <v>0.30208333333333331</v>
      </c>
      <c r="U120" s="5">
        <v>42964</v>
      </c>
      <c r="V120" s="14">
        <v>0.65277777777777779</v>
      </c>
      <c r="W120" s="15">
        <v>28</v>
      </c>
      <c r="X120" s="9">
        <v>1</v>
      </c>
      <c r="Y120" s="5">
        <v>42964</v>
      </c>
      <c r="Z120" s="11">
        <v>0.65347222222222223</v>
      </c>
      <c r="AA120" s="12">
        <v>1</v>
      </c>
    </row>
    <row r="121" spans="1:27">
      <c r="A121" s="2" t="s">
        <v>39</v>
      </c>
      <c r="B121" s="9">
        <f>VLOOKUP(Parameters!A121,Symbols!A$2:B$1000,2,FALSE)</f>
        <v>1E-4</v>
      </c>
      <c r="C121" s="9">
        <v>2</v>
      </c>
      <c r="D121" s="9" t="s">
        <v>34</v>
      </c>
      <c r="E121" s="13">
        <f t="shared" si="10"/>
        <v>0</v>
      </c>
      <c r="F121" s="13">
        <f t="shared" si="11"/>
        <v>0.01</v>
      </c>
      <c r="G121" s="10">
        <v>0.09</v>
      </c>
      <c r="H121" s="10">
        <v>0</v>
      </c>
      <c r="I121" s="10">
        <v>0</v>
      </c>
      <c r="J121" s="10">
        <v>1</v>
      </c>
      <c r="K121" s="10">
        <v>1</v>
      </c>
      <c r="L121" s="10">
        <v>1</v>
      </c>
      <c r="M121" s="10">
        <v>1</v>
      </c>
      <c r="N121" s="9">
        <v>1</v>
      </c>
      <c r="O121" s="9">
        <v>100</v>
      </c>
      <c r="P121" s="9">
        <v>10</v>
      </c>
      <c r="Q121" s="9">
        <v>2</v>
      </c>
      <c r="R121" s="9">
        <v>1</v>
      </c>
      <c r="S121" s="5">
        <v>42741</v>
      </c>
      <c r="T121" s="14">
        <v>0.30208333333333331</v>
      </c>
      <c r="U121" s="5">
        <v>42964</v>
      </c>
      <c r="V121" s="14">
        <v>0.65277777777777779</v>
      </c>
      <c r="W121" s="15">
        <v>28</v>
      </c>
      <c r="X121" s="9">
        <v>1</v>
      </c>
      <c r="Y121" s="5">
        <v>42964</v>
      </c>
      <c r="Z121" s="11">
        <v>0.65347222222222223</v>
      </c>
      <c r="AA121" s="12">
        <v>1</v>
      </c>
    </row>
    <row r="122" spans="1:27">
      <c r="A122" s="2" t="s">
        <v>40</v>
      </c>
      <c r="B122" s="9">
        <f>VLOOKUP(Parameters!A122,Symbols!A$2:B$1000,2,FALSE)</f>
        <v>1E-4</v>
      </c>
      <c r="C122" s="9">
        <v>2</v>
      </c>
      <c r="D122" s="9" t="s">
        <v>27</v>
      </c>
      <c r="E122" s="19"/>
      <c r="F122" s="13">
        <f t="shared" si="11"/>
        <v>0.01</v>
      </c>
      <c r="G122" s="10">
        <v>0</v>
      </c>
      <c r="H122" s="10">
        <v>0</v>
      </c>
      <c r="I122" s="10">
        <v>0</v>
      </c>
      <c r="J122" s="10">
        <v>1</v>
      </c>
      <c r="K122" s="10">
        <v>1</v>
      </c>
      <c r="L122" s="10">
        <v>1</v>
      </c>
      <c r="M122" s="10">
        <v>1</v>
      </c>
      <c r="N122" s="9">
        <v>1</v>
      </c>
      <c r="O122" s="9">
        <v>100</v>
      </c>
      <c r="P122" s="9">
        <v>10</v>
      </c>
      <c r="Q122" s="9">
        <v>2</v>
      </c>
      <c r="R122" s="9">
        <v>1</v>
      </c>
      <c r="S122" s="5">
        <v>42741</v>
      </c>
      <c r="T122" s="14">
        <v>0.30208333333333331</v>
      </c>
      <c r="U122" s="5">
        <v>42964</v>
      </c>
      <c r="V122" s="14">
        <v>0.65277777777777779</v>
      </c>
      <c r="W122" s="15">
        <v>28</v>
      </c>
      <c r="X122" s="9">
        <v>1</v>
      </c>
      <c r="Y122" s="5">
        <v>42964</v>
      </c>
      <c r="Z122" s="11">
        <v>0.65347222222222223</v>
      </c>
      <c r="AA122" s="12">
        <v>1</v>
      </c>
    </row>
    <row r="123" spans="1:27">
      <c r="A123" s="2" t="s">
        <v>40</v>
      </c>
      <c r="B123" s="9">
        <f>VLOOKUP(Parameters!A123,Symbols!A$2:B$1000,2,FALSE)</f>
        <v>1E-4</v>
      </c>
      <c r="C123" s="9">
        <v>2</v>
      </c>
      <c r="D123" s="9" t="s">
        <v>27</v>
      </c>
      <c r="E123" s="9"/>
      <c r="F123" s="13">
        <f t="shared" si="11"/>
        <v>0.01</v>
      </c>
      <c r="G123" s="10">
        <v>0.01</v>
      </c>
      <c r="H123" s="10">
        <v>0</v>
      </c>
      <c r="I123" s="10">
        <v>0</v>
      </c>
      <c r="J123" s="10">
        <v>1</v>
      </c>
      <c r="K123" s="10">
        <v>1</v>
      </c>
      <c r="L123" s="10">
        <v>1</v>
      </c>
      <c r="M123" s="10">
        <v>1</v>
      </c>
      <c r="N123" s="9">
        <v>1</v>
      </c>
      <c r="O123" s="9">
        <v>100</v>
      </c>
      <c r="P123" s="9">
        <v>10</v>
      </c>
      <c r="Q123" s="9">
        <v>2</v>
      </c>
      <c r="R123" s="9">
        <v>1</v>
      </c>
      <c r="S123" s="5">
        <v>42741</v>
      </c>
      <c r="T123" s="14">
        <v>0.30208333333333331</v>
      </c>
      <c r="U123" s="5">
        <v>42964</v>
      </c>
      <c r="V123" s="14">
        <v>0.65277777777777779</v>
      </c>
      <c r="W123" s="15">
        <v>28</v>
      </c>
      <c r="X123" s="9">
        <v>1</v>
      </c>
      <c r="Y123" s="5">
        <v>42964</v>
      </c>
      <c r="Z123" s="11">
        <v>0.65347222222222223</v>
      </c>
      <c r="AA123" s="12">
        <v>1</v>
      </c>
    </row>
    <row r="124" spans="1:27">
      <c r="A124" s="2" t="s">
        <v>40</v>
      </c>
      <c r="B124" s="9">
        <f>VLOOKUP(Parameters!A124,Symbols!A$2:B$1000,2,FALSE)</f>
        <v>1E-4</v>
      </c>
      <c r="C124" s="9">
        <v>2</v>
      </c>
      <c r="D124" s="9" t="s">
        <v>27</v>
      </c>
      <c r="E124" s="9"/>
      <c r="F124" s="13">
        <f t="shared" si="11"/>
        <v>0.01</v>
      </c>
      <c r="G124" s="10">
        <v>0.02</v>
      </c>
      <c r="H124" s="10">
        <v>0</v>
      </c>
      <c r="I124" s="10">
        <v>0</v>
      </c>
      <c r="J124" s="10">
        <v>1</v>
      </c>
      <c r="K124" s="10">
        <v>1</v>
      </c>
      <c r="L124" s="10">
        <v>1</v>
      </c>
      <c r="M124" s="10">
        <v>1</v>
      </c>
      <c r="N124" s="9">
        <v>1</v>
      </c>
      <c r="O124" s="9">
        <v>100</v>
      </c>
      <c r="P124" s="9">
        <v>10</v>
      </c>
      <c r="Q124" s="9">
        <v>2</v>
      </c>
      <c r="R124" s="9">
        <v>1</v>
      </c>
      <c r="S124" s="5">
        <v>42741</v>
      </c>
      <c r="T124" s="14">
        <v>0.30208333333333331</v>
      </c>
      <c r="U124" s="5">
        <v>42964</v>
      </c>
      <c r="V124" s="14">
        <v>0.65277777777777779</v>
      </c>
      <c r="W124" s="15">
        <v>28</v>
      </c>
      <c r="X124" s="9">
        <v>1</v>
      </c>
      <c r="Y124" s="5">
        <v>42964</v>
      </c>
      <c r="Z124" s="11">
        <v>0.65347222222222223</v>
      </c>
      <c r="AA124" s="12">
        <v>1</v>
      </c>
    </row>
    <row r="125" spans="1:27">
      <c r="A125" s="2" t="s">
        <v>40</v>
      </c>
      <c r="B125" s="9">
        <f>VLOOKUP(Parameters!A125,Symbols!A$2:B$1000,2,FALSE)</f>
        <v>1E-4</v>
      </c>
      <c r="C125" s="9">
        <v>2</v>
      </c>
      <c r="D125" s="9" t="s">
        <v>27</v>
      </c>
      <c r="E125" s="9"/>
      <c r="F125" s="13">
        <f t="shared" si="11"/>
        <v>0.01</v>
      </c>
      <c r="G125" s="10">
        <v>0.03</v>
      </c>
      <c r="H125" s="10">
        <v>0</v>
      </c>
      <c r="I125" s="10">
        <v>0</v>
      </c>
      <c r="J125" s="10">
        <v>1</v>
      </c>
      <c r="K125" s="10">
        <v>1</v>
      </c>
      <c r="L125" s="10">
        <v>1</v>
      </c>
      <c r="M125" s="10">
        <v>1</v>
      </c>
      <c r="N125" s="9">
        <v>1</v>
      </c>
      <c r="O125" s="9">
        <v>100</v>
      </c>
      <c r="P125" s="9">
        <v>10</v>
      </c>
      <c r="Q125" s="9">
        <v>2</v>
      </c>
      <c r="R125" s="9">
        <v>1</v>
      </c>
      <c r="S125" s="5">
        <v>42741</v>
      </c>
      <c r="T125" s="14">
        <v>0.30208333333333331</v>
      </c>
      <c r="U125" s="5">
        <v>42964</v>
      </c>
      <c r="V125" s="14">
        <v>0.65277777777777779</v>
      </c>
      <c r="W125" s="15">
        <v>28</v>
      </c>
      <c r="X125" s="9">
        <v>1</v>
      </c>
      <c r="Y125" s="5">
        <v>42964</v>
      </c>
      <c r="Z125" s="11">
        <v>0.65347222222222223</v>
      </c>
      <c r="AA125" s="12">
        <v>1</v>
      </c>
    </row>
    <row r="126" spans="1:27">
      <c r="A126" s="2" t="s">
        <v>40</v>
      </c>
      <c r="B126" s="9">
        <f>VLOOKUP(Parameters!A126,Symbols!A$2:B$1000,2,FALSE)</f>
        <v>1E-4</v>
      </c>
      <c r="C126" s="9">
        <v>2</v>
      </c>
      <c r="D126" s="9" t="s">
        <v>27</v>
      </c>
      <c r="E126" s="9"/>
      <c r="F126" s="13">
        <f t="shared" si="11"/>
        <v>0.01</v>
      </c>
      <c r="G126" s="10">
        <v>0.04</v>
      </c>
      <c r="H126" s="10">
        <v>0</v>
      </c>
      <c r="I126" s="10">
        <v>0</v>
      </c>
      <c r="J126" s="10">
        <v>1</v>
      </c>
      <c r="K126" s="10">
        <v>1</v>
      </c>
      <c r="L126" s="10">
        <v>1</v>
      </c>
      <c r="M126" s="10">
        <v>1</v>
      </c>
      <c r="N126" s="9">
        <v>1</v>
      </c>
      <c r="O126" s="9">
        <v>100</v>
      </c>
      <c r="P126" s="9">
        <v>10</v>
      </c>
      <c r="Q126" s="9">
        <v>2</v>
      </c>
      <c r="R126" s="9">
        <v>1</v>
      </c>
      <c r="S126" s="5">
        <v>42741</v>
      </c>
      <c r="T126" s="14">
        <v>0.30208333333333331</v>
      </c>
      <c r="U126" s="5">
        <v>42964</v>
      </c>
      <c r="V126" s="14">
        <v>0.65277777777777779</v>
      </c>
      <c r="W126" s="15">
        <v>28</v>
      </c>
      <c r="X126" s="9">
        <v>1</v>
      </c>
      <c r="Y126" s="5">
        <v>42964</v>
      </c>
      <c r="Z126" s="11">
        <v>0.65347222222222223</v>
      </c>
      <c r="AA126" s="12">
        <v>1</v>
      </c>
    </row>
    <row r="127" spans="1:27">
      <c r="A127" s="2" t="s">
        <v>40</v>
      </c>
      <c r="B127" s="9">
        <f>VLOOKUP(Parameters!A127,Symbols!A$2:B$1000,2,FALSE)</f>
        <v>1E-4</v>
      </c>
      <c r="C127" s="9">
        <v>2</v>
      </c>
      <c r="D127" s="9" t="s">
        <v>27</v>
      </c>
      <c r="E127" s="9"/>
      <c r="F127" s="13">
        <f t="shared" si="11"/>
        <v>0.01</v>
      </c>
      <c r="G127" s="10">
        <v>0.05</v>
      </c>
      <c r="H127" s="10">
        <v>0</v>
      </c>
      <c r="I127" s="10">
        <v>0</v>
      </c>
      <c r="J127" s="10">
        <v>1</v>
      </c>
      <c r="K127" s="10">
        <v>1</v>
      </c>
      <c r="L127" s="10">
        <v>1</v>
      </c>
      <c r="M127" s="10">
        <v>1</v>
      </c>
      <c r="N127" s="9">
        <v>1</v>
      </c>
      <c r="O127" s="9">
        <v>100</v>
      </c>
      <c r="P127" s="9">
        <v>10</v>
      </c>
      <c r="Q127" s="9">
        <v>2</v>
      </c>
      <c r="R127" s="9">
        <v>1</v>
      </c>
      <c r="S127" s="5">
        <v>42741</v>
      </c>
      <c r="T127" s="14">
        <v>0.30208333333333331</v>
      </c>
      <c r="U127" s="5">
        <v>42964</v>
      </c>
      <c r="V127" s="14">
        <v>0.65277777777777779</v>
      </c>
      <c r="W127" s="15">
        <v>28</v>
      </c>
      <c r="X127" s="9">
        <v>1</v>
      </c>
      <c r="Y127" s="5">
        <v>42964</v>
      </c>
      <c r="Z127" s="11">
        <v>0.65347222222222223</v>
      </c>
      <c r="AA127" s="12">
        <v>1</v>
      </c>
    </row>
    <row r="128" spans="1:27">
      <c r="A128" s="2" t="s">
        <v>40</v>
      </c>
      <c r="B128" s="9">
        <f>VLOOKUP(Parameters!A128,Symbols!A$2:B$1000,2,FALSE)</f>
        <v>1E-4</v>
      </c>
      <c r="C128" s="9">
        <v>2</v>
      </c>
      <c r="D128" s="9" t="s">
        <v>27</v>
      </c>
      <c r="E128" s="9"/>
      <c r="F128" s="13">
        <f t="shared" si="11"/>
        <v>0.01</v>
      </c>
      <c r="G128" s="10">
        <v>0.06</v>
      </c>
      <c r="H128" s="10">
        <v>0</v>
      </c>
      <c r="I128" s="10">
        <v>0</v>
      </c>
      <c r="J128" s="10">
        <v>1</v>
      </c>
      <c r="K128" s="10">
        <v>1</v>
      </c>
      <c r="L128" s="10">
        <v>1</v>
      </c>
      <c r="M128" s="10">
        <v>1</v>
      </c>
      <c r="N128" s="9">
        <v>1</v>
      </c>
      <c r="O128" s="9">
        <v>100</v>
      </c>
      <c r="P128" s="9">
        <v>10</v>
      </c>
      <c r="Q128" s="9">
        <v>2</v>
      </c>
      <c r="R128" s="9">
        <v>1</v>
      </c>
      <c r="S128" s="5">
        <v>42741</v>
      </c>
      <c r="T128" s="14">
        <v>0.30208333333333331</v>
      </c>
      <c r="U128" s="5">
        <v>42964</v>
      </c>
      <c r="V128" s="14">
        <v>0.65277777777777779</v>
      </c>
      <c r="W128" s="15">
        <v>28</v>
      </c>
      <c r="X128" s="9">
        <v>1</v>
      </c>
      <c r="Y128" s="5">
        <v>42964</v>
      </c>
      <c r="Z128" s="11">
        <v>0.65347222222222223</v>
      </c>
      <c r="AA128" s="12">
        <v>1</v>
      </c>
    </row>
    <row r="129" spans="1:27">
      <c r="A129" s="2" t="s">
        <v>40</v>
      </c>
      <c r="B129" s="9">
        <f>VLOOKUP(Parameters!A129,Symbols!A$2:B$1000,2,FALSE)</f>
        <v>1E-4</v>
      </c>
      <c r="C129" s="9">
        <v>2</v>
      </c>
      <c r="D129" s="9" t="s">
        <v>27</v>
      </c>
      <c r="E129" s="9"/>
      <c r="F129" s="13">
        <f t="shared" si="11"/>
        <v>0.01</v>
      </c>
      <c r="G129" s="10">
        <v>7.0000000000000007E-2</v>
      </c>
      <c r="H129" s="10">
        <v>0</v>
      </c>
      <c r="I129" s="10">
        <v>0</v>
      </c>
      <c r="J129" s="10">
        <v>1</v>
      </c>
      <c r="K129" s="10">
        <v>1</v>
      </c>
      <c r="L129" s="10">
        <v>1</v>
      </c>
      <c r="M129" s="10">
        <v>1</v>
      </c>
      <c r="N129" s="9">
        <v>1</v>
      </c>
      <c r="O129" s="9">
        <v>100</v>
      </c>
      <c r="P129" s="9">
        <v>10</v>
      </c>
      <c r="Q129" s="9">
        <v>2</v>
      </c>
      <c r="R129" s="9">
        <v>1</v>
      </c>
      <c r="S129" s="5">
        <v>42741</v>
      </c>
      <c r="T129" s="14">
        <v>0.30208333333333331</v>
      </c>
      <c r="U129" s="5">
        <v>42964</v>
      </c>
      <c r="V129" s="14">
        <v>0.65277777777777779</v>
      </c>
      <c r="W129" s="15">
        <v>28</v>
      </c>
      <c r="X129" s="9">
        <v>1</v>
      </c>
      <c r="Y129" s="5">
        <v>42964</v>
      </c>
      <c r="Z129" s="11">
        <v>0.65347222222222223</v>
      </c>
      <c r="AA129" s="12">
        <v>1</v>
      </c>
    </row>
    <row r="130" spans="1:27">
      <c r="A130" s="2" t="s">
        <v>40</v>
      </c>
      <c r="B130" s="9">
        <f>VLOOKUP(Parameters!A130,Symbols!A$2:B$1000,2,FALSE)</f>
        <v>1E-4</v>
      </c>
      <c r="C130" s="9">
        <v>2</v>
      </c>
      <c r="D130" s="9" t="s">
        <v>27</v>
      </c>
      <c r="E130" s="9"/>
      <c r="F130" s="13">
        <f t="shared" si="11"/>
        <v>0.01</v>
      </c>
      <c r="G130" s="10">
        <v>0.08</v>
      </c>
      <c r="H130" s="10">
        <v>0</v>
      </c>
      <c r="I130" s="10">
        <v>0</v>
      </c>
      <c r="J130" s="10">
        <v>1</v>
      </c>
      <c r="K130" s="10">
        <v>1</v>
      </c>
      <c r="L130" s="10">
        <v>1</v>
      </c>
      <c r="M130" s="10">
        <v>1</v>
      </c>
      <c r="N130" s="9">
        <v>1</v>
      </c>
      <c r="O130" s="9">
        <v>100</v>
      </c>
      <c r="P130" s="9">
        <v>10</v>
      </c>
      <c r="Q130" s="9">
        <v>2</v>
      </c>
      <c r="R130" s="9">
        <v>1</v>
      </c>
      <c r="S130" s="5">
        <v>42741</v>
      </c>
      <c r="T130" s="14">
        <v>0.30208333333333331</v>
      </c>
      <c r="U130" s="5">
        <v>42964</v>
      </c>
      <c r="V130" s="14">
        <v>0.65277777777777779</v>
      </c>
      <c r="W130" s="15">
        <v>28</v>
      </c>
      <c r="X130" s="9">
        <v>1</v>
      </c>
      <c r="Y130" s="5">
        <v>42964</v>
      </c>
      <c r="Z130" s="11">
        <v>0.65347222222222223</v>
      </c>
      <c r="AA130" s="12">
        <v>1</v>
      </c>
    </row>
    <row r="131" spans="1:27">
      <c r="A131" s="2" t="s">
        <v>40</v>
      </c>
      <c r="B131" s="9">
        <f>VLOOKUP(Parameters!A131,Symbols!A$2:B$1000,2,FALSE)</f>
        <v>1E-4</v>
      </c>
      <c r="C131" s="9">
        <v>2</v>
      </c>
      <c r="D131" s="9" t="s">
        <v>27</v>
      </c>
      <c r="E131" s="9"/>
      <c r="F131" s="13">
        <f t="shared" si="11"/>
        <v>0.01</v>
      </c>
      <c r="G131" s="10">
        <v>0.09</v>
      </c>
      <c r="H131" s="10">
        <v>0</v>
      </c>
      <c r="I131" s="10">
        <v>0</v>
      </c>
      <c r="J131" s="10">
        <v>1</v>
      </c>
      <c r="K131" s="10">
        <v>1</v>
      </c>
      <c r="L131" s="10">
        <v>1</v>
      </c>
      <c r="M131" s="10">
        <v>1</v>
      </c>
      <c r="N131" s="9">
        <v>1</v>
      </c>
      <c r="O131" s="9">
        <v>100</v>
      </c>
      <c r="P131" s="9">
        <v>10</v>
      </c>
      <c r="Q131" s="9">
        <v>2</v>
      </c>
      <c r="R131" s="9">
        <v>1</v>
      </c>
      <c r="S131" s="5">
        <v>42741</v>
      </c>
      <c r="T131" s="14">
        <v>0.30208333333333331</v>
      </c>
      <c r="U131" s="5">
        <v>42964</v>
      </c>
      <c r="V131" s="14">
        <v>0.65277777777777779</v>
      </c>
      <c r="W131" s="15">
        <v>28</v>
      </c>
      <c r="X131" s="9">
        <v>1</v>
      </c>
      <c r="Y131" s="5">
        <v>42964</v>
      </c>
      <c r="Z131" s="11">
        <v>0.65347222222222223</v>
      </c>
      <c r="AA131" s="12">
        <v>1</v>
      </c>
    </row>
    <row r="132" spans="1:27">
      <c r="A132" s="2" t="s">
        <v>40</v>
      </c>
      <c r="B132" s="9">
        <f>VLOOKUP(Parameters!A132,Symbols!A$2:B$1000,2,FALSE)</f>
        <v>1E-4</v>
      </c>
      <c r="C132" s="9">
        <v>2</v>
      </c>
      <c r="D132" s="9" t="s">
        <v>34</v>
      </c>
      <c r="E132" s="9"/>
      <c r="F132" s="13">
        <f t="shared" si="11"/>
        <v>0.01</v>
      </c>
      <c r="G132" s="10">
        <v>0</v>
      </c>
      <c r="H132" s="10">
        <v>0</v>
      </c>
      <c r="I132" s="10">
        <v>0</v>
      </c>
      <c r="J132" s="10">
        <v>1</v>
      </c>
      <c r="K132" s="10">
        <v>1</v>
      </c>
      <c r="L132" s="10">
        <v>1</v>
      </c>
      <c r="M132" s="10">
        <v>1</v>
      </c>
      <c r="N132" s="9">
        <v>1</v>
      </c>
      <c r="O132" s="9">
        <v>100</v>
      </c>
      <c r="P132" s="9">
        <v>10</v>
      </c>
      <c r="Q132" s="9">
        <v>2</v>
      </c>
      <c r="R132" s="9">
        <v>1</v>
      </c>
      <c r="S132" s="5">
        <v>42741</v>
      </c>
      <c r="T132" s="14">
        <v>0.30208333333333331</v>
      </c>
      <c r="U132" s="5">
        <v>42964</v>
      </c>
      <c r="V132" s="14">
        <v>0.65277777777777779</v>
      </c>
      <c r="W132" s="15">
        <v>28</v>
      </c>
      <c r="X132" s="9">
        <v>1</v>
      </c>
      <c r="Y132" s="5">
        <v>42964</v>
      </c>
      <c r="Z132" s="11">
        <v>0.65347222222222223</v>
      </c>
      <c r="AA132" s="12">
        <v>1</v>
      </c>
    </row>
    <row r="133" spans="1:27">
      <c r="A133" s="2" t="s">
        <v>40</v>
      </c>
      <c r="B133" s="9">
        <f>VLOOKUP(Parameters!A133,Symbols!A$2:B$1000,2,FALSE)</f>
        <v>1E-4</v>
      </c>
      <c r="C133" s="9">
        <v>2</v>
      </c>
      <c r="D133" s="9" t="s">
        <v>34</v>
      </c>
      <c r="E133" s="9"/>
      <c r="F133" s="13">
        <f t="shared" si="11"/>
        <v>0.01</v>
      </c>
      <c r="G133" s="10">
        <v>0.01</v>
      </c>
      <c r="H133" s="10">
        <v>0</v>
      </c>
      <c r="I133" s="10">
        <v>0</v>
      </c>
      <c r="J133" s="10">
        <v>1</v>
      </c>
      <c r="K133" s="10">
        <v>1</v>
      </c>
      <c r="L133" s="10">
        <v>1</v>
      </c>
      <c r="M133" s="10">
        <v>1</v>
      </c>
      <c r="N133" s="9">
        <v>1</v>
      </c>
      <c r="O133" s="9">
        <v>100</v>
      </c>
      <c r="P133" s="9">
        <v>10</v>
      </c>
      <c r="Q133" s="9">
        <v>2</v>
      </c>
      <c r="R133" s="9">
        <v>1</v>
      </c>
      <c r="S133" s="5">
        <v>42741</v>
      </c>
      <c r="T133" s="14">
        <v>0.30208333333333331</v>
      </c>
      <c r="U133" s="5">
        <v>42964</v>
      </c>
      <c r="V133" s="14">
        <v>0.65277777777777779</v>
      </c>
      <c r="W133" s="15">
        <v>28</v>
      </c>
      <c r="X133" s="9">
        <v>1</v>
      </c>
      <c r="Y133" s="5">
        <v>42964</v>
      </c>
      <c r="Z133" s="11">
        <v>0.65347222222222223</v>
      </c>
      <c r="AA133" s="12">
        <v>1</v>
      </c>
    </row>
    <row r="134" spans="1:27">
      <c r="A134" s="2" t="s">
        <v>40</v>
      </c>
      <c r="B134" s="9">
        <f>VLOOKUP(Parameters!A134,Symbols!A$2:B$1000,2,FALSE)</f>
        <v>1E-4</v>
      </c>
      <c r="C134" s="9">
        <v>2</v>
      </c>
      <c r="D134" s="9" t="s">
        <v>34</v>
      </c>
      <c r="E134" s="9"/>
      <c r="F134" s="13">
        <f t="shared" si="11"/>
        <v>0.01</v>
      </c>
      <c r="G134" s="10">
        <v>0.02</v>
      </c>
      <c r="H134" s="10">
        <v>0</v>
      </c>
      <c r="I134" s="10">
        <v>0</v>
      </c>
      <c r="J134" s="10">
        <v>1</v>
      </c>
      <c r="K134" s="10">
        <v>1</v>
      </c>
      <c r="L134" s="10">
        <v>1</v>
      </c>
      <c r="M134" s="10">
        <v>1</v>
      </c>
      <c r="N134" s="9">
        <v>1</v>
      </c>
      <c r="O134" s="9">
        <v>100</v>
      </c>
      <c r="P134" s="9">
        <v>10</v>
      </c>
      <c r="Q134" s="9">
        <v>2</v>
      </c>
      <c r="R134" s="9">
        <v>1</v>
      </c>
      <c r="S134" s="5">
        <v>42741</v>
      </c>
      <c r="T134" s="14">
        <v>0.30208333333333331</v>
      </c>
      <c r="U134" s="5">
        <v>42964</v>
      </c>
      <c r="V134" s="14">
        <v>0.65277777777777779</v>
      </c>
      <c r="W134" s="15">
        <v>28</v>
      </c>
      <c r="X134" s="9">
        <v>1</v>
      </c>
      <c r="Y134" s="5">
        <v>42964</v>
      </c>
      <c r="Z134" s="11">
        <v>0.65347222222222223</v>
      </c>
      <c r="AA134" s="12">
        <v>1</v>
      </c>
    </row>
    <row r="135" spans="1:27">
      <c r="A135" s="2" t="s">
        <v>40</v>
      </c>
      <c r="B135" s="9">
        <f>VLOOKUP(Parameters!A135,Symbols!A$2:B$1000,2,FALSE)</f>
        <v>1E-4</v>
      </c>
      <c r="C135" s="9">
        <v>2</v>
      </c>
      <c r="D135" s="9" t="s">
        <v>34</v>
      </c>
      <c r="E135" s="9"/>
      <c r="F135" s="13">
        <f t="shared" si="11"/>
        <v>0.01</v>
      </c>
      <c r="G135" s="10">
        <v>0.03</v>
      </c>
      <c r="H135" s="10">
        <v>0</v>
      </c>
      <c r="I135" s="10">
        <v>0</v>
      </c>
      <c r="J135" s="10">
        <v>1</v>
      </c>
      <c r="K135" s="10">
        <v>1</v>
      </c>
      <c r="L135" s="10">
        <v>1</v>
      </c>
      <c r="M135" s="10">
        <v>1</v>
      </c>
      <c r="N135" s="9">
        <v>1</v>
      </c>
      <c r="O135" s="9">
        <v>100</v>
      </c>
      <c r="P135" s="9">
        <v>10</v>
      </c>
      <c r="Q135" s="9">
        <v>2</v>
      </c>
      <c r="R135" s="9">
        <v>1</v>
      </c>
      <c r="S135" s="5">
        <v>42741</v>
      </c>
      <c r="T135" s="14">
        <v>0.30208333333333331</v>
      </c>
      <c r="U135" s="5">
        <v>42964</v>
      </c>
      <c r="V135" s="14">
        <v>0.65277777777777779</v>
      </c>
      <c r="W135" s="15">
        <v>28</v>
      </c>
      <c r="X135" s="9">
        <v>1</v>
      </c>
      <c r="Y135" s="5">
        <v>42964</v>
      </c>
      <c r="Z135" s="11">
        <v>0.65347222222222223</v>
      </c>
      <c r="AA135" s="12">
        <v>1</v>
      </c>
    </row>
    <row r="136" spans="1:27">
      <c r="A136" s="2" t="s">
        <v>40</v>
      </c>
      <c r="B136" s="9">
        <f>VLOOKUP(Parameters!A136,Symbols!A$2:B$1000,2,FALSE)</f>
        <v>1E-4</v>
      </c>
      <c r="C136" s="9">
        <v>2</v>
      </c>
      <c r="D136" s="9" t="s">
        <v>34</v>
      </c>
      <c r="E136" s="9"/>
      <c r="F136" s="13">
        <f t="shared" si="11"/>
        <v>0.01</v>
      </c>
      <c r="G136" s="10">
        <v>0.04</v>
      </c>
      <c r="H136" s="10">
        <v>0</v>
      </c>
      <c r="I136" s="10">
        <v>0</v>
      </c>
      <c r="J136" s="10">
        <v>1</v>
      </c>
      <c r="K136" s="10">
        <v>1</v>
      </c>
      <c r="L136" s="10">
        <v>1</v>
      </c>
      <c r="M136" s="10">
        <v>1</v>
      </c>
      <c r="N136" s="9">
        <v>1</v>
      </c>
      <c r="O136" s="9">
        <v>100</v>
      </c>
      <c r="P136" s="9">
        <v>10</v>
      </c>
      <c r="Q136" s="9">
        <v>2</v>
      </c>
      <c r="R136" s="9">
        <v>1</v>
      </c>
      <c r="S136" s="5">
        <v>42741</v>
      </c>
      <c r="T136" s="14">
        <v>0.30208333333333331</v>
      </c>
      <c r="U136" s="5">
        <v>42964</v>
      </c>
      <c r="V136" s="14">
        <v>0.65277777777777779</v>
      </c>
      <c r="W136" s="15">
        <v>28</v>
      </c>
      <c r="X136" s="9">
        <v>1</v>
      </c>
      <c r="Y136" s="5">
        <v>42964</v>
      </c>
      <c r="Z136" s="11">
        <v>0.65347222222222223</v>
      </c>
      <c r="AA136" s="12">
        <v>1</v>
      </c>
    </row>
    <row r="137" spans="1:27">
      <c r="A137" s="2" t="s">
        <v>40</v>
      </c>
      <c r="B137" s="9">
        <f>VLOOKUP(Parameters!A137,Symbols!A$2:B$1000,2,FALSE)</f>
        <v>1E-4</v>
      </c>
      <c r="C137" s="9">
        <v>2</v>
      </c>
      <c r="D137" s="9" t="s">
        <v>34</v>
      </c>
      <c r="E137" s="9"/>
      <c r="F137" s="13">
        <f t="shared" si="11"/>
        <v>0.01</v>
      </c>
      <c r="G137" s="10">
        <v>0.05</v>
      </c>
      <c r="H137" s="10">
        <v>0</v>
      </c>
      <c r="I137" s="10">
        <v>0</v>
      </c>
      <c r="J137" s="10">
        <v>1</v>
      </c>
      <c r="K137" s="10">
        <v>1</v>
      </c>
      <c r="L137" s="10">
        <v>1</v>
      </c>
      <c r="M137" s="10">
        <v>1</v>
      </c>
      <c r="N137" s="9">
        <v>1</v>
      </c>
      <c r="O137" s="9">
        <v>100</v>
      </c>
      <c r="P137" s="9">
        <v>10</v>
      </c>
      <c r="Q137" s="9">
        <v>2</v>
      </c>
      <c r="R137" s="9">
        <v>1</v>
      </c>
      <c r="S137" s="5">
        <v>42741</v>
      </c>
      <c r="T137" s="14">
        <v>0.30208333333333331</v>
      </c>
      <c r="U137" s="5">
        <v>42964</v>
      </c>
      <c r="V137" s="14">
        <v>0.65277777777777779</v>
      </c>
      <c r="W137" s="15">
        <v>28</v>
      </c>
      <c r="X137" s="9">
        <v>1</v>
      </c>
      <c r="Y137" s="5">
        <v>42964</v>
      </c>
      <c r="Z137" s="11">
        <v>0.65347222222222223</v>
      </c>
      <c r="AA137" s="12">
        <v>1</v>
      </c>
    </row>
    <row r="138" spans="1:27">
      <c r="A138" s="2" t="s">
        <v>40</v>
      </c>
      <c r="B138" s="9">
        <f>VLOOKUP(Parameters!A138,Symbols!A$2:B$1000,2,FALSE)</f>
        <v>1E-4</v>
      </c>
      <c r="C138" s="9">
        <v>2</v>
      </c>
      <c r="D138" s="9" t="s">
        <v>34</v>
      </c>
      <c r="E138" s="9"/>
      <c r="F138" s="13">
        <f t="shared" si="11"/>
        <v>0.01</v>
      </c>
      <c r="G138" s="10">
        <v>0.06</v>
      </c>
      <c r="H138" s="10">
        <v>0</v>
      </c>
      <c r="I138" s="10">
        <v>0</v>
      </c>
      <c r="J138" s="10">
        <v>1</v>
      </c>
      <c r="K138" s="10">
        <v>1</v>
      </c>
      <c r="L138" s="10">
        <v>1</v>
      </c>
      <c r="M138" s="10">
        <v>1</v>
      </c>
      <c r="N138" s="9">
        <v>1</v>
      </c>
      <c r="O138" s="9">
        <v>100</v>
      </c>
      <c r="P138" s="9">
        <v>10</v>
      </c>
      <c r="Q138" s="9">
        <v>2</v>
      </c>
      <c r="R138" s="9">
        <v>1</v>
      </c>
      <c r="S138" s="5">
        <v>42741</v>
      </c>
      <c r="T138" s="14">
        <v>0.30208333333333331</v>
      </c>
      <c r="U138" s="5">
        <v>42964</v>
      </c>
      <c r="V138" s="14">
        <v>0.65277777777777779</v>
      </c>
      <c r="W138" s="15">
        <v>28</v>
      </c>
      <c r="X138" s="9">
        <v>1</v>
      </c>
      <c r="Y138" s="5">
        <v>42964</v>
      </c>
      <c r="Z138" s="11">
        <v>0.65347222222222223</v>
      </c>
      <c r="AA138" s="12">
        <v>1</v>
      </c>
    </row>
    <row r="139" spans="1:27">
      <c r="A139" s="2" t="s">
        <v>40</v>
      </c>
      <c r="B139" s="9">
        <f>VLOOKUP(Parameters!A139,Symbols!A$2:B$1000,2,FALSE)</f>
        <v>1E-4</v>
      </c>
      <c r="C139" s="9">
        <v>2</v>
      </c>
      <c r="D139" s="9" t="s">
        <v>34</v>
      </c>
      <c r="E139" s="9"/>
      <c r="F139" s="13">
        <f t="shared" si="11"/>
        <v>0.01</v>
      </c>
      <c r="G139" s="10">
        <v>7.0000000000000007E-2</v>
      </c>
      <c r="H139" s="10">
        <v>0</v>
      </c>
      <c r="I139" s="10">
        <v>0</v>
      </c>
      <c r="J139" s="10">
        <v>1</v>
      </c>
      <c r="K139" s="10">
        <v>1</v>
      </c>
      <c r="L139" s="10">
        <v>1</v>
      </c>
      <c r="M139" s="10">
        <v>1</v>
      </c>
      <c r="N139" s="9">
        <v>1</v>
      </c>
      <c r="O139" s="9">
        <v>100</v>
      </c>
      <c r="P139" s="9">
        <v>10</v>
      </c>
      <c r="Q139" s="9">
        <v>2</v>
      </c>
      <c r="R139" s="9">
        <v>1</v>
      </c>
      <c r="S139" s="5">
        <v>42741</v>
      </c>
      <c r="T139" s="14">
        <v>0.30208333333333331</v>
      </c>
      <c r="U139" s="5">
        <v>42964</v>
      </c>
      <c r="V139" s="14">
        <v>0.65277777777777779</v>
      </c>
      <c r="W139" s="15">
        <v>28</v>
      </c>
      <c r="X139" s="9">
        <v>1</v>
      </c>
      <c r="Y139" s="5">
        <v>42964</v>
      </c>
      <c r="Z139" s="11">
        <v>0.65347222222222223</v>
      </c>
      <c r="AA139" s="12">
        <v>1</v>
      </c>
    </row>
    <row r="140" spans="1:27">
      <c r="A140" s="2" t="s">
        <v>40</v>
      </c>
      <c r="B140" s="9">
        <f>VLOOKUP(Parameters!A140,Symbols!A$2:B$1000,2,FALSE)</f>
        <v>1E-4</v>
      </c>
      <c r="C140" s="9">
        <v>2</v>
      </c>
      <c r="D140" s="9" t="s">
        <v>34</v>
      </c>
      <c r="E140" s="9"/>
      <c r="F140" s="13">
        <f t="shared" si="11"/>
        <v>0.01</v>
      </c>
      <c r="G140" s="10">
        <v>0.08</v>
      </c>
      <c r="H140" s="10">
        <v>0</v>
      </c>
      <c r="I140" s="10">
        <v>0</v>
      </c>
      <c r="J140" s="10">
        <v>1</v>
      </c>
      <c r="K140" s="10">
        <v>1</v>
      </c>
      <c r="L140" s="10">
        <v>1</v>
      </c>
      <c r="M140" s="10">
        <v>1</v>
      </c>
      <c r="N140" s="9">
        <v>1</v>
      </c>
      <c r="O140" s="9">
        <v>100</v>
      </c>
      <c r="P140" s="9">
        <v>10</v>
      </c>
      <c r="Q140" s="9">
        <v>2</v>
      </c>
      <c r="R140" s="9">
        <v>1</v>
      </c>
      <c r="S140" s="5">
        <v>42741</v>
      </c>
      <c r="T140" s="14">
        <v>0.30208333333333331</v>
      </c>
      <c r="U140" s="5">
        <v>42964</v>
      </c>
      <c r="V140" s="14">
        <v>0.65277777777777779</v>
      </c>
      <c r="W140" s="15">
        <v>28</v>
      </c>
      <c r="X140" s="9">
        <v>1</v>
      </c>
      <c r="Y140" s="5">
        <v>42964</v>
      </c>
      <c r="Z140" s="11">
        <v>0.65347222222222223</v>
      </c>
      <c r="AA140" s="12">
        <v>1</v>
      </c>
    </row>
    <row r="141" spans="1:27">
      <c r="A141" s="2" t="s">
        <v>40</v>
      </c>
      <c r="B141" s="9">
        <f>VLOOKUP(Parameters!A141,Symbols!A$2:B$1000,2,FALSE)</f>
        <v>1E-4</v>
      </c>
      <c r="C141" s="9">
        <v>2</v>
      </c>
      <c r="D141" s="9" t="s">
        <v>34</v>
      </c>
      <c r="E141" s="9"/>
      <c r="F141" s="13">
        <f t="shared" si="11"/>
        <v>0.01</v>
      </c>
      <c r="G141" s="10">
        <v>0.09</v>
      </c>
      <c r="H141" s="10">
        <v>0</v>
      </c>
      <c r="I141" s="10">
        <v>0</v>
      </c>
      <c r="J141" s="10">
        <v>1</v>
      </c>
      <c r="K141" s="10">
        <v>1</v>
      </c>
      <c r="L141" s="10">
        <v>1</v>
      </c>
      <c r="M141" s="10">
        <v>1</v>
      </c>
      <c r="N141" s="9">
        <v>1</v>
      </c>
      <c r="O141" s="9">
        <v>100</v>
      </c>
      <c r="P141" s="9">
        <v>10</v>
      </c>
      <c r="Q141" s="9">
        <v>2</v>
      </c>
      <c r="R141" s="9">
        <v>1</v>
      </c>
      <c r="S141" s="5">
        <v>42741</v>
      </c>
      <c r="T141" s="14">
        <v>0.30208333333333331</v>
      </c>
      <c r="U141" s="5">
        <v>42964</v>
      </c>
      <c r="V141" s="14">
        <v>0.65277777777777779</v>
      </c>
      <c r="W141" s="15">
        <v>28</v>
      </c>
      <c r="X141" s="9">
        <v>1</v>
      </c>
      <c r="Y141" s="5">
        <v>42964</v>
      </c>
      <c r="Z141" s="11">
        <v>0.65347222222222223</v>
      </c>
      <c r="AA141" s="12">
        <v>1</v>
      </c>
    </row>
    <row r="142" spans="1:27">
      <c r="A142" s="12"/>
      <c r="B142" s="12"/>
      <c r="C142" s="12"/>
      <c r="D142" s="12"/>
      <c r="E142" s="9"/>
      <c r="F142" s="9"/>
      <c r="G142" s="10"/>
      <c r="H142" s="10"/>
      <c r="J142" s="10"/>
      <c r="K142" s="10"/>
      <c r="L142" s="10"/>
      <c r="M142" s="10"/>
      <c r="N142" s="9"/>
      <c r="O142" s="9"/>
      <c r="P142" s="9"/>
      <c r="Q142" s="9"/>
      <c r="R142" s="7"/>
      <c r="T142" s="6"/>
      <c r="V142" s="6"/>
      <c r="W142" s="8"/>
      <c r="X142" s="7"/>
      <c r="Y142" s="5"/>
      <c r="Z142" s="11"/>
      <c r="AA142" s="12"/>
    </row>
    <row r="143" spans="1:27">
      <c r="A143" s="12"/>
      <c r="B143" s="12"/>
      <c r="C143" s="12"/>
      <c r="D143" s="12"/>
      <c r="E143" s="9"/>
      <c r="F143" s="9"/>
      <c r="G143" s="10"/>
      <c r="H143" s="10"/>
      <c r="J143" s="10"/>
      <c r="K143" s="10"/>
      <c r="L143" s="10"/>
      <c r="M143" s="10"/>
      <c r="N143" s="9"/>
      <c r="O143" s="9"/>
      <c r="P143" s="9"/>
      <c r="Q143" s="9"/>
      <c r="R143" s="7"/>
      <c r="T143" s="6"/>
      <c r="V143" s="6"/>
      <c r="W143" s="8"/>
      <c r="X143" s="7"/>
      <c r="Y143" s="5"/>
      <c r="Z143" s="11"/>
      <c r="AA143" s="12"/>
    </row>
    <row r="144" spans="1:27">
      <c r="A144" s="12"/>
      <c r="B144" s="12"/>
      <c r="C144" s="12"/>
      <c r="D144" s="12"/>
      <c r="E144" s="9"/>
      <c r="F144" s="9"/>
      <c r="G144" s="10"/>
      <c r="H144" s="10"/>
      <c r="J144" s="10"/>
      <c r="K144" s="10"/>
      <c r="L144" s="10"/>
      <c r="M144" s="10"/>
      <c r="N144" s="9"/>
      <c r="O144" s="9"/>
      <c r="P144" s="9"/>
      <c r="Q144" s="9"/>
      <c r="R144" s="7"/>
      <c r="T144" s="6"/>
      <c r="V144" s="6"/>
      <c r="W144" s="8"/>
      <c r="X144" s="7"/>
      <c r="Y144" s="5"/>
      <c r="Z144" s="11"/>
      <c r="AA144" s="12"/>
    </row>
    <row r="145" spans="1:27">
      <c r="A145" s="12"/>
      <c r="B145" s="12"/>
      <c r="C145" s="12"/>
      <c r="D145" s="12"/>
      <c r="E145" s="9"/>
      <c r="F145" s="9"/>
      <c r="G145" s="10"/>
      <c r="H145" s="10"/>
      <c r="J145" s="10"/>
      <c r="K145" s="10"/>
      <c r="L145" s="10"/>
      <c r="M145" s="10"/>
      <c r="N145" s="9"/>
      <c r="O145" s="9"/>
      <c r="P145" s="9"/>
      <c r="Q145" s="9"/>
      <c r="R145" s="7"/>
      <c r="T145" s="6"/>
      <c r="V145" s="6"/>
      <c r="W145" s="8"/>
      <c r="X145" s="7"/>
      <c r="Y145" s="5"/>
      <c r="Z145" s="11"/>
      <c r="AA145" s="12"/>
    </row>
    <row r="146" spans="1:27">
      <c r="A146" s="12"/>
      <c r="B146" s="12"/>
      <c r="C146" s="12"/>
      <c r="D146" s="12"/>
      <c r="E146" s="9"/>
      <c r="F146" s="9"/>
      <c r="G146" s="10"/>
      <c r="H146" s="10"/>
      <c r="J146" s="10"/>
      <c r="K146" s="10"/>
      <c r="L146" s="10"/>
      <c r="M146" s="10"/>
      <c r="N146" s="9"/>
      <c r="O146" s="9"/>
      <c r="P146" s="9"/>
      <c r="Q146" s="9"/>
      <c r="R146" s="7"/>
      <c r="T146" s="6"/>
      <c r="V146" s="6"/>
      <c r="W146" s="8"/>
      <c r="X146" s="7"/>
      <c r="Y146" s="5"/>
      <c r="Z146" s="11"/>
      <c r="AA146" s="12"/>
    </row>
    <row r="147" spans="1:27">
      <c r="A147" s="12"/>
      <c r="B147" s="12"/>
      <c r="C147" s="12"/>
      <c r="D147" s="12"/>
      <c r="E147" s="9"/>
      <c r="F147" s="9"/>
      <c r="G147" s="10"/>
      <c r="H147" s="10"/>
      <c r="J147" s="10"/>
      <c r="K147" s="10"/>
      <c r="L147" s="10"/>
      <c r="M147" s="10"/>
      <c r="N147" s="9"/>
      <c r="O147" s="9"/>
      <c r="P147" s="9"/>
      <c r="Q147" s="9"/>
      <c r="R147" s="7"/>
      <c r="T147" s="6"/>
      <c r="V147" s="6"/>
      <c r="W147" s="8"/>
      <c r="X147" s="7"/>
      <c r="Y147" s="5"/>
      <c r="Z147" s="11"/>
      <c r="AA147" s="12"/>
    </row>
    <row r="148" spans="1:27">
      <c r="A148" s="12"/>
      <c r="B148" s="12"/>
      <c r="C148" s="12"/>
      <c r="D148" s="12"/>
      <c r="E148" s="9"/>
      <c r="F148" s="9"/>
      <c r="G148" s="10"/>
      <c r="H148" s="10"/>
      <c r="J148" s="10"/>
      <c r="K148" s="10"/>
      <c r="L148" s="10"/>
      <c r="M148" s="10"/>
      <c r="N148" s="9"/>
      <c r="O148" s="9"/>
      <c r="P148" s="9"/>
      <c r="Q148" s="9"/>
      <c r="R148" s="7"/>
      <c r="T148" s="6"/>
      <c r="V148" s="6"/>
      <c r="W148" s="8"/>
      <c r="X148" s="7"/>
      <c r="Y148" s="5"/>
      <c r="Z148" s="11"/>
      <c r="AA148" s="12"/>
    </row>
    <row r="149" spans="1:27">
      <c r="A149" s="12"/>
      <c r="B149" s="12"/>
      <c r="C149" s="12"/>
      <c r="D149" s="12"/>
      <c r="E149" s="9"/>
      <c r="F149" s="9"/>
      <c r="G149" s="10"/>
      <c r="H149" s="10"/>
      <c r="J149" s="10"/>
      <c r="K149" s="10"/>
      <c r="L149" s="10"/>
      <c r="M149" s="10"/>
      <c r="N149" s="9"/>
      <c r="O149" s="9"/>
      <c r="P149" s="9"/>
      <c r="Q149" s="9"/>
      <c r="R149" s="7"/>
      <c r="T149" s="6"/>
      <c r="V149" s="6"/>
      <c r="W149" s="8"/>
      <c r="X149" s="7"/>
      <c r="Y149" s="5"/>
      <c r="Z149" s="11"/>
      <c r="AA149" s="12"/>
    </row>
    <row r="150" spans="1:27">
      <c r="A150" s="12"/>
      <c r="B150" s="12"/>
      <c r="C150" s="12"/>
      <c r="D150" s="12"/>
      <c r="E150" s="9"/>
      <c r="F150" s="9"/>
      <c r="G150" s="10"/>
      <c r="H150" s="10"/>
      <c r="J150" s="10"/>
      <c r="K150" s="10"/>
      <c r="L150" s="10"/>
      <c r="M150" s="10"/>
      <c r="N150" s="9"/>
      <c r="O150" s="9"/>
      <c r="P150" s="9"/>
      <c r="Q150" s="9"/>
      <c r="R150" s="7"/>
      <c r="T150" s="6"/>
      <c r="V150" s="6"/>
      <c r="W150" s="8"/>
      <c r="X150" s="7"/>
      <c r="Y150" s="5"/>
      <c r="Z150" s="11"/>
      <c r="AA150" s="12"/>
    </row>
    <row r="151" spans="1:27">
      <c r="A151" s="12"/>
      <c r="B151" s="12"/>
      <c r="C151" s="12"/>
      <c r="D151" s="12"/>
      <c r="E151" s="9"/>
      <c r="F151" s="9"/>
      <c r="G151" s="10"/>
      <c r="H151" s="10"/>
      <c r="J151" s="10"/>
      <c r="K151" s="10"/>
      <c r="L151" s="10"/>
      <c r="M151" s="10"/>
      <c r="N151" s="9"/>
      <c r="O151" s="9"/>
      <c r="P151" s="9"/>
      <c r="Q151" s="9"/>
      <c r="R151" s="7"/>
      <c r="T151" s="6"/>
      <c r="V151" s="6"/>
      <c r="W151" s="8"/>
      <c r="X151" s="7"/>
      <c r="Y151" s="5"/>
      <c r="Z151" s="11"/>
      <c r="AA151" s="12"/>
    </row>
    <row r="152" spans="1:27">
      <c r="A152" s="12"/>
      <c r="B152" s="12"/>
      <c r="C152" s="12"/>
      <c r="D152" s="12"/>
      <c r="E152" s="9"/>
      <c r="F152" s="9"/>
      <c r="G152" s="10"/>
      <c r="H152" s="10"/>
      <c r="J152" s="10"/>
      <c r="K152" s="10"/>
      <c r="L152" s="10"/>
      <c r="M152" s="10"/>
      <c r="N152" s="9"/>
      <c r="O152" s="9"/>
      <c r="P152" s="9"/>
      <c r="Q152" s="9"/>
      <c r="R152" s="7"/>
      <c r="T152" s="6"/>
      <c r="V152" s="6"/>
      <c r="W152" s="8"/>
      <c r="X152" s="7"/>
      <c r="Y152" s="5"/>
      <c r="Z152" s="11"/>
      <c r="AA152" s="12"/>
    </row>
    <row r="153" spans="1:27">
      <c r="A153" s="12"/>
      <c r="B153" s="12"/>
      <c r="C153" s="12"/>
      <c r="D153" s="12"/>
      <c r="E153" s="9"/>
      <c r="F153" s="9"/>
      <c r="G153" s="10"/>
      <c r="H153" s="10"/>
      <c r="J153" s="10"/>
      <c r="K153" s="10"/>
      <c r="L153" s="10"/>
      <c r="M153" s="10"/>
      <c r="N153" s="9"/>
      <c r="O153" s="9"/>
      <c r="P153" s="9"/>
      <c r="Q153" s="9"/>
      <c r="R153" s="7"/>
      <c r="T153" s="6"/>
      <c r="V153" s="6"/>
      <c r="W153" s="8"/>
      <c r="X153" s="7"/>
      <c r="Y153" s="5"/>
      <c r="Z153" s="11"/>
      <c r="AA153" s="12"/>
    </row>
    <row r="154" spans="1:27">
      <c r="A154" s="12"/>
      <c r="B154" s="12"/>
      <c r="C154" s="12"/>
      <c r="D154" s="12"/>
      <c r="E154" s="9"/>
      <c r="F154" s="9"/>
      <c r="G154" s="10"/>
      <c r="H154" s="10"/>
      <c r="J154" s="10"/>
      <c r="K154" s="10"/>
      <c r="L154" s="10"/>
      <c r="M154" s="10"/>
      <c r="N154" s="9"/>
      <c r="O154" s="9"/>
      <c r="P154" s="9"/>
      <c r="Q154" s="9"/>
      <c r="R154" s="7"/>
      <c r="T154" s="6"/>
      <c r="V154" s="6"/>
      <c r="W154" s="8"/>
      <c r="X154" s="7"/>
      <c r="Y154" s="5"/>
      <c r="Z154" s="11"/>
      <c r="AA154" s="12"/>
    </row>
    <row r="155" spans="1:27">
      <c r="A155" s="12"/>
      <c r="B155" s="12"/>
      <c r="C155" s="12"/>
      <c r="D155" s="12"/>
      <c r="E155" s="9"/>
      <c r="F155" s="9"/>
      <c r="G155" s="10"/>
      <c r="H155" s="10"/>
      <c r="J155" s="10"/>
      <c r="K155" s="10"/>
      <c r="L155" s="10"/>
      <c r="M155" s="10"/>
      <c r="N155" s="9"/>
      <c r="O155" s="9"/>
      <c r="P155" s="9"/>
      <c r="Q155" s="9"/>
      <c r="R155" s="7"/>
      <c r="T155" s="6"/>
      <c r="V155" s="6"/>
      <c r="W155" s="8"/>
      <c r="X155" s="7"/>
      <c r="Y155" s="5"/>
      <c r="Z155" s="11"/>
      <c r="AA155" s="12"/>
    </row>
    <row r="156" spans="1:27">
      <c r="A156" s="12"/>
      <c r="B156" s="12"/>
      <c r="C156" s="12"/>
      <c r="D156" s="12"/>
      <c r="E156" s="9"/>
      <c r="F156" s="9"/>
      <c r="G156" s="10"/>
      <c r="H156" s="10"/>
      <c r="J156" s="10"/>
      <c r="K156" s="10"/>
      <c r="L156" s="10"/>
      <c r="M156" s="10"/>
      <c r="N156" s="9"/>
      <c r="O156" s="9"/>
      <c r="P156" s="9"/>
      <c r="Q156" s="9"/>
      <c r="R156" s="7"/>
      <c r="T156" s="6"/>
      <c r="V156" s="6"/>
      <c r="W156" s="8"/>
      <c r="X156" s="7"/>
      <c r="Y156" s="5"/>
      <c r="Z156" s="11"/>
      <c r="AA156" s="12"/>
    </row>
    <row r="157" spans="1:27">
      <c r="A157" s="12"/>
      <c r="B157" s="12"/>
      <c r="C157" s="12"/>
      <c r="D157" s="12"/>
      <c r="E157" s="9"/>
      <c r="F157" s="9"/>
      <c r="G157" s="10"/>
      <c r="H157" s="10"/>
      <c r="J157" s="10"/>
      <c r="K157" s="10"/>
      <c r="L157" s="10"/>
      <c r="M157" s="10"/>
      <c r="N157" s="9"/>
      <c r="O157" s="9"/>
      <c r="P157" s="9"/>
      <c r="Q157" s="9"/>
      <c r="R157" s="7"/>
      <c r="T157" s="6"/>
      <c r="V157" s="6"/>
      <c r="W157" s="8"/>
      <c r="X157" s="7"/>
      <c r="Y157" s="5"/>
      <c r="Z157" s="11"/>
      <c r="AA157" s="12"/>
    </row>
    <row r="158" spans="1:27">
      <c r="A158" s="12"/>
      <c r="B158" s="12"/>
      <c r="C158" s="12"/>
      <c r="D158" s="12"/>
      <c r="E158" s="9"/>
      <c r="F158" s="9"/>
      <c r="G158" s="10"/>
      <c r="H158" s="10"/>
      <c r="J158" s="10"/>
      <c r="K158" s="10"/>
      <c r="L158" s="10"/>
      <c r="M158" s="10"/>
      <c r="N158" s="9"/>
      <c r="O158" s="9"/>
      <c r="P158" s="9"/>
      <c r="Q158" s="9"/>
      <c r="R158" s="7"/>
      <c r="T158" s="6"/>
      <c r="V158" s="6"/>
      <c r="W158" s="8"/>
      <c r="X158" s="7"/>
      <c r="Y158" s="5"/>
      <c r="Z158" s="11"/>
      <c r="AA158" s="12"/>
    </row>
    <row r="159" spans="1:27">
      <c r="A159" s="12"/>
      <c r="B159" s="12"/>
      <c r="C159" s="12"/>
      <c r="D159" s="12"/>
      <c r="E159" s="9"/>
      <c r="F159" s="9"/>
      <c r="G159" s="10"/>
      <c r="H159" s="10"/>
      <c r="J159" s="10"/>
      <c r="K159" s="10"/>
      <c r="L159" s="10"/>
      <c r="M159" s="10"/>
      <c r="N159" s="9"/>
      <c r="O159" s="9"/>
      <c r="P159" s="9"/>
      <c r="Q159" s="9"/>
      <c r="R159" s="7"/>
      <c r="T159" s="6"/>
      <c r="V159" s="6"/>
      <c r="W159" s="8"/>
      <c r="X159" s="7"/>
      <c r="Y159" s="5"/>
      <c r="Z159" s="11"/>
      <c r="AA159" s="12"/>
    </row>
    <row r="160" spans="1:27">
      <c r="A160" s="12"/>
      <c r="B160" s="12"/>
      <c r="C160" s="12"/>
      <c r="D160" s="12"/>
      <c r="E160" s="9"/>
      <c r="F160" s="9"/>
      <c r="G160" s="10"/>
      <c r="H160" s="10"/>
      <c r="J160" s="10"/>
      <c r="K160" s="10"/>
      <c r="L160" s="10"/>
      <c r="M160" s="10"/>
      <c r="N160" s="9"/>
      <c r="O160" s="9"/>
      <c r="P160" s="9"/>
      <c r="Q160" s="9"/>
      <c r="R160" s="7"/>
      <c r="T160" s="6"/>
      <c r="V160" s="6"/>
      <c r="W160" s="8"/>
      <c r="X160" s="7"/>
      <c r="Y160" s="5"/>
      <c r="Z160" s="11"/>
      <c r="AA160" s="12"/>
    </row>
    <row r="161" spans="1:27">
      <c r="A161" s="12"/>
      <c r="B161" s="12"/>
      <c r="C161" s="12"/>
      <c r="D161" s="12"/>
      <c r="E161" s="9"/>
      <c r="F161" s="9"/>
      <c r="G161" s="10"/>
      <c r="H161" s="10"/>
      <c r="J161" s="10"/>
      <c r="K161" s="10"/>
      <c r="L161" s="10"/>
      <c r="M161" s="10"/>
      <c r="N161" s="9"/>
      <c r="O161" s="9"/>
      <c r="P161" s="9"/>
      <c r="Q161" s="9"/>
      <c r="R161" s="7"/>
      <c r="T161" s="6"/>
      <c r="V161" s="6"/>
      <c r="W161" s="8"/>
      <c r="X161" s="7"/>
      <c r="Y161" s="5"/>
      <c r="Z161" s="11"/>
      <c r="AA161" s="12"/>
    </row>
    <row r="162" spans="1:27">
      <c r="A162" s="12"/>
      <c r="B162" s="12"/>
      <c r="C162" s="12"/>
      <c r="D162" s="12"/>
      <c r="E162" s="9"/>
      <c r="F162" s="9"/>
      <c r="G162" s="10"/>
      <c r="H162" s="10"/>
      <c r="J162" s="10"/>
      <c r="K162" s="10"/>
      <c r="L162" s="10"/>
      <c r="M162" s="10"/>
      <c r="N162" s="9"/>
      <c r="O162" s="9"/>
      <c r="P162" s="9"/>
      <c r="Q162" s="9"/>
      <c r="R162" s="7"/>
      <c r="T162" s="6"/>
      <c r="V162" s="6"/>
      <c r="W162" s="8"/>
      <c r="X162" s="7"/>
      <c r="Y162" s="5"/>
      <c r="Z162" s="11"/>
      <c r="AA162" s="12"/>
    </row>
    <row r="163" spans="1:27">
      <c r="A163" s="12"/>
      <c r="B163" s="12"/>
      <c r="C163" s="12"/>
      <c r="D163" s="12"/>
      <c r="E163" s="9"/>
      <c r="F163" s="9"/>
      <c r="G163" s="10"/>
      <c r="H163" s="10"/>
      <c r="J163" s="10"/>
      <c r="K163" s="10"/>
      <c r="L163" s="10"/>
      <c r="M163" s="10"/>
      <c r="N163" s="9"/>
      <c r="O163" s="9"/>
      <c r="P163" s="9"/>
      <c r="Q163" s="9"/>
      <c r="R163" s="7"/>
      <c r="T163" s="6"/>
      <c r="V163" s="6"/>
      <c r="W163" s="8"/>
      <c r="X163" s="7"/>
      <c r="Y163" s="5"/>
      <c r="Z163" s="11"/>
      <c r="AA163" s="12"/>
    </row>
    <row r="164" spans="1:27">
      <c r="A164" s="12"/>
      <c r="B164" s="12"/>
      <c r="C164" s="12"/>
      <c r="D164" s="12"/>
      <c r="E164" s="9"/>
      <c r="F164" s="9"/>
      <c r="G164" s="10"/>
      <c r="H164" s="10"/>
      <c r="J164" s="10"/>
      <c r="K164" s="10"/>
      <c r="L164" s="10"/>
      <c r="M164" s="10"/>
      <c r="N164" s="9"/>
      <c r="O164" s="9"/>
      <c r="P164" s="9"/>
      <c r="Q164" s="9"/>
      <c r="R164" s="7"/>
      <c r="T164" s="6"/>
      <c r="V164" s="6"/>
      <c r="W164" s="8"/>
      <c r="X164" s="7"/>
      <c r="Y164" s="5"/>
      <c r="Z164" s="11"/>
      <c r="AA164" s="12"/>
    </row>
    <row r="165" spans="1:27">
      <c r="A165" s="12"/>
      <c r="B165" s="12"/>
      <c r="C165" s="12"/>
      <c r="D165" s="12"/>
      <c r="E165" s="9"/>
      <c r="F165" s="9"/>
      <c r="G165" s="10"/>
      <c r="H165" s="10"/>
      <c r="J165" s="10"/>
      <c r="K165" s="10"/>
      <c r="L165" s="10"/>
      <c r="M165" s="10"/>
      <c r="N165" s="9"/>
      <c r="O165" s="9"/>
      <c r="P165" s="9"/>
      <c r="Q165" s="9"/>
      <c r="R165" s="7"/>
      <c r="T165" s="6"/>
      <c r="V165" s="6"/>
      <c r="W165" s="8"/>
      <c r="X165" s="7"/>
      <c r="Y165" s="5"/>
      <c r="Z165" s="11"/>
      <c r="AA165" s="12"/>
    </row>
    <row r="166" spans="1:27">
      <c r="A166" s="12"/>
      <c r="B166" s="12"/>
      <c r="C166" s="12"/>
      <c r="D166" s="12"/>
      <c r="E166" s="9"/>
      <c r="F166" s="9"/>
      <c r="G166" s="10"/>
      <c r="H166" s="10"/>
      <c r="J166" s="10"/>
      <c r="K166" s="10"/>
      <c r="L166" s="10"/>
      <c r="M166" s="10"/>
      <c r="N166" s="9"/>
      <c r="O166" s="9"/>
      <c r="P166" s="9"/>
      <c r="Q166" s="9"/>
      <c r="R166" s="7"/>
      <c r="T166" s="6"/>
      <c r="V166" s="6"/>
      <c r="W166" s="8"/>
      <c r="X166" s="7"/>
      <c r="Y166" s="5"/>
      <c r="Z166" s="6"/>
      <c r="AA166" s="12"/>
    </row>
    <row r="167" spans="1:27">
      <c r="A167" s="12"/>
      <c r="B167" s="12"/>
      <c r="C167" s="12"/>
      <c r="D167" s="12"/>
      <c r="E167" s="9"/>
      <c r="F167" s="9"/>
      <c r="G167" s="10"/>
      <c r="H167" s="10"/>
      <c r="J167" s="10"/>
      <c r="K167" s="10"/>
      <c r="L167" s="10"/>
      <c r="M167" s="10"/>
      <c r="N167" s="9"/>
      <c r="O167" s="9"/>
      <c r="P167" s="9"/>
      <c r="Q167" s="9"/>
      <c r="R167" s="7"/>
      <c r="T167" s="6"/>
      <c r="V167" s="6"/>
      <c r="W167" s="8"/>
      <c r="X167" s="7"/>
      <c r="Y167" s="5"/>
      <c r="Z167" s="11"/>
      <c r="AA167" s="12"/>
    </row>
    <row r="168" spans="1:27">
      <c r="A168" s="12"/>
      <c r="B168" s="12"/>
      <c r="C168" s="12"/>
      <c r="D168" s="12"/>
      <c r="E168" s="9"/>
      <c r="F168" s="9"/>
      <c r="G168" s="10"/>
      <c r="H168" s="10"/>
      <c r="J168" s="10"/>
      <c r="K168" s="10"/>
      <c r="L168" s="10"/>
      <c r="M168" s="10"/>
      <c r="N168" s="9"/>
      <c r="O168" s="9"/>
      <c r="P168" s="9"/>
      <c r="Q168" s="9"/>
      <c r="R168" s="7"/>
      <c r="T168" s="6"/>
      <c r="V168" s="6"/>
      <c r="W168" s="8"/>
      <c r="X168" s="7"/>
      <c r="Y168" s="5"/>
      <c r="Z168" s="11"/>
      <c r="AA168" s="12"/>
    </row>
    <row r="169" spans="1:27">
      <c r="A169" s="12"/>
      <c r="B169" s="12"/>
      <c r="C169" s="12"/>
      <c r="D169" s="12"/>
      <c r="E169" s="9"/>
      <c r="F169" s="9"/>
      <c r="G169" s="10"/>
      <c r="H169" s="10"/>
      <c r="J169" s="10"/>
      <c r="K169" s="10"/>
      <c r="L169" s="10"/>
      <c r="M169" s="10"/>
      <c r="N169" s="9"/>
      <c r="O169" s="9"/>
      <c r="P169" s="9"/>
      <c r="Q169" s="9"/>
      <c r="R169" s="7"/>
      <c r="T169" s="6"/>
      <c r="V169" s="6"/>
      <c r="W169" s="8"/>
      <c r="X169" s="7"/>
      <c r="Y169" s="5"/>
      <c r="Z169" s="11"/>
      <c r="AA169" s="12"/>
    </row>
    <row r="170" spans="1:27">
      <c r="A170" s="12"/>
      <c r="B170" s="12"/>
      <c r="C170" s="12"/>
      <c r="D170" s="12"/>
      <c r="E170" s="9"/>
      <c r="F170" s="9"/>
      <c r="G170" s="10"/>
      <c r="H170" s="10"/>
      <c r="J170" s="10"/>
      <c r="K170" s="10"/>
      <c r="L170" s="10"/>
      <c r="M170" s="10"/>
      <c r="N170" s="9"/>
      <c r="O170" s="9"/>
      <c r="P170" s="9"/>
      <c r="Q170" s="9"/>
      <c r="R170" s="7"/>
      <c r="T170" s="6"/>
      <c r="V170" s="6"/>
      <c r="W170" s="8"/>
      <c r="X170" s="7"/>
      <c r="Y170" s="5"/>
      <c r="Z170" s="11"/>
      <c r="AA170" s="12"/>
    </row>
    <row r="171" spans="1:27">
      <c r="A171" s="12"/>
      <c r="B171" s="12"/>
      <c r="C171" s="12"/>
      <c r="D171" s="12"/>
      <c r="E171" s="9"/>
      <c r="F171" s="9"/>
      <c r="G171" s="10"/>
      <c r="H171" s="10"/>
      <c r="J171" s="10"/>
      <c r="K171" s="10"/>
      <c r="L171" s="10"/>
      <c r="M171" s="10"/>
      <c r="N171" s="9"/>
      <c r="O171" s="9"/>
      <c r="P171" s="9"/>
      <c r="Q171" s="9"/>
      <c r="R171" s="7"/>
      <c r="T171" s="6"/>
      <c r="V171" s="6"/>
      <c r="W171" s="8"/>
      <c r="X171" s="7"/>
      <c r="Y171" s="5"/>
      <c r="Z171" s="11"/>
      <c r="AA171" s="12"/>
    </row>
    <row r="172" spans="1:27">
      <c r="A172" s="12"/>
      <c r="B172" s="12"/>
      <c r="C172" s="12"/>
      <c r="D172" s="12"/>
      <c r="E172" s="9"/>
      <c r="F172" s="9"/>
      <c r="G172" s="10"/>
      <c r="H172" s="10"/>
      <c r="J172" s="10"/>
      <c r="K172" s="10"/>
      <c r="L172" s="10"/>
      <c r="M172" s="10"/>
      <c r="N172" s="9"/>
      <c r="O172" s="9"/>
      <c r="P172" s="9"/>
      <c r="Q172" s="9"/>
      <c r="R172" s="7"/>
      <c r="T172" s="6"/>
      <c r="V172" s="6"/>
      <c r="W172" s="8"/>
      <c r="X172" s="7"/>
      <c r="Y172" s="5"/>
      <c r="Z172" s="11"/>
      <c r="AA172" s="12"/>
    </row>
    <row r="173" spans="1:27">
      <c r="A173" s="12"/>
      <c r="B173" s="12"/>
      <c r="C173" s="12"/>
      <c r="D173" s="12"/>
      <c r="E173" s="9"/>
      <c r="F173" s="9"/>
      <c r="G173" s="10"/>
      <c r="H173" s="10"/>
      <c r="J173" s="10"/>
      <c r="K173" s="10"/>
      <c r="L173" s="10"/>
      <c r="M173" s="10"/>
      <c r="N173" s="9"/>
      <c r="O173" s="9"/>
      <c r="P173" s="9"/>
      <c r="Q173" s="9"/>
      <c r="R173" s="7"/>
      <c r="T173" s="6"/>
      <c r="V173" s="6"/>
      <c r="W173" s="8"/>
      <c r="X173" s="7"/>
      <c r="Y173" s="5"/>
      <c r="Z173" s="11"/>
      <c r="AA173" s="12"/>
    </row>
    <row r="174" spans="1:27">
      <c r="A174" s="12"/>
      <c r="B174" s="12"/>
      <c r="C174" s="12"/>
      <c r="D174" s="12"/>
      <c r="E174" s="9"/>
      <c r="F174" s="9"/>
      <c r="G174" s="10"/>
      <c r="H174" s="10"/>
      <c r="J174" s="10"/>
      <c r="K174" s="10"/>
      <c r="L174" s="10"/>
      <c r="M174" s="10"/>
      <c r="N174" s="9"/>
      <c r="O174" s="9"/>
      <c r="P174" s="9"/>
      <c r="Q174" s="9"/>
      <c r="R174" s="7"/>
      <c r="T174" s="6"/>
      <c r="V174" s="6"/>
      <c r="W174" s="8"/>
      <c r="X174" s="7"/>
      <c r="Y174" s="5"/>
      <c r="Z174" s="11"/>
      <c r="AA174" s="12"/>
    </row>
    <row r="175" spans="1:27" s="7" customFormat="1">
      <c r="G175" s="8"/>
      <c r="H175" s="8"/>
      <c r="I175" s="8"/>
      <c r="J175" s="8"/>
      <c r="K175" s="8"/>
      <c r="L175" s="8"/>
      <c r="M175" s="8"/>
      <c r="S175" s="5"/>
      <c r="T175" s="6"/>
      <c r="U175" s="5"/>
      <c r="V175" s="6"/>
      <c r="W175" s="8"/>
    </row>
    <row r="176" spans="1:27" s="7" customFormat="1">
      <c r="G176" s="8"/>
      <c r="H176" s="8"/>
      <c r="I176" s="8"/>
      <c r="J176" s="8"/>
      <c r="K176" s="8"/>
      <c r="L176" s="8"/>
      <c r="M176" s="8"/>
      <c r="S176" s="5"/>
      <c r="T176" s="6"/>
      <c r="U176" s="5"/>
      <c r="V176" s="6"/>
      <c r="W176" s="8"/>
    </row>
    <row r="177" spans="7:23" s="7" customFormat="1">
      <c r="G177" s="8"/>
      <c r="H177" s="8"/>
      <c r="I177" s="8"/>
      <c r="J177" s="8"/>
      <c r="K177" s="8"/>
      <c r="L177" s="8"/>
      <c r="M177" s="8"/>
      <c r="S177" s="5"/>
      <c r="T177" s="6"/>
      <c r="U177" s="5"/>
      <c r="V177" s="6"/>
      <c r="W177" s="8"/>
    </row>
    <row r="178" spans="7:23" s="7" customFormat="1">
      <c r="G178" s="8"/>
      <c r="H178" s="8"/>
      <c r="I178" s="8"/>
      <c r="J178" s="8"/>
      <c r="K178" s="8"/>
      <c r="L178" s="8"/>
      <c r="M178" s="8"/>
      <c r="S178" s="5"/>
      <c r="T178" s="6"/>
      <c r="U178" s="5"/>
      <c r="V178" s="6"/>
      <c r="W178" s="8"/>
    </row>
    <row r="179" spans="7:23" s="7" customFormat="1">
      <c r="G179" s="8"/>
      <c r="H179" s="8"/>
      <c r="I179" s="8"/>
      <c r="J179" s="8"/>
      <c r="K179" s="8"/>
      <c r="L179" s="8"/>
      <c r="M179" s="8"/>
      <c r="S179" s="5"/>
      <c r="T179" s="6"/>
      <c r="U179" s="5"/>
      <c r="V179" s="6"/>
      <c r="W179" s="8"/>
    </row>
    <row r="180" spans="7:23" s="7" customFormat="1">
      <c r="G180" s="8"/>
      <c r="H180" s="8"/>
      <c r="I180" s="8"/>
      <c r="J180" s="8"/>
      <c r="K180" s="8"/>
      <c r="L180" s="8"/>
      <c r="M180" s="8"/>
      <c r="S180" s="5"/>
      <c r="T180" s="6"/>
      <c r="U180" s="5"/>
      <c r="V180" s="6"/>
      <c r="W180" s="8"/>
    </row>
    <row r="181" spans="7:23" s="7" customFormat="1">
      <c r="G181" s="8"/>
      <c r="H181" s="8"/>
      <c r="I181" s="8"/>
      <c r="J181" s="8"/>
      <c r="K181" s="8"/>
      <c r="L181" s="8"/>
      <c r="M181" s="8"/>
      <c r="S181" s="5"/>
      <c r="T181" s="6"/>
      <c r="U181" s="5"/>
      <c r="V181" s="6"/>
      <c r="W181" s="8"/>
    </row>
    <row r="182" spans="7:23" s="7" customFormat="1">
      <c r="G182" s="8"/>
      <c r="H182" s="8"/>
      <c r="I182" s="8"/>
      <c r="J182" s="8"/>
      <c r="K182" s="8"/>
      <c r="L182" s="8"/>
      <c r="M182" s="8"/>
      <c r="S182" s="5"/>
      <c r="T182" s="6"/>
      <c r="U182" s="5"/>
      <c r="V182" s="6"/>
      <c r="W182" s="8"/>
    </row>
    <row r="183" spans="7:23" s="7" customFormat="1">
      <c r="G183" s="8"/>
      <c r="H183" s="8"/>
      <c r="I183" s="8"/>
      <c r="J183" s="8"/>
      <c r="K183" s="8"/>
      <c r="L183" s="8"/>
      <c r="M183" s="8"/>
      <c r="S183" s="5"/>
      <c r="T183" s="6"/>
      <c r="U183" s="5"/>
      <c r="V183" s="6"/>
      <c r="W183" s="8"/>
    </row>
    <row r="184" spans="7:23" s="7" customFormat="1">
      <c r="G184" s="8"/>
      <c r="H184" s="8"/>
      <c r="I184" s="8"/>
      <c r="J184" s="8"/>
      <c r="K184" s="8"/>
      <c r="L184" s="8"/>
      <c r="M184" s="8"/>
      <c r="S184" s="5"/>
      <c r="T184" s="6"/>
      <c r="U184" s="5"/>
      <c r="V184" s="6"/>
      <c r="W184" s="8"/>
    </row>
    <row r="185" spans="7:23" s="7" customFormat="1">
      <c r="G185" s="8"/>
      <c r="H185" s="8"/>
      <c r="I185" s="8"/>
      <c r="J185" s="8"/>
      <c r="K185" s="8"/>
      <c r="L185" s="8"/>
      <c r="M185" s="8"/>
      <c r="S185" s="5"/>
      <c r="T185" s="6"/>
      <c r="U185" s="5"/>
      <c r="V185" s="6"/>
      <c r="W185" s="8"/>
    </row>
    <row r="186" spans="7:23" s="7" customFormat="1">
      <c r="G186" s="8"/>
      <c r="H186" s="8"/>
      <c r="I186" s="8"/>
      <c r="J186" s="8"/>
      <c r="K186" s="8"/>
      <c r="L186" s="8"/>
      <c r="M186" s="8"/>
      <c r="S186" s="5"/>
      <c r="T186" s="6"/>
      <c r="U186" s="5"/>
      <c r="V186" s="6"/>
      <c r="W186" s="8"/>
    </row>
    <row r="187" spans="7:23" s="7" customFormat="1">
      <c r="G187" s="8"/>
      <c r="H187" s="8"/>
      <c r="I187" s="8"/>
      <c r="J187" s="8"/>
      <c r="K187" s="8"/>
      <c r="L187" s="8"/>
      <c r="M187" s="8"/>
      <c r="S187" s="5"/>
      <c r="T187" s="6"/>
      <c r="U187" s="5"/>
      <c r="V187" s="6"/>
      <c r="W187" s="8"/>
    </row>
    <row r="188" spans="7:23" s="7" customFormat="1">
      <c r="G188" s="8"/>
      <c r="H188" s="8"/>
      <c r="I188" s="8"/>
      <c r="J188" s="8"/>
      <c r="K188" s="8"/>
      <c r="L188" s="8"/>
      <c r="M188" s="8"/>
      <c r="S188" s="5"/>
      <c r="T188" s="6"/>
      <c r="U188" s="5"/>
      <c r="V188" s="6"/>
      <c r="W188" s="8"/>
    </row>
    <row r="189" spans="7:23" s="7" customFormat="1">
      <c r="G189" s="8"/>
      <c r="H189" s="8"/>
      <c r="I189" s="8"/>
      <c r="J189" s="8"/>
      <c r="K189" s="8"/>
      <c r="L189" s="8"/>
      <c r="M189" s="8"/>
      <c r="S189" s="5"/>
      <c r="T189" s="6"/>
      <c r="U189" s="5"/>
      <c r="V189" s="6"/>
      <c r="W189" s="8"/>
    </row>
    <row r="190" spans="7:23" s="7" customFormat="1">
      <c r="G190" s="8"/>
      <c r="H190" s="8"/>
      <c r="I190" s="8"/>
      <c r="J190" s="8"/>
      <c r="K190" s="8"/>
      <c r="L190" s="8"/>
      <c r="M190" s="8"/>
      <c r="S190" s="5"/>
      <c r="T190" s="6"/>
      <c r="U190" s="5"/>
      <c r="V190" s="6"/>
      <c r="W190" s="8"/>
    </row>
    <row r="191" spans="7:23" s="7" customFormat="1">
      <c r="G191" s="8"/>
      <c r="H191" s="8"/>
      <c r="I191" s="8"/>
      <c r="J191" s="8"/>
      <c r="K191" s="8"/>
      <c r="L191" s="8"/>
      <c r="M191" s="8"/>
      <c r="S191" s="5"/>
      <c r="T191" s="6"/>
      <c r="U191" s="5"/>
      <c r="V191" s="6"/>
      <c r="W191" s="8"/>
    </row>
    <row r="192" spans="7:23" s="7" customFormat="1">
      <c r="G192" s="8"/>
      <c r="H192" s="8"/>
      <c r="I192" s="8"/>
      <c r="J192" s="8"/>
      <c r="K192" s="8"/>
      <c r="L192" s="8"/>
      <c r="M192" s="8"/>
      <c r="S192" s="5"/>
      <c r="T192" s="6"/>
      <c r="U192" s="5"/>
      <c r="V192" s="6"/>
      <c r="W192" s="8"/>
    </row>
    <row r="193" spans="7:23" s="7" customFormat="1">
      <c r="G193" s="8"/>
      <c r="H193" s="8"/>
      <c r="I193" s="8"/>
      <c r="J193" s="8"/>
      <c r="K193" s="8"/>
      <c r="L193" s="8"/>
      <c r="M193" s="8"/>
      <c r="S193" s="5"/>
      <c r="T193" s="6"/>
      <c r="U193" s="5"/>
      <c r="V193" s="6"/>
      <c r="W193" s="8"/>
    </row>
    <row r="194" spans="7:23" s="7" customFormat="1">
      <c r="G194" s="8"/>
      <c r="H194" s="8"/>
      <c r="I194" s="8"/>
      <c r="J194" s="8"/>
      <c r="K194" s="8"/>
      <c r="L194" s="8"/>
      <c r="M194" s="8"/>
      <c r="S194" s="5"/>
      <c r="T194" s="6"/>
      <c r="U194" s="5"/>
      <c r="V194" s="6"/>
      <c r="W194" s="8"/>
    </row>
    <row r="195" spans="7:23" s="7" customFormat="1">
      <c r="G195" s="8"/>
      <c r="H195" s="8"/>
      <c r="I195" s="8"/>
      <c r="J195" s="8"/>
      <c r="K195" s="8"/>
      <c r="L195" s="8"/>
      <c r="M195" s="8"/>
      <c r="S195" s="5"/>
      <c r="T195" s="6"/>
      <c r="U195" s="5"/>
      <c r="V195" s="6"/>
      <c r="W195" s="8"/>
    </row>
    <row r="196" spans="7:23" s="7" customFormat="1">
      <c r="G196" s="8"/>
      <c r="H196" s="8"/>
      <c r="I196" s="8"/>
      <c r="J196" s="8"/>
      <c r="K196" s="8"/>
      <c r="L196" s="8"/>
      <c r="M196" s="8"/>
      <c r="S196" s="5"/>
      <c r="T196" s="6"/>
      <c r="U196" s="5"/>
      <c r="V196" s="6"/>
      <c r="W196" s="8"/>
    </row>
    <row r="197" spans="7:23" s="7" customFormat="1">
      <c r="G197" s="8"/>
      <c r="H197" s="8"/>
      <c r="I197" s="8"/>
      <c r="J197" s="8"/>
      <c r="K197" s="8"/>
      <c r="L197" s="8"/>
      <c r="M197" s="8"/>
      <c r="S197" s="5"/>
      <c r="T197" s="6"/>
      <c r="U197" s="5"/>
      <c r="V197" s="6"/>
      <c r="W197" s="8"/>
    </row>
    <row r="198" spans="7:23" s="7" customFormat="1">
      <c r="G198" s="8"/>
      <c r="H198" s="8"/>
      <c r="I198" s="8"/>
      <c r="J198" s="8"/>
      <c r="K198" s="8"/>
      <c r="L198" s="8"/>
      <c r="M198" s="8"/>
      <c r="S198" s="5"/>
      <c r="T198" s="6"/>
      <c r="U198" s="5"/>
      <c r="V198" s="6"/>
      <c r="W198" s="8"/>
    </row>
    <row r="199" spans="7:23" s="7" customFormat="1">
      <c r="G199" s="8"/>
      <c r="H199" s="8"/>
      <c r="I199" s="8"/>
      <c r="J199" s="8"/>
      <c r="K199" s="8"/>
      <c r="L199" s="8"/>
      <c r="M199" s="8"/>
      <c r="S199" s="5"/>
      <c r="T199" s="6"/>
      <c r="U199" s="5"/>
      <c r="V199" s="6"/>
      <c r="W199" s="8"/>
    </row>
    <row r="200" spans="7:23" s="7" customFormat="1">
      <c r="G200" s="8"/>
      <c r="H200" s="8"/>
      <c r="I200" s="8"/>
      <c r="J200" s="8"/>
      <c r="K200" s="8"/>
      <c r="L200" s="8"/>
      <c r="M200" s="8"/>
      <c r="S200" s="5"/>
      <c r="T200" s="6"/>
      <c r="U200" s="5"/>
      <c r="V200" s="6"/>
      <c r="W200" s="8"/>
    </row>
    <row r="201" spans="7:23" s="7" customFormat="1">
      <c r="G201" s="8"/>
      <c r="H201" s="8"/>
      <c r="I201" s="8"/>
      <c r="J201" s="8"/>
      <c r="K201" s="8"/>
      <c r="L201" s="8"/>
      <c r="M201" s="8"/>
      <c r="S201" s="5"/>
      <c r="T201" s="6"/>
      <c r="U201" s="5"/>
      <c r="V201" s="6"/>
      <c r="W201" s="8"/>
    </row>
    <row r="202" spans="7:23" s="7" customFormat="1">
      <c r="G202" s="8"/>
      <c r="H202" s="8"/>
      <c r="I202" s="8"/>
      <c r="J202" s="8"/>
      <c r="K202" s="8"/>
      <c r="L202" s="8"/>
      <c r="M202" s="8"/>
      <c r="S202" s="5"/>
      <c r="T202" s="6"/>
      <c r="U202" s="5"/>
      <c r="V202" s="6"/>
      <c r="W202" s="8"/>
    </row>
    <row r="203" spans="7:23" s="7" customFormat="1">
      <c r="G203" s="8"/>
      <c r="H203" s="8"/>
      <c r="I203" s="8"/>
      <c r="J203" s="8"/>
      <c r="K203" s="8"/>
      <c r="L203" s="8"/>
      <c r="M203" s="8"/>
      <c r="S203" s="5"/>
      <c r="T203" s="6"/>
      <c r="U203" s="5"/>
      <c r="V203" s="6"/>
      <c r="W203" s="8"/>
    </row>
    <row r="204" spans="7:23" s="7" customFormat="1">
      <c r="G204" s="8"/>
      <c r="H204" s="8"/>
      <c r="I204" s="8"/>
      <c r="J204" s="8"/>
      <c r="K204" s="8"/>
      <c r="L204" s="8"/>
      <c r="M204" s="8"/>
      <c r="S204" s="5"/>
      <c r="T204" s="6"/>
      <c r="U204" s="5"/>
      <c r="V204" s="6"/>
      <c r="W204" s="8"/>
    </row>
    <row r="205" spans="7:23" s="7" customFormat="1">
      <c r="G205" s="8"/>
      <c r="H205" s="8"/>
      <c r="I205" s="8"/>
      <c r="J205" s="8"/>
      <c r="K205" s="8"/>
      <c r="L205" s="8"/>
      <c r="M205" s="8"/>
      <c r="S205" s="5"/>
      <c r="T205" s="6"/>
      <c r="U205" s="5"/>
      <c r="V205" s="6"/>
      <c r="W205" s="8"/>
    </row>
    <row r="206" spans="7:23" s="7" customFormat="1">
      <c r="G206" s="8"/>
      <c r="H206" s="8"/>
      <c r="I206" s="8"/>
      <c r="J206" s="8"/>
      <c r="K206" s="8"/>
      <c r="L206" s="8"/>
      <c r="M206" s="8"/>
      <c r="S206" s="5"/>
      <c r="T206" s="6"/>
      <c r="U206" s="5"/>
      <c r="V206" s="6"/>
      <c r="W206" s="8"/>
    </row>
    <row r="207" spans="7:23" s="7" customFormat="1">
      <c r="G207" s="8"/>
      <c r="H207" s="8"/>
      <c r="I207" s="8"/>
      <c r="J207" s="8"/>
      <c r="K207" s="8"/>
      <c r="L207" s="8"/>
      <c r="M207" s="8"/>
      <c r="S207" s="5"/>
      <c r="T207" s="6"/>
      <c r="U207" s="5"/>
      <c r="V207" s="6"/>
      <c r="W207" s="8"/>
    </row>
    <row r="208" spans="7:23" s="7" customFormat="1">
      <c r="G208" s="8"/>
      <c r="H208" s="8"/>
      <c r="I208" s="8"/>
      <c r="J208" s="8"/>
      <c r="K208" s="8"/>
      <c r="L208" s="8"/>
      <c r="M208" s="8"/>
      <c r="S208" s="5"/>
      <c r="T208" s="6"/>
      <c r="U208" s="5"/>
      <c r="V208" s="6"/>
      <c r="W208" s="8"/>
    </row>
    <row r="209" spans="7:23" s="7" customFormat="1">
      <c r="G209" s="8"/>
      <c r="H209" s="8"/>
      <c r="I209" s="8"/>
      <c r="J209" s="8"/>
      <c r="K209" s="8"/>
      <c r="L209" s="8"/>
      <c r="M209" s="8"/>
      <c r="S209" s="5"/>
      <c r="T209" s="6"/>
      <c r="U209" s="5"/>
      <c r="V209" s="6"/>
      <c r="W209" s="8"/>
    </row>
    <row r="210" spans="7:23" s="7" customFormat="1">
      <c r="G210" s="8"/>
      <c r="H210" s="8"/>
      <c r="I210" s="8"/>
      <c r="J210" s="8"/>
      <c r="K210" s="8"/>
      <c r="L210" s="8"/>
      <c r="M210" s="8"/>
      <c r="S210" s="5"/>
      <c r="T210" s="6"/>
      <c r="U210" s="5"/>
      <c r="V210" s="6"/>
      <c r="W210" s="8"/>
    </row>
    <row r="211" spans="7:23" s="7" customFormat="1">
      <c r="G211" s="8"/>
      <c r="H211" s="8"/>
      <c r="I211" s="8"/>
      <c r="J211" s="8"/>
      <c r="K211" s="8"/>
      <c r="L211" s="8"/>
      <c r="M211" s="8"/>
      <c r="S211" s="5"/>
      <c r="T211" s="6"/>
      <c r="U211" s="5"/>
      <c r="V211" s="6"/>
      <c r="W211" s="8"/>
    </row>
    <row r="212" spans="7:23" s="7" customFormat="1">
      <c r="G212" s="8"/>
      <c r="H212" s="8"/>
      <c r="I212" s="8"/>
      <c r="J212" s="8"/>
      <c r="K212" s="8"/>
      <c r="L212" s="8"/>
      <c r="M212" s="8"/>
      <c r="S212" s="5"/>
      <c r="T212" s="6"/>
      <c r="U212" s="5"/>
      <c r="V212" s="6"/>
      <c r="W212" s="8"/>
    </row>
    <row r="213" spans="7:23" s="7" customFormat="1">
      <c r="G213" s="8"/>
      <c r="H213" s="8"/>
      <c r="I213" s="8"/>
      <c r="J213" s="8"/>
      <c r="K213" s="8"/>
      <c r="L213" s="8"/>
      <c r="M213" s="8"/>
      <c r="S213" s="5"/>
      <c r="T213" s="6"/>
      <c r="U213" s="5"/>
      <c r="V213" s="6"/>
      <c r="W213" s="8"/>
    </row>
    <row r="214" spans="7:23" s="7" customFormat="1">
      <c r="G214" s="8"/>
      <c r="H214" s="8"/>
      <c r="I214" s="8"/>
      <c r="J214" s="8"/>
      <c r="K214" s="8"/>
      <c r="L214" s="8"/>
      <c r="M214" s="8"/>
      <c r="S214" s="5"/>
      <c r="T214" s="6"/>
      <c r="U214" s="5"/>
      <c r="V214" s="6"/>
      <c r="W214" s="8"/>
    </row>
    <row r="215" spans="7:23" s="7" customFormat="1">
      <c r="G215" s="8"/>
      <c r="H215" s="8"/>
      <c r="I215" s="8"/>
      <c r="J215" s="8"/>
      <c r="K215" s="8"/>
      <c r="L215" s="8"/>
      <c r="M215" s="8"/>
      <c r="S215" s="5"/>
      <c r="T215" s="6"/>
      <c r="U215" s="5"/>
      <c r="V215" s="6"/>
      <c r="W215" s="8"/>
    </row>
    <row r="216" spans="7:23" s="7" customFormat="1">
      <c r="G216" s="8"/>
      <c r="H216" s="8"/>
      <c r="I216" s="8"/>
      <c r="J216" s="8"/>
      <c r="K216" s="8"/>
      <c r="L216" s="8"/>
      <c r="M216" s="8"/>
      <c r="S216" s="5"/>
      <c r="T216" s="6"/>
      <c r="U216" s="5"/>
      <c r="V216" s="6"/>
      <c r="W216" s="8"/>
    </row>
    <row r="217" spans="7:23" s="7" customFormat="1">
      <c r="G217" s="8"/>
      <c r="H217" s="8"/>
      <c r="I217" s="8"/>
      <c r="J217" s="8"/>
      <c r="K217" s="8"/>
      <c r="L217" s="8"/>
      <c r="M217" s="8"/>
      <c r="S217" s="5"/>
      <c r="T217" s="6"/>
      <c r="U217" s="5"/>
      <c r="V217" s="6"/>
      <c r="W217" s="8"/>
    </row>
    <row r="218" spans="7:23" s="7" customFormat="1">
      <c r="G218" s="8"/>
      <c r="H218" s="8"/>
      <c r="I218" s="8"/>
      <c r="J218" s="8"/>
      <c r="K218" s="8"/>
      <c r="L218" s="8"/>
      <c r="M218" s="8"/>
      <c r="S218" s="5"/>
      <c r="T218" s="6"/>
      <c r="U218" s="5"/>
      <c r="V218" s="6"/>
      <c r="W218" s="8"/>
    </row>
    <row r="219" spans="7:23" s="7" customFormat="1">
      <c r="G219" s="8"/>
      <c r="H219" s="8"/>
      <c r="I219" s="8"/>
      <c r="J219" s="8"/>
      <c r="K219" s="8"/>
      <c r="L219" s="8"/>
      <c r="M219" s="8"/>
      <c r="S219" s="5"/>
      <c r="T219" s="6"/>
      <c r="U219" s="5"/>
      <c r="V219" s="6"/>
      <c r="W219" s="8"/>
    </row>
    <row r="220" spans="7:23" s="7" customFormat="1">
      <c r="G220" s="8"/>
      <c r="H220" s="8"/>
      <c r="I220" s="8"/>
      <c r="J220" s="8"/>
      <c r="K220" s="8"/>
      <c r="L220" s="8"/>
      <c r="M220" s="8"/>
      <c r="S220" s="5"/>
      <c r="T220" s="6"/>
      <c r="U220" s="5"/>
      <c r="V220" s="6"/>
      <c r="W220" s="8"/>
    </row>
    <row r="221" spans="7:23" s="7" customFormat="1">
      <c r="G221" s="8"/>
      <c r="H221" s="8"/>
      <c r="I221" s="8"/>
      <c r="J221" s="8"/>
      <c r="K221" s="8"/>
      <c r="L221" s="8"/>
      <c r="M221" s="8"/>
      <c r="S221" s="5"/>
      <c r="T221" s="6"/>
      <c r="U221" s="5"/>
      <c r="V221" s="6"/>
      <c r="W221" s="8"/>
    </row>
    <row r="222" spans="7:23" s="7" customFormat="1">
      <c r="G222" s="8"/>
      <c r="H222" s="8"/>
      <c r="I222" s="8"/>
      <c r="J222" s="8"/>
      <c r="K222" s="8"/>
      <c r="L222" s="8"/>
      <c r="M222" s="8"/>
      <c r="S222" s="5"/>
      <c r="T222" s="6"/>
      <c r="U222" s="5"/>
      <c r="V222" s="6"/>
      <c r="W222" s="8"/>
    </row>
    <row r="223" spans="7:23" s="7" customFormat="1">
      <c r="G223" s="8"/>
      <c r="H223" s="8"/>
      <c r="I223" s="8"/>
      <c r="J223" s="8"/>
      <c r="K223" s="8"/>
      <c r="L223" s="8"/>
      <c r="M223" s="8"/>
      <c r="S223" s="5"/>
      <c r="T223" s="6"/>
      <c r="U223" s="5"/>
      <c r="V223" s="6"/>
      <c r="W223" s="8"/>
    </row>
    <row r="224" spans="7:23" s="7" customFormat="1">
      <c r="G224" s="8"/>
      <c r="H224" s="8"/>
      <c r="I224" s="8"/>
      <c r="J224" s="8"/>
      <c r="K224" s="8"/>
      <c r="L224" s="8"/>
      <c r="M224" s="8"/>
      <c r="S224" s="5"/>
      <c r="T224" s="6"/>
      <c r="U224" s="5"/>
      <c r="V224" s="6"/>
      <c r="W224" s="8"/>
    </row>
    <row r="225" spans="7:23" s="7" customFormat="1">
      <c r="G225" s="8"/>
      <c r="H225" s="8"/>
      <c r="I225" s="8"/>
      <c r="J225" s="8"/>
      <c r="K225" s="8"/>
      <c r="L225" s="8"/>
      <c r="M225" s="8"/>
      <c r="S225" s="5"/>
      <c r="T225" s="6"/>
      <c r="U225" s="5"/>
      <c r="V225" s="6"/>
      <c r="W225" s="8"/>
    </row>
    <row r="226" spans="7:23" s="7" customFormat="1">
      <c r="G226" s="8"/>
      <c r="H226" s="8"/>
      <c r="I226" s="8"/>
      <c r="J226" s="8"/>
      <c r="K226" s="8"/>
      <c r="L226" s="8"/>
      <c r="M226" s="8"/>
      <c r="S226" s="5"/>
      <c r="T226" s="6"/>
      <c r="U226" s="5"/>
      <c r="V226" s="6"/>
      <c r="W226" s="8"/>
    </row>
    <row r="227" spans="7:23" s="7" customFormat="1">
      <c r="G227" s="8"/>
      <c r="H227" s="8"/>
      <c r="I227" s="8"/>
      <c r="J227" s="8"/>
      <c r="K227" s="8"/>
      <c r="L227" s="8"/>
      <c r="M227" s="8"/>
      <c r="S227" s="5"/>
      <c r="T227" s="6"/>
      <c r="U227" s="5"/>
      <c r="V227" s="6"/>
      <c r="W227" s="8"/>
    </row>
    <row r="228" spans="7:23" s="7" customFormat="1">
      <c r="G228" s="8"/>
      <c r="H228" s="8"/>
      <c r="I228" s="8"/>
      <c r="J228" s="8"/>
      <c r="K228" s="8"/>
      <c r="L228" s="8"/>
      <c r="M228" s="8"/>
      <c r="S228" s="5"/>
      <c r="T228" s="6"/>
      <c r="U228" s="5"/>
      <c r="V228" s="6"/>
      <c r="W228" s="8"/>
    </row>
    <row r="229" spans="7:23" s="7" customFormat="1">
      <c r="G229" s="8"/>
      <c r="H229" s="8"/>
      <c r="I229" s="8"/>
      <c r="J229" s="8"/>
      <c r="K229" s="8"/>
      <c r="L229" s="8"/>
      <c r="M229" s="8"/>
      <c r="S229" s="5"/>
      <c r="T229" s="6"/>
      <c r="U229" s="5"/>
      <c r="V229" s="6"/>
      <c r="W229" s="8"/>
    </row>
    <row r="230" spans="7:23" s="7" customFormat="1">
      <c r="G230" s="8"/>
      <c r="H230" s="8"/>
      <c r="I230" s="8"/>
      <c r="J230" s="8"/>
      <c r="K230" s="8"/>
      <c r="L230" s="8"/>
      <c r="M230" s="8"/>
      <c r="S230" s="5"/>
      <c r="T230" s="6"/>
      <c r="U230" s="5"/>
      <c r="V230" s="6"/>
      <c r="W230" s="8"/>
    </row>
    <row r="231" spans="7:23" s="7" customFormat="1">
      <c r="G231" s="8"/>
      <c r="H231" s="8"/>
      <c r="I231" s="8"/>
      <c r="J231" s="8"/>
      <c r="K231" s="8"/>
      <c r="L231" s="8"/>
      <c r="M231" s="8"/>
      <c r="S231" s="5"/>
      <c r="T231" s="6"/>
      <c r="U231" s="5"/>
      <c r="V231" s="6"/>
      <c r="W231" s="8"/>
    </row>
    <row r="232" spans="7:23" s="7" customFormat="1">
      <c r="G232" s="8"/>
      <c r="H232" s="8"/>
      <c r="I232" s="8"/>
      <c r="J232" s="8"/>
      <c r="K232" s="8"/>
      <c r="L232" s="8"/>
      <c r="M232" s="8"/>
      <c r="S232" s="5"/>
      <c r="T232" s="6"/>
      <c r="U232" s="5"/>
      <c r="V232" s="6"/>
      <c r="W232" s="8"/>
    </row>
    <row r="233" spans="7:23" s="7" customFormat="1">
      <c r="G233" s="8"/>
      <c r="H233" s="8"/>
      <c r="I233" s="8"/>
      <c r="J233" s="8"/>
      <c r="K233" s="8"/>
      <c r="L233" s="8"/>
      <c r="M233" s="8"/>
      <c r="S233" s="5"/>
      <c r="T233" s="6"/>
      <c r="U233" s="5"/>
      <c r="V233" s="6"/>
      <c r="W233" s="8"/>
    </row>
    <row r="234" spans="7:23" s="7" customFormat="1">
      <c r="G234" s="8"/>
      <c r="H234" s="8"/>
      <c r="I234" s="8"/>
      <c r="J234" s="8"/>
      <c r="K234" s="8"/>
      <c r="L234" s="8"/>
      <c r="M234" s="8"/>
      <c r="S234" s="5"/>
      <c r="T234" s="6"/>
      <c r="U234" s="5"/>
      <c r="V234" s="6"/>
      <c r="W234" s="8"/>
    </row>
    <row r="235" spans="7:23" s="7" customFormat="1">
      <c r="G235" s="8"/>
      <c r="H235" s="8"/>
      <c r="I235" s="8"/>
      <c r="J235" s="8"/>
      <c r="K235" s="8"/>
      <c r="L235" s="8"/>
      <c r="M235" s="8"/>
      <c r="S235" s="5"/>
      <c r="T235" s="6"/>
      <c r="U235" s="5"/>
      <c r="V235" s="6"/>
      <c r="W235" s="8"/>
    </row>
    <row r="236" spans="7:23" s="7" customFormat="1">
      <c r="G236" s="8"/>
      <c r="H236" s="8"/>
      <c r="I236" s="8"/>
      <c r="J236" s="8"/>
      <c r="K236" s="8"/>
      <c r="L236" s="8"/>
      <c r="M236" s="8"/>
      <c r="S236" s="5"/>
      <c r="T236" s="6"/>
      <c r="U236" s="5"/>
      <c r="V236" s="6"/>
      <c r="W236" s="8"/>
    </row>
    <row r="237" spans="7:23" s="7" customFormat="1">
      <c r="G237" s="8"/>
      <c r="H237" s="8"/>
      <c r="I237" s="8"/>
      <c r="J237" s="8"/>
      <c r="K237" s="8"/>
      <c r="L237" s="8"/>
      <c r="M237" s="8"/>
      <c r="S237" s="5"/>
      <c r="T237" s="6"/>
      <c r="U237" s="5"/>
      <c r="V237" s="6"/>
      <c r="W237" s="8"/>
    </row>
    <row r="238" spans="7:23" s="7" customFormat="1">
      <c r="G238" s="8"/>
      <c r="H238" s="8"/>
      <c r="I238" s="8"/>
      <c r="J238" s="8"/>
      <c r="K238" s="8"/>
      <c r="L238" s="8"/>
      <c r="M238" s="8"/>
      <c r="S238" s="5"/>
      <c r="T238" s="6"/>
      <c r="U238" s="5"/>
      <c r="V238" s="6"/>
      <c r="W238" s="8"/>
    </row>
    <row r="239" spans="7:23" s="7" customFormat="1">
      <c r="G239" s="8"/>
      <c r="H239" s="8"/>
      <c r="I239" s="8"/>
      <c r="J239" s="8"/>
      <c r="K239" s="8"/>
      <c r="L239" s="8"/>
      <c r="M239" s="8"/>
      <c r="S239" s="5"/>
      <c r="T239" s="6"/>
      <c r="U239" s="5"/>
      <c r="V239" s="6"/>
      <c r="W239" s="8"/>
    </row>
    <row r="240" spans="7:23" s="7" customFormat="1">
      <c r="G240" s="8"/>
      <c r="H240" s="8"/>
      <c r="I240" s="8"/>
      <c r="J240" s="8"/>
      <c r="K240" s="8"/>
      <c r="L240" s="8"/>
      <c r="M240" s="8"/>
      <c r="S240" s="5"/>
      <c r="T240" s="6"/>
      <c r="U240" s="5"/>
      <c r="V240" s="6"/>
      <c r="W240" s="8"/>
    </row>
    <row r="241" spans="7:23" s="7" customFormat="1">
      <c r="G241" s="8"/>
      <c r="H241" s="8"/>
      <c r="I241" s="8"/>
      <c r="J241" s="8"/>
      <c r="K241" s="8"/>
      <c r="L241" s="8"/>
      <c r="M241" s="8"/>
      <c r="S241" s="5"/>
      <c r="T241" s="6"/>
      <c r="U241" s="5"/>
      <c r="V241" s="6"/>
      <c r="W241" s="8"/>
    </row>
    <row r="242" spans="7:23" s="7" customFormat="1">
      <c r="G242" s="8"/>
      <c r="H242" s="8"/>
      <c r="I242" s="8"/>
      <c r="J242" s="8"/>
      <c r="K242" s="8"/>
      <c r="L242" s="8"/>
      <c r="M242" s="8"/>
      <c r="S242" s="5"/>
      <c r="T242" s="6"/>
      <c r="U242" s="5"/>
      <c r="V242" s="6"/>
      <c r="W242" s="8"/>
    </row>
    <row r="243" spans="7:23" s="7" customFormat="1">
      <c r="G243" s="8"/>
      <c r="H243" s="8"/>
      <c r="I243" s="8"/>
      <c r="J243" s="8"/>
      <c r="K243" s="8"/>
      <c r="L243" s="8"/>
      <c r="M243" s="8"/>
      <c r="S243" s="5"/>
      <c r="T243" s="6"/>
      <c r="U243" s="5"/>
      <c r="V243" s="6"/>
      <c r="W243" s="8"/>
    </row>
    <row r="244" spans="7:23" s="7" customFormat="1">
      <c r="G244" s="8"/>
      <c r="H244" s="8"/>
      <c r="I244" s="8"/>
      <c r="J244" s="8"/>
      <c r="K244" s="8"/>
      <c r="L244" s="8"/>
      <c r="M244" s="8"/>
      <c r="S244" s="5"/>
      <c r="T244" s="6"/>
      <c r="U244" s="5"/>
      <c r="V244" s="6"/>
      <c r="W244" s="8"/>
    </row>
    <row r="245" spans="7:23" s="7" customFormat="1">
      <c r="G245" s="8"/>
      <c r="H245" s="8"/>
      <c r="I245" s="8"/>
      <c r="J245" s="8"/>
      <c r="K245" s="8"/>
      <c r="L245" s="8"/>
      <c r="M245" s="8"/>
      <c r="S245" s="5"/>
      <c r="T245" s="6"/>
      <c r="U245" s="5"/>
      <c r="V245" s="6"/>
      <c r="W245" s="8"/>
    </row>
    <row r="246" spans="7:23" s="7" customFormat="1">
      <c r="G246" s="8"/>
      <c r="H246" s="8"/>
      <c r="I246" s="8"/>
      <c r="J246" s="8"/>
      <c r="K246" s="8"/>
      <c r="L246" s="8"/>
      <c r="M246" s="8"/>
      <c r="S246" s="5"/>
      <c r="T246" s="6"/>
      <c r="U246" s="5"/>
      <c r="V246" s="6"/>
      <c r="W246" s="8"/>
    </row>
    <row r="247" spans="7:23" s="7" customFormat="1">
      <c r="G247" s="8"/>
      <c r="H247" s="8"/>
      <c r="I247" s="8"/>
      <c r="J247" s="8"/>
      <c r="K247" s="8"/>
      <c r="L247" s="8"/>
      <c r="M247" s="8"/>
      <c r="S247" s="5"/>
      <c r="T247" s="6"/>
      <c r="U247" s="5"/>
      <c r="V247" s="6"/>
      <c r="W247" s="8"/>
    </row>
    <row r="248" spans="7:23" s="7" customFormat="1">
      <c r="G248" s="8"/>
      <c r="H248" s="8"/>
      <c r="I248" s="8"/>
      <c r="J248" s="8"/>
      <c r="K248" s="8"/>
      <c r="L248" s="8"/>
      <c r="M248" s="8"/>
      <c r="S248" s="5"/>
      <c r="T248" s="6"/>
      <c r="U248" s="5"/>
      <c r="V248" s="6"/>
      <c r="W248" s="8"/>
    </row>
    <row r="249" spans="7:23" s="7" customFormat="1">
      <c r="G249" s="8"/>
      <c r="H249" s="8"/>
      <c r="I249" s="8"/>
      <c r="J249" s="8"/>
      <c r="K249" s="8"/>
      <c r="L249" s="8"/>
      <c r="M249" s="8"/>
      <c r="S249" s="5"/>
      <c r="T249" s="6"/>
      <c r="U249" s="5"/>
      <c r="V249" s="6"/>
      <c r="W249" s="8"/>
    </row>
    <row r="250" spans="7:23" s="7" customFormat="1">
      <c r="G250" s="8"/>
      <c r="H250" s="8"/>
      <c r="I250" s="8"/>
      <c r="J250" s="8"/>
      <c r="K250" s="8"/>
      <c r="L250" s="8"/>
      <c r="M250" s="8"/>
      <c r="S250" s="5"/>
      <c r="T250" s="6"/>
      <c r="U250" s="5"/>
      <c r="V250" s="6"/>
      <c r="W250" s="8"/>
    </row>
    <row r="251" spans="7:23" s="7" customFormat="1">
      <c r="G251" s="8"/>
      <c r="H251" s="8"/>
      <c r="I251" s="8"/>
      <c r="J251" s="8"/>
      <c r="K251" s="8"/>
      <c r="L251" s="8"/>
      <c r="M251" s="8"/>
      <c r="S251" s="5"/>
      <c r="T251" s="6"/>
      <c r="U251" s="5"/>
      <c r="V251" s="6"/>
      <c r="W251" s="8"/>
    </row>
    <row r="252" spans="7:23" s="7" customFormat="1">
      <c r="G252" s="8"/>
      <c r="H252" s="8"/>
      <c r="I252" s="8"/>
      <c r="J252" s="8"/>
      <c r="K252" s="8"/>
      <c r="L252" s="8"/>
      <c r="M252" s="8"/>
      <c r="S252" s="5"/>
      <c r="T252" s="6"/>
      <c r="U252" s="5"/>
      <c r="V252" s="6"/>
      <c r="W252" s="8"/>
    </row>
    <row r="253" spans="7:23" s="7" customFormat="1">
      <c r="G253" s="8"/>
      <c r="H253" s="8"/>
      <c r="I253" s="8"/>
      <c r="J253" s="8"/>
      <c r="K253" s="8"/>
      <c r="L253" s="8"/>
      <c r="M253" s="8"/>
      <c r="S253" s="5"/>
      <c r="T253" s="6"/>
      <c r="U253" s="5"/>
      <c r="V253" s="6"/>
      <c r="W253" s="8"/>
    </row>
    <row r="254" spans="7:23" s="7" customFormat="1">
      <c r="G254" s="8"/>
      <c r="H254" s="8"/>
      <c r="I254" s="8"/>
      <c r="J254" s="8"/>
      <c r="K254" s="8"/>
      <c r="L254" s="8"/>
      <c r="M254" s="8"/>
      <c r="S254" s="5"/>
      <c r="T254" s="6"/>
      <c r="U254" s="5"/>
      <c r="V254" s="6"/>
      <c r="W254" s="8"/>
    </row>
    <row r="255" spans="7:23" s="7" customFormat="1">
      <c r="G255" s="8"/>
      <c r="H255" s="8"/>
      <c r="I255" s="8"/>
      <c r="J255" s="8"/>
      <c r="K255" s="8"/>
      <c r="L255" s="8"/>
      <c r="M255" s="8"/>
      <c r="S255" s="5"/>
      <c r="T255" s="6"/>
      <c r="U255" s="5"/>
      <c r="V255" s="6"/>
      <c r="W255" s="8"/>
    </row>
    <row r="256" spans="7:23" s="7" customFormat="1">
      <c r="G256" s="8"/>
      <c r="H256" s="8"/>
      <c r="I256" s="8"/>
      <c r="J256" s="8"/>
      <c r="K256" s="8"/>
      <c r="L256" s="8"/>
      <c r="M256" s="8"/>
      <c r="S256" s="5"/>
      <c r="T256" s="6"/>
      <c r="U256" s="5"/>
      <c r="V256" s="6"/>
      <c r="W256" s="8"/>
    </row>
    <row r="257" spans="7:23" s="7" customFormat="1">
      <c r="G257" s="8"/>
      <c r="H257" s="8"/>
      <c r="I257" s="8"/>
      <c r="J257" s="8"/>
      <c r="K257" s="8"/>
      <c r="L257" s="8"/>
      <c r="M257" s="8"/>
      <c r="S257" s="5"/>
      <c r="T257" s="6"/>
      <c r="U257" s="5"/>
      <c r="V257" s="6"/>
      <c r="W257" s="8"/>
    </row>
    <row r="258" spans="7:23" s="7" customFormat="1">
      <c r="G258" s="8"/>
      <c r="H258" s="8"/>
      <c r="I258" s="8"/>
      <c r="J258" s="8"/>
      <c r="K258" s="8"/>
      <c r="L258" s="8"/>
      <c r="M258" s="8"/>
      <c r="S258" s="5"/>
      <c r="T258" s="6"/>
      <c r="U258" s="5"/>
      <c r="V258" s="6"/>
      <c r="W258" s="8"/>
    </row>
    <row r="259" spans="7:23" s="7" customFormat="1">
      <c r="G259" s="8"/>
      <c r="H259" s="8"/>
      <c r="I259" s="8"/>
      <c r="J259" s="8"/>
      <c r="K259" s="8"/>
      <c r="L259" s="8"/>
      <c r="M259" s="8"/>
      <c r="S259" s="5"/>
      <c r="T259" s="6"/>
      <c r="U259" s="5"/>
      <c r="V259" s="6"/>
      <c r="W259" s="8"/>
    </row>
    <row r="260" spans="7:23" s="7" customFormat="1">
      <c r="G260" s="8"/>
      <c r="H260" s="8"/>
      <c r="I260" s="8"/>
      <c r="J260" s="8"/>
      <c r="K260" s="8"/>
      <c r="L260" s="8"/>
      <c r="M260" s="8"/>
      <c r="S260" s="5"/>
      <c r="T260" s="6"/>
      <c r="U260" s="5"/>
      <c r="V260" s="6"/>
      <c r="W260" s="8"/>
    </row>
    <row r="261" spans="7:23" s="7" customFormat="1">
      <c r="G261" s="8"/>
      <c r="H261" s="8"/>
      <c r="I261" s="8"/>
      <c r="J261" s="8"/>
      <c r="K261" s="8"/>
      <c r="L261" s="8"/>
      <c r="M261" s="8"/>
      <c r="S261" s="5"/>
      <c r="T261" s="6"/>
      <c r="U261" s="5"/>
      <c r="V261" s="6"/>
      <c r="W261" s="8"/>
    </row>
    <row r="262" spans="7:23" s="7" customFormat="1">
      <c r="G262" s="8"/>
      <c r="H262" s="8"/>
      <c r="I262" s="8"/>
      <c r="J262" s="8"/>
      <c r="K262" s="8"/>
      <c r="L262" s="8"/>
      <c r="M262" s="8"/>
      <c r="S262" s="5"/>
      <c r="T262" s="6"/>
      <c r="U262" s="5"/>
      <c r="V262" s="6"/>
      <c r="W262" s="8"/>
    </row>
    <row r="263" spans="7:23" s="7" customFormat="1">
      <c r="G263" s="8"/>
      <c r="H263" s="8"/>
      <c r="I263" s="8"/>
      <c r="J263" s="8"/>
      <c r="K263" s="8"/>
      <c r="L263" s="8"/>
      <c r="M263" s="8"/>
      <c r="S263" s="5"/>
      <c r="T263" s="6"/>
      <c r="U263" s="5"/>
      <c r="V263" s="6"/>
      <c r="W263" s="8"/>
    </row>
    <row r="264" spans="7:23" s="7" customFormat="1">
      <c r="G264" s="8"/>
      <c r="H264" s="8"/>
      <c r="I264" s="8"/>
      <c r="J264" s="8"/>
      <c r="K264" s="8"/>
      <c r="L264" s="8"/>
      <c r="M264" s="8"/>
      <c r="S264" s="5"/>
      <c r="T264" s="6"/>
      <c r="U264" s="5"/>
      <c r="V264" s="6"/>
      <c r="W264" s="8"/>
    </row>
    <row r="265" spans="7:23" s="7" customFormat="1">
      <c r="G265" s="8"/>
      <c r="H265" s="8"/>
      <c r="I265" s="8"/>
      <c r="J265" s="8"/>
      <c r="K265" s="8"/>
      <c r="L265" s="8"/>
      <c r="M265" s="8"/>
      <c r="S265" s="5"/>
      <c r="T265" s="6"/>
      <c r="U265" s="5"/>
      <c r="V265" s="6"/>
      <c r="W265" s="8"/>
    </row>
    <row r="266" spans="7:23" s="7" customFormat="1">
      <c r="G266" s="8"/>
      <c r="H266" s="8"/>
      <c r="I266" s="8"/>
      <c r="J266" s="8"/>
      <c r="K266" s="8"/>
      <c r="L266" s="8"/>
      <c r="M266" s="8"/>
      <c r="S266" s="5"/>
      <c r="T266" s="6"/>
      <c r="U266" s="5"/>
      <c r="V266" s="6"/>
      <c r="W266" s="8"/>
    </row>
    <row r="267" spans="7:23" s="7" customFormat="1">
      <c r="G267" s="8"/>
      <c r="H267" s="8"/>
      <c r="I267" s="8"/>
      <c r="J267" s="8"/>
      <c r="K267" s="8"/>
      <c r="L267" s="8"/>
      <c r="M267" s="8"/>
      <c r="S267" s="5"/>
      <c r="T267" s="6"/>
      <c r="U267" s="5"/>
      <c r="V267" s="6"/>
      <c r="W267" s="8"/>
    </row>
    <row r="268" spans="7:23" s="7" customFormat="1">
      <c r="G268" s="8"/>
      <c r="H268" s="8"/>
      <c r="I268" s="8"/>
      <c r="J268" s="8"/>
      <c r="K268" s="8"/>
      <c r="L268" s="8"/>
      <c r="M268" s="8"/>
      <c r="S268" s="5"/>
      <c r="T268" s="6"/>
      <c r="U268" s="5"/>
      <c r="V268" s="6"/>
      <c r="W268" s="8"/>
    </row>
    <row r="269" spans="7:23" s="7" customFormat="1">
      <c r="G269" s="8"/>
      <c r="H269" s="8"/>
      <c r="I269" s="8"/>
      <c r="J269" s="8"/>
      <c r="K269" s="8"/>
      <c r="L269" s="8"/>
      <c r="M269" s="8"/>
      <c r="S269" s="5"/>
      <c r="T269" s="6"/>
      <c r="U269" s="5"/>
      <c r="V269" s="6"/>
      <c r="W269" s="8"/>
    </row>
    <row r="270" spans="7:23" s="7" customFormat="1">
      <c r="G270" s="8"/>
      <c r="H270" s="8"/>
      <c r="I270" s="8"/>
      <c r="J270" s="8"/>
      <c r="K270" s="8"/>
      <c r="L270" s="8"/>
      <c r="M270" s="8"/>
      <c r="S270" s="5"/>
      <c r="T270" s="6"/>
      <c r="U270" s="5"/>
      <c r="V270" s="6"/>
      <c r="W270" s="8"/>
    </row>
    <row r="271" spans="7:23" s="7" customFormat="1">
      <c r="G271" s="8"/>
      <c r="H271" s="8"/>
      <c r="I271" s="8"/>
      <c r="J271" s="8"/>
      <c r="K271" s="8"/>
      <c r="L271" s="8"/>
      <c r="M271" s="8"/>
      <c r="S271" s="5"/>
      <c r="T271" s="6"/>
      <c r="U271" s="5"/>
      <c r="V271" s="6"/>
      <c r="W271" s="8"/>
    </row>
    <row r="272" spans="7:23" s="7" customFormat="1">
      <c r="G272" s="8"/>
      <c r="H272" s="8"/>
      <c r="I272" s="8"/>
      <c r="J272" s="8"/>
      <c r="K272" s="8"/>
      <c r="L272" s="8"/>
      <c r="M272" s="8"/>
      <c r="S272" s="5"/>
      <c r="T272" s="6"/>
      <c r="U272" s="5"/>
      <c r="V272" s="6"/>
      <c r="W272" s="8"/>
    </row>
    <row r="273" spans="7:23" s="7" customFormat="1">
      <c r="G273" s="8"/>
      <c r="H273" s="8"/>
      <c r="I273" s="8"/>
      <c r="J273" s="8"/>
      <c r="K273" s="8"/>
      <c r="L273" s="8"/>
      <c r="M273" s="8"/>
      <c r="S273" s="5"/>
      <c r="T273" s="6"/>
      <c r="U273" s="5"/>
      <c r="V273" s="6"/>
      <c r="W273" s="8"/>
    </row>
    <row r="274" spans="7:23" s="7" customFormat="1">
      <c r="G274" s="8"/>
      <c r="H274" s="8"/>
      <c r="I274" s="8"/>
      <c r="J274" s="8"/>
      <c r="K274" s="8"/>
      <c r="L274" s="8"/>
      <c r="M274" s="8"/>
      <c r="S274" s="5"/>
      <c r="T274" s="6"/>
      <c r="U274" s="5"/>
      <c r="V274" s="6"/>
      <c r="W274" s="8"/>
    </row>
    <row r="275" spans="7:23" s="7" customFormat="1">
      <c r="G275" s="8"/>
      <c r="H275" s="8"/>
      <c r="I275" s="8"/>
      <c r="J275" s="8"/>
      <c r="K275" s="8"/>
      <c r="L275" s="8"/>
      <c r="M275" s="8"/>
      <c r="S275" s="5"/>
      <c r="T275" s="6"/>
      <c r="U275" s="5"/>
      <c r="V275" s="6"/>
      <c r="W275" s="8"/>
    </row>
    <row r="276" spans="7:23" s="7" customFormat="1">
      <c r="G276" s="8"/>
      <c r="H276" s="8"/>
      <c r="I276" s="8"/>
      <c r="J276" s="8"/>
      <c r="K276" s="8"/>
      <c r="L276" s="8"/>
      <c r="M276" s="8"/>
      <c r="S276" s="5"/>
      <c r="T276" s="6"/>
      <c r="U276" s="5"/>
      <c r="V276" s="6"/>
      <c r="W276" s="8"/>
    </row>
    <row r="277" spans="7:23" s="7" customFormat="1">
      <c r="G277" s="8"/>
      <c r="H277" s="8"/>
      <c r="I277" s="8"/>
      <c r="J277" s="8"/>
      <c r="K277" s="8"/>
      <c r="L277" s="8"/>
      <c r="M277" s="8"/>
      <c r="S277" s="5"/>
      <c r="T277" s="6"/>
      <c r="U277" s="5"/>
      <c r="V277" s="6"/>
      <c r="W277" s="8"/>
    </row>
    <row r="278" spans="7:23" s="7" customFormat="1">
      <c r="G278" s="8"/>
      <c r="H278" s="8"/>
      <c r="I278" s="8"/>
      <c r="J278" s="8"/>
      <c r="K278" s="8"/>
      <c r="L278" s="8"/>
      <c r="M278" s="8"/>
      <c r="S278" s="5"/>
      <c r="T278" s="6"/>
      <c r="U278" s="5"/>
      <c r="V278" s="6"/>
      <c r="W278" s="8"/>
    </row>
    <row r="279" spans="7:23" s="7" customFormat="1">
      <c r="G279" s="8"/>
      <c r="H279" s="8"/>
      <c r="I279" s="8"/>
      <c r="J279" s="8"/>
      <c r="K279" s="8"/>
      <c r="L279" s="8"/>
      <c r="M279" s="8"/>
      <c r="S279" s="5"/>
      <c r="T279" s="6"/>
      <c r="U279" s="5"/>
      <c r="V279" s="6"/>
      <c r="W279" s="8"/>
    </row>
    <row r="280" spans="7:23" s="7" customFormat="1">
      <c r="G280" s="8"/>
      <c r="H280" s="8"/>
      <c r="I280" s="8"/>
      <c r="J280" s="8"/>
      <c r="K280" s="8"/>
      <c r="L280" s="8"/>
      <c r="M280" s="8"/>
      <c r="S280" s="5"/>
      <c r="T280" s="6"/>
      <c r="U280" s="5"/>
      <c r="V280" s="6"/>
      <c r="W280" s="8"/>
    </row>
    <row r="281" spans="7:23" s="7" customFormat="1">
      <c r="G281" s="8"/>
      <c r="H281" s="8"/>
      <c r="I281" s="8"/>
      <c r="J281" s="8"/>
      <c r="K281" s="8"/>
      <c r="L281" s="8"/>
      <c r="M281" s="8"/>
      <c r="S281" s="5"/>
      <c r="T281" s="6"/>
      <c r="U281" s="5"/>
      <c r="V281" s="6"/>
      <c r="W281" s="8"/>
    </row>
    <row r="282" spans="7:23" s="7" customFormat="1">
      <c r="G282" s="8"/>
      <c r="H282" s="8"/>
      <c r="I282" s="8"/>
      <c r="J282" s="8"/>
      <c r="K282" s="8"/>
      <c r="L282" s="8"/>
      <c r="M282" s="8"/>
      <c r="S282" s="5"/>
      <c r="T282" s="6"/>
      <c r="U282" s="5"/>
      <c r="V282" s="6"/>
      <c r="W282" s="8"/>
    </row>
    <row r="283" spans="7:23" s="7" customFormat="1">
      <c r="G283" s="8"/>
      <c r="H283" s="8"/>
      <c r="I283" s="8"/>
      <c r="J283" s="8"/>
      <c r="K283" s="8"/>
      <c r="L283" s="8"/>
      <c r="M283" s="8"/>
      <c r="S283" s="5"/>
      <c r="T283" s="6"/>
      <c r="U283" s="5"/>
      <c r="V283" s="6"/>
      <c r="W283" s="8"/>
    </row>
    <row r="284" spans="7:23" s="7" customFormat="1">
      <c r="G284" s="8"/>
      <c r="H284" s="8"/>
      <c r="I284" s="8"/>
      <c r="J284" s="8"/>
      <c r="K284" s="8"/>
      <c r="L284" s="8"/>
      <c r="M284" s="8"/>
      <c r="S284" s="5"/>
      <c r="T284" s="6"/>
      <c r="U284" s="5"/>
      <c r="V284" s="6"/>
      <c r="W284" s="8"/>
    </row>
    <row r="285" spans="7:23" s="7" customFormat="1">
      <c r="G285" s="8"/>
      <c r="H285" s="8"/>
      <c r="I285" s="8"/>
      <c r="J285" s="8"/>
      <c r="K285" s="8"/>
      <c r="L285" s="8"/>
      <c r="M285" s="8"/>
      <c r="S285" s="5"/>
      <c r="T285" s="6"/>
      <c r="U285" s="5"/>
      <c r="V285" s="6"/>
      <c r="W285" s="8"/>
    </row>
    <row r="286" spans="7:23" s="7" customFormat="1">
      <c r="G286" s="8"/>
      <c r="H286" s="8"/>
      <c r="I286" s="8"/>
      <c r="J286" s="8"/>
      <c r="K286" s="8"/>
      <c r="L286" s="8"/>
      <c r="M286" s="8"/>
      <c r="S286" s="5"/>
      <c r="T286" s="6"/>
      <c r="U286" s="5"/>
      <c r="V286" s="6"/>
      <c r="W286" s="8"/>
    </row>
    <row r="287" spans="7:23" s="7" customFormat="1">
      <c r="G287" s="8"/>
      <c r="H287" s="8"/>
      <c r="I287" s="8"/>
      <c r="J287" s="8"/>
      <c r="K287" s="8"/>
      <c r="L287" s="8"/>
      <c r="M287" s="8"/>
      <c r="S287" s="5"/>
      <c r="T287" s="6"/>
      <c r="U287" s="5"/>
      <c r="V287" s="6"/>
      <c r="W287" s="8"/>
    </row>
    <row r="288" spans="7:23" s="7" customFormat="1">
      <c r="G288" s="8"/>
      <c r="H288" s="8"/>
      <c r="I288" s="8"/>
      <c r="J288" s="8"/>
      <c r="K288" s="8"/>
      <c r="L288" s="8"/>
      <c r="M288" s="8"/>
      <c r="S288" s="5"/>
      <c r="T288" s="6"/>
      <c r="U288" s="5"/>
      <c r="V288" s="6"/>
      <c r="W288" s="8"/>
    </row>
    <row r="289" spans="7:23" s="7" customFormat="1">
      <c r="G289" s="8"/>
      <c r="H289" s="8"/>
      <c r="I289" s="8"/>
      <c r="J289" s="8"/>
      <c r="K289" s="8"/>
      <c r="L289" s="8"/>
      <c r="M289" s="8"/>
      <c r="S289" s="5"/>
      <c r="T289" s="6"/>
      <c r="U289" s="5"/>
      <c r="V289" s="6"/>
      <c r="W289" s="8"/>
    </row>
    <row r="290" spans="7:23" s="7" customFormat="1">
      <c r="G290" s="8"/>
      <c r="H290" s="8"/>
      <c r="I290" s="8"/>
      <c r="J290" s="8"/>
      <c r="K290" s="8"/>
      <c r="L290" s="8"/>
      <c r="M290" s="8"/>
      <c r="S290" s="5"/>
      <c r="T290" s="6"/>
      <c r="U290" s="5"/>
      <c r="V290" s="6"/>
      <c r="W290" s="8"/>
    </row>
    <row r="291" spans="7:23" s="7" customFormat="1">
      <c r="G291" s="8"/>
      <c r="H291" s="8"/>
      <c r="I291" s="8"/>
      <c r="J291" s="8"/>
      <c r="K291" s="8"/>
      <c r="L291" s="8"/>
      <c r="M291" s="8"/>
      <c r="S291" s="5"/>
      <c r="T291" s="6"/>
      <c r="U291" s="5"/>
      <c r="V291" s="6"/>
      <c r="W291" s="8"/>
    </row>
    <row r="292" spans="7:23" s="7" customFormat="1">
      <c r="G292" s="8"/>
      <c r="H292" s="8"/>
      <c r="I292" s="8"/>
      <c r="J292" s="8"/>
      <c r="K292" s="8"/>
      <c r="L292" s="8"/>
      <c r="M292" s="8"/>
      <c r="S292" s="5"/>
      <c r="T292" s="6"/>
      <c r="U292" s="5"/>
      <c r="V292" s="6"/>
      <c r="W292" s="8"/>
    </row>
    <row r="293" spans="7:23" s="7" customFormat="1">
      <c r="G293" s="8"/>
      <c r="H293" s="8"/>
      <c r="I293" s="8"/>
      <c r="J293" s="8"/>
      <c r="K293" s="8"/>
      <c r="L293" s="8"/>
      <c r="M293" s="8"/>
      <c r="S293" s="5"/>
      <c r="T293" s="6"/>
      <c r="U293" s="5"/>
      <c r="V293" s="6"/>
      <c r="W293" s="8"/>
    </row>
    <row r="294" spans="7:23" s="7" customFormat="1">
      <c r="G294" s="8"/>
      <c r="H294" s="8"/>
      <c r="I294" s="8"/>
      <c r="J294" s="8"/>
      <c r="K294" s="8"/>
      <c r="L294" s="8"/>
      <c r="M294" s="8"/>
      <c r="S294" s="5"/>
      <c r="T294" s="6"/>
      <c r="U294" s="5"/>
      <c r="V294" s="6"/>
      <c r="W294" s="8"/>
    </row>
    <row r="295" spans="7:23" s="7" customFormat="1">
      <c r="G295" s="8"/>
      <c r="H295" s="8"/>
      <c r="I295" s="8"/>
      <c r="J295" s="8"/>
      <c r="K295" s="8"/>
      <c r="L295" s="8"/>
      <c r="M295" s="8"/>
      <c r="S295" s="5"/>
      <c r="T295" s="6"/>
      <c r="U295" s="5"/>
      <c r="V295" s="6"/>
      <c r="W295" s="8"/>
    </row>
    <row r="296" spans="7:23" s="7" customFormat="1">
      <c r="G296" s="8"/>
      <c r="H296" s="8"/>
      <c r="I296" s="8"/>
      <c r="J296" s="8"/>
      <c r="K296" s="8"/>
      <c r="L296" s="8"/>
      <c r="M296" s="8"/>
      <c r="S296" s="5"/>
      <c r="T296" s="6"/>
      <c r="U296" s="5"/>
      <c r="V296" s="6"/>
      <c r="W296" s="8"/>
    </row>
    <row r="297" spans="7:23" s="7" customFormat="1">
      <c r="G297" s="8"/>
      <c r="H297" s="8"/>
      <c r="I297" s="8"/>
      <c r="J297" s="8"/>
      <c r="K297" s="8"/>
      <c r="L297" s="8"/>
      <c r="M297" s="8"/>
      <c r="S297" s="5"/>
      <c r="T297" s="6"/>
      <c r="U297" s="5"/>
      <c r="V297" s="6"/>
      <c r="W297" s="8"/>
    </row>
    <row r="298" spans="7:23" s="7" customFormat="1">
      <c r="G298" s="8"/>
      <c r="H298" s="8"/>
      <c r="I298" s="8"/>
      <c r="J298" s="8"/>
      <c r="K298" s="8"/>
      <c r="L298" s="8"/>
      <c r="M298" s="8"/>
      <c r="S298" s="5"/>
      <c r="T298" s="6"/>
      <c r="U298" s="5"/>
      <c r="V298" s="6"/>
      <c r="W298" s="8"/>
    </row>
    <row r="299" spans="7:23" s="7" customFormat="1">
      <c r="G299" s="8"/>
      <c r="H299" s="8"/>
      <c r="I299" s="8"/>
      <c r="J299" s="8"/>
      <c r="K299" s="8"/>
      <c r="L299" s="8"/>
      <c r="M299" s="8"/>
      <c r="S299" s="5"/>
      <c r="T299" s="6"/>
      <c r="U299" s="5"/>
      <c r="V299" s="6"/>
      <c r="W299" s="8"/>
    </row>
    <row r="300" spans="7:23" s="7" customFormat="1">
      <c r="G300" s="8"/>
      <c r="H300" s="8"/>
      <c r="I300" s="8"/>
      <c r="J300" s="8"/>
      <c r="K300" s="8"/>
      <c r="L300" s="8"/>
      <c r="M300" s="8"/>
      <c r="S300" s="5"/>
      <c r="T300" s="6"/>
      <c r="U300" s="5"/>
      <c r="V300" s="6"/>
      <c r="W300" s="8"/>
    </row>
    <row r="301" spans="7:23" s="7" customFormat="1">
      <c r="G301" s="8"/>
      <c r="H301" s="8"/>
      <c r="I301" s="8"/>
      <c r="J301" s="8"/>
      <c r="K301" s="8"/>
      <c r="L301" s="8"/>
      <c r="M301" s="8"/>
      <c r="S301" s="5"/>
      <c r="T301" s="6"/>
      <c r="U301" s="5"/>
      <c r="V301" s="6"/>
      <c r="W301" s="8"/>
    </row>
    <row r="302" spans="7:23" s="7" customFormat="1">
      <c r="G302" s="8"/>
      <c r="H302" s="8"/>
      <c r="I302" s="8"/>
      <c r="J302" s="8"/>
      <c r="K302" s="8"/>
      <c r="L302" s="8"/>
      <c r="M302" s="8"/>
      <c r="S302" s="5"/>
      <c r="T302" s="6"/>
      <c r="U302" s="5"/>
      <c r="V302" s="6"/>
      <c r="W302" s="8"/>
    </row>
    <row r="303" spans="7:23" s="7" customFormat="1">
      <c r="G303" s="8"/>
      <c r="H303" s="8"/>
      <c r="I303" s="8"/>
      <c r="J303" s="8"/>
      <c r="K303" s="8"/>
      <c r="L303" s="8"/>
      <c r="M303" s="8"/>
      <c r="S303" s="5"/>
      <c r="T303" s="6"/>
      <c r="U303" s="5"/>
      <c r="V303" s="6"/>
      <c r="W303" s="8"/>
    </row>
    <row r="304" spans="7:23" s="7" customFormat="1">
      <c r="G304" s="8"/>
      <c r="H304" s="8"/>
      <c r="I304" s="8"/>
      <c r="J304" s="8"/>
      <c r="K304" s="8"/>
      <c r="L304" s="8"/>
      <c r="M304" s="8"/>
      <c r="S304" s="5"/>
      <c r="T304" s="6"/>
      <c r="U304" s="5"/>
      <c r="V304" s="6"/>
      <c r="W304" s="8"/>
    </row>
    <row r="305" spans="7:23" s="7" customFormat="1">
      <c r="G305" s="8"/>
      <c r="H305" s="8"/>
      <c r="I305" s="8"/>
      <c r="J305" s="8"/>
      <c r="K305" s="8"/>
      <c r="L305" s="8"/>
      <c r="M305" s="8"/>
      <c r="S305" s="5"/>
      <c r="T305" s="6"/>
      <c r="U305" s="5"/>
      <c r="V305" s="6"/>
      <c r="W305" s="8"/>
    </row>
    <row r="306" spans="7:23" s="7" customFormat="1">
      <c r="G306" s="8"/>
      <c r="H306" s="8"/>
      <c r="I306" s="8"/>
      <c r="J306" s="8"/>
      <c r="K306" s="8"/>
      <c r="L306" s="8"/>
      <c r="M306" s="8"/>
      <c r="S306" s="5"/>
      <c r="T306" s="6"/>
      <c r="U306" s="5"/>
      <c r="V306" s="6"/>
      <c r="W306" s="8"/>
    </row>
    <row r="307" spans="7:23" s="7" customFormat="1">
      <c r="G307" s="8"/>
      <c r="H307" s="8"/>
      <c r="I307" s="8"/>
      <c r="J307" s="8"/>
      <c r="K307" s="8"/>
      <c r="L307" s="8"/>
      <c r="M307" s="8"/>
      <c r="S307" s="5"/>
      <c r="T307" s="6"/>
      <c r="U307" s="5"/>
      <c r="V307" s="6"/>
      <c r="W307" s="8"/>
    </row>
    <row r="308" spans="7:23" s="7" customFormat="1">
      <c r="G308" s="8"/>
      <c r="H308" s="8"/>
      <c r="I308" s="8"/>
      <c r="J308" s="8"/>
      <c r="K308" s="8"/>
      <c r="L308" s="8"/>
      <c r="M308" s="8"/>
      <c r="S308" s="5"/>
      <c r="T308" s="6"/>
      <c r="U308" s="5"/>
      <c r="V308" s="6"/>
      <c r="W308" s="8"/>
    </row>
    <row r="309" spans="7:23" s="7" customFormat="1">
      <c r="G309" s="8"/>
      <c r="H309" s="8"/>
      <c r="I309" s="8"/>
      <c r="J309" s="8"/>
      <c r="K309" s="8"/>
      <c r="L309" s="8"/>
      <c r="M309" s="8"/>
      <c r="S309" s="5"/>
      <c r="T309" s="6"/>
      <c r="U309" s="5"/>
      <c r="V309" s="6"/>
      <c r="W309" s="8"/>
    </row>
    <row r="310" spans="7:23" s="7" customFormat="1">
      <c r="G310" s="8"/>
      <c r="H310" s="8"/>
      <c r="I310" s="8"/>
      <c r="J310" s="8"/>
      <c r="K310" s="8"/>
      <c r="L310" s="8"/>
      <c r="M310" s="8"/>
      <c r="S310" s="5"/>
      <c r="T310" s="6"/>
      <c r="U310" s="5"/>
      <c r="V310" s="6"/>
      <c r="W310" s="8"/>
    </row>
    <row r="311" spans="7:23" s="7" customFormat="1">
      <c r="G311" s="8"/>
      <c r="H311" s="8"/>
      <c r="I311" s="8"/>
      <c r="J311" s="8"/>
      <c r="K311" s="8"/>
      <c r="L311" s="8"/>
      <c r="M311" s="8"/>
      <c r="S311" s="5"/>
      <c r="T311" s="6"/>
      <c r="U311" s="5"/>
      <c r="V311" s="6"/>
      <c r="W311" s="8"/>
    </row>
    <row r="312" spans="7:23" s="7" customFormat="1">
      <c r="G312" s="8"/>
      <c r="H312" s="8"/>
      <c r="I312" s="8"/>
      <c r="J312" s="8"/>
      <c r="K312" s="8"/>
      <c r="L312" s="8"/>
      <c r="M312" s="8"/>
      <c r="S312" s="5"/>
      <c r="T312" s="6"/>
      <c r="U312" s="5"/>
      <c r="V312" s="6"/>
      <c r="W312" s="8"/>
    </row>
    <row r="313" spans="7:23" s="7" customFormat="1">
      <c r="G313" s="8"/>
      <c r="H313" s="8"/>
      <c r="I313" s="8"/>
      <c r="J313" s="8"/>
      <c r="K313" s="8"/>
      <c r="L313" s="8"/>
      <c r="M313" s="8"/>
      <c r="S313" s="5"/>
      <c r="T313" s="6"/>
      <c r="U313" s="5"/>
      <c r="V313" s="6"/>
      <c r="W313" s="8"/>
    </row>
    <row r="314" spans="7:23" s="7" customFormat="1">
      <c r="G314" s="8"/>
      <c r="H314" s="8"/>
      <c r="I314" s="8"/>
      <c r="J314" s="8"/>
      <c r="K314" s="8"/>
      <c r="L314" s="8"/>
      <c r="M314" s="8"/>
      <c r="S314" s="5"/>
      <c r="T314" s="6"/>
      <c r="U314" s="5"/>
      <c r="V314" s="6"/>
      <c r="W314" s="8"/>
    </row>
    <row r="315" spans="7:23" s="7" customFormat="1">
      <c r="G315" s="8"/>
      <c r="H315" s="8"/>
      <c r="I315" s="8"/>
      <c r="J315" s="8"/>
      <c r="K315" s="8"/>
      <c r="L315" s="8"/>
      <c r="M315" s="8"/>
      <c r="S315" s="5"/>
      <c r="T315" s="6"/>
      <c r="U315" s="5"/>
      <c r="V315" s="6"/>
      <c r="W315" s="8"/>
    </row>
    <row r="316" spans="7:23" s="7" customFormat="1">
      <c r="G316" s="8"/>
      <c r="H316" s="8"/>
      <c r="I316" s="8"/>
      <c r="J316" s="8"/>
      <c r="K316" s="8"/>
      <c r="L316" s="8"/>
      <c r="M316" s="8"/>
      <c r="S316" s="5"/>
      <c r="T316" s="6"/>
      <c r="U316" s="5"/>
      <c r="V316" s="6"/>
      <c r="W316" s="8"/>
    </row>
    <row r="317" spans="7:23" s="7" customFormat="1">
      <c r="G317" s="8"/>
      <c r="H317" s="8"/>
      <c r="I317" s="8"/>
      <c r="J317" s="8"/>
      <c r="K317" s="8"/>
      <c r="L317" s="8"/>
      <c r="M317" s="8"/>
      <c r="S317" s="5"/>
      <c r="T317" s="6"/>
      <c r="U317" s="5"/>
      <c r="V317" s="6"/>
      <c r="W317" s="8"/>
    </row>
    <row r="318" spans="7:23" s="7" customFormat="1">
      <c r="G318" s="8"/>
      <c r="H318" s="8"/>
      <c r="I318" s="8"/>
      <c r="J318" s="8"/>
      <c r="K318" s="8"/>
      <c r="L318" s="8"/>
      <c r="M318" s="8"/>
      <c r="S318" s="5"/>
      <c r="T318" s="6"/>
      <c r="U318" s="5"/>
      <c r="V318" s="6"/>
      <c r="W318" s="8"/>
    </row>
    <row r="319" spans="7:23" s="7" customFormat="1">
      <c r="G319" s="8"/>
      <c r="H319" s="8"/>
      <c r="I319" s="8"/>
      <c r="J319" s="8"/>
      <c r="K319" s="8"/>
      <c r="L319" s="8"/>
      <c r="M319" s="8"/>
      <c r="S319" s="5"/>
      <c r="T319" s="6"/>
      <c r="U319" s="5"/>
      <c r="V319" s="6"/>
      <c r="W319" s="8"/>
    </row>
    <row r="320" spans="7:23" s="7" customFormat="1">
      <c r="G320" s="8"/>
      <c r="H320" s="8"/>
      <c r="I320" s="8"/>
      <c r="J320" s="8"/>
      <c r="K320" s="8"/>
      <c r="L320" s="8"/>
      <c r="M320" s="8"/>
      <c r="S320" s="5"/>
      <c r="T320" s="6"/>
      <c r="U320" s="5"/>
      <c r="V320" s="6"/>
      <c r="W320" s="8"/>
    </row>
    <row r="321" spans="7:23" s="7" customFormat="1">
      <c r="G321" s="8"/>
      <c r="H321" s="8"/>
      <c r="I321" s="8"/>
      <c r="J321" s="8"/>
      <c r="K321" s="8"/>
      <c r="L321" s="8"/>
      <c r="M321" s="8"/>
      <c r="S321" s="5"/>
      <c r="T321" s="6"/>
      <c r="U321" s="5"/>
      <c r="V321" s="6"/>
      <c r="W321" s="8"/>
    </row>
    <row r="322" spans="7:23" s="7" customFormat="1">
      <c r="G322" s="8"/>
      <c r="H322" s="8"/>
      <c r="I322" s="8"/>
      <c r="J322" s="8"/>
      <c r="K322" s="8"/>
      <c r="L322" s="8"/>
      <c r="M322" s="8"/>
      <c r="S322" s="5"/>
      <c r="T322" s="6"/>
      <c r="U322" s="5"/>
      <c r="V322" s="6"/>
      <c r="W322" s="8"/>
    </row>
    <row r="323" spans="7:23" s="7" customFormat="1">
      <c r="G323" s="8"/>
      <c r="H323" s="8"/>
      <c r="I323" s="8"/>
      <c r="J323" s="8"/>
      <c r="K323" s="8"/>
      <c r="L323" s="8"/>
      <c r="M323" s="8"/>
      <c r="S323" s="5"/>
      <c r="T323" s="6"/>
      <c r="U323" s="5"/>
      <c r="V323" s="6"/>
      <c r="W323" s="8"/>
    </row>
    <row r="324" spans="7:23" s="7" customFormat="1">
      <c r="G324" s="8"/>
      <c r="H324" s="8"/>
      <c r="I324" s="8"/>
      <c r="J324" s="8"/>
      <c r="K324" s="8"/>
      <c r="L324" s="8"/>
      <c r="M324" s="8"/>
      <c r="S324" s="5"/>
      <c r="T324" s="6"/>
      <c r="U324" s="5"/>
      <c r="V324" s="6"/>
      <c r="W324" s="8"/>
    </row>
    <row r="325" spans="7:23" s="7" customFormat="1">
      <c r="G325" s="8"/>
      <c r="H325" s="8"/>
      <c r="I325" s="8"/>
      <c r="J325" s="8"/>
      <c r="K325" s="8"/>
      <c r="L325" s="8"/>
      <c r="M325" s="8"/>
      <c r="S325" s="5"/>
      <c r="T325" s="6"/>
      <c r="U325" s="5"/>
      <c r="V325" s="6"/>
      <c r="W325" s="8"/>
    </row>
    <row r="326" spans="7:23" s="7" customFormat="1">
      <c r="G326" s="8"/>
      <c r="H326" s="8"/>
      <c r="I326" s="8"/>
      <c r="J326" s="8"/>
      <c r="K326" s="8"/>
      <c r="L326" s="8"/>
      <c r="M326" s="8"/>
      <c r="S326" s="5"/>
      <c r="T326" s="6"/>
      <c r="U326" s="5"/>
      <c r="V326" s="6"/>
      <c r="W326" s="8"/>
    </row>
    <row r="327" spans="7:23" s="7" customFormat="1">
      <c r="G327" s="8"/>
      <c r="H327" s="8"/>
      <c r="I327" s="8"/>
      <c r="J327" s="8"/>
      <c r="K327" s="8"/>
      <c r="L327" s="8"/>
      <c r="M327" s="8"/>
      <c r="S327" s="5"/>
      <c r="T327" s="6"/>
      <c r="U327" s="5"/>
      <c r="V327" s="6"/>
      <c r="W327" s="8"/>
    </row>
    <row r="328" spans="7:23" s="7" customFormat="1">
      <c r="G328" s="8"/>
      <c r="H328" s="8"/>
      <c r="I328" s="8"/>
      <c r="J328" s="8"/>
      <c r="K328" s="8"/>
      <c r="L328" s="8"/>
      <c r="M328" s="8"/>
      <c r="S328" s="5"/>
      <c r="T328" s="6"/>
      <c r="U328" s="5"/>
      <c r="V328" s="6"/>
      <c r="W328" s="8"/>
    </row>
    <row r="329" spans="7:23" s="7" customFormat="1">
      <c r="G329" s="8"/>
      <c r="H329" s="8"/>
      <c r="I329" s="8"/>
      <c r="J329" s="8"/>
      <c r="K329" s="8"/>
      <c r="L329" s="8"/>
      <c r="M329" s="8"/>
      <c r="S329" s="5"/>
      <c r="T329" s="6"/>
      <c r="U329" s="5"/>
      <c r="V329" s="6"/>
      <c r="W329" s="8"/>
    </row>
    <row r="330" spans="7:23" s="7" customFormat="1">
      <c r="G330" s="8"/>
      <c r="H330" s="8"/>
      <c r="I330" s="8"/>
      <c r="J330" s="8"/>
      <c r="K330" s="8"/>
      <c r="L330" s="8"/>
      <c r="M330" s="8"/>
      <c r="S330" s="5"/>
      <c r="T330" s="6"/>
      <c r="U330" s="5"/>
      <c r="V330" s="6"/>
      <c r="W330" s="8"/>
    </row>
    <row r="331" spans="7:23" s="7" customFormat="1">
      <c r="G331" s="8"/>
      <c r="H331" s="8"/>
      <c r="I331" s="8"/>
      <c r="J331" s="8"/>
      <c r="K331" s="8"/>
      <c r="L331" s="8"/>
      <c r="M331" s="8"/>
      <c r="S331" s="5"/>
      <c r="T331" s="6"/>
      <c r="U331" s="5"/>
      <c r="V331" s="6"/>
      <c r="W331" s="8"/>
    </row>
    <row r="332" spans="7:23" s="7" customFormat="1">
      <c r="G332" s="8"/>
      <c r="H332" s="8"/>
      <c r="I332" s="8"/>
      <c r="J332" s="8"/>
      <c r="K332" s="8"/>
      <c r="L332" s="8"/>
      <c r="M332" s="8"/>
      <c r="S332" s="5"/>
      <c r="T332" s="6"/>
      <c r="U332" s="5"/>
      <c r="V332" s="6"/>
      <c r="W332" s="8"/>
    </row>
    <row r="333" spans="7:23" s="7" customFormat="1">
      <c r="G333" s="8"/>
      <c r="H333" s="8"/>
      <c r="I333" s="8"/>
      <c r="J333" s="8"/>
      <c r="K333" s="8"/>
      <c r="L333" s="8"/>
      <c r="M333" s="8"/>
      <c r="S333" s="5"/>
      <c r="T333" s="6"/>
      <c r="U333" s="5"/>
      <c r="V333" s="6"/>
      <c r="W333" s="8"/>
    </row>
    <row r="334" spans="7:23" s="7" customFormat="1">
      <c r="G334" s="8"/>
      <c r="H334" s="8"/>
      <c r="I334" s="8"/>
      <c r="J334" s="8"/>
      <c r="K334" s="8"/>
      <c r="L334" s="8"/>
      <c r="M334" s="8"/>
      <c r="S334" s="5"/>
      <c r="T334" s="6"/>
      <c r="U334" s="5"/>
      <c r="V334" s="6"/>
      <c r="W334" s="8"/>
    </row>
    <row r="335" spans="7:23" s="7" customFormat="1">
      <c r="G335" s="8"/>
      <c r="H335" s="8"/>
      <c r="I335" s="8"/>
      <c r="J335" s="8"/>
      <c r="K335" s="8"/>
      <c r="L335" s="8"/>
      <c r="M335" s="8"/>
      <c r="S335" s="5"/>
      <c r="T335" s="6"/>
      <c r="U335" s="5"/>
      <c r="V335" s="6"/>
      <c r="W335" s="8"/>
    </row>
    <row r="336" spans="7:23" s="7" customFormat="1">
      <c r="G336" s="8"/>
      <c r="H336" s="8"/>
      <c r="I336" s="8"/>
      <c r="J336" s="8"/>
      <c r="K336" s="8"/>
      <c r="L336" s="8"/>
      <c r="M336" s="8"/>
      <c r="S336" s="5"/>
      <c r="T336" s="6"/>
      <c r="U336" s="5"/>
      <c r="V336" s="6"/>
      <c r="W336" s="8"/>
    </row>
    <row r="337" spans="7:23" s="7" customFormat="1">
      <c r="G337" s="8"/>
      <c r="H337" s="8"/>
      <c r="I337" s="8"/>
      <c r="J337" s="8"/>
      <c r="K337" s="8"/>
      <c r="L337" s="8"/>
      <c r="M337" s="8"/>
      <c r="S337" s="5"/>
      <c r="T337" s="6"/>
      <c r="U337" s="5"/>
      <c r="V337" s="6"/>
      <c r="W337" s="8"/>
    </row>
    <row r="338" spans="7:23" s="7" customFormat="1">
      <c r="G338" s="8"/>
      <c r="H338" s="8"/>
      <c r="I338" s="8"/>
      <c r="J338" s="8"/>
      <c r="K338" s="8"/>
      <c r="L338" s="8"/>
      <c r="M338" s="8"/>
      <c r="S338" s="5"/>
      <c r="T338" s="6"/>
      <c r="U338" s="5"/>
      <c r="V338" s="6"/>
      <c r="W338" s="8"/>
    </row>
    <row r="339" spans="7:23" s="7" customFormat="1">
      <c r="G339" s="8"/>
      <c r="H339" s="8"/>
      <c r="I339" s="8"/>
      <c r="J339" s="8"/>
      <c r="K339" s="8"/>
      <c r="L339" s="8"/>
      <c r="M339" s="8"/>
      <c r="S339" s="5"/>
      <c r="T339" s="6"/>
      <c r="U339" s="5"/>
      <c r="V339" s="6"/>
      <c r="W339" s="8"/>
    </row>
    <row r="340" spans="7:23" s="7" customFormat="1">
      <c r="G340" s="8"/>
      <c r="H340" s="8"/>
      <c r="I340" s="8"/>
      <c r="J340" s="8"/>
      <c r="K340" s="8"/>
      <c r="L340" s="8"/>
      <c r="M340" s="8"/>
      <c r="S340" s="5"/>
      <c r="T340" s="6"/>
      <c r="U340" s="5"/>
      <c r="V340" s="6"/>
      <c r="W340" s="8"/>
    </row>
    <row r="341" spans="7:23" s="7" customFormat="1">
      <c r="G341" s="8"/>
      <c r="H341" s="8"/>
      <c r="I341" s="8"/>
      <c r="J341" s="8"/>
      <c r="K341" s="8"/>
      <c r="L341" s="8"/>
      <c r="M341" s="8"/>
      <c r="S341" s="5"/>
      <c r="T341" s="6"/>
      <c r="U341" s="5"/>
      <c r="V341" s="6"/>
      <c r="W341" s="8"/>
    </row>
    <row r="342" spans="7:23" s="7" customFormat="1">
      <c r="G342" s="8"/>
      <c r="H342" s="8"/>
      <c r="I342" s="8"/>
      <c r="J342" s="8"/>
      <c r="K342" s="8"/>
      <c r="L342" s="8"/>
      <c r="M342" s="8"/>
      <c r="S342" s="5"/>
      <c r="T342" s="6"/>
      <c r="U342" s="5"/>
      <c r="V342" s="6"/>
      <c r="W342" s="8"/>
    </row>
    <row r="343" spans="7:23" s="7" customFormat="1">
      <c r="G343" s="8"/>
      <c r="H343" s="8"/>
      <c r="I343" s="8"/>
      <c r="J343" s="8"/>
      <c r="K343" s="8"/>
      <c r="L343" s="8"/>
      <c r="M343" s="8"/>
      <c r="S343" s="5"/>
      <c r="T343" s="6"/>
      <c r="U343" s="5"/>
      <c r="V343" s="6"/>
      <c r="W343" s="8"/>
    </row>
    <row r="344" spans="7:23" s="7" customFormat="1">
      <c r="G344" s="8"/>
      <c r="H344" s="8"/>
      <c r="I344" s="8"/>
      <c r="J344" s="8"/>
      <c r="K344" s="8"/>
      <c r="L344" s="8"/>
      <c r="M344" s="8"/>
      <c r="S344" s="5"/>
      <c r="T344" s="6"/>
      <c r="U344" s="5"/>
      <c r="V344" s="6"/>
      <c r="W344" s="8"/>
    </row>
    <row r="345" spans="7:23" s="7" customFormat="1">
      <c r="G345" s="8"/>
      <c r="H345" s="8"/>
      <c r="I345" s="8"/>
      <c r="J345" s="8"/>
      <c r="K345" s="8"/>
      <c r="L345" s="8"/>
      <c r="M345" s="8"/>
      <c r="S345" s="5"/>
      <c r="T345" s="6"/>
      <c r="U345" s="5"/>
      <c r="V345" s="6"/>
      <c r="W345" s="8"/>
    </row>
    <row r="346" spans="7:23" s="7" customFormat="1">
      <c r="G346" s="8"/>
      <c r="H346" s="8"/>
      <c r="I346" s="8"/>
      <c r="J346" s="8"/>
      <c r="K346" s="8"/>
      <c r="L346" s="8"/>
      <c r="M346" s="8"/>
      <c r="S346" s="5"/>
      <c r="T346" s="6"/>
      <c r="U346" s="5"/>
      <c r="V346" s="6"/>
      <c r="W346" s="8"/>
    </row>
    <row r="347" spans="7:23" s="7" customFormat="1">
      <c r="G347" s="8"/>
      <c r="H347" s="8"/>
      <c r="I347" s="8"/>
      <c r="J347" s="8"/>
      <c r="K347" s="8"/>
      <c r="L347" s="8"/>
      <c r="M347" s="8"/>
      <c r="S347" s="5"/>
      <c r="T347" s="6"/>
      <c r="U347" s="5"/>
      <c r="V347" s="6"/>
      <c r="W347" s="8"/>
    </row>
    <row r="348" spans="7:23" s="7" customFormat="1">
      <c r="G348" s="8"/>
      <c r="H348" s="8"/>
      <c r="I348" s="8"/>
      <c r="J348" s="8"/>
      <c r="K348" s="8"/>
      <c r="L348" s="8"/>
      <c r="M348" s="8"/>
      <c r="S348" s="5"/>
      <c r="T348" s="6"/>
      <c r="U348" s="5"/>
      <c r="V348" s="6"/>
      <c r="W348" s="8"/>
    </row>
    <row r="349" spans="7:23" s="7" customFormat="1">
      <c r="G349" s="8"/>
      <c r="H349" s="8"/>
      <c r="I349" s="8"/>
      <c r="J349" s="8"/>
      <c r="K349" s="8"/>
      <c r="L349" s="8"/>
      <c r="M349" s="8"/>
      <c r="S349" s="5"/>
      <c r="T349" s="6"/>
      <c r="U349" s="5"/>
      <c r="V349" s="6"/>
      <c r="W349" s="8"/>
    </row>
    <row r="350" spans="7:23" s="7" customFormat="1">
      <c r="G350" s="8"/>
      <c r="H350" s="8"/>
      <c r="I350" s="8"/>
      <c r="J350" s="8"/>
      <c r="K350" s="8"/>
      <c r="L350" s="8"/>
      <c r="M350" s="8"/>
      <c r="S350" s="5"/>
      <c r="T350" s="6"/>
      <c r="U350" s="5"/>
      <c r="V350" s="6"/>
      <c r="W350" s="8"/>
    </row>
    <row r="351" spans="7:23" s="7" customFormat="1">
      <c r="G351" s="8"/>
      <c r="H351" s="8"/>
      <c r="I351" s="8"/>
      <c r="J351" s="8"/>
      <c r="K351" s="8"/>
      <c r="L351" s="8"/>
      <c r="M351" s="8"/>
      <c r="S351" s="5"/>
      <c r="T351" s="6"/>
      <c r="U351" s="5"/>
      <c r="V351" s="6"/>
      <c r="W351" s="8"/>
    </row>
    <row r="352" spans="7:23" s="7" customFormat="1">
      <c r="G352" s="8"/>
      <c r="H352" s="8"/>
      <c r="I352" s="8"/>
      <c r="J352" s="8"/>
      <c r="K352" s="8"/>
      <c r="L352" s="8"/>
      <c r="M352" s="8"/>
      <c r="S352" s="5"/>
      <c r="T352" s="6"/>
      <c r="U352" s="5"/>
      <c r="V352" s="6"/>
      <c r="W352" s="8"/>
    </row>
    <row r="353" spans="7:23" s="7" customFormat="1">
      <c r="G353" s="8"/>
      <c r="H353" s="8"/>
      <c r="I353" s="8"/>
      <c r="J353" s="8"/>
      <c r="K353" s="8"/>
      <c r="L353" s="8"/>
      <c r="M353" s="8"/>
      <c r="S353" s="5"/>
      <c r="T353" s="6"/>
      <c r="U353" s="5"/>
      <c r="V353" s="6"/>
      <c r="W353" s="8"/>
    </row>
    <row r="354" spans="7:23" s="7" customFormat="1">
      <c r="G354" s="8"/>
      <c r="H354" s="8"/>
      <c r="I354" s="8"/>
      <c r="J354" s="8"/>
      <c r="K354" s="8"/>
      <c r="L354" s="8"/>
      <c r="M354" s="8"/>
      <c r="S354" s="5"/>
      <c r="T354" s="6"/>
      <c r="U354" s="5"/>
      <c r="V354" s="6"/>
      <c r="W354" s="8"/>
    </row>
    <row r="355" spans="7:23" s="7" customFormat="1">
      <c r="G355" s="8"/>
      <c r="H355" s="8"/>
      <c r="I355" s="8"/>
      <c r="J355" s="8"/>
      <c r="K355" s="8"/>
      <c r="L355" s="8"/>
      <c r="M355" s="8"/>
      <c r="S355" s="5"/>
      <c r="T355" s="6"/>
      <c r="U355" s="5"/>
      <c r="V355" s="6"/>
      <c r="W355" s="8"/>
    </row>
    <row r="356" spans="7:23" s="7" customFormat="1">
      <c r="G356" s="8"/>
      <c r="H356" s="8"/>
      <c r="I356" s="8"/>
      <c r="J356" s="8"/>
      <c r="K356" s="8"/>
      <c r="L356" s="8"/>
      <c r="M356" s="8"/>
      <c r="S356" s="5"/>
      <c r="T356" s="6"/>
      <c r="U356" s="5"/>
      <c r="V356" s="6"/>
      <c r="W356" s="8"/>
    </row>
    <row r="357" spans="7:23" s="7" customFormat="1">
      <c r="G357" s="8"/>
      <c r="H357" s="8"/>
      <c r="I357" s="8"/>
      <c r="J357" s="8"/>
      <c r="K357" s="8"/>
      <c r="L357" s="8"/>
      <c r="M357" s="8"/>
      <c r="S357" s="5"/>
      <c r="T357" s="6"/>
      <c r="U357" s="5"/>
      <c r="V357" s="6"/>
      <c r="W357" s="8"/>
    </row>
    <row r="358" spans="7:23" s="7" customFormat="1">
      <c r="G358" s="8"/>
      <c r="H358" s="8"/>
      <c r="I358" s="8"/>
      <c r="J358" s="8"/>
      <c r="K358" s="8"/>
      <c r="L358" s="8"/>
      <c r="M358" s="8"/>
      <c r="S358" s="5"/>
      <c r="T358" s="6"/>
      <c r="U358" s="5"/>
      <c r="V358" s="6"/>
      <c r="W358" s="8"/>
    </row>
    <row r="359" spans="7:23" s="7" customFormat="1">
      <c r="G359" s="8"/>
      <c r="H359" s="8"/>
      <c r="I359" s="8"/>
      <c r="J359" s="8"/>
      <c r="K359" s="8"/>
      <c r="L359" s="8"/>
      <c r="M359" s="8"/>
      <c r="S359" s="5"/>
      <c r="T359" s="6"/>
      <c r="U359" s="5"/>
      <c r="V359" s="6"/>
      <c r="W359" s="8"/>
    </row>
    <row r="360" spans="7:23" s="7" customFormat="1">
      <c r="G360" s="8"/>
      <c r="H360" s="8"/>
      <c r="I360" s="8"/>
      <c r="J360" s="8"/>
      <c r="K360" s="8"/>
      <c r="L360" s="8"/>
      <c r="M360" s="8"/>
      <c r="S360" s="5"/>
      <c r="T360" s="6"/>
      <c r="U360" s="5"/>
      <c r="V360" s="6"/>
      <c r="W360" s="8"/>
    </row>
    <row r="361" spans="7:23" s="7" customFormat="1">
      <c r="G361" s="8"/>
      <c r="H361" s="8"/>
      <c r="I361" s="8"/>
      <c r="J361" s="8"/>
      <c r="K361" s="8"/>
      <c r="L361" s="8"/>
      <c r="M361" s="8"/>
      <c r="S361" s="5"/>
      <c r="T361" s="6"/>
      <c r="U361" s="5"/>
      <c r="V361" s="6"/>
      <c r="W361" s="8"/>
    </row>
    <row r="362" spans="7:23" s="7" customFormat="1">
      <c r="G362" s="8"/>
      <c r="H362" s="8"/>
      <c r="I362" s="8"/>
      <c r="J362" s="8"/>
      <c r="K362" s="8"/>
      <c r="L362" s="8"/>
      <c r="M362" s="8"/>
      <c r="S362" s="5"/>
      <c r="T362" s="6"/>
      <c r="U362" s="5"/>
      <c r="V362" s="6"/>
      <c r="W362" s="8"/>
    </row>
    <row r="363" spans="7:23" s="7" customFormat="1">
      <c r="G363" s="8"/>
      <c r="H363" s="8"/>
      <c r="I363" s="8"/>
      <c r="J363" s="8"/>
      <c r="K363" s="8"/>
      <c r="L363" s="8"/>
      <c r="M363" s="8"/>
      <c r="S363" s="5"/>
      <c r="T363" s="6"/>
      <c r="U363" s="5"/>
      <c r="V363" s="6"/>
      <c r="W363" s="8"/>
    </row>
    <row r="364" spans="7:23" s="7" customFormat="1">
      <c r="G364" s="8"/>
      <c r="H364" s="8"/>
      <c r="I364" s="8"/>
      <c r="J364" s="8"/>
      <c r="K364" s="8"/>
      <c r="L364" s="8"/>
      <c r="M364" s="8"/>
      <c r="S364" s="5"/>
      <c r="T364" s="6"/>
      <c r="U364" s="5"/>
      <c r="V364" s="6"/>
      <c r="W364" s="8"/>
    </row>
    <row r="365" spans="7:23" s="7" customFormat="1">
      <c r="G365" s="8"/>
      <c r="H365" s="8"/>
      <c r="I365" s="8"/>
      <c r="J365" s="8"/>
      <c r="K365" s="8"/>
      <c r="L365" s="8"/>
      <c r="M365" s="8"/>
      <c r="S365" s="5"/>
      <c r="T365" s="6"/>
      <c r="U365" s="5"/>
      <c r="V365" s="6"/>
      <c r="W365" s="8"/>
    </row>
    <row r="366" spans="7:23" s="7" customFormat="1">
      <c r="G366" s="8"/>
      <c r="H366" s="8"/>
      <c r="I366" s="8"/>
      <c r="J366" s="8"/>
      <c r="K366" s="8"/>
      <c r="L366" s="8"/>
      <c r="M366" s="8"/>
      <c r="S366" s="5"/>
      <c r="T366" s="6"/>
      <c r="U366" s="5"/>
      <c r="V366" s="6"/>
      <c r="W366" s="8"/>
    </row>
    <row r="367" spans="7:23" s="7" customFormat="1">
      <c r="G367" s="8"/>
      <c r="H367" s="8"/>
      <c r="I367" s="8"/>
      <c r="J367" s="8"/>
      <c r="K367" s="8"/>
      <c r="L367" s="8"/>
      <c r="M367" s="8"/>
      <c r="S367" s="5"/>
      <c r="T367" s="6"/>
      <c r="U367" s="5"/>
      <c r="V367" s="6"/>
      <c r="W367" s="8"/>
    </row>
    <row r="368" spans="7:23" s="7" customFormat="1">
      <c r="G368" s="8"/>
      <c r="H368" s="8"/>
      <c r="I368" s="8"/>
      <c r="J368" s="8"/>
      <c r="K368" s="8"/>
      <c r="L368" s="8"/>
      <c r="M368" s="8"/>
      <c r="S368" s="5"/>
      <c r="T368" s="6"/>
      <c r="U368" s="5"/>
      <c r="V368" s="6"/>
      <c r="W368" s="8"/>
    </row>
    <row r="369" spans="7:23" s="7" customFormat="1">
      <c r="G369" s="8"/>
      <c r="H369" s="8"/>
      <c r="I369" s="8"/>
      <c r="J369" s="8"/>
      <c r="K369" s="8"/>
      <c r="L369" s="8"/>
      <c r="M369" s="8"/>
      <c r="S369" s="5"/>
      <c r="T369" s="6"/>
      <c r="U369" s="5"/>
      <c r="V369" s="6"/>
      <c r="W369" s="8"/>
    </row>
    <row r="370" spans="7:23" s="7" customFormat="1">
      <c r="G370" s="8"/>
      <c r="H370" s="8"/>
      <c r="I370" s="8"/>
      <c r="J370" s="8"/>
      <c r="K370" s="8"/>
      <c r="L370" s="8"/>
      <c r="M370" s="8"/>
      <c r="S370" s="5"/>
      <c r="T370" s="6"/>
      <c r="U370" s="5"/>
      <c r="V370" s="6"/>
      <c r="W370" s="8"/>
    </row>
    <row r="371" spans="7:23" s="7" customFormat="1">
      <c r="G371" s="8"/>
      <c r="H371" s="8"/>
      <c r="I371" s="8"/>
      <c r="J371" s="8"/>
      <c r="K371" s="8"/>
      <c r="L371" s="8"/>
      <c r="M371" s="8"/>
      <c r="S371" s="5"/>
      <c r="T371" s="6"/>
      <c r="U371" s="5"/>
      <c r="V371" s="6"/>
      <c r="W371" s="8"/>
    </row>
    <row r="372" spans="7:23" s="7" customFormat="1">
      <c r="G372" s="8"/>
      <c r="H372" s="8"/>
      <c r="I372" s="8"/>
      <c r="J372" s="8"/>
      <c r="K372" s="8"/>
      <c r="L372" s="8"/>
      <c r="M372" s="8"/>
      <c r="S372" s="5"/>
      <c r="T372" s="6"/>
      <c r="U372" s="5"/>
      <c r="V372" s="6"/>
      <c r="W372" s="8"/>
    </row>
    <row r="373" spans="7:23" s="7" customFormat="1">
      <c r="G373" s="8"/>
      <c r="H373" s="8"/>
      <c r="I373" s="8"/>
      <c r="J373" s="8"/>
      <c r="K373" s="8"/>
      <c r="L373" s="8"/>
      <c r="M373" s="8"/>
      <c r="S373" s="5"/>
      <c r="T373" s="6"/>
      <c r="U373" s="5"/>
      <c r="V373" s="6"/>
      <c r="W373" s="8"/>
    </row>
    <row r="374" spans="7:23" s="7" customFormat="1">
      <c r="G374" s="8"/>
      <c r="H374" s="8"/>
      <c r="I374" s="8"/>
      <c r="J374" s="8"/>
      <c r="K374" s="8"/>
      <c r="L374" s="8"/>
      <c r="M374" s="8"/>
      <c r="S374" s="5"/>
      <c r="T374" s="6"/>
      <c r="U374" s="5"/>
      <c r="V374" s="6"/>
      <c r="W374" s="8"/>
    </row>
    <row r="375" spans="7:23" s="7" customFormat="1">
      <c r="G375" s="8"/>
      <c r="H375" s="8"/>
      <c r="I375" s="8"/>
      <c r="J375" s="8"/>
      <c r="K375" s="8"/>
      <c r="L375" s="8"/>
      <c r="M375" s="8"/>
      <c r="S375" s="5"/>
      <c r="T375" s="6"/>
      <c r="U375" s="5"/>
      <c r="V375" s="6"/>
      <c r="W375" s="8"/>
    </row>
    <row r="376" spans="7:23" s="7" customFormat="1">
      <c r="G376" s="8"/>
      <c r="H376" s="8"/>
      <c r="I376" s="8"/>
      <c r="J376" s="8"/>
      <c r="K376" s="8"/>
      <c r="L376" s="8"/>
      <c r="M376" s="8"/>
      <c r="S376" s="5"/>
      <c r="T376" s="6"/>
      <c r="U376" s="5"/>
      <c r="V376" s="6"/>
      <c r="W376" s="8"/>
    </row>
    <row r="377" spans="7:23">
      <c r="G377" s="4"/>
      <c r="H377" s="4"/>
      <c r="J377" s="4"/>
      <c r="K377" s="4"/>
      <c r="L377" s="4"/>
      <c r="M377" s="4"/>
      <c r="T377" s="6"/>
      <c r="V377" s="6"/>
      <c r="W377" s="4"/>
    </row>
    <row r="378" spans="7:23">
      <c r="G378" s="4"/>
      <c r="H378" s="4"/>
      <c r="J378" s="4"/>
      <c r="K378" s="4"/>
      <c r="L378" s="4"/>
      <c r="M378" s="4"/>
      <c r="T378" s="6"/>
      <c r="V378" s="6"/>
      <c r="W378" s="4"/>
    </row>
    <row r="379" spans="7:23">
      <c r="G379" s="4"/>
      <c r="H379" s="4"/>
      <c r="J379" s="4"/>
      <c r="K379" s="4"/>
      <c r="L379" s="4"/>
      <c r="M379" s="4"/>
      <c r="T379" s="6"/>
      <c r="V379" s="6"/>
      <c r="W379" s="4"/>
    </row>
    <row r="380" spans="7:23">
      <c r="G380" s="4"/>
      <c r="H380" s="4"/>
      <c r="J380" s="4"/>
      <c r="K380" s="4"/>
      <c r="L380" s="4"/>
      <c r="M380" s="4"/>
      <c r="T380" s="6"/>
      <c r="V380" s="6"/>
      <c r="W380" s="4"/>
    </row>
    <row r="381" spans="7:23">
      <c r="G381" s="4"/>
      <c r="H381" s="4"/>
      <c r="J381" s="4"/>
      <c r="K381" s="4"/>
      <c r="L381" s="4"/>
      <c r="M381" s="4"/>
      <c r="T381" s="6"/>
      <c r="V381" s="6"/>
      <c r="W381" s="4"/>
    </row>
    <row r="382" spans="7:23">
      <c r="G382" s="4"/>
      <c r="H382" s="4"/>
      <c r="J382" s="4"/>
      <c r="K382" s="4"/>
      <c r="L382" s="4"/>
      <c r="M382" s="4"/>
      <c r="T382" s="6"/>
      <c r="V382" s="6"/>
      <c r="W382" s="4"/>
    </row>
    <row r="383" spans="7:23">
      <c r="G383" s="4"/>
      <c r="H383" s="4"/>
      <c r="J383" s="4"/>
      <c r="K383" s="4"/>
      <c r="L383" s="4"/>
      <c r="M383" s="4"/>
      <c r="T383" s="6"/>
      <c r="V383" s="6"/>
      <c r="W383" s="4"/>
    </row>
    <row r="384" spans="7:23">
      <c r="G384" s="4"/>
      <c r="H384" s="4"/>
      <c r="J384" s="4"/>
      <c r="K384" s="4"/>
      <c r="L384" s="4"/>
      <c r="M384" s="4"/>
      <c r="T384" s="6"/>
      <c r="V384" s="6"/>
      <c r="W384" s="4"/>
    </row>
    <row r="385" spans="7:23">
      <c r="G385" s="4"/>
      <c r="H385" s="4"/>
      <c r="J385" s="4"/>
      <c r="K385" s="4"/>
      <c r="L385" s="4"/>
      <c r="M385" s="4"/>
      <c r="T385" s="6"/>
      <c r="V385" s="6"/>
      <c r="W385" s="4"/>
    </row>
    <row r="386" spans="7:23">
      <c r="G386" s="4"/>
      <c r="H386" s="4"/>
      <c r="J386" s="4"/>
      <c r="K386" s="4"/>
      <c r="L386" s="4"/>
      <c r="M386" s="4"/>
      <c r="T386" s="6"/>
      <c r="V386" s="6"/>
      <c r="W386" s="4"/>
    </row>
    <row r="387" spans="7:23">
      <c r="G387" s="4"/>
      <c r="H387" s="4"/>
      <c r="J387" s="4"/>
      <c r="K387" s="4"/>
      <c r="L387" s="4"/>
      <c r="M387" s="4"/>
      <c r="T387" s="6"/>
      <c r="V387" s="6"/>
      <c r="W387" s="4"/>
    </row>
    <row r="388" spans="7:23">
      <c r="G388" s="4"/>
      <c r="H388" s="4"/>
      <c r="J388" s="4"/>
      <c r="K388" s="4"/>
      <c r="L388" s="4"/>
      <c r="M388" s="4"/>
      <c r="T388" s="6"/>
      <c r="V388" s="6"/>
      <c r="W388" s="4"/>
    </row>
    <row r="389" spans="7:23">
      <c r="G389" s="4"/>
      <c r="H389" s="4"/>
      <c r="J389" s="4"/>
      <c r="K389" s="4"/>
      <c r="L389" s="4"/>
      <c r="M389" s="4"/>
      <c r="T389" s="6"/>
      <c r="V389" s="6"/>
      <c r="W389" s="4"/>
    </row>
    <row r="390" spans="7:23">
      <c r="G390" s="4"/>
      <c r="H390" s="4"/>
      <c r="J390" s="4"/>
      <c r="K390" s="4"/>
      <c r="L390" s="4"/>
      <c r="M390" s="4"/>
      <c r="T390" s="6"/>
      <c r="V390" s="6"/>
      <c r="W390" s="4"/>
    </row>
    <row r="391" spans="7:23">
      <c r="G391" s="4"/>
      <c r="H391" s="4"/>
      <c r="J391" s="4"/>
      <c r="K391" s="4"/>
      <c r="L391" s="4"/>
      <c r="M391" s="4"/>
      <c r="T391" s="6"/>
      <c r="V391" s="6"/>
      <c r="W391" s="4"/>
    </row>
    <row r="392" spans="7:23">
      <c r="G392" s="4"/>
      <c r="H392" s="4"/>
      <c r="J392" s="4"/>
      <c r="K392" s="4"/>
      <c r="L392" s="4"/>
      <c r="M392" s="4"/>
      <c r="T392" s="6"/>
      <c r="V392" s="6"/>
      <c r="W392" s="4"/>
    </row>
    <row r="393" spans="7:23">
      <c r="G393" s="4"/>
      <c r="H393" s="4"/>
      <c r="J393" s="4"/>
      <c r="K393" s="4"/>
      <c r="L393" s="4"/>
      <c r="M393" s="4"/>
      <c r="T393" s="6"/>
      <c r="V393" s="6"/>
      <c r="W393" s="4"/>
    </row>
    <row r="394" spans="7:23">
      <c r="G394" s="4"/>
      <c r="H394" s="4"/>
      <c r="J394" s="4"/>
      <c r="K394" s="4"/>
      <c r="L394" s="4"/>
      <c r="M394" s="4"/>
      <c r="T394" s="6"/>
      <c r="V394" s="6"/>
      <c r="W394" s="4"/>
    </row>
    <row r="395" spans="7:23">
      <c r="G395" s="4"/>
      <c r="H395" s="4"/>
      <c r="J395" s="4"/>
      <c r="K395" s="4"/>
      <c r="L395" s="4"/>
      <c r="M395" s="4"/>
      <c r="T395" s="6"/>
      <c r="V395" s="6"/>
      <c r="W395" s="4"/>
    </row>
    <row r="396" spans="7:23">
      <c r="G396" s="4"/>
      <c r="H396" s="4"/>
      <c r="J396" s="4"/>
      <c r="K396" s="4"/>
      <c r="L396" s="4"/>
      <c r="M396" s="4"/>
      <c r="T396" s="6"/>
      <c r="V396" s="6"/>
      <c r="W396" s="4"/>
    </row>
    <row r="397" spans="7:23">
      <c r="G397" s="4"/>
      <c r="H397" s="4"/>
      <c r="J397" s="4"/>
      <c r="K397" s="4"/>
      <c r="L397" s="4"/>
      <c r="M397" s="4"/>
      <c r="T397" s="6"/>
      <c r="V397" s="6"/>
      <c r="W397" s="4"/>
    </row>
    <row r="398" spans="7:23">
      <c r="G398" s="4"/>
      <c r="H398" s="4"/>
      <c r="J398" s="4"/>
      <c r="K398" s="4"/>
      <c r="L398" s="4"/>
      <c r="M398" s="4"/>
      <c r="T398" s="6"/>
      <c r="V398" s="6"/>
      <c r="W398" s="4"/>
    </row>
    <row r="399" spans="7:23">
      <c r="G399" s="4"/>
      <c r="H399" s="4"/>
      <c r="J399" s="4"/>
      <c r="K399" s="4"/>
      <c r="L399" s="4"/>
      <c r="M399" s="4"/>
      <c r="T399" s="6"/>
      <c r="V399" s="6"/>
      <c r="W399" s="4"/>
    </row>
    <row r="400" spans="7:23">
      <c r="G400" s="4"/>
      <c r="H400" s="4"/>
      <c r="J400" s="4"/>
      <c r="K400" s="4"/>
      <c r="L400" s="4"/>
      <c r="M400" s="4"/>
      <c r="T400" s="6"/>
      <c r="V400" s="6"/>
      <c r="W400" s="4"/>
    </row>
    <row r="401" spans="7:23">
      <c r="G401" s="4"/>
      <c r="H401" s="4"/>
      <c r="J401" s="4"/>
      <c r="K401" s="4"/>
      <c r="L401" s="4"/>
      <c r="M401" s="4"/>
      <c r="T401" s="6"/>
      <c r="V401" s="6"/>
      <c r="W401" s="4"/>
    </row>
    <row r="402" spans="7:23">
      <c r="G402" s="4"/>
      <c r="H402" s="4"/>
      <c r="J402" s="4"/>
      <c r="K402" s="4"/>
      <c r="L402" s="4"/>
      <c r="M402" s="4"/>
      <c r="T402" s="6"/>
      <c r="V402" s="6"/>
      <c r="W402" s="4"/>
    </row>
    <row r="403" spans="7:23">
      <c r="G403" s="4"/>
      <c r="H403" s="4"/>
      <c r="J403" s="4"/>
      <c r="K403" s="4"/>
      <c r="L403" s="4"/>
      <c r="M403" s="4"/>
      <c r="T403" s="6"/>
      <c r="V403" s="6"/>
      <c r="W403" s="4"/>
    </row>
    <row r="404" spans="7:23">
      <c r="G404" s="4"/>
      <c r="H404" s="4"/>
      <c r="J404" s="4"/>
      <c r="K404" s="4"/>
      <c r="L404" s="4"/>
      <c r="M404" s="4"/>
      <c r="T404" s="6"/>
      <c r="V404" s="6"/>
      <c r="W404" s="4"/>
    </row>
    <row r="405" spans="7:23">
      <c r="G405" s="4"/>
      <c r="H405" s="4"/>
      <c r="J405" s="4"/>
      <c r="K405" s="4"/>
      <c r="L405" s="4"/>
      <c r="M405" s="4"/>
      <c r="T405" s="6"/>
      <c r="V405" s="6"/>
      <c r="W405" s="4"/>
    </row>
    <row r="406" spans="7:23">
      <c r="G406" s="4"/>
      <c r="H406" s="4"/>
      <c r="J406" s="4"/>
      <c r="K406" s="4"/>
      <c r="L406" s="4"/>
      <c r="M406" s="4"/>
      <c r="T406" s="6"/>
      <c r="V406" s="6"/>
      <c r="W406" s="4"/>
    </row>
    <row r="407" spans="7:23">
      <c r="G407" s="4"/>
      <c r="H407" s="4"/>
      <c r="J407" s="4"/>
      <c r="K407" s="4"/>
      <c r="L407" s="4"/>
      <c r="M407" s="4"/>
      <c r="T407" s="6"/>
      <c r="V407" s="6"/>
      <c r="W407" s="4"/>
    </row>
    <row r="408" spans="7:23">
      <c r="G408" s="4"/>
      <c r="H408" s="4"/>
      <c r="J408" s="4"/>
      <c r="K408" s="4"/>
      <c r="L408" s="4"/>
      <c r="M408" s="4"/>
      <c r="T408" s="6"/>
      <c r="V408" s="6"/>
      <c r="W408" s="4"/>
    </row>
    <row r="409" spans="7:23">
      <c r="G409" s="4"/>
      <c r="H409" s="4"/>
      <c r="J409" s="4"/>
      <c r="K409" s="4"/>
      <c r="L409" s="4"/>
      <c r="M409" s="4"/>
      <c r="T409" s="6"/>
      <c r="V409" s="6"/>
      <c r="W409" s="4"/>
    </row>
    <row r="410" spans="7:23">
      <c r="G410" s="4"/>
      <c r="H410" s="4"/>
      <c r="J410" s="4"/>
      <c r="K410" s="4"/>
      <c r="L410" s="4"/>
      <c r="M410" s="4"/>
      <c r="T410" s="6"/>
      <c r="V410" s="6"/>
      <c r="W410" s="4"/>
    </row>
    <row r="411" spans="7:23">
      <c r="G411" s="4"/>
      <c r="H411" s="4"/>
      <c r="J411" s="4"/>
      <c r="K411" s="4"/>
      <c r="L411" s="4"/>
      <c r="M411" s="4"/>
      <c r="T411" s="6"/>
      <c r="V411" s="6"/>
      <c r="W411" s="4"/>
    </row>
    <row r="412" spans="7:23">
      <c r="G412" s="4"/>
      <c r="H412" s="4"/>
      <c r="J412" s="4"/>
      <c r="K412" s="4"/>
      <c r="L412" s="4"/>
      <c r="M412" s="4"/>
      <c r="T412" s="6"/>
      <c r="V412" s="6"/>
      <c r="W412" s="4"/>
    </row>
    <row r="413" spans="7:23">
      <c r="G413" s="4"/>
      <c r="H413" s="4"/>
      <c r="J413" s="4"/>
      <c r="K413" s="4"/>
      <c r="L413" s="4"/>
      <c r="M413" s="4"/>
      <c r="T413" s="6"/>
      <c r="V413" s="6"/>
      <c r="W413" s="4"/>
    </row>
    <row r="414" spans="7:23">
      <c r="G414" s="4"/>
      <c r="H414" s="4"/>
      <c r="J414" s="4"/>
      <c r="K414" s="4"/>
      <c r="L414" s="4"/>
      <c r="M414" s="4"/>
      <c r="T414" s="6"/>
      <c r="V414" s="6"/>
      <c r="W414" s="4"/>
    </row>
    <row r="415" spans="7:23">
      <c r="G415" s="4"/>
      <c r="H415" s="4"/>
      <c r="J415" s="4"/>
      <c r="K415" s="4"/>
      <c r="L415" s="4"/>
      <c r="M415" s="4"/>
      <c r="T415" s="6"/>
      <c r="V415" s="6"/>
      <c r="W415" s="4"/>
    </row>
    <row r="416" spans="7:23">
      <c r="G416" s="4"/>
      <c r="H416" s="4"/>
      <c r="J416" s="4"/>
      <c r="K416" s="4"/>
      <c r="L416" s="4"/>
      <c r="M416" s="4"/>
      <c r="T416" s="6"/>
      <c r="V416" s="6"/>
      <c r="W416" s="4"/>
    </row>
    <row r="417" spans="7:23">
      <c r="G417" s="4"/>
      <c r="H417" s="4"/>
      <c r="J417" s="4"/>
      <c r="K417" s="4"/>
      <c r="L417" s="4"/>
      <c r="M417" s="4"/>
      <c r="T417" s="6"/>
      <c r="V417" s="6"/>
      <c r="W417" s="4"/>
    </row>
    <row r="418" spans="7:23">
      <c r="G418" s="4"/>
      <c r="H418" s="4"/>
      <c r="J418" s="4"/>
      <c r="K418" s="4"/>
      <c r="L418" s="4"/>
      <c r="M418" s="4"/>
      <c r="T418" s="6"/>
      <c r="V418" s="6"/>
      <c r="W418" s="4"/>
    </row>
    <row r="419" spans="7:23">
      <c r="G419" s="4"/>
      <c r="H419" s="4"/>
      <c r="J419" s="4"/>
      <c r="K419" s="4"/>
      <c r="L419" s="4"/>
      <c r="M419" s="4"/>
      <c r="T419" s="6"/>
      <c r="V419" s="6"/>
      <c r="W419" s="4"/>
    </row>
    <row r="420" spans="7:23">
      <c r="G420" s="4"/>
      <c r="H420" s="4"/>
      <c r="J420" s="4"/>
      <c r="K420" s="4"/>
      <c r="L420" s="4"/>
      <c r="M420" s="4"/>
      <c r="T420" s="6"/>
      <c r="V420" s="6"/>
      <c r="W420" s="4"/>
    </row>
    <row r="421" spans="7:23">
      <c r="G421" s="4"/>
      <c r="H421" s="4"/>
      <c r="J421" s="4"/>
      <c r="K421" s="4"/>
      <c r="L421" s="4"/>
      <c r="M421" s="4"/>
      <c r="T421" s="6"/>
      <c r="V421" s="6"/>
      <c r="W421" s="4"/>
    </row>
    <row r="422" spans="7:23">
      <c r="G422" s="4"/>
      <c r="H422" s="4"/>
      <c r="J422" s="4"/>
      <c r="K422" s="4"/>
      <c r="L422" s="4"/>
      <c r="M422" s="4"/>
      <c r="T422" s="6"/>
      <c r="V422" s="6"/>
      <c r="W422" s="4"/>
    </row>
    <row r="423" spans="7:23">
      <c r="G423" s="4"/>
      <c r="H423" s="4"/>
      <c r="J423" s="4"/>
      <c r="K423" s="4"/>
      <c r="L423" s="4"/>
      <c r="M423" s="4"/>
      <c r="T423" s="6"/>
      <c r="V423" s="6"/>
      <c r="W423" s="4"/>
    </row>
    <row r="424" spans="7:23">
      <c r="G424" s="4"/>
      <c r="H424" s="4"/>
      <c r="J424" s="4"/>
      <c r="K424" s="4"/>
      <c r="L424" s="4"/>
      <c r="M424" s="4"/>
      <c r="T424" s="6"/>
      <c r="V424" s="6"/>
      <c r="W424" s="4"/>
    </row>
    <row r="425" spans="7:23">
      <c r="G425" s="4"/>
      <c r="H425" s="4"/>
      <c r="J425" s="4"/>
      <c r="K425" s="4"/>
      <c r="L425" s="4"/>
      <c r="M425" s="4"/>
      <c r="T425" s="6"/>
      <c r="V425" s="6"/>
      <c r="W425" s="4"/>
    </row>
    <row r="426" spans="7:23">
      <c r="G426" s="4"/>
      <c r="H426" s="4"/>
      <c r="J426" s="4"/>
      <c r="K426" s="4"/>
      <c r="L426" s="4"/>
      <c r="M426" s="4"/>
      <c r="T426" s="6"/>
      <c r="V426" s="6"/>
      <c r="W426" s="4"/>
    </row>
    <row r="427" spans="7:23">
      <c r="G427" s="4"/>
      <c r="H427" s="4"/>
      <c r="J427" s="4"/>
      <c r="K427" s="4"/>
      <c r="L427" s="4"/>
      <c r="M427" s="4"/>
      <c r="T427" s="6"/>
      <c r="V427" s="6"/>
      <c r="W427" s="4"/>
    </row>
    <row r="428" spans="7:23">
      <c r="G428" s="4"/>
      <c r="H428" s="4"/>
      <c r="J428" s="4"/>
      <c r="K428" s="4"/>
      <c r="L428" s="4"/>
      <c r="M428" s="4"/>
      <c r="T428" s="6"/>
      <c r="V428" s="6"/>
      <c r="W428" s="4"/>
    </row>
    <row r="429" spans="7:23">
      <c r="G429" s="4"/>
      <c r="H429" s="4"/>
      <c r="J429" s="4"/>
      <c r="K429" s="4"/>
      <c r="L429" s="4"/>
      <c r="M429" s="4"/>
      <c r="T429" s="6"/>
      <c r="V429" s="6"/>
      <c r="W429" s="4"/>
    </row>
    <row r="430" spans="7:23">
      <c r="G430" s="4"/>
      <c r="H430" s="4"/>
      <c r="J430" s="4"/>
      <c r="K430" s="4"/>
      <c r="L430" s="4"/>
      <c r="M430" s="4"/>
      <c r="T430" s="6"/>
      <c r="V430" s="6"/>
      <c r="W430" s="4"/>
    </row>
    <row r="431" spans="7:23">
      <c r="G431" s="4"/>
      <c r="H431" s="4"/>
      <c r="J431" s="4"/>
      <c r="K431" s="4"/>
      <c r="L431" s="4"/>
      <c r="M431" s="4"/>
      <c r="T431" s="6"/>
      <c r="V431" s="6"/>
      <c r="W431" s="4"/>
    </row>
    <row r="432" spans="7:23">
      <c r="G432" s="4"/>
      <c r="H432" s="4"/>
      <c r="J432" s="4"/>
      <c r="K432" s="4"/>
      <c r="L432" s="4"/>
      <c r="M432" s="4"/>
      <c r="T432" s="6"/>
      <c r="V432" s="6"/>
      <c r="W432" s="4"/>
    </row>
    <row r="433" spans="7:23">
      <c r="G433" s="4"/>
      <c r="H433" s="4"/>
      <c r="J433" s="4"/>
      <c r="K433" s="4"/>
      <c r="L433" s="4"/>
      <c r="M433" s="4"/>
      <c r="T433" s="6"/>
      <c r="V433" s="6"/>
      <c r="W433" s="4"/>
    </row>
    <row r="434" spans="7:23">
      <c r="G434" s="4"/>
      <c r="H434" s="4"/>
      <c r="J434" s="4"/>
      <c r="K434" s="4"/>
      <c r="L434" s="4"/>
      <c r="M434" s="4"/>
      <c r="T434" s="6"/>
      <c r="V434" s="6"/>
      <c r="W434" s="4"/>
    </row>
    <row r="435" spans="7:23">
      <c r="G435" s="4"/>
      <c r="H435" s="4"/>
      <c r="J435" s="4"/>
      <c r="K435" s="4"/>
      <c r="L435" s="4"/>
      <c r="M435" s="4"/>
      <c r="T435" s="6"/>
      <c r="V435" s="6"/>
      <c r="W435" s="4"/>
    </row>
    <row r="436" spans="7:23">
      <c r="G436" s="4"/>
      <c r="H436" s="4"/>
      <c r="J436" s="4"/>
      <c r="K436" s="4"/>
      <c r="L436" s="4"/>
      <c r="M436" s="4"/>
      <c r="T436" s="6"/>
      <c r="V436" s="6"/>
      <c r="W436" s="4"/>
    </row>
    <row r="437" spans="7:23">
      <c r="G437" s="4"/>
      <c r="H437" s="4"/>
      <c r="J437" s="4"/>
      <c r="K437" s="4"/>
      <c r="L437" s="4"/>
      <c r="M437" s="4"/>
      <c r="T437" s="6"/>
      <c r="V437" s="6"/>
      <c r="W437" s="4"/>
    </row>
    <row r="438" spans="7:23">
      <c r="G438" s="4"/>
      <c r="H438" s="4"/>
      <c r="J438" s="4"/>
      <c r="K438" s="4"/>
      <c r="L438" s="4"/>
      <c r="M438" s="4"/>
      <c r="T438" s="6"/>
      <c r="V438" s="6"/>
      <c r="W438" s="4"/>
    </row>
    <row r="439" spans="7:23">
      <c r="G439" s="4"/>
      <c r="H439" s="4"/>
      <c r="J439" s="4"/>
      <c r="K439" s="4"/>
      <c r="L439" s="4"/>
      <c r="M439" s="4"/>
      <c r="T439" s="6"/>
      <c r="V439" s="6"/>
      <c r="W439" s="4"/>
    </row>
    <row r="440" spans="7:23">
      <c r="G440" s="4"/>
      <c r="H440" s="4"/>
      <c r="J440" s="4"/>
      <c r="K440" s="4"/>
      <c r="L440" s="4"/>
      <c r="M440" s="4"/>
      <c r="T440" s="6"/>
      <c r="V440" s="6"/>
      <c r="W440" s="4"/>
    </row>
    <row r="441" spans="7:23">
      <c r="G441" s="4"/>
      <c r="H441" s="4"/>
      <c r="J441" s="4"/>
      <c r="K441" s="4"/>
      <c r="L441" s="4"/>
      <c r="M441" s="4"/>
      <c r="T441" s="6"/>
      <c r="V441" s="6"/>
      <c r="W441" s="4"/>
    </row>
    <row r="442" spans="7:23">
      <c r="G442" s="4"/>
      <c r="H442" s="4"/>
      <c r="J442" s="4"/>
      <c r="K442" s="4"/>
      <c r="L442" s="4"/>
      <c r="M442" s="4"/>
      <c r="T442" s="6"/>
      <c r="V442" s="6"/>
      <c r="W442" s="4"/>
    </row>
    <row r="443" spans="7:23">
      <c r="G443" s="4"/>
      <c r="H443" s="4"/>
      <c r="J443" s="4"/>
      <c r="K443" s="4"/>
      <c r="L443" s="4"/>
      <c r="M443" s="4"/>
      <c r="T443" s="6"/>
      <c r="V443" s="6"/>
      <c r="W443" s="4"/>
    </row>
    <row r="444" spans="7:23">
      <c r="G444" s="4"/>
      <c r="H444" s="4"/>
      <c r="J444" s="4"/>
      <c r="K444" s="4"/>
      <c r="L444" s="4"/>
      <c r="M444" s="4"/>
      <c r="T444" s="6"/>
      <c r="V444" s="6"/>
      <c r="W444" s="4"/>
    </row>
    <row r="445" spans="7:23">
      <c r="G445" s="4"/>
      <c r="H445" s="4"/>
      <c r="J445" s="4"/>
      <c r="K445" s="4"/>
      <c r="L445" s="4"/>
      <c r="M445" s="4"/>
      <c r="T445" s="6"/>
      <c r="V445" s="6"/>
      <c r="W445" s="4"/>
    </row>
    <row r="446" spans="7:23">
      <c r="G446" s="4"/>
      <c r="H446" s="4"/>
      <c r="J446" s="4"/>
      <c r="K446" s="4"/>
      <c r="L446" s="4"/>
      <c r="M446" s="4"/>
      <c r="T446" s="6"/>
      <c r="V446" s="6"/>
      <c r="W446" s="4"/>
    </row>
    <row r="447" spans="7:23">
      <c r="G447" s="4"/>
      <c r="H447" s="4"/>
      <c r="J447" s="4"/>
      <c r="K447" s="4"/>
      <c r="L447" s="4"/>
      <c r="M447" s="4"/>
      <c r="T447" s="6"/>
      <c r="V447" s="6"/>
      <c r="W447" s="4"/>
    </row>
    <row r="448" spans="7:23">
      <c r="G448" s="4"/>
      <c r="H448" s="4"/>
      <c r="J448" s="4"/>
      <c r="K448" s="4"/>
      <c r="L448" s="4"/>
      <c r="M448" s="4"/>
      <c r="T448" s="6"/>
      <c r="V448" s="6"/>
      <c r="W448" s="4"/>
    </row>
    <row r="449" spans="7:23">
      <c r="G449" s="4"/>
      <c r="H449" s="4"/>
      <c r="J449" s="4"/>
      <c r="K449" s="4"/>
      <c r="L449" s="4"/>
      <c r="M449" s="4"/>
      <c r="T449" s="6"/>
      <c r="V449" s="6"/>
      <c r="W449" s="4"/>
    </row>
    <row r="450" spans="7:23">
      <c r="G450" s="4"/>
      <c r="H450" s="4"/>
      <c r="J450" s="4"/>
      <c r="K450" s="4"/>
      <c r="L450" s="4"/>
      <c r="M450" s="4"/>
      <c r="T450" s="6"/>
      <c r="V450" s="6"/>
      <c r="W450" s="4"/>
    </row>
    <row r="451" spans="7:23">
      <c r="G451" s="4"/>
      <c r="H451" s="4"/>
      <c r="J451" s="4"/>
      <c r="K451" s="4"/>
      <c r="L451" s="4"/>
      <c r="M451" s="4"/>
      <c r="T451" s="6"/>
      <c r="V451" s="6"/>
      <c r="W451" s="4"/>
    </row>
    <row r="452" spans="7:23">
      <c r="G452" s="4"/>
      <c r="H452" s="4"/>
      <c r="J452" s="4"/>
      <c r="K452" s="4"/>
      <c r="L452" s="4"/>
      <c r="M452" s="4"/>
      <c r="T452" s="6"/>
      <c r="V452" s="6"/>
      <c r="W452" s="4"/>
    </row>
    <row r="453" spans="7:23">
      <c r="G453" s="4"/>
      <c r="H453" s="4"/>
      <c r="J453" s="4"/>
      <c r="K453" s="4"/>
      <c r="L453" s="4"/>
      <c r="M453" s="4"/>
      <c r="T453" s="6"/>
      <c r="V453" s="6"/>
      <c r="W453" s="4"/>
    </row>
    <row r="454" spans="7:23">
      <c r="G454" s="4"/>
      <c r="H454" s="4"/>
      <c r="J454" s="4"/>
      <c r="K454" s="4"/>
      <c r="L454" s="4"/>
      <c r="M454" s="4"/>
      <c r="T454" s="6"/>
      <c r="V454" s="6"/>
      <c r="W454" s="4"/>
    </row>
    <row r="455" spans="7:23">
      <c r="G455" s="4"/>
      <c r="H455" s="4"/>
      <c r="J455" s="4"/>
      <c r="K455" s="4"/>
      <c r="L455" s="4"/>
      <c r="M455" s="4"/>
      <c r="T455" s="6"/>
      <c r="V455" s="6"/>
      <c r="W455" s="4"/>
    </row>
    <row r="456" spans="7:23">
      <c r="G456" s="4"/>
      <c r="H456" s="4"/>
      <c r="J456" s="4"/>
      <c r="K456" s="4"/>
      <c r="L456" s="4"/>
      <c r="M456" s="4"/>
      <c r="T456" s="6"/>
      <c r="V456" s="6"/>
      <c r="W456" s="4"/>
    </row>
    <row r="457" spans="7:23">
      <c r="G457" s="4"/>
      <c r="H457" s="4"/>
      <c r="J457" s="4"/>
      <c r="K457" s="4"/>
      <c r="L457" s="4"/>
      <c r="M457" s="4"/>
      <c r="T457" s="6"/>
      <c r="V457" s="6"/>
      <c r="W457" s="4"/>
    </row>
    <row r="458" spans="7:23">
      <c r="G458" s="4"/>
      <c r="H458" s="4"/>
      <c r="J458" s="4"/>
      <c r="K458" s="4"/>
      <c r="L458" s="4"/>
      <c r="M458" s="4"/>
      <c r="T458" s="6"/>
      <c r="V458" s="6"/>
      <c r="W458" s="4"/>
    </row>
    <row r="459" spans="7:23">
      <c r="G459" s="4"/>
      <c r="H459" s="4"/>
      <c r="J459" s="4"/>
      <c r="K459" s="4"/>
      <c r="L459" s="4"/>
      <c r="M459" s="4"/>
      <c r="T459" s="6"/>
      <c r="V459" s="6"/>
      <c r="W459" s="4"/>
    </row>
    <row r="460" spans="7:23">
      <c r="G460" s="4"/>
      <c r="H460" s="4"/>
      <c r="J460" s="4"/>
      <c r="K460" s="4"/>
      <c r="L460" s="4"/>
      <c r="M460" s="4"/>
      <c r="T460" s="6"/>
      <c r="V460" s="6"/>
      <c r="W460" s="4"/>
    </row>
    <row r="461" spans="7:23">
      <c r="G461" s="4"/>
      <c r="H461" s="4"/>
      <c r="J461" s="4"/>
      <c r="K461" s="4"/>
      <c r="L461" s="4"/>
      <c r="M461" s="4"/>
      <c r="T461" s="6"/>
      <c r="V461" s="6"/>
      <c r="W461" s="4"/>
    </row>
    <row r="462" spans="7:23">
      <c r="G462" s="4"/>
      <c r="H462" s="4"/>
      <c r="J462" s="4"/>
      <c r="K462" s="4"/>
      <c r="L462" s="4"/>
      <c r="M462" s="4"/>
      <c r="T462" s="6"/>
      <c r="V462" s="6"/>
      <c r="W462" s="4"/>
    </row>
    <row r="463" spans="7:23">
      <c r="G463" s="4"/>
      <c r="H463" s="4"/>
      <c r="J463" s="4"/>
      <c r="K463" s="4"/>
      <c r="L463" s="4"/>
      <c r="M463" s="4"/>
      <c r="T463" s="6"/>
      <c r="V463" s="6"/>
      <c r="W463" s="4"/>
    </row>
    <row r="464" spans="7:23">
      <c r="G464" s="4"/>
      <c r="H464" s="4"/>
      <c r="J464" s="4"/>
      <c r="K464" s="4"/>
      <c r="L464" s="4"/>
      <c r="M464" s="4"/>
      <c r="T464" s="6"/>
      <c r="V464" s="6"/>
      <c r="W464" s="4"/>
    </row>
    <row r="465" spans="7:23">
      <c r="G465" s="4"/>
      <c r="H465" s="4"/>
      <c r="J465" s="4"/>
      <c r="K465" s="4"/>
      <c r="L465" s="4"/>
      <c r="M465" s="4"/>
      <c r="T465" s="6"/>
      <c r="V465" s="6"/>
      <c r="W465" s="4"/>
    </row>
    <row r="466" spans="7:23">
      <c r="G466" s="4"/>
      <c r="H466" s="4"/>
      <c r="J466" s="4"/>
      <c r="K466" s="4"/>
      <c r="L466" s="4"/>
      <c r="M466" s="4"/>
      <c r="T466" s="6"/>
      <c r="V466" s="6"/>
      <c r="W466" s="4"/>
    </row>
    <row r="467" spans="7:23">
      <c r="G467" s="4"/>
      <c r="H467" s="4"/>
      <c r="J467" s="4"/>
      <c r="K467" s="4"/>
      <c r="L467" s="4"/>
      <c r="M467" s="4"/>
      <c r="T467" s="6"/>
      <c r="V467" s="6"/>
      <c r="W467" s="4"/>
    </row>
    <row r="468" spans="7:23">
      <c r="G468" s="4"/>
      <c r="H468" s="4"/>
      <c r="J468" s="4"/>
      <c r="K468" s="4"/>
      <c r="L468" s="4"/>
      <c r="M468" s="4"/>
      <c r="T468" s="6"/>
      <c r="V468" s="6"/>
      <c r="W468" s="4"/>
    </row>
    <row r="469" spans="7:23">
      <c r="G469" s="4"/>
      <c r="H469" s="4"/>
      <c r="J469" s="4"/>
      <c r="K469" s="4"/>
      <c r="L469" s="4"/>
      <c r="M469" s="4"/>
      <c r="T469" s="6"/>
      <c r="V469" s="6"/>
      <c r="W469" s="4"/>
    </row>
    <row r="470" spans="7:23">
      <c r="G470" s="4"/>
      <c r="H470" s="4"/>
      <c r="J470" s="4"/>
      <c r="K470" s="4"/>
      <c r="L470" s="4"/>
      <c r="M470" s="4"/>
      <c r="T470" s="6"/>
      <c r="V470" s="6"/>
      <c r="W470" s="4"/>
    </row>
    <row r="471" spans="7:23">
      <c r="G471" s="4"/>
      <c r="H471" s="4"/>
      <c r="J471" s="4"/>
      <c r="K471" s="4"/>
      <c r="L471" s="4"/>
      <c r="M471" s="4"/>
      <c r="T471" s="6"/>
      <c r="V471" s="6"/>
      <c r="W471" s="4"/>
    </row>
    <row r="472" spans="7:23">
      <c r="G472" s="4"/>
      <c r="H472" s="4"/>
      <c r="J472" s="4"/>
      <c r="K472" s="4"/>
      <c r="L472" s="4"/>
      <c r="M472" s="4"/>
      <c r="T472" s="6"/>
      <c r="V472" s="6"/>
      <c r="W472" s="4"/>
    </row>
    <row r="473" spans="7:23">
      <c r="G473" s="4"/>
      <c r="H473" s="4"/>
      <c r="J473" s="4"/>
      <c r="K473" s="4"/>
      <c r="L473" s="4"/>
      <c r="M473" s="4"/>
      <c r="T473" s="6"/>
      <c r="V473" s="6"/>
      <c r="W473" s="4"/>
    </row>
    <row r="474" spans="7:23">
      <c r="G474" s="4"/>
      <c r="H474" s="4"/>
      <c r="J474" s="4"/>
      <c r="K474" s="4"/>
      <c r="L474" s="4"/>
      <c r="M474" s="4"/>
      <c r="T474" s="6"/>
      <c r="V474" s="6"/>
      <c r="W474" s="4"/>
    </row>
    <row r="475" spans="7:23">
      <c r="G475" s="4"/>
      <c r="H475" s="4"/>
      <c r="J475" s="4"/>
      <c r="K475" s="4"/>
      <c r="L475" s="4"/>
      <c r="M475" s="4"/>
      <c r="T475" s="6"/>
      <c r="V475" s="6"/>
      <c r="W475" s="4"/>
    </row>
    <row r="476" spans="7:23">
      <c r="G476" s="4"/>
      <c r="H476" s="4"/>
      <c r="J476" s="4"/>
      <c r="K476" s="4"/>
      <c r="L476" s="4"/>
      <c r="M476" s="4"/>
      <c r="T476" s="6"/>
      <c r="V476" s="6"/>
      <c r="W476" s="4"/>
    </row>
    <row r="477" spans="7:23">
      <c r="G477" s="4"/>
      <c r="H477" s="4"/>
      <c r="J477" s="4"/>
      <c r="K477" s="4"/>
      <c r="L477" s="4"/>
      <c r="M477" s="4"/>
      <c r="T477" s="6"/>
      <c r="V477" s="6"/>
      <c r="W477" s="4"/>
    </row>
    <row r="478" spans="7:23">
      <c r="G478" s="4"/>
      <c r="H478" s="4"/>
      <c r="J478" s="4"/>
      <c r="K478" s="4"/>
      <c r="L478" s="4"/>
      <c r="M478" s="4"/>
      <c r="T478" s="6"/>
      <c r="V478" s="6"/>
      <c r="W478" s="4"/>
    </row>
    <row r="479" spans="7:23">
      <c r="G479" s="4"/>
      <c r="H479" s="4"/>
      <c r="J479" s="4"/>
      <c r="K479" s="4"/>
      <c r="L479" s="4"/>
      <c r="M479" s="4"/>
      <c r="T479" s="6"/>
      <c r="V479" s="6"/>
      <c r="W479" s="4"/>
    </row>
    <row r="480" spans="7:23">
      <c r="G480" s="4"/>
      <c r="H480" s="4"/>
      <c r="J480" s="4"/>
      <c r="K480" s="4"/>
      <c r="L480" s="4"/>
      <c r="M480" s="4"/>
      <c r="T480" s="6"/>
      <c r="V480" s="6"/>
      <c r="W480" s="4"/>
    </row>
    <row r="481" spans="7:23">
      <c r="G481" s="4"/>
      <c r="H481" s="4"/>
      <c r="J481" s="4"/>
      <c r="K481" s="4"/>
      <c r="L481" s="4"/>
      <c r="M481" s="4"/>
      <c r="T481" s="6"/>
      <c r="V481" s="6"/>
      <c r="W481" s="4"/>
    </row>
    <row r="482" spans="7:23">
      <c r="G482" s="4"/>
      <c r="H482" s="4"/>
      <c r="J482" s="4"/>
      <c r="K482" s="4"/>
      <c r="L482" s="4"/>
      <c r="M482" s="4"/>
      <c r="T482" s="6"/>
      <c r="V482" s="6"/>
      <c r="W482" s="4"/>
    </row>
    <row r="483" spans="7:23">
      <c r="G483" s="4"/>
      <c r="H483" s="4"/>
      <c r="J483" s="4"/>
      <c r="K483" s="4"/>
      <c r="L483" s="4"/>
      <c r="M483" s="4"/>
      <c r="T483" s="6"/>
      <c r="V483" s="6"/>
      <c r="W483" s="4"/>
    </row>
    <row r="484" spans="7:23">
      <c r="G484" s="4"/>
      <c r="H484" s="4"/>
      <c r="J484" s="4"/>
      <c r="K484" s="4"/>
      <c r="L484" s="4"/>
      <c r="M484" s="4"/>
      <c r="T484" s="6"/>
      <c r="V484" s="6"/>
      <c r="W484" s="4"/>
    </row>
    <row r="485" spans="7:23">
      <c r="G485" s="4"/>
      <c r="H485" s="4"/>
      <c r="J485" s="4"/>
      <c r="K485" s="4"/>
      <c r="L485" s="4"/>
      <c r="M485" s="4"/>
      <c r="T485" s="6"/>
      <c r="V485" s="6"/>
      <c r="W485" s="4"/>
    </row>
    <row r="486" spans="7:23">
      <c r="G486" s="4"/>
      <c r="H486" s="4"/>
      <c r="J486" s="4"/>
      <c r="K486" s="4"/>
      <c r="L486" s="4"/>
      <c r="M486" s="4"/>
      <c r="T486" s="6"/>
      <c r="V486" s="6"/>
      <c r="W486" s="4"/>
    </row>
    <row r="487" spans="7:23">
      <c r="G487" s="4"/>
      <c r="H487" s="4"/>
      <c r="J487" s="4"/>
      <c r="K487" s="4"/>
      <c r="L487" s="4"/>
      <c r="M487" s="4"/>
      <c r="T487" s="6"/>
      <c r="V487" s="6"/>
      <c r="W487" s="4"/>
    </row>
    <row r="488" spans="7:23">
      <c r="G488" s="4"/>
      <c r="H488" s="4"/>
      <c r="J488" s="4"/>
      <c r="K488" s="4"/>
      <c r="L488" s="4"/>
      <c r="M488" s="4"/>
      <c r="T488" s="6"/>
      <c r="V488" s="6"/>
      <c r="W488" s="4"/>
    </row>
    <row r="489" spans="7:23">
      <c r="G489" s="4"/>
      <c r="H489" s="4"/>
      <c r="J489" s="4"/>
      <c r="K489" s="4"/>
      <c r="L489" s="4"/>
      <c r="M489" s="4"/>
      <c r="T489" s="6"/>
      <c r="V489" s="6"/>
      <c r="W489" s="4"/>
    </row>
    <row r="490" spans="7:23">
      <c r="G490" s="4"/>
      <c r="H490" s="4"/>
      <c r="J490" s="4"/>
      <c r="K490" s="4"/>
      <c r="L490" s="4"/>
      <c r="M490" s="4"/>
      <c r="T490" s="6"/>
      <c r="V490" s="6"/>
      <c r="W490" s="4"/>
    </row>
    <row r="491" spans="7:23">
      <c r="G491" s="4"/>
      <c r="H491" s="4"/>
      <c r="J491" s="4"/>
      <c r="K491" s="4"/>
      <c r="L491" s="4"/>
      <c r="M491" s="4"/>
      <c r="T491" s="6"/>
      <c r="V491" s="6"/>
      <c r="W491" s="4"/>
    </row>
    <row r="492" spans="7:23">
      <c r="G492" s="4"/>
      <c r="H492" s="4"/>
      <c r="J492" s="4"/>
      <c r="K492" s="4"/>
      <c r="L492" s="4"/>
      <c r="M492" s="4"/>
      <c r="T492" s="6"/>
      <c r="V492" s="6"/>
      <c r="W492" s="4"/>
    </row>
    <row r="493" spans="7:23">
      <c r="G493" s="4"/>
      <c r="H493" s="4"/>
      <c r="J493" s="4"/>
      <c r="K493" s="4"/>
      <c r="L493" s="4"/>
      <c r="M493" s="4"/>
      <c r="T493" s="6"/>
      <c r="V493" s="6"/>
      <c r="W493" s="4"/>
    </row>
    <row r="494" spans="7:23">
      <c r="G494" s="4"/>
      <c r="H494" s="4"/>
      <c r="J494" s="4"/>
      <c r="K494" s="4"/>
      <c r="L494" s="4"/>
      <c r="M494" s="4"/>
      <c r="T494" s="6"/>
      <c r="V494" s="6"/>
      <c r="W494" s="4"/>
    </row>
    <row r="495" spans="7:23">
      <c r="G495" s="4"/>
      <c r="H495" s="4"/>
      <c r="J495" s="4"/>
      <c r="K495" s="4"/>
      <c r="L495" s="4"/>
      <c r="M495" s="4"/>
      <c r="T495" s="6"/>
      <c r="V495" s="6"/>
      <c r="W495" s="4"/>
    </row>
    <row r="496" spans="7:23">
      <c r="G496" s="4"/>
      <c r="H496" s="4"/>
      <c r="J496" s="4"/>
      <c r="K496" s="4"/>
      <c r="L496" s="4"/>
      <c r="M496" s="4"/>
      <c r="T496" s="6"/>
      <c r="V496" s="6"/>
      <c r="W496" s="4"/>
    </row>
    <row r="497" spans="7:23">
      <c r="G497" s="4"/>
      <c r="H497" s="4"/>
      <c r="J497" s="4"/>
      <c r="K497" s="4"/>
      <c r="L497" s="4"/>
      <c r="M497" s="4"/>
      <c r="T497" s="6"/>
      <c r="V497" s="6"/>
      <c r="W497" s="4"/>
    </row>
    <row r="498" spans="7:23">
      <c r="G498" s="4"/>
      <c r="H498" s="4"/>
      <c r="J498" s="4"/>
      <c r="K498" s="4"/>
      <c r="L498" s="4"/>
      <c r="M498" s="4"/>
      <c r="T498" s="6"/>
      <c r="V498" s="6"/>
      <c r="W498" s="4"/>
    </row>
    <row r="499" spans="7:23">
      <c r="G499" s="4"/>
      <c r="H499" s="4"/>
      <c r="J499" s="4"/>
      <c r="K499" s="4"/>
      <c r="L499" s="4"/>
      <c r="M499" s="4"/>
      <c r="T499" s="6"/>
      <c r="V499" s="6"/>
      <c r="W499" s="4"/>
    </row>
    <row r="500" spans="7:23">
      <c r="G500" s="4"/>
      <c r="H500" s="4"/>
      <c r="J500" s="4"/>
      <c r="K500" s="4"/>
      <c r="L500" s="4"/>
      <c r="M500" s="4"/>
      <c r="T500" s="6"/>
      <c r="V500" s="6"/>
      <c r="W500" s="4"/>
    </row>
    <row r="501" spans="7:23">
      <c r="G501" s="4"/>
      <c r="H501" s="4"/>
      <c r="J501" s="4"/>
      <c r="K501" s="4"/>
      <c r="L501" s="4"/>
      <c r="M501" s="4"/>
      <c r="T501" s="6"/>
      <c r="V501" s="6"/>
      <c r="W501" s="4"/>
    </row>
    <row r="502" spans="7:23">
      <c r="G502" s="4"/>
      <c r="H502" s="4"/>
      <c r="J502" s="4"/>
      <c r="K502" s="4"/>
      <c r="L502" s="4"/>
      <c r="M502" s="4"/>
      <c r="T502" s="6"/>
      <c r="V502" s="6"/>
      <c r="W502" s="4"/>
    </row>
    <row r="503" spans="7:23">
      <c r="G503" s="4"/>
      <c r="H503" s="4"/>
      <c r="J503" s="4"/>
      <c r="K503" s="4"/>
      <c r="L503" s="4"/>
      <c r="M503" s="4"/>
      <c r="T503" s="6"/>
      <c r="V503" s="6"/>
      <c r="W503" s="4"/>
    </row>
    <row r="504" spans="7:23">
      <c r="G504" s="4"/>
      <c r="H504" s="4"/>
      <c r="J504" s="4"/>
      <c r="K504" s="4"/>
      <c r="L504" s="4"/>
      <c r="M504" s="4"/>
      <c r="T504" s="6"/>
      <c r="V504" s="6"/>
      <c r="W504" s="4"/>
    </row>
    <row r="505" spans="7:23">
      <c r="G505" s="4"/>
      <c r="H505" s="4"/>
      <c r="J505" s="4"/>
      <c r="K505" s="4"/>
      <c r="L505" s="4"/>
      <c r="M505" s="4"/>
      <c r="T505" s="6"/>
      <c r="V505" s="6"/>
      <c r="W505" s="4"/>
    </row>
    <row r="506" spans="7:23">
      <c r="G506" s="4"/>
      <c r="H506" s="4"/>
      <c r="J506" s="4"/>
      <c r="K506" s="4"/>
      <c r="L506" s="4"/>
      <c r="M506" s="4"/>
      <c r="T506" s="6"/>
      <c r="V506" s="6"/>
      <c r="W506" s="4"/>
    </row>
    <row r="507" spans="7:23">
      <c r="G507" s="4"/>
      <c r="H507" s="4"/>
      <c r="J507" s="4"/>
      <c r="K507" s="4"/>
      <c r="L507" s="4"/>
      <c r="M507" s="4"/>
      <c r="T507" s="6"/>
      <c r="V507" s="6"/>
      <c r="W507" s="4"/>
    </row>
    <row r="508" spans="7:23">
      <c r="G508" s="4"/>
      <c r="H508" s="4"/>
      <c r="J508" s="4"/>
      <c r="K508" s="4"/>
      <c r="L508" s="4"/>
      <c r="M508" s="4"/>
      <c r="T508" s="6"/>
      <c r="V508" s="6"/>
      <c r="W508" s="4"/>
    </row>
    <row r="509" spans="7:23">
      <c r="G509" s="4"/>
      <c r="H509" s="4"/>
      <c r="J509" s="4"/>
      <c r="K509" s="4"/>
      <c r="L509" s="4"/>
      <c r="M509" s="4"/>
      <c r="T509" s="6"/>
      <c r="V509" s="6"/>
      <c r="W509" s="4"/>
    </row>
    <row r="510" spans="7:23">
      <c r="G510" s="4"/>
      <c r="H510" s="4"/>
      <c r="J510" s="4"/>
      <c r="K510" s="4"/>
      <c r="L510" s="4"/>
      <c r="M510" s="4"/>
      <c r="T510" s="6"/>
      <c r="V510" s="6"/>
      <c r="W510" s="4"/>
    </row>
    <row r="511" spans="7:23">
      <c r="G511" s="4"/>
      <c r="H511" s="4"/>
      <c r="J511" s="4"/>
      <c r="K511" s="4"/>
      <c r="L511" s="4"/>
      <c r="M511" s="4"/>
      <c r="T511" s="6"/>
      <c r="V511" s="6"/>
      <c r="W511" s="4"/>
    </row>
    <row r="512" spans="7:23">
      <c r="G512" s="4"/>
      <c r="H512" s="4"/>
      <c r="J512" s="4"/>
      <c r="K512" s="4"/>
      <c r="L512" s="4"/>
      <c r="M512" s="4"/>
      <c r="T512" s="6"/>
      <c r="V512" s="6"/>
      <c r="W512" s="4"/>
    </row>
    <row r="513" spans="7:23">
      <c r="G513" s="4"/>
      <c r="H513" s="4"/>
      <c r="J513" s="4"/>
      <c r="K513" s="4"/>
      <c r="L513" s="4"/>
      <c r="M513" s="4"/>
      <c r="T513" s="6"/>
      <c r="V513" s="6"/>
      <c r="W513" s="4"/>
    </row>
    <row r="514" spans="7:23">
      <c r="G514" s="4"/>
      <c r="H514" s="4"/>
      <c r="J514" s="4"/>
      <c r="K514" s="4"/>
      <c r="L514" s="4"/>
      <c r="M514" s="4"/>
      <c r="T514" s="6"/>
      <c r="V514" s="6"/>
      <c r="W514" s="4"/>
    </row>
    <row r="515" spans="7:23">
      <c r="G515" s="4"/>
      <c r="H515" s="4"/>
      <c r="J515" s="4"/>
      <c r="K515" s="4"/>
      <c r="L515" s="4"/>
      <c r="M515" s="4"/>
      <c r="T515" s="6"/>
      <c r="V515" s="6"/>
      <c r="W515" s="4"/>
    </row>
    <row r="516" spans="7:23">
      <c r="G516" s="4"/>
      <c r="H516" s="4"/>
      <c r="J516" s="4"/>
      <c r="K516" s="4"/>
      <c r="L516" s="4"/>
      <c r="M516" s="4"/>
      <c r="T516" s="6"/>
      <c r="V516" s="6"/>
      <c r="W516" s="4"/>
    </row>
    <row r="517" spans="7:23">
      <c r="G517" s="4"/>
      <c r="H517" s="4"/>
      <c r="J517" s="4"/>
      <c r="K517" s="4"/>
      <c r="L517" s="4"/>
      <c r="M517" s="4"/>
      <c r="T517" s="6"/>
      <c r="V517" s="6"/>
      <c r="W517" s="4"/>
    </row>
    <row r="518" spans="7:23">
      <c r="G518" s="4"/>
      <c r="H518" s="4"/>
      <c r="J518" s="4"/>
      <c r="K518" s="4"/>
      <c r="L518" s="4"/>
      <c r="M518" s="4"/>
      <c r="T518" s="6"/>
      <c r="V518" s="6"/>
      <c r="W518" s="4"/>
    </row>
    <row r="519" spans="7:23">
      <c r="G519" s="4"/>
      <c r="H519" s="4"/>
      <c r="J519" s="4"/>
      <c r="K519" s="4"/>
      <c r="L519" s="4"/>
      <c r="M519" s="4"/>
      <c r="T519" s="6"/>
      <c r="V519" s="6"/>
      <c r="W519" s="4"/>
    </row>
    <row r="520" spans="7:23">
      <c r="G520" s="4"/>
      <c r="H520" s="4"/>
      <c r="J520" s="4"/>
      <c r="K520" s="4"/>
      <c r="L520" s="4"/>
      <c r="M520" s="4"/>
      <c r="T520" s="6"/>
      <c r="V520" s="6"/>
      <c r="W520" s="4"/>
    </row>
    <row r="521" spans="7:23">
      <c r="G521" s="4"/>
      <c r="H521" s="4"/>
      <c r="J521" s="4"/>
      <c r="K521" s="4"/>
      <c r="L521" s="4"/>
      <c r="M521" s="4"/>
      <c r="T521" s="6"/>
      <c r="V521" s="6"/>
      <c r="W521" s="4"/>
    </row>
    <row r="522" spans="7:23">
      <c r="G522" s="4"/>
      <c r="H522" s="4"/>
      <c r="J522" s="4"/>
      <c r="K522" s="4"/>
      <c r="L522" s="4"/>
      <c r="M522" s="4"/>
      <c r="T522" s="6"/>
      <c r="V522" s="6"/>
      <c r="W522" s="4"/>
    </row>
    <row r="523" spans="7:23">
      <c r="G523" s="4"/>
      <c r="H523" s="4"/>
      <c r="J523" s="4"/>
      <c r="K523" s="4"/>
      <c r="L523" s="4"/>
      <c r="M523" s="4"/>
      <c r="T523" s="6"/>
      <c r="V523" s="6"/>
      <c r="W523" s="4"/>
    </row>
    <row r="524" spans="7:23">
      <c r="G524" s="4"/>
      <c r="H524" s="4"/>
      <c r="J524" s="4"/>
      <c r="K524" s="4"/>
      <c r="L524" s="4"/>
      <c r="M524" s="4"/>
      <c r="T524" s="6"/>
      <c r="V524" s="6"/>
      <c r="W524" s="4"/>
    </row>
    <row r="525" spans="7:23">
      <c r="G525" s="4"/>
      <c r="H525" s="4"/>
      <c r="J525" s="4"/>
      <c r="K525" s="4"/>
      <c r="L525" s="4"/>
      <c r="M525" s="4"/>
      <c r="T525" s="6"/>
      <c r="V525" s="6"/>
      <c r="W525" s="4"/>
    </row>
    <row r="526" spans="7:23">
      <c r="G526" s="4"/>
      <c r="H526" s="4"/>
      <c r="J526" s="4"/>
      <c r="K526" s="4"/>
      <c r="L526" s="4"/>
      <c r="M526" s="4"/>
      <c r="T526" s="6"/>
      <c r="V526" s="6"/>
      <c r="W526" s="4"/>
    </row>
    <row r="527" spans="7:23">
      <c r="G527" s="4"/>
      <c r="H527" s="4"/>
      <c r="J527" s="4"/>
      <c r="K527" s="4"/>
      <c r="L527" s="4"/>
      <c r="M527" s="4"/>
      <c r="T527" s="6"/>
      <c r="V527" s="6"/>
      <c r="W527" s="4"/>
    </row>
    <row r="528" spans="7:23">
      <c r="G528" s="4"/>
      <c r="H528" s="4"/>
      <c r="J528" s="4"/>
      <c r="K528" s="4"/>
      <c r="L528" s="4"/>
      <c r="M528" s="4"/>
      <c r="T528" s="6"/>
      <c r="V528" s="6"/>
      <c r="W528" s="4"/>
    </row>
    <row r="529" spans="7:23">
      <c r="G529" s="4"/>
      <c r="H529" s="4"/>
      <c r="J529" s="4"/>
      <c r="K529" s="4"/>
      <c r="L529" s="4"/>
      <c r="M529" s="4"/>
      <c r="T529" s="6"/>
      <c r="V529" s="6"/>
      <c r="W529" s="4"/>
    </row>
    <row r="530" spans="7:23">
      <c r="G530" s="4"/>
      <c r="H530" s="4"/>
      <c r="J530" s="4"/>
      <c r="K530" s="4"/>
      <c r="L530" s="4"/>
      <c r="M530" s="4"/>
      <c r="T530" s="6"/>
      <c r="V530" s="6"/>
      <c r="W530" s="4"/>
    </row>
    <row r="531" spans="7:23">
      <c r="G531" s="4"/>
      <c r="H531" s="4"/>
      <c r="J531" s="4"/>
      <c r="K531" s="4"/>
      <c r="L531" s="4"/>
      <c r="M531" s="4"/>
      <c r="T531" s="6"/>
      <c r="V531" s="6"/>
      <c r="W531" s="4"/>
    </row>
    <row r="532" spans="7:23">
      <c r="G532" s="4"/>
      <c r="H532" s="4"/>
      <c r="J532" s="4"/>
      <c r="K532" s="4"/>
      <c r="L532" s="4"/>
      <c r="M532" s="4"/>
      <c r="T532" s="6"/>
      <c r="V532" s="6"/>
      <c r="W532" s="4"/>
    </row>
    <row r="533" spans="7:23">
      <c r="G533" s="4"/>
      <c r="H533" s="4"/>
      <c r="J533" s="4"/>
      <c r="K533" s="4"/>
      <c r="L533" s="4"/>
      <c r="M533" s="4"/>
      <c r="T533" s="6"/>
      <c r="V533" s="6"/>
      <c r="W533" s="4"/>
    </row>
    <row r="534" spans="7:23">
      <c r="G534" s="4"/>
      <c r="H534" s="4"/>
      <c r="J534" s="4"/>
      <c r="K534" s="4"/>
      <c r="L534" s="4"/>
      <c r="M534" s="4"/>
      <c r="T534" s="6"/>
      <c r="V534" s="6"/>
      <c r="W534" s="4"/>
    </row>
    <row r="535" spans="7:23">
      <c r="G535" s="4"/>
      <c r="H535" s="4"/>
      <c r="J535" s="4"/>
      <c r="K535" s="4"/>
      <c r="L535" s="4"/>
      <c r="M535" s="4"/>
      <c r="T535" s="6"/>
      <c r="V535" s="6"/>
      <c r="W535" s="4"/>
    </row>
    <row r="536" spans="7:23">
      <c r="G536" s="4"/>
      <c r="H536" s="4"/>
      <c r="J536" s="4"/>
      <c r="K536" s="4"/>
      <c r="L536" s="4"/>
      <c r="M536" s="4"/>
      <c r="T536" s="6"/>
      <c r="V536" s="6"/>
      <c r="W536" s="4"/>
    </row>
    <row r="537" spans="7:23">
      <c r="G537" s="4"/>
      <c r="H537" s="4"/>
      <c r="J537" s="4"/>
      <c r="K537" s="4"/>
      <c r="L537" s="4"/>
      <c r="M537" s="4"/>
      <c r="T537" s="6"/>
      <c r="V537" s="6"/>
      <c r="W537" s="4"/>
    </row>
    <row r="538" spans="7:23">
      <c r="G538" s="4"/>
      <c r="H538" s="4"/>
      <c r="J538" s="4"/>
      <c r="K538" s="4"/>
      <c r="L538" s="4"/>
      <c r="M538" s="4"/>
      <c r="T538" s="6"/>
      <c r="V538" s="6"/>
      <c r="W538" s="4"/>
    </row>
    <row r="539" spans="7:23">
      <c r="G539" s="4"/>
      <c r="H539" s="4"/>
      <c r="J539" s="4"/>
      <c r="K539" s="4"/>
      <c r="L539" s="4"/>
      <c r="M539" s="4"/>
      <c r="T539" s="6"/>
      <c r="V539" s="6"/>
      <c r="W539" s="4"/>
    </row>
    <row r="540" spans="7:23">
      <c r="G540" s="4"/>
      <c r="H540" s="4"/>
      <c r="J540" s="4"/>
      <c r="K540" s="4"/>
      <c r="L540" s="4"/>
      <c r="M540" s="4"/>
      <c r="T540" s="6"/>
      <c r="V540" s="6"/>
      <c r="W540" s="4"/>
    </row>
    <row r="541" spans="7:23">
      <c r="G541" s="4"/>
      <c r="H541" s="4"/>
      <c r="J541" s="4"/>
      <c r="K541" s="4"/>
      <c r="L541" s="4"/>
      <c r="M541" s="4"/>
      <c r="T541" s="6"/>
      <c r="V541" s="6"/>
      <c r="W541" s="4"/>
    </row>
    <row r="542" spans="7:23">
      <c r="G542" s="4"/>
      <c r="H542" s="4"/>
      <c r="J542" s="4"/>
      <c r="K542" s="4"/>
      <c r="L542" s="4"/>
      <c r="M542" s="4"/>
      <c r="T542" s="6"/>
      <c r="V542" s="6"/>
      <c r="W542" s="4"/>
    </row>
    <row r="543" spans="7:23">
      <c r="G543" s="4"/>
      <c r="H543" s="4"/>
      <c r="J543" s="4"/>
      <c r="K543" s="4"/>
      <c r="L543" s="4"/>
      <c r="M543" s="4"/>
      <c r="T543" s="6"/>
      <c r="V543" s="6"/>
      <c r="W543" s="4"/>
    </row>
    <row r="544" spans="7:23">
      <c r="G544" s="4"/>
      <c r="H544" s="4"/>
      <c r="J544" s="4"/>
      <c r="K544" s="4"/>
      <c r="L544" s="4"/>
      <c r="M544" s="4"/>
      <c r="T544" s="6"/>
      <c r="V544" s="6"/>
      <c r="W544" s="4"/>
    </row>
    <row r="545" spans="7:23">
      <c r="G545" s="4"/>
      <c r="H545" s="4"/>
      <c r="J545" s="4"/>
      <c r="K545" s="4"/>
      <c r="L545" s="4"/>
      <c r="M545" s="4"/>
      <c r="T545" s="6"/>
      <c r="V545" s="6"/>
      <c r="W545" s="4"/>
    </row>
    <row r="546" spans="7:23">
      <c r="G546" s="4"/>
      <c r="H546" s="4"/>
      <c r="J546" s="4"/>
      <c r="K546" s="4"/>
      <c r="L546" s="4"/>
      <c r="M546" s="4"/>
      <c r="T546" s="6"/>
      <c r="V546" s="6"/>
      <c r="W546" s="4"/>
    </row>
    <row r="547" spans="7:23">
      <c r="G547" s="4"/>
      <c r="H547" s="4"/>
      <c r="J547" s="4"/>
      <c r="K547" s="4"/>
      <c r="L547" s="4"/>
      <c r="M547" s="4"/>
      <c r="T547" s="6"/>
      <c r="V547" s="6"/>
      <c r="W547" s="4"/>
    </row>
    <row r="548" spans="7:23">
      <c r="G548" s="4"/>
      <c r="H548" s="4"/>
      <c r="J548" s="4"/>
      <c r="K548" s="4"/>
      <c r="L548" s="4"/>
      <c r="M548" s="4"/>
      <c r="T548" s="6"/>
      <c r="V548" s="6"/>
      <c r="W548" s="4"/>
    </row>
    <row r="549" spans="7:23">
      <c r="G549" s="4"/>
      <c r="H549" s="4"/>
      <c r="J549" s="4"/>
      <c r="K549" s="4"/>
      <c r="L549" s="4"/>
      <c r="M549" s="4"/>
      <c r="T549" s="6"/>
      <c r="V549" s="6"/>
      <c r="W549" s="4"/>
    </row>
    <row r="550" spans="7:23">
      <c r="G550" s="4"/>
      <c r="H550" s="4"/>
      <c r="J550" s="4"/>
      <c r="K550" s="4"/>
      <c r="L550" s="4"/>
      <c r="M550" s="4"/>
      <c r="T550" s="6"/>
      <c r="V550" s="6"/>
      <c r="W550" s="4"/>
    </row>
    <row r="551" spans="7:23">
      <c r="G551" s="4"/>
      <c r="H551" s="4"/>
      <c r="J551" s="4"/>
      <c r="K551" s="4"/>
      <c r="L551" s="4"/>
      <c r="M551" s="4"/>
      <c r="T551" s="6"/>
      <c r="V551" s="6"/>
      <c r="W551" s="4"/>
    </row>
    <row r="552" spans="7:23">
      <c r="G552" s="4"/>
      <c r="H552" s="4"/>
      <c r="J552" s="4"/>
      <c r="K552" s="4"/>
      <c r="L552" s="4"/>
      <c r="M552" s="4"/>
      <c r="T552" s="6"/>
      <c r="V552" s="6"/>
      <c r="W552" s="4"/>
    </row>
    <row r="553" spans="7:23">
      <c r="G553" s="4"/>
      <c r="H553" s="4"/>
      <c r="J553" s="4"/>
      <c r="K553" s="4"/>
      <c r="L553" s="4"/>
      <c r="M553" s="4"/>
      <c r="T553" s="6"/>
      <c r="V553" s="6"/>
      <c r="W553" s="4"/>
    </row>
    <row r="554" spans="7:23">
      <c r="G554" s="4"/>
      <c r="H554" s="4"/>
      <c r="J554" s="4"/>
      <c r="K554" s="4"/>
      <c r="L554" s="4"/>
      <c r="M554" s="4"/>
      <c r="T554" s="6"/>
      <c r="V554" s="6"/>
      <c r="W554" s="4"/>
    </row>
    <row r="555" spans="7:23">
      <c r="G555" s="4"/>
      <c r="H555" s="4"/>
      <c r="J555" s="4"/>
      <c r="K555" s="4"/>
      <c r="L555" s="4"/>
      <c r="M555" s="4"/>
      <c r="T555" s="6"/>
      <c r="V555" s="6"/>
      <c r="W555" s="4"/>
    </row>
    <row r="556" spans="7:23">
      <c r="G556" s="4"/>
      <c r="H556" s="4"/>
      <c r="J556" s="4"/>
      <c r="K556" s="4"/>
      <c r="L556" s="4"/>
      <c r="M556" s="4"/>
      <c r="T556" s="6"/>
      <c r="V556" s="6"/>
      <c r="W556" s="4"/>
    </row>
    <row r="557" spans="7:23">
      <c r="G557" s="4"/>
      <c r="H557" s="4"/>
      <c r="J557" s="4"/>
      <c r="K557" s="4"/>
      <c r="L557" s="4"/>
      <c r="M557" s="4"/>
      <c r="T557" s="6"/>
      <c r="V557" s="6"/>
      <c r="W557" s="4"/>
    </row>
    <row r="558" spans="7:23">
      <c r="G558" s="4"/>
      <c r="H558" s="4"/>
      <c r="J558" s="4"/>
      <c r="K558" s="4"/>
      <c r="L558" s="4"/>
      <c r="M558" s="4"/>
      <c r="T558" s="6"/>
      <c r="V558" s="6"/>
      <c r="W558" s="4"/>
    </row>
    <row r="559" spans="7:23">
      <c r="G559" s="4"/>
      <c r="H559" s="4"/>
      <c r="J559" s="4"/>
      <c r="K559" s="4"/>
      <c r="L559" s="4"/>
      <c r="M559" s="4"/>
      <c r="T559" s="6"/>
      <c r="V559" s="6"/>
      <c r="W559" s="4"/>
    </row>
    <row r="560" spans="7:23">
      <c r="G560" s="4"/>
      <c r="H560" s="4"/>
      <c r="J560" s="4"/>
      <c r="K560" s="4"/>
      <c r="L560" s="4"/>
      <c r="M560" s="4"/>
      <c r="T560" s="6"/>
      <c r="V560" s="6"/>
      <c r="W560" s="4"/>
    </row>
    <row r="561" spans="7:23">
      <c r="G561" s="4"/>
      <c r="H561" s="4"/>
      <c r="J561" s="4"/>
      <c r="K561" s="4"/>
      <c r="L561" s="4"/>
      <c r="M561" s="4"/>
      <c r="T561" s="6"/>
      <c r="V561" s="6"/>
      <c r="W561" s="4"/>
    </row>
    <row r="562" spans="7:23">
      <c r="G562" s="4"/>
      <c r="H562" s="4"/>
      <c r="J562" s="4"/>
      <c r="K562" s="4"/>
      <c r="L562" s="4"/>
      <c r="M562" s="4"/>
      <c r="T562" s="6"/>
      <c r="V562" s="6"/>
      <c r="W562" s="4"/>
    </row>
    <row r="563" spans="7:23">
      <c r="G563" s="4"/>
      <c r="H563" s="4"/>
      <c r="J563" s="4"/>
      <c r="K563" s="4"/>
      <c r="L563" s="4"/>
      <c r="M563" s="4"/>
      <c r="T563" s="6"/>
      <c r="V563" s="6"/>
      <c r="W563" s="4"/>
    </row>
    <row r="564" spans="7:23">
      <c r="G564" s="4"/>
      <c r="H564" s="4"/>
      <c r="J564" s="4"/>
      <c r="K564" s="4"/>
      <c r="L564" s="4"/>
      <c r="M564" s="4"/>
      <c r="T564" s="6"/>
      <c r="V564" s="6"/>
      <c r="W564" s="4"/>
    </row>
    <row r="565" spans="7:23">
      <c r="G565" s="4"/>
      <c r="H565" s="4"/>
      <c r="J565" s="4"/>
      <c r="K565" s="4"/>
      <c r="L565" s="4"/>
      <c r="M565" s="4"/>
      <c r="T565" s="6"/>
      <c r="V565" s="6"/>
      <c r="W565" s="4"/>
    </row>
    <row r="566" spans="7:23">
      <c r="G566" s="4"/>
      <c r="H566" s="4"/>
      <c r="J566" s="4"/>
      <c r="K566" s="4"/>
      <c r="L566" s="4"/>
      <c r="M566" s="4"/>
      <c r="T566" s="6"/>
      <c r="V566" s="6"/>
      <c r="W566" s="4"/>
    </row>
    <row r="567" spans="7:23">
      <c r="G567" s="4"/>
      <c r="H567" s="4"/>
      <c r="J567" s="4"/>
      <c r="K567" s="4"/>
      <c r="L567" s="4"/>
      <c r="M567" s="4"/>
      <c r="T567" s="6"/>
      <c r="V567" s="6"/>
      <c r="W567" s="4"/>
    </row>
    <row r="568" spans="7:23">
      <c r="G568" s="4"/>
      <c r="H568" s="4"/>
      <c r="J568" s="4"/>
      <c r="K568" s="4"/>
      <c r="L568" s="4"/>
      <c r="M568" s="4"/>
      <c r="T568" s="6"/>
      <c r="V568" s="6"/>
      <c r="W568" s="4"/>
    </row>
    <row r="569" spans="7:23">
      <c r="G569" s="4"/>
      <c r="H569" s="4"/>
      <c r="J569" s="4"/>
      <c r="K569" s="4"/>
      <c r="L569" s="4"/>
      <c r="M569" s="4"/>
      <c r="T569" s="6"/>
      <c r="V569" s="6"/>
      <c r="W569" s="4"/>
    </row>
    <row r="570" spans="7:23">
      <c r="G570" s="4"/>
      <c r="H570" s="4"/>
      <c r="J570" s="4"/>
      <c r="K570" s="4"/>
      <c r="L570" s="4"/>
      <c r="M570" s="4"/>
      <c r="T570" s="6"/>
      <c r="V570" s="6"/>
      <c r="W570" s="4"/>
    </row>
    <row r="571" spans="7:23">
      <c r="G571" s="4"/>
      <c r="H571" s="4"/>
      <c r="J571" s="4"/>
      <c r="K571" s="4"/>
      <c r="L571" s="4"/>
      <c r="M571" s="4"/>
      <c r="T571" s="6"/>
      <c r="V571" s="6"/>
      <c r="W571" s="4"/>
    </row>
    <row r="572" spans="7:23">
      <c r="G572" s="4"/>
      <c r="H572" s="4"/>
      <c r="J572" s="4"/>
      <c r="K572" s="4"/>
      <c r="L572" s="4"/>
      <c r="M572" s="4"/>
      <c r="T572" s="6"/>
      <c r="V572" s="6"/>
      <c r="W572" s="4"/>
    </row>
    <row r="573" spans="7:23">
      <c r="G573" s="4"/>
      <c r="H573" s="4"/>
      <c r="J573" s="4"/>
      <c r="K573" s="4"/>
      <c r="L573" s="4"/>
      <c r="M573" s="4"/>
      <c r="T573" s="6"/>
      <c r="V573" s="6"/>
      <c r="W573" s="4"/>
    </row>
    <row r="574" spans="7:23">
      <c r="G574" s="4"/>
      <c r="H574" s="4"/>
      <c r="J574" s="4"/>
      <c r="K574" s="4"/>
      <c r="L574" s="4"/>
      <c r="M574" s="4"/>
      <c r="T574" s="6"/>
      <c r="V574" s="6"/>
      <c r="W574" s="4"/>
    </row>
    <row r="575" spans="7:23">
      <c r="G575" s="4"/>
      <c r="H575" s="4"/>
      <c r="J575" s="4"/>
      <c r="K575" s="4"/>
      <c r="L575" s="4"/>
      <c r="M575" s="4"/>
      <c r="T575" s="6"/>
      <c r="V575" s="6"/>
      <c r="W575" s="4"/>
    </row>
    <row r="576" spans="7:23">
      <c r="G576" s="4"/>
      <c r="H576" s="4"/>
      <c r="J576" s="4"/>
      <c r="K576" s="4"/>
      <c r="L576" s="4"/>
      <c r="M576" s="4"/>
      <c r="T576" s="6"/>
      <c r="V576" s="6"/>
      <c r="W576" s="4"/>
    </row>
    <row r="577" spans="7:23">
      <c r="G577" s="4"/>
      <c r="H577" s="4"/>
      <c r="J577" s="4"/>
      <c r="K577" s="4"/>
      <c r="L577" s="4"/>
      <c r="M577" s="4"/>
      <c r="T577" s="6"/>
      <c r="V577" s="6"/>
      <c r="W577" s="4"/>
    </row>
    <row r="578" spans="7:23">
      <c r="G578" s="4"/>
      <c r="H578" s="4"/>
      <c r="J578" s="4"/>
      <c r="K578" s="4"/>
      <c r="L578" s="4"/>
      <c r="M578" s="4"/>
      <c r="T578" s="6"/>
      <c r="V578" s="6"/>
      <c r="W578" s="4"/>
    </row>
    <row r="579" spans="7:23">
      <c r="G579" s="4"/>
      <c r="H579" s="4"/>
      <c r="J579" s="4"/>
      <c r="K579" s="4"/>
      <c r="L579" s="4"/>
      <c r="M579" s="4"/>
      <c r="T579" s="6"/>
      <c r="V579" s="6"/>
      <c r="W579" s="4"/>
    </row>
    <row r="580" spans="7:23">
      <c r="G580" s="4"/>
      <c r="H580" s="4"/>
      <c r="J580" s="4"/>
      <c r="K580" s="4"/>
      <c r="L580" s="4"/>
      <c r="M580" s="4"/>
      <c r="T580" s="6"/>
      <c r="V580" s="6"/>
      <c r="W580" s="4"/>
    </row>
    <row r="581" spans="7:23">
      <c r="G581" s="4"/>
      <c r="H581" s="4"/>
      <c r="J581" s="4"/>
      <c r="K581" s="4"/>
      <c r="L581" s="4"/>
      <c r="M581" s="4"/>
      <c r="T581" s="6"/>
      <c r="V581" s="6"/>
      <c r="W581" s="4"/>
    </row>
    <row r="582" spans="7:23">
      <c r="G582" s="4"/>
      <c r="H582" s="4"/>
      <c r="J582" s="4"/>
      <c r="K582" s="4"/>
      <c r="L582" s="4"/>
      <c r="M582" s="4"/>
      <c r="T582" s="6"/>
      <c r="V582" s="6"/>
      <c r="W582" s="4"/>
    </row>
    <row r="583" spans="7:23">
      <c r="G583" s="4"/>
      <c r="H583" s="4"/>
      <c r="J583" s="4"/>
      <c r="K583" s="4"/>
      <c r="L583" s="4"/>
      <c r="M583" s="4"/>
      <c r="T583" s="6"/>
      <c r="V583" s="6"/>
      <c r="W583" s="4"/>
    </row>
    <row r="584" spans="7:23">
      <c r="G584" s="4"/>
      <c r="H584" s="4"/>
      <c r="J584" s="4"/>
      <c r="K584" s="4"/>
      <c r="L584" s="4"/>
      <c r="M584" s="4"/>
      <c r="T584" s="6"/>
      <c r="V584" s="6"/>
      <c r="W584" s="4"/>
    </row>
    <row r="585" spans="7:23">
      <c r="G585" s="4"/>
      <c r="H585" s="4"/>
      <c r="J585" s="4"/>
      <c r="K585" s="4"/>
      <c r="L585" s="4"/>
      <c r="M585" s="4"/>
      <c r="T585" s="6"/>
      <c r="V585" s="6"/>
      <c r="W585" s="4"/>
    </row>
    <row r="586" spans="7:23">
      <c r="G586" s="4"/>
      <c r="H586" s="4"/>
      <c r="J586" s="4"/>
      <c r="K586" s="4"/>
      <c r="L586" s="4"/>
      <c r="M586" s="4"/>
      <c r="T586" s="6"/>
      <c r="V586" s="6"/>
      <c r="W586" s="4"/>
    </row>
    <row r="587" spans="7:23">
      <c r="G587" s="4"/>
      <c r="H587" s="4"/>
      <c r="J587" s="4"/>
      <c r="K587" s="4"/>
      <c r="L587" s="4"/>
      <c r="M587" s="4"/>
      <c r="T587" s="6"/>
      <c r="V587" s="6"/>
      <c r="W587" s="4"/>
    </row>
    <row r="588" spans="7:23">
      <c r="G588" s="4"/>
      <c r="H588" s="4"/>
      <c r="J588" s="4"/>
      <c r="K588" s="4"/>
      <c r="L588" s="4"/>
      <c r="M588" s="4"/>
      <c r="T588" s="6"/>
      <c r="V588" s="6"/>
      <c r="W588" s="4"/>
    </row>
    <row r="589" spans="7:23">
      <c r="G589" s="4"/>
      <c r="H589" s="4"/>
      <c r="J589" s="4"/>
      <c r="K589" s="4"/>
      <c r="L589" s="4"/>
      <c r="M589" s="4"/>
      <c r="T589" s="6"/>
      <c r="V589" s="6"/>
      <c r="W589" s="4"/>
    </row>
    <row r="590" spans="7:23">
      <c r="G590" s="4"/>
      <c r="H590" s="4"/>
      <c r="J590" s="4"/>
      <c r="K590" s="4"/>
      <c r="L590" s="4"/>
      <c r="M590" s="4"/>
      <c r="T590" s="6"/>
      <c r="V590" s="6"/>
      <c r="W590" s="4"/>
    </row>
    <row r="591" spans="7:23">
      <c r="G591" s="4"/>
      <c r="H591" s="4"/>
      <c r="J591" s="4"/>
      <c r="K591" s="4"/>
      <c r="L591" s="4"/>
      <c r="M591" s="4"/>
      <c r="T591" s="6"/>
      <c r="V591" s="6"/>
      <c r="W591" s="4"/>
    </row>
    <row r="592" spans="7:23">
      <c r="G592" s="4"/>
      <c r="H592" s="4"/>
      <c r="J592" s="4"/>
      <c r="K592" s="4"/>
      <c r="L592" s="4"/>
      <c r="M592" s="4"/>
      <c r="T592" s="6"/>
      <c r="V592" s="6"/>
      <c r="W592" s="4"/>
    </row>
    <row r="593" spans="7:23">
      <c r="G593" s="4"/>
      <c r="H593" s="4"/>
      <c r="J593" s="4"/>
      <c r="K593" s="4"/>
      <c r="L593" s="4"/>
      <c r="M593" s="4"/>
      <c r="T593" s="6"/>
      <c r="V593" s="6"/>
      <c r="W593" s="4"/>
    </row>
    <row r="594" spans="7:23">
      <c r="G594" s="4"/>
      <c r="H594" s="4"/>
      <c r="J594" s="4"/>
      <c r="K594" s="4"/>
      <c r="L594" s="4"/>
      <c r="M594" s="4"/>
      <c r="T594" s="6"/>
      <c r="V594" s="6"/>
      <c r="W594" s="4"/>
    </row>
    <row r="595" spans="7:23">
      <c r="G595" s="4"/>
      <c r="H595" s="4"/>
      <c r="J595" s="4"/>
      <c r="K595" s="4"/>
      <c r="L595" s="4"/>
      <c r="M595" s="4"/>
      <c r="T595" s="6"/>
      <c r="V595" s="6"/>
      <c r="W595" s="4"/>
    </row>
    <row r="596" spans="7:23">
      <c r="G596" s="4"/>
      <c r="H596" s="4"/>
      <c r="J596" s="4"/>
      <c r="K596" s="4"/>
      <c r="L596" s="4"/>
      <c r="M596" s="4"/>
      <c r="T596" s="6"/>
      <c r="V596" s="6"/>
      <c r="W596" s="4"/>
    </row>
    <row r="597" spans="7:23">
      <c r="G597" s="4"/>
      <c r="H597" s="4"/>
      <c r="J597" s="4"/>
      <c r="K597" s="4"/>
      <c r="L597" s="4"/>
      <c r="M597" s="4"/>
      <c r="T597" s="6"/>
      <c r="V597" s="6"/>
      <c r="W597" s="4"/>
    </row>
    <row r="598" spans="7:23">
      <c r="G598" s="4"/>
      <c r="H598" s="4"/>
      <c r="J598" s="4"/>
      <c r="K598" s="4"/>
      <c r="L598" s="4"/>
      <c r="M598" s="4"/>
      <c r="T598" s="6"/>
      <c r="V598" s="6"/>
      <c r="W598" s="4"/>
    </row>
    <row r="599" spans="7:23">
      <c r="G599" s="4"/>
      <c r="H599" s="4"/>
      <c r="J599" s="4"/>
      <c r="K599" s="4"/>
      <c r="L599" s="4"/>
      <c r="M599" s="4"/>
      <c r="T599" s="6"/>
      <c r="V599" s="6"/>
      <c r="W599" s="4"/>
    </row>
    <row r="600" spans="7:23">
      <c r="G600" s="4"/>
      <c r="H600" s="4"/>
      <c r="J600" s="4"/>
      <c r="K600" s="4"/>
      <c r="L600" s="4"/>
      <c r="M600" s="4"/>
      <c r="T600" s="6"/>
      <c r="V600" s="6"/>
      <c r="W600" s="4"/>
    </row>
    <row r="601" spans="7:23">
      <c r="G601" s="4"/>
      <c r="H601" s="4"/>
      <c r="J601" s="4"/>
      <c r="K601" s="4"/>
      <c r="L601" s="4"/>
      <c r="M601" s="4"/>
      <c r="T601" s="6"/>
      <c r="V601" s="6"/>
      <c r="W601" s="4"/>
    </row>
    <row r="602" spans="7:23">
      <c r="G602" s="4"/>
      <c r="H602" s="4"/>
      <c r="J602" s="4"/>
      <c r="K602" s="4"/>
      <c r="L602" s="4"/>
      <c r="M602" s="4"/>
      <c r="T602" s="6"/>
      <c r="V602" s="6"/>
      <c r="W602" s="4"/>
    </row>
    <row r="603" spans="7:23">
      <c r="G603" s="4"/>
      <c r="H603" s="4"/>
      <c r="J603" s="4"/>
      <c r="K603" s="4"/>
      <c r="L603" s="4"/>
      <c r="M603" s="4"/>
      <c r="T603" s="6"/>
      <c r="V603" s="6"/>
      <c r="W603" s="4"/>
    </row>
    <row r="604" spans="7:23">
      <c r="G604" s="4"/>
      <c r="H604" s="4"/>
      <c r="J604" s="4"/>
      <c r="K604" s="4"/>
      <c r="L604" s="4"/>
      <c r="M604" s="4"/>
      <c r="T604" s="6"/>
      <c r="V604" s="6"/>
      <c r="W604" s="4"/>
    </row>
    <row r="605" spans="7:23">
      <c r="G605" s="4"/>
      <c r="H605" s="4"/>
      <c r="J605" s="4"/>
      <c r="K605" s="4"/>
      <c r="L605" s="4"/>
      <c r="M605" s="4"/>
      <c r="T605" s="6"/>
      <c r="V605" s="6"/>
      <c r="W605" s="4"/>
    </row>
    <row r="606" spans="7:23">
      <c r="G606" s="4"/>
      <c r="H606" s="4"/>
      <c r="J606" s="4"/>
      <c r="K606" s="4"/>
      <c r="L606" s="4"/>
      <c r="M606" s="4"/>
      <c r="T606" s="6"/>
      <c r="V606" s="6"/>
      <c r="W606" s="4"/>
    </row>
    <row r="607" spans="7:23">
      <c r="G607" s="4"/>
      <c r="H607" s="4"/>
      <c r="J607" s="4"/>
      <c r="K607" s="4"/>
      <c r="L607" s="4"/>
      <c r="M607" s="4"/>
      <c r="T607" s="6"/>
      <c r="V607" s="6"/>
      <c r="W607" s="4"/>
    </row>
    <row r="608" spans="7:23">
      <c r="G608" s="4"/>
      <c r="H608" s="4"/>
      <c r="J608" s="4"/>
      <c r="K608" s="4"/>
      <c r="L608" s="4"/>
      <c r="M608" s="4"/>
      <c r="T608" s="6"/>
      <c r="V608" s="6"/>
      <c r="W608" s="4"/>
    </row>
    <row r="609" spans="7:23">
      <c r="G609" s="4"/>
      <c r="H609" s="4"/>
      <c r="J609" s="4"/>
      <c r="K609" s="4"/>
      <c r="L609" s="4"/>
      <c r="M609" s="4"/>
      <c r="T609" s="6"/>
      <c r="V609" s="6"/>
      <c r="W609" s="4"/>
    </row>
    <row r="610" spans="7:23">
      <c r="G610" s="4"/>
      <c r="H610" s="4"/>
      <c r="J610" s="4"/>
      <c r="K610" s="4"/>
      <c r="L610" s="4"/>
      <c r="M610" s="4"/>
      <c r="T610" s="6"/>
      <c r="V610" s="6"/>
      <c r="W610" s="4"/>
    </row>
    <row r="611" spans="7:23">
      <c r="G611" s="4"/>
      <c r="H611" s="4"/>
      <c r="J611" s="4"/>
      <c r="K611" s="4"/>
      <c r="L611" s="4"/>
      <c r="M611" s="4"/>
      <c r="T611" s="6"/>
      <c r="V611" s="6"/>
      <c r="W611" s="4"/>
    </row>
    <row r="612" spans="7:23">
      <c r="G612" s="4"/>
      <c r="H612" s="4"/>
      <c r="J612" s="4"/>
      <c r="K612" s="4"/>
      <c r="L612" s="4"/>
      <c r="M612" s="4"/>
      <c r="T612" s="6"/>
      <c r="V612" s="6"/>
      <c r="W612" s="4"/>
    </row>
    <row r="613" spans="7:23">
      <c r="G613" s="4"/>
      <c r="H613" s="4"/>
      <c r="J613" s="4"/>
      <c r="K613" s="4"/>
      <c r="L613" s="4"/>
      <c r="M613" s="4"/>
      <c r="T613" s="6"/>
      <c r="V613" s="6"/>
      <c r="W613" s="4"/>
    </row>
    <row r="614" spans="7:23">
      <c r="G614" s="4"/>
      <c r="H614" s="4"/>
      <c r="J614" s="4"/>
      <c r="K614" s="4"/>
      <c r="L614" s="4"/>
      <c r="M614" s="4"/>
      <c r="T614" s="6"/>
      <c r="V614" s="6"/>
      <c r="W614" s="4"/>
    </row>
    <row r="615" spans="7:23">
      <c r="G615" s="4"/>
      <c r="H615" s="4"/>
      <c r="J615" s="4"/>
      <c r="K615" s="4"/>
      <c r="L615" s="4"/>
      <c r="M615" s="4"/>
      <c r="T615" s="6"/>
      <c r="V615" s="6"/>
      <c r="W615" s="4"/>
    </row>
    <row r="616" spans="7:23">
      <c r="G616" s="4"/>
      <c r="H616" s="4"/>
      <c r="J616" s="4"/>
      <c r="K616" s="4"/>
      <c r="L616" s="4"/>
      <c r="M616" s="4"/>
      <c r="T616" s="6"/>
      <c r="V616" s="6"/>
      <c r="W616" s="4"/>
    </row>
    <row r="617" spans="7:23">
      <c r="G617" s="4"/>
      <c r="H617" s="4"/>
      <c r="J617" s="4"/>
      <c r="K617" s="4"/>
      <c r="L617" s="4"/>
      <c r="M617" s="4"/>
      <c r="T617" s="6"/>
      <c r="V617" s="6"/>
      <c r="W617" s="4"/>
    </row>
    <row r="618" spans="7:23">
      <c r="G618" s="4"/>
      <c r="H618" s="4"/>
      <c r="J618" s="4"/>
      <c r="K618" s="4"/>
      <c r="L618" s="4"/>
      <c r="M618" s="4"/>
      <c r="T618" s="6"/>
      <c r="V618" s="6"/>
      <c r="W618" s="4"/>
    </row>
    <row r="619" spans="7:23">
      <c r="G619" s="4"/>
      <c r="H619" s="4"/>
      <c r="J619" s="4"/>
      <c r="K619" s="4"/>
      <c r="L619" s="4"/>
      <c r="M619" s="4"/>
      <c r="T619" s="6"/>
      <c r="V619" s="6"/>
      <c r="W619" s="4"/>
    </row>
    <row r="620" spans="7:23">
      <c r="G620" s="4"/>
      <c r="H620" s="4"/>
      <c r="J620" s="4"/>
      <c r="K620" s="4"/>
      <c r="L620" s="4"/>
      <c r="M620" s="4"/>
      <c r="T620" s="6"/>
      <c r="V620" s="6"/>
      <c r="W620" s="4"/>
    </row>
    <row r="621" spans="7:23">
      <c r="G621" s="4"/>
      <c r="H621" s="4"/>
      <c r="J621" s="4"/>
      <c r="K621" s="4"/>
      <c r="L621" s="4"/>
      <c r="M621" s="4"/>
      <c r="T621" s="6"/>
      <c r="V621" s="6"/>
      <c r="W621" s="4"/>
    </row>
    <row r="622" spans="7:23">
      <c r="G622" s="4"/>
      <c r="H622" s="4"/>
      <c r="J622" s="4"/>
      <c r="K622" s="4"/>
      <c r="L622" s="4"/>
      <c r="M622" s="4"/>
      <c r="T622" s="6"/>
      <c r="V622" s="6"/>
      <c r="W622" s="4"/>
    </row>
    <row r="623" spans="7:23">
      <c r="G623" s="4"/>
      <c r="H623" s="4"/>
      <c r="J623" s="4"/>
      <c r="K623" s="4"/>
      <c r="L623" s="4"/>
      <c r="M623" s="4"/>
      <c r="T623" s="6"/>
      <c r="V623" s="6"/>
      <c r="W623" s="4"/>
    </row>
    <row r="624" spans="7:23">
      <c r="G624" s="4"/>
      <c r="H624" s="4"/>
      <c r="J624" s="4"/>
      <c r="K624" s="4"/>
      <c r="L624" s="4"/>
      <c r="M624" s="4"/>
      <c r="T624" s="6"/>
      <c r="V624" s="6"/>
      <c r="W624" s="4"/>
    </row>
    <row r="625" spans="7:23">
      <c r="G625" s="4"/>
      <c r="H625" s="4"/>
      <c r="J625" s="4"/>
      <c r="K625" s="4"/>
      <c r="L625" s="4"/>
      <c r="M625" s="4"/>
      <c r="T625" s="6"/>
      <c r="V625" s="6"/>
      <c r="W625" s="4"/>
    </row>
    <row r="626" spans="7:23">
      <c r="G626" s="4"/>
      <c r="H626" s="4"/>
      <c r="J626" s="4"/>
      <c r="K626" s="4"/>
      <c r="L626" s="4"/>
      <c r="M626" s="4"/>
      <c r="T626" s="6"/>
      <c r="V626" s="6"/>
      <c r="W626" s="4"/>
    </row>
    <row r="627" spans="7:23">
      <c r="G627" s="4"/>
      <c r="H627" s="4"/>
      <c r="J627" s="4"/>
      <c r="K627" s="4"/>
      <c r="L627" s="4"/>
      <c r="M627" s="4"/>
      <c r="T627" s="6"/>
      <c r="V627" s="6"/>
      <c r="W627" s="4"/>
    </row>
    <row r="628" spans="7:23">
      <c r="G628" s="4"/>
      <c r="H628" s="4"/>
      <c r="J628" s="4"/>
      <c r="K628" s="4"/>
      <c r="L628" s="4"/>
      <c r="M628" s="4"/>
      <c r="T628" s="6"/>
      <c r="V628" s="6"/>
      <c r="W628" s="4"/>
    </row>
    <row r="629" spans="7:23">
      <c r="G629" s="4"/>
      <c r="H629" s="4"/>
      <c r="J629" s="4"/>
      <c r="K629" s="4"/>
      <c r="L629" s="4"/>
      <c r="M629" s="4"/>
      <c r="T629" s="6"/>
      <c r="V629" s="6"/>
      <c r="W629" s="4"/>
    </row>
    <row r="630" spans="7:23">
      <c r="G630" s="4"/>
      <c r="H630" s="4"/>
      <c r="J630" s="4"/>
      <c r="K630" s="4"/>
      <c r="L630" s="4"/>
      <c r="M630" s="4"/>
      <c r="T630" s="6"/>
      <c r="V630" s="6"/>
      <c r="W630" s="4"/>
    </row>
    <row r="631" spans="7:23">
      <c r="G631" s="4"/>
      <c r="H631" s="4"/>
      <c r="J631" s="4"/>
      <c r="K631" s="4"/>
      <c r="L631" s="4"/>
      <c r="M631" s="4"/>
      <c r="T631" s="6"/>
      <c r="V631" s="6"/>
      <c r="W631" s="4"/>
    </row>
    <row r="632" spans="7:23">
      <c r="G632" s="4"/>
      <c r="H632" s="4"/>
      <c r="J632" s="4"/>
      <c r="K632" s="4"/>
      <c r="L632" s="4"/>
      <c r="M632" s="4"/>
      <c r="T632" s="6"/>
      <c r="V632" s="6"/>
      <c r="W632" s="4"/>
    </row>
    <row r="633" spans="7:23">
      <c r="G633" s="4"/>
      <c r="H633" s="4"/>
      <c r="J633" s="4"/>
      <c r="K633" s="4"/>
      <c r="L633" s="4"/>
      <c r="M633" s="4"/>
      <c r="T633" s="6"/>
      <c r="V633" s="6"/>
      <c r="W633" s="4"/>
    </row>
    <row r="634" spans="7:23">
      <c r="G634" s="4"/>
      <c r="H634" s="4"/>
      <c r="J634" s="4"/>
      <c r="K634" s="4"/>
      <c r="L634" s="4"/>
      <c r="M634" s="4"/>
      <c r="T634" s="6"/>
      <c r="V634" s="6"/>
      <c r="W634" s="4"/>
    </row>
    <row r="635" spans="7:23">
      <c r="G635" s="4"/>
      <c r="H635" s="4"/>
      <c r="J635" s="4"/>
      <c r="K635" s="4"/>
      <c r="L635" s="4"/>
      <c r="M635" s="4"/>
      <c r="T635" s="6"/>
      <c r="V635" s="6"/>
      <c r="W635" s="4"/>
    </row>
    <row r="636" spans="7:23">
      <c r="G636" s="4"/>
      <c r="H636" s="4"/>
      <c r="J636" s="4"/>
      <c r="K636" s="4"/>
      <c r="L636" s="4"/>
      <c r="M636" s="4"/>
      <c r="T636" s="6"/>
      <c r="V636" s="6"/>
      <c r="W636" s="4"/>
    </row>
    <row r="637" spans="7:23">
      <c r="G637" s="4"/>
      <c r="H637" s="4"/>
      <c r="J637" s="4"/>
      <c r="K637" s="4"/>
      <c r="L637" s="4"/>
      <c r="M637" s="4"/>
      <c r="T637" s="6"/>
      <c r="V637" s="6"/>
      <c r="W637" s="4"/>
    </row>
    <row r="638" spans="7:23">
      <c r="G638" s="4"/>
      <c r="H638" s="4"/>
      <c r="J638" s="4"/>
      <c r="K638" s="4"/>
      <c r="L638" s="4"/>
      <c r="M638" s="4"/>
      <c r="T638" s="6"/>
      <c r="V638" s="6"/>
      <c r="W638" s="4"/>
    </row>
    <row r="639" spans="7:23">
      <c r="G639" s="4"/>
      <c r="H639" s="4"/>
      <c r="J639" s="4"/>
      <c r="K639" s="4"/>
      <c r="L639" s="4"/>
      <c r="M639" s="4"/>
      <c r="T639" s="6"/>
      <c r="V639" s="6"/>
      <c r="W639" s="4"/>
    </row>
    <row r="640" spans="7:23">
      <c r="G640" s="4"/>
      <c r="H640" s="4"/>
      <c r="J640" s="4"/>
      <c r="K640" s="4"/>
      <c r="L640" s="4"/>
      <c r="M640" s="4"/>
      <c r="T640" s="6"/>
      <c r="V640" s="6"/>
      <c r="W640" s="4"/>
    </row>
    <row r="641" spans="7:23">
      <c r="G641" s="4"/>
      <c r="H641" s="4"/>
      <c r="J641" s="4"/>
      <c r="K641" s="4"/>
      <c r="L641" s="4"/>
      <c r="M641" s="4"/>
      <c r="T641" s="6"/>
      <c r="V641" s="6"/>
      <c r="W641" s="4"/>
    </row>
    <row r="642" spans="7:23">
      <c r="G642" s="4"/>
      <c r="H642" s="4"/>
      <c r="J642" s="4"/>
      <c r="K642" s="4"/>
      <c r="L642" s="4"/>
      <c r="M642" s="4"/>
      <c r="T642" s="6"/>
      <c r="V642" s="6"/>
      <c r="W642" s="4"/>
    </row>
    <row r="643" spans="7:23">
      <c r="G643" s="4"/>
      <c r="H643" s="4"/>
      <c r="J643" s="4"/>
      <c r="K643" s="4"/>
      <c r="L643" s="4"/>
      <c r="M643" s="4"/>
      <c r="T643" s="6"/>
      <c r="V643" s="6"/>
      <c r="W643" s="4"/>
    </row>
    <row r="644" spans="7:23">
      <c r="G644" s="4"/>
      <c r="H644" s="4"/>
      <c r="J644" s="4"/>
      <c r="K644" s="4"/>
      <c r="L644" s="4"/>
      <c r="M644" s="4"/>
      <c r="T644" s="6"/>
      <c r="V644" s="6"/>
      <c r="W644" s="4"/>
    </row>
    <row r="645" spans="7:23">
      <c r="G645" s="4"/>
      <c r="H645" s="4"/>
      <c r="J645" s="4"/>
      <c r="K645" s="4"/>
      <c r="L645" s="4"/>
      <c r="M645" s="4"/>
      <c r="T645" s="6"/>
      <c r="V645" s="6"/>
      <c r="W645" s="4"/>
    </row>
    <row r="646" spans="7:23">
      <c r="G646" s="4"/>
      <c r="H646" s="4"/>
      <c r="J646" s="4"/>
      <c r="K646" s="4"/>
      <c r="L646" s="4"/>
      <c r="M646" s="4"/>
      <c r="T646" s="6"/>
      <c r="V646" s="6"/>
      <c r="W646" s="4"/>
    </row>
    <row r="647" spans="7:23">
      <c r="G647" s="4"/>
      <c r="H647" s="4"/>
      <c r="J647" s="4"/>
      <c r="K647" s="4"/>
      <c r="L647" s="4"/>
      <c r="M647" s="4"/>
      <c r="T647" s="6"/>
      <c r="V647" s="6"/>
      <c r="W647" s="4"/>
    </row>
    <row r="648" spans="7:23">
      <c r="G648" s="4"/>
      <c r="H648" s="4"/>
      <c r="J648" s="4"/>
      <c r="K648" s="4"/>
      <c r="L648" s="4"/>
      <c r="M648" s="4"/>
      <c r="T648" s="6"/>
      <c r="V648" s="6"/>
      <c r="W648" s="4"/>
    </row>
    <row r="649" spans="7:23">
      <c r="G649" s="4"/>
      <c r="H649" s="4"/>
      <c r="J649" s="4"/>
      <c r="K649" s="4"/>
      <c r="L649" s="4"/>
      <c r="M649" s="4"/>
      <c r="T649" s="6"/>
      <c r="V649" s="6"/>
      <c r="W649" s="4"/>
    </row>
    <row r="650" spans="7:23">
      <c r="G650" s="4"/>
      <c r="H650" s="4"/>
      <c r="J650" s="4"/>
      <c r="K650" s="4"/>
      <c r="L650" s="4"/>
      <c r="M650" s="4"/>
      <c r="T650" s="6"/>
      <c r="V650" s="6"/>
      <c r="W650" s="4"/>
    </row>
    <row r="651" spans="7:23">
      <c r="G651" s="4"/>
      <c r="H651" s="4"/>
      <c r="J651" s="4"/>
      <c r="K651" s="4"/>
      <c r="L651" s="4"/>
      <c r="M651" s="4"/>
      <c r="T651" s="6"/>
      <c r="V651" s="6"/>
      <c r="W651" s="4"/>
    </row>
    <row r="652" spans="7:23">
      <c r="G652" s="4"/>
      <c r="H652" s="4"/>
      <c r="J652" s="4"/>
      <c r="K652" s="4"/>
      <c r="L652" s="4"/>
      <c r="M652" s="4"/>
      <c r="T652" s="6"/>
      <c r="V652" s="6"/>
      <c r="W652" s="4"/>
    </row>
    <row r="653" spans="7:23">
      <c r="G653" s="4"/>
      <c r="H653" s="4"/>
      <c r="J653" s="4"/>
      <c r="K653" s="4"/>
      <c r="L653" s="4"/>
      <c r="M653" s="4"/>
      <c r="T653" s="6"/>
      <c r="V653" s="6"/>
      <c r="W653" s="4"/>
    </row>
    <row r="654" spans="7:23">
      <c r="G654" s="4"/>
      <c r="H654" s="4"/>
      <c r="J654" s="4"/>
      <c r="K654" s="4"/>
      <c r="L654" s="4"/>
      <c r="M654" s="4"/>
      <c r="T654" s="6"/>
      <c r="V654" s="6"/>
      <c r="W654" s="4"/>
    </row>
    <row r="655" spans="7:23">
      <c r="G655" s="4"/>
      <c r="H655" s="4"/>
      <c r="J655" s="4"/>
      <c r="K655" s="4"/>
      <c r="L655" s="4"/>
      <c r="M655" s="4"/>
      <c r="T655" s="6"/>
      <c r="V655" s="6"/>
      <c r="W655" s="4"/>
    </row>
    <row r="656" spans="7:23">
      <c r="G656" s="4"/>
      <c r="H656" s="4"/>
      <c r="J656" s="4"/>
      <c r="K656" s="4"/>
      <c r="L656" s="4"/>
      <c r="M656" s="4"/>
      <c r="T656" s="6"/>
      <c r="V656" s="6"/>
      <c r="W656" s="4"/>
    </row>
    <row r="657" spans="7:23">
      <c r="G657" s="4"/>
      <c r="H657" s="4"/>
      <c r="J657" s="4"/>
      <c r="K657" s="4"/>
      <c r="L657" s="4"/>
      <c r="M657" s="4"/>
      <c r="T657" s="6"/>
      <c r="V657" s="6"/>
      <c r="W657" s="4"/>
    </row>
    <row r="658" spans="7:23">
      <c r="G658" s="4"/>
      <c r="H658" s="4"/>
      <c r="J658" s="4"/>
      <c r="K658" s="4"/>
      <c r="L658" s="4"/>
      <c r="M658" s="4"/>
      <c r="T658" s="6"/>
      <c r="V658" s="6"/>
      <c r="W658" s="4"/>
    </row>
    <row r="659" spans="7:23">
      <c r="G659" s="4"/>
      <c r="H659" s="4"/>
      <c r="J659" s="4"/>
      <c r="K659" s="4"/>
      <c r="L659" s="4"/>
      <c r="M659" s="4"/>
      <c r="T659" s="6"/>
      <c r="V659" s="6"/>
      <c r="W659" s="4"/>
    </row>
    <row r="660" spans="7:23">
      <c r="G660" s="4"/>
      <c r="H660" s="4"/>
      <c r="J660" s="4"/>
      <c r="K660" s="4"/>
      <c r="L660" s="4"/>
      <c r="M660" s="4"/>
      <c r="T660" s="6"/>
      <c r="V660" s="6"/>
      <c r="W660" s="4"/>
    </row>
    <row r="661" spans="7:23">
      <c r="G661" s="4"/>
      <c r="H661" s="4"/>
      <c r="J661" s="4"/>
      <c r="K661" s="4"/>
      <c r="L661" s="4"/>
      <c r="M661" s="4"/>
      <c r="T661" s="6"/>
      <c r="V661" s="6"/>
      <c r="W661" s="4"/>
    </row>
    <row r="662" spans="7:23">
      <c r="G662" s="4"/>
      <c r="H662" s="4"/>
      <c r="J662" s="4"/>
      <c r="K662" s="4"/>
      <c r="L662" s="4"/>
      <c r="M662" s="4"/>
      <c r="T662" s="6"/>
      <c r="V662" s="6"/>
      <c r="W662" s="4"/>
    </row>
    <row r="663" spans="7:23">
      <c r="G663" s="4"/>
      <c r="H663" s="4"/>
      <c r="J663" s="4"/>
      <c r="K663" s="4"/>
      <c r="L663" s="4"/>
      <c r="M663" s="4"/>
      <c r="T663" s="6"/>
      <c r="V663" s="6"/>
      <c r="W663" s="4"/>
    </row>
    <row r="664" spans="7:23">
      <c r="G664" s="4"/>
      <c r="H664" s="4"/>
      <c r="J664" s="4"/>
      <c r="K664" s="4"/>
      <c r="L664" s="4"/>
      <c r="M664" s="4"/>
      <c r="T664" s="6"/>
      <c r="V664" s="6"/>
      <c r="W664" s="4"/>
    </row>
    <row r="665" spans="7:23">
      <c r="G665" s="4"/>
      <c r="H665" s="4"/>
      <c r="J665" s="4"/>
      <c r="K665" s="4"/>
      <c r="L665" s="4"/>
      <c r="M665" s="4"/>
      <c r="T665" s="6"/>
      <c r="V665" s="6"/>
      <c r="W665" s="4"/>
    </row>
    <row r="666" spans="7:23">
      <c r="G666" s="4"/>
      <c r="H666" s="4"/>
      <c r="J666" s="4"/>
      <c r="K666" s="4"/>
      <c r="L666" s="4"/>
      <c r="M666" s="4"/>
      <c r="T666" s="6"/>
      <c r="V666" s="6"/>
      <c r="W666" s="4"/>
    </row>
    <row r="667" spans="7:23">
      <c r="G667" s="4"/>
      <c r="H667" s="4"/>
      <c r="J667" s="4"/>
      <c r="K667" s="4"/>
      <c r="L667" s="4"/>
      <c r="M667" s="4"/>
      <c r="T667" s="6"/>
      <c r="V667" s="6"/>
      <c r="W667" s="4"/>
    </row>
    <row r="668" spans="7:23">
      <c r="G668" s="4"/>
      <c r="H668" s="4"/>
      <c r="J668" s="4"/>
      <c r="K668" s="4"/>
      <c r="L668" s="4"/>
      <c r="M668" s="4"/>
      <c r="T668" s="6"/>
      <c r="V668" s="6"/>
      <c r="W668" s="4"/>
    </row>
    <row r="669" spans="7:23">
      <c r="G669" s="4"/>
      <c r="H669" s="4"/>
      <c r="J669" s="4"/>
      <c r="K669" s="4"/>
      <c r="L669" s="4"/>
      <c r="M669" s="4"/>
      <c r="T669" s="6"/>
      <c r="V669" s="6"/>
      <c r="W669" s="4"/>
    </row>
    <row r="670" spans="7:23">
      <c r="G670" s="4"/>
      <c r="H670" s="4"/>
      <c r="J670" s="4"/>
      <c r="K670" s="4"/>
      <c r="L670" s="4"/>
      <c r="M670" s="4"/>
      <c r="T670" s="6"/>
      <c r="V670" s="6"/>
      <c r="W670" s="4"/>
    </row>
    <row r="671" spans="7:23">
      <c r="G671" s="4"/>
      <c r="H671" s="4"/>
      <c r="J671" s="4"/>
      <c r="K671" s="4"/>
      <c r="L671" s="4"/>
      <c r="M671" s="4"/>
      <c r="T671" s="6"/>
      <c r="V671" s="6"/>
      <c r="W671" s="4"/>
    </row>
    <row r="672" spans="7:23">
      <c r="G672" s="4"/>
      <c r="H672" s="4"/>
      <c r="J672" s="4"/>
      <c r="K672" s="4"/>
      <c r="L672" s="4"/>
      <c r="M672" s="4"/>
      <c r="T672" s="6"/>
      <c r="V672" s="6"/>
      <c r="W672" s="4"/>
    </row>
    <row r="673" spans="7:23">
      <c r="G673" s="4"/>
      <c r="H673" s="4"/>
      <c r="J673" s="4"/>
      <c r="K673" s="4"/>
      <c r="L673" s="4"/>
      <c r="M673" s="4"/>
      <c r="T673" s="6"/>
      <c r="V673" s="6"/>
      <c r="W673" s="4"/>
    </row>
    <row r="674" spans="7:23">
      <c r="G674" s="4"/>
      <c r="H674" s="4"/>
      <c r="J674" s="4"/>
      <c r="K674" s="4"/>
      <c r="L674" s="4"/>
      <c r="M674" s="4"/>
      <c r="T674" s="6"/>
      <c r="V674" s="6"/>
      <c r="W674" s="4"/>
    </row>
    <row r="675" spans="7:23">
      <c r="G675" s="4"/>
      <c r="H675" s="4"/>
      <c r="J675" s="4"/>
      <c r="K675" s="4"/>
      <c r="L675" s="4"/>
      <c r="M675" s="4"/>
      <c r="T675" s="6"/>
      <c r="V675" s="6"/>
      <c r="W675" s="4"/>
    </row>
    <row r="676" spans="7:23">
      <c r="G676" s="4"/>
      <c r="H676" s="4"/>
      <c r="J676" s="4"/>
      <c r="K676" s="4"/>
      <c r="L676" s="4"/>
      <c r="M676" s="4"/>
      <c r="T676" s="6"/>
      <c r="V676" s="6"/>
      <c r="W676" s="4"/>
    </row>
    <row r="677" spans="7:23">
      <c r="G677" s="4"/>
      <c r="H677" s="4"/>
      <c r="J677" s="4"/>
      <c r="K677" s="4"/>
      <c r="L677" s="4"/>
      <c r="M677" s="4"/>
      <c r="T677" s="6"/>
      <c r="V677" s="6"/>
      <c r="W677" s="4"/>
    </row>
    <row r="678" spans="7:23">
      <c r="G678" s="4"/>
      <c r="H678" s="4"/>
      <c r="J678" s="4"/>
      <c r="K678" s="4"/>
      <c r="L678" s="4"/>
      <c r="M678" s="4"/>
      <c r="T678" s="6"/>
      <c r="V678" s="6"/>
      <c r="W678" s="4"/>
    </row>
    <row r="679" spans="7:23">
      <c r="G679" s="4"/>
      <c r="H679" s="4"/>
      <c r="J679" s="4"/>
      <c r="K679" s="4"/>
      <c r="L679" s="4"/>
      <c r="M679" s="4"/>
      <c r="T679" s="6"/>
      <c r="V679" s="6"/>
      <c r="W679" s="4"/>
    </row>
    <row r="680" spans="7:23">
      <c r="G680" s="4"/>
      <c r="H680" s="4"/>
      <c r="J680" s="4"/>
      <c r="K680" s="4"/>
      <c r="L680" s="4"/>
      <c r="M680" s="4"/>
      <c r="T680" s="6"/>
      <c r="V680" s="6"/>
      <c r="W680" s="4"/>
    </row>
    <row r="681" spans="7:23">
      <c r="G681" s="4"/>
      <c r="H681" s="4"/>
      <c r="J681" s="4"/>
      <c r="K681" s="4"/>
      <c r="L681" s="4"/>
      <c r="M681" s="4"/>
      <c r="T681" s="6"/>
      <c r="V681" s="6"/>
      <c r="W681" s="4"/>
    </row>
    <row r="682" spans="7:23">
      <c r="G682" s="4"/>
      <c r="H682" s="4"/>
      <c r="J682" s="4"/>
      <c r="K682" s="4"/>
      <c r="L682" s="4"/>
      <c r="M682" s="4"/>
      <c r="T682" s="6"/>
      <c r="V682" s="6"/>
      <c r="W682" s="4"/>
    </row>
    <row r="683" spans="7:23">
      <c r="G683" s="4"/>
      <c r="H683" s="4"/>
      <c r="J683" s="4"/>
      <c r="K683" s="4"/>
      <c r="L683" s="4"/>
      <c r="M683" s="4"/>
      <c r="T683" s="6"/>
      <c r="V683" s="6"/>
      <c r="W683" s="4"/>
    </row>
    <row r="684" spans="7:23">
      <c r="G684" s="4"/>
      <c r="H684" s="4"/>
      <c r="J684" s="4"/>
      <c r="K684" s="4"/>
      <c r="L684" s="4"/>
      <c r="M684" s="4"/>
      <c r="T684" s="6"/>
      <c r="V684" s="6"/>
      <c r="W684" s="4"/>
    </row>
    <row r="685" spans="7:23">
      <c r="G685" s="4"/>
      <c r="H685" s="4"/>
      <c r="J685" s="4"/>
      <c r="K685" s="4"/>
      <c r="L685" s="4"/>
      <c r="M685" s="4"/>
      <c r="T685" s="6"/>
      <c r="V685" s="6"/>
      <c r="W685" s="4"/>
    </row>
    <row r="686" spans="7:23">
      <c r="G686" s="4"/>
      <c r="H686" s="4"/>
      <c r="J686" s="4"/>
      <c r="K686" s="4"/>
      <c r="L686" s="4"/>
      <c r="M686" s="4"/>
      <c r="T686" s="6"/>
      <c r="V686" s="6"/>
      <c r="W686" s="4"/>
    </row>
    <row r="687" spans="7:23">
      <c r="G687" s="4"/>
      <c r="H687" s="4"/>
      <c r="J687" s="4"/>
      <c r="K687" s="4"/>
      <c r="L687" s="4"/>
      <c r="M687" s="4"/>
      <c r="T687" s="6"/>
      <c r="V687" s="6"/>
      <c r="W687" s="4"/>
    </row>
    <row r="688" spans="7:23">
      <c r="G688" s="4"/>
      <c r="H688" s="4"/>
      <c r="J688" s="4"/>
      <c r="K688" s="4"/>
      <c r="L688" s="4"/>
      <c r="M688" s="4"/>
      <c r="T688" s="6"/>
      <c r="V688" s="6"/>
      <c r="W688" s="4"/>
    </row>
    <row r="689" spans="7:23">
      <c r="G689" s="4"/>
      <c r="H689" s="4"/>
      <c r="J689" s="4"/>
      <c r="K689" s="4"/>
      <c r="L689" s="4"/>
      <c r="M689" s="4"/>
      <c r="T689" s="6"/>
      <c r="V689" s="6"/>
      <c r="W689" s="4"/>
    </row>
    <row r="690" spans="7:23">
      <c r="G690" s="4"/>
      <c r="H690" s="4"/>
      <c r="J690" s="4"/>
      <c r="K690" s="4"/>
      <c r="L690" s="4"/>
      <c r="M690" s="4"/>
      <c r="T690" s="6"/>
      <c r="V690" s="6"/>
      <c r="W690" s="4"/>
    </row>
    <row r="691" spans="7:23">
      <c r="G691" s="4"/>
      <c r="H691" s="4"/>
      <c r="J691" s="4"/>
      <c r="K691" s="4"/>
      <c r="L691" s="4"/>
      <c r="M691" s="4"/>
      <c r="T691" s="6"/>
      <c r="V691" s="6"/>
      <c r="W691" s="4"/>
    </row>
    <row r="692" spans="7:23">
      <c r="G692" s="4"/>
      <c r="H692" s="4"/>
      <c r="J692" s="4"/>
      <c r="K692" s="4"/>
      <c r="L692" s="4"/>
      <c r="M692" s="4"/>
      <c r="T692" s="6"/>
      <c r="V692" s="6"/>
      <c r="W692" s="4"/>
    </row>
    <row r="693" spans="7:23">
      <c r="G693" s="4"/>
      <c r="H693" s="4"/>
      <c r="J693" s="4"/>
      <c r="K693" s="4"/>
      <c r="L693" s="4"/>
      <c r="M693" s="4"/>
      <c r="T693" s="6"/>
      <c r="V693" s="6"/>
      <c r="W693" s="4"/>
    </row>
    <row r="694" spans="7:23">
      <c r="G694" s="4"/>
      <c r="H694" s="4"/>
      <c r="J694" s="4"/>
      <c r="K694" s="4"/>
      <c r="L694" s="4"/>
      <c r="M694" s="4"/>
      <c r="T694" s="6"/>
      <c r="V694" s="6"/>
      <c r="W694" s="4"/>
    </row>
    <row r="695" spans="7:23">
      <c r="G695" s="4"/>
      <c r="H695" s="4"/>
      <c r="J695" s="4"/>
      <c r="K695" s="4"/>
      <c r="L695" s="4"/>
      <c r="M695" s="4"/>
      <c r="T695" s="6"/>
      <c r="V695" s="6"/>
      <c r="W695" s="4"/>
    </row>
    <row r="696" spans="7:23">
      <c r="G696" s="4"/>
      <c r="H696" s="4"/>
      <c r="J696" s="4"/>
      <c r="K696" s="4"/>
      <c r="L696" s="4"/>
      <c r="M696" s="4"/>
      <c r="T696" s="6"/>
      <c r="V696" s="6"/>
      <c r="W696" s="4"/>
    </row>
    <row r="697" spans="7:23">
      <c r="G697" s="4"/>
      <c r="H697" s="4"/>
      <c r="J697" s="4"/>
      <c r="K697" s="4"/>
      <c r="L697" s="4"/>
      <c r="M697" s="4"/>
      <c r="T697" s="6"/>
      <c r="V697" s="6"/>
      <c r="W697" s="4"/>
    </row>
    <row r="698" spans="7:23">
      <c r="G698" s="4"/>
      <c r="H698" s="4"/>
      <c r="J698" s="4"/>
      <c r="K698" s="4"/>
      <c r="L698" s="4"/>
      <c r="M698" s="4"/>
      <c r="T698" s="6"/>
      <c r="V698" s="6"/>
      <c r="W698" s="4"/>
    </row>
    <row r="699" spans="7:23">
      <c r="G699" s="4"/>
      <c r="H699" s="4"/>
      <c r="J699" s="4"/>
      <c r="K699" s="4"/>
      <c r="L699" s="4"/>
      <c r="M699" s="4"/>
      <c r="T699" s="6"/>
      <c r="V699" s="6"/>
      <c r="W699" s="4"/>
    </row>
    <row r="700" spans="7:23">
      <c r="G700" s="4"/>
      <c r="H700" s="4"/>
      <c r="J700" s="4"/>
      <c r="K700" s="4"/>
      <c r="L700" s="4"/>
      <c r="M700" s="4"/>
      <c r="T700" s="6"/>
      <c r="V700" s="6"/>
      <c r="W700" s="4"/>
    </row>
    <row r="701" spans="7:23">
      <c r="G701" s="4"/>
      <c r="H701" s="4"/>
      <c r="J701" s="4"/>
      <c r="K701" s="4"/>
      <c r="L701" s="4"/>
      <c r="M701" s="4"/>
      <c r="T701" s="6"/>
      <c r="V701" s="6"/>
      <c r="W701" s="4"/>
    </row>
    <row r="702" spans="7:23">
      <c r="G702" s="4"/>
      <c r="H702" s="4"/>
      <c r="J702" s="4"/>
      <c r="K702" s="4"/>
      <c r="L702" s="4"/>
      <c r="M702" s="4"/>
      <c r="T702" s="6"/>
      <c r="V702" s="6"/>
      <c r="W702" s="4"/>
    </row>
    <row r="703" spans="7:23">
      <c r="G703" s="4"/>
      <c r="H703" s="4"/>
      <c r="J703" s="4"/>
      <c r="K703" s="4"/>
      <c r="L703" s="4"/>
      <c r="M703" s="4"/>
      <c r="T703" s="6"/>
      <c r="V703" s="6"/>
      <c r="W703" s="4"/>
    </row>
    <row r="704" spans="7:23">
      <c r="G704" s="4"/>
      <c r="H704" s="4"/>
      <c r="J704" s="4"/>
      <c r="K704" s="4"/>
      <c r="L704" s="4"/>
      <c r="M704" s="4"/>
      <c r="T704" s="6"/>
      <c r="V704" s="6"/>
      <c r="W704" s="4"/>
    </row>
    <row r="705" spans="7:23">
      <c r="G705" s="4"/>
      <c r="H705" s="4"/>
      <c r="J705" s="4"/>
      <c r="K705" s="4"/>
      <c r="L705" s="4"/>
      <c r="M705" s="4"/>
      <c r="T705" s="6"/>
      <c r="V705" s="6"/>
      <c r="W705" s="4"/>
    </row>
    <row r="706" spans="7:23">
      <c r="G706" s="4"/>
      <c r="H706" s="4"/>
      <c r="J706" s="4"/>
      <c r="K706" s="4"/>
      <c r="L706" s="4"/>
      <c r="M706" s="4"/>
      <c r="T706" s="6"/>
      <c r="V706" s="6"/>
      <c r="W706" s="4"/>
    </row>
    <row r="707" spans="7:23">
      <c r="G707" s="4"/>
      <c r="H707" s="4"/>
      <c r="J707" s="4"/>
      <c r="K707" s="4"/>
      <c r="L707" s="4"/>
      <c r="M707" s="4"/>
      <c r="T707" s="6"/>
      <c r="V707" s="6"/>
      <c r="W707" s="4"/>
    </row>
    <row r="708" spans="7:23">
      <c r="G708" s="4"/>
      <c r="H708" s="4"/>
      <c r="J708" s="4"/>
      <c r="K708" s="4"/>
      <c r="L708" s="4"/>
      <c r="M708" s="4"/>
      <c r="T708" s="6"/>
      <c r="V708" s="6"/>
      <c r="W708" s="4"/>
    </row>
    <row r="709" spans="7:23">
      <c r="G709" s="4"/>
      <c r="H709" s="4"/>
      <c r="J709" s="4"/>
      <c r="K709" s="4"/>
      <c r="L709" s="4"/>
      <c r="M709" s="4"/>
      <c r="T709" s="6"/>
      <c r="V709" s="6"/>
      <c r="W709" s="4"/>
    </row>
    <row r="710" spans="7:23">
      <c r="G710" s="4"/>
      <c r="H710" s="4"/>
      <c r="J710" s="4"/>
      <c r="K710" s="4"/>
      <c r="L710" s="4"/>
      <c r="M710" s="4"/>
      <c r="T710" s="6"/>
      <c r="V710" s="6"/>
      <c r="W710" s="4"/>
    </row>
    <row r="711" spans="7:23">
      <c r="G711" s="4"/>
      <c r="H711" s="4"/>
      <c r="J711" s="4"/>
      <c r="K711" s="4"/>
      <c r="L711" s="4"/>
      <c r="M711" s="4"/>
      <c r="T711" s="6"/>
      <c r="V711" s="6"/>
      <c r="W711" s="4"/>
    </row>
    <row r="712" spans="7:23">
      <c r="G712" s="4"/>
      <c r="H712" s="4"/>
      <c r="J712" s="4"/>
      <c r="K712" s="4"/>
      <c r="L712" s="4"/>
      <c r="M712" s="4"/>
      <c r="T712" s="6"/>
      <c r="V712" s="6"/>
      <c r="W712" s="4"/>
    </row>
    <row r="713" spans="7:23">
      <c r="G713" s="4"/>
      <c r="H713" s="4"/>
      <c r="J713" s="4"/>
      <c r="K713" s="4"/>
      <c r="L713" s="4"/>
      <c r="M713" s="4"/>
      <c r="T713" s="6"/>
      <c r="V713" s="6"/>
      <c r="W713" s="4"/>
    </row>
    <row r="714" spans="7:23">
      <c r="G714" s="4"/>
      <c r="H714" s="4"/>
      <c r="J714" s="4"/>
      <c r="K714" s="4"/>
      <c r="L714" s="4"/>
      <c r="M714" s="4"/>
      <c r="T714" s="6"/>
      <c r="V714" s="6"/>
      <c r="W714" s="4"/>
    </row>
    <row r="715" spans="7:23">
      <c r="G715" s="4"/>
      <c r="H715" s="4"/>
      <c r="J715" s="4"/>
      <c r="K715" s="4"/>
      <c r="L715" s="4"/>
      <c r="M715" s="4"/>
      <c r="T715" s="6"/>
      <c r="V715" s="6"/>
      <c r="W715" s="4"/>
    </row>
    <row r="716" spans="7:23">
      <c r="G716" s="4"/>
      <c r="H716" s="4"/>
      <c r="J716" s="4"/>
      <c r="K716" s="4"/>
      <c r="L716" s="4"/>
      <c r="M716" s="4"/>
      <c r="T716" s="6"/>
      <c r="V716" s="6"/>
      <c r="W716" s="4"/>
    </row>
    <row r="717" spans="7:23">
      <c r="G717" s="4"/>
      <c r="H717" s="4"/>
      <c r="J717" s="4"/>
      <c r="K717" s="4"/>
      <c r="L717" s="4"/>
      <c r="M717" s="4"/>
      <c r="T717" s="6"/>
      <c r="V717" s="6"/>
      <c r="W717" s="4"/>
    </row>
    <row r="718" spans="7:23">
      <c r="G718" s="4"/>
      <c r="H718" s="4"/>
      <c r="J718" s="4"/>
      <c r="K718" s="4"/>
      <c r="L718" s="4"/>
      <c r="M718" s="4"/>
      <c r="T718" s="6"/>
      <c r="V718" s="6"/>
      <c r="W718" s="4"/>
    </row>
    <row r="719" spans="7:23">
      <c r="G719" s="4"/>
      <c r="H719" s="4"/>
      <c r="J719" s="4"/>
      <c r="K719" s="4"/>
      <c r="L719" s="4"/>
      <c r="M719" s="4"/>
      <c r="T719" s="6"/>
      <c r="V719" s="6"/>
      <c r="W719" s="4"/>
    </row>
    <row r="720" spans="7:23">
      <c r="G720" s="4"/>
      <c r="H720" s="4"/>
      <c r="J720" s="4"/>
      <c r="K720" s="4"/>
      <c r="L720" s="4"/>
      <c r="M720" s="4"/>
      <c r="T720" s="6"/>
      <c r="V720" s="6"/>
      <c r="W720" s="4"/>
    </row>
    <row r="721" spans="7:23">
      <c r="G721" s="4"/>
      <c r="H721" s="4"/>
      <c r="J721" s="4"/>
      <c r="K721" s="4"/>
      <c r="L721" s="4"/>
      <c r="M721" s="4"/>
      <c r="T721" s="6"/>
      <c r="V721" s="6"/>
      <c r="W721" s="4"/>
    </row>
    <row r="722" spans="7:23">
      <c r="G722" s="4"/>
      <c r="H722" s="4"/>
      <c r="J722" s="4"/>
      <c r="K722" s="4"/>
      <c r="L722" s="4"/>
      <c r="M722" s="4"/>
      <c r="T722" s="6"/>
      <c r="V722" s="6"/>
      <c r="W722" s="4"/>
    </row>
    <row r="723" spans="7:23">
      <c r="G723" s="4"/>
      <c r="H723" s="4"/>
      <c r="J723" s="4"/>
      <c r="K723" s="4"/>
      <c r="L723" s="4"/>
      <c r="M723" s="4"/>
      <c r="T723" s="6"/>
      <c r="V723" s="6"/>
      <c r="W723" s="4"/>
    </row>
    <row r="724" spans="7:23">
      <c r="G724" s="4"/>
      <c r="H724" s="4"/>
      <c r="J724" s="4"/>
      <c r="K724" s="4"/>
      <c r="L724" s="4"/>
      <c r="M724" s="4"/>
      <c r="T724" s="6"/>
      <c r="V724" s="6"/>
      <c r="W724" s="4"/>
    </row>
    <row r="725" spans="7:23">
      <c r="G725" s="4"/>
      <c r="H725" s="4"/>
      <c r="J725" s="4"/>
      <c r="K725" s="4"/>
      <c r="L725" s="4"/>
      <c r="M725" s="4"/>
      <c r="T725" s="6"/>
      <c r="V725" s="6"/>
      <c r="W725" s="4"/>
    </row>
    <row r="726" spans="7:23">
      <c r="G726" s="4"/>
      <c r="H726" s="4"/>
      <c r="J726" s="4"/>
      <c r="K726" s="4"/>
      <c r="L726" s="4"/>
      <c r="M726" s="4"/>
      <c r="T726" s="6"/>
      <c r="V726" s="6"/>
      <c r="W726" s="4"/>
    </row>
    <row r="727" spans="7:23">
      <c r="G727" s="4"/>
      <c r="H727" s="4"/>
      <c r="J727" s="4"/>
      <c r="K727" s="4"/>
      <c r="L727" s="4"/>
      <c r="M727" s="4"/>
      <c r="T727" s="6"/>
      <c r="V727" s="6"/>
      <c r="W727" s="4"/>
    </row>
    <row r="728" spans="7:23">
      <c r="G728" s="4"/>
      <c r="H728" s="4"/>
      <c r="J728" s="4"/>
      <c r="K728" s="4"/>
      <c r="L728" s="4"/>
      <c r="M728" s="4"/>
      <c r="T728" s="6"/>
      <c r="V728" s="6"/>
      <c r="W728" s="4"/>
    </row>
    <row r="729" spans="7:23">
      <c r="G729" s="4"/>
      <c r="H729" s="4"/>
      <c r="J729" s="4"/>
      <c r="K729" s="4"/>
      <c r="L729" s="4"/>
      <c r="M729" s="4"/>
      <c r="T729" s="6"/>
      <c r="V729" s="6"/>
      <c r="W729" s="4"/>
    </row>
    <row r="730" spans="7:23">
      <c r="G730" s="4"/>
      <c r="H730" s="4"/>
      <c r="J730" s="4"/>
      <c r="K730" s="4"/>
      <c r="L730" s="4"/>
      <c r="M730" s="4"/>
      <c r="T730" s="6"/>
      <c r="V730" s="6"/>
      <c r="W730" s="4"/>
    </row>
    <row r="731" spans="7:23">
      <c r="G731" s="4"/>
      <c r="H731" s="4"/>
      <c r="J731" s="4"/>
      <c r="K731" s="4"/>
      <c r="L731" s="4"/>
      <c r="M731" s="4"/>
      <c r="T731" s="6"/>
      <c r="V731" s="6"/>
      <c r="W731" s="4"/>
    </row>
    <row r="732" spans="7:23">
      <c r="G732" s="4"/>
      <c r="H732" s="4"/>
      <c r="J732" s="4"/>
      <c r="K732" s="4"/>
      <c r="L732" s="4"/>
      <c r="M732" s="4"/>
      <c r="T732" s="6"/>
      <c r="V732" s="6"/>
      <c r="W732" s="4"/>
    </row>
    <row r="733" spans="7:23">
      <c r="G733" s="4"/>
      <c r="H733" s="4"/>
      <c r="J733" s="4"/>
      <c r="K733" s="4"/>
      <c r="L733" s="4"/>
      <c r="M733" s="4"/>
      <c r="T733" s="6"/>
      <c r="V733" s="6"/>
      <c r="W733" s="4"/>
    </row>
    <row r="734" spans="7:23">
      <c r="G734" s="4"/>
      <c r="H734" s="4"/>
      <c r="J734" s="4"/>
      <c r="K734" s="4"/>
      <c r="L734" s="4"/>
      <c r="M734" s="4"/>
      <c r="T734" s="6"/>
      <c r="V734" s="6"/>
      <c r="W734" s="4"/>
    </row>
    <row r="735" spans="7:23">
      <c r="G735" s="4"/>
      <c r="H735" s="4"/>
      <c r="J735" s="4"/>
      <c r="K735" s="4"/>
      <c r="L735" s="4"/>
      <c r="M735" s="4"/>
      <c r="T735" s="6"/>
      <c r="V735" s="6"/>
      <c r="W735" s="4"/>
    </row>
    <row r="736" spans="7:23">
      <c r="G736" s="4"/>
      <c r="H736" s="4"/>
      <c r="J736" s="4"/>
      <c r="K736" s="4"/>
      <c r="L736" s="4"/>
      <c r="M736" s="4"/>
      <c r="T736" s="6"/>
      <c r="V736" s="6"/>
      <c r="W736" s="4"/>
    </row>
    <row r="737" spans="7:23">
      <c r="G737" s="4"/>
      <c r="H737" s="4"/>
      <c r="J737" s="4"/>
      <c r="K737" s="4"/>
      <c r="L737" s="4"/>
      <c r="M737" s="4"/>
      <c r="T737" s="6"/>
      <c r="V737" s="6"/>
      <c r="W737" s="4"/>
    </row>
    <row r="738" spans="7:23">
      <c r="G738" s="4"/>
      <c r="H738" s="4"/>
      <c r="J738" s="4"/>
      <c r="K738" s="4"/>
      <c r="L738" s="4"/>
      <c r="M738" s="4"/>
      <c r="T738" s="6"/>
      <c r="V738" s="6"/>
      <c r="W738" s="4"/>
    </row>
    <row r="739" spans="7:23">
      <c r="G739" s="4"/>
      <c r="H739" s="4"/>
      <c r="J739" s="4"/>
      <c r="K739" s="4"/>
      <c r="L739" s="4"/>
      <c r="M739" s="4"/>
      <c r="T739" s="6"/>
      <c r="V739" s="6"/>
      <c r="W739" s="4"/>
    </row>
    <row r="740" spans="7:23">
      <c r="G740" s="4"/>
      <c r="H740" s="4"/>
      <c r="J740" s="4"/>
      <c r="K740" s="4"/>
      <c r="L740" s="4"/>
      <c r="M740" s="4"/>
      <c r="T740" s="6"/>
      <c r="V740" s="6"/>
      <c r="W740" s="4"/>
    </row>
    <row r="741" spans="7:23">
      <c r="G741" s="4"/>
      <c r="H741" s="4"/>
      <c r="J741" s="4"/>
      <c r="K741" s="4"/>
      <c r="L741" s="4"/>
      <c r="M741" s="4"/>
      <c r="T741" s="6"/>
      <c r="V741" s="6"/>
      <c r="W741" s="4"/>
    </row>
    <row r="742" spans="7:23">
      <c r="G742" s="4"/>
      <c r="H742" s="4"/>
      <c r="J742" s="4"/>
      <c r="K742" s="4"/>
      <c r="L742" s="4"/>
      <c r="M742" s="4"/>
      <c r="T742" s="6"/>
      <c r="V742" s="6"/>
      <c r="W742" s="4"/>
    </row>
    <row r="743" spans="7:23">
      <c r="G743" s="4"/>
      <c r="H743" s="4"/>
      <c r="J743" s="4"/>
      <c r="K743" s="4"/>
      <c r="L743" s="4"/>
      <c r="M743" s="4"/>
      <c r="T743" s="6"/>
      <c r="V743" s="6"/>
      <c r="W743" s="4"/>
    </row>
    <row r="744" spans="7:23">
      <c r="G744" s="4"/>
      <c r="H744" s="4"/>
      <c r="J744" s="4"/>
      <c r="K744" s="4"/>
      <c r="L744" s="4"/>
      <c r="M744" s="4"/>
      <c r="T744" s="6"/>
      <c r="V744" s="6"/>
      <c r="W744" s="4"/>
    </row>
    <row r="745" spans="7:23">
      <c r="G745" s="4"/>
      <c r="H745" s="4"/>
      <c r="J745" s="4"/>
      <c r="K745" s="4"/>
      <c r="L745" s="4"/>
      <c r="M745" s="4"/>
      <c r="T745" s="6"/>
      <c r="V745" s="6"/>
      <c r="W745" s="4"/>
    </row>
    <row r="746" spans="7:23">
      <c r="G746" s="4"/>
      <c r="H746" s="4"/>
      <c r="J746" s="4"/>
      <c r="K746" s="4"/>
      <c r="L746" s="4"/>
      <c r="M746" s="4"/>
      <c r="T746" s="6"/>
      <c r="V746" s="6"/>
      <c r="W746" s="4"/>
    </row>
    <row r="747" spans="7:23">
      <c r="G747" s="4"/>
      <c r="H747" s="4"/>
      <c r="J747" s="4"/>
      <c r="K747" s="4"/>
      <c r="L747" s="4"/>
      <c r="M747" s="4"/>
      <c r="T747" s="6"/>
      <c r="V747" s="6"/>
      <c r="W747" s="4"/>
    </row>
    <row r="748" spans="7:23">
      <c r="G748" s="4"/>
      <c r="H748" s="4"/>
      <c r="J748" s="4"/>
      <c r="K748" s="4"/>
      <c r="L748" s="4"/>
      <c r="M748" s="4"/>
      <c r="T748" s="6"/>
      <c r="V748" s="6"/>
      <c r="W748" s="4"/>
    </row>
    <row r="749" spans="7:23">
      <c r="G749" s="4"/>
      <c r="H749" s="4"/>
      <c r="J749" s="4"/>
      <c r="K749" s="4"/>
      <c r="L749" s="4"/>
      <c r="M749" s="4"/>
      <c r="T749" s="6"/>
      <c r="V749" s="6"/>
      <c r="W749" s="4"/>
    </row>
    <row r="750" spans="7:23">
      <c r="G750" s="4"/>
      <c r="H750" s="4"/>
      <c r="J750" s="4"/>
      <c r="K750" s="4"/>
      <c r="L750" s="4"/>
      <c r="M750" s="4"/>
      <c r="T750" s="6"/>
      <c r="V750" s="6"/>
      <c r="W750" s="4"/>
    </row>
    <row r="751" spans="7:23">
      <c r="G751" s="4"/>
      <c r="H751" s="4"/>
      <c r="J751" s="4"/>
      <c r="K751" s="4"/>
      <c r="L751" s="4"/>
      <c r="M751" s="4"/>
      <c r="T751" s="6"/>
      <c r="V751" s="6"/>
      <c r="W751" s="4"/>
    </row>
    <row r="752" spans="7:23">
      <c r="G752" s="4"/>
      <c r="H752" s="4"/>
      <c r="J752" s="4"/>
      <c r="K752" s="4"/>
      <c r="L752" s="4"/>
      <c r="M752" s="4"/>
      <c r="T752" s="6"/>
      <c r="V752" s="6"/>
      <c r="W752" s="4"/>
    </row>
    <row r="753" spans="7:23">
      <c r="G753" s="4"/>
      <c r="H753" s="4"/>
      <c r="J753" s="4"/>
      <c r="K753" s="4"/>
      <c r="L753" s="4"/>
      <c r="M753" s="4"/>
      <c r="T753" s="6"/>
      <c r="V753" s="6"/>
      <c r="W753" s="4"/>
    </row>
    <row r="754" spans="7:23">
      <c r="G754" s="4"/>
      <c r="H754" s="4"/>
      <c r="J754" s="4"/>
      <c r="K754" s="4"/>
      <c r="L754" s="4"/>
      <c r="M754" s="4"/>
      <c r="T754" s="6"/>
      <c r="V754" s="6"/>
      <c r="W754" s="4"/>
    </row>
    <row r="755" spans="7:23">
      <c r="G755" s="4"/>
      <c r="H755" s="4"/>
      <c r="J755" s="4"/>
      <c r="K755" s="4"/>
      <c r="L755" s="4"/>
      <c r="M755" s="4"/>
      <c r="T755" s="6"/>
      <c r="V755" s="6"/>
      <c r="W755" s="4"/>
    </row>
    <row r="756" spans="7:23">
      <c r="G756" s="4"/>
      <c r="H756" s="4"/>
      <c r="J756" s="4"/>
      <c r="K756" s="4"/>
      <c r="L756" s="4"/>
      <c r="M756" s="4"/>
      <c r="T756" s="6"/>
      <c r="V756" s="6"/>
      <c r="W756" s="4"/>
    </row>
    <row r="757" spans="7:23">
      <c r="G757" s="4"/>
      <c r="H757" s="4"/>
      <c r="J757" s="4"/>
      <c r="K757" s="4"/>
      <c r="L757" s="4"/>
      <c r="M757" s="4"/>
      <c r="T757" s="6"/>
      <c r="V757" s="6"/>
      <c r="W757" s="4"/>
    </row>
    <row r="758" spans="7:23">
      <c r="G758" s="4"/>
      <c r="H758" s="4"/>
      <c r="J758" s="4"/>
      <c r="K758" s="4"/>
      <c r="L758" s="4"/>
      <c r="M758" s="4"/>
      <c r="T758" s="6"/>
      <c r="V758" s="6"/>
      <c r="W758" s="4"/>
    </row>
    <row r="759" spans="7:23">
      <c r="G759" s="4"/>
      <c r="H759" s="4"/>
      <c r="J759" s="4"/>
      <c r="K759" s="4"/>
      <c r="L759" s="4"/>
      <c r="M759" s="4"/>
      <c r="T759" s="6"/>
      <c r="V759" s="6"/>
      <c r="W759" s="4"/>
    </row>
    <row r="760" spans="7:23">
      <c r="G760" s="4"/>
      <c r="H760" s="4"/>
      <c r="J760" s="4"/>
      <c r="K760" s="4"/>
      <c r="L760" s="4"/>
      <c r="M760" s="4"/>
      <c r="T760" s="6"/>
      <c r="V760" s="6"/>
      <c r="W760" s="4"/>
    </row>
    <row r="761" spans="7:23">
      <c r="G761" s="4"/>
      <c r="H761" s="4"/>
      <c r="J761" s="4"/>
      <c r="K761" s="4"/>
      <c r="L761" s="4"/>
      <c r="M761" s="4"/>
      <c r="T761" s="6"/>
      <c r="V761" s="6"/>
      <c r="W761" s="4"/>
    </row>
    <row r="762" spans="7:23">
      <c r="G762" s="4"/>
      <c r="H762" s="4"/>
      <c r="J762" s="4"/>
      <c r="K762" s="4"/>
      <c r="L762" s="4"/>
      <c r="M762" s="4"/>
      <c r="T762" s="6"/>
      <c r="V762" s="6"/>
      <c r="W762" s="4"/>
    </row>
    <row r="763" spans="7:23">
      <c r="G763" s="4"/>
      <c r="H763" s="4"/>
      <c r="J763" s="4"/>
      <c r="K763" s="4"/>
      <c r="L763" s="4"/>
      <c r="M763" s="4"/>
      <c r="T763" s="6"/>
      <c r="V763" s="6"/>
      <c r="W763" s="4"/>
    </row>
    <row r="764" spans="7:23">
      <c r="G764" s="4"/>
      <c r="H764" s="4"/>
      <c r="J764" s="4"/>
      <c r="K764" s="4"/>
      <c r="L764" s="4"/>
      <c r="M764" s="4"/>
      <c r="T764" s="6"/>
      <c r="V764" s="6"/>
      <c r="W764" s="4"/>
    </row>
    <row r="765" spans="7:23">
      <c r="G765" s="4"/>
      <c r="H765" s="4"/>
      <c r="J765" s="4"/>
      <c r="K765" s="4"/>
      <c r="L765" s="4"/>
      <c r="M765" s="4"/>
      <c r="T765" s="6"/>
      <c r="V765" s="6"/>
      <c r="W765" s="4"/>
    </row>
    <row r="766" spans="7:23">
      <c r="G766" s="4"/>
      <c r="H766" s="4"/>
      <c r="J766" s="4"/>
      <c r="K766" s="4"/>
      <c r="L766" s="4"/>
      <c r="M766" s="4"/>
      <c r="T766" s="6"/>
      <c r="V766" s="6"/>
      <c r="W766" s="4"/>
    </row>
    <row r="767" spans="7:23">
      <c r="G767" s="4"/>
      <c r="H767" s="4"/>
      <c r="J767" s="4"/>
      <c r="K767" s="4"/>
      <c r="L767" s="4"/>
      <c r="M767" s="4"/>
      <c r="T767" s="6"/>
      <c r="V767" s="6"/>
      <c r="W767" s="4"/>
    </row>
    <row r="768" spans="7:23">
      <c r="G768" s="4"/>
      <c r="H768" s="4"/>
      <c r="J768" s="4"/>
      <c r="K768" s="4"/>
      <c r="L768" s="4"/>
      <c r="M768" s="4"/>
      <c r="T768" s="6"/>
      <c r="V768" s="6"/>
      <c r="W768" s="4"/>
    </row>
    <row r="769" spans="7:23">
      <c r="G769" s="4"/>
      <c r="H769" s="4"/>
      <c r="J769" s="4"/>
      <c r="K769" s="4"/>
      <c r="L769" s="4"/>
      <c r="M769" s="4"/>
      <c r="T769" s="6"/>
      <c r="V769" s="6"/>
      <c r="W769" s="4"/>
    </row>
    <row r="770" spans="7:23">
      <c r="G770" s="4"/>
      <c r="H770" s="4"/>
      <c r="J770" s="4"/>
      <c r="K770" s="4"/>
      <c r="L770" s="4"/>
      <c r="M770" s="4"/>
      <c r="T770" s="6"/>
      <c r="V770" s="6"/>
      <c r="W770" s="4"/>
    </row>
    <row r="771" spans="7:23">
      <c r="G771" s="4"/>
      <c r="H771" s="4"/>
      <c r="J771" s="4"/>
      <c r="K771" s="4"/>
      <c r="L771" s="4"/>
      <c r="M771" s="4"/>
      <c r="T771" s="6"/>
      <c r="V771" s="6"/>
      <c r="W771" s="4"/>
    </row>
    <row r="772" spans="7:23">
      <c r="G772" s="4"/>
      <c r="H772" s="4"/>
      <c r="J772" s="4"/>
      <c r="K772" s="4"/>
      <c r="L772" s="4"/>
      <c r="M772" s="4"/>
      <c r="T772" s="6"/>
      <c r="V772" s="6"/>
      <c r="W772" s="4"/>
    </row>
    <row r="773" spans="7:23">
      <c r="G773" s="4"/>
      <c r="H773" s="4"/>
      <c r="J773" s="4"/>
      <c r="K773" s="4"/>
      <c r="L773" s="4"/>
      <c r="M773" s="4"/>
      <c r="T773" s="6"/>
      <c r="V773" s="6"/>
      <c r="W773" s="4"/>
    </row>
    <row r="774" spans="7:23">
      <c r="G774" s="4"/>
      <c r="H774" s="4"/>
      <c r="J774" s="4"/>
      <c r="K774" s="4"/>
      <c r="L774" s="4"/>
      <c r="M774" s="4"/>
      <c r="T774" s="6"/>
      <c r="V774" s="6"/>
      <c r="W774" s="4"/>
    </row>
    <row r="775" spans="7:23">
      <c r="G775" s="4"/>
      <c r="H775" s="4"/>
      <c r="J775" s="4"/>
      <c r="K775" s="4"/>
      <c r="L775" s="4"/>
      <c r="M775" s="4"/>
      <c r="T775" s="6"/>
      <c r="V775" s="6"/>
      <c r="W775" s="4"/>
    </row>
    <row r="776" spans="7:23">
      <c r="G776" s="4"/>
      <c r="H776" s="4"/>
      <c r="J776" s="4"/>
      <c r="K776" s="4"/>
      <c r="L776" s="4"/>
      <c r="M776" s="4"/>
      <c r="T776" s="6"/>
      <c r="V776" s="6"/>
      <c r="W776" s="4"/>
    </row>
    <row r="777" spans="7:23">
      <c r="G777" s="4"/>
      <c r="H777" s="4"/>
      <c r="J777" s="4"/>
      <c r="K777" s="4"/>
      <c r="L777" s="4"/>
      <c r="M777" s="4"/>
      <c r="T777" s="6"/>
      <c r="V777" s="6"/>
      <c r="W777" s="4"/>
    </row>
    <row r="778" spans="7:23">
      <c r="G778" s="4"/>
      <c r="H778" s="4"/>
      <c r="J778" s="4"/>
      <c r="K778" s="4"/>
      <c r="L778" s="4"/>
      <c r="M778" s="4"/>
      <c r="T778" s="6"/>
      <c r="V778" s="6"/>
      <c r="W778" s="4"/>
    </row>
    <row r="779" spans="7:23">
      <c r="G779" s="4"/>
      <c r="H779" s="4"/>
      <c r="J779" s="4"/>
      <c r="K779" s="4"/>
      <c r="L779" s="4"/>
      <c r="M779" s="4"/>
      <c r="T779" s="6"/>
      <c r="V779" s="6"/>
      <c r="W779" s="4"/>
    </row>
    <row r="780" spans="7:23">
      <c r="G780" s="4"/>
      <c r="H780" s="4"/>
      <c r="J780" s="4"/>
      <c r="K780" s="4"/>
      <c r="L780" s="4"/>
      <c r="M780" s="4"/>
      <c r="T780" s="6"/>
      <c r="V780" s="6"/>
      <c r="W780" s="4"/>
    </row>
    <row r="781" spans="7:23">
      <c r="G781" s="4"/>
      <c r="H781" s="4"/>
      <c r="J781" s="4"/>
      <c r="K781" s="4"/>
      <c r="L781" s="4"/>
      <c r="M781" s="4"/>
      <c r="T781" s="6"/>
      <c r="V781" s="6"/>
      <c r="W781" s="4"/>
    </row>
    <row r="782" spans="7:23">
      <c r="G782" s="4"/>
      <c r="H782" s="4"/>
      <c r="J782" s="4"/>
      <c r="K782" s="4"/>
      <c r="L782" s="4"/>
      <c r="M782" s="4"/>
      <c r="T782" s="6"/>
      <c r="V782" s="6"/>
      <c r="W782" s="4"/>
    </row>
    <row r="783" spans="7:23">
      <c r="G783" s="4"/>
      <c r="H783" s="4"/>
      <c r="J783" s="4"/>
      <c r="K783" s="4"/>
      <c r="L783" s="4"/>
      <c r="M783" s="4"/>
      <c r="T783" s="6"/>
      <c r="V783" s="6"/>
      <c r="W783" s="4"/>
    </row>
    <row r="784" spans="7:23">
      <c r="G784" s="4"/>
      <c r="H784" s="4"/>
      <c r="J784" s="4"/>
      <c r="K784" s="4"/>
      <c r="L784" s="4"/>
      <c r="M784" s="4"/>
      <c r="T784" s="6"/>
      <c r="V784" s="6"/>
      <c r="W784" s="4"/>
    </row>
    <row r="785" spans="7:23">
      <c r="G785" s="4"/>
      <c r="H785" s="4"/>
      <c r="J785" s="4"/>
      <c r="K785" s="4"/>
      <c r="L785" s="4"/>
      <c r="M785" s="4"/>
      <c r="T785" s="6"/>
      <c r="V785" s="6"/>
      <c r="W785" s="4"/>
    </row>
    <row r="786" spans="7:23">
      <c r="G786" s="4"/>
      <c r="H786" s="4"/>
      <c r="J786" s="4"/>
      <c r="K786" s="4"/>
      <c r="L786" s="4"/>
      <c r="M786" s="4"/>
      <c r="T786" s="6"/>
      <c r="V786" s="6"/>
      <c r="W786" s="4"/>
    </row>
    <row r="787" spans="7:23">
      <c r="G787" s="4"/>
      <c r="H787" s="4"/>
      <c r="J787" s="4"/>
      <c r="K787" s="4"/>
      <c r="L787" s="4"/>
      <c r="M787" s="4"/>
      <c r="T787" s="6"/>
      <c r="V787" s="6"/>
      <c r="W787" s="4"/>
    </row>
    <row r="788" spans="7:23">
      <c r="G788" s="4"/>
      <c r="H788" s="4"/>
      <c r="J788" s="4"/>
      <c r="K788" s="4"/>
      <c r="L788" s="4"/>
      <c r="M788" s="4"/>
      <c r="T788" s="6"/>
      <c r="V788" s="6"/>
      <c r="W788" s="4"/>
    </row>
    <row r="789" spans="7:23">
      <c r="G789" s="4"/>
      <c r="H789" s="4"/>
      <c r="J789" s="4"/>
      <c r="K789" s="4"/>
      <c r="L789" s="4"/>
      <c r="M789" s="4"/>
      <c r="T789" s="6"/>
      <c r="V789" s="6"/>
      <c r="W789" s="4"/>
    </row>
    <row r="790" spans="7:23">
      <c r="G790" s="4"/>
      <c r="H790" s="4"/>
      <c r="J790" s="4"/>
      <c r="K790" s="4"/>
      <c r="L790" s="4"/>
      <c r="M790" s="4"/>
      <c r="T790" s="6"/>
      <c r="V790" s="6"/>
      <c r="W790" s="4"/>
    </row>
    <row r="791" spans="7:23">
      <c r="G791" s="4"/>
      <c r="H791" s="4"/>
      <c r="J791" s="4"/>
      <c r="K791" s="4"/>
      <c r="L791" s="4"/>
      <c r="M791" s="4"/>
      <c r="T791" s="6"/>
      <c r="V791" s="6"/>
      <c r="W791" s="4"/>
    </row>
    <row r="792" spans="7:23">
      <c r="G792" s="4"/>
      <c r="H792" s="4"/>
      <c r="J792" s="4"/>
      <c r="K792" s="4"/>
      <c r="L792" s="4"/>
      <c r="M792" s="4"/>
      <c r="T792" s="6"/>
      <c r="V792" s="6"/>
      <c r="W792" s="4"/>
    </row>
    <row r="793" spans="7:23">
      <c r="G793" s="4"/>
      <c r="H793" s="4"/>
      <c r="J793" s="4"/>
      <c r="K793" s="4"/>
      <c r="L793" s="4"/>
      <c r="M793" s="4"/>
      <c r="T793" s="6"/>
      <c r="V793" s="6"/>
      <c r="W793" s="4"/>
    </row>
    <row r="794" spans="7:23">
      <c r="G794" s="4"/>
      <c r="H794" s="4"/>
      <c r="J794" s="4"/>
      <c r="K794" s="4"/>
      <c r="L794" s="4"/>
      <c r="M794" s="4"/>
      <c r="T794" s="6"/>
      <c r="V794" s="6"/>
      <c r="W794" s="4"/>
    </row>
    <row r="795" spans="7:23">
      <c r="G795" s="4"/>
      <c r="H795" s="4"/>
      <c r="J795" s="4"/>
      <c r="K795" s="4"/>
      <c r="L795" s="4"/>
      <c r="M795" s="4"/>
      <c r="T795" s="6"/>
      <c r="V795" s="6"/>
      <c r="W795" s="4"/>
    </row>
    <row r="796" spans="7:23">
      <c r="G796" s="4"/>
      <c r="H796" s="4"/>
      <c r="J796" s="4"/>
      <c r="K796" s="4"/>
      <c r="L796" s="4"/>
      <c r="M796" s="4"/>
      <c r="T796" s="6"/>
      <c r="V796" s="6"/>
      <c r="W796" s="4"/>
    </row>
    <row r="797" spans="7:23">
      <c r="G797" s="4"/>
      <c r="H797" s="4"/>
      <c r="J797" s="4"/>
      <c r="K797" s="4"/>
      <c r="L797" s="4"/>
      <c r="M797" s="4"/>
      <c r="T797" s="6"/>
      <c r="V797" s="6"/>
      <c r="W797" s="4"/>
    </row>
    <row r="798" spans="7:23">
      <c r="G798" s="4"/>
      <c r="H798" s="4"/>
      <c r="J798" s="4"/>
      <c r="K798" s="4"/>
      <c r="L798" s="4"/>
      <c r="M798" s="4"/>
      <c r="T798" s="6"/>
      <c r="V798" s="6"/>
      <c r="W798" s="4"/>
    </row>
    <row r="799" spans="7:23">
      <c r="G799" s="4"/>
      <c r="H799" s="4"/>
      <c r="J799" s="4"/>
      <c r="K799" s="4"/>
      <c r="L799" s="4"/>
      <c r="M799" s="4"/>
      <c r="T799" s="6"/>
      <c r="V799" s="6"/>
      <c r="W799" s="4"/>
    </row>
    <row r="800" spans="7:23">
      <c r="G800" s="4"/>
      <c r="H800" s="4"/>
      <c r="J800" s="4"/>
      <c r="K800" s="4"/>
      <c r="L800" s="4"/>
      <c r="M800" s="4"/>
      <c r="T800" s="6"/>
      <c r="V800" s="6"/>
      <c r="W800" s="4"/>
    </row>
    <row r="801" spans="7:23">
      <c r="G801" s="4"/>
      <c r="H801" s="4"/>
      <c r="J801" s="4"/>
      <c r="K801" s="4"/>
      <c r="L801" s="4"/>
      <c r="M801" s="4"/>
      <c r="T801" s="6"/>
      <c r="V801" s="6"/>
      <c r="W801" s="4"/>
    </row>
    <row r="802" spans="7:23">
      <c r="G802" s="4"/>
      <c r="H802" s="4"/>
      <c r="J802" s="4"/>
      <c r="K802" s="4"/>
      <c r="L802" s="4"/>
      <c r="M802" s="4"/>
      <c r="T802" s="6"/>
      <c r="V802" s="6"/>
      <c r="W802" s="4"/>
    </row>
    <row r="803" spans="7:23">
      <c r="G803" s="4"/>
      <c r="H803" s="4"/>
      <c r="J803" s="4"/>
      <c r="K803" s="4"/>
      <c r="L803" s="4"/>
      <c r="M803" s="4"/>
      <c r="T803" s="6"/>
      <c r="V803" s="6"/>
      <c r="W803" s="4"/>
    </row>
    <row r="804" spans="7:23">
      <c r="G804" s="4"/>
      <c r="H804" s="4"/>
      <c r="J804" s="4"/>
      <c r="K804" s="4"/>
      <c r="L804" s="4"/>
      <c r="M804" s="4"/>
      <c r="T804" s="6"/>
      <c r="V804" s="6"/>
      <c r="W804" s="4"/>
    </row>
    <row r="805" spans="7:23">
      <c r="G805" s="4"/>
      <c r="H805" s="4"/>
      <c r="J805" s="4"/>
      <c r="K805" s="4"/>
      <c r="L805" s="4"/>
      <c r="M805" s="4"/>
      <c r="T805" s="6"/>
      <c r="V805" s="6"/>
      <c r="W805" s="4"/>
    </row>
    <row r="806" spans="7:23">
      <c r="G806" s="4"/>
      <c r="H806" s="4"/>
      <c r="J806" s="4"/>
      <c r="K806" s="4"/>
      <c r="L806" s="4"/>
      <c r="M806" s="4"/>
      <c r="T806" s="6"/>
      <c r="V806" s="6"/>
      <c r="W806" s="4"/>
    </row>
    <row r="807" spans="7:23">
      <c r="G807" s="4"/>
      <c r="H807" s="4"/>
      <c r="J807" s="4"/>
      <c r="K807" s="4"/>
      <c r="L807" s="4"/>
      <c r="M807" s="4"/>
      <c r="T807" s="6"/>
      <c r="V807" s="6"/>
      <c r="W807" s="4"/>
    </row>
    <row r="808" spans="7:23">
      <c r="G808" s="4"/>
      <c r="H808" s="4"/>
      <c r="J808" s="4"/>
      <c r="K808" s="4"/>
      <c r="L808" s="4"/>
      <c r="M808" s="4"/>
      <c r="T808" s="6"/>
      <c r="V808" s="6"/>
      <c r="W808" s="4"/>
    </row>
    <row r="809" spans="7:23">
      <c r="G809" s="4"/>
      <c r="H809" s="4"/>
      <c r="J809" s="4"/>
      <c r="K809" s="4"/>
      <c r="L809" s="4"/>
      <c r="M809" s="4"/>
      <c r="T809" s="6"/>
      <c r="V809" s="6"/>
      <c r="W809" s="4"/>
    </row>
    <row r="810" spans="7:23">
      <c r="G810" s="4"/>
      <c r="H810" s="4"/>
      <c r="J810" s="4"/>
      <c r="K810" s="4"/>
      <c r="L810" s="4"/>
      <c r="M810" s="4"/>
      <c r="T810" s="6"/>
      <c r="V810" s="6"/>
      <c r="W810" s="4"/>
    </row>
    <row r="811" spans="7:23">
      <c r="G811" s="4"/>
      <c r="H811" s="4"/>
      <c r="J811" s="4"/>
      <c r="K811" s="4"/>
      <c r="L811" s="4"/>
      <c r="M811" s="4"/>
      <c r="T811" s="6"/>
      <c r="V811" s="6"/>
      <c r="W811" s="4"/>
    </row>
    <row r="812" spans="7:23">
      <c r="G812" s="4"/>
      <c r="H812" s="4"/>
      <c r="J812" s="4"/>
      <c r="K812" s="4"/>
      <c r="L812" s="4"/>
      <c r="M812" s="4"/>
      <c r="T812" s="6"/>
      <c r="V812" s="6"/>
      <c r="W812" s="4"/>
    </row>
    <row r="813" spans="7:23">
      <c r="G813" s="4"/>
      <c r="H813" s="4"/>
      <c r="J813" s="4"/>
      <c r="K813" s="4"/>
      <c r="L813" s="4"/>
      <c r="M813" s="4"/>
      <c r="T813" s="6"/>
      <c r="V813" s="6"/>
      <c r="W813" s="4"/>
    </row>
    <row r="814" spans="7:23">
      <c r="G814" s="4"/>
      <c r="H814" s="4"/>
      <c r="J814" s="4"/>
      <c r="K814" s="4"/>
      <c r="L814" s="4"/>
      <c r="M814" s="4"/>
      <c r="T814" s="6"/>
      <c r="V814" s="6"/>
      <c r="W814" s="4"/>
    </row>
    <row r="815" spans="7:23">
      <c r="G815" s="4"/>
      <c r="H815" s="4"/>
      <c r="J815" s="4"/>
      <c r="K815" s="4"/>
      <c r="L815" s="4"/>
      <c r="M815" s="4"/>
      <c r="T815" s="6"/>
      <c r="V815" s="6"/>
      <c r="W815" s="4"/>
    </row>
    <row r="816" spans="7:23">
      <c r="G816" s="4"/>
      <c r="H816" s="4"/>
      <c r="J816" s="4"/>
      <c r="K816" s="4"/>
      <c r="L816" s="4"/>
      <c r="M816" s="4"/>
      <c r="T816" s="6"/>
      <c r="V816" s="6"/>
      <c r="W816" s="4"/>
    </row>
    <row r="817" spans="7:23">
      <c r="G817" s="4"/>
      <c r="H817" s="4"/>
      <c r="J817" s="4"/>
      <c r="K817" s="4"/>
      <c r="L817" s="4"/>
      <c r="M817" s="4"/>
      <c r="T817" s="6"/>
      <c r="V817" s="6"/>
      <c r="W817" s="4"/>
    </row>
    <row r="818" spans="7:23">
      <c r="G818" s="4"/>
      <c r="H818" s="4"/>
      <c r="J818" s="4"/>
      <c r="K818" s="4"/>
      <c r="L818" s="4"/>
      <c r="M818" s="4"/>
      <c r="T818" s="6"/>
      <c r="V818" s="6"/>
      <c r="W818" s="4"/>
    </row>
    <row r="819" spans="7:23">
      <c r="G819" s="4"/>
      <c r="H819" s="4"/>
      <c r="J819" s="4"/>
      <c r="K819" s="4"/>
      <c r="L819" s="4"/>
      <c r="M819" s="4"/>
      <c r="T819" s="6"/>
      <c r="V819" s="6"/>
      <c r="W819" s="4"/>
    </row>
    <row r="820" spans="7:23">
      <c r="G820" s="4"/>
      <c r="H820" s="4"/>
      <c r="J820" s="4"/>
      <c r="K820" s="4"/>
      <c r="L820" s="4"/>
      <c r="M820" s="4"/>
      <c r="T820" s="6"/>
      <c r="V820" s="6"/>
      <c r="W820" s="4"/>
    </row>
    <row r="821" spans="7:23">
      <c r="G821" s="4"/>
      <c r="H821" s="4"/>
      <c r="J821" s="4"/>
      <c r="K821" s="4"/>
      <c r="L821" s="4"/>
      <c r="M821" s="4"/>
      <c r="T821" s="6"/>
      <c r="V821" s="6"/>
      <c r="W821" s="4"/>
    </row>
    <row r="822" spans="7:23">
      <c r="G822" s="4"/>
      <c r="H822" s="4"/>
      <c r="J822" s="4"/>
      <c r="K822" s="4"/>
      <c r="L822" s="4"/>
      <c r="M822" s="4"/>
      <c r="T822" s="6"/>
      <c r="V822" s="6"/>
      <c r="W822" s="4"/>
    </row>
    <row r="823" spans="7:23">
      <c r="G823" s="4"/>
      <c r="H823" s="4"/>
      <c r="J823" s="4"/>
      <c r="K823" s="4"/>
      <c r="L823" s="4"/>
      <c r="M823" s="4"/>
      <c r="T823" s="6"/>
      <c r="V823" s="6"/>
      <c r="W823" s="4"/>
    </row>
    <row r="824" spans="7:23">
      <c r="G824" s="4"/>
      <c r="H824" s="4"/>
      <c r="J824" s="4"/>
      <c r="K824" s="4"/>
      <c r="L824" s="4"/>
      <c r="M824" s="4"/>
      <c r="T824" s="6"/>
      <c r="V824" s="6"/>
      <c r="W824" s="4"/>
    </row>
    <row r="825" spans="7:23">
      <c r="G825" s="4"/>
      <c r="H825" s="4"/>
      <c r="J825" s="4"/>
      <c r="K825" s="4"/>
      <c r="L825" s="4"/>
      <c r="M825" s="4"/>
      <c r="T825" s="6"/>
      <c r="V825" s="6"/>
      <c r="W825" s="4"/>
    </row>
    <row r="826" spans="7:23">
      <c r="G826" s="4"/>
      <c r="H826" s="4"/>
      <c r="J826" s="4"/>
      <c r="K826" s="4"/>
      <c r="L826" s="4"/>
      <c r="M826" s="4"/>
      <c r="T826" s="6"/>
      <c r="V826" s="6"/>
      <c r="W826" s="4"/>
    </row>
    <row r="827" spans="7:23">
      <c r="G827" s="4"/>
      <c r="H827" s="4"/>
      <c r="J827" s="4"/>
      <c r="K827" s="4"/>
      <c r="L827" s="4"/>
      <c r="M827" s="4"/>
      <c r="T827" s="6"/>
      <c r="V827" s="6"/>
      <c r="W827" s="4"/>
    </row>
    <row r="828" spans="7:23">
      <c r="G828" s="4"/>
      <c r="H828" s="4"/>
      <c r="J828" s="4"/>
      <c r="K828" s="4"/>
      <c r="L828" s="4"/>
      <c r="M828" s="4"/>
      <c r="T828" s="6"/>
      <c r="V828" s="6"/>
      <c r="W828" s="4"/>
    </row>
    <row r="829" spans="7:23">
      <c r="G829" s="4"/>
      <c r="H829" s="4"/>
      <c r="J829" s="4"/>
      <c r="K829" s="4"/>
      <c r="L829" s="4"/>
      <c r="M829" s="4"/>
      <c r="T829" s="6"/>
      <c r="V829" s="6"/>
      <c r="W829" s="4"/>
    </row>
    <row r="830" spans="7:23">
      <c r="G830" s="4"/>
      <c r="H830" s="4"/>
      <c r="J830" s="4"/>
      <c r="K830" s="4"/>
      <c r="L830" s="4"/>
      <c r="M830" s="4"/>
      <c r="T830" s="6"/>
      <c r="V830" s="6"/>
      <c r="W830" s="4"/>
    </row>
    <row r="831" spans="7:23">
      <c r="G831" s="4"/>
      <c r="H831" s="4"/>
      <c r="J831" s="4"/>
      <c r="K831" s="4"/>
      <c r="L831" s="4"/>
      <c r="M831" s="4"/>
      <c r="T831" s="6"/>
      <c r="V831" s="6"/>
      <c r="W831" s="4"/>
    </row>
    <row r="832" spans="7:23">
      <c r="G832" s="4"/>
      <c r="H832" s="4"/>
      <c r="J832" s="4"/>
      <c r="K832" s="4"/>
      <c r="L832" s="4"/>
      <c r="M832" s="4"/>
      <c r="T832" s="6"/>
      <c r="V832" s="6"/>
      <c r="W832" s="4"/>
    </row>
    <row r="833" spans="7:23">
      <c r="G833" s="4"/>
      <c r="H833" s="4"/>
      <c r="J833" s="4"/>
      <c r="K833" s="4"/>
      <c r="L833" s="4"/>
      <c r="M833" s="4"/>
      <c r="T833" s="6"/>
      <c r="V833" s="6"/>
      <c r="W833" s="4"/>
    </row>
    <row r="834" spans="7:23">
      <c r="G834" s="4"/>
      <c r="H834" s="4"/>
      <c r="J834" s="4"/>
      <c r="K834" s="4"/>
      <c r="L834" s="4"/>
      <c r="M834" s="4"/>
      <c r="T834" s="6"/>
      <c r="V834" s="6"/>
      <c r="W834" s="4"/>
    </row>
    <row r="835" spans="7:23">
      <c r="G835" s="4"/>
      <c r="H835" s="4"/>
      <c r="J835" s="4"/>
      <c r="K835" s="4"/>
      <c r="L835" s="4"/>
      <c r="M835" s="4"/>
      <c r="T835" s="6"/>
      <c r="V835" s="6"/>
      <c r="W835" s="4"/>
    </row>
    <row r="836" spans="7:23">
      <c r="G836" s="4"/>
      <c r="H836" s="4"/>
      <c r="J836" s="4"/>
      <c r="K836" s="4"/>
      <c r="L836" s="4"/>
      <c r="M836" s="4"/>
      <c r="T836" s="6"/>
      <c r="V836" s="6"/>
      <c r="W836" s="4"/>
    </row>
    <row r="837" spans="7:23">
      <c r="G837" s="4"/>
      <c r="H837" s="4"/>
      <c r="J837" s="4"/>
      <c r="K837" s="4"/>
      <c r="L837" s="4"/>
      <c r="M837" s="4"/>
      <c r="T837" s="6"/>
      <c r="V837" s="6"/>
      <c r="W837" s="4"/>
    </row>
    <row r="838" spans="7:23">
      <c r="G838" s="4"/>
      <c r="H838" s="4"/>
      <c r="J838" s="4"/>
      <c r="K838" s="4"/>
      <c r="L838" s="4"/>
      <c r="M838" s="4"/>
      <c r="T838" s="6"/>
      <c r="V838" s="6"/>
      <c r="W838" s="4"/>
    </row>
    <row r="839" spans="7:23">
      <c r="G839" s="4"/>
      <c r="H839" s="4"/>
      <c r="J839" s="4"/>
      <c r="K839" s="4"/>
      <c r="L839" s="4"/>
      <c r="M839" s="4"/>
      <c r="T839" s="6"/>
      <c r="V839" s="6"/>
      <c r="W839" s="4"/>
    </row>
    <row r="840" spans="7:23">
      <c r="G840" s="4"/>
      <c r="H840" s="4"/>
      <c r="J840" s="4"/>
      <c r="K840" s="4"/>
      <c r="L840" s="4"/>
      <c r="M840" s="4"/>
      <c r="T840" s="6"/>
      <c r="V840" s="6"/>
      <c r="W840" s="4"/>
    </row>
    <row r="841" spans="7:23">
      <c r="G841" s="4"/>
      <c r="H841" s="4"/>
      <c r="J841" s="4"/>
      <c r="K841" s="4"/>
      <c r="L841" s="4"/>
      <c r="M841" s="4"/>
      <c r="T841" s="6"/>
      <c r="V841" s="6"/>
      <c r="W841" s="4"/>
    </row>
    <row r="842" spans="7:23">
      <c r="G842" s="4"/>
      <c r="H842" s="4"/>
      <c r="J842" s="4"/>
      <c r="K842" s="4"/>
      <c r="L842" s="4"/>
      <c r="M842" s="4"/>
      <c r="T842" s="6"/>
      <c r="V842" s="6"/>
      <c r="W842" s="4"/>
    </row>
    <row r="843" spans="7:23">
      <c r="G843" s="4"/>
      <c r="H843" s="4"/>
      <c r="J843" s="4"/>
      <c r="K843" s="4"/>
      <c r="L843" s="4"/>
      <c r="M843" s="4"/>
      <c r="T843" s="6"/>
      <c r="V843" s="6"/>
      <c r="W843" s="4"/>
    </row>
    <row r="844" spans="7:23">
      <c r="G844" s="4"/>
      <c r="H844" s="4"/>
      <c r="J844" s="4"/>
      <c r="K844" s="4"/>
      <c r="L844" s="4"/>
      <c r="M844" s="4"/>
      <c r="T844" s="6"/>
      <c r="V844" s="6"/>
      <c r="W844" s="4"/>
    </row>
    <row r="845" spans="7:23">
      <c r="G845" s="4"/>
      <c r="H845" s="4"/>
      <c r="J845" s="4"/>
      <c r="K845" s="4"/>
      <c r="L845" s="4"/>
      <c r="M845" s="4"/>
      <c r="T845" s="6"/>
      <c r="V845" s="6"/>
      <c r="W845" s="4"/>
    </row>
    <row r="846" spans="7:23">
      <c r="G846" s="4"/>
      <c r="H846" s="4"/>
      <c r="J846" s="4"/>
      <c r="K846" s="4"/>
      <c r="L846" s="4"/>
      <c r="M846" s="4"/>
      <c r="T846" s="6"/>
      <c r="V846" s="6"/>
      <c r="W846" s="4"/>
    </row>
    <row r="847" spans="7:23">
      <c r="G847" s="4"/>
      <c r="H847" s="4"/>
      <c r="J847" s="4"/>
      <c r="K847" s="4"/>
      <c r="L847" s="4"/>
      <c r="M847" s="4"/>
      <c r="T847" s="6"/>
      <c r="V847" s="6"/>
      <c r="W847" s="4"/>
    </row>
    <row r="848" spans="7:23">
      <c r="G848" s="4"/>
      <c r="H848" s="4"/>
      <c r="J848" s="4"/>
      <c r="K848" s="4"/>
      <c r="L848" s="4"/>
      <c r="M848" s="4"/>
      <c r="T848" s="6"/>
      <c r="V848" s="6"/>
      <c r="W848" s="4"/>
    </row>
    <row r="849" spans="7:23">
      <c r="G849" s="4"/>
      <c r="H849" s="4"/>
      <c r="J849" s="4"/>
      <c r="K849" s="4"/>
      <c r="L849" s="4"/>
      <c r="M849" s="4"/>
      <c r="T849" s="6"/>
      <c r="V849" s="6"/>
      <c r="W849" s="4"/>
    </row>
    <row r="850" spans="7:23">
      <c r="G850" s="4"/>
      <c r="H850" s="4"/>
      <c r="J850" s="4"/>
      <c r="K850" s="4"/>
      <c r="L850" s="4"/>
      <c r="M850" s="4"/>
      <c r="T850" s="6"/>
      <c r="V850" s="6"/>
      <c r="W850" s="4"/>
    </row>
    <row r="851" spans="7:23">
      <c r="G851" s="4"/>
      <c r="H851" s="4"/>
      <c r="J851" s="4"/>
      <c r="K851" s="4"/>
      <c r="L851" s="4"/>
      <c r="M851" s="4"/>
      <c r="T851" s="6"/>
      <c r="V851" s="6"/>
      <c r="W851" s="4"/>
    </row>
    <row r="852" spans="7:23">
      <c r="G852" s="4"/>
      <c r="H852" s="4"/>
      <c r="J852" s="4"/>
      <c r="K852" s="4"/>
      <c r="L852" s="4"/>
      <c r="M852" s="4"/>
      <c r="T852" s="6"/>
      <c r="V852" s="6"/>
      <c r="W852" s="4"/>
    </row>
    <row r="853" spans="7:23">
      <c r="G853" s="4"/>
      <c r="H853" s="4"/>
      <c r="J853" s="4"/>
      <c r="K853" s="4"/>
      <c r="L853" s="4"/>
      <c r="M853" s="4"/>
      <c r="T853" s="6"/>
      <c r="V853" s="6"/>
      <c r="W853" s="4"/>
    </row>
    <row r="854" spans="7:23">
      <c r="G854" s="4"/>
      <c r="H854" s="4"/>
      <c r="J854" s="4"/>
      <c r="K854" s="4"/>
      <c r="L854" s="4"/>
      <c r="M854" s="4"/>
      <c r="T854" s="6"/>
      <c r="V854" s="6"/>
      <c r="W854" s="4"/>
    </row>
    <row r="855" spans="7:23">
      <c r="G855" s="4"/>
      <c r="H855" s="4"/>
      <c r="J855" s="4"/>
      <c r="K855" s="4"/>
      <c r="L855" s="4"/>
      <c r="M855" s="4"/>
      <c r="T855" s="6"/>
      <c r="V855" s="6"/>
      <c r="W855" s="4"/>
    </row>
    <row r="856" spans="7:23">
      <c r="G856" s="4"/>
      <c r="H856" s="4"/>
      <c r="J856" s="4"/>
      <c r="K856" s="4"/>
      <c r="L856" s="4"/>
      <c r="M856" s="4"/>
      <c r="T856" s="6"/>
      <c r="V856" s="6"/>
      <c r="W856" s="4"/>
    </row>
    <row r="857" spans="7:23">
      <c r="G857" s="4"/>
      <c r="H857" s="4"/>
      <c r="J857" s="4"/>
      <c r="K857" s="4"/>
      <c r="L857" s="4"/>
      <c r="M857" s="4"/>
      <c r="T857" s="6"/>
      <c r="V857" s="6"/>
      <c r="W857" s="4"/>
    </row>
    <row r="858" spans="7:23">
      <c r="G858" s="4"/>
      <c r="H858" s="4"/>
      <c r="J858" s="4"/>
      <c r="K858" s="4"/>
      <c r="L858" s="4"/>
      <c r="M858" s="4"/>
      <c r="T858" s="6"/>
      <c r="V858" s="6"/>
      <c r="W858" s="4"/>
    </row>
    <row r="859" spans="7:23">
      <c r="G859" s="4"/>
      <c r="H859" s="4"/>
      <c r="J859" s="4"/>
      <c r="K859" s="4"/>
      <c r="L859" s="4"/>
      <c r="M859" s="4"/>
      <c r="T859" s="6"/>
      <c r="V859" s="6"/>
      <c r="W859" s="4"/>
    </row>
    <row r="860" spans="7:23">
      <c r="G860" s="4"/>
      <c r="H860" s="4"/>
      <c r="J860" s="4"/>
      <c r="K860" s="4"/>
      <c r="L860" s="4"/>
      <c r="M860" s="4"/>
      <c r="T860" s="6"/>
      <c r="V860" s="6"/>
      <c r="W860" s="4"/>
    </row>
    <row r="861" spans="7:23">
      <c r="G861" s="4"/>
      <c r="H861" s="4"/>
      <c r="J861" s="4"/>
      <c r="K861" s="4"/>
      <c r="L861" s="4"/>
      <c r="M861" s="4"/>
      <c r="T861" s="6"/>
      <c r="V861" s="6"/>
      <c r="W861" s="4"/>
    </row>
    <row r="862" spans="7:23">
      <c r="G862" s="4"/>
      <c r="H862" s="4"/>
      <c r="J862" s="4"/>
      <c r="K862" s="4"/>
      <c r="L862" s="4"/>
      <c r="M862" s="4"/>
      <c r="T862" s="6"/>
      <c r="V862" s="6"/>
      <c r="W862" s="4"/>
    </row>
    <row r="863" spans="7:23">
      <c r="G863" s="4"/>
      <c r="H863" s="4"/>
      <c r="J863" s="4"/>
      <c r="K863" s="4"/>
      <c r="L863" s="4"/>
      <c r="M863" s="4"/>
      <c r="T863" s="6"/>
      <c r="V863" s="6"/>
      <c r="W863" s="4"/>
    </row>
    <row r="864" spans="7:23">
      <c r="G864" s="4"/>
      <c r="H864" s="4"/>
      <c r="J864" s="4"/>
      <c r="K864" s="4"/>
      <c r="L864" s="4"/>
      <c r="M864" s="4"/>
      <c r="T864" s="6"/>
      <c r="V864" s="6"/>
      <c r="W864" s="4"/>
    </row>
    <row r="865" spans="7:23">
      <c r="G865" s="4"/>
      <c r="H865" s="4"/>
      <c r="J865" s="4"/>
      <c r="K865" s="4"/>
      <c r="L865" s="4"/>
      <c r="M865" s="4"/>
      <c r="T865" s="6"/>
      <c r="V865" s="6"/>
      <c r="W865" s="4"/>
    </row>
    <row r="866" spans="7:23">
      <c r="G866" s="4"/>
      <c r="H866" s="4"/>
      <c r="J866" s="4"/>
      <c r="K866" s="4"/>
      <c r="L866" s="4"/>
      <c r="M866" s="4"/>
      <c r="T866" s="6"/>
      <c r="V866" s="6"/>
      <c r="W866" s="4"/>
    </row>
    <row r="867" spans="7:23">
      <c r="G867" s="4"/>
      <c r="H867" s="4"/>
      <c r="J867" s="4"/>
      <c r="K867" s="4"/>
      <c r="L867" s="4"/>
      <c r="M867" s="4"/>
      <c r="T867" s="6"/>
      <c r="V867" s="6"/>
      <c r="W867" s="4"/>
    </row>
    <row r="868" spans="7:23">
      <c r="G868" s="4"/>
      <c r="H868" s="4"/>
      <c r="J868" s="4"/>
      <c r="K868" s="4"/>
      <c r="L868" s="4"/>
      <c r="M868" s="4"/>
      <c r="T868" s="6"/>
      <c r="V868" s="6"/>
      <c r="W868" s="4"/>
    </row>
    <row r="869" spans="7:23">
      <c r="G869" s="4"/>
      <c r="H869" s="4"/>
      <c r="J869" s="4"/>
      <c r="K869" s="4"/>
      <c r="L869" s="4"/>
      <c r="M869" s="4"/>
      <c r="T869" s="6"/>
      <c r="V869" s="6"/>
      <c r="W869" s="4"/>
    </row>
    <row r="870" spans="7:23">
      <c r="G870" s="4"/>
      <c r="H870" s="4"/>
      <c r="J870" s="4"/>
      <c r="K870" s="4"/>
      <c r="L870" s="4"/>
      <c r="M870" s="4"/>
      <c r="T870" s="6"/>
      <c r="V870" s="6"/>
      <c r="W870" s="4"/>
    </row>
    <row r="871" spans="7:23">
      <c r="G871" s="4"/>
      <c r="H871" s="4"/>
      <c r="J871" s="4"/>
      <c r="K871" s="4"/>
      <c r="L871" s="4"/>
      <c r="M871" s="4"/>
      <c r="T871" s="6"/>
      <c r="V871" s="6"/>
      <c r="W871" s="4"/>
    </row>
    <row r="872" spans="7:23">
      <c r="G872" s="4"/>
      <c r="H872" s="4"/>
      <c r="J872" s="4"/>
      <c r="K872" s="4"/>
      <c r="L872" s="4"/>
      <c r="M872" s="4"/>
      <c r="T872" s="6"/>
      <c r="V872" s="6"/>
      <c r="W872" s="4"/>
    </row>
    <row r="873" spans="7:23">
      <c r="G873" s="4"/>
      <c r="H873" s="4"/>
      <c r="J873" s="4"/>
      <c r="K873" s="4"/>
      <c r="L873" s="4"/>
      <c r="M873" s="4"/>
      <c r="T873" s="6"/>
      <c r="V873" s="6"/>
      <c r="W873" s="4"/>
    </row>
    <row r="874" spans="7:23">
      <c r="G874" s="4"/>
      <c r="H874" s="4"/>
      <c r="J874" s="4"/>
      <c r="K874" s="4"/>
      <c r="L874" s="4"/>
      <c r="M874" s="4"/>
      <c r="T874" s="6"/>
      <c r="V874" s="6"/>
      <c r="W874" s="4"/>
    </row>
    <row r="875" spans="7:23">
      <c r="G875" s="4"/>
      <c r="H875" s="4"/>
      <c r="J875" s="4"/>
      <c r="K875" s="4"/>
      <c r="L875" s="4"/>
      <c r="M875" s="4"/>
      <c r="T875" s="6"/>
      <c r="V875" s="6"/>
      <c r="W875" s="4"/>
    </row>
    <row r="876" spans="7:23">
      <c r="G876" s="4"/>
      <c r="H876" s="4"/>
      <c r="J876" s="4"/>
      <c r="K876" s="4"/>
      <c r="L876" s="4"/>
      <c r="M876" s="4"/>
      <c r="T876" s="6"/>
      <c r="V876" s="6"/>
      <c r="W876" s="4"/>
    </row>
    <row r="877" spans="7:23">
      <c r="G877" s="4"/>
      <c r="H877" s="4"/>
      <c r="J877" s="4"/>
      <c r="K877" s="4"/>
      <c r="L877" s="4"/>
      <c r="M877" s="4"/>
      <c r="T877" s="6"/>
      <c r="V877" s="6"/>
      <c r="W877" s="4"/>
    </row>
    <row r="878" spans="7:23">
      <c r="G878" s="4"/>
      <c r="H878" s="4"/>
      <c r="J878" s="4"/>
      <c r="K878" s="4"/>
      <c r="L878" s="4"/>
      <c r="M878" s="4"/>
      <c r="T878" s="6"/>
      <c r="V878" s="6"/>
      <c r="W878" s="4"/>
    </row>
    <row r="879" spans="7:23">
      <c r="G879" s="4"/>
      <c r="H879" s="4"/>
      <c r="J879" s="4"/>
      <c r="K879" s="4"/>
      <c r="L879" s="4"/>
      <c r="M879" s="4"/>
      <c r="T879" s="6"/>
      <c r="V879" s="6"/>
      <c r="W879" s="4"/>
    </row>
    <row r="880" spans="7:23">
      <c r="G880" s="4"/>
      <c r="H880" s="4"/>
      <c r="J880" s="4"/>
      <c r="K880" s="4"/>
      <c r="L880" s="4"/>
      <c r="M880" s="4"/>
      <c r="T880" s="6"/>
      <c r="V880" s="6"/>
      <c r="W880" s="4"/>
    </row>
    <row r="881" spans="7:23">
      <c r="G881" s="4"/>
      <c r="H881" s="4"/>
      <c r="J881" s="4"/>
      <c r="K881" s="4"/>
      <c r="L881" s="4"/>
      <c r="M881" s="4"/>
      <c r="T881" s="6"/>
      <c r="V881" s="6"/>
      <c r="W881" s="4"/>
    </row>
    <row r="882" spans="7:23">
      <c r="G882" s="4"/>
      <c r="H882" s="4"/>
      <c r="J882" s="4"/>
      <c r="K882" s="4"/>
      <c r="L882" s="4"/>
      <c r="M882" s="4"/>
      <c r="T882" s="6"/>
      <c r="V882" s="6"/>
      <c r="W882" s="4"/>
    </row>
    <row r="883" spans="7:23">
      <c r="G883" s="4"/>
      <c r="H883" s="4"/>
      <c r="J883" s="4"/>
      <c r="K883" s="4"/>
      <c r="L883" s="4"/>
      <c r="M883" s="4"/>
      <c r="T883" s="6"/>
      <c r="V883" s="6"/>
      <c r="W883" s="4"/>
    </row>
    <row r="884" spans="7:23">
      <c r="G884" s="4"/>
      <c r="H884" s="4"/>
      <c r="J884" s="4"/>
      <c r="K884" s="4"/>
      <c r="L884" s="4"/>
      <c r="M884" s="4"/>
      <c r="T884" s="6"/>
      <c r="V884" s="6"/>
      <c r="W884" s="4"/>
    </row>
    <row r="885" spans="7:23">
      <c r="G885" s="4"/>
      <c r="H885" s="4"/>
      <c r="J885" s="4"/>
      <c r="K885" s="4"/>
      <c r="L885" s="4"/>
      <c r="M885" s="4"/>
      <c r="T885" s="6"/>
      <c r="V885" s="6"/>
      <c r="W885" s="4"/>
    </row>
    <row r="886" spans="7:23">
      <c r="G886" s="4"/>
      <c r="H886" s="4"/>
      <c r="J886" s="4"/>
      <c r="K886" s="4"/>
      <c r="L886" s="4"/>
      <c r="M886" s="4"/>
      <c r="T886" s="6"/>
      <c r="V886" s="6"/>
      <c r="W886" s="4"/>
    </row>
    <row r="887" spans="7:23">
      <c r="G887" s="4"/>
      <c r="H887" s="4"/>
      <c r="J887" s="4"/>
      <c r="K887" s="4"/>
      <c r="L887" s="4"/>
      <c r="M887" s="4"/>
      <c r="T887" s="6"/>
      <c r="V887" s="6"/>
      <c r="W887" s="4"/>
    </row>
    <row r="888" spans="7:23">
      <c r="G888" s="4"/>
      <c r="H888" s="4"/>
      <c r="J888" s="4"/>
      <c r="K888" s="4"/>
      <c r="L888" s="4"/>
      <c r="M888" s="4"/>
      <c r="T888" s="6"/>
      <c r="V888" s="6"/>
      <c r="W888" s="4"/>
    </row>
    <row r="889" spans="7:23">
      <c r="G889" s="4"/>
      <c r="H889" s="4"/>
      <c r="J889" s="4"/>
      <c r="K889" s="4"/>
      <c r="L889" s="4"/>
      <c r="M889" s="4"/>
      <c r="T889" s="6"/>
      <c r="V889" s="6"/>
      <c r="W889" s="4"/>
    </row>
    <row r="890" spans="7:23">
      <c r="G890" s="4"/>
      <c r="H890" s="4"/>
      <c r="J890" s="4"/>
      <c r="K890" s="4"/>
      <c r="L890" s="4"/>
      <c r="M890" s="4"/>
      <c r="T890" s="6"/>
      <c r="V890" s="6"/>
      <c r="W890" s="4"/>
    </row>
    <row r="891" spans="7:23">
      <c r="G891" s="4"/>
      <c r="H891" s="4"/>
      <c r="J891" s="4"/>
      <c r="K891" s="4"/>
      <c r="L891" s="4"/>
      <c r="M891" s="4"/>
      <c r="T891" s="6"/>
      <c r="V891" s="6"/>
      <c r="W891" s="4"/>
    </row>
    <row r="892" spans="7:23">
      <c r="G892" s="4"/>
      <c r="H892" s="4"/>
      <c r="J892" s="4"/>
      <c r="K892" s="4"/>
      <c r="L892" s="4"/>
      <c r="M892" s="4"/>
      <c r="T892" s="6"/>
      <c r="V892" s="6"/>
      <c r="W892" s="4"/>
    </row>
    <row r="893" spans="7:23">
      <c r="G893" s="4"/>
      <c r="H893" s="4"/>
      <c r="J893" s="4"/>
      <c r="K893" s="4"/>
      <c r="L893" s="4"/>
      <c r="M893" s="4"/>
      <c r="T893" s="6"/>
      <c r="V893" s="6"/>
      <c r="W893" s="4"/>
    </row>
    <row r="894" spans="7:23">
      <c r="G894" s="4"/>
      <c r="H894" s="4"/>
      <c r="J894" s="4"/>
      <c r="K894" s="4"/>
      <c r="L894" s="4"/>
      <c r="M894" s="4"/>
      <c r="T894" s="6"/>
      <c r="V894" s="6"/>
      <c r="W894" s="4"/>
    </row>
    <row r="895" spans="7:23">
      <c r="G895" s="4"/>
      <c r="H895" s="4"/>
      <c r="J895" s="4"/>
      <c r="K895" s="4"/>
      <c r="L895" s="4"/>
      <c r="M895" s="4"/>
      <c r="T895" s="6"/>
      <c r="V895" s="6"/>
      <c r="W895" s="4"/>
    </row>
    <row r="896" spans="7:23">
      <c r="G896" s="4"/>
      <c r="H896" s="4"/>
      <c r="J896" s="4"/>
      <c r="K896" s="4"/>
      <c r="L896" s="4"/>
      <c r="M896" s="4"/>
      <c r="T896" s="6"/>
      <c r="V896" s="6"/>
      <c r="W896" s="4"/>
    </row>
    <row r="897" spans="7:23">
      <c r="G897" s="4"/>
      <c r="H897" s="4"/>
      <c r="J897" s="4"/>
      <c r="K897" s="4"/>
      <c r="L897" s="4"/>
      <c r="M897" s="4"/>
      <c r="T897" s="6"/>
      <c r="V897" s="6"/>
      <c r="W897" s="4"/>
    </row>
    <row r="898" spans="7:23">
      <c r="G898" s="4"/>
      <c r="H898" s="4"/>
      <c r="J898" s="4"/>
      <c r="K898" s="4"/>
      <c r="L898" s="4"/>
      <c r="M898" s="4"/>
      <c r="T898" s="6"/>
      <c r="V898" s="6"/>
      <c r="W898" s="4"/>
    </row>
    <row r="899" spans="7:23">
      <c r="G899" s="4"/>
      <c r="H899" s="4"/>
      <c r="J899" s="4"/>
      <c r="K899" s="4"/>
      <c r="L899" s="4"/>
      <c r="M899" s="4"/>
      <c r="T899" s="6"/>
      <c r="V899" s="6"/>
      <c r="W899" s="4"/>
    </row>
    <row r="900" spans="7:23">
      <c r="G900" s="4"/>
      <c r="H900" s="4"/>
      <c r="J900" s="4"/>
      <c r="K900" s="4"/>
      <c r="L900" s="4"/>
      <c r="M900" s="4"/>
      <c r="T900" s="6"/>
      <c r="V900" s="6"/>
      <c r="W900" s="4"/>
    </row>
    <row r="901" spans="7:23">
      <c r="G901" s="4"/>
      <c r="H901" s="4"/>
      <c r="J901" s="4"/>
      <c r="K901" s="4"/>
      <c r="L901" s="4"/>
      <c r="M901" s="4"/>
      <c r="T901" s="6"/>
      <c r="V901" s="6"/>
      <c r="W901" s="4"/>
    </row>
    <row r="902" spans="7:23">
      <c r="G902" s="4"/>
      <c r="H902" s="4"/>
      <c r="J902" s="4"/>
      <c r="K902" s="4"/>
      <c r="L902" s="4"/>
      <c r="M902" s="4"/>
      <c r="T902" s="6"/>
      <c r="V902" s="6"/>
      <c r="W902" s="4"/>
    </row>
    <row r="903" spans="7:23">
      <c r="G903" s="4"/>
      <c r="H903" s="4"/>
      <c r="J903" s="4"/>
      <c r="K903" s="4"/>
      <c r="L903" s="4"/>
      <c r="M903" s="4"/>
      <c r="T903" s="6"/>
      <c r="V903" s="6"/>
      <c r="W903" s="4"/>
    </row>
    <row r="904" spans="7:23">
      <c r="G904" s="4"/>
      <c r="H904" s="4"/>
      <c r="J904" s="4"/>
      <c r="K904" s="4"/>
      <c r="L904" s="4"/>
      <c r="M904" s="4"/>
      <c r="T904" s="6"/>
      <c r="V904" s="6"/>
      <c r="W904" s="4"/>
    </row>
    <row r="905" spans="7:23">
      <c r="G905" s="4"/>
      <c r="H905" s="4"/>
      <c r="J905" s="4"/>
      <c r="K905" s="4"/>
      <c r="L905" s="4"/>
      <c r="M905" s="4"/>
      <c r="T905" s="6"/>
      <c r="V905" s="6"/>
      <c r="W905" s="4"/>
    </row>
    <row r="906" spans="7:23">
      <c r="G906" s="4"/>
      <c r="H906" s="4"/>
      <c r="J906" s="4"/>
      <c r="K906" s="4"/>
      <c r="L906" s="4"/>
      <c r="M906" s="4"/>
      <c r="T906" s="6"/>
      <c r="V906" s="6"/>
      <c r="W906" s="4"/>
    </row>
    <row r="907" spans="7:23">
      <c r="G907" s="4"/>
      <c r="H907" s="4"/>
      <c r="J907" s="4"/>
      <c r="K907" s="4"/>
      <c r="L907" s="4"/>
      <c r="M907" s="4"/>
      <c r="T907" s="6"/>
      <c r="V907" s="6"/>
      <c r="W907" s="4"/>
    </row>
    <row r="908" spans="7:23">
      <c r="G908" s="4"/>
      <c r="H908" s="4"/>
      <c r="J908" s="4"/>
      <c r="K908" s="4"/>
      <c r="L908" s="4"/>
      <c r="M908" s="4"/>
      <c r="T908" s="6"/>
      <c r="V908" s="6"/>
      <c r="W908" s="4"/>
    </row>
    <row r="909" spans="7:23">
      <c r="G909" s="4"/>
      <c r="H909" s="4"/>
      <c r="J909" s="4"/>
      <c r="K909" s="4"/>
      <c r="L909" s="4"/>
      <c r="M909" s="4"/>
      <c r="T909" s="6"/>
      <c r="V909" s="6"/>
      <c r="W909" s="4"/>
    </row>
    <row r="910" spans="7:23">
      <c r="G910" s="4"/>
      <c r="H910" s="4"/>
      <c r="J910" s="4"/>
      <c r="K910" s="4"/>
      <c r="L910" s="4"/>
      <c r="M910" s="4"/>
      <c r="T910" s="6"/>
      <c r="V910" s="6"/>
      <c r="W910" s="4"/>
    </row>
    <row r="911" spans="7:23">
      <c r="G911" s="4"/>
      <c r="H911" s="4"/>
      <c r="J911" s="4"/>
      <c r="K911" s="4"/>
      <c r="L911" s="4"/>
      <c r="M911" s="4"/>
      <c r="T911" s="6"/>
      <c r="V911" s="6"/>
      <c r="W911" s="4"/>
    </row>
    <row r="912" spans="7:23">
      <c r="G912" s="4"/>
      <c r="H912" s="4"/>
      <c r="J912" s="4"/>
      <c r="K912" s="4"/>
      <c r="L912" s="4"/>
      <c r="M912" s="4"/>
      <c r="T912" s="6"/>
      <c r="V912" s="6"/>
      <c r="W912" s="4"/>
    </row>
    <row r="913" spans="7:23">
      <c r="G913" s="4"/>
      <c r="H913" s="4"/>
      <c r="J913" s="4"/>
      <c r="K913" s="4"/>
      <c r="L913" s="4"/>
      <c r="M913" s="4"/>
      <c r="T913" s="6"/>
      <c r="V913" s="6"/>
      <c r="W913" s="4"/>
    </row>
    <row r="914" spans="7:23">
      <c r="G914" s="4"/>
      <c r="H914" s="4"/>
      <c r="J914" s="4"/>
      <c r="K914" s="4"/>
      <c r="L914" s="4"/>
      <c r="M914" s="4"/>
      <c r="T914" s="6"/>
      <c r="V914" s="6"/>
      <c r="W914" s="4"/>
    </row>
    <row r="915" spans="7:23">
      <c r="G915" s="4"/>
      <c r="H915" s="4"/>
      <c r="J915" s="4"/>
      <c r="K915" s="4"/>
      <c r="L915" s="4"/>
      <c r="M915" s="4"/>
      <c r="T915" s="6"/>
      <c r="V915" s="6"/>
      <c r="W915" s="4"/>
    </row>
    <row r="916" spans="7:23">
      <c r="G916" s="4"/>
      <c r="H916" s="4"/>
      <c r="J916" s="4"/>
      <c r="K916" s="4"/>
      <c r="L916" s="4"/>
      <c r="M916" s="4"/>
      <c r="T916" s="6"/>
      <c r="V916" s="6"/>
      <c r="W916" s="4"/>
    </row>
    <row r="917" spans="7:23">
      <c r="G917" s="4"/>
      <c r="H917" s="4"/>
      <c r="J917" s="4"/>
      <c r="K917" s="4"/>
      <c r="L917" s="4"/>
      <c r="M917" s="4"/>
      <c r="T917" s="6"/>
      <c r="V917" s="6"/>
      <c r="W917" s="4"/>
    </row>
    <row r="918" spans="7:23">
      <c r="G918" s="4"/>
      <c r="H918" s="4"/>
      <c r="J918" s="4"/>
      <c r="K918" s="4"/>
      <c r="L918" s="4"/>
      <c r="M918" s="4"/>
      <c r="T918" s="6"/>
      <c r="V918" s="6"/>
      <c r="W918" s="4"/>
    </row>
    <row r="919" spans="7:23">
      <c r="G919" s="4"/>
      <c r="H919" s="4"/>
      <c r="J919" s="4"/>
      <c r="K919" s="4"/>
      <c r="L919" s="4"/>
      <c r="M919" s="4"/>
      <c r="T919" s="6"/>
      <c r="V919" s="6"/>
      <c r="W919" s="4"/>
    </row>
    <row r="920" spans="7:23">
      <c r="G920" s="4"/>
      <c r="H920" s="4"/>
      <c r="J920" s="4"/>
      <c r="K920" s="4"/>
      <c r="L920" s="4"/>
      <c r="M920" s="4"/>
      <c r="T920" s="6"/>
      <c r="V920" s="6"/>
      <c r="W920" s="4"/>
    </row>
    <row r="921" spans="7:23">
      <c r="G921" s="4"/>
      <c r="H921" s="4"/>
      <c r="J921" s="4"/>
      <c r="K921" s="4"/>
      <c r="L921" s="4"/>
      <c r="M921" s="4"/>
      <c r="T921" s="6"/>
      <c r="V921" s="6"/>
      <c r="W921" s="4"/>
    </row>
    <row r="922" spans="7:23">
      <c r="G922" s="4"/>
      <c r="H922" s="4"/>
      <c r="J922" s="4"/>
      <c r="K922" s="4"/>
      <c r="L922" s="4"/>
      <c r="M922" s="4"/>
      <c r="T922" s="6"/>
      <c r="V922" s="6"/>
      <c r="W922" s="4"/>
    </row>
    <row r="923" spans="7:23">
      <c r="G923" s="4"/>
      <c r="H923" s="4"/>
      <c r="J923" s="4"/>
      <c r="K923" s="4"/>
      <c r="L923" s="4"/>
      <c r="M923" s="4"/>
      <c r="T923" s="6"/>
      <c r="V923" s="6"/>
      <c r="W923" s="4"/>
    </row>
    <row r="924" spans="7:23">
      <c r="G924" s="4"/>
      <c r="H924" s="4"/>
      <c r="J924" s="4"/>
      <c r="K924" s="4"/>
      <c r="L924" s="4"/>
      <c r="M924" s="4"/>
      <c r="T924" s="6"/>
      <c r="V924" s="6"/>
      <c r="W924" s="4"/>
    </row>
    <row r="925" spans="7:23">
      <c r="G925" s="4"/>
      <c r="H925" s="4"/>
      <c r="J925" s="4"/>
      <c r="K925" s="4"/>
      <c r="L925" s="4"/>
      <c r="M925" s="4"/>
      <c r="T925" s="6"/>
      <c r="V925" s="6"/>
      <c r="W925" s="4"/>
    </row>
    <row r="926" spans="7:23">
      <c r="G926" s="4"/>
      <c r="H926" s="4"/>
      <c r="J926" s="4"/>
      <c r="K926" s="4"/>
      <c r="L926" s="4"/>
      <c r="M926" s="4"/>
      <c r="T926" s="6"/>
      <c r="V926" s="6"/>
      <c r="W926" s="4"/>
    </row>
    <row r="927" spans="7:23">
      <c r="G927" s="4"/>
      <c r="H927" s="4"/>
      <c r="J927" s="4"/>
      <c r="K927" s="4"/>
      <c r="L927" s="4"/>
      <c r="M927" s="4"/>
      <c r="T927" s="6"/>
      <c r="V927" s="6"/>
      <c r="W927" s="4"/>
    </row>
    <row r="928" spans="7:23">
      <c r="G928" s="4"/>
      <c r="H928" s="4"/>
      <c r="J928" s="4"/>
      <c r="K928" s="4"/>
      <c r="L928" s="4"/>
      <c r="M928" s="4"/>
      <c r="T928" s="6"/>
      <c r="V928" s="6"/>
      <c r="W928" s="4"/>
    </row>
    <row r="929" spans="7:23">
      <c r="G929" s="4"/>
      <c r="H929" s="4"/>
      <c r="J929" s="4"/>
      <c r="K929" s="4"/>
      <c r="L929" s="4"/>
      <c r="M929" s="4"/>
      <c r="T929" s="6"/>
      <c r="V929" s="6"/>
      <c r="W929" s="4"/>
    </row>
    <row r="930" spans="7:23">
      <c r="G930" s="4"/>
      <c r="H930" s="4"/>
      <c r="J930" s="4"/>
      <c r="K930" s="4"/>
      <c r="L930" s="4"/>
      <c r="M930" s="4"/>
      <c r="T930" s="6"/>
      <c r="V930" s="6"/>
      <c r="W930" s="4"/>
    </row>
    <row r="931" spans="7:23">
      <c r="G931" s="4"/>
      <c r="H931" s="4"/>
      <c r="J931" s="4"/>
      <c r="K931" s="4"/>
      <c r="L931" s="4"/>
      <c r="M931" s="4"/>
      <c r="T931" s="6"/>
      <c r="V931" s="6"/>
      <c r="W931" s="4"/>
    </row>
    <row r="932" spans="7:23">
      <c r="G932" s="4"/>
      <c r="H932" s="4"/>
      <c r="J932" s="4"/>
      <c r="K932" s="4"/>
      <c r="L932" s="4"/>
      <c r="M932" s="4"/>
      <c r="T932" s="6"/>
      <c r="V932" s="6"/>
      <c r="W932" s="4"/>
    </row>
    <row r="933" spans="7:23">
      <c r="G933" s="4"/>
      <c r="H933" s="4"/>
      <c r="J933" s="4"/>
      <c r="K933" s="4"/>
      <c r="L933" s="4"/>
      <c r="M933" s="4"/>
      <c r="T933" s="6"/>
      <c r="V933" s="6"/>
      <c r="W933" s="4"/>
    </row>
    <row r="934" spans="7:23">
      <c r="G934" s="4"/>
      <c r="H934" s="4"/>
      <c r="J934" s="4"/>
      <c r="K934" s="4"/>
      <c r="L934" s="4"/>
      <c r="M934" s="4"/>
      <c r="T934" s="6"/>
      <c r="V934" s="6"/>
      <c r="W934" s="4"/>
    </row>
    <row r="935" spans="7:23">
      <c r="G935" s="4"/>
      <c r="H935" s="4"/>
      <c r="J935" s="4"/>
      <c r="K935" s="4"/>
      <c r="L935" s="4"/>
      <c r="M935" s="4"/>
      <c r="T935" s="6"/>
      <c r="V935" s="6"/>
      <c r="W935" s="4"/>
    </row>
    <row r="936" spans="7:23">
      <c r="G936" s="4"/>
      <c r="H936" s="4"/>
      <c r="J936" s="4"/>
      <c r="K936" s="4"/>
      <c r="L936" s="4"/>
      <c r="M936" s="4"/>
      <c r="T936" s="6"/>
      <c r="V936" s="6"/>
      <c r="W936" s="4"/>
    </row>
    <row r="937" spans="7:23">
      <c r="G937" s="4"/>
      <c r="H937" s="4"/>
      <c r="J937" s="4"/>
      <c r="K937" s="4"/>
      <c r="L937" s="4"/>
      <c r="M937" s="4"/>
      <c r="T937" s="6"/>
      <c r="V937" s="6"/>
      <c r="W937" s="4"/>
    </row>
    <row r="938" spans="7:23">
      <c r="G938" s="4"/>
      <c r="H938" s="4"/>
      <c r="J938" s="4"/>
      <c r="K938" s="4"/>
      <c r="L938" s="4"/>
      <c r="M938" s="4"/>
      <c r="T938" s="6"/>
      <c r="V938" s="6"/>
      <c r="W938" s="4"/>
    </row>
    <row r="939" spans="7:23">
      <c r="G939" s="4"/>
      <c r="H939" s="4"/>
      <c r="J939" s="4"/>
      <c r="K939" s="4"/>
      <c r="L939" s="4"/>
      <c r="M939" s="4"/>
      <c r="T939" s="6"/>
      <c r="V939" s="6"/>
      <c r="W939" s="4"/>
    </row>
    <row r="940" spans="7:23">
      <c r="G940" s="4"/>
      <c r="H940" s="4"/>
      <c r="J940" s="4"/>
      <c r="K940" s="4"/>
      <c r="L940" s="4"/>
      <c r="M940" s="4"/>
      <c r="T940" s="6"/>
      <c r="V940" s="6"/>
      <c r="W940" s="4"/>
    </row>
    <row r="941" spans="7:23">
      <c r="G941" s="4"/>
      <c r="H941" s="4"/>
      <c r="J941" s="4"/>
      <c r="K941" s="4"/>
      <c r="L941" s="4"/>
      <c r="M941" s="4"/>
      <c r="T941" s="6"/>
      <c r="V941" s="6"/>
      <c r="W941" s="4"/>
    </row>
    <row r="942" spans="7:23">
      <c r="G942" s="4"/>
      <c r="H942" s="4"/>
      <c r="J942" s="4"/>
      <c r="K942" s="4"/>
      <c r="L942" s="4"/>
      <c r="M942" s="4"/>
      <c r="T942" s="6"/>
      <c r="V942" s="6"/>
      <c r="W942" s="4"/>
    </row>
    <row r="943" spans="7:23">
      <c r="G943" s="4"/>
      <c r="H943" s="4"/>
      <c r="J943" s="4"/>
      <c r="K943" s="4"/>
      <c r="L943" s="4"/>
      <c r="M943" s="4"/>
      <c r="T943" s="6"/>
      <c r="V943" s="6"/>
      <c r="W943" s="4"/>
    </row>
    <row r="944" spans="7:23">
      <c r="G944" s="4"/>
      <c r="H944" s="4"/>
      <c r="J944" s="4"/>
      <c r="K944" s="4"/>
      <c r="L944" s="4"/>
      <c r="M944" s="4"/>
      <c r="T944" s="6"/>
      <c r="V944" s="6"/>
      <c r="W944" s="4"/>
    </row>
    <row r="945" spans="7:23">
      <c r="G945" s="4"/>
      <c r="H945" s="4"/>
      <c r="J945" s="4"/>
      <c r="K945" s="4"/>
      <c r="L945" s="4"/>
      <c r="M945" s="4"/>
      <c r="T945" s="6"/>
      <c r="V945" s="6"/>
      <c r="W945" s="4"/>
    </row>
    <row r="946" spans="7:23">
      <c r="G946" s="4"/>
      <c r="H946" s="4"/>
      <c r="J946" s="4"/>
      <c r="K946" s="4"/>
      <c r="L946" s="4"/>
      <c r="M946" s="4"/>
      <c r="T946" s="6"/>
      <c r="V946" s="6"/>
      <c r="W946" s="4"/>
    </row>
    <row r="947" spans="7:23">
      <c r="G947" s="4"/>
      <c r="H947" s="4"/>
      <c r="J947" s="4"/>
      <c r="K947" s="4"/>
      <c r="L947" s="4"/>
      <c r="M947" s="4"/>
      <c r="T947" s="6"/>
      <c r="V947" s="6"/>
      <c r="W947" s="4"/>
    </row>
    <row r="948" spans="7:23">
      <c r="G948" s="4"/>
      <c r="H948" s="4"/>
      <c r="J948" s="4"/>
      <c r="K948" s="4"/>
      <c r="L948" s="4"/>
      <c r="M948" s="4"/>
      <c r="T948" s="6"/>
      <c r="V948" s="6"/>
      <c r="W948" s="4"/>
    </row>
    <row r="949" spans="7:23">
      <c r="G949" s="4"/>
      <c r="H949" s="4"/>
      <c r="J949" s="4"/>
      <c r="K949" s="4"/>
      <c r="L949" s="4"/>
      <c r="M949" s="4"/>
      <c r="T949" s="6"/>
      <c r="V949" s="6"/>
      <c r="W949" s="4"/>
    </row>
    <row r="950" spans="7:23">
      <c r="G950" s="4"/>
      <c r="H950" s="4"/>
      <c r="J950" s="4"/>
      <c r="K950" s="4"/>
      <c r="L950" s="4"/>
      <c r="M950" s="4"/>
      <c r="T950" s="6"/>
      <c r="V950" s="6"/>
      <c r="W950" s="4"/>
    </row>
    <row r="951" spans="7:23">
      <c r="G951" s="4"/>
      <c r="H951" s="4"/>
      <c r="J951" s="4"/>
      <c r="K951" s="4"/>
      <c r="L951" s="4"/>
      <c r="M951" s="4"/>
      <c r="T951" s="6"/>
      <c r="V951" s="6"/>
      <c r="W951" s="4"/>
    </row>
    <row r="952" spans="7:23">
      <c r="G952" s="4"/>
      <c r="H952" s="4"/>
      <c r="J952" s="4"/>
      <c r="K952" s="4"/>
      <c r="L952" s="4"/>
      <c r="M952" s="4"/>
      <c r="T952" s="6"/>
      <c r="V952" s="6"/>
      <c r="W952" s="4"/>
    </row>
    <row r="953" spans="7:23">
      <c r="G953" s="4"/>
      <c r="H953" s="4"/>
      <c r="J953" s="4"/>
      <c r="K953" s="4"/>
      <c r="L953" s="4"/>
      <c r="M953" s="4"/>
      <c r="T953" s="6"/>
      <c r="V953" s="6"/>
      <c r="W953" s="4"/>
    </row>
    <row r="954" spans="7:23">
      <c r="G954" s="4"/>
      <c r="H954" s="4"/>
      <c r="J954" s="4"/>
      <c r="K954" s="4"/>
      <c r="L954" s="4"/>
      <c r="M954" s="4"/>
      <c r="T954" s="6"/>
      <c r="V954" s="6"/>
      <c r="W954" s="4"/>
    </row>
    <row r="955" spans="7:23">
      <c r="G955" s="4"/>
      <c r="H955" s="4"/>
      <c r="J955" s="4"/>
      <c r="K955" s="4"/>
      <c r="L955" s="4"/>
      <c r="M955" s="4"/>
      <c r="T955" s="6"/>
      <c r="V955" s="6"/>
      <c r="W955" s="4"/>
    </row>
    <row r="956" spans="7:23">
      <c r="G956" s="4"/>
      <c r="H956" s="4"/>
      <c r="J956" s="4"/>
      <c r="K956" s="4"/>
      <c r="L956" s="4"/>
      <c r="M956" s="4"/>
      <c r="T956" s="6"/>
      <c r="V956" s="6"/>
      <c r="W956" s="4"/>
    </row>
    <row r="957" spans="7:23">
      <c r="G957" s="4"/>
      <c r="H957" s="4"/>
      <c r="J957" s="4"/>
      <c r="K957" s="4"/>
      <c r="L957" s="4"/>
      <c r="M957" s="4"/>
      <c r="T957" s="6"/>
      <c r="V957" s="6"/>
      <c r="W957" s="4"/>
    </row>
    <row r="958" spans="7:23">
      <c r="G958" s="4"/>
      <c r="H958" s="4"/>
      <c r="J958" s="4"/>
      <c r="K958" s="4"/>
      <c r="L958" s="4"/>
      <c r="M958" s="4"/>
      <c r="T958" s="6"/>
      <c r="V958" s="6"/>
      <c r="W958" s="4"/>
    </row>
    <row r="959" spans="7:23">
      <c r="G959" s="4"/>
      <c r="H959" s="4"/>
      <c r="J959" s="4"/>
      <c r="K959" s="4"/>
      <c r="L959" s="4"/>
      <c r="M959" s="4"/>
      <c r="T959" s="6"/>
      <c r="V959" s="6"/>
      <c r="W959" s="4"/>
    </row>
    <row r="960" spans="7:23">
      <c r="G960" s="4"/>
      <c r="H960" s="4"/>
      <c r="J960" s="4"/>
      <c r="K960" s="4"/>
      <c r="L960" s="4"/>
      <c r="M960" s="4"/>
      <c r="T960" s="6"/>
      <c r="V960" s="6"/>
      <c r="W960" s="4"/>
    </row>
    <row r="961" spans="7:23">
      <c r="G961" s="4"/>
      <c r="H961" s="4"/>
      <c r="J961" s="4"/>
      <c r="K961" s="4"/>
      <c r="L961" s="4"/>
      <c r="M961" s="4"/>
      <c r="T961" s="6"/>
      <c r="V961" s="6"/>
      <c r="W961" s="4"/>
    </row>
    <row r="962" spans="7:23">
      <c r="G962" s="4"/>
      <c r="H962" s="4"/>
      <c r="J962" s="4"/>
      <c r="K962" s="4"/>
      <c r="L962" s="4"/>
      <c r="M962" s="4"/>
      <c r="T962" s="6"/>
      <c r="V962" s="6"/>
      <c r="W962" s="4"/>
    </row>
    <row r="963" spans="7:23">
      <c r="G963" s="4"/>
      <c r="H963" s="4"/>
      <c r="J963" s="4"/>
      <c r="K963" s="4"/>
      <c r="L963" s="4"/>
      <c r="M963" s="4"/>
      <c r="T963" s="6"/>
      <c r="V963" s="6"/>
      <c r="W963" s="4"/>
    </row>
    <row r="964" spans="7:23">
      <c r="G964" s="4"/>
      <c r="H964" s="4"/>
      <c r="J964" s="4"/>
      <c r="K964" s="4"/>
      <c r="L964" s="4"/>
      <c r="M964" s="4"/>
      <c r="T964" s="6"/>
      <c r="V964" s="6"/>
      <c r="W964" s="4"/>
    </row>
    <row r="965" spans="7:23">
      <c r="G965" s="4"/>
      <c r="H965" s="4"/>
      <c r="J965" s="4"/>
      <c r="K965" s="4"/>
      <c r="L965" s="4"/>
      <c r="M965" s="4"/>
      <c r="T965" s="6"/>
      <c r="V965" s="6"/>
      <c r="W965" s="4"/>
    </row>
    <row r="966" spans="7:23">
      <c r="G966" s="4"/>
      <c r="H966" s="4"/>
      <c r="J966" s="4"/>
      <c r="K966" s="4"/>
      <c r="L966" s="4"/>
      <c r="M966" s="4"/>
      <c r="T966" s="6"/>
      <c r="V966" s="6"/>
      <c r="W966" s="4"/>
    </row>
    <row r="967" spans="7:23">
      <c r="G967" s="4"/>
      <c r="H967" s="4"/>
      <c r="J967" s="4"/>
      <c r="K967" s="4"/>
      <c r="L967" s="4"/>
      <c r="M967" s="4"/>
      <c r="T967" s="6"/>
      <c r="V967" s="6"/>
      <c r="W967" s="4"/>
    </row>
    <row r="968" spans="7:23">
      <c r="G968" s="4"/>
      <c r="H968" s="4"/>
      <c r="J968" s="4"/>
      <c r="K968" s="4"/>
      <c r="L968" s="4"/>
      <c r="M968" s="4"/>
      <c r="T968" s="6"/>
      <c r="V968" s="6"/>
      <c r="W968" s="4"/>
    </row>
    <row r="969" spans="7:23">
      <c r="G969" s="4"/>
      <c r="H969" s="4"/>
      <c r="J969" s="4"/>
      <c r="K969" s="4"/>
      <c r="L969" s="4"/>
      <c r="M969" s="4"/>
      <c r="T969" s="6"/>
      <c r="V969" s="6"/>
      <c r="W969" s="4"/>
    </row>
    <row r="970" spans="7:23">
      <c r="G970" s="4"/>
      <c r="H970" s="4"/>
      <c r="J970" s="4"/>
      <c r="K970" s="4"/>
      <c r="L970" s="4"/>
      <c r="M970" s="4"/>
      <c r="T970" s="6"/>
      <c r="V970" s="6"/>
      <c r="W970" s="4"/>
    </row>
    <row r="971" spans="7:23">
      <c r="G971" s="4"/>
      <c r="H971" s="4"/>
      <c r="J971" s="4"/>
      <c r="K971" s="4"/>
      <c r="L971" s="4"/>
      <c r="M971" s="4"/>
      <c r="T971" s="6"/>
      <c r="V971" s="6"/>
      <c r="W971" s="4"/>
    </row>
    <row r="972" spans="7:23">
      <c r="G972" s="4"/>
      <c r="H972" s="4"/>
      <c r="J972" s="4"/>
      <c r="K972" s="4"/>
      <c r="L972" s="4"/>
      <c r="M972" s="4"/>
      <c r="T972" s="6"/>
      <c r="V972" s="6"/>
      <c r="W972" s="4"/>
    </row>
    <row r="973" spans="7:23">
      <c r="G973" s="4"/>
      <c r="H973" s="4"/>
      <c r="J973" s="4"/>
      <c r="K973" s="4"/>
      <c r="L973" s="4"/>
      <c r="M973" s="4"/>
      <c r="T973" s="6"/>
      <c r="V973" s="6"/>
      <c r="W973" s="4"/>
    </row>
    <row r="974" spans="7:23">
      <c r="G974" s="4"/>
      <c r="H974" s="4"/>
      <c r="J974" s="4"/>
      <c r="K974" s="4"/>
      <c r="L974" s="4"/>
      <c r="M974" s="4"/>
      <c r="T974" s="6"/>
      <c r="V974" s="6"/>
      <c r="W974" s="4"/>
    </row>
    <row r="975" spans="7:23">
      <c r="G975" s="4"/>
      <c r="H975" s="4"/>
      <c r="J975" s="4"/>
      <c r="K975" s="4"/>
      <c r="L975" s="4"/>
      <c r="M975" s="4"/>
      <c r="T975" s="6"/>
      <c r="V975" s="6"/>
      <c r="W975" s="4"/>
    </row>
    <row r="976" spans="7:23">
      <c r="G976" s="4"/>
      <c r="H976" s="4"/>
      <c r="J976" s="4"/>
      <c r="K976" s="4"/>
      <c r="L976" s="4"/>
      <c r="M976" s="4"/>
      <c r="T976" s="6"/>
      <c r="V976" s="6"/>
      <c r="W976" s="4"/>
    </row>
    <row r="977" spans="7:23">
      <c r="G977" s="4"/>
      <c r="H977" s="4"/>
      <c r="J977" s="4"/>
      <c r="K977" s="4"/>
      <c r="L977" s="4"/>
      <c r="M977" s="4"/>
      <c r="T977" s="6"/>
      <c r="V977" s="6"/>
      <c r="W977" s="4"/>
    </row>
    <row r="978" spans="7:23">
      <c r="G978" s="4"/>
      <c r="H978" s="4"/>
      <c r="J978" s="4"/>
      <c r="K978" s="4"/>
      <c r="L978" s="4"/>
      <c r="M978" s="4"/>
      <c r="T978" s="6"/>
      <c r="V978" s="6"/>
      <c r="W978" s="4"/>
    </row>
    <row r="979" spans="7:23">
      <c r="G979" s="4"/>
      <c r="H979" s="4"/>
      <c r="J979" s="4"/>
      <c r="K979" s="4"/>
      <c r="L979" s="4"/>
      <c r="M979" s="4"/>
      <c r="T979" s="6"/>
      <c r="V979" s="6"/>
      <c r="W979" s="4"/>
    </row>
    <row r="980" spans="7:23">
      <c r="G980" s="4"/>
      <c r="H980" s="4"/>
      <c r="J980" s="4"/>
      <c r="K980" s="4"/>
      <c r="L980" s="4"/>
      <c r="M980" s="4"/>
      <c r="T980" s="6"/>
      <c r="V980" s="6"/>
      <c r="W980" s="4"/>
    </row>
    <row r="981" spans="7:23">
      <c r="G981" s="4"/>
      <c r="H981" s="4"/>
      <c r="J981" s="4"/>
      <c r="K981" s="4"/>
      <c r="L981" s="4"/>
      <c r="M981" s="4"/>
      <c r="T981" s="6"/>
      <c r="V981" s="6"/>
      <c r="W981" s="4"/>
    </row>
    <row r="982" spans="7:23">
      <c r="G982" s="4"/>
      <c r="H982" s="4"/>
      <c r="J982" s="4"/>
      <c r="K982" s="4"/>
      <c r="L982" s="4"/>
      <c r="M982" s="4"/>
      <c r="T982" s="6"/>
      <c r="V982" s="6"/>
      <c r="W982" s="4"/>
    </row>
    <row r="983" spans="7:23">
      <c r="G983" s="4"/>
      <c r="H983" s="4"/>
      <c r="J983" s="4"/>
      <c r="K983" s="4"/>
      <c r="L983" s="4"/>
      <c r="M983" s="4"/>
      <c r="T983" s="6"/>
      <c r="V983" s="6"/>
      <c r="W983" s="4"/>
    </row>
    <row r="984" spans="7:23">
      <c r="G984" s="4"/>
      <c r="H984" s="4"/>
      <c r="J984" s="4"/>
      <c r="K984" s="4"/>
      <c r="L984" s="4"/>
      <c r="M984" s="4"/>
      <c r="T984" s="6"/>
      <c r="V984" s="6"/>
      <c r="W984" s="4"/>
    </row>
    <row r="985" spans="7:23">
      <c r="G985" s="4"/>
      <c r="H985" s="4"/>
      <c r="J985" s="4"/>
      <c r="K985" s="4"/>
      <c r="L985" s="4"/>
      <c r="M985" s="4"/>
      <c r="T985" s="6"/>
      <c r="V985" s="6"/>
      <c r="W985" s="4"/>
    </row>
    <row r="986" spans="7:23">
      <c r="G986" s="4"/>
      <c r="H986" s="4"/>
      <c r="J986" s="4"/>
      <c r="K986" s="4"/>
      <c r="L986" s="4"/>
      <c r="M986" s="4"/>
      <c r="T986" s="6"/>
      <c r="V986" s="6"/>
      <c r="W986" s="4"/>
    </row>
    <row r="987" spans="7:23">
      <c r="G987" s="4"/>
      <c r="H987" s="4"/>
      <c r="J987" s="4"/>
      <c r="K987" s="4"/>
      <c r="L987" s="4"/>
      <c r="M987" s="4"/>
      <c r="T987" s="6"/>
      <c r="V987" s="6"/>
      <c r="W987" s="4"/>
    </row>
    <row r="988" spans="7:23">
      <c r="G988" s="4"/>
      <c r="H988" s="4"/>
      <c r="J988" s="4"/>
      <c r="K988" s="4"/>
      <c r="L988" s="4"/>
      <c r="M988" s="4"/>
      <c r="T988" s="6"/>
      <c r="V988" s="6"/>
      <c r="W988" s="4"/>
    </row>
    <row r="989" spans="7:23">
      <c r="G989" s="4"/>
      <c r="H989" s="4"/>
      <c r="J989" s="4"/>
      <c r="K989" s="4"/>
      <c r="L989" s="4"/>
      <c r="M989" s="4"/>
      <c r="T989" s="6"/>
      <c r="V989" s="6"/>
      <c r="W989" s="4"/>
    </row>
    <row r="990" spans="7:23">
      <c r="G990" s="4"/>
      <c r="H990" s="4"/>
      <c r="J990" s="4"/>
      <c r="K990" s="4"/>
      <c r="L990" s="4"/>
      <c r="M990" s="4"/>
      <c r="T990" s="6"/>
      <c r="V990" s="6"/>
      <c r="W990" s="4"/>
    </row>
    <row r="991" spans="7:23">
      <c r="G991" s="4"/>
      <c r="H991" s="4"/>
      <c r="J991" s="4"/>
      <c r="K991" s="4"/>
      <c r="L991" s="4"/>
      <c r="M991" s="4"/>
      <c r="T991" s="6"/>
      <c r="V991" s="6"/>
      <c r="W991" s="4"/>
    </row>
    <row r="992" spans="7:23">
      <c r="G992" s="4"/>
      <c r="H992" s="4"/>
      <c r="J992" s="4"/>
      <c r="K992" s="4"/>
      <c r="L992" s="4"/>
      <c r="M992" s="4"/>
      <c r="T992" s="6"/>
      <c r="V992" s="6"/>
      <c r="W992" s="4"/>
    </row>
    <row r="993" spans="7:23">
      <c r="G993" s="4"/>
      <c r="H993" s="4"/>
      <c r="J993" s="4"/>
      <c r="K993" s="4"/>
      <c r="L993" s="4"/>
      <c r="M993" s="4"/>
      <c r="T993" s="6"/>
      <c r="V993" s="6"/>
      <c r="W993" s="4"/>
    </row>
    <row r="994" spans="7:23">
      <c r="G994" s="4"/>
      <c r="H994" s="4"/>
      <c r="J994" s="4"/>
      <c r="K994" s="4"/>
      <c r="L994" s="4"/>
      <c r="M994" s="4"/>
      <c r="T994" s="6"/>
      <c r="V994" s="6"/>
      <c r="W994" s="4"/>
    </row>
    <row r="995" spans="7:23">
      <c r="G995" s="4"/>
      <c r="H995" s="4"/>
      <c r="J995" s="4"/>
      <c r="K995" s="4"/>
      <c r="L995" s="4"/>
      <c r="M995" s="4"/>
      <c r="T995" s="6"/>
      <c r="V995" s="6"/>
      <c r="W995" s="4"/>
    </row>
    <row r="996" spans="7:23">
      <c r="G996" s="4"/>
      <c r="H996" s="4"/>
      <c r="J996" s="4"/>
      <c r="K996" s="4"/>
      <c r="L996" s="4"/>
      <c r="M996" s="4"/>
      <c r="T996" s="6"/>
      <c r="V996" s="6"/>
      <c r="W996" s="4"/>
    </row>
    <row r="997" spans="7:23">
      <c r="G997" s="4"/>
      <c r="H997" s="4"/>
      <c r="J997" s="4"/>
      <c r="K997" s="4"/>
      <c r="L997" s="4"/>
      <c r="M997" s="4"/>
      <c r="T997" s="6"/>
      <c r="V997" s="6"/>
      <c r="W997" s="4"/>
    </row>
    <row r="998" spans="7:23">
      <c r="G998" s="4"/>
      <c r="H998" s="4"/>
      <c r="J998" s="4"/>
      <c r="K998" s="4"/>
      <c r="L998" s="4"/>
      <c r="M998" s="4"/>
      <c r="T998" s="6"/>
      <c r="V998" s="6"/>
      <c r="W998" s="4"/>
    </row>
    <row r="999" spans="7:23">
      <c r="G999" s="4"/>
      <c r="H999" s="4"/>
      <c r="J999" s="4"/>
      <c r="K999" s="4"/>
      <c r="L999" s="4"/>
      <c r="M999" s="4"/>
      <c r="T999" s="6"/>
      <c r="V999" s="6"/>
      <c r="W999" s="4"/>
    </row>
    <row r="1000" spans="7:23">
      <c r="G1000" s="4"/>
      <c r="H1000" s="4"/>
      <c r="J1000" s="4"/>
      <c r="K1000" s="4"/>
      <c r="L1000" s="4"/>
      <c r="M1000" s="4"/>
      <c r="T1000" s="6"/>
      <c r="V1000" s="6"/>
      <c r="W1000" s="4"/>
    </row>
  </sheetData>
  <phoneticPr fontId="27"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H140"/>
  <sheetViews>
    <sheetView workbookViewId="0">
      <selection activeCell="D3" sqref="D3"/>
    </sheetView>
  </sheetViews>
  <sheetFormatPr defaultRowHeight="12.75"/>
  <cols>
    <col min="2" max="2" width="11" customWidth="1"/>
    <col min="3" max="3" width="13.5703125" bestFit="1" customWidth="1"/>
    <col min="4" max="4" width="13.85546875" bestFit="1" customWidth="1"/>
  </cols>
  <sheetData>
    <row r="1" spans="1:8">
      <c r="A1" s="16" t="s">
        <v>0</v>
      </c>
      <c r="B1" s="16" t="s">
        <v>30</v>
      </c>
      <c r="C1" s="16" t="s">
        <v>31</v>
      </c>
      <c r="D1" s="16" t="s">
        <v>32</v>
      </c>
      <c r="G1" s="2"/>
      <c r="H1" s="9"/>
    </row>
    <row r="2" spans="1:8" s="9" customFormat="1">
      <c r="A2" s="16" t="s">
        <v>29</v>
      </c>
      <c r="B2" s="9">
        <v>5.0000000000000002E-5</v>
      </c>
      <c r="C2" s="2">
        <v>30</v>
      </c>
      <c r="D2" s="9">
        <f>B2*C2</f>
        <v>1.5E-3</v>
      </c>
      <c r="G2" s="2"/>
    </row>
    <row r="3" spans="1:8" s="9" customFormat="1">
      <c r="A3" s="16" t="s">
        <v>35</v>
      </c>
      <c r="B3" s="9">
        <v>1E-4</v>
      </c>
      <c r="C3" s="2">
        <v>30</v>
      </c>
      <c r="D3" s="9">
        <f t="shared" ref="D3:D8" si="0">B3*C3</f>
        <v>3.0000000000000001E-3</v>
      </c>
      <c r="G3" s="2"/>
    </row>
    <row r="4" spans="1:8">
      <c r="A4" s="2" t="s">
        <v>36</v>
      </c>
      <c r="B4" s="2">
        <v>4.9999999999999998E-7</v>
      </c>
      <c r="C4" s="2">
        <v>30</v>
      </c>
      <c r="D4" s="9">
        <f t="shared" si="0"/>
        <v>1.4999999999999999E-5</v>
      </c>
      <c r="G4" s="2"/>
      <c r="H4" s="9"/>
    </row>
    <row r="5" spans="1:8">
      <c r="A5" s="2" t="s">
        <v>37</v>
      </c>
      <c r="B5" s="2">
        <v>5.0000000000000002E-5</v>
      </c>
      <c r="C5" s="2">
        <v>30</v>
      </c>
      <c r="D5" s="9">
        <f t="shared" si="0"/>
        <v>1.5E-3</v>
      </c>
      <c r="G5" s="2"/>
      <c r="H5" s="9"/>
    </row>
    <row r="6" spans="1:8">
      <c r="A6" s="2" t="s">
        <v>38</v>
      </c>
      <c r="B6" s="2">
        <v>1E-4</v>
      </c>
      <c r="C6" s="2">
        <v>30</v>
      </c>
      <c r="D6" s="9">
        <f t="shared" si="0"/>
        <v>3.0000000000000001E-3</v>
      </c>
      <c r="G6" s="2"/>
      <c r="H6" s="9"/>
    </row>
    <row r="7" spans="1:8">
      <c r="A7" s="2" t="s">
        <v>39</v>
      </c>
      <c r="B7" s="2">
        <v>1E-4</v>
      </c>
      <c r="C7" s="2">
        <v>30</v>
      </c>
      <c r="D7" s="9">
        <f t="shared" si="0"/>
        <v>3.0000000000000001E-3</v>
      </c>
      <c r="G7" s="2"/>
      <c r="H7" s="9"/>
    </row>
    <row r="8" spans="1:8">
      <c r="A8" s="2" t="s">
        <v>40</v>
      </c>
      <c r="B8" s="2">
        <v>1E-4</v>
      </c>
      <c r="C8" s="2">
        <v>30</v>
      </c>
      <c r="D8" s="9">
        <f t="shared" si="0"/>
        <v>3.0000000000000001E-3</v>
      </c>
      <c r="G8" s="2"/>
      <c r="H8" s="9"/>
    </row>
    <row r="9" spans="1:8">
      <c r="A9" s="2"/>
      <c r="B9" s="2"/>
      <c r="C9" s="2"/>
      <c r="G9" s="2"/>
      <c r="H9" s="9"/>
    </row>
    <row r="10" spans="1:8">
      <c r="A10" s="2"/>
      <c r="B10" s="2"/>
      <c r="C10" s="2"/>
      <c r="G10" s="2"/>
      <c r="H10" s="9"/>
    </row>
    <row r="11" spans="1:8">
      <c r="A11" s="2"/>
      <c r="B11" s="2"/>
      <c r="C11" s="2"/>
      <c r="G11" s="2"/>
      <c r="H11" s="9"/>
    </row>
    <row r="12" spans="1:8">
      <c r="A12" s="2"/>
      <c r="B12" s="2"/>
      <c r="C12" s="2"/>
      <c r="G12" s="2"/>
      <c r="H12" s="9"/>
    </row>
    <row r="13" spans="1:8">
      <c r="A13" s="2"/>
      <c r="B13" s="2"/>
      <c r="C13" s="2"/>
      <c r="G13" s="2"/>
      <c r="H13" s="9"/>
    </row>
    <row r="14" spans="1:8">
      <c r="A14" s="2"/>
      <c r="B14" s="2"/>
      <c r="C14" s="2"/>
      <c r="G14" s="2"/>
      <c r="H14" s="9"/>
    </row>
    <row r="15" spans="1:8">
      <c r="A15" s="2"/>
      <c r="B15" s="2"/>
      <c r="C15" s="2"/>
      <c r="G15" s="2"/>
      <c r="H15" s="9"/>
    </row>
    <row r="16" spans="1:8">
      <c r="A16" s="2"/>
      <c r="B16" s="2"/>
      <c r="C16" s="2"/>
      <c r="G16" s="2"/>
      <c r="H16" s="9"/>
    </row>
    <row r="17" spans="1:8">
      <c r="A17" s="2"/>
      <c r="B17" s="2"/>
      <c r="C17" s="2"/>
      <c r="G17" s="2"/>
      <c r="H17" s="9"/>
    </row>
    <row r="18" spans="1:8">
      <c r="A18" s="2"/>
      <c r="B18" s="2"/>
      <c r="C18" s="2"/>
      <c r="G18" s="2"/>
      <c r="H18" s="9"/>
    </row>
    <row r="19" spans="1:8">
      <c r="A19" s="2"/>
      <c r="B19" s="2"/>
      <c r="C19" s="2"/>
      <c r="G19" s="2"/>
      <c r="H19" s="9"/>
    </row>
    <row r="20" spans="1:8">
      <c r="A20" s="2"/>
      <c r="B20" s="2"/>
      <c r="C20" s="2"/>
      <c r="G20" s="2"/>
      <c r="H20" s="9"/>
    </row>
    <row r="21" spans="1:8">
      <c r="A21" s="2"/>
      <c r="B21" s="2"/>
      <c r="C21" s="2"/>
      <c r="G21" s="2"/>
      <c r="H21" s="2"/>
    </row>
    <row r="22" spans="1:8">
      <c r="A22" s="2"/>
      <c r="B22" s="2"/>
      <c r="C22" s="2"/>
      <c r="G22" s="2"/>
      <c r="H22" s="2"/>
    </row>
    <row r="23" spans="1:8">
      <c r="A23" s="2"/>
      <c r="B23" s="2"/>
      <c r="C23" s="2"/>
      <c r="G23" s="2"/>
      <c r="H23" s="2"/>
    </row>
    <row r="24" spans="1:8">
      <c r="A24" s="2"/>
      <c r="B24" s="2"/>
      <c r="C24" s="2"/>
      <c r="G24" s="2"/>
      <c r="H24" s="2"/>
    </row>
    <row r="25" spans="1:8">
      <c r="A25" s="2"/>
      <c r="B25" s="2"/>
      <c r="C25" s="2"/>
      <c r="G25" s="2"/>
      <c r="H25" s="2"/>
    </row>
    <row r="26" spans="1:8">
      <c r="A26" s="2"/>
      <c r="B26" s="2"/>
      <c r="C26" s="2"/>
      <c r="G26" s="2"/>
      <c r="H26" s="2"/>
    </row>
    <row r="27" spans="1:8">
      <c r="A27" s="2"/>
      <c r="B27" s="2"/>
      <c r="C27" s="2"/>
      <c r="G27" s="2"/>
      <c r="H27" s="2"/>
    </row>
    <row r="28" spans="1:8">
      <c r="A28" s="2"/>
      <c r="B28" s="2"/>
      <c r="C28" s="2"/>
      <c r="G28" s="2"/>
      <c r="H28" s="2"/>
    </row>
    <row r="29" spans="1:8">
      <c r="A29" s="2"/>
      <c r="B29" s="2"/>
      <c r="C29" s="2"/>
      <c r="G29" s="2"/>
      <c r="H29" s="2"/>
    </row>
    <row r="30" spans="1:8">
      <c r="A30" s="2"/>
      <c r="B30" s="2"/>
      <c r="C30" s="2"/>
      <c r="G30" s="2"/>
      <c r="H30" s="2"/>
    </row>
    <row r="31" spans="1:8">
      <c r="A31" s="2"/>
      <c r="B31" s="2"/>
      <c r="C31" s="2"/>
      <c r="G31" s="2"/>
      <c r="H31" s="2"/>
    </row>
    <row r="32" spans="1:8">
      <c r="A32" s="2"/>
      <c r="B32" s="2"/>
      <c r="C32" s="2"/>
      <c r="G32" s="2"/>
      <c r="H32" s="2"/>
    </row>
    <row r="33" spans="1:8">
      <c r="A33" s="2"/>
      <c r="B33" s="2"/>
      <c r="C33" s="2"/>
      <c r="G33" s="2"/>
      <c r="H33" s="2"/>
    </row>
    <row r="34" spans="1:8">
      <c r="A34" s="2"/>
      <c r="B34" s="2"/>
      <c r="C34" s="2"/>
      <c r="G34" s="2"/>
      <c r="H34" s="2"/>
    </row>
    <row r="35" spans="1:8">
      <c r="A35" s="2"/>
      <c r="B35" s="2"/>
      <c r="C35" s="2"/>
      <c r="G35" s="2"/>
      <c r="H35" s="2"/>
    </row>
    <row r="36" spans="1:8">
      <c r="A36" s="2"/>
      <c r="B36" s="2"/>
      <c r="C36" s="2"/>
      <c r="G36" s="2"/>
      <c r="H36" s="2"/>
    </row>
    <row r="37" spans="1:8">
      <c r="A37" s="2"/>
      <c r="B37" s="2"/>
      <c r="C37" s="2"/>
      <c r="G37" s="2"/>
      <c r="H37" s="2"/>
    </row>
    <row r="38" spans="1:8">
      <c r="A38" s="2"/>
      <c r="B38" s="2"/>
      <c r="C38" s="2"/>
      <c r="G38" s="2"/>
      <c r="H38" s="2"/>
    </row>
    <row r="39" spans="1:8">
      <c r="A39" s="2"/>
      <c r="B39" s="2"/>
      <c r="C39" s="2"/>
      <c r="G39" s="2"/>
      <c r="H39" s="2"/>
    </row>
    <row r="40" spans="1:8">
      <c r="A40" s="2"/>
      <c r="B40" s="2"/>
      <c r="C40" s="2"/>
      <c r="G40" s="2"/>
      <c r="H40" s="2"/>
    </row>
    <row r="41" spans="1:8">
      <c r="A41" s="2"/>
      <c r="B41" s="2"/>
      <c r="C41" s="2"/>
      <c r="G41" s="2"/>
      <c r="H41" s="2"/>
    </row>
    <row r="42" spans="1:8">
      <c r="A42" s="2"/>
      <c r="B42" s="2"/>
      <c r="C42" s="2"/>
      <c r="G42" s="2"/>
      <c r="H42" s="2"/>
    </row>
    <row r="43" spans="1:8">
      <c r="A43" s="2"/>
      <c r="B43" s="2"/>
      <c r="G43" s="2"/>
      <c r="H43" s="2"/>
    </row>
    <row r="44" spans="1:8">
      <c r="G44" s="2"/>
      <c r="H44" s="2"/>
    </row>
    <row r="45" spans="1:8">
      <c r="G45" s="2"/>
      <c r="H45" s="2"/>
    </row>
    <row r="46" spans="1:8">
      <c r="G46" s="2"/>
      <c r="H46" s="2"/>
    </row>
    <row r="47" spans="1:8">
      <c r="G47" s="2"/>
      <c r="H47" s="2"/>
    </row>
    <row r="48" spans="1:8">
      <c r="G48" s="2"/>
      <c r="H48" s="2"/>
    </row>
    <row r="49" spans="7:8">
      <c r="G49" s="2"/>
      <c r="H49" s="2"/>
    </row>
    <row r="50" spans="7:8">
      <c r="G50" s="2"/>
      <c r="H50" s="2"/>
    </row>
    <row r="51" spans="7:8">
      <c r="G51" s="2"/>
      <c r="H51" s="2"/>
    </row>
    <row r="52" spans="7:8">
      <c r="G52" s="2"/>
      <c r="H52" s="2"/>
    </row>
    <row r="53" spans="7:8">
      <c r="G53" s="2"/>
      <c r="H53" s="2"/>
    </row>
    <row r="54" spans="7:8">
      <c r="G54" s="2"/>
      <c r="H54" s="2"/>
    </row>
    <row r="55" spans="7:8">
      <c r="G55" s="2"/>
      <c r="H55" s="2"/>
    </row>
    <row r="56" spans="7:8">
      <c r="G56" s="2"/>
      <c r="H56" s="2"/>
    </row>
    <row r="57" spans="7:8">
      <c r="G57" s="2"/>
      <c r="H57" s="2"/>
    </row>
    <row r="58" spans="7:8">
      <c r="G58" s="2"/>
      <c r="H58" s="2"/>
    </row>
    <row r="59" spans="7:8">
      <c r="G59" s="2"/>
      <c r="H59" s="2"/>
    </row>
    <row r="60" spans="7:8">
      <c r="G60" s="2"/>
      <c r="H60" s="2"/>
    </row>
    <row r="61" spans="7:8">
      <c r="G61" s="2"/>
      <c r="H61" s="2"/>
    </row>
    <row r="62" spans="7:8">
      <c r="G62" s="2"/>
      <c r="H62" s="2"/>
    </row>
    <row r="63" spans="7:8">
      <c r="G63" s="2"/>
      <c r="H63" s="2"/>
    </row>
    <row r="64" spans="7:8">
      <c r="G64" s="2"/>
      <c r="H64" s="2"/>
    </row>
    <row r="65" spans="7:8">
      <c r="G65" s="2"/>
      <c r="H65" s="2"/>
    </row>
    <row r="66" spans="7:8">
      <c r="G66" s="2"/>
      <c r="H66" s="2"/>
    </row>
    <row r="67" spans="7:8">
      <c r="G67" s="2"/>
      <c r="H67" s="2"/>
    </row>
    <row r="68" spans="7:8">
      <c r="G68" s="2"/>
      <c r="H68" s="2"/>
    </row>
    <row r="69" spans="7:8">
      <c r="G69" s="2"/>
      <c r="H69" s="2"/>
    </row>
    <row r="70" spans="7:8">
      <c r="G70" s="2"/>
      <c r="H70" s="2"/>
    </row>
    <row r="71" spans="7:8">
      <c r="G71" s="2"/>
      <c r="H71" s="2"/>
    </row>
    <row r="72" spans="7:8">
      <c r="G72" s="2"/>
      <c r="H72" s="2"/>
    </row>
    <row r="73" spans="7:8">
      <c r="G73" s="2"/>
      <c r="H73" s="2"/>
    </row>
    <row r="74" spans="7:8">
      <c r="G74" s="2"/>
      <c r="H74" s="2"/>
    </row>
    <row r="75" spans="7:8">
      <c r="G75" s="2"/>
      <c r="H75" s="2"/>
    </row>
    <row r="76" spans="7:8">
      <c r="G76" s="2"/>
      <c r="H76" s="2"/>
    </row>
    <row r="77" spans="7:8">
      <c r="G77" s="2"/>
      <c r="H77" s="2"/>
    </row>
    <row r="78" spans="7:8">
      <c r="G78" s="2"/>
      <c r="H78" s="2"/>
    </row>
    <row r="79" spans="7:8">
      <c r="G79" s="2"/>
      <c r="H79" s="2"/>
    </row>
    <row r="80" spans="7:8">
      <c r="G80" s="2"/>
      <c r="H80" s="2"/>
    </row>
    <row r="81" spans="7:8">
      <c r="G81" s="2"/>
      <c r="H81" s="2"/>
    </row>
    <row r="82" spans="7:8">
      <c r="G82" s="2"/>
      <c r="H82" s="2"/>
    </row>
    <row r="83" spans="7:8">
      <c r="G83" s="2"/>
      <c r="H83" s="2"/>
    </row>
    <row r="84" spans="7:8">
      <c r="G84" s="2"/>
      <c r="H84" s="2"/>
    </row>
    <row r="85" spans="7:8">
      <c r="G85" s="2"/>
      <c r="H85" s="2"/>
    </row>
    <row r="86" spans="7:8">
      <c r="G86" s="2"/>
      <c r="H86" s="2"/>
    </row>
    <row r="87" spans="7:8">
      <c r="G87" s="2"/>
      <c r="H87" s="2"/>
    </row>
    <row r="88" spans="7:8">
      <c r="G88" s="2"/>
      <c r="H88" s="2"/>
    </row>
    <row r="89" spans="7:8">
      <c r="G89" s="2"/>
      <c r="H89" s="2"/>
    </row>
    <row r="90" spans="7:8">
      <c r="G90" s="2"/>
      <c r="H90" s="2"/>
    </row>
    <row r="91" spans="7:8">
      <c r="G91" s="2"/>
      <c r="H91" s="2"/>
    </row>
    <row r="92" spans="7:8">
      <c r="G92" s="2"/>
      <c r="H92" s="2"/>
    </row>
    <row r="93" spans="7:8">
      <c r="G93" s="2"/>
      <c r="H93" s="2"/>
    </row>
    <row r="94" spans="7:8">
      <c r="G94" s="2"/>
      <c r="H94" s="2"/>
    </row>
    <row r="95" spans="7:8">
      <c r="G95" s="2"/>
      <c r="H95" s="2"/>
    </row>
    <row r="96" spans="7:8">
      <c r="G96" s="2"/>
      <c r="H96" s="2"/>
    </row>
    <row r="97" spans="7:8">
      <c r="G97" s="2"/>
      <c r="H97" s="2"/>
    </row>
    <row r="98" spans="7:8">
      <c r="G98" s="2"/>
      <c r="H98" s="2"/>
    </row>
    <row r="99" spans="7:8">
      <c r="G99" s="2"/>
      <c r="H99" s="2"/>
    </row>
    <row r="100" spans="7:8">
      <c r="G100" s="2"/>
      <c r="H100" s="2"/>
    </row>
    <row r="101" spans="7:8">
      <c r="G101" s="2"/>
      <c r="H101" s="2"/>
    </row>
    <row r="102" spans="7:8">
      <c r="G102" s="2"/>
      <c r="H102" s="2"/>
    </row>
    <row r="103" spans="7:8">
      <c r="G103" s="2"/>
      <c r="H103" s="2"/>
    </row>
    <row r="104" spans="7:8">
      <c r="G104" s="2"/>
      <c r="H104" s="2"/>
    </row>
    <row r="105" spans="7:8">
      <c r="G105" s="2"/>
      <c r="H105" s="2"/>
    </row>
    <row r="106" spans="7:8">
      <c r="G106" s="2"/>
      <c r="H106" s="2"/>
    </row>
    <row r="107" spans="7:8">
      <c r="G107" s="2"/>
      <c r="H107" s="2"/>
    </row>
    <row r="108" spans="7:8">
      <c r="G108" s="2"/>
      <c r="H108" s="2"/>
    </row>
    <row r="109" spans="7:8">
      <c r="G109" s="2"/>
      <c r="H109" s="2"/>
    </row>
    <row r="110" spans="7:8">
      <c r="G110" s="2"/>
      <c r="H110" s="2"/>
    </row>
    <row r="111" spans="7:8">
      <c r="G111" s="2"/>
      <c r="H111" s="2"/>
    </row>
    <row r="112" spans="7:8">
      <c r="G112" s="2"/>
      <c r="H112" s="2"/>
    </row>
    <row r="113" spans="7:8">
      <c r="G113" s="2"/>
      <c r="H113" s="2"/>
    </row>
    <row r="114" spans="7:8">
      <c r="G114" s="2"/>
      <c r="H114" s="2"/>
    </row>
    <row r="115" spans="7:8">
      <c r="G115" s="2"/>
      <c r="H115" s="2"/>
    </row>
    <row r="116" spans="7:8">
      <c r="G116" s="2"/>
      <c r="H116" s="2"/>
    </row>
    <row r="117" spans="7:8">
      <c r="G117" s="2"/>
      <c r="H117" s="2"/>
    </row>
    <row r="118" spans="7:8">
      <c r="G118" s="2"/>
      <c r="H118" s="2"/>
    </row>
    <row r="119" spans="7:8">
      <c r="G119" s="2"/>
      <c r="H119" s="2"/>
    </row>
    <row r="120" spans="7:8">
      <c r="G120" s="2"/>
      <c r="H120" s="2"/>
    </row>
    <row r="121" spans="7:8">
      <c r="G121" s="2"/>
      <c r="H121" s="2"/>
    </row>
    <row r="122" spans="7:8">
      <c r="G122" s="2"/>
      <c r="H122" s="2"/>
    </row>
    <row r="123" spans="7:8">
      <c r="G123" s="2"/>
      <c r="H123" s="2"/>
    </row>
    <row r="124" spans="7:8">
      <c r="G124" s="2"/>
      <c r="H124" s="2"/>
    </row>
    <row r="125" spans="7:8">
      <c r="G125" s="2"/>
      <c r="H125" s="2"/>
    </row>
    <row r="126" spans="7:8">
      <c r="G126" s="2"/>
      <c r="H126" s="2"/>
    </row>
    <row r="127" spans="7:8">
      <c r="G127" s="2"/>
      <c r="H127" s="2"/>
    </row>
    <row r="128" spans="7:8">
      <c r="G128" s="2"/>
      <c r="H128" s="2"/>
    </row>
    <row r="129" spans="7:8">
      <c r="G129" s="2"/>
      <c r="H129" s="2"/>
    </row>
    <row r="130" spans="7:8">
      <c r="G130" s="2"/>
      <c r="H130" s="2"/>
    </row>
    <row r="131" spans="7:8">
      <c r="G131" s="2"/>
      <c r="H131" s="2"/>
    </row>
    <row r="132" spans="7:8">
      <c r="G132" s="2"/>
      <c r="H132" s="2"/>
    </row>
    <row r="133" spans="7:8">
      <c r="G133" s="2"/>
      <c r="H133" s="2"/>
    </row>
    <row r="134" spans="7:8">
      <c r="G134" s="2"/>
      <c r="H134" s="2"/>
    </row>
    <row r="135" spans="7:8">
      <c r="G135" s="2"/>
      <c r="H135" s="2"/>
    </row>
    <row r="136" spans="7:8">
      <c r="G136" s="2"/>
      <c r="H136" s="2"/>
    </row>
    <row r="137" spans="7:8">
      <c r="G137" s="2"/>
      <c r="H137" s="2"/>
    </row>
    <row r="138" spans="7:8">
      <c r="G138" s="2"/>
      <c r="H138" s="2"/>
    </row>
    <row r="139" spans="7:8">
      <c r="G139" s="2"/>
      <c r="H139" s="2"/>
    </row>
    <row r="140" spans="7:8">
      <c r="G140" s="2"/>
      <c r="H140" s="2"/>
    </row>
  </sheetData>
  <phoneticPr fontId="27" type="noConversion"/>
  <printOptions horizontalCentered="1"/>
  <pageMargins left="0.3" right="0.3" top="0.61" bottom="0.37" header="0.1" footer="0.1"/>
  <pageSetup paperSize="9" pageOrder="overThenDown" orientation="portrait" useFirstPageNumber="1" horizontalDpi="300" verticalDpi="300" r:id="rId1"/>
  <headerFooter alignWithMargins="0">
    <oddHeader>&amp;P</oddHeader>
    <oddFooter>&amp;F</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Strategy</vt:lpstr>
      <vt:lpstr>Parameters</vt:lpstr>
      <vt:lpstr>Symbols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Abhishek</dc:creator>
  <cp:lastModifiedBy>ADMIN</cp:lastModifiedBy>
  <dcterms:created xsi:type="dcterms:W3CDTF">2016-03-13T10:29:27Z</dcterms:created>
  <dcterms:modified xsi:type="dcterms:W3CDTF">2017-05-08T18:58:41Z</dcterms:modified>
</cp:coreProperties>
</file>